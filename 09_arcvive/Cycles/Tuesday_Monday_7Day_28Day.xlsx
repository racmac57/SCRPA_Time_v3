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ucci_r\OneDrive - City of Hackensack\25_SCRPA\Cycles\"/>
    </mc:Choice>
  </mc:AlternateContent>
  <xr:revisionPtr revIDLastSave="6" documentId="13_ncr:9_{5463B9D9-5B87-4BA5-B607-3EF466B57C3A}" xr6:coauthVersionLast="47" xr6:coauthVersionMax="47" xr10:uidLastSave="{E5E923E3-90A9-A744-B8F6-A7FA7F701BBC}"/>
  <bookViews>
    <workbookView xWindow="-105" yWindow="0" windowWidth="25815" windowHeight="20985" firstSheet="1" activeTab="1" xr2:uid="{5B3AD112-BAD1-482B-9115-F2B7FE8752E3}"/>
  </bookViews>
  <sheets>
    <sheet name="Custom_CompStat_Week_and_28-Day" sheetId="1" state="hidden" r:id="rId1"/>
    <sheet name="Custom_CompStat_Week_and_28 (2)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C2" i="2"/>
  <c r="B3" i="2"/>
  <c r="B4" i="2"/>
  <c r="B5" i="2"/>
  <c r="C4" i="2"/>
  <c r="C3" i="2"/>
  <c r="B6" i="2"/>
  <c r="C5" i="2"/>
  <c r="B7" i="2"/>
  <c r="C6" i="2"/>
  <c r="B8" i="2"/>
  <c r="C7" i="2"/>
  <c r="B9" i="2"/>
  <c r="C8" i="2"/>
  <c r="B10" i="2"/>
  <c r="C9" i="2"/>
  <c r="B11" i="2"/>
  <c r="C10" i="2"/>
  <c r="B12" i="2"/>
  <c r="C11" i="2"/>
  <c r="B13" i="2"/>
  <c r="C12" i="2"/>
  <c r="B14" i="2"/>
  <c r="C13" i="2"/>
  <c r="B15" i="2"/>
  <c r="C14" i="2"/>
  <c r="B16" i="2"/>
  <c r="C15" i="2"/>
  <c r="B17" i="2"/>
  <c r="C16" i="2"/>
  <c r="B18" i="2"/>
  <c r="C17" i="2"/>
  <c r="B19" i="2"/>
  <c r="C18" i="2"/>
  <c r="B20" i="2"/>
  <c r="C19" i="2"/>
  <c r="B21" i="2"/>
  <c r="C20" i="2"/>
  <c r="B22" i="2"/>
  <c r="C21" i="2"/>
  <c r="B23" i="2"/>
  <c r="C22" i="2"/>
  <c r="B24" i="2"/>
  <c r="C23" i="2"/>
  <c r="B25" i="2"/>
  <c r="C24" i="2"/>
  <c r="B26" i="2"/>
  <c r="C25" i="2"/>
  <c r="B27" i="2"/>
  <c r="C26" i="2"/>
  <c r="B28" i="2"/>
  <c r="C27" i="2"/>
  <c r="B29" i="2"/>
  <c r="C28" i="2"/>
  <c r="B30" i="2"/>
  <c r="C29" i="2"/>
  <c r="B31" i="2"/>
  <c r="C30" i="2"/>
  <c r="B32" i="2"/>
  <c r="C31" i="2"/>
  <c r="B33" i="2"/>
  <c r="C32" i="2"/>
  <c r="B34" i="2"/>
  <c r="C33" i="2"/>
  <c r="B35" i="2"/>
  <c r="C34" i="2"/>
  <c r="B36" i="2"/>
  <c r="C35" i="2"/>
  <c r="B37" i="2"/>
  <c r="C36" i="2"/>
  <c r="B38" i="2"/>
  <c r="C37" i="2"/>
  <c r="B39" i="2"/>
  <c r="C38" i="2"/>
  <c r="B40" i="2"/>
  <c r="C39" i="2"/>
  <c r="B41" i="2"/>
  <c r="C40" i="2"/>
  <c r="B42" i="2"/>
  <c r="C41" i="2"/>
  <c r="B43" i="2"/>
  <c r="C42" i="2"/>
  <c r="B44" i="2"/>
  <c r="C43" i="2"/>
  <c r="B45" i="2"/>
  <c r="C44" i="2"/>
  <c r="B46" i="2"/>
  <c r="C45" i="2"/>
  <c r="B47" i="2"/>
  <c r="C46" i="2"/>
  <c r="B48" i="2"/>
  <c r="C47" i="2"/>
  <c r="B49" i="2"/>
  <c r="C48" i="2"/>
  <c r="B50" i="2"/>
  <c r="C49" i="2"/>
  <c r="B51" i="2"/>
  <c r="C50" i="2"/>
  <c r="B52" i="2"/>
  <c r="C51" i="2"/>
  <c r="B53" i="2"/>
  <c r="C52" i="2"/>
  <c r="B54" i="2"/>
  <c r="C53" i="2"/>
  <c r="C54" i="2"/>
  <c r="B55" i="2"/>
  <c r="C55" i="2"/>
</calcChain>
</file>

<file path=xl/sharedStrings.xml><?xml version="1.0" encoding="utf-8"?>
<sst xmlns="http://schemas.openxmlformats.org/spreadsheetml/2006/main" count="79" uniqueCount="74">
  <si>
    <t>CompStat
 Week</t>
  </si>
  <si>
    <t>Week Start</t>
  </si>
  <si>
    <t>Week End</t>
  </si>
  <si>
    <t>28-Day Cycle Start</t>
  </si>
  <si>
    <t>28-Day Cycle End</t>
  </si>
  <si>
    <t>CompStat 28-Day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</si>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</sst>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"/>
  </numFmts>
  <fonts count="21" x14ac:knownFonts="1">
    <font>
      <sz val="12"/>
      <color theme="1"/>
      <name val="Aptos"/>
      <family val="2"/>
    </font>
    <font>
      <sz val="12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2"/>
      <color rgb="FF006100"/>
      <name val="Aptos"/>
      <family val="2"/>
    </font>
    <font>
      <sz val="12"/>
      <color rgb="FF9C0006"/>
      <name val="Aptos"/>
      <family val="2"/>
    </font>
    <font>
      <sz val="12"/>
      <color rgb="FF9C5700"/>
      <name val="Aptos"/>
      <family val="2"/>
    </font>
    <font>
      <sz val="12"/>
      <color rgb="FF3F3F76"/>
      <name val="Aptos"/>
      <family val="2"/>
    </font>
    <font>
      <b/>
      <sz val="12"/>
      <color rgb="FF3F3F3F"/>
      <name val="Aptos"/>
      <family val="2"/>
    </font>
    <font>
      <b/>
      <sz val="12"/>
      <color rgb="FFFA7D00"/>
      <name val="Aptos"/>
      <family val="2"/>
    </font>
    <font>
      <sz val="12"/>
      <color rgb="FFFA7D00"/>
      <name val="Aptos"/>
      <family val="2"/>
    </font>
    <font>
      <b/>
      <sz val="12"/>
      <color theme="0"/>
      <name val="Aptos"/>
      <family val="2"/>
    </font>
    <font>
      <sz val="12"/>
      <color rgb="FFFF0000"/>
      <name val="Aptos"/>
      <family val="2"/>
    </font>
    <font>
      <i/>
      <sz val="12"/>
      <color rgb="FF7F7F7F"/>
      <name val="Aptos"/>
      <family val="2"/>
    </font>
    <font>
      <b/>
      <sz val="12"/>
      <color theme="1"/>
      <name val="Aptos"/>
      <family val="2"/>
    </font>
    <font>
      <sz val="12"/>
      <color theme="0"/>
      <name val="Aptos"/>
      <family val="2"/>
    </font>
    <font>
      <sz val="16"/>
      <color theme="1"/>
      <name val="Aptos"/>
      <family val="2"/>
    </font>
    <font>
      <b/>
      <sz val="16"/>
      <color theme="1"/>
      <name val="Aptos"/>
      <family val="2"/>
    </font>
    <font>
      <sz val="6"/>
      <name val="Yu Gothic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4" fontId="18" fillId="0" borderId="0" xfId="0" applyNumberFormat="1" applyFont="1"/>
    <xf numFmtId="0" fontId="18" fillId="0" borderId="0" xfId="0" applyFont="1"/>
    <xf numFmtId="0" fontId="18" fillId="0" borderId="0" xfId="0" applyFont="1" applyBorder="1" applyAlignment="1">
      <alignment horizontal="center" wrapText="1"/>
    </xf>
    <xf numFmtId="164" fontId="18" fillId="0" borderId="0" xfId="0" applyNumberFormat="1" applyFont="1" applyBorder="1" applyAlignment="1">
      <alignment horizontal="center"/>
    </xf>
    <xf numFmtId="0" fontId="19" fillId="0" borderId="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strike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164" formatCode="mm/dd/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164" formatCode="mm/dd/yy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164" formatCode="mm/dd/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"/>
        <family val="2"/>
        <scheme val="none"/>
      </font>
      <numFmt numFmtId="164" formatCode="mm/dd/yy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Aptos"/>
        <family val="2"/>
        <scheme val="none"/>
      </font>
      <alignment horizontal="center" vertical="bottom" textRotation="0" indent="0" justifyLastLine="0" shrinkToFit="0" readingOrder="0"/>
    </dxf>
    <dxf>
      <numFmt numFmtId="165" formatCode="m/d/yyyy"/>
    </dxf>
    <dxf>
      <numFmt numFmtId="165" formatCode="m/d/yyyy"/>
    </dxf>
    <dxf>
      <numFmt numFmtId="165" formatCode="m/d/yyyy"/>
    </dxf>
    <dxf>
      <numFmt numFmtId="165" formatCode="m/d/yyyy"/>
    </dxf>
    <dxf>
      <alignment horizontal="center" vertical="bottom" textRotation="0" indent="0" justifyLastLine="0" shrinkToFit="0" readingOrder="0"/>
    </dxf>
  </dxfs>
  <tableStyles count="1" defaultTableStyle="TableStyleMedium2" defaultPivotStyle="PivotStyleLight16">
    <tableStyle name="Invisible" pivot="0" table="0" count="0" xr9:uid="{A38909E0-63CD-469C-8D94-5717980C09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78F6A5-82F9-4A5E-AEA4-650479A897DE}" name="Table1" displayName="Table1" ref="A1:E54" totalsRowShown="0" headerRowDxfId="16">
  <autoFilter ref="A1:E54" xr:uid="{7178F6A5-82F9-4A5E-AEA4-650479A897DE}"/>
  <tableColumns count="5">
    <tableColumn id="1" xr3:uid="{F54B4D6B-2379-4B7B-A28A-B237FFE72100}" name="CompStat_x000a_ Week"/>
    <tableColumn id="2" xr3:uid="{9E5B3BC4-2355-42E4-B245-9ED356B434E5}" name="Week Start" dataDxfId="15"/>
    <tableColumn id="3" xr3:uid="{7A666465-8A2F-4F62-A7E9-33C6FD4C2996}" name="Week End" dataDxfId="14"/>
    <tableColumn id="4" xr3:uid="{2FF012B3-0D00-4B5E-89E8-7C4BE913AF20}" name="28-Day Cycle Start" dataDxfId="13"/>
    <tableColumn id="5" xr3:uid="{CB432B8F-6783-42AA-AAAB-FC3691671360}" name="28-Day Cycle End" dataDxfId="1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73C417-B2FF-4C41-9754-C9E15BE23A09}" name="Table3" displayName="Table3" ref="A1:C55" totalsRowShown="0" headerRowDxfId="11" dataDxfId="10" tableBorderDxfId="9">
  <autoFilter ref="A1:C55" xr:uid="{2473C417-B2FF-4C41-9754-C9E15BE23A09}"/>
  <tableColumns count="3">
    <tableColumn id="1" xr3:uid="{079080E8-01C8-4CE4-9E49-A39C6D15CE11}" name="CompStat_x000a_ Week" dataDxfId="8"/>
    <tableColumn id="2" xr3:uid="{DA0F8E64-959D-49B1-9AD0-C297FCEB8D8C}" name="Week Start" dataDxfId="7">
      <calculatedColumnFormula>B1+7</calculatedColumnFormula>
    </tableColumn>
    <tableColumn id="3" xr3:uid="{6E7091D7-89B3-4711-A04F-8AF4DB7271B8}" name="Week End" dataDxfId="6">
      <calculatedColumnFormula>B2+6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D52074-5B4B-4D82-B6AD-3F3E9D1C9B69}" name="Table4" displayName="Table4" ref="E1:G15" totalsRowShown="0" headerRowDxfId="5" dataDxfId="4" tableBorderDxfId="3">
  <autoFilter ref="E1:G15" xr:uid="{A7D52074-5B4B-4D82-B6AD-3F3E9D1C9B69}"/>
  <tableColumns count="3">
    <tableColumn id="1" xr3:uid="{0D40A3F9-761A-45C6-BFCC-D453C6927C49}" name="CompStat 28-Day" dataDxfId="2"/>
    <tableColumn id="2" xr3:uid="{8783F814-3E94-4EE8-BC7B-58360462136B}" name="Week Start" dataDxfId="1">
      <calculatedColumnFormula>F1+28</calculatedColumnFormula>
    </tableColumn>
    <tableColumn id="3" xr3:uid="{00B18FCA-00EE-4234-B6F7-D2B9882127B5}" name="Week End" dataDxfId="0">
      <calculatedColumnFormula>G1+28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DEBF-BA13-421A-B9EF-7EE0ECE50CC3}">
  <dimension ref="A1:E54"/>
  <sheetViews>
    <sheetView workbookViewId="0">
      <selection sqref="A1:XFD1"/>
    </sheetView>
  </sheetViews>
  <sheetFormatPr defaultRowHeight="16.5" x14ac:dyDescent="0.25"/>
  <cols>
    <col min="1" max="1" width="12.75" bestFit="1" customWidth="1"/>
    <col min="2" max="2" width="10.64453125" customWidth="1"/>
    <col min="3" max="3" width="10.05859375" bestFit="1" customWidth="1"/>
    <col min="4" max="4" width="16.49609375" customWidth="1"/>
    <col min="5" max="5" width="15.91015625" customWidth="1"/>
  </cols>
  <sheetData>
    <row r="1" spans="1:5" s="3" customFormat="1" ht="3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>
        <v>1</v>
      </c>
      <c r="B2" s="1">
        <v>45657</v>
      </c>
      <c r="C2" s="1">
        <v>45663</v>
      </c>
      <c r="D2" s="1">
        <v>45657</v>
      </c>
      <c r="E2" s="1">
        <v>45684</v>
      </c>
    </row>
    <row r="3" spans="1:5" x14ac:dyDescent="0.25">
      <c r="A3">
        <v>2</v>
      </c>
      <c r="B3" s="1">
        <v>45664</v>
      </c>
      <c r="C3" s="1">
        <v>45670</v>
      </c>
      <c r="D3" s="1">
        <v>45664</v>
      </c>
      <c r="E3" s="1">
        <v>45691</v>
      </c>
    </row>
    <row r="4" spans="1:5" x14ac:dyDescent="0.25">
      <c r="A4">
        <v>3</v>
      </c>
      <c r="B4" s="1">
        <v>45671</v>
      </c>
      <c r="C4" s="1">
        <v>45677</v>
      </c>
      <c r="D4" s="1">
        <v>45671</v>
      </c>
      <c r="E4" s="1">
        <v>45698</v>
      </c>
    </row>
    <row r="5" spans="1:5" x14ac:dyDescent="0.25">
      <c r="A5">
        <v>4</v>
      </c>
      <c r="B5" s="1">
        <v>45678</v>
      </c>
      <c r="C5" s="1">
        <v>45684</v>
      </c>
      <c r="D5" s="1">
        <v>45678</v>
      </c>
      <c r="E5" s="1">
        <v>45705</v>
      </c>
    </row>
    <row r="6" spans="1:5" x14ac:dyDescent="0.25">
      <c r="A6">
        <v>5</v>
      </c>
      <c r="B6" s="1">
        <v>45685</v>
      </c>
      <c r="C6" s="1">
        <v>45691</v>
      </c>
      <c r="D6" s="1">
        <v>45685</v>
      </c>
      <c r="E6" s="1">
        <v>45712</v>
      </c>
    </row>
    <row r="7" spans="1:5" x14ac:dyDescent="0.25">
      <c r="A7">
        <v>6</v>
      </c>
      <c r="B7" s="1">
        <v>45692</v>
      </c>
      <c r="C7" s="1">
        <v>45698</v>
      </c>
      <c r="D7" s="1">
        <v>45692</v>
      </c>
      <c r="E7" s="1">
        <v>45719</v>
      </c>
    </row>
    <row r="8" spans="1:5" x14ac:dyDescent="0.25">
      <c r="A8">
        <v>7</v>
      </c>
      <c r="B8" s="1">
        <v>45699</v>
      </c>
      <c r="C8" s="1">
        <v>45705</v>
      </c>
      <c r="D8" s="1">
        <v>45699</v>
      </c>
      <c r="E8" s="1">
        <v>45726</v>
      </c>
    </row>
    <row r="9" spans="1:5" x14ac:dyDescent="0.25">
      <c r="A9">
        <v>8</v>
      </c>
      <c r="B9" s="1">
        <v>45706</v>
      </c>
      <c r="C9" s="1">
        <v>45712</v>
      </c>
      <c r="D9" s="1">
        <v>45706</v>
      </c>
      <c r="E9" s="1">
        <v>45733</v>
      </c>
    </row>
    <row r="10" spans="1:5" x14ac:dyDescent="0.25">
      <c r="A10">
        <v>9</v>
      </c>
      <c r="B10" s="1">
        <v>45713</v>
      </c>
      <c r="C10" s="1">
        <v>45719</v>
      </c>
      <c r="D10" s="1">
        <v>45713</v>
      </c>
      <c r="E10" s="1">
        <v>45740</v>
      </c>
    </row>
    <row r="11" spans="1:5" x14ac:dyDescent="0.25">
      <c r="A11">
        <v>10</v>
      </c>
      <c r="B11" s="1">
        <v>45720</v>
      </c>
      <c r="C11" s="1">
        <v>45726</v>
      </c>
      <c r="D11" s="1">
        <v>45720</v>
      </c>
      <c r="E11" s="1">
        <v>45747</v>
      </c>
    </row>
    <row r="12" spans="1:5" x14ac:dyDescent="0.25">
      <c r="A12">
        <v>11</v>
      </c>
      <c r="B12" s="1">
        <v>45727</v>
      </c>
      <c r="C12" s="1">
        <v>45733</v>
      </c>
      <c r="D12" s="1">
        <v>45727</v>
      </c>
      <c r="E12" s="1">
        <v>45754</v>
      </c>
    </row>
    <row r="13" spans="1:5" x14ac:dyDescent="0.25">
      <c r="A13">
        <v>12</v>
      </c>
      <c r="B13" s="1">
        <v>45734</v>
      </c>
      <c r="C13" s="1">
        <v>45740</v>
      </c>
      <c r="D13" s="1">
        <v>45734</v>
      </c>
      <c r="E13" s="1">
        <v>45761</v>
      </c>
    </row>
    <row r="14" spans="1:5" x14ac:dyDescent="0.25">
      <c r="A14">
        <v>13</v>
      </c>
      <c r="B14" s="1">
        <v>45741</v>
      </c>
      <c r="C14" s="1">
        <v>45747</v>
      </c>
      <c r="D14" s="1">
        <v>45741</v>
      </c>
      <c r="E14" s="1">
        <v>45768</v>
      </c>
    </row>
    <row r="15" spans="1:5" x14ac:dyDescent="0.25">
      <c r="A15">
        <v>14</v>
      </c>
      <c r="B15" s="1">
        <v>45748</v>
      </c>
      <c r="C15" s="1">
        <v>45754</v>
      </c>
      <c r="D15" s="1">
        <v>45748</v>
      </c>
      <c r="E15" s="1">
        <v>45775</v>
      </c>
    </row>
    <row r="16" spans="1:5" x14ac:dyDescent="0.25">
      <c r="A16">
        <v>15</v>
      </c>
      <c r="B16" s="1">
        <v>45755</v>
      </c>
      <c r="C16" s="1">
        <v>45761</v>
      </c>
      <c r="D16" s="1">
        <v>45755</v>
      </c>
      <c r="E16" s="1">
        <v>45782</v>
      </c>
    </row>
    <row r="17" spans="1:5" x14ac:dyDescent="0.25">
      <c r="A17">
        <v>16</v>
      </c>
      <c r="B17" s="1">
        <v>45762</v>
      </c>
      <c r="C17" s="1">
        <v>45768</v>
      </c>
      <c r="D17" s="1">
        <v>45762</v>
      </c>
      <c r="E17" s="1">
        <v>45789</v>
      </c>
    </row>
    <row r="18" spans="1:5" x14ac:dyDescent="0.25">
      <c r="A18">
        <v>17</v>
      </c>
      <c r="B18" s="1">
        <v>45769</v>
      </c>
      <c r="C18" s="1">
        <v>45775</v>
      </c>
      <c r="D18" s="1">
        <v>45769</v>
      </c>
      <c r="E18" s="1">
        <v>45796</v>
      </c>
    </row>
    <row r="19" spans="1:5" x14ac:dyDescent="0.25">
      <c r="A19">
        <v>18</v>
      </c>
      <c r="B19" s="1">
        <v>45776</v>
      </c>
      <c r="C19" s="1">
        <v>45782</v>
      </c>
      <c r="D19" s="1">
        <v>45776</v>
      </c>
      <c r="E19" s="1">
        <v>45803</v>
      </c>
    </row>
    <row r="20" spans="1:5" x14ac:dyDescent="0.25">
      <c r="A20">
        <v>19</v>
      </c>
      <c r="B20" s="1">
        <v>45783</v>
      </c>
      <c r="C20" s="1">
        <v>45789</v>
      </c>
      <c r="D20" s="1">
        <v>45783</v>
      </c>
      <c r="E20" s="1">
        <v>45810</v>
      </c>
    </row>
    <row r="21" spans="1:5" x14ac:dyDescent="0.25">
      <c r="A21">
        <v>20</v>
      </c>
      <c r="B21" s="1">
        <v>45790</v>
      </c>
      <c r="C21" s="1">
        <v>45796</v>
      </c>
      <c r="D21" s="1">
        <v>45790</v>
      </c>
      <c r="E21" s="1">
        <v>45817</v>
      </c>
    </row>
    <row r="22" spans="1:5" x14ac:dyDescent="0.25">
      <c r="A22">
        <v>21</v>
      </c>
      <c r="B22" s="1">
        <v>45797</v>
      </c>
      <c r="C22" s="1">
        <v>45803</v>
      </c>
      <c r="D22" s="1">
        <v>45797</v>
      </c>
      <c r="E22" s="1">
        <v>45824</v>
      </c>
    </row>
    <row r="23" spans="1:5" x14ac:dyDescent="0.25">
      <c r="A23">
        <v>22</v>
      </c>
      <c r="B23" s="1">
        <v>45804</v>
      </c>
      <c r="C23" s="1">
        <v>45810</v>
      </c>
      <c r="D23" s="1">
        <v>45804</v>
      </c>
      <c r="E23" s="1">
        <v>45831</v>
      </c>
    </row>
    <row r="24" spans="1:5" x14ac:dyDescent="0.25">
      <c r="A24">
        <v>23</v>
      </c>
      <c r="B24" s="1">
        <v>45811</v>
      </c>
      <c r="C24" s="1">
        <v>45817</v>
      </c>
      <c r="D24" s="1">
        <v>45811</v>
      </c>
      <c r="E24" s="1">
        <v>45838</v>
      </c>
    </row>
    <row r="25" spans="1:5" x14ac:dyDescent="0.25">
      <c r="A25">
        <v>24</v>
      </c>
      <c r="B25" s="1">
        <v>45818</v>
      </c>
      <c r="C25" s="1">
        <v>45824</v>
      </c>
      <c r="D25" s="1">
        <v>45818</v>
      </c>
      <c r="E25" s="1">
        <v>45845</v>
      </c>
    </row>
    <row r="26" spans="1:5" x14ac:dyDescent="0.25">
      <c r="A26">
        <v>25</v>
      </c>
      <c r="B26" s="1">
        <v>45825</v>
      </c>
      <c r="C26" s="1">
        <v>45831</v>
      </c>
      <c r="D26" s="1">
        <v>45825</v>
      </c>
      <c r="E26" s="1">
        <v>45852</v>
      </c>
    </row>
    <row r="27" spans="1:5" x14ac:dyDescent="0.25">
      <c r="A27">
        <v>26</v>
      </c>
      <c r="B27" s="1">
        <v>45832</v>
      </c>
      <c r="C27" s="1">
        <v>45838</v>
      </c>
      <c r="D27" s="1">
        <v>45832</v>
      </c>
      <c r="E27" s="1">
        <v>45859</v>
      </c>
    </row>
    <row r="28" spans="1:5" x14ac:dyDescent="0.25">
      <c r="A28">
        <v>27</v>
      </c>
      <c r="B28" s="1">
        <v>45839</v>
      </c>
      <c r="C28" s="1">
        <v>45845</v>
      </c>
      <c r="D28" s="1">
        <v>45839</v>
      </c>
      <c r="E28" s="1">
        <v>45866</v>
      </c>
    </row>
    <row r="29" spans="1:5" x14ac:dyDescent="0.25">
      <c r="A29">
        <v>28</v>
      </c>
      <c r="B29" s="1">
        <v>45846</v>
      </c>
      <c r="C29" s="1">
        <v>45852</v>
      </c>
      <c r="D29" s="1">
        <v>45846</v>
      </c>
      <c r="E29" s="1">
        <v>45873</v>
      </c>
    </row>
    <row r="30" spans="1:5" x14ac:dyDescent="0.25">
      <c r="A30">
        <v>29</v>
      </c>
      <c r="B30" s="1">
        <v>45853</v>
      </c>
      <c r="C30" s="1">
        <v>45859</v>
      </c>
      <c r="D30" s="1">
        <v>45853</v>
      </c>
      <c r="E30" s="1">
        <v>45880</v>
      </c>
    </row>
    <row r="31" spans="1:5" x14ac:dyDescent="0.25">
      <c r="A31">
        <v>30</v>
      </c>
      <c r="B31" s="1">
        <v>45860</v>
      </c>
      <c r="C31" s="1">
        <v>45866</v>
      </c>
      <c r="D31" s="1">
        <v>45860</v>
      </c>
      <c r="E31" s="1">
        <v>45887</v>
      </c>
    </row>
    <row r="32" spans="1:5" x14ac:dyDescent="0.25">
      <c r="A32">
        <v>31</v>
      </c>
      <c r="B32" s="1">
        <v>45867</v>
      </c>
      <c r="C32" s="1">
        <v>45873</v>
      </c>
      <c r="D32" s="1">
        <v>45867</v>
      </c>
      <c r="E32" s="1">
        <v>45894</v>
      </c>
    </row>
    <row r="33" spans="1:5" x14ac:dyDescent="0.25">
      <c r="A33">
        <v>32</v>
      </c>
      <c r="B33" s="1">
        <v>45874</v>
      </c>
      <c r="C33" s="1">
        <v>45880</v>
      </c>
      <c r="D33" s="1">
        <v>45874</v>
      </c>
      <c r="E33" s="1">
        <v>45901</v>
      </c>
    </row>
    <row r="34" spans="1:5" x14ac:dyDescent="0.25">
      <c r="A34">
        <v>33</v>
      </c>
      <c r="B34" s="1">
        <v>45881</v>
      </c>
      <c r="C34" s="1">
        <v>45887</v>
      </c>
      <c r="D34" s="1">
        <v>45881</v>
      </c>
      <c r="E34" s="1">
        <v>45908</v>
      </c>
    </row>
    <row r="35" spans="1:5" x14ac:dyDescent="0.25">
      <c r="A35">
        <v>34</v>
      </c>
      <c r="B35" s="1">
        <v>45888</v>
      </c>
      <c r="C35" s="1">
        <v>45894</v>
      </c>
      <c r="D35" s="1">
        <v>45888</v>
      </c>
      <c r="E35" s="1">
        <v>45915</v>
      </c>
    </row>
    <row r="36" spans="1:5" x14ac:dyDescent="0.25">
      <c r="A36">
        <v>35</v>
      </c>
      <c r="B36" s="1">
        <v>45895</v>
      </c>
      <c r="C36" s="1">
        <v>45901</v>
      </c>
      <c r="D36" s="1">
        <v>45895</v>
      </c>
      <c r="E36" s="1">
        <v>45922</v>
      </c>
    </row>
    <row r="37" spans="1:5" x14ac:dyDescent="0.25">
      <c r="A37">
        <v>36</v>
      </c>
      <c r="B37" s="1">
        <v>45902</v>
      </c>
      <c r="C37" s="1">
        <v>45908</v>
      </c>
      <c r="D37" s="1">
        <v>45902</v>
      </c>
      <c r="E37" s="1">
        <v>45929</v>
      </c>
    </row>
    <row r="38" spans="1:5" x14ac:dyDescent="0.25">
      <c r="A38">
        <v>37</v>
      </c>
      <c r="B38" s="1">
        <v>45909</v>
      </c>
      <c r="C38" s="1">
        <v>45915</v>
      </c>
      <c r="D38" s="1">
        <v>45909</v>
      </c>
      <c r="E38" s="1">
        <v>45936</v>
      </c>
    </row>
    <row r="39" spans="1:5" x14ac:dyDescent="0.25">
      <c r="A39">
        <v>38</v>
      </c>
      <c r="B39" s="1">
        <v>45916</v>
      </c>
      <c r="C39" s="1">
        <v>45922</v>
      </c>
      <c r="D39" s="1">
        <v>45916</v>
      </c>
      <c r="E39" s="1">
        <v>45943</v>
      </c>
    </row>
    <row r="40" spans="1:5" x14ac:dyDescent="0.25">
      <c r="A40">
        <v>39</v>
      </c>
      <c r="B40" s="1">
        <v>45923</v>
      </c>
      <c r="C40" s="1">
        <v>45929</v>
      </c>
      <c r="D40" s="1">
        <v>45923</v>
      </c>
      <c r="E40" s="1">
        <v>45950</v>
      </c>
    </row>
    <row r="41" spans="1:5" x14ac:dyDescent="0.25">
      <c r="A41">
        <v>40</v>
      </c>
      <c r="B41" s="1">
        <v>45930</v>
      </c>
      <c r="C41" s="1">
        <v>45936</v>
      </c>
      <c r="D41" s="1">
        <v>45930</v>
      </c>
      <c r="E41" s="1">
        <v>45957</v>
      </c>
    </row>
    <row r="42" spans="1:5" x14ac:dyDescent="0.25">
      <c r="A42">
        <v>41</v>
      </c>
      <c r="B42" s="1">
        <v>45937</v>
      </c>
      <c r="C42" s="1">
        <v>45943</v>
      </c>
      <c r="D42" s="1">
        <v>45937</v>
      </c>
      <c r="E42" s="1">
        <v>45964</v>
      </c>
    </row>
    <row r="43" spans="1:5" x14ac:dyDescent="0.25">
      <c r="A43">
        <v>42</v>
      </c>
      <c r="B43" s="1">
        <v>45944</v>
      </c>
      <c r="C43" s="1">
        <v>45950</v>
      </c>
      <c r="D43" s="1">
        <v>45944</v>
      </c>
      <c r="E43" s="1">
        <v>45971</v>
      </c>
    </row>
    <row r="44" spans="1:5" x14ac:dyDescent="0.25">
      <c r="A44">
        <v>43</v>
      </c>
      <c r="B44" s="1">
        <v>45951</v>
      </c>
      <c r="C44" s="1">
        <v>45957</v>
      </c>
      <c r="D44" s="1">
        <v>45951</v>
      </c>
      <c r="E44" s="1">
        <v>45978</v>
      </c>
    </row>
    <row r="45" spans="1:5" x14ac:dyDescent="0.25">
      <c r="A45">
        <v>44</v>
      </c>
      <c r="B45" s="1">
        <v>45958</v>
      </c>
      <c r="C45" s="1">
        <v>45964</v>
      </c>
      <c r="D45" s="1">
        <v>45958</v>
      </c>
      <c r="E45" s="1">
        <v>45985</v>
      </c>
    </row>
    <row r="46" spans="1:5" x14ac:dyDescent="0.25">
      <c r="A46">
        <v>45</v>
      </c>
      <c r="B46" s="1">
        <v>45965</v>
      </c>
      <c r="C46" s="1">
        <v>45971</v>
      </c>
      <c r="D46" s="1">
        <v>45965</v>
      </c>
      <c r="E46" s="1">
        <v>45992</v>
      </c>
    </row>
    <row r="47" spans="1:5" x14ac:dyDescent="0.25">
      <c r="A47">
        <v>46</v>
      </c>
      <c r="B47" s="1">
        <v>45972</v>
      </c>
      <c r="C47" s="1">
        <v>45978</v>
      </c>
      <c r="D47" s="1">
        <v>45972</v>
      </c>
      <c r="E47" s="1">
        <v>45999</v>
      </c>
    </row>
    <row r="48" spans="1:5" x14ac:dyDescent="0.25">
      <c r="A48">
        <v>47</v>
      </c>
      <c r="B48" s="1">
        <v>45979</v>
      </c>
      <c r="C48" s="1">
        <v>45985</v>
      </c>
      <c r="D48" s="1">
        <v>45979</v>
      </c>
      <c r="E48" s="1">
        <v>46006</v>
      </c>
    </row>
    <row r="49" spans="1:5" x14ac:dyDescent="0.25">
      <c r="A49">
        <v>48</v>
      </c>
      <c r="B49" s="1">
        <v>45986</v>
      </c>
      <c r="C49" s="1">
        <v>45992</v>
      </c>
      <c r="D49" s="1">
        <v>45986</v>
      </c>
      <c r="E49" s="1">
        <v>46013</v>
      </c>
    </row>
    <row r="50" spans="1:5" x14ac:dyDescent="0.25">
      <c r="A50">
        <v>49</v>
      </c>
      <c r="B50" s="1">
        <v>45993</v>
      </c>
      <c r="C50" s="1">
        <v>45999</v>
      </c>
      <c r="D50" s="1">
        <v>45993</v>
      </c>
      <c r="E50" s="1">
        <v>46020</v>
      </c>
    </row>
    <row r="51" spans="1:5" x14ac:dyDescent="0.25">
      <c r="A51">
        <v>50</v>
      </c>
      <c r="B51" s="1">
        <v>46000</v>
      </c>
      <c r="C51" s="1">
        <v>46006</v>
      </c>
      <c r="D51" s="1">
        <v>46000</v>
      </c>
      <c r="E51" s="1">
        <v>46027</v>
      </c>
    </row>
    <row r="52" spans="1:5" x14ac:dyDescent="0.25">
      <c r="A52">
        <v>51</v>
      </c>
      <c r="B52" s="1">
        <v>46007</v>
      </c>
      <c r="C52" s="1">
        <v>46013</v>
      </c>
      <c r="D52" s="1">
        <v>46007</v>
      </c>
      <c r="E52" s="1">
        <v>46034</v>
      </c>
    </row>
    <row r="53" spans="1:5" x14ac:dyDescent="0.25">
      <c r="A53">
        <v>52</v>
      </c>
      <c r="B53" s="1">
        <v>46014</v>
      </c>
      <c r="C53" s="1">
        <v>46020</v>
      </c>
      <c r="D53" s="1">
        <v>46014</v>
      </c>
      <c r="E53" s="1">
        <v>46041</v>
      </c>
    </row>
    <row r="54" spans="1:5" x14ac:dyDescent="0.25">
      <c r="A54">
        <v>53</v>
      </c>
      <c r="B54" s="1">
        <v>46021</v>
      </c>
      <c r="C54" s="1">
        <v>46027</v>
      </c>
      <c r="D54" s="1">
        <v>46021</v>
      </c>
      <c r="E54" s="1">
        <v>46048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FC8D-EB5C-4A02-A39A-CD2BE6740E44}">
  <dimension ref="A1:G55"/>
  <sheetViews>
    <sheetView tabSelected="1" workbookViewId="0">
      <selection activeCell="K6" sqref="K6"/>
    </sheetView>
  </sheetViews>
  <sheetFormatPr defaultColWidth="8.890625" defaultRowHeight="21" x14ac:dyDescent="0.3"/>
  <cols>
    <col min="1" max="1" width="15.32421875" style="7" bestFit="1" customWidth="1"/>
    <col min="2" max="2" width="16.37890625" style="6" bestFit="1" customWidth="1"/>
    <col min="3" max="3" width="15.08984375" style="6" bestFit="1" customWidth="1"/>
    <col min="4" max="4" width="1.75390625" style="7" customWidth="1"/>
    <col min="5" max="5" width="13.21875" style="5" customWidth="1"/>
    <col min="6" max="6" width="16.37890625" style="6" bestFit="1" customWidth="1"/>
    <col min="7" max="7" width="15.08984375" style="6" bestFit="1" customWidth="1"/>
    <col min="8" max="16384" width="8.890625" style="7"/>
  </cols>
  <sheetData>
    <row r="1" spans="1:7" s="5" customFormat="1" ht="59.25" x14ac:dyDescent="0.3">
      <c r="A1" s="8" t="s">
        <v>0</v>
      </c>
      <c r="B1" s="9" t="s">
        <v>1</v>
      </c>
      <c r="C1" s="9" t="s">
        <v>2</v>
      </c>
      <c r="E1" s="8" t="s">
        <v>5</v>
      </c>
      <c r="F1" s="9" t="s">
        <v>1</v>
      </c>
      <c r="G1" s="9" t="s">
        <v>2</v>
      </c>
    </row>
    <row r="2" spans="1:7" x14ac:dyDescent="0.3">
      <c r="A2" s="10" t="s">
        <v>20</v>
      </c>
      <c r="B2" s="9">
        <v>45657</v>
      </c>
      <c r="C2" s="9">
        <f>B2+6</f>
        <v>45663</v>
      </c>
      <c r="D2" s="5"/>
      <c r="E2" s="10" t="s">
        <v>6</v>
      </c>
      <c r="F2" s="9">
        <v>45657</v>
      </c>
      <c r="G2" s="9">
        <f>F2+27</f>
        <v>45684</v>
      </c>
    </row>
    <row r="3" spans="1:7" x14ac:dyDescent="0.3">
      <c r="A3" s="10" t="s">
        <v>21</v>
      </c>
      <c r="B3" s="9">
        <f>B2+7</f>
        <v>45664</v>
      </c>
      <c r="C3" s="9">
        <f t="shared" ref="C3:C55" si="0">B3+6</f>
        <v>45670</v>
      </c>
      <c r="D3" s="5"/>
      <c r="E3" s="10" t="s">
        <v>7</v>
      </c>
      <c r="F3" s="9">
        <f>F2+28</f>
        <v>45685</v>
      </c>
      <c r="G3" s="9">
        <f>G2+28</f>
        <v>45712</v>
      </c>
    </row>
    <row r="4" spans="1:7" x14ac:dyDescent="0.3">
      <c r="A4" s="10" t="s">
        <v>22</v>
      </c>
      <c r="B4" s="9">
        <f>B3+7</f>
        <v>45671</v>
      </c>
      <c r="C4" s="9">
        <f t="shared" si="0"/>
        <v>45677</v>
      </c>
      <c r="D4" s="5"/>
      <c r="E4" s="10" t="s">
        <v>8</v>
      </c>
      <c r="F4" s="9">
        <f t="shared" ref="F4:F15" si="1">F3+28</f>
        <v>45713</v>
      </c>
      <c r="G4" s="9">
        <f t="shared" ref="G4:G15" si="2">G3+28</f>
        <v>45740</v>
      </c>
    </row>
    <row r="5" spans="1:7" x14ac:dyDescent="0.3">
      <c r="A5" s="10" t="s">
        <v>23</v>
      </c>
      <c r="B5" s="9">
        <f t="shared" ref="B5:B55" si="3">B4+7</f>
        <v>45678</v>
      </c>
      <c r="C5" s="9">
        <f t="shared" si="0"/>
        <v>45684</v>
      </c>
      <c r="D5" s="5"/>
      <c r="E5" s="10" t="s">
        <v>9</v>
      </c>
      <c r="F5" s="9">
        <f t="shared" si="1"/>
        <v>45741</v>
      </c>
      <c r="G5" s="9">
        <f t="shared" si="2"/>
        <v>45768</v>
      </c>
    </row>
    <row r="6" spans="1:7" x14ac:dyDescent="0.3">
      <c r="A6" s="10" t="s">
        <v>24</v>
      </c>
      <c r="B6" s="9">
        <f t="shared" si="3"/>
        <v>45685</v>
      </c>
      <c r="C6" s="9">
        <f t="shared" si="0"/>
        <v>45691</v>
      </c>
      <c r="D6" s="5"/>
      <c r="E6" s="10" t="s">
        <v>10</v>
      </c>
      <c r="F6" s="9">
        <f t="shared" si="1"/>
        <v>45769</v>
      </c>
      <c r="G6" s="9">
        <f t="shared" si="2"/>
        <v>45796</v>
      </c>
    </row>
    <row r="7" spans="1:7" x14ac:dyDescent="0.3">
      <c r="A7" s="10" t="s">
        <v>25</v>
      </c>
      <c r="B7" s="9">
        <f t="shared" si="3"/>
        <v>45692</v>
      </c>
      <c r="C7" s="9">
        <f t="shared" si="0"/>
        <v>45698</v>
      </c>
      <c r="D7" s="5"/>
      <c r="E7" s="10" t="s">
        <v>11</v>
      </c>
      <c r="F7" s="9">
        <f t="shared" si="1"/>
        <v>45797</v>
      </c>
      <c r="G7" s="9">
        <f t="shared" si="2"/>
        <v>45824</v>
      </c>
    </row>
    <row r="8" spans="1:7" x14ac:dyDescent="0.3">
      <c r="A8" s="10" t="s">
        <v>26</v>
      </c>
      <c r="B8" s="9">
        <f t="shared" si="3"/>
        <v>45699</v>
      </c>
      <c r="C8" s="9">
        <f t="shared" si="0"/>
        <v>45705</v>
      </c>
      <c r="D8" s="5"/>
      <c r="E8" s="10" t="s">
        <v>12</v>
      </c>
      <c r="F8" s="9">
        <f t="shared" si="1"/>
        <v>45825</v>
      </c>
      <c r="G8" s="9">
        <f t="shared" si="2"/>
        <v>45852</v>
      </c>
    </row>
    <row r="9" spans="1:7" x14ac:dyDescent="0.3">
      <c r="A9" s="10" t="s">
        <v>27</v>
      </c>
      <c r="B9" s="9">
        <f t="shared" si="3"/>
        <v>45706</v>
      </c>
      <c r="C9" s="9">
        <f t="shared" si="0"/>
        <v>45712</v>
      </c>
      <c r="D9" s="5"/>
      <c r="E9" s="10" t="s">
        <v>13</v>
      </c>
      <c r="F9" s="9">
        <f t="shared" si="1"/>
        <v>45853</v>
      </c>
      <c r="G9" s="9">
        <f t="shared" si="2"/>
        <v>45880</v>
      </c>
    </row>
    <row r="10" spans="1:7" x14ac:dyDescent="0.3">
      <c r="A10" s="10" t="s">
        <v>28</v>
      </c>
      <c r="B10" s="9">
        <f t="shared" si="3"/>
        <v>45713</v>
      </c>
      <c r="C10" s="9">
        <f t="shared" si="0"/>
        <v>45719</v>
      </c>
      <c r="D10" s="5"/>
      <c r="E10" s="10" t="s">
        <v>14</v>
      </c>
      <c r="F10" s="9">
        <f t="shared" si="1"/>
        <v>45881</v>
      </c>
      <c r="G10" s="9">
        <f t="shared" si="2"/>
        <v>45908</v>
      </c>
    </row>
    <row r="11" spans="1:7" x14ac:dyDescent="0.3">
      <c r="A11" s="10" t="s">
        <v>29</v>
      </c>
      <c r="B11" s="9">
        <f t="shared" si="3"/>
        <v>45720</v>
      </c>
      <c r="C11" s="9">
        <f t="shared" si="0"/>
        <v>45726</v>
      </c>
      <c r="D11" s="5"/>
      <c r="E11" s="10" t="s">
        <v>15</v>
      </c>
      <c r="F11" s="9">
        <f t="shared" si="1"/>
        <v>45909</v>
      </c>
      <c r="G11" s="9">
        <f t="shared" si="2"/>
        <v>45936</v>
      </c>
    </row>
    <row r="12" spans="1:7" x14ac:dyDescent="0.3">
      <c r="A12" s="10" t="s">
        <v>30</v>
      </c>
      <c r="B12" s="9">
        <f t="shared" si="3"/>
        <v>45727</v>
      </c>
      <c r="C12" s="9">
        <f t="shared" si="0"/>
        <v>45733</v>
      </c>
      <c r="D12" s="5"/>
      <c r="E12" s="10" t="s">
        <v>16</v>
      </c>
      <c r="F12" s="9">
        <f t="shared" si="1"/>
        <v>45937</v>
      </c>
      <c r="G12" s="9">
        <f t="shared" si="2"/>
        <v>45964</v>
      </c>
    </row>
    <row r="13" spans="1:7" x14ac:dyDescent="0.3">
      <c r="A13" s="10" t="s">
        <v>31</v>
      </c>
      <c r="B13" s="9">
        <f t="shared" si="3"/>
        <v>45734</v>
      </c>
      <c r="C13" s="9">
        <f t="shared" si="0"/>
        <v>45740</v>
      </c>
      <c r="D13" s="5"/>
      <c r="E13" s="10" t="s">
        <v>17</v>
      </c>
      <c r="F13" s="9">
        <f t="shared" si="1"/>
        <v>45965</v>
      </c>
      <c r="G13" s="9">
        <f t="shared" si="2"/>
        <v>45992</v>
      </c>
    </row>
    <row r="14" spans="1:7" x14ac:dyDescent="0.3">
      <c r="A14" s="10" t="s">
        <v>32</v>
      </c>
      <c r="B14" s="9">
        <f t="shared" si="3"/>
        <v>45741</v>
      </c>
      <c r="C14" s="9">
        <f t="shared" si="0"/>
        <v>45747</v>
      </c>
      <c r="D14" s="5"/>
      <c r="E14" s="10" t="s">
        <v>18</v>
      </c>
      <c r="F14" s="9">
        <f t="shared" si="1"/>
        <v>45993</v>
      </c>
      <c r="G14" s="9">
        <f t="shared" si="2"/>
        <v>46020</v>
      </c>
    </row>
    <row r="15" spans="1:7" x14ac:dyDescent="0.3">
      <c r="A15" s="10" t="s">
        <v>33</v>
      </c>
      <c r="B15" s="9">
        <f t="shared" si="3"/>
        <v>45748</v>
      </c>
      <c r="C15" s="9">
        <f t="shared" si="0"/>
        <v>45754</v>
      </c>
      <c r="D15" s="5"/>
      <c r="E15" s="10" t="s">
        <v>19</v>
      </c>
      <c r="F15" s="9">
        <f t="shared" si="1"/>
        <v>46021</v>
      </c>
      <c r="G15" s="9">
        <f t="shared" si="2"/>
        <v>46048</v>
      </c>
    </row>
    <row r="16" spans="1:7" x14ac:dyDescent="0.3">
      <c r="A16" s="10" t="s">
        <v>34</v>
      </c>
      <c r="B16" s="9">
        <f t="shared" si="3"/>
        <v>45755</v>
      </c>
      <c r="C16" s="9">
        <f t="shared" si="0"/>
        <v>45761</v>
      </c>
      <c r="D16" s="5"/>
      <c r="F16" s="4"/>
      <c r="G16" s="4"/>
    </row>
    <row r="17" spans="1:7" x14ac:dyDescent="0.3">
      <c r="A17" s="10" t="s">
        <v>35</v>
      </c>
      <c r="B17" s="9">
        <f t="shared" si="3"/>
        <v>45762</v>
      </c>
      <c r="C17" s="9">
        <f t="shared" si="0"/>
        <v>45768</v>
      </c>
      <c r="D17" s="5"/>
      <c r="F17" s="4"/>
      <c r="G17" s="4"/>
    </row>
    <row r="18" spans="1:7" x14ac:dyDescent="0.3">
      <c r="A18" s="10" t="s">
        <v>36</v>
      </c>
      <c r="B18" s="9">
        <f t="shared" si="3"/>
        <v>45769</v>
      </c>
      <c r="C18" s="9">
        <f t="shared" si="0"/>
        <v>45775</v>
      </c>
      <c r="D18" s="5"/>
      <c r="F18" s="4"/>
      <c r="G18" s="4"/>
    </row>
    <row r="19" spans="1:7" x14ac:dyDescent="0.3">
      <c r="A19" s="10" t="s">
        <v>37</v>
      </c>
      <c r="B19" s="9">
        <f t="shared" si="3"/>
        <v>45776</v>
      </c>
      <c r="C19" s="9">
        <f t="shared" si="0"/>
        <v>45782</v>
      </c>
      <c r="D19" s="5"/>
      <c r="F19" s="4"/>
      <c r="G19" s="4"/>
    </row>
    <row r="20" spans="1:7" x14ac:dyDescent="0.3">
      <c r="A20" s="10" t="s">
        <v>38</v>
      </c>
      <c r="B20" s="9">
        <f t="shared" si="3"/>
        <v>45783</v>
      </c>
      <c r="C20" s="9">
        <f t="shared" si="0"/>
        <v>45789</v>
      </c>
      <c r="D20" s="5"/>
      <c r="F20" s="4"/>
      <c r="G20" s="4"/>
    </row>
    <row r="21" spans="1:7" x14ac:dyDescent="0.3">
      <c r="A21" s="10" t="s">
        <v>39</v>
      </c>
      <c r="B21" s="9">
        <f t="shared" si="3"/>
        <v>45790</v>
      </c>
      <c r="C21" s="9">
        <f t="shared" si="0"/>
        <v>45796</v>
      </c>
      <c r="D21" s="5"/>
      <c r="F21" s="4"/>
      <c r="G21" s="4"/>
    </row>
    <row r="22" spans="1:7" x14ac:dyDescent="0.3">
      <c r="A22" s="10" t="s">
        <v>40</v>
      </c>
      <c r="B22" s="9">
        <f t="shared" si="3"/>
        <v>45797</v>
      </c>
      <c r="C22" s="9">
        <f t="shared" si="0"/>
        <v>45803</v>
      </c>
      <c r="D22" s="5"/>
      <c r="F22" s="4"/>
      <c r="G22" s="4"/>
    </row>
    <row r="23" spans="1:7" x14ac:dyDescent="0.3">
      <c r="A23" s="10" t="s">
        <v>41</v>
      </c>
      <c r="B23" s="9">
        <f t="shared" si="3"/>
        <v>45804</v>
      </c>
      <c r="C23" s="9">
        <f t="shared" si="0"/>
        <v>45810</v>
      </c>
      <c r="D23" s="5"/>
      <c r="F23" s="4"/>
      <c r="G23" s="4"/>
    </row>
    <row r="24" spans="1:7" x14ac:dyDescent="0.3">
      <c r="A24" s="10" t="s">
        <v>42</v>
      </c>
      <c r="B24" s="9">
        <f t="shared" si="3"/>
        <v>45811</v>
      </c>
      <c r="C24" s="9">
        <f t="shared" si="0"/>
        <v>45817</v>
      </c>
      <c r="D24" s="5"/>
      <c r="F24" s="4"/>
      <c r="G24" s="4"/>
    </row>
    <row r="25" spans="1:7" x14ac:dyDescent="0.3">
      <c r="A25" s="10" t="s">
        <v>43</v>
      </c>
      <c r="B25" s="9">
        <f t="shared" si="3"/>
        <v>45818</v>
      </c>
      <c r="C25" s="9">
        <f t="shared" si="0"/>
        <v>45824</v>
      </c>
      <c r="D25" s="5"/>
      <c r="F25" s="4"/>
      <c r="G25" s="4"/>
    </row>
    <row r="26" spans="1:7" x14ac:dyDescent="0.3">
      <c r="A26" s="10" t="s">
        <v>44</v>
      </c>
      <c r="B26" s="9">
        <f t="shared" si="3"/>
        <v>45825</v>
      </c>
      <c r="C26" s="9">
        <f t="shared" si="0"/>
        <v>45831</v>
      </c>
      <c r="D26" s="5"/>
      <c r="F26" s="4"/>
      <c r="G26" s="4"/>
    </row>
    <row r="27" spans="1:7" x14ac:dyDescent="0.3">
      <c r="A27" s="10" t="s">
        <v>45</v>
      </c>
      <c r="B27" s="9">
        <f t="shared" si="3"/>
        <v>45832</v>
      </c>
      <c r="C27" s="9">
        <f t="shared" si="0"/>
        <v>45838</v>
      </c>
      <c r="D27" s="5"/>
      <c r="F27" s="4"/>
      <c r="G27" s="4"/>
    </row>
    <row r="28" spans="1:7" x14ac:dyDescent="0.3">
      <c r="A28" s="10" t="s">
        <v>46</v>
      </c>
      <c r="B28" s="9">
        <f t="shared" si="3"/>
        <v>45839</v>
      </c>
      <c r="C28" s="9">
        <f t="shared" si="0"/>
        <v>45845</v>
      </c>
      <c r="D28" s="5"/>
      <c r="F28" s="4"/>
      <c r="G28" s="4"/>
    </row>
    <row r="29" spans="1:7" x14ac:dyDescent="0.3">
      <c r="A29" s="10" t="s">
        <v>47</v>
      </c>
      <c r="B29" s="9">
        <f t="shared" si="3"/>
        <v>45846</v>
      </c>
      <c r="C29" s="9">
        <f t="shared" si="0"/>
        <v>45852</v>
      </c>
      <c r="D29" s="5"/>
      <c r="F29" s="4"/>
      <c r="G29" s="4"/>
    </row>
    <row r="30" spans="1:7" x14ac:dyDescent="0.3">
      <c r="A30" s="10" t="s">
        <v>48</v>
      </c>
      <c r="B30" s="9">
        <f t="shared" si="3"/>
        <v>45853</v>
      </c>
      <c r="C30" s="9">
        <f t="shared" si="0"/>
        <v>45859</v>
      </c>
      <c r="D30" s="5"/>
      <c r="F30" s="4"/>
      <c r="G30" s="4"/>
    </row>
    <row r="31" spans="1:7" x14ac:dyDescent="0.3">
      <c r="A31" s="10" t="s">
        <v>49</v>
      </c>
      <c r="B31" s="9">
        <f t="shared" si="3"/>
        <v>45860</v>
      </c>
      <c r="C31" s="9">
        <f t="shared" si="0"/>
        <v>45866</v>
      </c>
      <c r="D31" s="5"/>
      <c r="F31" s="4"/>
      <c r="G31" s="4"/>
    </row>
    <row r="32" spans="1:7" x14ac:dyDescent="0.3">
      <c r="A32" s="10" t="s">
        <v>50</v>
      </c>
      <c r="B32" s="9">
        <f t="shared" si="3"/>
        <v>45867</v>
      </c>
      <c r="C32" s="9">
        <f t="shared" si="0"/>
        <v>45873</v>
      </c>
      <c r="D32" s="5"/>
      <c r="F32" s="4"/>
      <c r="G32" s="4"/>
    </row>
    <row r="33" spans="1:7" x14ac:dyDescent="0.3">
      <c r="A33" s="10" t="s">
        <v>51</v>
      </c>
      <c r="B33" s="9">
        <f t="shared" si="3"/>
        <v>45874</v>
      </c>
      <c r="C33" s="9">
        <f t="shared" si="0"/>
        <v>45880</v>
      </c>
      <c r="D33" s="5"/>
      <c r="F33" s="4"/>
      <c r="G33" s="4"/>
    </row>
    <row r="34" spans="1:7" x14ac:dyDescent="0.3">
      <c r="A34" s="10" t="s">
        <v>52</v>
      </c>
      <c r="B34" s="9">
        <f t="shared" si="3"/>
        <v>45881</v>
      </c>
      <c r="C34" s="9">
        <f t="shared" si="0"/>
        <v>45887</v>
      </c>
      <c r="D34" s="5"/>
      <c r="F34" s="4"/>
      <c r="G34" s="4"/>
    </row>
    <row r="35" spans="1:7" x14ac:dyDescent="0.3">
      <c r="A35" s="10" t="s">
        <v>53</v>
      </c>
      <c r="B35" s="9">
        <f t="shared" si="3"/>
        <v>45888</v>
      </c>
      <c r="C35" s="9">
        <f t="shared" si="0"/>
        <v>45894</v>
      </c>
      <c r="D35" s="5"/>
      <c r="F35" s="4"/>
      <c r="G35" s="4"/>
    </row>
    <row r="36" spans="1:7" x14ac:dyDescent="0.3">
      <c r="A36" s="10" t="s">
        <v>54</v>
      </c>
      <c r="B36" s="9">
        <f t="shared" si="3"/>
        <v>45895</v>
      </c>
      <c r="C36" s="9">
        <f t="shared" si="0"/>
        <v>45901</v>
      </c>
      <c r="D36" s="5"/>
      <c r="F36" s="4"/>
      <c r="G36" s="4"/>
    </row>
    <row r="37" spans="1:7" x14ac:dyDescent="0.3">
      <c r="A37" s="10" t="s">
        <v>55</v>
      </c>
      <c r="B37" s="9">
        <f t="shared" si="3"/>
        <v>45902</v>
      </c>
      <c r="C37" s="9">
        <f t="shared" si="0"/>
        <v>45908</v>
      </c>
      <c r="D37" s="5"/>
      <c r="F37" s="4"/>
      <c r="G37" s="4"/>
    </row>
    <row r="38" spans="1:7" x14ac:dyDescent="0.3">
      <c r="A38" s="10" t="s">
        <v>56</v>
      </c>
      <c r="B38" s="9">
        <f t="shared" si="3"/>
        <v>45909</v>
      </c>
      <c r="C38" s="9">
        <f t="shared" si="0"/>
        <v>45915</v>
      </c>
      <c r="D38" s="5"/>
      <c r="F38" s="4"/>
      <c r="G38" s="4"/>
    </row>
    <row r="39" spans="1:7" x14ac:dyDescent="0.3">
      <c r="A39" s="10" t="s">
        <v>57</v>
      </c>
      <c r="B39" s="9">
        <f t="shared" si="3"/>
        <v>45916</v>
      </c>
      <c r="C39" s="9">
        <f t="shared" si="0"/>
        <v>45922</v>
      </c>
      <c r="D39" s="5"/>
      <c r="F39" s="4"/>
      <c r="G39" s="4"/>
    </row>
    <row r="40" spans="1:7" x14ac:dyDescent="0.3">
      <c r="A40" s="10" t="s">
        <v>58</v>
      </c>
      <c r="B40" s="9">
        <f t="shared" si="3"/>
        <v>45923</v>
      </c>
      <c r="C40" s="9">
        <f t="shared" si="0"/>
        <v>45929</v>
      </c>
      <c r="D40" s="5"/>
      <c r="F40" s="4"/>
      <c r="G40" s="4"/>
    </row>
    <row r="41" spans="1:7" x14ac:dyDescent="0.3">
      <c r="A41" s="10" t="s">
        <v>59</v>
      </c>
      <c r="B41" s="9">
        <f t="shared" si="3"/>
        <v>45930</v>
      </c>
      <c r="C41" s="9">
        <f t="shared" si="0"/>
        <v>45936</v>
      </c>
      <c r="D41" s="5"/>
      <c r="F41" s="4"/>
      <c r="G41" s="4"/>
    </row>
    <row r="42" spans="1:7" x14ac:dyDescent="0.3">
      <c r="A42" s="10" t="s">
        <v>60</v>
      </c>
      <c r="B42" s="9">
        <f t="shared" si="3"/>
        <v>45937</v>
      </c>
      <c r="C42" s="9">
        <f t="shared" si="0"/>
        <v>45943</v>
      </c>
      <c r="D42" s="5"/>
      <c r="F42" s="4"/>
      <c r="G42" s="4"/>
    </row>
    <row r="43" spans="1:7" x14ac:dyDescent="0.3">
      <c r="A43" s="10" t="s">
        <v>61</v>
      </c>
      <c r="B43" s="9">
        <f t="shared" si="3"/>
        <v>45944</v>
      </c>
      <c r="C43" s="9">
        <f t="shared" si="0"/>
        <v>45950</v>
      </c>
      <c r="D43" s="5"/>
      <c r="F43" s="4"/>
      <c r="G43" s="4"/>
    </row>
    <row r="44" spans="1:7" x14ac:dyDescent="0.3">
      <c r="A44" s="10" t="s">
        <v>62</v>
      </c>
      <c r="B44" s="9">
        <f t="shared" si="3"/>
        <v>45951</v>
      </c>
      <c r="C44" s="9">
        <f t="shared" si="0"/>
        <v>45957</v>
      </c>
      <c r="D44" s="5"/>
      <c r="F44" s="4"/>
      <c r="G44" s="4"/>
    </row>
    <row r="45" spans="1:7" x14ac:dyDescent="0.3">
      <c r="A45" s="10" t="s">
        <v>63</v>
      </c>
      <c r="B45" s="9">
        <f t="shared" si="3"/>
        <v>45958</v>
      </c>
      <c r="C45" s="9">
        <f t="shared" si="0"/>
        <v>45964</v>
      </c>
      <c r="D45" s="5"/>
      <c r="F45" s="4"/>
      <c r="G45" s="4"/>
    </row>
    <row r="46" spans="1:7" x14ac:dyDescent="0.3">
      <c r="A46" s="10" t="s">
        <v>64</v>
      </c>
      <c r="B46" s="9">
        <f t="shared" si="3"/>
        <v>45965</v>
      </c>
      <c r="C46" s="9">
        <f t="shared" si="0"/>
        <v>45971</v>
      </c>
      <c r="D46" s="5"/>
      <c r="F46" s="4"/>
      <c r="G46" s="4"/>
    </row>
    <row r="47" spans="1:7" x14ac:dyDescent="0.3">
      <c r="A47" s="10" t="s">
        <v>65</v>
      </c>
      <c r="B47" s="9">
        <f t="shared" si="3"/>
        <v>45972</v>
      </c>
      <c r="C47" s="9">
        <f t="shared" si="0"/>
        <v>45978</v>
      </c>
      <c r="D47" s="5"/>
      <c r="F47" s="4"/>
      <c r="G47" s="4"/>
    </row>
    <row r="48" spans="1:7" x14ac:dyDescent="0.3">
      <c r="A48" s="10" t="s">
        <v>66</v>
      </c>
      <c r="B48" s="9">
        <f t="shared" si="3"/>
        <v>45979</v>
      </c>
      <c r="C48" s="9">
        <f t="shared" si="0"/>
        <v>45985</v>
      </c>
      <c r="D48" s="5"/>
      <c r="F48" s="4"/>
      <c r="G48" s="4"/>
    </row>
    <row r="49" spans="1:7" x14ac:dyDescent="0.3">
      <c r="A49" s="10" t="s">
        <v>67</v>
      </c>
      <c r="B49" s="9">
        <f t="shared" si="3"/>
        <v>45986</v>
      </c>
      <c r="C49" s="9">
        <f t="shared" si="0"/>
        <v>45992</v>
      </c>
      <c r="D49" s="5"/>
      <c r="F49" s="4"/>
      <c r="G49" s="4"/>
    </row>
    <row r="50" spans="1:7" x14ac:dyDescent="0.3">
      <c r="A50" s="10" t="s">
        <v>68</v>
      </c>
      <c r="B50" s="9">
        <f t="shared" si="3"/>
        <v>45993</v>
      </c>
      <c r="C50" s="9">
        <f t="shared" si="0"/>
        <v>45999</v>
      </c>
      <c r="D50" s="5"/>
      <c r="F50" s="4"/>
      <c r="G50" s="4"/>
    </row>
    <row r="51" spans="1:7" x14ac:dyDescent="0.3">
      <c r="A51" s="10" t="s">
        <v>69</v>
      </c>
      <c r="B51" s="9">
        <f t="shared" si="3"/>
        <v>46000</v>
      </c>
      <c r="C51" s="9">
        <f t="shared" si="0"/>
        <v>46006</v>
      </c>
      <c r="D51" s="5"/>
      <c r="F51" s="4"/>
      <c r="G51" s="4"/>
    </row>
    <row r="52" spans="1:7" x14ac:dyDescent="0.3">
      <c r="A52" s="10" t="s">
        <v>70</v>
      </c>
      <c r="B52" s="9">
        <f t="shared" si="3"/>
        <v>46007</v>
      </c>
      <c r="C52" s="9">
        <f t="shared" si="0"/>
        <v>46013</v>
      </c>
      <c r="D52" s="5"/>
      <c r="F52" s="4"/>
      <c r="G52" s="4"/>
    </row>
    <row r="53" spans="1:7" x14ac:dyDescent="0.3">
      <c r="A53" s="10" t="s">
        <v>71</v>
      </c>
      <c r="B53" s="9">
        <f t="shared" si="3"/>
        <v>46014</v>
      </c>
      <c r="C53" s="9">
        <f t="shared" si="0"/>
        <v>46020</v>
      </c>
      <c r="D53" s="5"/>
      <c r="F53" s="4"/>
      <c r="G53" s="4"/>
    </row>
    <row r="54" spans="1:7" x14ac:dyDescent="0.3">
      <c r="A54" s="10" t="s">
        <v>72</v>
      </c>
      <c r="B54" s="9">
        <f t="shared" si="3"/>
        <v>46021</v>
      </c>
      <c r="C54" s="9">
        <f t="shared" si="0"/>
        <v>46027</v>
      </c>
      <c r="D54" s="5"/>
      <c r="F54" s="4"/>
      <c r="G54" s="4"/>
    </row>
    <row r="55" spans="1:7" x14ac:dyDescent="0.3">
      <c r="A55" s="10" t="s">
        <v>73</v>
      </c>
      <c r="B55" s="9">
        <f t="shared" si="3"/>
        <v>46028</v>
      </c>
      <c r="C55" s="9">
        <f t="shared" si="0"/>
        <v>46034</v>
      </c>
      <c r="D55" s="5"/>
      <c r="F55" s="4"/>
      <c r="G55" s="4"/>
    </row>
  </sheetData>
  <phoneticPr fontId="20" alignment="center"/>
  <pageMargins left="0.7" right="0.7" top="0.75" bottom="0.75" header="0.3" footer="0.3"/>
  <pageSetup orientation="portrait" r:id="rId1"/>
  <ignoredErrors>
    <ignoredError sqref="F2:G2" calculatedColumn="1"/>
  </ignoredErrors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Custom_CompStat_Week_and_28-Day</vt:lpstr>
      <vt:lpstr>Custom_CompStat_Week_and_28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2025-01-31T19:39:36Z</dcterms:created>
  <dcterms:modified xsi:type="dcterms:W3CDTF">2025-01-31T20:50:23Z</dcterms:modified>
</cp:coreProperties>
</file>