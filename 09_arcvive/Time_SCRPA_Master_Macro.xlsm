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0.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19" codeName="{DD97A8EA-9A9A-E61F-A557-7D5A7D7259CE}"/>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01_DataSources/SCRPA_Time/"/>
    </mc:Choice>
  </mc:AlternateContent>
  <xr:revisionPtr revIDLastSave="403" documentId="8_{A9691D8B-719B-45EE-BDC4-A4230E23A4D8}" xr6:coauthVersionLast="47" xr6:coauthVersionMax="47" xr10:uidLastSave="{7C730638-DBF1-4AFA-9BA8-7D73EC0BA912}"/>
  <bookViews>
    <workbookView xWindow="14880" yWindow="-21255" windowWidth="47355" windowHeight="18660" tabRatio="746" firstSheet="3" activeTab="3" xr2:uid="{00000000-000D-0000-FFFF-FFFF00000000}"/>
  </bookViews>
  <sheets>
    <sheet name="Bur_C_R_28D (2)" sheetId="34" state="hidden" r:id="rId1"/>
    <sheet name="_7Day_28Day_250414_" sheetId="61" r:id="rId2"/>
    <sheet name="All_Crimes" sheetId="54" state="hidden" r:id="rId3"/>
    <sheet name="EXPORT_RMS" sheetId="60" r:id="rId4"/>
    <sheet name="Sexual_Offenses" sheetId="53" r:id="rId5"/>
    <sheet name="Robbery" sheetId="52" r:id="rId6"/>
    <sheet name="Motor_Vehicle_Theft" sheetId="51" r:id="rId7"/>
    <sheet name="Auto_Burglary" sheetId="50" r:id="rId8"/>
    <sheet name="Burglary_Commercial_Residential" sheetId="49" r:id="rId9"/>
    <sheet name="BUR_C_R_PT" sheetId="11" r:id="rId10"/>
    <sheet name="BUR_AUTO_PT" sheetId="12" r:id="rId11"/>
    <sheet name="_7Day_28Day_250414_ (2)" sheetId="31" state="hidden" r:id="rId12"/>
  </sheets>
  <definedNames>
    <definedName name="_xlcn.WorksheetConnection_Time_SCRPA_Master_2.0.xlsmAll_Crimes1" hidden="1">All_Crimes[]</definedName>
    <definedName name="ExternalData_1" localSheetId="1" hidden="1">'_7Day_28Day_250414_'!$A$1:$G$53</definedName>
    <definedName name="ExternalData_1" localSheetId="11" hidden="1">'_7Day_28Day_250414_ (2)'!$A$1:$G$53</definedName>
    <definedName name="ExternalData_10" localSheetId="2" hidden="1">All_Crimes!$A$1:$AP$131</definedName>
    <definedName name="ExternalData_2" localSheetId="10" hidden="1">BUR_AUTO_PT!#REF!</definedName>
    <definedName name="ExternalData_3" localSheetId="9" hidden="1">BUR_C_R_PT!$M$1:$BN$11</definedName>
    <definedName name="ExternalData_5" localSheetId="8" hidden="1">Burglary_Commercial_Residential!$A$1:$BI$36</definedName>
    <definedName name="ExternalData_6" localSheetId="7" hidden="1">Auto_Burglary!$A$1:$BI$60</definedName>
    <definedName name="ExternalData_6" localSheetId="0" hidden="1">'Bur_C_R_28D (2)'!$A$1:$H$7</definedName>
    <definedName name="ExternalData_7" localSheetId="6" hidden="1">Motor_Vehicle_Theft!$A$1:$AM$30</definedName>
    <definedName name="ExternalData_8" localSheetId="3" hidden="1">EXPORT_RMS!$A$1:$AZ$130</definedName>
    <definedName name="ExternalData_8" localSheetId="5" hidden="1">'Robbery'!$A$1:$BJ$23</definedName>
    <definedName name="ExternalData_9" localSheetId="4" hidden="1">Sexual_Offenses!$A$1:$BJ$13</definedName>
  </definedNames>
  <calcPr calcId="191028"/>
  <pivotCaches>
    <pivotCache cacheId="0" r:id="rId13"/>
    <pivotCache cacheId="1" r:id="rId14"/>
    <pivotCache cacheId="10"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_Crimes" name="All_Crimes" connection="WorksheetConnection_Time_SCRPA_Master_2.0.xlsm!All_Crim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3" i="11" l="1" a="1"/>
  <c r="A33" i="11" s="1"/>
  <c r="A15" i="11" a="1"/>
  <c r="A15" i="11" s="1"/>
  <c r="A35" i="12" a="1"/>
  <c r="A35" i="12" s="1"/>
  <c r="A17" i="12" a="1"/>
  <c r="A17"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_7Day_28Day_250414_" description="Connection to the '_7Day_28Day_250414_' query in the workbook." type="5" refreshedVersion="8" background="1" saveData="1">
    <dbPr connection="Provider=Microsoft.Mashup.OleDb.1;Data Source=$Workbook$;Location=_7Day_28Day_250414_;Extended Properties=&quot;&quot;" command="SELECT * FROM [_7Day_28Day_250414_]"/>
  </connection>
  <connection id="2" xr16:uid="{00000000-0015-0000-FFFF-FFFF01000000}" keepAlive="1" name="Query - All_Crimes" description="Connection to the 'All_Crimes' query in the workbook." type="5" refreshedVersion="8" background="1" saveData="1">
    <dbPr connection="Provider=Microsoft.Mashup.OleDb.1;Data Source=$Workbook$;Location=All_Crimes;Extended Properties=&quot;&quot;" command="SELECT * FROM [All_Crimes]"/>
  </connection>
  <connection id="3" xr16:uid="{00000000-0015-0000-FFFF-FFFF02000000}" keepAlive="1" name="Query - Auto_Burglary" description="Connection to the 'Auto_Burglary' query in the workbook." type="5" refreshedVersion="8" background="1" saveData="1">
    <dbPr connection="Provider=Microsoft.Mashup.OleDb.1;Data Source=$Workbook$;Location=Auto_Burglary;Extended Properties=&quot;&quot;" command="SELECT * FROM [Auto_Burglary]"/>
  </connection>
  <connection id="4" xr16:uid="{00000000-0015-0000-FFFF-FFFF03000000}" keepAlive="1" name="Query - Burglary_Commercial_Residential" description="Connection to the 'Burglary_Commercial_Residential' query in the workbook." type="5" refreshedVersion="8" background="1" saveData="1">
    <dbPr connection="Provider=Microsoft.Mashup.OleDb.1;Data Source=$Workbook$;Location=Burglary_Commercial_Residential;Extended Properties=&quot;&quot;" command="SELECT * FROM [Burglary_Commercial_Residential]"/>
  </connection>
  <connection id="5" xr16:uid="{00000000-0015-0000-FFFF-FFFF04000000}"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6" xr16:uid="{00000000-0015-0000-FFFF-FFFF05000000}" keepAlive="1" name="Query - fnExtractAfterKeyword" description="Connection to the 'fnExtractAfterKeyword' query in the workbook." type="5" refreshedVersion="0" background="1">
    <dbPr connection="Provider=Microsoft.Mashup.OleDb.1;Data Source=$Workbook$;Location=fnExtractAfterKeyword;Extended Properties=&quot;&quot;" command="SELECT * FROM [fnExtractAfterKeyword]"/>
  </connection>
  <connection id="7" xr16:uid="{00000000-0015-0000-FFFF-FFFF06000000}" keepAlive="1" name="Query - Motor_Vehicle_Theft" description="Connection to the 'Motor_Vehicle_Theft' query in the workbook." type="5" refreshedVersion="8" background="1" saveData="1">
    <dbPr connection="Provider=Microsoft.Mashup.OleDb.1;Data Source=$Workbook$;Location=Motor_Vehicle_Theft;Extended Properties=&quot;&quot;" command="SELECT * FROM [Motor_Vehicle_Theft]"/>
  </connection>
  <connection id="8" xr16:uid="{00000000-0015-0000-FFFF-FFFF0700000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0000000-0015-0000-FFFF-FFFF0800000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00000000-0015-0000-FFFF-FFFF09000000}" keepAlive="1" name="Query - Robbery(1)" description="Connection to the 'Robbery' query in the workbook." type="5" refreshedVersion="8" background="1" saveData="1">
    <dbPr connection="Provider=Microsoft.Mashup.OleDb.1;Data Source=$Workbook$;Location=Robbery;Extended Properties=&quot;&quot;" command="SELECT * FROM [Robbery]"/>
  </connection>
  <connection id="11" xr16:uid="{00000000-0015-0000-FFFF-FFFF0A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00000000-0015-0000-FFFF-FFFF0B00000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00000000-0015-0000-FFFF-FFFF0C000000}" keepAlive="1" name="Query - Sexual_Offenses(1)"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4" xr16:uid="{00000000-0015-0000-FFFF-FFFF0D000000}" keepAlive="1" name="Query - Transform FileB1" description="Connection to the 'Transform FileB1' query in the workbook." type="5" refreshedVersion="0" background="1">
    <dbPr connection="Provider=Microsoft.Mashup.OleDb.1;Data Source=$Workbook$;Location=&quot;Transform FileB1&quot;;Extended Properties=&quot;&quot;" command="SELECT * FROM [Transform FileB1]"/>
  </connection>
  <connection id="15" xr16:uid="{00000000-0015-0000-FFFF-FFFF0E00000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6" xr16:uid="{00000000-0015-0000-FFFF-FFFF0F000000}" keepAlive="1" name="Query - Transform_FileA1" description="Connection to the 'Transform_FileA1' query in the workbook." type="5" refreshedVersion="0" background="1">
    <dbPr connection="Provider=Microsoft.Mashup.OleDb.1;Data Source=$Workbook$;Location=Transform_FileA1;Extended Properties=&quot;&quot;" command="SELECT * FROM [Transform_FileA1]"/>
  </connection>
  <connection id="17" xr16:uid="{00000000-0015-0000-FFFF-FFFF10000000}" keepAlive="1" name="Query - Transform_FileA2" description="Connection to the 'Transform_FileA2' query in the workbook." type="5" refreshedVersion="0" background="1">
    <dbPr connection="Provider=Microsoft.Mashup.OleDb.1;Data Source=$Workbook$;Location=Transform_FileA2;Extended Properties=&quot;&quot;" command="SELECT * FROM [Transform_FileA2]"/>
  </connection>
  <connection id="18" xr16:uid="{00000000-0015-0000-FFFF-FFFF1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00000000-0015-0000-FFFF-FFFF12000000}" name="WorksheetConnection_Time_SCRPA_Master_2.0.xlsm!All_Crimes" type="102" refreshedVersion="8" minRefreshableVersion="5">
    <extLst>
      <ext xmlns:x15="http://schemas.microsoft.com/office/spreadsheetml/2010/11/main" uri="{DE250136-89BD-433C-8126-D09CA5730AF9}">
        <x15:connection id="All_Crimes" autoDelete="1">
          <x15:rangePr sourceName="_xlcn.WorksheetConnection_Time_SCRPA_Master_2.0.xlsmAll_Crimes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All_Crimes].[ALL_INCIDENTS].&amp;[Sexual Assault - 2C:14-2b],[All_Crimes].[ALL_INCIDENTS].&amp;[Criminal Sexual Contact - 2C:14-3a],[All_Crimes].[ALL_INCIDENTS].&amp;[Sexual Assault - 2C:14-2b - Juvenile Investigation],[All_Crimes].[ALL_INCIDENTS].&amp;[Exceptionally Cleared/Closed - Sexual Assault - 2C:14-2b],[All_Crimes].[ALL_INCIDENTS].&amp;[Criminal Sexual Contact - 2C:14-3a - Juvenile Investigation],[All_Crimes].[ALL_INCIDENTS].&amp;[Mental Health Incident - Sexual Assault - 2C:14-2b - Juvenile Investigation]}"/>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<sst xmlns="http://schemas.openxmlformats.org/spreadsheetml/2006/main" count="11047" uniqueCount="1245">
  <si>
    <t>CaseID</t>
  </si>
  <si>
    <t>Block</t>
  </si>
  <si>
    <t>Incident Date</t>
  </si>
  <si>
    <t>Day of Week</t>
  </si>
  <si>
    <t>Time of Day</t>
  </si>
  <si>
    <t>Suspect</t>
  </si>
  <si>
    <t>Property Stolen</t>
  </si>
  <si>
    <t>Notes</t>
  </si>
  <si>
    <t>Essex St, 200 Block</t>
  </si>
  <si>
    <t>Thur</t>
  </si>
  <si>
    <t>Night (20:00-23:59)</t>
  </si>
  <si>
    <t/>
  </si>
  <si>
    <t>$26.99. Melanie Esquiveo then responded to police headquarters to provide a statement to detectives</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</si>
  <si>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</si>
  <si>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Park Ave, 0 Block</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</si>
  <si>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</si>
  <si>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</si>
  <si>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</si>
  <si>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Essex St, 100 Block</t>
  </si>
  <si>
    <t>Mon</t>
  </si>
  <si>
    <t>Afternoon (12:00-15:59)</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</si>
  <si>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</si>
  <si>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</si>
  <si>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</si>
  <si>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Fair St, 0 Block</t>
  </si>
  <si>
    <t>Tue</t>
  </si>
  <si>
    <t>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t>
  </si>
  <si>
    <t>Hudson St, 100 Block</t>
  </si>
  <si>
    <t>$26.00 Manuel stated he believes the total loss is  $400.00.    Tomas Lopez stated he was missing:          3 Dewalt drill sets          A necklace          A watch           2 Samsung Tablets           $50.00.Tomas stated he believes the total loss is  $700.00.     There was also no sign of forced entry</t>
  </si>
  <si>
    <t>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t>
  </si>
  <si>
    <t>Prospect Ave, 0 Block</t>
  </si>
  <si>
    <t>Sun</t>
  </si>
  <si>
    <t>Evening Peak (16:00-19:59)</t>
  </si>
  <si>
    <t>$50.00 to repair. The victim also reported a broken mirror which cost him approximately  $150.00.     The victim reported he has never had issues with the arrestee until the divorce proceeding with his daughter was initiated</t>
  </si>
  <si>
    <t>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 I am going to kill you ".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t>
  </si>
  <si>
    <t>Report_Due_Date</t>
  </si>
  <si>
    <t>7_Day_Start</t>
  </si>
  <si>
    <t>7_Day_End</t>
  </si>
  <si>
    <t>28_Day_Start</t>
  </si>
  <si>
    <t>28_Day_End</t>
  </si>
  <si>
    <t>Report_Name</t>
  </si>
  <si>
    <t>Is_Due</t>
  </si>
  <si>
    <t>C01W01</t>
  </si>
  <si>
    <t>C01W02</t>
  </si>
  <si>
    <t>C01W03</t>
  </si>
  <si>
    <t>C01W04</t>
  </si>
  <si>
    <t>C02W05</t>
  </si>
  <si>
    <t>C02W06</t>
  </si>
  <si>
    <t>C02W07</t>
  </si>
  <si>
    <t>C02W08</t>
  </si>
  <si>
    <t>C03W09</t>
  </si>
  <si>
    <t>C03W10</t>
  </si>
  <si>
    <t>C03W11</t>
  </si>
  <si>
    <t>C03W12</t>
  </si>
  <si>
    <t>C04W13</t>
  </si>
  <si>
    <t>C04W14</t>
  </si>
  <si>
    <t>C04W15</t>
  </si>
  <si>
    <t>C04W16</t>
  </si>
  <si>
    <t>C05W17</t>
  </si>
  <si>
    <t>C05W18</t>
  </si>
  <si>
    <t>C05W19</t>
  </si>
  <si>
    <t>C05W20</t>
  </si>
  <si>
    <t>C06W21</t>
  </si>
  <si>
    <t>C06W23</t>
  </si>
  <si>
    <t>C06W24</t>
  </si>
  <si>
    <t>C07W25</t>
  </si>
  <si>
    <t>C07W26</t>
  </si>
  <si>
    <t>C07W27</t>
  </si>
  <si>
    <t>C07W28</t>
  </si>
  <si>
    <t>C08W29</t>
  </si>
  <si>
    <t>C08W30</t>
  </si>
  <si>
    <t>C08W31</t>
  </si>
  <si>
    <t>C08W32</t>
  </si>
  <si>
    <t>C09W33</t>
  </si>
  <si>
    <t>C09W34</t>
  </si>
  <si>
    <t>C09W35</t>
  </si>
  <si>
    <t>C09W36</t>
  </si>
  <si>
    <t>C10W37</t>
  </si>
  <si>
    <t>C10W38</t>
  </si>
  <si>
    <t>C10W39</t>
  </si>
  <si>
    <t>C10W40</t>
  </si>
  <si>
    <t>C11W41</t>
  </si>
  <si>
    <t>C11W42</t>
  </si>
  <si>
    <t>C11W43</t>
  </si>
  <si>
    <t>C11W44</t>
  </si>
  <si>
    <t>C12W45</t>
  </si>
  <si>
    <t>C12W46</t>
  </si>
  <si>
    <t>C12W47</t>
  </si>
  <si>
    <t>C12W48</t>
  </si>
  <si>
    <t>C13W49</t>
  </si>
  <si>
    <t>C13W50</t>
  </si>
  <si>
    <t>C13W51</t>
  </si>
  <si>
    <t>C13W52</t>
  </si>
  <si>
    <t>Case Number</t>
  </si>
  <si>
    <t>IncidentDate</t>
  </si>
  <si>
    <t>Incident Time</t>
  </si>
  <si>
    <t>Incident Type_1</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</si>
  <si>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</si>
  <si>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</si>
  <si>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</si>
  <si>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</si>
  <si>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</si>
  <si>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</si>
  <si>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</si>
  <si>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</si>
  <si>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</si>
  <si>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</si>
  <si>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</si>
  <si>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</si>
  <si>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</si>
  <si>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</si>
  <si>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</si>
  <si>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</si>
  <si>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</si>
  <si>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Officer of Record</t>
  </si>
  <si>
    <t>Squad</t>
  </si>
  <si>
    <t>Det_Assigned</t>
  </si>
  <si>
    <t>Case_Status</t>
  </si>
  <si>
    <t>NibrsClassification</t>
  </si>
  <si>
    <t>IncDate</t>
  </si>
  <si>
    <t>IncTime</t>
  </si>
  <si>
    <t>StartOfHour</t>
  </si>
  <si>
    <t>TimeOfDay</t>
  </si>
  <si>
    <t>ALL_INCIDENTS</t>
  </si>
  <si>
    <t>Period</t>
  </si>
  <si>
    <t>INC_TIME</t>
  </si>
  <si>
    <t>INC_DATE</t>
  </si>
  <si>
    <t>Enhanced_TimeOfDay</t>
  </si>
  <si>
    <t>Day Name</t>
  </si>
  <si>
    <t>Month Name</t>
  </si>
  <si>
    <t>Year</t>
  </si>
  <si>
    <t>Week of Year</t>
  </si>
  <si>
    <t>Day</t>
  </si>
  <si>
    <t>BLOCK_Enhanced</t>
  </si>
  <si>
    <t>Crime_Category</t>
  </si>
  <si>
    <t>25-014007</t>
  </si>
  <si>
    <t>Sexual Assault - 2C:14-2b</t>
  </si>
  <si>
    <t>360 Union Street, Hackensack, NJ, 07601</t>
  </si>
  <si>
    <t>H2</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</si>
  <si>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Detectives.</t>
  </si>
  <si>
    <t>Deleon_A</t>
  </si>
  <si>
    <t>P.O. Angie Tabares 363</t>
  </si>
  <si>
    <t>A3</t>
  </si>
  <si>
    <t>Det. Frankie Garrett 323</t>
  </si>
  <si>
    <t>Cleared - Arrest</t>
  </si>
  <si>
    <t>36A = Incest</t>
  </si>
  <si>
    <t>Afternoon (12:00–15:59)</t>
  </si>
  <si>
    <t>Historical</t>
  </si>
  <si>
    <t>Tuesday</t>
  </si>
  <si>
    <t>June</t>
  </si>
  <si>
    <t>Union Street, 300 Block</t>
  </si>
  <si>
    <t>Criminal Incidents</t>
  </si>
  <si>
    <t>(Multiple Items)</t>
  </si>
  <si>
    <t>25-000813</t>
  </si>
  <si>
    <t>Motor Vehicle Theft - 2C:20-3</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</si>
  <si>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</si>
  <si>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</si>
  <si>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</si>
  <si>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</si>
  <si>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HONDA</t>
  </si>
  <si>
    <t>ACC</t>
  </si>
  <si>
    <t>NJ</t>
  </si>
  <si>
    <t>Klosk_J</t>
  </si>
  <si>
    <t>P.O. Nicholas Mazzaccaro 377</t>
  </si>
  <si>
    <t>B4</t>
  </si>
  <si>
    <t>Det. Robert Ghirardi 150</t>
  </si>
  <si>
    <t>Active/Administratively Closed</t>
  </si>
  <si>
    <t>240 = Theft of Motor Vehicle</t>
  </si>
  <si>
    <t>Night (20:00–23:59)</t>
  </si>
  <si>
    <t>YTD</t>
  </si>
  <si>
    <t>Friday</t>
  </si>
  <si>
    <t>January</t>
  </si>
  <si>
    <t>Lookout Avenue, 300 Block</t>
  </si>
  <si>
    <t>25-002635</t>
  </si>
  <si>
    <t>Burglary - Auto - 2C:18-2</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</si>
  <si>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</si>
  <si>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</si>
  <si>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</si>
  <si>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PIL</t>
  </si>
  <si>
    <t>P.O. Ruben Almonte 359</t>
  </si>
  <si>
    <t>Det. Matthew DeBonis 325</t>
  </si>
  <si>
    <t>Active Investigation</t>
  </si>
  <si>
    <t>23F = Theft From Motor Vehicle</t>
  </si>
  <si>
    <t>Monday</t>
  </si>
  <si>
    <t>Prospect Avenue, 0 Block</t>
  </si>
  <si>
    <t>Count of Case Number</t>
  </si>
  <si>
    <t>Column Labels</t>
  </si>
  <si>
    <t>25-002564</t>
  </si>
  <si>
    <t>Criminal Sexual Contact - 2C:14-3a</t>
  </si>
  <si>
    <t>Juvenile Investigation</t>
  </si>
  <si>
    <t>135 First Street, Hackensack, NJ, 07601</t>
  </si>
  <si>
    <t>G3</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</si>
  <si>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</si>
  <si>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</si>
  <si>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</si>
  <si>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</si>
  <si>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</si>
  <si>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</si>
  <si>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Criminal Sexual Contact - 2C:14-3a - Juvenile Investigation</t>
  </si>
  <si>
    <t>First Street, 100 Block</t>
  </si>
  <si>
    <t>Juvenile-Related Incidents</t>
  </si>
  <si>
    <t>Row Labels</t>
  </si>
  <si>
    <t>Grand Total</t>
  </si>
  <si>
    <t>25-003362</t>
  </si>
  <si>
    <t>Dispute</t>
  </si>
  <si>
    <t>Criminal Attempt - 2C:5-1</t>
  </si>
  <si>
    <t>Robbery - 2C:15-1</t>
  </si>
  <si>
    <t>204 Clay Street, Hackensack, NJ, 07601</t>
  </si>
  <si>
    <t>H3</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</si>
  <si>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</si>
  <si>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</si>
  <si>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</si>
  <si>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Station House Adjustment</t>
  </si>
  <si>
    <t>120 = Robbery</t>
  </si>
  <si>
    <t>Dispute - Criminal Attempt - 2C:5-1 - Robbery - 2C:15-1</t>
  </si>
  <si>
    <t>Clay Street, 200 Block</t>
  </si>
  <si>
    <t>Public Safety and Welfare</t>
  </si>
  <si>
    <t>25-003813</t>
  </si>
  <si>
    <t>Resisting Arrest/Eluding - 2C:29-2</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</si>
  <si>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</si>
  <si>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</si>
  <si>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</si>
  <si>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</si>
  <si>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</si>
  <si>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</si>
  <si>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</si>
  <si>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Swetits_M</t>
  </si>
  <si>
    <t>b2</t>
  </si>
  <si>
    <t>Det. John Tanucilli 335</t>
  </si>
  <si>
    <t>Robbery - 2C:15-1 - Resisting Arrest/Eluding - 2C:29-2 - Suspicious Person</t>
  </si>
  <si>
    <t>Hackensack Avenue, 400 Block</t>
  </si>
  <si>
    <t>Investigations and Follow-Ups</t>
  </si>
  <si>
    <t>25-004097</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</si>
  <si>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</si>
  <si>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</si>
  <si>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</si>
  <si>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</si>
  <si>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</si>
  <si>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</si>
  <si>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Wednesday</t>
  </si>
  <si>
    <t>First Street, 200 Block</t>
  </si>
  <si>
    <t>25-004478</t>
  </si>
  <si>
    <t>Burglary - Residence - 2C:18-2</t>
  </si>
  <si>
    <t>30 Second Street, Hackensack, NJ, 07601</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</si>
  <si>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</si>
  <si>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</si>
  <si>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</si>
  <si>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Thursday</t>
  </si>
  <si>
    <t>Second Street, 0 Block</t>
  </si>
  <si>
    <t>25-004629</t>
  </si>
  <si>
    <t>630 Main Street, Hackensack, NJ, 07601</t>
  </si>
  <si>
    <t>I1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</si>
  <si>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</si>
  <si>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</si>
  <si>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</si>
  <si>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P.O. Massimo Gallorini 379</t>
  </si>
  <si>
    <t>A2</t>
  </si>
  <si>
    <t>Det. John Mora 257</t>
  </si>
  <si>
    <t>Main Street, 600 Block</t>
  </si>
  <si>
    <t>25-005871</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</si>
  <si>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</si>
  <si>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</si>
  <si>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</si>
  <si>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</si>
  <si>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</si>
  <si>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</si>
  <si>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Evening Peak (16:00–19:59)</t>
  </si>
  <si>
    <t>Ross Avenue, 0 Block</t>
  </si>
  <si>
    <t>25-006083</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</si>
  <si>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</si>
  <si>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</si>
  <si>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</si>
  <si>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</si>
  <si>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</si>
  <si>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</si>
  <si>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Det. Demetrius Carroll 133</t>
  </si>
  <si>
    <t>Morning Peak (08:00–11:59)</t>
  </si>
  <si>
    <t>Hudson Street, 400 Block</t>
  </si>
  <si>
    <t>25-006324</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</si>
  <si>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</si>
  <si>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</si>
  <si>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</si>
  <si>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</si>
  <si>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</si>
  <si>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Sexual Assault - 2C:14-2b - Juvenile Investigation</t>
  </si>
  <si>
    <t>Berdan Place, 100 Block</t>
  </si>
  <si>
    <t>25-006864</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</si>
  <si>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</si>
  <si>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</si>
  <si>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</si>
  <si>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Levis_R</t>
  </si>
  <si>
    <t>P.O. Andres Lopez 375</t>
  </si>
  <si>
    <t>Saturday</t>
  </si>
  <si>
    <t>Kansas Street, 0 Block</t>
  </si>
  <si>
    <t>25-007074</t>
  </si>
  <si>
    <t>Theft - 2C:20-3</t>
  </si>
  <si>
    <t>206 Stanley Place, Hackensack, NJ, 07601</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</si>
  <si>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</si>
  <si>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</si>
  <si>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</si>
  <si>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Sgt. Franklin Bay 162</t>
  </si>
  <si>
    <t>No Investigation</t>
  </si>
  <si>
    <t>Burglary - Auto - 2C:18-2 - Theft - 2C:20-3</t>
  </si>
  <si>
    <t>Stanley Place, 200 Block</t>
  </si>
  <si>
    <t>25-007197</t>
  </si>
  <si>
    <t>5 Pangborn Place, Hackensack, NJ, 07601</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</si>
  <si>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</si>
  <si>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</si>
  <si>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</si>
  <si>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</si>
  <si>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</si>
  <si>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Sunday</t>
  </si>
  <si>
    <t>Pangborn Place, 0 Block</t>
  </si>
  <si>
    <t>25-008075</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</si>
  <si>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</si>
  <si>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</si>
  <si>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</si>
  <si>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</si>
  <si>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</si>
  <si>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</si>
  <si>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</si>
  <si>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Motor Vehicle Theft - 2C:20-3 - Theft - 2C:20-3</t>
  </si>
  <si>
    <t>Essex Street, 100 Block</t>
  </si>
  <si>
    <t>25-008551</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</si>
  <si>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</si>
  <si>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</si>
  <si>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</si>
  <si>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P.O. Denisse Caero 367</t>
  </si>
  <si>
    <t>B2</t>
  </si>
  <si>
    <t>The Esplanade, 200 Block</t>
  </si>
  <si>
    <t>25-010788</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</si>
  <si>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</si>
  <si>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</si>
  <si>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</si>
  <si>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P.O. Daniel Francavilla 329</t>
  </si>
  <si>
    <t>Hudson Street, 500 Block</t>
  </si>
  <si>
    <t>25-008777</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</si>
  <si>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</si>
  <si>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</si>
  <si>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</si>
  <si>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</si>
  <si>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FORD</t>
  </si>
  <si>
    <t>CRO</t>
  </si>
  <si>
    <t>Early Morning (00:00–03:59)</t>
  </si>
  <si>
    <t>February</t>
  </si>
  <si>
    <t>Sutton Avenue, 400 Block</t>
  </si>
  <si>
    <t>25-009348</t>
  </si>
  <si>
    <t>Suspicious Incident</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</si>
  <si>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</si>
  <si>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</si>
  <si>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Sgt. Francesco Tripodi 134</t>
  </si>
  <si>
    <t>Suspicious Incident - Robbery - 2C:15-1</t>
  </si>
  <si>
    <t>Hudson Street, 100 Block</t>
  </si>
  <si>
    <t>25-009438</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</si>
  <si>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</si>
  <si>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</si>
  <si>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25-009657</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</si>
  <si>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</si>
  <si>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</si>
  <si>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</si>
  <si>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</si>
  <si>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</si>
  <si>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</si>
  <si>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</si>
  <si>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Complaint Signed</t>
  </si>
  <si>
    <t>Midtown Bridge Approach, 0 Block</t>
  </si>
  <si>
    <t>25-009831</t>
  </si>
  <si>
    <t>Burglary - Commercial - 2C:18-2</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</si>
  <si>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</si>
  <si>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</si>
  <si>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</si>
  <si>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</si>
  <si>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</si>
  <si>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Burglary - Commercial - 2C:18-2 - Alarm - Burglar</t>
  </si>
  <si>
    <t>Passaic Street, 400 Block</t>
  </si>
  <si>
    <t>Emergency Response</t>
  </si>
  <si>
    <t>25-010474</t>
  </si>
  <si>
    <t>170 Hudson Street, Hackensack, NJ, 07601</t>
  </si>
  <si>
    <t>E2</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</si>
  <si>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</si>
  <si>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</si>
  <si>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</si>
  <si>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</si>
  <si>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</si>
  <si>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B3</t>
  </si>
  <si>
    <t>Morning (04:00–07:59)</t>
  </si>
  <si>
    <t>25-012110</t>
  </si>
  <si>
    <t>Assist Other Agency</t>
  </si>
  <si>
    <t>Aggravated Assault - 2C:12-1b</t>
  </si>
  <si>
    <t>128 Christopher Columbus Drive, Jersey City, NJ 07302, Hackensack, NJ, 07601</t>
  </si>
  <si>
    <t>I5</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</si>
  <si>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</si>
  <si>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</si>
  <si>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P.O. Angelo Vicale 370</t>
  </si>
  <si>
    <t>TOT Outside Jurisdiction</t>
  </si>
  <si>
    <t>Assist Other Agency - Aggravated Assault - 2C:12-1b - Robbery - 2C:15-1</t>
  </si>
  <si>
    <t>Christopher Columbus Drive, 100 Block</t>
  </si>
  <si>
    <t>Assistance and Mutual Aid</t>
  </si>
  <si>
    <t>25-012325</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</si>
  <si>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</si>
  <si>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</si>
  <si>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</si>
  <si>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</si>
  <si>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R1Z</t>
  </si>
  <si>
    <t>Pleasantview Avenue &amp; Kipp Street, Unknown Block</t>
  </si>
  <si>
    <t>25-013091</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</si>
  <si>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</si>
  <si>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</si>
  <si>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</si>
  <si>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</si>
  <si>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Motor Vehicle Theft - 2C:20-3 - Recovered Stolen Vehicle</t>
  </si>
  <si>
    <t>Second Street, 100 Block</t>
  </si>
  <si>
    <t>25-013106</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</si>
  <si>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</si>
  <si>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</si>
  <si>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</si>
  <si>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</si>
  <si>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</si>
  <si>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25-013147</t>
  </si>
  <si>
    <t>35 Pangborn Place, Hackensack, NJ, 07601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</si>
  <si>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</si>
  <si>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Burglary - Commercial - 2C:18-2 - Suspicious Incident</t>
  </si>
  <si>
    <t>25-013527</t>
  </si>
  <si>
    <t>Exceptionally Cleared/Closed</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</si>
  <si>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</si>
  <si>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</si>
  <si>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</si>
  <si>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Exceptionally Cleared/Closed - Sexual Assault - 2C:14-2b</t>
  </si>
  <si>
    <t>Prospect Avenue, 200 Block</t>
  </si>
  <si>
    <t>25-015290</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</si>
  <si>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</si>
  <si>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</si>
  <si>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</si>
  <si>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</si>
  <si>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</si>
  <si>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Unfounded / Closed</t>
  </si>
  <si>
    <t>Washington Avenue, 400 Block</t>
  </si>
  <si>
    <t>25-036368</t>
  </si>
  <si>
    <t>326 Prospect Avenue, Hackensack, NJ, 07601</t>
  </si>
  <si>
    <t>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t>
  </si>
  <si>
    <t>3HRC7</t>
  </si>
  <si>
    <t>YAMAHA</t>
  </si>
  <si>
    <t>CZD</t>
  </si>
  <si>
    <t>P.O. Juda DeOliveira 376</t>
  </si>
  <si>
    <t>A4</t>
  </si>
  <si>
    <t>March</t>
  </si>
  <si>
    <t>Prospect Avenue, 300 Block</t>
  </si>
  <si>
    <t>25-017488</t>
  </si>
  <si>
    <t>Unlawful Possess./Weapons - 2C:39-5</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</si>
  <si>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</si>
  <si>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</si>
  <si>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</si>
  <si>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</si>
  <si>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</si>
  <si>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</si>
  <si>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Robbery - 2C:15-1 - Unlawful Possess./Weapons - 2C:39-5 - Dispute</t>
  </si>
  <si>
    <t>High Street, 100 Block</t>
  </si>
  <si>
    <t>25-017536</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</si>
  <si>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</si>
  <si>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</si>
  <si>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</si>
  <si>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Essex Street, 200 Block</t>
  </si>
  <si>
    <t>25-018160</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</si>
  <si>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</si>
  <si>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</si>
  <si>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</si>
  <si>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</si>
  <si>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</si>
  <si>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Central Avenue, 200 Block</t>
  </si>
  <si>
    <t>25-019245</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</si>
  <si>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</si>
  <si>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</si>
  <si>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</si>
  <si>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</si>
  <si>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</si>
  <si>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</si>
  <si>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American Legion Drive, 200 Block</t>
  </si>
  <si>
    <t>25-019648</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</si>
  <si>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</si>
  <si>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</si>
  <si>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</si>
  <si>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Park Avenue, 0 Block</t>
  </si>
  <si>
    <t>25-019756</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</si>
  <si>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</si>
  <si>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</si>
  <si>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</si>
  <si>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</si>
  <si>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</si>
  <si>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</si>
  <si>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Anderson Street, 100 Block</t>
  </si>
  <si>
    <t>25-021703</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</si>
  <si>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</si>
  <si>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</si>
  <si>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</si>
  <si>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</si>
  <si>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</si>
  <si>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</si>
  <si>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</si>
  <si>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Assist Other Agency - Burglary - Residence - 2C:18-2</t>
  </si>
  <si>
    <t>25-022902</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</si>
  <si>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</si>
  <si>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</si>
  <si>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</si>
  <si>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</si>
  <si>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Kenneth Street, 100 Block</t>
  </si>
  <si>
    <t>25-023424</t>
  </si>
  <si>
    <t>Criminal Mischief - Vehicle - 2C:17-3</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</si>
  <si>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</si>
  <si>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</si>
  <si>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</si>
  <si>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</si>
  <si>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</si>
  <si>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Burglary - Auto - 2C:18-2 - Criminal Mischief - Vehicle - 2C:17-3</t>
  </si>
  <si>
    <t>Pulaski Place, 0 Block</t>
  </si>
  <si>
    <t>25-030391</t>
  </si>
  <si>
    <t>2 Kinderkamack Road, Hackensack, NJ, 07601</t>
  </si>
  <si>
    <t>I4</t>
  </si>
  <si>
    <t>Suspect: White Hispanic male, approximately 30-40 years old, facial hair, named "Jean"     On 04/14/25, I responded to police headquarters for a walk-in that reported being sexually assaulted on 03/23/2025. The victim reported that on 03/23/25 she requested a 'Lyft' ride from her residence to her friend's house that resides at 169 Passaic Street, Hackensack. The Lyft ride arrived at the victim's residence at approximately 14:53 hours.     During the course of the transportation, the victim believed she had left her cellphone at home. The suspect offered to return to retrieve her cellphone. The victim then realizes her cellphone was in her bag that was inside the vehicle. The victim apologized multiple times to the suspect for returning to her home. The victim then offered $40.00 in cash to the suspect who then accepted the cash.      During the course of the transportation, the victim reported the suspect was asking her personal questions such as: "when was the last time you kissed someone and/or had sex?" The victim stated "about a year and a half ago or more". The suspect pulled over near Jefferson Street. The suspect then stated "kiss me ,come to the front seat and kiss me". The victim then entered the front seat. The suspect then grabbed the victim's face and kissed her for approximately 10 seconds. While kissing the victim, the suspect groped the victim's chest from outer clothing, then down to her hips, to her vagina. The suspect then rubbed the victim's vagina over her clothing. The victim stated she was "frozen" and unable to react to the suspects action. The suspect then stopped and asked to kiss her again. The victim stated the second kiss lasted 2-3 seconds. The victim stated to the suspect she had bad experiences in the past and did not feel comfortable continuing. The suspect then stopped; however, kept his right hand on her thighs.     Over the course of the ride, the suspect attempted to pull over again but this time on Prospect Avenue and Atlantic Street. The victim's friend called her during this time,  questioning her about her location due to the time that she had left from home. Upon arrival to her destination, as the victim exited the vehicle, the suspect stated "You can call me if you want to get a better experience."     A New Jersey Victim Notification Form was completed. A copy was given and explained to the victim. The Detective Bureau was notified and Det. Carroll responded to speak with the victim.  Reference initial reported taken by River Edge Police on 4/12/2025: Case # 2025-03824</t>
  </si>
  <si>
    <t>Gretkowski_J</t>
  </si>
  <si>
    <t>Kinderkamack Road, 0 Block</t>
  </si>
  <si>
    <t>25-024100</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</si>
  <si>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</si>
  <si>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</si>
  <si>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</si>
  <si>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</si>
  <si>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P.O. Christian Alvarez 364</t>
  </si>
  <si>
    <t>Robbery - 2C:15-1 - Theft - 2C:20-3 - Medical Call</t>
  </si>
  <si>
    <t>25-024952</t>
  </si>
  <si>
    <t>Hindering Apprehension - 2C:29-3</t>
  </si>
  <si>
    <t>211 Essex Street, Hackensack, NJ, 07601</t>
  </si>
  <si>
    <t>P.O. Laura Lopez-Amaya 374</t>
  </si>
  <si>
    <t>Burglary - Commercial - 2C:18-2 - Hindering Apprehension - 2C:29-3 - Resisting Arrest/Eluding - 2C:29-2</t>
  </si>
  <si>
    <t>25-025078</t>
  </si>
  <si>
    <t>2 Park Avenue, Hackensack, NJ, 07601</t>
  </si>
  <si>
    <t>Sgt. Patrick Williams 143</t>
  </si>
  <si>
    <t>25-025341</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</si>
  <si>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</si>
  <si>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</si>
  <si>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</si>
  <si>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</si>
  <si>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</si>
  <si>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</si>
  <si>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</si>
  <si>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Berry Street, 200 Block</t>
  </si>
  <si>
    <t>25-025304</t>
  </si>
  <si>
    <t>Attempted Burglary - 2C:18-2</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</si>
  <si>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</si>
  <si>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</si>
  <si>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</si>
  <si>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Suspicious Incident - Attempted Burglary - 2C:18-2</t>
  </si>
  <si>
    <t>Parkway, 0 Block</t>
  </si>
  <si>
    <t>25-025926</t>
  </si>
  <si>
    <t>100 Essex Street, Hackensack, NJ, 07601</t>
  </si>
  <si>
    <t>G2</t>
  </si>
  <si>
    <t>P.O. Anthony Mattalian 83</t>
  </si>
  <si>
    <t>25-026077</t>
  </si>
  <si>
    <t>Criminal Mischief - 2C:17-3</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</si>
  <si>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</si>
  <si>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</si>
  <si>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</si>
  <si>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</si>
  <si>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</si>
  <si>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</si>
  <si>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290 = Destruction/Damage/Vandalism of Property</t>
  </si>
  <si>
    <t>Burglary - Auto - 2C:18-2 - Theft - 2C:20-3 - Criminal Mischief - 2C:17-3</t>
  </si>
  <si>
    <t>Street &amp; American Legion Drive, Unknown Block</t>
  </si>
  <si>
    <t>25-026113</t>
  </si>
  <si>
    <t>310 Lookout Avenue, Hackensack, NJ, 07601</t>
  </si>
  <si>
    <t>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t>
  </si>
  <si>
    <t>IMKR57</t>
  </si>
  <si>
    <t>ROGUE</t>
  </si>
  <si>
    <t>P.O. Matthew Antista 135</t>
  </si>
  <si>
    <t>25-026103</t>
  </si>
  <si>
    <t>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t>
  </si>
  <si>
    <t>UTU50W</t>
  </si>
  <si>
    <t>RGE</t>
  </si>
  <si>
    <t>25-026357</t>
  </si>
  <si>
    <t>77 Prospect Avenue, Hackensack, NJ, 07601</t>
  </si>
  <si>
    <t>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t>
  </si>
  <si>
    <t>U57SNU</t>
  </si>
  <si>
    <t>MAZDA</t>
  </si>
  <si>
    <t>C30</t>
  </si>
  <si>
    <t>April</t>
  </si>
  <si>
    <t>25-027338</t>
  </si>
  <si>
    <t>75 Fair Street, Hackensack, NJ, 07601</t>
  </si>
  <si>
    <t>P.O. Alexander Reyes 355</t>
  </si>
  <si>
    <t>Fair Street, 0 Block</t>
  </si>
  <si>
    <t>25-026716</t>
  </si>
  <si>
    <t>Mental Health Incident</t>
  </si>
  <si>
    <t>260 Union Street, Hackensack, NJ, 07601</t>
  </si>
  <si>
    <t>On April 2, 2025, at approximately 2140 hours P.O. Bonsu and I responded to 260 Union Avenue on a reported mental health incident. We spoke with Janice Reid, who is a supervisor at the Holly Center, and she reported that A.M.C. was arguing with O.L.. They began to fight and the Holly Center staff were able to separate both of them. After the fight, A.M.C began becoming verbally aggressive with the staff and wrote a note that stated, "You dumb bitch's I ain't telling yall that yall but I going my gang to shoot this place up." Janice Reid further reported that that A.M.C. kept threatening to get a gang to shoot up the Holly Center.       While on scene, A.M.C. made statements that she wanted "to go down for attempted murder" and that she wanted to get CPC High Point shot up. CPC High Point is a school A.M.C. previously attended. Then A.M.C. began to state that she was sexually assaulted by Holly Center staff and specifically named Tyrone Bagley and Randall White who were on scene. Sgt. Donnerstag and Sgt. Ghirardi responded to the scene to assist. P.O. Bonsu asked A.M.C. more about her allegations. A.M.C. reported the incident occurred approximately a month ago on a weekend but did not recall if it was in the morning, afternoon, or evening. A.M.C. further reported it happened in her room at the Holly Center but she did not want to discuss any further. Hackensack University Medical Center BLS responded and transported A.M.C. to Hackensack University Medical Center. Janice Reid accompanied A.M.C.. I followed the ambulance to Hackensack University Medical Center.      Detective Garrett was notified and responded to Hackensack University Medical Center. I notified Alexandra #1576 from DCP&amp;P of the incident. She reported that DCP&amp;P would be making an immediate response to the hospital. Detective Garrett stated he was familiar with the patient and of the prior sexual assault allegation from previous encounters.  T.O.T. to detectives. See supplement for further contact information. A CBH care form was completed.</t>
  </si>
  <si>
    <t>Mental Health Incident - Sexual Assault - 2C:14-2b - Juvenile Investigation</t>
  </si>
  <si>
    <t>Union Street, 200 Block</t>
  </si>
  <si>
    <t>25-028451</t>
  </si>
  <si>
    <t>Property - Found</t>
  </si>
  <si>
    <t>120 Atlantic Street, Hackensack, NJ, 07601</t>
  </si>
  <si>
    <t>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"Jordan"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"Jordan"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"OCB" slim premium rolling paper(s) with tip(s)- Three multi color plastic lighters - White in color USB car charger - A backwoods magnet - Two "UFOND" headband lights - White colored paper matches - A silver and black in color "driven"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t>
  </si>
  <si>
    <t>T21VBK</t>
  </si>
  <si>
    <t>530</t>
  </si>
  <si>
    <t>Butler_J</t>
  </si>
  <si>
    <t>Burglary - Auto - 2C:18-2 - Suspicious Person - Property - Found</t>
  </si>
  <si>
    <t>Atlantic Street, 100 Block</t>
  </si>
  <si>
    <t>25-029829</t>
  </si>
  <si>
    <t>140 Hudson Street, Hackensack, NJ, 07601</t>
  </si>
  <si>
    <t>25-032505</t>
  </si>
  <si>
    <t>395 South River Street, Hackensack, NJ, 07601</t>
  </si>
  <si>
    <t>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t>
  </si>
  <si>
    <t>G15RSU</t>
  </si>
  <si>
    <t>GEN</t>
  </si>
  <si>
    <t>G80</t>
  </si>
  <si>
    <t>Peralta_K</t>
  </si>
  <si>
    <t>South River Street, 300 Block</t>
  </si>
  <si>
    <t>25-029155</t>
  </si>
  <si>
    <t>283 Summit Avenue, Hackensack, NJ, 07601</t>
  </si>
  <si>
    <t>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t>
  </si>
  <si>
    <t>Z73VFP</t>
  </si>
  <si>
    <t>SUB</t>
  </si>
  <si>
    <t>Summit Avenue, 200 Block</t>
  </si>
  <si>
    <t>25-030198</t>
  </si>
  <si>
    <t>Weapons - Unlawful Purposes - 2C:39-4</t>
  </si>
  <si>
    <t>157 Central Avenue, Hackensack, NJ, 07601</t>
  </si>
  <si>
    <t>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t>
  </si>
  <si>
    <t>N51UXW</t>
  </si>
  <si>
    <t>D48UTT</t>
  </si>
  <si>
    <t>XPL</t>
  </si>
  <si>
    <t>P.O. Michael Scangarella 349</t>
  </si>
  <si>
    <t>Burglary - Auto - 2C:18-2 - Weapons - Unlawful Purposes - 2C:39-4</t>
  </si>
  <si>
    <t>Central Avenue, 100 Block</t>
  </si>
  <si>
    <t>25-030220</t>
  </si>
  <si>
    <t>Terroristic Threats - 2C:12-3</t>
  </si>
  <si>
    <t>64 Prospect Avenue, Hackensack, NJ, 07601</t>
  </si>
  <si>
    <t>Burglary - Residence - 2C:18-2 - Terroristic Threats - 2C:12-3 - Criminal Mischief - 2C:17-3</t>
  </si>
  <si>
    <t>25-030780</t>
  </si>
  <si>
    <t>325 Union Street, Hackensack, NJ, 07601</t>
  </si>
  <si>
    <t>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"ninja" coming from the rear of the listed location with unknown items. The female then entered into an unknown SUV.  The victim stated that he was missing a pair of suede "Jordan"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t>
  </si>
  <si>
    <t>P.O. Paula Lopez 362</t>
  </si>
  <si>
    <t>Burglary - Residence - 2C:18-2 - Theft - 2C:20-3 - Criminal Mischief - 2C:17-3</t>
  </si>
  <si>
    <t>25-031651</t>
  </si>
  <si>
    <t>28 Summit Avenue, Hackensack, NJ, 07601</t>
  </si>
  <si>
    <t>On April 18, 2025, at approximately 22:08 hours Sgt. Donnerstag, P.O. Bonsu, and I responded to 28 Summit Avenue for a report of a burglary that occurred in the past. The victims reported that they last saw their green Aipass electric bicycle and 58" TLC 4k TV  on Wednesday, April 16, 2025 at approximately 06:00 hours in their garage (located in the rear). They reported noticing that both the electric bicycle and 58" TV was gone earlier today. It should be noted, the garage door remains unlocked at all times and the victims do not have a key for it. There was no sign of forced entry observed. The victims reported the green Aipass electric bicycle costs approximately $758.00 and the 58"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t>
  </si>
  <si>
    <t>Summit Avenue, 0 Block</t>
  </si>
  <si>
    <t>25-031686</t>
  </si>
  <si>
    <t>Intoxicated Person</t>
  </si>
  <si>
    <t>125 River Street, Hackensack, NJ, 07601</t>
  </si>
  <si>
    <t>G1</t>
  </si>
  <si>
    <t>Suspect's description: 6'00 Hispanic males with medium skin color complexion.      On Friday, 04/19/2025, I responded to a bus shelter on Grand Avenue, River Edge and met with P.O. Colucci from River Edge Police Department. He reported that Mr. Michael Kennedy (victim) reported that he was robbed at the Hackensack Bus Terminal earlier today. The victim was intoxicated and does not remember exactly how the incident occurred. He remembers leaving Bergen Community Wellness Center on Hudson Street around 2000 hours.      While on scene, the victim reported that he and two other Hispanic males got into a mutual fight at the bus terminal. P.O. Colucci told me the victim changed his story and the last statement was not his original reporting. The victim then reported while outside the bus terminal, he was snatched from behind by the suspects, kicked on his right leg and punched in the head several times. Sgt. Donnerstag arrived to assist. We did not observe any injuries to the victim nor did he have a complaint of pain in the areas. The victim further reported that the suspects stole $30.00 and his bus pass (unknown value). The victim was turned back over to P.O. Colucci, who was subsequently transported to New Bridge Medical Center due to his level of intoxication.     I responded to the bus terminal and did not observed any possible evidence from the incident or a possible crime scene. Detectives were notified.</t>
  </si>
  <si>
    <t>P.O. Kevin Small 328</t>
  </si>
  <si>
    <t>Robbery - 2C:15-1 - Intoxicated Person - Assist Other Agency</t>
  </si>
  <si>
    <t>River Street, 100 Block</t>
  </si>
  <si>
    <t>25-031868</t>
  </si>
  <si>
    <t>11 Passaic Street, Hackensack, NJ, 07601</t>
  </si>
  <si>
    <t>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t>
  </si>
  <si>
    <t>XKEM57</t>
  </si>
  <si>
    <t>E25</t>
  </si>
  <si>
    <t>H88KAG</t>
  </si>
  <si>
    <t>GMC</t>
  </si>
  <si>
    <t>SIE</t>
  </si>
  <si>
    <t>Donnerstag_R</t>
  </si>
  <si>
    <t>Passaic Street, 0 Block</t>
  </si>
  <si>
    <t>25-032420</t>
  </si>
  <si>
    <t>16 Johnson Avenue, Hackensack, NJ, 07601</t>
  </si>
  <si>
    <t>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t>
  </si>
  <si>
    <t>Johnson Avenue, 0 Block</t>
  </si>
  <si>
    <t>25-032451</t>
  </si>
  <si>
    <t>130 Overlook Avenue, Hackensack, NJ, 07601</t>
  </si>
  <si>
    <t>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t>
  </si>
  <si>
    <t>Overlook Avenue, 100 Block</t>
  </si>
  <si>
    <t>25-033529</t>
  </si>
  <si>
    <t>On Thursday April 25, 2025, I was assigned as the Hackensack High School SRO.  I was notified by the 11th grade assistant Principal Nicole Adams that there was a report of a possible sexual assault.      The victim M.T. made initial disclosure to her teacher Ms. Mitchell that while at lunch she was kissed and inappropriately touched by the suspect C.R.  After receiving the report Ms. Mitchell immediately notified Mrs. Adams.      I spoke to the victim who stated that she was kissed by the suspect without her consent during her lunch period. The victim added that on other unspecified days the suspect has touched her breast and buttocks without her consent. At this time the victim does not want to pursue any criminal complaints against the suspect.     Please note today's incident was captured by the school's surveillance camera ( HHS Cafeteria Comet Side #24). I requested a copy from the IT department.       I notified the victim's father Antonio Tapia of the incident. At this time he indicated that he does not want to sign complaints. He was advised how to do so if they changed their minds.</t>
  </si>
  <si>
    <t>Exceptionally Cleared/Closed - Criminal Sexual Contact - 2C:14-3a - Juvenile Investigation</t>
  </si>
  <si>
    <t>25-034836</t>
  </si>
  <si>
    <t>530 West Lookout Avenue, Hackensack, NJ, 07601</t>
  </si>
  <si>
    <t>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t>
  </si>
  <si>
    <t>G86REG</t>
  </si>
  <si>
    <t>TESLA</t>
  </si>
  <si>
    <t>MOD</t>
  </si>
  <si>
    <t>West Lookout Avenue, 500 Block</t>
  </si>
  <si>
    <t>25-035383</t>
  </si>
  <si>
    <t>East Pleasantview Avenue  &amp; Kipp Street, Hackensack, NJ, 07601</t>
  </si>
  <si>
    <t>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"victim"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t>
  </si>
  <si>
    <t>UNKNOWN</t>
  </si>
  <si>
    <t>MERCEDES</t>
  </si>
  <si>
    <t>Dalton_Jo</t>
  </si>
  <si>
    <t>Det. Michael Koenig 153</t>
  </si>
  <si>
    <t>CSB</t>
  </si>
  <si>
    <t>Robbery - 2C:15-1 - Aggravated Assault - 2C:12-1b</t>
  </si>
  <si>
    <t>Pleasantview Avenue  &amp; Kipp Street, Unknown Block</t>
  </si>
  <si>
    <t>25-043063</t>
  </si>
  <si>
    <t>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"No".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t>
  </si>
  <si>
    <t>P.O. Reuven Lyak 318</t>
  </si>
  <si>
    <t>25-035174</t>
  </si>
  <si>
    <t>240 Prospect Avenue, Hackensack, NJ, 07601</t>
  </si>
  <si>
    <t>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t>
  </si>
  <si>
    <t>J73SXP</t>
  </si>
  <si>
    <t>ELANTA</t>
  </si>
  <si>
    <t>25-035499</t>
  </si>
  <si>
    <t>Park Street &amp; , Hackensack, NJ, 07601</t>
  </si>
  <si>
    <t>Suspects description: (1) Black Male wearing a black hoodie and a black ski mask black sweatpants and unknown sneakers. Possibly 20-30 yrs of age but difficult to tell with the ski masks.  (2) Black male wearing a black hoodie with black jeans and unknown sneakers with a maroon and black military pattern ski mask. Possibly 20-30 years of age but difficult to tell with the ski mask         The complainant and the victim responded to police headquarters to report a robbery. The victim stated he was walking West on Gamewell coming to the intersection of South Park street at approximately 1400-1430 hours when two Suspects approached him one standing behind him holding a sharp object to his back and another in front of him raiding his pockets. He stated the suspects were saying something to him in English but he did not understand any of it since he only speaks Spanish. The victim stated he was too afraid to fight back and the suspects took approximately $385-$387 cash and his blue IPhone 15 with a gray case from his pockets. The complainant was advised on how to sign complainant and may do so if the suspects are identified. A New Jersey Victim Notification form was completed and a copy was provided to the complainant.Det. Garrett was advised.</t>
  </si>
  <si>
    <t>Det. Felix Katsaroans 326</t>
  </si>
  <si>
    <t>Street &amp;, Unknown Block</t>
  </si>
  <si>
    <t>25-035868</t>
  </si>
  <si>
    <t>Warrant Arrest</t>
  </si>
  <si>
    <t>185 Central Avenue, Hackensack, NJ, 07601</t>
  </si>
  <si>
    <t>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"no."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t>
  </si>
  <si>
    <t>Burglary - Residence - 2C:18-2 - Theft - 2C:20-3 - Warrant Arrest</t>
  </si>
  <si>
    <t>May</t>
  </si>
  <si>
    <t>25-039095</t>
  </si>
  <si>
    <t>343 Park Street, Hackensack, NJ, 07601</t>
  </si>
  <si>
    <t>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t>
  </si>
  <si>
    <t>Knapp_J</t>
  </si>
  <si>
    <t>Park Street, 300 Block</t>
  </si>
  <si>
    <t>25-037005</t>
  </si>
  <si>
    <t>Motor Vehicle - Private Property Tow</t>
  </si>
  <si>
    <t>233 Kinderkamack Road, Hackensack, NJ, 07601</t>
  </si>
  <si>
    <t>I responded to the listed address on a motor vehicle theft. Upon arrival I met with the registered owner of vehicle 1 who stated she parked her car in the driveway of 233 Kinderkamack Road at 1500 hours and when she returned at 1700 hours, her car was not there.     Prior to completing this report, P.O. Wouters discovered that Top Gun Towing towed Ms. Rivera's car. She was advised of the private property tow and how to retrieve her vehicle.     Vehicle 1 was taken out of NCIC.</t>
  </si>
  <si>
    <t>S41USM</t>
  </si>
  <si>
    <t>JET</t>
  </si>
  <si>
    <t>Motor Vehicle Theft - 2C:20-3 - Motor Vehicle - Private Property Tow</t>
  </si>
  <si>
    <t>Kinderkamack Road, 200 Block</t>
  </si>
  <si>
    <t>25-039778</t>
  </si>
  <si>
    <t>520 River Street, Hackensack, NJ, 07601</t>
  </si>
  <si>
    <t>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"Danny Noriega" contacted him about subletting a contract for him to pick the 2022 Bronco. Mr. Cazassa sent Mr. Hasan and the vehicle was towed back to his tow yard. Mr. Cazassa reported that he held the vehicle for an unusual amount of time (4 hours) and then "Danny"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t>
  </si>
  <si>
    <t>BRO</t>
  </si>
  <si>
    <t>Motor Vehicle Theft - 2C:20-3 - Suspicious Incident</t>
  </si>
  <si>
    <t>River Street, 500 Block</t>
  </si>
  <si>
    <t>25-038214</t>
  </si>
  <si>
    <t>Shoplifting - 2C:20-11</t>
  </si>
  <si>
    <t>500 South River Street, Hackensack, NJ, 07601</t>
  </si>
  <si>
    <t>On 5/9/25 while at 500 South River Street Sgt. Competiello and I were approached by an unknown party stating a shoplifter was getting physical with ShopRite Loss Prevention Officer(s). Sgt. Competiello responded and made contact with the all parties. The suspect / arrestee, Virgil Kearney, was then placed under arrest. It was reported on 5/9/25 the victim / ShopRite Loss Prevention Officer observed Kearney on video surveillance conceal multiple items / merchandise in his pocket / backpack. Kearney was later observed walking towards the front register area and took two Red Bull drinks. Kearney is seen passing all points of sale(s), failing to pay, and exiting the store. While outside the store, ShopRite Loss Prevention approached Kearney. A physical altercation then started when Kearney tackled the victim, Conner Maret, to the ground and began wrestling the victim, while on the ground. Due to the physical altercation the victim sustained a minor scratch to his neck, left side. A witness / ShopRite Loss Prevention Officer, Martin Almonte-Tejada, was also present.Prior to transport to headquarters, Kearney was searched and multiple stolen merchandise were located in his pockets. All known stolen merchandise were later returned to ShopRite Loss Prevention. At this time the total amount of stolen proceed(s) were unknown, but ShopRite Loss Prevention estimated to be approximately $60.00 to $200.00.The arrestee was searched incident to arrest, yielding negative results for contraband. The arrestee was transported to Headquarters in marked radio car #115. P.O. Mattalian followed behind. Concurrently, Sgt. Competiello transported the victim to Headquarters in marked radio car #109. Upon arrival at Headquarters, the victim was turned over to Detective Dogali to provide a recorded statement. See Det. Dogali's supplement for further. The arrestee was fingerprinted and photographed.  I authored Complaint W 2025 000233 0223 for 2C:15-1A(1) robbery. The arrestee was then remanded to the Bergen County Jail.Due to the arrestee currently being homeless CBH Care / ARRIVE was offered, which he accepted. A CBH Care Form was later completed.Be advised, while issuing a city ordinance violation at the same physical location (Case # 25-038212), Sgt. Competiello and I were approached by a party who advised us of the Robbery in progress at Shop Rite. While Sgt. Competiello responded to Shop Rite, I quickly completed my city ordinance violation call, deactivated my BWC and responded to assist. Upon responding to Shop Rite I thought I activated my BWC, but it was later discovered It was never activated.</t>
  </si>
  <si>
    <t>P.O. Ioannis Papanikolaou 308</t>
  </si>
  <si>
    <t>Robbery - 2C:15-1 - Shoplifting - 2C:20-11</t>
  </si>
  <si>
    <t>South River Street, 500 Block</t>
  </si>
  <si>
    <t>25-038971</t>
  </si>
  <si>
    <t>38 Moonachie Road, Hackensack, NJ, 07601</t>
  </si>
  <si>
    <t>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t>
  </si>
  <si>
    <t>P36RMF</t>
  </si>
  <si>
    <t>CAM</t>
  </si>
  <si>
    <t>Moonachie Road, 0 Block</t>
  </si>
  <si>
    <t>25-039451</t>
  </si>
  <si>
    <t>On Tuesday May 13, 2025, I was assigned as the Hackensack High School SRO.   I was notified by the school counselor, Kara Ferrazano, that J.N. disclosed to her that she is involved in an intimate relationship with a 22 year old Hispanic male.       I spoke to the victim in the presence of her case worker, Carolina Valera. The victim confirmed that she is 15 year old and is currently sexually active with her 22 year old boyfriend. She added that they had sex on Sunday May 11, 2025 in his apartment located in the State of New York. The victim stated that this sexual interaction was consensual and refused to provide the identity of the suspect. She also refused to give and exact location of the incident.  I advised her that under New Jersey State Law she could not legally give consent. Various attempts were made to get further information, but the victim refused to cooperate.      I spoke to the victim's mother Maria Zhumi Peralta and advised her of the incident. She stated her daughter had disclosed this incident to her on May 12, 2025. Zhumi Peralta stated she does not know any information about the actor, but will try to obtain it from her daughter.     DCP&amp;P was notified by Mrs. Ferrazano. I notified the Bergen County Prosecutor's Office SVU. I spoke to Det. Negron who advised me that due to the incident occurring in New York I should notify the proper jurisdiction upon obtaining the location of the incident.Case Active pending victim cooperation.</t>
  </si>
  <si>
    <t>Delcarpio_M</t>
  </si>
  <si>
    <t>36B = Statutory Rape</t>
  </si>
  <si>
    <t>25-038962</t>
  </si>
  <si>
    <t>Unlawful Taking - 2C:20-10</t>
  </si>
  <si>
    <t>70 Cedar Avenue, Hackensack, NJ, 07601</t>
  </si>
  <si>
    <t>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t>
  </si>
  <si>
    <t>S28SNH</t>
  </si>
  <si>
    <t>13A = Aggravated Assault</t>
  </si>
  <si>
    <t>Burglary - Residence - 2C:18-2 - Aggravated Assault - 2C:12-1b - Unlawful Taking - 2C:20-10</t>
  </si>
  <si>
    <t>Cedar Avenue, 0 Block</t>
  </si>
  <si>
    <t>25-039963</t>
  </si>
  <si>
    <t>South Railroad Avenue &amp; Atlantic Street, Hackensack, NJ, 07601</t>
  </si>
  <si>
    <t>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t>
  </si>
  <si>
    <t>6BHK7</t>
  </si>
  <si>
    <t>QIA</t>
  </si>
  <si>
    <t>JIG</t>
  </si>
  <si>
    <t>Railroad Avenue &amp; Atlantic Street, Unknown Block</t>
  </si>
  <si>
    <t>25-040394</t>
  </si>
  <si>
    <t>33 Henry Place, Hackensack, NJ, 07601</t>
  </si>
  <si>
    <t>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t>
  </si>
  <si>
    <t>Henry Place, 0 Block</t>
  </si>
  <si>
    <t>25-041892</t>
  </si>
  <si>
    <t>43 Maple Avenue, Hackensack, NJ, 07601</t>
  </si>
  <si>
    <t>The victim, Gabrielle Meighan, who is a program assistant at the Bergen Charter School, responded to police headquarters on a report of criminal sexual contact.  The victim reported that on 05/13/2025, at approximately 15:30 hours, she and the suspect, Stephen Innocenzi, a teacher with the school, were in the gymnasium setting for a play on the stage.  While backstage, reaching for an item, the suspect walked behind her and brushed the front of his hand against her buttocks.  After the suspect brushed up against the victim the suspect stated " I'm sorry Gabrielle i didn't mean to slap your ass".   After the suspect apologized, he then again slapped the victim's buttocks forcefully with the front of his hand and then walked away.  The victim reported the incident involving human resources personnel.  Det. Mora was notified, spoke with the victim, and took a recorded statement.  The New Jersey Victim notification form was completed.</t>
  </si>
  <si>
    <t>Maple Avenue, 0 Block</t>
  </si>
  <si>
    <t>25-041571</t>
  </si>
  <si>
    <t>461 Passaic Street, Hackensack, NJ, 07601</t>
  </si>
  <si>
    <t>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t>
  </si>
  <si>
    <t>P2403495</t>
  </si>
  <si>
    <t>25-041339</t>
  </si>
  <si>
    <t>55 Clinton Place, Hackensack, NJ, 07601</t>
  </si>
  <si>
    <t>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t>
  </si>
  <si>
    <t>5964HJ</t>
  </si>
  <si>
    <t>ESC</t>
  </si>
  <si>
    <t>Clinton Place, 0 Block</t>
  </si>
  <si>
    <t>25-043899</t>
  </si>
  <si>
    <t>160 River Street, Hackensack, NJ, 07601</t>
  </si>
  <si>
    <t>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t>
  </si>
  <si>
    <t>25-042858</t>
  </si>
  <si>
    <t>Simple Assault - 2C:12-1a</t>
  </si>
  <si>
    <t>79 Lodi Street, Hackensack, NJ, 07601</t>
  </si>
  <si>
    <t>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t>
  </si>
  <si>
    <t>Burglary - Residence - 2C:18-2 - Criminal Mischief - 2C:17-3 - Simple Assault - 2C:12-1a</t>
  </si>
  <si>
    <t>Lodi Street, 0 Block</t>
  </si>
  <si>
    <t>25-042950</t>
  </si>
  <si>
    <t>20 Prospect Avenue, Hackensack, NJ, 07601</t>
  </si>
  <si>
    <t>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t>
  </si>
  <si>
    <t>P.O. Jann Aberde 386</t>
  </si>
  <si>
    <t>25-043052</t>
  </si>
  <si>
    <t>87 Troast Street, Hackensack, NJ, 07601</t>
  </si>
  <si>
    <t>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"looking for someone". The victim advised that his primary language is Spanish and that the suspects spoke to him in English. He further reported that he had asked the suspects to leave, at which time the main suspect told him "Don't talk to me like that".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t>
  </si>
  <si>
    <t>Burglary - Residence - 2C:18-2 - Suspicious Person - Suspicious Incident</t>
  </si>
  <si>
    <t>Troast Street, 0 Block</t>
  </si>
  <si>
    <t>25-043408</t>
  </si>
  <si>
    <t>Fight - Unarmed</t>
  </si>
  <si>
    <t>505 South River Street, Hackensack, NJ, 07601</t>
  </si>
  <si>
    <t>On 05/26/25, Sgt. Farhi, Sgt. Tedesco, P.O. Sroka, P.O. Almonte, and I responded to 505 S. River Street on a report of an unarmed fight. Upon arrival, I met with victim John Rannella, who stated a white sedan BMW, a green sedan BMW, and a blue Honda or Toyota (unknown license plates at this time) were blocking other vehicles in the parking lot of the listed location. Rannella approached the group and requested them to move their vehicles. The three vehicles exited the parking lot of the listed location.     At approximately 23:27 hours, the white BMW parked at the intersection of S. River Street and E. Moonachie Road. The Green BMW parked in front of 8 E. Moonachie Road. Rannella walked up to the intersection of S. River Street and E. Moonachie Road. The drivers and passengers exited their vehicle and began to assault Rannella by throwing punches and throwing a full 'Essentia' water bottle to his face. Rannella had lacerations to his face/nose area. Victim William Burke approached the suspects as Rannella was being assaulted. The suspects then assaulted Burke by throwing a punch to his face. Burke stated he fell to the ground.  As he was attempting to get up on his feet his phone fell out of his pocket. The suspects then grabbed Burke's phone, entered their vehicle, then fled the area.     Hackensack Volunteer EMS #1061 responded to assist. Both victims, Rannella and Burke, refused further medical attention.      Det. D. Carroll was notified and responded. Burke was transported to police headquarters for statements in the rear seat of radio car 121. The rear seat was checked prior and after transport with negative results.      A New Jersey Victim Notification Form was completed. A copy was explained and given to the victim.      Surveillance video is available at a later date.</t>
  </si>
  <si>
    <t>Robbery - 2C:15-1 - Simple Assault - 2C:12-1a - Fight - Unarmed</t>
  </si>
  <si>
    <t>25-044042</t>
  </si>
  <si>
    <t>540 Main Street, Hackensack, NJ, 07601</t>
  </si>
  <si>
    <t>Suspect description: Hispanic male, red hooded sweatshirt and black pants.      P.O. Vicale, P.O. Francavilla and I responded to the listed location for a robbery. Upon our arrival, the victim was located in the parking lot of 403 Park Street. I spoke with the victim while P.O. Vicale and P.O. Francavilla checked the area for the suspect. The victim stated he was at the 540 Main Street, 7-Eleven, drinking alcoholic beverages when the suspect pushed him and stated give me your phone and license. The victim further reported he stated no and ran to 505 Main Street, Chase bank, parking lot . The victim stated the suspect followed him, and continued requesting the victim gives him the phone and license. The victim then walked to Passaic Street and Park Street where the suspect followed. The victim stated the suspect ran South on Park Street. The victim never gave his phone and license to the suspect. The victim stated he believes the suspect's name is Fernando or Roberto, he does not known the suspects last name or where he lives.      While speaking with the victim I detected a strong odor of an alcoholic beverage coming from his breath and it appeared that he was intoxicated.      The victim refused to cooperate and wanted no further Police assistance. The victim did not wish to speak with a Detective or make a statement.</t>
  </si>
  <si>
    <t>P.O. Jacob Price 366</t>
  </si>
  <si>
    <t>Main Street, 500 Block</t>
  </si>
  <si>
    <t>25-045993</t>
  </si>
  <si>
    <t>Investigation - Follow-Up</t>
  </si>
  <si>
    <t>167 Central Avenue, Hackensack, NJ, 07601</t>
  </si>
  <si>
    <t>On 6/1/2025, the victim, Erica Best, responded to the Hackensack Medical Center. The victim reported to hospital staff she was a victim of an alleged sexual assault. Note, the victim did not initially report the incident to the Hackensack Police Department.     At the hospital, nursing staff provided medical attention to the victim. Nursing staff notified the Bergen County Prosecutor's Office Special Victim's Unit. Detective Atie from the Special Victim's Unit was apprised of the incident. According to the victim, the incident occurred outside of 167 Central Avenue on 6/1/2025. The exact time and location of the incident is unconfirmed. The suspect's identify is also unknown. The victim requested to purse this matter criminally.     The victim cooperated and consented to a full forensic medical examination. A Sexual Assault Response Team nurse was dispatched for the examination. The examination was conducted and completed at the hospital.    On 6/4/2025, I responded to the Bergen County Prosecutor's Office Special Victim's Unit to assist Detective Atie with the victim's interview. The victim was scheduled for an interview at 1100 hours. The victim did not arrive for the interview as scheduled. At approximately 1200 hours, Detective Atie attempted to contact the victim by phone with negative results. For further details surrounding the incident, refer to Detective Atie's report  (BCPO : 25-00708).    **This case will remain Active/Administratively Closed pending cooperation from the victim***</t>
  </si>
  <si>
    <t>11A = Rape</t>
  </si>
  <si>
    <t>Sexual Assault - 2C:14-2b - Investigation - Follow-Up - Active/Administratively Closed</t>
  </si>
  <si>
    <t>MTD</t>
  </si>
  <si>
    <t>25-045625</t>
  </si>
  <si>
    <t>1 University Plaza Drive, Hackensack, NJ, 07601</t>
  </si>
  <si>
    <t>I3</t>
  </si>
  <si>
    <t>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t>
  </si>
  <si>
    <t>XEFE81</t>
  </si>
  <si>
    <t>E35</t>
  </si>
  <si>
    <t>University Plaza Drive, 0 Block</t>
  </si>
  <si>
    <t>25-045839</t>
  </si>
  <si>
    <t>160 Overlook Avenue, Hackensack, NJ, 07601</t>
  </si>
  <si>
    <t>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t>
  </si>
  <si>
    <t>4HXZ4</t>
  </si>
  <si>
    <t>YAM</t>
  </si>
  <si>
    <t>YZF</t>
  </si>
  <si>
    <t>25-046294</t>
  </si>
  <si>
    <t>411 Simons Avenue, Hackensack, NJ, 07601</t>
  </si>
  <si>
    <t>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t>
  </si>
  <si>
    <t>P55UNM</t>
  </si>
  <si>
    <t>INFINITI</t>
  </si>
  <si>
    <t>Q50</t>
  </si>
  <si>
    <t>Burglary - Auto - 2C:18-2 - Criminal Mischief - 2C:17-3</t>
  </si>
  <si>
    <t>Simons Avenue, 400 Block</t>
  </si>
  <si>
    <t>25-046290</t>
  </si>
  <si>
    <t>39 Union Street, Hackensack, NJ, 07601</t>
  </si>
  <si>
    <t>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"PJ"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t>
  </si>
  <si>
    <t>EJK4320</t>
  </si>
  <si>
    <t>NY</t>
  </si>
  <si>
    <t>Union Street, 0 Block</t>
  </si>
  <si>
    <t>25-047026</t>
  </si>
  <si>
    <t>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t>
  </si>
  <si>
    <t>J58VJZ</t>
  </si>
  <si>
    <t>FOR</t>
  </si>
  <si>
    <t>P.O. Maximiliano Anguizaca 368</t>
  </si>
  <si>
    <t>25-047203</t>
  </si>
  <si>
    <t>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t>
  </si>
  <si>
    <t>T64KLC</t>
  </si>
  <si>
    <t>25-047385</t>
  </si>
  <si>
    <t>111 River Street, Hackensack, NJ, 07601</t>
  </si>
  <si>
    <t>Suspect description:  Black female, skinny build, approximately 5' 5" tall, medium brown complexion, and she was last seen wearing a light blue scarf wrapped around her head, blue jean jacket, and unknown color pants.  She was also holding a gray laptop that was open with light blue headphone on her head.  She also has a black bookbag with her.       On June 8th, 2025, I responded to 111 River Street, TD Bank, on a report of a dispute between two parties.  Upon arrival, I met with Carlos Argueta, the Victim, and he stated that he was withdrawing some money from the ATM machine prior to returning home, 160 River Street Apt. #262, Hackensack, NJ 07601.        When he initially entered the ATM vestibule, there was an unknown black female, the Suspect, already in the vestibule, sitting down on the floor.  He withdrew his money, turned around and the Suspect began speaking to the Victim.  The Victim stated that the Suspect took out a long object that appeared to be a bat out of a black bag.  She then swung it in the air and stated to the Victim that she was going to "fuck him up." The Suspect then pushed the Victim around the waist area and took $40.00 (Two (2) twenty dollar bills) that was in his right hand.  He then stated that the Suspect fled the area walking north on Main Street.      P.O. Caero responded to check the area but was unable to locate the Suspect.  Sgt. Donnerstag also responded to assist.  The Victim stated that he will provide a statement to Detectives and will proceed with a criminal complaint if the Suspect was located and identified.  He also stated that he would be able to identify the Suspect or the Suspect's photograph in the future.  Det. Mora was notified and responded to obtain a statement from the Victim.  See Det. Mora's Supplemental Report for further information.       At Headquarters, the Victim mentioned that the Suspect stated something about the Victim's sexuality and being gay.  NJ Supplementary Bias Incident Offense Report was completed and submitted to the Detective Division's mail box.  Det. Mora was notified about the bias incident.  The Victim was provided with a copy of the Victim Notification Form.  It was also confirmed that the Victim did not sustain any injuries and refused any medical assistance.</t>
  </si>
  <si>
    <t>P.O. James Han 165</t>
  </si>
  <si>
    <t>25-048048</t>
  </si>
  <si>
    <t>150 Main Street, Hackensack, NJ, 07601</t>
  </si>
  <si>
    <t>Suspect description: Black male, approximately 30 years old, wearing black hooded sweatshirt, black sweatpants, and black sneakers.   On 6/11/25 I responded to 150 Main Street, on a reported motor vehicle theft. Upon arrival, I made contact with the victim / Amazon driver, Andryk Inojosavalor, who did not speak English. I requested for a Spanish speaking officer. P.O. W Rivera and P.O. Aberde responded. The victim stated he parked his vehicle (bearing NJ Reg V82UPJ) in the parking space right in front of 150 Main Street. The victim further stated on 6/11/25 at approximately 04:31 hours he exited his vehicle. Before the victim entered 150 Main Street to deliver a package, he observed only one person walking toward the direction of his vehicle. The victim reported the vehicle was left on and unlocked when he entered the building. The key to the vehicle was also left in the vehicle. The victim further reported upon arriving back to his vehicle at approximately 04:32 hours he witnessed the suspect drive off with his vehicle going east on Mercer Street. The estimated value of the vehicle is $8,500.00 USD according to the victim.   Headquarters was notified. The vehicle details was put out on a SPEN message.   I then spoke to the concierge, Timothy Rayford, who was not able to provide the video surveillance of the suspect at this time. Mr. Rayford advised he was going to notify his manager and that he would be able to provide me with the video surveillance at a later time. The victim later reported the following items were inside the vehicle at the time of the incident:- Wallet (estimated value is $30.00).- $20.00 USD in the wallet.- 2 License Plates (estimated value is $20.00).- 1 Bank of America Debit Card.- 1 Bank of America Credit Card.- 1 Capital One Debit Card.- 1 Capital One Credit Card.- 1 BJ's Membership Card.- 1 Mercantile Credit Card.- Multiple Amazon Packages that were not delivered yet. The total estimated value of items stolen is $8,570.00.   A NJ Victim Notification Form was completed and a copy was provided to the victim. The stolen vehicle was entered into Auto Theft Task Force and NICIC. A Motor Vehicle Theft Investigation Checklist was completed and submitted to the Detective's Bureau. Sgt. Butler was advised.      A consent to search form was not signed on scene. However, the victim was contacted after the fact and stated that he was unable to respond to headquarters to at this time to since he did not have transportation. He continued that if the car was located he would respond to headquarters to sign a consent to search form.</t>
  </si>
  <si>
    <t>V82UPJ</t>
  </si>
  <si>
    <t>RUN</t>
  </si>
  <si>
    <t>Main Street, 100 Block</t>
  </si>
  <si>
    <t>25-050281</t>
  </si>
  <si>
    <t>259 Park Street, Hackensack, NJ, 07601</t>
  </si>
  <si>
    <t>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t>
  </si>
  <si>
    <t>Park Street, 200 Block</t>
  </si>
  <si>
    <t>25-050625</t>
  </si>
  <si>
    <t>On Thursday, June 19, 2025 at approximately 1204 hours, I responded to 500 South River Street (Shop Rite) on a reported assault. Sgt. Farhi responded to assist. Upon arrival, we met with the complainant (sales associate) who reported that the suspect entered the establishment at approximately 1133 hours. He further reported that the suspect filled his shopping cart with various grocery items before approaching to the self-checkout registers.      The suspect reportedly bypassed the last point of sales before he was stopped by the complainant. The complainant stated that suspect shoved him and proceeded to load his vehicle with the stolen groceries. The suspect fled the scene in a blue Nissan sedan (PA - MNL7949), which was operated by an unidentified adult female. The total loss suffered during the incident was approximately $226.00.      A Victim Notification Form was completed. The complainant was given a copy upon our departure. The complainant did not wish to sign complaints for aggravated assault if the suspect was later identified. He was advised that the incident would be documented and how to obtain a copy of this report. The establishment's loss prevention personnel advised that he would retain surveillance footage of the incident for future references. Det. Tanucilli was notified.     Suspect description: White male, 55-58 years of age, 5'7"- 5'8", slim build, bald head, light facial hair, red shirt, light colored shorts, black/red sneakers</t>
  </si>
  <si>
    <t>MNL7949</t>
  </si>
  <si>
    <t>PA</t>
  </si>
  <si>
    <t>Robbery - 2C:15-1 - Shoplifting - 2C:20-11 - Aggravated Assault - 2C:12-1b</t>
  </si>
  <si>
    <t>25-051150</t>
  </si>
  <si>
    <t>274 State Street, Hackensack, NJ, 07601</t>
  </si>
  <si>
    <t>On June 21, 2025, at approximately 09:26 hours, I responded in marked radio car #117 to 274 State Street (city parking lot - Area D), for a report of a burglary. Upon arrival, I met with the victim who stated that someone tried to steal his vehicle.     The victim stated that he parked the listed vehicle (NJ/M60JZJ) directly behind 251 Main Street, in a marked parking space (space #20) facing east, at approximately 23:30 hours on the date of 06/20/2025.  He returned to his vehicle on this date at approximately 09:00 hours and noticed that the front passenger side door was left ajar and the rear driver side window was broken.  The victim also noticed that the compartment under the steering wheel was left open and the ignition to the vehicle was tampered with.  The victim stated that the vehicle is no longer functional due to the incident. The victim reported that none of his belongings were missing from the vehicle.  The estimated cost of repairs is approximately $2000.00.     Due to the tampering of the ignition, it appeared that the incident was an attempt to steal the vehicle.  The victim stated that the vehicle has an anti theft system installed.  I observed pry marks on the window sill which led me to believe that burglary tools may have been utilized to gain entry.  Due to the vehicle being contaminated by the victim, the scene was unable to be processed for fingerprints.  There are several cameras in the area that may have captured the incident.  The closest camera to the incident is located on the rear of 270 State Street.  Sgt. Gretkowski was notified of the incident.     A New Jersey Victim Notification Form was completed and a copy was given to the victim.  The victim wishes to be notified if any parties involved can be identified.Vehicle Insurance: Company Code 017, Policy #HPA00002847687.</t>
  </si>
  <si>
    <t>M60JZJ</t>
  </si>
  <si>
    <t>ELA</t>
  </si>
  <si>
    <t>Burglary - Auto - 2C:18-2 - Criminal Attempt - 2C:5-1 - Motor Vehicle Theft - 2C:20-3</t>
  </si>
  <si>
    <t>State Street, 200 Block</t>
  </si>
  <si>
    <t>25-051110</t>
  </si>
  <si>
    <t>Notification Request</t>
  </si>
  <si>
    <t>20 Atlantic Street, Hackensack, NJ, 07601</t>
  </si>
  <si>
    <t>On 6/21/25 P.O. F. Caneja and I responded to the listed address to investigate the report of a stolen motor vehicle, which was used to commit a crime within the municipality of Ramsey, NJ.   Upon arrival, we spoke to Brittany Perrotti, who is the registered owner of the vehicle. She stated that she parked her vehicle at the entrance level of the Area A garage near the State Street exit at approximately 15:00 hours on 6/20/25, and had no further contact with the vehicle until she was contacted by the Ramsey Police Department. She stated that she was contacted by the Ramsey Police Department and had been notified that her vehicle was used in the commission of a crime. Officers in Ramsey located the vehicle and attempted to make a motor vehicle stop, but were not able to, which then lead the Ramsey Police Department to contact the victim and make a notification.   Afterwards, I checked the location of the Area A garage where the victim stated that she parked her car. The car was not found at the location, there was no broken glass on the ground, and no other signs of theft was found.  The vehicle is described as a black KIA Sportage bearing NJ registration W70RJE. Complaints are to be signed against identified suspects. A victim notification form was completed, and she was provided with a copy. The victim is undecided at this time about having the vehicle processed for latent prints. She was advised that if she wished to do so, that a consent form needed to be completed. Vehicle insurance information is as follows, Code 632 Plymouth Rock Policy number TCA00002035735. Vehicle information was entered into NCIC.</t>
  </si>
  <si>
    <t>W70RJE</t>
  </si>
  <si>
    <t>SPO</t>
  </si>
  <si>
    <t>Motor Vehicle Theft - 2C:20-3 - Notification Request</t>
  </si>
  <si>
    <t>Atlantic Street, 0 Block</t>
  </si>
  <si>
    <t>Administrative and Support</t>
  </si>
  <si>
    <t>25-051170</t>
  </si>
  <si>
    <t>274 Main Street, Hackensack, NJ, 07601</t>
  </si>
  <si>
    <t>Suspect description: Black male, dressed in all black, wearing a black ski mask.    On Saturday, June 21, 2025 at 1112 hours, Sgt. Gretkowski, P.O. Conlon and I responded to the area of Main Street and Berry Street on a motor vehicle theft. Sgt. Gretkowski was first on scene and he advised communications that this theft occurred approximately 10 minutes in the past. P.O. Conlon and I checked the area with negative results. Communication was advised to announce the stolen vehicle over SPEN.    I met with the victim on Main Street and Berry Street who stated that she parked her vehicle (NJ-S88UJJ) in front of Johnson Library (274 Main Street) and left it running with the doors unlocked. She walked across the street to KD Nutrition (274 1/2 Main Street) where she observed the suspect enter her vehicle. The victim ran across the street to her vehicle, pulled on the car door (which was now locked) then the suspect drove North on Main Street and fled the area.         The victim stated she only had her wallet in the vehicle with contained: 1- New Jersey D.L. Multiple debit/credit cards (All canceled)Approximately $3.00 cashLoose changeCar information (Registration/Insurance)The registered owner was not on scene, but I spoke to him over the phone and he requested the vehicle shall be fingerprinted if located, a consent to the taking of latent prints form was completed. The vehicle had no GPS and approximate value is $34,000. The vehicle was entered into NCIC.A New Jersey Victim Notification Form was completed.  An ATTF entry was made. Insurance information: Cure Auto Insurance (946), Policy #: PANJ089443, Expiration: 09/27/2025</t>
  </si>
  <si>
    <t>S88UJJ</t>
  </si>
  <si>
    <t>HIG</t>
  </si>
  <si>
    <t>Main Street, 200 Block</t>
  </si>
  <si>
    <t>25-051478</t>
  </si>
  <si>
    <t>95 Tracy Place, Hackensack, NJ, 07601</t>
  </si>
  <si>
    <t>G5</t>
  </si>
  <si>
    <t>I responded to the listed location for a motor vehicle theft. The victim reported that he parked his vehicle on 06/21/2025 at approximately 1900 hours and when he returned to his vehicle on 06/22/2025 at approximately 1100 hours it was gone. The victim further stated that he leaves the passenger door unlocked and a key in the center console of the vehicle.      No security cameras were observed in the area of where the vehicle was last seen.     The victim does not want the vehicle processed if it is located. I completed a New Jersey Victim Notification form and a copy was given to the victim. I completed a Hackensack Police Department MV Theft check list and it was turned into the front desk. The vehicle information was entered into the ATTF website. Vehicle was entered into NCIC as stolen.</t>
  </si>
  <si>
    <t>G85RPW</t>
  </si>
  <si>
    <t>COR</t>
  </si>
  <si>
    <t xml:space="preserve">NJ
</t>
  </si>
  <si>
    <t>Tracy Place, 0 Block</t>
  </si>
  <si>
    <t>25-052908</t>
  </si>
  <si>
    <t>250 Main Street, Hackensack, NJ, 07601</t>
  </si>
  <si>
    <t>I responded to police headquarters on a report of a burglary to a resident.  Upon arrival,  I made contact with the victim, Santos De La Cruz, who stated that somebody stole his safe from his room.  The victim stated that the safe was on the floor next to his bed and he saw it last on Monday, June 23rd, 2025.  The victim then went back to his safe this evening (06/26/2025) at approximately 1900 hours to put some of his savings in there, when he noticed the safe was missing.  The safe had $2,000.00 cash, a gold necklace ($300.00), an engagement ring ($300.00), and a gold ring ($300.00).  The safe also has an approximate value of $200.00.  The total estimated proceeds that were taken is approximately $3,100.00.  The victim did not observe an signs of forced entry and stated that his bedroom door is always locked.  Furthermore, he advised that he is the only person that has access to his room keys.  The victim was given a copy of the victim notification form.  Lt. L. Dominguez was advised of the incident and he informed D/Sgt. P. Williams.</t>
  </si>
  <si>
    <t>Burglary - Residence - 2C:18-2 - Theft - 2C:20-3</t>
  </si>
  <si>
    <t>25-052508</t>
  </si>
  <si>
    <t>355 West Pleasantview Avenue , Hackensack, NJ, 07601</t>
  </si>
  <si>
    <t>On June 25, 2025 I responded to 355W Pleasantview Ave on a report of a burglary to auto. Upon arrival, I met with the victim, David Cohen who stated that he believes his vehicle was burglarized some time after he came home. The victim stated that at approximately 12:45 hours today he came home and parked his vehicle in his assigned parking space (space 28). The victim left the windows rolled down about 6 inches while he went into his residence. Approximately an hour later he went back to his vehicle and discovered the interior in disarray and his belongings left in a mess. There were no signs of forced entry to his vehicle at this time.After further observation he realized his black wallet was stolen along with approximately 80-100 dollars and 3 credit cards. The victim reported the wallet was described as a black wallet with an approximate $10.00 value. Sgt. Tedesco responded to the scene shortly after. The victim did not want his vehicle processed at this time. Detectives were notified and a victim notification form was completed.      The victim reported that at the time of the report there was no fraudulent activity on his credit cards.      Total loss from incident is approximately $90-$110 at this time.</t>
  </si>
  <si>
    <t>C58VRT</t>
  </si>
  <si>
    <t>West Pleasantview Avenue, 300 Block</t>
  </si>
  <si>
    <t>25-053161</t>
  </si>
  <si>
    <t>On June 27, 2025, I responded to 77 Prospect on a report of a residential burglary that occurred in the past.  The reported burglary may have occurred today between 1100 hours and 1300 hours.      Upon arrival there was no initial response at the door. I contacted headquarters and they advised that the victim was hard of hearing. The door was unsecured and  I was able to make contact with the victim.  check on the welfare of the victim.            The victim stated she went to take a nap in the living room, at approximately 1100 hours and woke up at approximately 1300 hours. Upon waking up she noticed her apartment was rummaged through and her belongings were all around her on the floor. She observed that $70 cash, some credit cards and food stamps were missing. The victim stated she did not hear anyone walk into her apartment, since she took off her hearing aid when talking her nap. She also states that the apartment door is always left unlocked. The victim contaminated the scene prior to my arrival. No cameras are located on that floor level.Sgt. Farhi was advised and DSGT. Tripodi followed up.</t>
  </si>
  <si>
    <t>Under Supervisor Review</t>
  </si>
  <si>
    <t>25-053984</t>
  </si>
  <si>
    <t>33 East Broadway, Hackensack, NJ, 07601</t>
  </si>
  <si>
    <t>I responded to the listed location on a report of a burglary to auto. Upon arrival, I spoke to the complainant who stated that his vehicle was broken into and many of his tools were stolen. The complainant stated that he last saw his vehicle on 6/29/2025 at approximately 1500 hours and it was in tact. On 6/30/2025 at approximately 07:30 hours, he tried opening his vehicle to go to work and realized that the lock had been broken. He then checked the rest of the vehicle and realized many different items were missing along with the ignition being broken.    The complainant stated that he had no possible suspects for the incident. A New Jersey Victim Witness form was completed and the complainant was provided a copy.   List of stolen items: ($5,000.00)            Big Laser: $600            Laser Point: $400            12 Inch Miter Saw: $600             7 Inch Miter Saw: $350             Table Saw: $700             2 Chipping Guns: $500            Concrete Shotgun: $250              2 Compressor hoses: $200            Compressor: $200            Milwaukee: $200            10 Milwaukee Batteries: $1000            D/Sgt. P. Williams was advised.</t>
  </si>
  <si>
    <t>F10SMK</t>
  </si>
  <si>
    <t>East Broadway, 0 Block</t>
  </si>
  <si>
    <t>Incident Date_Between</t>
  </si>
  <si>
    <t>Incident Time_Between</t>
  </si>
  <si>
    <t>Report Date</t>
  </si>
  <si>
    <t>Report Time</t>
  </si>
  <si>
    <t>CompleteCalc</t>
  </si>
  <si>
    <t>CASE_NUMBER_LENGTH</t>
  </si>
  <si>
    <t>AllIncidents</t>
  </si>
  <si>
    <t>Start of Hour</t>
  </si>
  <si>
    <t>INC_DATE_AND_TIME</t>
  </si>
  <si>
    <t>TOD</t>
  </si>
  <si>
    <t>Week of Month</t>
  </si>
  <si>
    <t>Day of Year</t>
  </si>
  <si>
    <t>BLOCK2</t>
  </si>
  <si>
    <t>Location</t>
  </si>
  <si>
    <t>St#</t>
  </si>
  <si>
    <t>VEHICLE</t>
  </si>
  <si>
    <t>TOTAL_STOLEN_AMOUNT</t>
  </si>
  <si>
    <t>REPORT_CYCLE</t>
  </si>
  <si>
    <t>TIME_OF_DAY</t>
  </si>
  <si>
    <t>Dominguez_l</t>
  </si>
  <si>
    <t>Complete</t>
  </si>
  <si>
    <t>bay_f</t>
  </si>
  <si>
    <t>briggs_s</t>
  </si>
  <si>
    <t>deleon_a</t>
  </si>
  <si>
    <t>KLOSK_J</t>
  </si>
  <si>
    <t>gretkowski_j</t>
  </si>
  <si>
    <t>Unknown</t>
  </si>
  <si>
    <t>unknown</t>
  </si>
  <si>
    <t>Mercedes</t>
  </si>
  <si>
    <t xml:space="preserve">BMW </t>
  </si>
  <si>
    <t>s28snh</t>
  </si>
  <si>
    <t>Honda</t>
  </si>
  <si>
    <t>knapp_j</t>
  </si>
  <si>
    <t>Honda PIL</t>
  </si>
  <si>
    <t>delcarpio_m</t>
  </si>
  <si>
    <t>ghirardi_r</t>
  </si>
  <si>
    <t>Nissan</t>
  </si>
  <si>
    <t>28-Day</t>
  </si>
  <si>
    <t xml:space="preserve">Nissan </t>
  </si>
  <si>
    <t>klosk_j</t>
  </si>
  <si>
    <t>y82vds</t>
  </si>
  <si>
    <t>Volks</t>
  </si>
  <si>
    <t>swetits_m</t>
  </si>
  <si>
    <t>Volks ATL</t>
  </si>
  <si>
    <t>Hyundai</t>
  </si>
  <si>
    <t>Sonata</t>
  </si>
  <si>
    <t>Hyundai Sonata</t>
  </si>
  <si>
    <t>levis_r</t>
  </si>
  <si>
    <t>BAY_F</t>
  </si>
  <si>
    <t>BMW 430</t>
  </si>
  <si>
    <t>Subaru</t>
  </si>
  <si>
    <t>klosk_J</t>
  </si>
  <si>
    <t>Subaru IMP</t>
  </si>
  <si>
    <t>tovbin_s</t>
  </si>
  <si>
    <t>Name</t>
  </si>
  <si>
    <t>Extension</t>
  </si>
  <si>
    <t>Date accessed</t>
  </si>
  <si>
    <t>Date modified</t>
  </si>
  <si>
    <t>Date created</t>
  </si>
  <si>
    <t>Folder Path</t>
  </si>
  <si>
    <t>.xlsx</t>
  </si>
  <si>
    <t>W46uly</t>
  </si>
  <si>
    <t>r36gbb</t>
  </si>
  <si>
    <t>r97ryw</t>
  </si>
  <si>
    <t>nj</t>
  </si>
  <si>
    <t>k84cxu</t>
  </si>
  <si>
    <t>Lexus</t>
  </si>
  <si>
    <t>Swetits_m</t>
  </si>
  <si>
    <t>p77uzj</t>
  </si>
  <si>
    <t>Ford</t>
  </si>
  <si>
    <t>am82732</t>
  </si>
  <si>
    <t>Promaster</t>
  </si>
  <si>
    <t>T12sse</t>
  </si>
  <si>
    <t>Dodge</t>
  </si>
  <si>
    <t>s70mpz</t>
  </si>
  <si>
    <t>l17pum</t>
  </si>
  <si>
    <t>z53rvg</t>
  </si>
  <si>
    <t>farhi_b</t>
  </si>
  <si>
    <t>y52rxa</t>
  </si>
  <si>
    <t>Chevrolet</t>
  </si>
  <si>
    <t>m88kxu</t>
  </si>
  <si>
    <t>competiello_fa</t>
  </si>
  <si>
    <t>Acura</t>
  </si>
  <si>
    <t>Toyota</t>
  </si>
  <si>
    <t>imkr57</t>
  </si>
  <si>
    <t>Rogue</t>
  </si>
  <si>
    <t>utu50w</t>
  </si>
  <si>
    <t>Mazda</t>
  </si>
  <si>
    <t>t21vbk</t>
  </si>
  <si>
    <t>butler_j</t>
  </si>
  <si>
    <t>n51uxw</t>
  </si>
  <si>
    <t>d48utt</t>
  </si>
  <si>
    <t>xkem57</t>
  </si>
  <si>
    <t>h88kag</t>
  </si>
  <si>
    <t>donnerstag_r</t>
  </si>
  <si>
    <t>peralta_k</t>
  </si>
  <si>
    <t>Tesla</t>
  </si>
  <si>
    <t>Yamaha</t>
  </si>
  <si>
    <t>s41usm</t>
  </si>
  <si>
    <t>Infiniti</t>
  </si>
  <si>
    <t>t64klc</t>
  </si>
  <si>
    <t>v82upj</t>
  </si>
  <si>
    <t>w70rje</t>
  </si>
  <si>
    <t>7-Day</t>
  </si>
  <si>
    <t>CaseNumberLength</t>
  </si>
  <si>
    <t>Honda ACC</t>
  </si>
  <si>
    <t>Next Day</t>
  </si>
  <si>
    <t>Within Week</t>
  </si>
  <si>
    <t>Honda CIV</t>
  </si>
  <si>
    <t>Same Day</t>
  </si>
  <si>
    <t>HONDA PAS</t>
  </si>
  <si>
    <t>Nissan PTH</t>
  </si>
  <si>
    <t>Honda CRV</t>
  </si>
  <si>
    <t>Honda ODY</t>
  </si>
  <si>
    <t>Lexus ES</t>
  </si>
  <si>
    <t>Ford CRO</t>
  </si>
  <si>
    <t>RAM Promaster</t>
  </si>
  <si>
    <t>Dodge CAR</t>
  </si>
  <si>
    <t>Within Month</t>
  </si>
  <si>
    <t>Ford R1Z</t>
  </si>
  <si>
    <t>Honda PILOT</t>
  </si>
  <si>
    <t>Ford EXP</t>
  </si>
  <si>
    <t>HYN TIB</t>
  </si>
  <si>
    <t>Subaru TRI</t>
  </si>
  <si>
    <t xml:space="preserve">Chevrolet </t>
  </si>
  <si>
    <t>Ford ECO</t>
  </si>
  <si>
    <t>Acura TLX</t>
  </si>
  <si>
    <t>Toyota SIENNA</t>
  </si>
  <si>
    <t>Nissan Rogue</t>
  </si>
  <si>
    <t>Nissan RGE</t>
  </si>
  <si>
    <t>Mazda C30</t>
  </si>
  <si>
    <t>BMW 530</t>
  </si>
  <si>
    <t>Chevrolet SUB</t>
  </si>
  <si>
    <t>Ford E25</t>
  </si>
  <si>
    <t>GEN G80</t>
  </si>
  <si>
    <t>Tesla MOD</t>
  </si>
  <si>
    <t>Hyundai ELANTA</t>
  </si>
  <si>
    <t>Yamaha CZD</t>
  </si>
  <si>
    <t>Delayed Report</t>
  </si>
  <si>
    <t>Volks JET</t>
  </si>
  <si>
    <t>Toyota CAM</t>
  </si>
  <si>
    <t>Ford BRO</t>
  </si>
  <si>
    <t>QIA JIG</t>
  </si>
  <si>
    <t>Ford ESC</t>
  </si>
  <si>
    <t>Ford E35</t>
  </si>
  <si>
    <t>YAM YZF</t>
  </si>
  <si>
    <t>Infiniti Q50</t>
  </si>
  <si>
    <t>Subaru FOR</t>
  </si>
  <si>
    <t>Toyota RUN</t>
  </si>
  <si>
    <t>KIA SPO</t>
  </si>
  <si>
    <t>Hyundai ELA</t>
  </si>
  <si>
    <t>Toyota HIG</t>
  </si>
  <si>
    <t>Toyota COR</t>
  </si>
  <si>
    <t>Subaru CRO</t>
  </si>
  <si>
    <t>(All)</t>
  </si>
  <si>
    <t>BLOCK</t>
  </si>
  <si>
    <t>NIBRS Classification</t>
  </si>
  <si>
    <t>Block Incident Occurred On</t>
  </si>
  <si>
    <t>12:00-15:59 Afternoon</t>
  </si>
  <si>
    <t>Second St, 0 Block</t>
  </si>
  <si>
    <t>30 Second Street</t>
  </si>
  <si>
    <t>Burglary - Residence</t>
  </si>
  <si>
    <t>suspects at the time this report was taken</t>
  </si>
  <si>
    <t>$35.00. A Victim Notification was completed and the victim was provided with a copy upon our departure</t>
  </si>
  <si>
    <t>08:00-11:59 Morning Peak</t>
  </si>
  <si>
    <t>Sat</t>
  </si>
  <si>
    <t>Kansas St, 0 Block</t>
  </si>
  <si>
    <t>60 Kansas Street</t>
  </si>
  <si>
    <t>suspects inside</t>
  </si>
  <si>
    <t>$2,000 in miscellaneous jewelry. She described the jewelry to be earrings and gold necklaces.The victim reported she had the same incident occur in 2023</t>
  </si>
  <si>
    <t>Morning Peak (08:00-11:59)</t>
  </si>
  <si>
    <t>Fri</t>
  </si>
  <si>
    <t>292 The Esplanade</t>
  </si>
  <si>
    <t>Time of Day Incident Occurred</t>
  </si>
  <si>
    <t>00:00-03:59 Early Morning</t>
  </si>
  <si>
    <t>Wed</t>
  </si>
  <si>
    <t>Passaic St, 400 Block</t>
  </si>
  <si>
    <t>441 Passaic Street</t>
  </si>
  <si>
    <t>Burglary - Commercial, Alarm - Burglar</t>
  </si>
  <si>
    <t>Burglary - Commercial</t>
  </si>
  <si>
    <t>Early Morning (00:00-03:59)</t>
  </si>
  <si>
    <t>Structure Type</t>
  </si>
  <si>
    <t>Residential - Home</t>
  </si>
  <si>
    <t>Pangborn Pl, 0 Block</t>
  </si>
  <si>
    <t>35 Pangborn Place</t>
  </si>
  <si>
    <t>Burglary - Commercial, Suspicious Incident</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</si>
  <si>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</si>
  <si>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</si>
  <si>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Entry Method</t>
  </si>
  <si>
    <t>1 Park Avenue</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</si>
  <si>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</si>
  <si>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Point of Entry</t>
  </si>
  <si>
    <t>20:00-23:59 Night</t>
  </si>
  <si>
    <t>211 Essex Street</t>
  </si>
  <si>
    <t>Burglary - Commercial, Hindering Apprehension, Resisting Arrest/Eluding</t>
  </si>
  <si>
    <t>Hindering Apprehension</t>
  </si>
  <si>
    <t>Resisting Arrest/Eluding</t>
  </si>
  <si>
    <t>Signs of Forced Entry</t>
  </si>
  <si>
    <t>None reported</t>
  </si>
  <si>
    <t>2 Park Avenue</t>
  </si>
  <si>
    <t>Suspect Description</t>
  </si>
  <si>
    <t>100 Essex Street</t>
  </si>
  <si>
    <t>Suspect Vehicle Description</t>
  </si>
  <si>
    <t>75 Fair Street</t>
  </si>
  <si>
    <t>Items Stolen</t>
  </si>
  <si>
    <t>Electronics</t>
  </si>
  <si>
    <t>Value of Stolen Property</t>
  </si>
  <si>
    <t>Offense Completed</t>
  </si>
  <si>
    <t>Yes</t>
  </si>
  <si>
    <t>A neighbor reported the incident while the homeowner was hospitalized for an extended stay at New Bridge Medical Center.</t>
  </si>
  <si>
    <t>28-DAY</t>
  </si>
  <si>
    <t>Victim's Vehicle Description</t>
  </si>
  <si>
    <t>Vehicle Was Parked</t>
  </si>
  <si>
    <t>Damage to Vehicle</t>
  </si>
  <si>
    <t>Keys with Vehicle</t>
  </si>
  <si>
    <t>NJ-U57SNU MAZDA, C30</t>
  </si>
  <si>
    <t>Pritate Lot</t>
  </si>
  <si>
    <t>Not stated in Report</t>
  </si>
  <si>
    <t>N/A</t>
  </si>
  <si>
    <t>No</t>
  </si>
  <si>
    <t>C06W22</t>
  </si>
  <si>
    <t>C:\Users\carucci_r\OneDrive - City of Hackensack\05_EXPORTS\_RMS\SCRPA\</t>
  </si>
  <si>
    <t>25-054058</t>
  </si>
  <si>
    <t>P.O. Lemanowicz and I responded to the listed location on a burglary.   Upon arriving, P.O. Lemanowicz and I spoke with the complainant.  The complainant stated that he left items locked inside apartment #9 on Friday 06/27/25 at around 1600, and when he returned Monday 06/30/25 at 0900, he found that he was missing a Levoit air filter ($120 value) and a replacement Levoit filter ($10 value).  The door was forced open and the interior frame of the door was damaged as well as the dead bolt.      Sgt. Briggs responded to the scene and was advised of the above.   Due to the fact that the crime scene was cleaned up and contaminated by the workers, this scene could not be processed by BCI.  A victim notification from was filled out and a copy was handed to the victim.      There are no suspects at this time.  Total value stolen is $130.00.Estimated damage to the door and lock is $500.00</t>
  </si>
  <si>
    <t>P.O. Ricardo Swaby 381</t>
  </si>
  <si>
    <t>25-054454</t>
  </si>
  <si>
    <t>Suspect #1: Black male approximately in his late 30's, last seen wearing a Red and Blue Cap, Black T-Shirt with red lining and black pants.       Suspect #2: Black female approximately in her late 30's, last seen wearing a Black Cap, a white tank top, gray shorts and white sneakers.         On July 1, 2025, P.O. Anguizaca-Zhindon and I responded to the listed location on a report of a possible shoplifting. Upon arrival, I met with the complainant, loss prevention employee Jeremy Delgado. The complainant  reported at approximately 1241 hours Suspect #1 and Suspect #2 were observed  at the self- check register.      Suspect #1 was observed handing Suspect #2 a meat package to scan. While on surveillance footage both suspects were observed to be under ringing items by using the same meat package with a value of $17.54 and scanning it multiple times . Each meat package has a different value but unable to determine the specific value for each. Various meat packages were observed in the suspects shopping cart but only one being scanned multiple times. The suspects then walked out of the store and the complainant  approached them and confronted them regarding the purchase. The complainant stated that Suspect #1 became aggressive and stated " I will fuck you up" and proceeded to then forcefully pull  the shopping cart out of the complainants hand. No injuries were reported at this time.      Sgt. Briggs responded. The complainant was advised to e-mail surveillance footage of the incident to detectives division. The complainant was advised Detective's will reach out if he wishes to make a statement. D/Sgt. P. Williams was advised.</t>
  </si>
  <si>
    <t>July</t>
  </si>
  <si>
    <t>25-054890</t>
  </si>
  <si>
    <t>175 Passaic Street, Hackensack, NJ, 07601</t>
  </si>
  <si>
    <t>On Wednesday, July 2, 2025, I responded to a reported burglary at the specified residence. Upon arrival, I spoke with the victim, Angela Washington, who stated that her 18-carat gold necklace ($500) and 18-carat gold ball earrings ($250) were missing from the shelf in her bathroom.     The victim reported that earlier today, at approximately 10:45 a.m., she left her residence for a hair appointment in Paterson, NJ, and left the jewelry on the top shelf in the bathroom. She also reported that she ensured both locks on the front door entrance to the apartment were locked when she left. She further reported that she returned to her apartment between 1400 hours and 1430 hours, and upon arrival, she noticed that the top lock was unlocked, but the bottom lock appeared to be secured.      The victim, Angela Washington, reported that when she entered the apartment, she made her way into the bathroom and noticed that the pieces of jewelry were missing. She further reported that nothing else in the apartment appeared to be out of place or missing. I requested a supervisor and Sgt. Donnerstag responded to assist. It should be noted that when we asked the victim why she waited four hours to report the incident, she replied that she cleaned and checked the apartment to make sure she had not misplaced the pieces of jewelry. I completed a victim notification form and provided a copy to the victim. Detective, Sgt. Tripodi was notified.</t>
  </si>
  <si>
    <t>Passaic Street, 100 Block</t>
  </si>
  <si>
    <t>25-055122</t>
  </si>
  <si>
    <t>400  Hackensack Avenue, Hackensack, NJ, 07601</t>
  </si>
  <si>
    <t>On 7/3/25 P.O. I. Papanikolaou and I responded to 400 Hackensack Avenue, the Shops at Riverside, on a burglary.     Upon arrival, I met with the complainant, Connie Rexach, and her employee, Mason Bullock. The complainant was the Manager of Divinity Cleaning Service. Divinity Cleaning Service was a company who had a contract, for approximately 2 years, with the Cheesecake Factory.     The complainant stated between 6/27/25 at approximately 09:30 hours and 7/1/25 at approximately 18:00 hours an unknown suspect(s) stole equipment from the Cheesecake Factory Mechanical Room. The Cheesecake Factory Mechanical Room entry door was located outside on the south side of the Shops at Riverside. The complainant reported the Cheesecake Factory Mechanical Room door was locked, but it doesn't properly secure and could be forced open with pressure. The stolen equipment were as follows:A side by side floor machine, unknown serial number and unknown brand. Estimated value was approximately $850.00.A five pound bucket of stone polish paste valued at $480.Total value of stolen equipment was $1,330.00.   The complainant stated the Shops at Riverside Security Department was notified and advised of the incident.    Upon inspecting the Cheesecake Factory Mechanical Room no signs of forced entry / damage were observed. Additionally since 7/1/25 multiple people possibly made entry into the room, which contaminated any possible service area for fingerprints.    A supervisor was requested and Sgt. Competiello responded. The Detective Bureau was notified by Sgt. Competiello and Det. Sgt. Williams was advised of the incident.    A New Jersey Victim Notification Form was completed. The complainant reported if the suspect(s) are identified Divinity Cleaning Service would pursue a criminal case.</t>
  </si>
  <si>
    <t>Burglary - Commercial - 2C:18-2 - Theft - 2C:20-3</t>
  </si>
  <si>
    <t>25-055295</t>
  </si>
  <si>
    <t>275 Beech Street, Hackensack, NJ, 07601</t>
  </si>
  <si>
    <t>On Thursday July 3, 2025, P.O. Rodriguez and I responded to 30 Prospect Ave (Hackensack University Medical Center, Pediatric Emergency Department) on a report of a Sexual Assault on a juvenile. Upon arrival, we met with the complainant, Samira Fernandez, the victim's mother, and the victim, I.L.. DCP&amp;P investigator Shannon Greco was on scene and speaking with the complainant when we arrived. The victim's mother stated that when the victim's father, Jhonn Liendres arrived home, the front door was locked, which was unusual. When the father entered the home, he found the victim with his pants on backwards. The victim's mother stated that the father observed the suspect C.L., the victim's 13 year old uncle to be nervous. The victim told his parents that while he was with his uncle, his uncle used his penis to touch the victim's buttocks. As the victims father tried to ascertain information from the victim, he struck the victim with a belt on the back of his leg causing pain and marks of redness on the victim.  The victim denied any penetration when asked by his parents. The complainant refused medical attention from the forensic nurse on the victim's behalf.       Sgt. Tedesco arrived on scene to assist and made notifications to the Detective Bureau. Detective C. Lara-Nunez arrived on scene at which point the investigation was turned over to the Detective Bureau.</t>
  </si>
  <si>
    <t>P.O. Eric Badalyan 382</t>
  </si>
  <si>
    <t>Beech Street, 200 Block</t>
  </si>
  <si>
    <t>25-056435</t>
  </si>
  <si>
    <t>65 Court Street, Hackensack, NJ, 07601</t>
  </si>
  <si>
    <t>On Monday, July 7, 2025, at approximately 14:40 hours, P.O. Small, P.O. Han, P.O. J. Peralta, and I responded to 65 Court Street (Pep Boys) on a report of a robbery. Sgt. Donnerstag also responded. Upon arrival, P.O. Small was interviewing the suspects while I spoke with the victim, Shomari Mighty. MIGHTY reported that while walking on the river walk in the rear of the listed location, the arrestee, Jose Colon-Nunez, confronted him. MIGHTY further reported, COLON-NUNEZ  was accompanied by the two suspects, Eliandry Guerrero and Oswaldo Perez. MIGHTY indicated, COLON-NUNEZ mistook him for someone who assaulted him the day prior. See case 25-056199 for further information regarding the aforementioned assault.      MIGHTY added that when he denied assaulting COLON-NUNEZ, GUERRERO took his "off brand Samsung" smart phone from his hand and threw it in the river. MIGHTY stated that the phone is valued at $36.00.  MIGHTY further reported that after GUERRERO threw his phone, COLON-NUNEZ struck him in the left leg with a black baseball bat. MIGHTY further reported that after being struck with the bat, PEREZ struck him on the right hip with a small black garden shovel. Both shovel and baseball bat were located near the river walk and logged into evidence. MIGHTY reported that following the assault with the bat and shovel, GUERRERO utilized a can of pepper spray to spray him in the neck, arm, and chest area. MIGHTY complained of pain to his left leg, right hip, and left arm. MIGHTY requested medical assistance and soon after, Hackensack Meridian Health ambulance 1350 arrived on scene. MIGHTY agreed to provide a recorded statement of the incident. However, he was transported Hackensack University Medical Center for evaluation.     I then spoke with GUERRERO, PEREZ, and COLON-NUNEZ. Who all reported that yesterday, while at the river walk, MIGHTY pepper sprayed COLON-NUNEZ and fled the area. They further reported, MIGHTY returned to the river walk today, while they were fishing. PEREZ indicated that after confronting MIGHTY about the assault, MIGHTY brandished a can of pepper spray and attempted to spray them. PEREZ reported observing MIGHTY recording them with his cellphone, but denied anyone took it from him. It should be noted, P.O. Small reported speaking with an anonymous witness who confirmed GUERRERO pepper sprayed MIGHTY. The anonymous witness further reported one of the suspects took MIGHTY'S cell phone, however, he was unsure which one.     While on scene, warrant checks for the suspects were conducted which yielding active arrest warrant E241201 for COLON-NUNEZ. The warrant was issued on 08/22/2024 by, Honorable Judge Giuseppe Randazzo, of the South Hackensack Municipal Court for the original charge of 39:3-10 in the amount of $1,000.00. COLON-NUNEZ's  hands were secured being his back with handcuffs and he was searched incident to arrest yielding negative results for contraband. He was placed in the rear compartment of radio car 117. The rear compartment was checked before and after transport yielding negative results for contraband. Upon arrival to headquarters, I conducted a secondary search of COLON-NUNEZ which also produced negative results for contraband. The arrestee was processed and transported to South Hackensack Police Department for his active warrant. Victim notification form was completed. MIGHTY reported he wishes to sign complaints against all suspects. Detectives were notified and will be following up.</t>
  </si>
  <si>
    <t>Court Street, 0 Block</t>
  </si>
  <si>
    <t>Warrant Arrest - Robbery - 2C:15-1 - Weapons - Unlawful Purposes - 2C:39-4</t>
  </si>
  <si>
    <t>25-056999</t>
  </si>
  <si>
    <t>240 First Street, Hackensack, NJ, 07601</t>
  </si>
  <si>
    <t>On Wednesday, July 9th, 2025 I responded to Headquarters on a walk in report of a burglary to residence. Upon arrival, I met with the victim who stated that on 07/08/25 at 1945 hours, his room was vacant and locked while he was at work. When he returned at 07/09/25 at 0010 hours, his door was opened and his room was ransacked.     The victim stated that he looked around his room and realized his PlayStation 5 Disk Console Version was missing along with the headset and HDMI cord. He also noticed that $375.00 cash was missing from his drawer and 3 debit cards (which he canceled). The victim contaminated the scene while looking through his belongings making it unable to be processed. Items stolen:PlayStation 5 Disk Version Console valued at: $929.99$375.00 cash                                                                   Total amount stolen: $1,304.99    The victim believes that Fred Brown is the suspect. The victim is helping out Fred Brown's wife, Natalya Brown, while she is having relationship issues with her husband. Earlier in the night on 07/08/2025, there was an incident involving a violation of a temporary restraining order where Natalya Brown was arrested. I responded to 240 First Street earlier this shift and became familiar with the situation. See OCA 25-056896 for further details. The victim stated that the suspect snatched his room key out of Ms. Brown's hand while he was on scene earlier in the day.     The victim believes that the suspect is jealous and upset that his wife is currently living with another man while the restraining order is in place. He believes that the suspect is retaliating against him and that's his motive for entering his apartment and stealing numerous items. After the completion of this report, I responded to 240 First Street Room 1 and observed no signs of forced entry to the door. Lt. L. Dominguez was advised. A New Jersey Victim Notification Form was completed.</t>
  </si>
  <si>
    <t>25-057343</t>
  </si>
  <si>
    <t>10 Sussex Street, Hackensack, NJ, 07601</t>
  </si>
  <si>
    <t>On July 10, 2025, at approximately 02:32 hours, I responded in marked radio car #106 to the intersection of Main Street and Court Street for a report of an assault that occurred.  P.O. McCarthy and P.O. Swaby responded to assist.  Upon arrival, I met with the complainant and the victim.  The victim visible signs of trauma, having lacerations, and bleeding from his face.  The complainant stated that he was driving on Main Street when he was flagged down by the victim who asked the complainant to contact the police because he was assaulted.  The victim had a strong odor of an alcoholic beverage emanating from his breath as he spoke.   The victim admitted to drinking before the incident occurred.     The victim stated that two Hispanic males tried to kill him. He was walking home from a volleyball game at a residence on Kansas Street when he was approached by both suspects in front of 10 Sussex Street.  One of the suspects stated "You fucking immigrant, we're going to kill you."  Immediately after the statement was made, the suspects began the assault by striking the victim several times on the head and face.  The victim fell to the ground where he was struck several more times.  The victim stated that the suspects may have struck him with a baseball bat or some other blunt object during the assault.  After the assault, the suspects stole the victim's iPhone and wallet and fled in an unknown direction.  The victim had lacerations on both eyebrows, bleeding from the head and mouth, bilateral abrasions to his lower extremities and a complaint of pain on his lower back.  I requested an Ambulance to which Hackensack University Medical Center Ambulance responded.  Sgt. Tovbin was notified and responded.       P.O. Anguizaca and P.O. Vicale canvassed the area for the suspects with negative results.  P.O. McCarthy and P.O. Swaby checked the scene of where the incident occurred to which they recovered a black iPhone case in front of 22 Sussex Street that possibly belonged to the victim.  When asked, the victim stated that he had a black case on his phone.  Several cameras were observed in the area of the scene but were unable to be viewed at this time.       The victim stated that his black bi-fold wallet contained approximately $600.00 in US currency, a credit card, and his NJ driver's license.  The cost of the victim's phone is worth approximately $1000.00.  Total reported loss suffered is approximately $1600.00.       A New Jersey Victim Notification Form was completed and a copy was given to the victim.  The victim was transported to Hackensack University Medical Center.  I followed the ambulance to the hospital and waited with the victim until Det. Scarpa arrived.  A bias incident form was completed.</t>
  </si>
  <si>
    <t>briggs_S</t>
  </si>
  <si>
    <t>Sussex Street, 0 Block</t>
  </si>
  <si>
    <t>Robbery - 2C:15-1 - Aggravated Assault - 2C:12-1b - Terroristic Threats - 2C:12-3</t>
  </si>
  <si>
    <t>25-057654</t>
  </si>
  <si>
    <t>57 McKinley Street, Hackensack, NJ, 07601</t>
  </si>
  <si>
    <t>The arrestee and victim are currently in a 3 year dating relationship and live together.         P.O. Lemanowicz, P.O. Reyes, P.O. Anguizaca, Sgt. Briggs, and I responded to the listed location on a report of a disturbance. Upon our arrival, all parties were separated, and an ambulance was called due to the arrestee and victim having visible signs of injury.  Hackensack University Medical Center Ambulance #1340 arrived and interpreted for the victim.  The victim stated that the arrestee had punched her in the face causing pain as well as punched her right arm causing visible swelling.  While assaulting her, he took her phone from her hand and broke it by bending it.  The victim had visible swelling to her right cheek and right forearm.  She further explained that she called Quito-Quituizaca, to help her and when he arrived to help, the arrestee immediately started attacking him and he defended himself.  The arrestee was placed under arrest for assaulting the victim and was placed in handcuffs behind his back.  I located 2 cell phones in his right front pocket while searching him.         Sgt. Briggs spoke with the victim who advised him that the arrestee stole on her phone out of her hands.  The victim was shown both phones in the arrestee's possession and she confirmed that one of the phones was hers.  That cell phone was returned to her.  HackensackUMC Ambulance responded and transported the victim to Hackensack Meridian Health Hospital.  P.O. Anguizaca followed the ambulance to the hospital.          While speaking on scene with various parties, the arrestee spontaneously uttered he was in his house and the two males on scene entered his house and assaulted him for no reason.  The arrestee had visible signs of injury to his nose, right shin, and left foot.  The arrestee was barefoot during the fight upon police response and it is believed he stepped on glass while fighting and cut his toe.  The arrestee had an odor of alcoholic beverage and admitted to drinking 6 beers.            The arrestee was then placed in the rear of radio car 108 which was searched prior to and after transport to Headquarters which was also negative for contraband.          While at the hospital with P.O. Anguizaca, the victim further explained that the arrestee was drinking inside their bedroom and a verbal dispute ensued because the arrestee got mad that the victim took a taxi to work.  The victim believes he is jealous and he started to assault her in the bedroom by pulling her hair, and pushed her on top of the bed.  He then grabbed her hair again and began punching her in the face.  The victim tried to cover her face with her forearm but he kept punching her and she believes that is how the injury occurred to her arm.  The arrestee demanded she call the taxi driver to confront him and she did.  The arrestee then went outside to confront the other party and while he was waiting for him, he took the victim's phone and broke it.  At headquarters, Hackensack University Medical Center ambulance #1346 arrived to treat the arrestee's injuries but he refused medical attention and signed an Refusal of Medical Attention form.  The ambulance left and ultimately returned due to the arrestee requesting medical attention later.  The arrestee was transported to Holy Name Hospital with P.O. L. Lopez riding in the ambulance with the arrestee.  The victim did not want to file for a restraining order, did not wish to speak to a DVRT and refused to make a written statement.  ODARA was scored and filed.  She was provided a copy of the victim notification form.The victim's cell phone is valued at $160.00.P.O. Anguizaca advised that the victim did not sustain any serious injuries or fractures.Sgt. Briggs authored complaint #0223W2025-360 against the arrestee for violations of 2C:12-1a(1), 2C:17-3a(1), 2C:15-1a(1), and 2C:13-3.  The arrestee will be lodged in the Bergen County Jail upon discharge from the hospital.</t>
  </si>
  <si>
    <t>McKinley Street, 0 Block</t>
  </si>
  <si>
    <t>Simple Assault - 2C:12-1a - Robbery - 2C:15-1 - Criminal Mischief - 2C:17-3</t>
  </si>
  <si>
    <t>25-058331</t>
  </si>
  <si>
    <t>Charles Street &amp; , Hackensack, NJ, 07601</t>
  </si>
  <si>
    <t>On 07/13/25, P.O. Almonte, P.O. Badalyan, and I responded to Charles Street on a report of a sexual assault complaint. Upon arrival, we met with the victim who reported her friend, Sthiven Rodriguez, sexually assaulted her by penetrating his penis into her vagina. The victim stated her and the suspect never had a dating relationship; however, have been friends for approximately 12 years.        The victim stated her and the suspect was on their way back from 'Iron Bar' located in Morristown, NJ. The victim then stated the suspect had parked "a couple blocks" away from Charles Street in the city of Hackensack where the assault took place. The victim stated she refused multiple times to have any sexual contact with the suspect. The victim stated the suspect then disregarded then proceeded by penetrating his penis into her vagina. The victim then stated at this time she exited the vehicle and called the police.       Lt. Dominguez arrived on scene to assist. The victim requested to be transported to police headquarters to speak with detectives for statements. The victim was transported in marked radio car #120. The rear seat was checked prior and after transport with negative results. P.O. Almonte and P.O. Badalyan followed. At police headquarters, the victim refused medical attention. Detective G. Lara-Nunez was notified. While attempting to gather more information, the victim was uncooperative and refused to speak with detectives.  Ultimately she requested to use the bathroom, ordered herself an Uber, and left headquarters.     A New Jersey Victim Notification Form was completed. A copy was explained and given to the victim.</t>
  </si>
  <si>
    <t>25-058451</t>
  </si>
  <si>
    <t>210 Main Street, Hackensack, NJ, 07601</t>
  </si>
  <si>
    <t>I responded to the listed location on a reported burglary into a storage unit. Upon arrival, I met with victim (Mrs. Marjan Moussavian) and her husband (Mr. Derrick Forrest). Mrs. Moussavian reported that during the morning hours on 07/04/2025, they locked their storage unit (#19), located in the basement of the building. Upon their return on 07/13/2025 at 0800 hours, they discovered the lock to the storage unit pushed up, and the unit was visibly accessed by an unknown person(s). Stolen out of the unit were (8) liquor bottles, valued at approximately ($200.00) and (4) sneakers, each valued at ($250.00). Total value stolen ($1,200.00). It should be noted that two liquor bottles were located by Mrs. Moussavian inside the unit were opened and used by the suspect(s). Bottles and storage unit are unable to be processed at this time. I did not observe any surveillance cameras in the area of the storage unit and the hallway leading to the unit. Sgt. Competiello was advised and responded. A victim notification form was completed and a copy was given to the victim. See OCA 25-058479 for a follow up incident.</t>
  </si>
  <si>
    <t>P.O. Nart Marza 321</t>
  </si>
  <si>
    <t>25-058479</t>
  </si>
  <si>
    <t>On 7/13/25 P.O. Rivera and I responded to 210 Main Street on a burglary call.   Upon arrival, I met with the victim, Marjan Moussavian, who stated that she realized items were stolen from her storage locker unit 19. She stated that the burglary approximately took place between 1230 hrs and 1330 hrs 7/13/25. The victim stated that she reported a separate burglary of the same storage locker earlier in the day. She began to empty the storage locker due to the broken latch, and drove her items another storage location. She left an ice machine and a HP monitor behind. When she returned to her storage locker at 1330, the ice machine and HP monitor were gone. She believes that someone unrelated to the first burglary took the items from her storage locker. There are cameras in the exterior and interior of the building that may have captured the incident. There were no staff members present to allow access to the cameras at the time of this report. Items stolen were as follows: a ice machine approximately valued at $500, and a HP monitor approximately valued at $300.A victim notification form was completed and provided to the victim. While on scene, Detectives requested we gather the evidence from the initial burglary. Reference case number 25-058451 for further information.</t>
  </si>
  <si>
    <t>25-059260</t>
  </si>
  <si>
    <t>18 Lodi Street, Hackensack, NJ, 07601</t>
  </si>
  <si>
    <t>I responded to the listed location for a possible burglary. Upon arrival, I spoke to the victim who stated that he was at his friends house with 6 people including the suspects drinking from 20:00 hours and 05:00 hours. He then stated that he had $7,000.00 in his pocket which he put into his vehicle and the two suspects saw him do so. The victim stated that moments later, his car alarm was going off and when he attempted to go to his vehicle, the two suspects convinced him not to. The victim believes the two suspects contacted a third party to get into his vehicle and take the money.    The victim then arrived at his vehicle at 05:00 hours and noticed the two front doors were unlocked when he had left them secured. The victim stated that nothing more was taken from the vehicle. The victim could not provide any further pedigree information on the suspects.   A New Jersey Victim Notification form was completed. Sgt. Briggs was notified.   Total Loss: $7,000.00.</t>
  </si>
  <si>
    <t>Z23VFV</t>
  </si>
  <si>
    <t>DAK</t>
  </si>
  <si>
    <t>25-059951</t>
  </si>
  <si>
    <t>56 Pink Street, Hackensack, NJ, 07601</t>
  </si>
  <si>
    <t>On July 17, 2025, P.O. Lemanowicz and I responded to 56 Pink Street on a report of a dispute. Upon arrival, I met with the juvenile D.G who reported being involved in a physical dispute with her mother, Gladys Murillo.        Upon speaking to the mother of the juvenile, she reported that she dropped off the juvenile at the Hackensack High School for practice. The mother stated that upon returning home and checking the juvenile's phone, she discovered the juvenile lied to the mother and was not at practice but with the suspect, which mom confirmed as the juvenile's boyfriend, Manuel Martinez.       The mom stated that she picked up the juvenile at the Hackensack High School and that is when a physical dispute occurred between her and the juvenile. The juvenile reported that her mother pulled her hair and slapped her face causing her to fall and scrape her knee.  I was unable to see any scratches or scrapes on her knee. The juvenile complained of head pain, but did not wish to be checked out by EMTs. The mother reported returning back home with the juvenile and the juvenile sneaking out once again through her window. The juvenile responded back home and called 911.         The mother reports that the juvenile is currently in a dating relationship with Manuel Martinez who is currently 19 years of age. Sgt. Tovbin responded. Sgt. Tovbin asked the juvenile if Manuel Martinez and her were currently in a dating relationship in which she responded no. Sgt. Tovbin then asked if they involved in sexual relationships in which she replied yes.         Det. James was notified. DCP&amp;P( Erika #1334) was notified and reported a 24 hour response time for the Bergen South Office. A Handle With Care Form was completed</t>
  </si>
  <si>
    <t>Det. Travoun James 305</t>
  </si>
  <si>
    <t>Pink Street, 0 Block</t>
  </si>
  <si>
    <t>Sexual Assault - 2C:14-2b - Juvenile Investigation - Dispute</t>
  </si>
  <si>
    <t>25-060143</t>
  </si>
  <si>
    <t>Suspect Description: The suspect is a light-skinned Hispanic male, approximately 5'2" tall, with a clean-cut hairstyle and a beard. He was last seen wearing a white T-shirt and has a tattoo on his left arm.     On July 18th, 2025 at approximately 15:30 hours, the victim responded to Hackensack Police Department to report a robbery that occurred on July 17th, 2025, between 16:30 and 17:00 hours. The victim stated that the suspect entered the store and approached him, claiming he wanted to exchange a negative battery cord that he had purchased. The victim informed the suspect that a receipt was required for the exchange.    The suspect became angry upon learning that he could not return the item. He then proceeded to the aisle where the item was located, and took a different sized negative battery cord, and exited the store without paying. The victim waited a few minutes before going outside to try to get a visual of the suspect's license plate.    As the victim was walking out, the suspect noticed him, stopped his vehicle, and exited. The suspect verbally threatened the victim, saying, "If you come any closer, I will stab you!" The victim observed the suspect holding a black box cutter by his leg. The suspect then got back into his vehicle and drove away in an unknown direction.    The victim was unable to see the suspect's license plate but reported that the suspect left in a possible 2005 Black BMW convertible without a front license plate. The estimated value of the item taken was $20.00.  The victim expressed concern for his safety, fearing that the suspect might return.The Detective Bureau was notified, and Det. Debonis responded to see if the victim was willing to provide a statement.  Incident turned over to Det. Debonis.</t>
  </si>
  <si>
    <t>SPO. Aster Abueg 817</t>
  </si>
  <si>
    <t>25-060245</t>
  </si>
  <si>
    <t>400 Central Avenue, Hackensack, NJ, 07601</t>
  </si>
  <si>
    <t>Suspect Description : Black Male approximately in his early 30's last seen wearing a white tank top, gray sweat shorts and yellow and white sneakers.          On July 18, 2025, P.O Mccarthy, P.O. Swaby and I responded to the listed location on a report of a theft. Upon arrival, I met with the complainant who reported that on July 18, 2025, she observed an unknown male suspect via her ring camera open vehicle 1 bearing NJ registration M57SNC. Vehicle 1 is registered to the victim, Brandon Boyce, who is also the complainant's son. The unknown suspect is seen approaching Vehicle 1 opening the door through what appears to be an open driver side window.  He then enters the vehicle and takes a wallet out of the vehicle . The suspect then flees West on Central Avenue. The victim was unable to determine what belongings were in the wallet at this time.  Upon my arrival, the car had already been contaminated, therefore the complainant chose to not process the vehicle. The victim received a completed victim notification form.</t>
  </si>
  <si>
    <t>M57SNC</t>
  </si>
  <si>
    <t>Jeep</t>
  </si>
  <si>
    <t>GRA</t>
  </si>
  <si>
    <t>Central Avenue, 400 Block</t>
  </si>
  <si>
    <t>25-060401</t>
  </si>
  <si>
    <t>307 Maple Hill Drive, Hackensack, NJ, 07601</t>
  </si>
  <si>
    <t>P.O. Estrada and I responded to the listed address on a report of a burglary to three vehicles in the driveway.  Upon our arrival, we spoke to the complainant, who is the operator of vehicle 1, NJ/J30UAF, OCA/25-060392.  The complainant stated while house sitting at the listed address, three vehicles in the driveway were burglarized. The complainant stated between 7/18/2025 at about 20:30 hours and today, 7/19/2025 at about 14:10 hours, the three vehicles were burglarized.     The complainant stated today at 14:10 hours, he responded to vehicle 1 and had noticed that the center console lid was open and the vehicle had been rummaged through.  The complainant stated that the vehicle was left unlocked during the incident. The complainant reported he checked the interior of vehicle 1 and stated that his girlfriends/ registered owner U.S. Social Security card and U.S. Passport was missing.     The complainant stated he then checked vehicle 2, NY/KNF9225, OCA/25-060401, which was also left unlocked, and found the drivers door ajar.  The complainant stated he checked the interior of the vehicle which did not appear to be rummaged through, but found that the front exterior "Honda Accord distance sensor" was taken ($1,024 value).   Lastly, the complainant stated that he checked vehicle 3, NY/HKR1235, OCA/25-060402, which was also left unlocked and discovered that the following items were missing from the rear hatch area. 1 Milwaukee air pump- $1001 Milwaukee Impact drill- $2001 Black bag with various hand tools- $2503 Milwaukee battery packs- $300  A supervisor was requested and Sgt. Competiello responded and was advised.  Due to the complainant advising that he entered all three vehicles to conduct an inventory, the three vehicles were unable to be processed due to them being contaminated. The complainant stated he contacted the three registered owners of the vehicles and advised them.  Three NJ Victim Notification Forms were completed and given to the complainant.  It should be noted, the three victim notification forms were unable to be signed by the victims as they were away on vacation.</t>
  </si>
  <si>
    <t>knf9225</t>
  </si>
  <si>
    <t>ACCORD</t>
  </si>
  <si>
    <t>P.O. Christopher Cole 385</t>
  </si>
  <si>
    <t>Maple Hill Drive, 300 Block</t>
  </si>
  <si>
    <t>25-060402</t>
  </si>
  <si>
    <t>hkr1235</t>
  </si>
  <si>
    <t>25-060392</t>
  </si>
  <si>
    <t>P.O. Estrada and I responded to the listed address on a report of a burglary to three vehicles in the driveway.  Upon our arrival, we spoke to the complainant, who is the operator of vehicle 1, NJ/J30UAF.  The complainant stated while house sitting at the listed address, three vehicles in the driveway were burglarized. The complainant stated between 7/18/2025 at about 20:30 hours and today, 7/19/2025 at about 14:10 hours, the three vehicles were burglarized.     The complainant stated today at 14:10 hours, he responded to vehicle 1 and had noticed that the center console lid was open and the vehicle had been rummaged through.  The complainant stated that the vehicle was left unlocked during the incident. The complainant reported he checked the interior of vehicle 1 and stated that his girlfriends/ registered owner U.S. Social Security card and U.S. Passport was missing.     The complainant stated he then checked vehicle 2, NY/KNF9225, OCA/25-060401, which was also left unlocked, and found the drivers door ajar.  The complainant stated he checked the interior of the vehicle which did not appear to be rummaged through, but found that the front exterior "Honda Accord distance sensor" was taken ($1,024 value).   Lastly, the complainant stated that he checked vehicle 3, NY/HKR1235, OCA/25-060402, which was also left unlocked and discovered that the following items were missing from the rear hatch area. 1 Milwaukee air pump- $1001 Milwaukee Impact drill- $2001 Black bag with various hand tools- $2503 Milwaukee battery packs- $300  A supervisor was requested and Sgt. Competiello responded and was advised.  Due to the complainant advising that he entered all three vehicles to conduct an inventory, the three vehicles were unable to be processed due to them being contaminated. The complainant stated he contacted the three registered owners of the vehicles and advised them.  Three NJ Victim Notification Forms were completed and given to the complainant.  It should be noted, the three victim notification forms were unable to be signed by the victims as they were away on vacation.</t>
  </si>
  <si>
    <t>j30uaf</t>
  </si>
  <si>
    <t>MUR</t>
  </si>
  <si>
    <t>25-061119</t>
  </si>
  <si>
    <t>33 Oak Street, Hackensack, NJ, 07601</t>
  </si>
  <si>
    <t>caller stated his veh was stolen from his garage - last seen this morning -- just got home 5 min ago</t>
  </si>
  <si>
    <t>P26RLZ</t>
  </si>
  <si>
    <t>LAM</t>
  </si>
  <si>
    <t>HUR</t>
  </si>
  <si>
    <t>Incomplete</t>
  </si>
  <si>
    <t>Oak Street, 0 Block</t>
  </si>
  <si>
    <t>Burglary - Residence - 2C:18-2 - Motor Vehicle Theft - 2C:20-3</t>
  </si>
  <si>
    <t>Dodge DAK</t>
  </si>
  <si>
    <t>Jeep GRA</t>
  </si>
  <si>
    <t>HONDA ACCORD</t>
  </si>
  <si>
    <t>Nissan MUR</t>
  </si>
  <si>
    <t>LAM HUR</t>
  </si>
  <si>
    <t>JEEP</t>
  </si>
  <si>
    <t>KNF9225</t>
  </si>
  <si>
    <t>HKR1235</t>
  </si>
  <si>
    <t>J30UAF</t>
  </si>
  <si>
    <t>Suspect 1: Black male, approximately 20-30 y.o.a., approximately 5'8" and 150 lbs, wearing gray hooded sweatshirt, gray sweatpants, black shoes, and black mask.       Suspect 2: Black male, approximately 20-30 y.o.a., approximately 5'8" and 150 lbs, wearing black hooded sweatshirt, black sweatpants, and black mask.     On 07/21/25, I responded to 33 Oak Street Apt. 1 on a report of a burglary to residence and motor vehicle theft. Upon arrival I met with the victim who had stated he arrived home at approximately 18:30 hours. The victim stated he observed the front door breached open. The victim then noticed his Lamborghini Huracan vehicle key missing. Victim entered the home garage and observed the vehicle missing. The Lamborghini cost approximately $400,000. His second vehicle, a black Mercedes-Benz G63 bearing NJ-G15VSH, was in the garage; however, suspects attempted to take as well. The victim further stated suspects entered his home and took his 'Rolex' that cost approximately $15,000. and his 'Audeman Piguet' that cost approximately $32,000.      The total monetary lost value was $447,000.00. Sgt. Farhi responded to assist. Detectives and Bergen County BCI were notified. Det. Scarpa arrived to asssist. BCI Det. Charlenea arrived to assist.      Sgt. Farhi, Det. Scarpa, Det. Charlenea, Det. , and I walked through the residence along with the victim. The scene was turned over to BCI who took photographs and collected fingerprints.      A New Jersey Victim Notification Form was completed. A copy was explained and given to the victim. A Hackensack Police Department Consent to Search Vehicle Form was completed. The stolen vehicle was entered into the Auto Theft Task Force.</t>
  </si>
  <si>
    <t>Lamborguini</t>
  </si>
  <si>
    <t>Huracan</t>
  </si>
  <si>
    <t>G15VSH</t>
  </si>
  <si>
    <t>Mercedes-Benz</t>
  </si>
  <si>
    <t>G63</t>
  </si>
  <si>
    <t>Burglary - Residence - 2C:18-2 - Motor Vehicle Theft - 2C:20-3 - Criminal Mischief - 2C:17-3</t>
  </si>
  <si>
    <t>Lamborguini Huracan</t>
  </si>
  <si>
    <t>Attribute</t>
  </si>
  <si>
    <t>Incident_Type</t>
  </si>
  <si>
    <t>Sexual Offenses</t>
  </si>
  <si>
    <t>2025_07_22_10_58_10_ALL_RMS.xlsx</t>
  </si>
  <si>
    <t>Suspect 1: Black male, approximately 20-30 y.o.a., approximately 5'8" and 150 lbs, wearing gray hooded sweatshirt, gray sweatpants, black shoes, and black mask.       Suspect 2: Black male, approximately 20-30 y.o.a., approximately 5'8" and 150 lbs, wearing black hooded sweatshirt, black sweatpants, and black mask.     On 07/21/25, I responded to 33 Oak Street Apt. 1 on a report of a burglary to residence and motor vehicle theft. Upon arrival I met with the victim who had stated he arrived home at approximately 18:30 hours. The victim stated he observed the front door breached open. The victim then noticed his Lamborghini Huracan vehicle key missing. Victim entered the home garage and observed the vehicle missing. The Lamborghini cost approximately $400,000. His second vehicle, a black Mercedes-Benz G63 bearing NJ-G15VSH, was in the garage; however, suspects attempted to take as well. The victim further stated suspects entered his home and took his 'Rolex' that cost approximately $15,000. and his 'Audeman Piguet' that cost approximately $32,000.      The total monetary lost value was $447,000.00. Sgt. Farhi responded to assist. Detectives and Bergen County BCI were notified. Det. Scarpa arrived to asssist. BCI Det. Charlenea arrived to assist.      Sgt. Farhi, Det. Scarpa, Det. Charlenea, Det. Anastasio, and I walked through the residence along with the victim. The scene was turned over to BCI who then took photographs and collected fingerprints.      A New Jersey Victim Notification Form was completed. A copy was explained and given to the victim. A Hackensack Police Department Consent to Search Vehicle Form was completed. The stolen vehicle was entered into the Auto Theft Task Force.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</si>
</sst>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ddd"/>
    <numFmt numFmtId="165" formatCode="00"/>
    <numFmt numFmtId="166" formatCode="000"/>
    <numFmt numFmtId="167" formatCode="mm/dd/yy\ hh:mm"/>
    <numFmt numFmtId="168" formatCode="[$-F400]h:mm:ss\ AM/PM"/>
    <numFmt numFmtId="169" formatCode="hh:mm"/>
  </numFmts>
  <fonts count="18" x14ac:knownFonts="1">
    <font>
      <sz val="11"/>
      <color theme="1"/>
      <name val="Calibri"/>
      <family val="2"/>
      <scheme val="minor"/>
    </font>
    <font>
      <sz val="12"/>
      <color theme="1"/>
      <name val="Aptos Narrow"/>
      <family val="2"/>
    </font>
    <font>
      <sz val="12"/>
      <color theme="1"/>
      <name val="Aptos"/>
      <family val="2"/>
    </font>
    <font>
      <sz val="14"/>
      <color theme="1"/>
      <name val="Aptos Narrow"/>
      <family val="2"/>
    </font>
    <font>
      <sz val="11"/>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8"/>
      <color theme="1"/>
      <name val="Calibri"/>
      <family val="2"/>
      <scheme val="minor"/>
    </font>
    <font>
      <sz val="8"/>
      <color theme="1"/>
      <name val="Aptos"/>
      <family val="2"/>
    </font>
    <font>
      <sz val="11"/>
      <color theme="1"/>
      <name val="Calibri"/>
      <family val="2"/>
      <scheme val="minor"/>
    </font>
    <font>
      <b/>
      <sz val="14"/>
      <color theme="1"/>
      <name val="Aptos"/>
      <family val="2"/>
    </font>
    <font>
      <sz val="8"/>
      <color theme="0" tint="-0.14999847407452621"/>
      <name val="Aptos"/>
      <family val="2"/>
    </font>
    <font>
      <sz val="11"/>
      <color theme="1"/>
      <name val="Aptos"/>
    </font>
    <font>
      <sz val="5"/>
      <color theme="0" tint="-0.14999847407452621"/>
      <name val="Aptos"/>
    </font>
    <font>
      <sz val="14"/>
      <color theme="1"/>
      <name val="Aptos"/>
    </font>
  </fonts>
  <fills count="4">
    <fill>
      <patternFill patternType="none"/>
    </fill>
    <fill>
      <patternFill patternType="gray125"/>
    </fill>
    <fill>
      <patternFill patternType="solid">
        <fgColor theme="6" tint="0.79998168889431442"/>
        <bgColor theme="6" tint="0.79998168889431442"/>
      </patternFill>
    </fill>
    <fill>
      <patternFill patternType="solid">
        <fgColor theme="0" tint="-0.14999847407452621"/>
        <bgColor theme="0" tint="-0.14999847407452621"/>
      </patternFill>
    </fill>
  </fills>
  <borders count="15">
    <border>
      <left/>
      <right/>
      <top/>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theme="1"/>
      </bottom>
      <diagonal/>
    </border>
    <border>
      <left/>
      <right style="medium">
        <color indexed="64"/>
      </right>
      <top style="thin">
        <color theme="1"/>
      </top>
      <bottom style="thin">
        <color theme="1"/>
      </bottom>
      <diagonal/>
    </border>
    <border>
      <left style="medium">
        <color indexed="64"/>
      </left>
      <right style="medium">
        <color indexed="64"/>
      </right>
      <top style="thin">
        <color theme="1"/>
      </top>
      <bottom style="thin">
        <color indexed="64"/>
      </bottom>
      <diagonal/>
    </border>
    <border>
      <left/>
      <right style="medium">
        <color indexed="64"/>
      </right>
      <top style="thin">
        <color theme="1"/>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s>
  <cellStyleXfs count="2">
    <xf numFmtId="0" fontId="0" fillId="0" borderId="0"/>
    <xf numFmtId="44" fontId="12" fillId="0" borderId="0" applyFont="0" applyFill="0" applyBorder="0" applyAlignment="0" applyProtection="0"/>
  </cellStyleXfs>
  <cellXfs count="94">
    <xf numFmtId="0" fontId="0" fillId="0" borderId="0" xfId="0"/>
    <xf numFmtId="14" fontId="0" fillId="0" borderId="0" xfId="0" applyNumberFormat="1"/>
    <xf numFmtId="0" fontId="4" fillId="0" borderId="0" xfId="0" applyFont="1"/>
    <xf numFmtId="0" fontId="5" fillId="0" borderId="0" xfId="0" applyFont="1" applyAlignment="1">
      <alignment horizontal="center"/>
    </xf>
    <xf numFmtId="0" fontId="6" fillId="0" borderId="0" xfId="0" applyFont="1"/>
    <xf numFmtId="0" fontId="7" fillId="0" borderId="0" xfId="0" applyFont="1"/>
    <xf numFmtId="0" fontId="3" fillId="0" borderId="0" xfId="0" applyFont="1" applyAlignment="1">
      <alignment horizontal="center"/>
    </xf>
    <xf numFmtId="20" fontId="3" fillId="0" borderId="0" xfId="0" applyNumberFormat="1" applyFont="1" applyAlignment="1">
      <alignment horizontal="center"/>
    </xf>
    <xf numFmtId="165" fontId="3" fillId="0" borderId="0" xfId="0" applyNumberFormat="1" applyFont="1" applyAlignment="1">
      <alignment horizontal="center"/>
    </xf>
    <xf numFmtId="166" fontId="3" fillId="0" borderId="0" xfId="0" applyNumberFormat="1" applyFont="1" applyAlignment="1">
      <alignment horizontal="center"/>
    </xf>
    <xf numFmtId="167" fontId="3" fillId="0" borderId="0" xfId="0" applyNumberFormat="1" applyFont="1" applyAlignment="1">
      <alignment horizontal="center"/>
    </xf>
    <xf numFmtId="14" fontId="3" fillId="0" borderId="0" xfId="0" applyNumberFormat="1" applyFont="1" applyAlignment="1">
      <alignment horizontal="center"/>
    </xf>
    <xf numFmtId="168" fontId="0" fillId="0" borderId="0" xfId="0" applyNumberFormat="1"/>
    <xf numFmtId="0" fontId="0" fillId="0" borderId="0" xfId="0" applyAlignment="1">
      <alignment wrapText="1"/>
    </xf>
    <xf numFmtId="0" fontId="2" fillId="0" borderId="0" xfId="0" applyFont="1"/>
    <xf numFmtId="0" fontId="2" fillId="0" borderId="0" xfId="0" applyFont="1" applyAlignment="1">
      <alignment horizontal="right"/>
    </xf>
    <xf numFmtId="0" fontId="10" fillId="0" borderId="0" xfId="0" applyFont="1"/>
    <xf numFmtId="0" fontId="3" fillId="0" borderId="0" xfId="0" applyFont="1" applyAlignment="1">
      <alignment horizontal="center" wrapText="1"/>
    </xf>
    <xf numFmtId="0" fontId="11" fillId="0" borderId="0" xfId="0" applyFont="1"/>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xf numFmtId="168" fontId="1" fillId="0" borderId="0" xfId="0" applyNumberFormat="1" applyFont="1" applyAlignment="1">
      <alignment horizontal="center"/>
    </xf>
    <xf numFmtId="165" fontId="1" fillId="0" borderId="0" xfId="0" applyNumberFormat="1" applyFont="1" applyAlignment="1">
      <alignment horizontal="center"/>
    </xf>
    <xf numFmtId="166" fontId="1" fillId="0" borderId="0" xfId="0" applyNumberFormat="1" applyFont="1" applyAlignment="1">
      <alignment horizontal="center"/>
    </xf>
    <xf numFmtId="167" fontId="1" fillId="0" borderId="0" xfId="0" applyNumberFormat="1" applyFont="1" applyAlignment="1">
      <alignment horizontal="center"/>
    </xf>
    <xf numFmtId="0" fontId="1" fillId="0" borderId="0" xfId="0" applyFont="1" applyAlignment="1">
      <alignment wrapText="1"/>
    </xf>
    <xf numFmtId="0" fontId="8" fillId="0" borderId="2" xfId="0" applyFont="1" applyBorder="1" applyAlignment="1">
      <alignment horizontal="right"/>
    </xf>
    <xf numFmtId="0" fontId="8" fillId="0" borderId="3" xfId="0" applyFont="1" applyBorder="1" applyAlignment="1">
      <alignment horizontal="right"/>
    </xf>
    <xf numFmtId="0" fontId="8" fillId="2" borderId="4" xfId="0" applyFont="1" applyFill="1" applyBorder="1" applyAlignment="1">
      <alignment horizontal="right"/>
    </xf>
    <xf numFmtId="0" fontId="8" fillId="0" borderId="5" xfId="0" applyFont="1" applyBorder="1" applyAlignment="1">
      <alignment horizontal="right"/>
    </xf>
    <xf numFmtId="0" fontId="8" fillId="2" borderId="5" xfId="0" applyFont="1" applyFill="1" applyBorder="1" applyAlignment="1">
      <alignment horizontal="right"/>
    </xf>
    <xf numFmtId="0" fontId="8" fillId="2" borderId="5" xfId="0" applyFont="1" applyFill="1" applyBorder="1" applyAlignment="1">
      <alignment horizontal="right" vertical="center"/>
    </xf>
    <xf numFmtId="0" fontId="8" fillId="2" borderId="1" xfId="0" applyFont="1" applyFill="1" applyBorder="1" applyAlignment="1">
      <alignment horizontal="right"/>
    </xf>
    <xf numFmtId="0" fontId="1" fillId="2" borderId="1" xfId="0" applyFont="1" applyFill="1" applyBorder="1" applyAlignment="1">
      <alignment horizontal="center"/>
    </xf>
    <xf numFmtId="14" fontId="1" fillId="0" borderId="2" xfId="0" applyNumberFormat="1" applyFont="1" applyBorder="1" applyAlignment="1">
      <alignment horizontal="center"/>
    </xf>
    <xf numFmtId="0" fontId="8" fillId="2" borderId="2" xfId="0" applyFont="1" applyFill="1" applyBorder="1" applyAlignment="1">
      <alignment horizontal="right"/>
    </xf>
    <xf numFmtId="14" fontId="1" fillId="2" borderId="2" xfId="0" applyNumberFormat="1" applyFont="1" applyFill="1" applyBorder="1" applyAlignment="1">
      <alignment horizontal="center"/>
    </xf>
    <xf numFmtId="0" fontId="1" fillId="0" borderId="2" xfId="0" applyFont="1" applyBorder="1" applyAlignment="1">
      <alignment horizontal="center"/>
    </xf>
    <xf numFmtId="0" fontId="1" fillId="2" borderId="2" xfId="0" applyFont="1" applyFill="1" applyBorder="1" applyAlignment="1">
      <alignment horizontal="center"/>
    </xf>
    <xf numFmtId="0" fontId="8" fillId="2" borderId="2" xfId="0" applyFont="1" applyFill="1" applyBorder="1" applyAlignment="1">
      <alignment horizontal="right" vertical="center"/>
    </xf>
    <xf numFmtId="0" fontId="1" fillId="2" borderId="2" xfId="0" applyFont="1" applyFill="1" applyBorder="1" applyAlignment="1">
      <alignment horizontal="center" vertical="center"/>
    </xf>
    <xf numFmtId="0" fontId="1" fillId="2" borderId="8" xfId="0" applyFont="1" applyFill="1" applyBorder="1" applyAlignment="1">
      <alignment horizontal="center"/>
    </xf>
    <xf numFmtId="0" fontId="1" fillId="0" borderId="9" xfId="0" applyFont="1" applyBorder="1" applyAlignment="1">
      <alignment horizontal="center"/>
    </xf>
    <xf numFmtId="14" fontId="1" fillId="2" borderId="9" xfId="0" applyNumberFormat="1" applyFont="1" applyFill="1" applyBorder="1" applyAlignment="1">
      <alignment horizontal="center"/>
    </xf>
    <xf numFmtId="0" fontId="1" fillId="2" borderId="9" xfId="0" applyFont="1" applyFill="1" applyBorder="1" applyAlignment="1">
      <alignment horizontal="center"/>
    </xf>
    <xf numFmtId="0" fontId="1" fillId="2" borderId="9" xfId="0" applyFont="1" applyFill="1" applyBorder="1" applyAlignment="1">
      <alignment horizontal="center" vertical="center"/>
    </xf>
    <xf numFmtId="44" fontId="1" fillId="0" borderId="9" xfId="1" applyFont="1" applyBorder="1" applyAlignment="1">
      <alignment horizontal="center"/>
    </xf>
    <xf numFmtId="0" fontId="8" fillId="2" borderId="10" xfId="0" applyFont="1" applyFill="1" applyBorder="1" applyAlignment="1">
      <alignment horizontal="right"/>
    </xf>
    <xf numFmtId="0" fontId="1" fillId="2" borderId="11" xfId="0" applyFont="1" applyFill="1" applyBorder="1" applyAlignment="1">
      <alignment horizontal="center"/>
    </xf>
    <xf numFmtId="0" fontId="8" fillId="2" borderId="6" xfId="0" applyFont="1" applyFill="1" applyBorder="1" applyAlignment="1">
      <alignment horizontal="right"/>
    </xf>
    <xf numFmtId="0" fontId="1" fillId="2" borderId="7" xfId="0" applyFont="1" applyFill="1" applyBorder="1" applyAlignment="1">
      <alignment horizontal="center"/>
    </xf>
    <xf numFmtId="44" fontId="1" fillId="0" borderId="2" xfId="1" applyFont="1" applyBorder="1" applyAlignment="1">
      <alignment horizontal="center"/>
    </xf>
    <xf numFmtId="0" fontId="0" fillId="0" borderId="13" xfId="0" applyBorder="1"/>
    <xf numFmtId="0" fontId="13" fillId="0" borderId="12" xfId="0" applyFont="1" applyBorder="1" applyAlignment="1">
      <alignment horizontal="center"/>
    </xf>
    <xf numFmtId="164" fontId="13" fillId="0" borderId="12" xfId="0" applyNumberFormat="1" applyFont="1" applyBorder="1" applyAlignment="1">
      <alignment horizontal="center"/>
    </xf>
    <xf numFmtId="0" fontId="2" fillId="3" borderId="0" xfId="0" applyFont="1" applyFill="1" applyAlignment="1">
      <alignment horizontal="right"/>
    </xf>
    <xf numFmtId="0" fontId="2" fillId="3" borderId="0" xfId="0" applyFont="1" applyFill="1"/>
    <xf numFmtId="0" fontId="0" fillId="3" borderId="0" xfId="0" applyFill="1"/>
    <xf numFmtId="0" fontId="2" fillId="0" borderId="13" xfId="0" applyFont="1" applyBorder="1" applyAlignment="1">
      <alignment horizontal="right"/>
    </xf>
    <xf numFmtId="0" fontId="2" fillId="0" borderId="13" xfId="0" applyFont="1" applyBorder="1"/>
    <xf numFmtId="14" fontId="0" fillId="0" borderId="0" xfId="0" applyNumberFormat="1" applyAlignment="1">
      <alignment horizontal="center" wrapText="1"/>
    </xf>
    <xf numFmtId="14" fontId="10" fillId="0" borderId="0" xfId="0" applyNumberFormat="1" applyFont="1" applyAlignment="1">
      <alignment horizontal="center"/>
    </xf>
    <xf numFmtId="14" fontId="0" fillId="0" borderId="0" xfId="0" applyNumberFormat="1" applyAlignment="1">
      <alignment horizontal="center"/>
    </xf>
    <xf numFmtId="0" fontId="10" fillId="0" borderId="0" xfId="0" applyFont="1" applyAlignment="1">
      <alignment wrapText="1"/>
    </xf>
    <xf numFmtId="44" fontId="1" fillId="0" borderId="3" xfId="1" applyFont="1" applyBorder="1" applyAlignment="1">
      <alignment horizontal="center"/>
    </xf>
    <xf numFmtId="0" fontId="2" fillId="3" borderId="14" xfId="0" applyFont="1" applyFill="1" applyBorder="1" applyAlignment="1">
      <alignment horizontal="right"/>
    </xf>
    <xf numFmtId="0" fontId="2" fillId="3" borderId="14" xfId="0" applyFont="1" applyFill="1" applyBorder="1"/>
    <xf numFmtId="20" fontId="0" fillId="0" borderId="0" xfId="0" applyNumberFormat="1"/>
    <xf numFmtId="169" fontId="0" fillId="0" borderId="0" xfId="0" applyNumberFormat="1"/>
    <xf numFmtId="0" fontId="2" fillId="0" borderId="0" xfId="0" applyFont="1" applyAlignment="1">
      <alignment horizontal="left"/>
    </xf>
    <xf numFmtId="0" fontId="4" fillId="0" borderId="0" xfId="0" pivotButton="1" applyFont="1"/>
    <xf numFmtId="0" fontId="5" fillId="0" borderId="0" xfId="0" pivotButton="1" applyFont="1" applyAlignment="1">
      <alignment horizontal="center"/>
    </xf>
    <xf numFmtId="0" fontId="4" fillId="0" borderId="0" xfId="0" applyFont="1" applyAlignment="1">
      <alignment wrapText="1"/>
    </xf>
    <xf numFmtId="0" fontId="2" fillId="0" borderId="0" xfId="0" applyFont="1" applyAlignment="1">
      <alignment horizontal="center"/>
    </xf>
    <xf numFmtId="14" fontId="2" fillId="0" borderId="0" xfId="0" applyNumberFormat="1" applyFont="1" applyAlignment="1">
      <alignment horizontal="center"/>
    </xf>
    <xf numFmtId="20" fontId="2" fillId="0" borderId="0" xfId="0" applyNumberFormat="1" applyFont="1" applyAlignment="1">
      <alignment horizontal="center"/>
    </xf>
    <xf numFmtId="14" fontId="2" fillId="0" borderId="0" xfId="0" applyNumberFormat="1" applyFont="1"/>
    <xf numFmtId="0" fontId="2" fillId="0" borderId="0" xfId="0" pivotButton="1" applyFont="1"/>
    <xf numFmtId="20" fontId="2" fillId="0" borderId="0" xfId="0" applyNumberFormat="1" applyFont="1"/>
    <xf numFmtId="0" fontId="14" fillId="0" borderId="0" xfId="0" applyFont="1"/>
    <xf numFmtId="0" fontId="15" fillId="0" borderId="0" xfId="0" pivotButton="1" applyFont="1"/>
    <xf numFmtId="0" fontId="15" fillId="0" borderId="0" xfId="0" applyFont="1"/>
    <xf numFmtId="0" fontId="16" fillId="0" borderId="0" xfId="0" pivotButton="1" applyFont="1"/>
    <xf numFmtId="0" fontId="17" fillId="0" borderId="0" xfId="0" pivotButton="1" applyFont="1" applyAlignment="1">
      <alignment horizontal="center"/>
    </xf>
    <xf numFmtId="0" fontId="17" fillId="0" borderId="0" xfId="0" applyFont="1"/>
    <xf numFmtId="169" fontId="0" fillId="0" borderId="0" xfId="0" applyNumberFormat="1" applyAlignment="1">
      <alignment horizontal="center"/>
    </xf>
    <xf numFmtId="0" fontId="0" fillId="0" borderId="0" xfId="0" applyAlignment="1">
      <alignment horizontal="center"/>
    </xf>
    <xf numFmtId="22" fontId="0" fillId="0" borderId="0" xfId="0" applyNumberFormat="1"/>
    <xf numFmtId="168" fontId="2" fillId="0" borderId="0" xfId="0" applyNumberFormat="1" applyFont="1" applyAlignment="1">
      <alignment horizontal="center"/>
    </xf>
    <xf numFmtId="169" fontId="2" fillId="0" borderId="0" xfId="0" applyNumberFormat="1" applyFont="1" applyAlignment="1">
      <alignment horizontal="center"/>
    </xf>
    <xf numFmtId="0" fontId="7" fillId="0" borderId="0" xfId="0" applyFont="1" applyAlignment="1">
      <alignment horizontal="center"/>
    </xf>
    <xf numFmtId="0" fontId="7" fillId="0" borderId="13" xfId="0" applyFont="1" applyBorder="1" applyAlignment="1">
      <alignment horizontal="center"/>
    </xf>
    <xf numFmtId="0" fontId="15" fillId="0" borderId="0" xfId="0" applyNumberFormat="1" applyFont="1"/>
  </cellXfs>
  <cellStyles count="2">
    <cellStyle name="Currency" xfId="1" builtinId="4"/>
    <cellStyle name="Normal" xfId="0" builtinId="0"/>
  </cellStyles>
  <dxfs count="744">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1"/>
      </font>
    </dxf>
    <dxf>
      <font>
        <sz val="11"/>
      </font>
    </dxf>
    <dxf>
      <font>
        <sz val="11"/>
      </font>
    </dxf>
    <dxf>
      <font>
        <sz val="11"/>
      </font>
    </dxf>
    <dxf>
      <font>
        <sz val="11"/>
      </font>
    </dxf>
    <dxf>
      <font>
        <color theme="1"/>
      </font>
    </dxf>
    <dxf>
      <alignment horizontal="center"/>
    </dxf>
    <dxf>
      <alignment horizontal="center"/>
    </dxf>
    <dxf>
      <font>
        <color theme="0" tint="-0.14999847407452621"/>
      </font>
    </dxf>
    <dxf>
      <font>
        <color theme="0" tint="-0.14999847407452621"/>
      </font>
    </dxf>
    <dxf>
      <font>
        <sz val="5"/>
      </font>
    </dxf>
    <dxf>
      <font>
        <sz val="5"/>
      </font>
    </dxf>
    <dxf>
      <font>
        <sz val="14"/>
      </font>
    </dxf>
    <dxf>
      <font>
        <sz val="14"/>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1"/>
      </font>
    </dxf>
    <dxf>
      <font>
        <sz val="11"/>
      </font>
    </dxf>
    <dxf>
      <font>
        <sz val="11"/>
      </font>
    </dxf>
    <dxf>
      <font>
        <sz val="11"/>
      </font>
    </dxf>
    <dxf>
      <font>
        <sz val="11"/>
      </font>
    </dxf>
    <dxf>
      <font>
        <color theme="1"/>
      </font>
    </dxf>
    <dxf>
      <alignment horizontal="center"/>
    </dxf>
    <dxf>
      <alignment horizontal="center"/>
    </dxf>
    <dxf>
      <font>
        <color theme="0" tint="-0.14999847407452621"/>
      </font>
    </dxf>
    <dxf>
      <font>
        <color theme="0" tint="-0.14999847407452621"/>
      </font>
    </dxf>
    <dxf>
      <font>
        <sz val="5"/>
      </font>
    </dxf>
    <dxf>
      <font>
        <sz val="5"/>
      </font>
    </dxf>
    <dxf>
      <font>
        <sz val="14"/>
      </font>
    </dxf>
    <dxf>
      <font>
        <sz val="14"/>
      </font>
    </dxf>
    <dxf>
      <numFmt numFmtId="0" formatCode="General"/>
    </dxf>
    <dxf>
      <numFmt numFmtId="19" formatCode="m/d/yyyy"/>
    </dxf>
    <dxf>
      <numFmt numFmtId="19" formatCode="m/d/yyyy"/>
    </dxf>
    <dxf>
      <numFmt numFmtId="19" formatCode="m/d/yyyy"/>
    </dxf>
    <dxf>
      <numFmt numFmtId="19" formatCode="m/d/yyyy"/>
    </dxf>
    <dxf>
      <numFmt numFmtId="19" formatCode="m/d/yyyy"/>
    </dxf>
    <dxf>
      <font>
        <strike val="0"/>
        <outline val="0"/>
        <shadow val="0"/>
        <u val="none"/>
        <vertAlign val="baseline"/>
        <sz val="12"/>
        <color theme="1"/>
        <name val="Aptos Narrow"/>
        <family val="2"/>
        <scheme val="none"/>
      </font>
      <alignment horizontal="general" vertical="bottom" textRotation="0" wrapText="1"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alignment wrapText="1"/>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ill>
        <patternFill>
          <bgColor rgb="FFD9D9D9"/>
        </patternFill>
      </fill>
    </dxf>
    <dxf>
      <fill>
        <patternFill>
          <bgColor rgb="FFDDEBF7"/>
        </patternFill>
      </fill>
    </dxf>
    <dxf>
      <fill>
        <patternFill>
          <bgColor rgb="FFFFC7CE"/>
        </patternFill>
      </fill>
    </dxf>
    <dxf>
      <fill>
        <patternFill>
          <bgColor rgb="FFC6EFCE"/>
        </patternFill>
      </fil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6"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27" formatCode="m/d/yyyy\ h:m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0" formatCode="General"/>
    </dxf>
    <dxf>
      <fill>
        <patternFill>
          <bgColor rgb="FFD9D9D9"/>
        </patternFill>
      </fill>
    </dxf>
    <dxf>
      <fill>
        <patternFill>
          <bgColor rgb="FFDDEBF7"/>
        </patternFill>
      </fill>
    </dxf>
    <dxf>
      <fill>
        <patternFill>
          <bgColor rgb="FFFFC7CE"/>
        </patternFill>
      </fill>
    </dxf>
    <dxf>
      <fill>
        <patternFill>
          <bgColor rgb="FFC6EFCE"/>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9" formatCode="hh:mm"/>
      <fill>
        <patternFill patternType="none">
          <fgColor indexed="64"/>
          <bgColor indexed="65"/>
        </patternFill>
      </fill>
    </dxf>
    <dxf>
      <numFmt numFmtId="170" formatCode="mm/dd/yy"/>
      <fill>
        <patternFill patternType="none">
          <fgColor indexed="64"/>
          <bgColor indexed="65"/>
        </patternFill>
      </fill>
    </dxf>
    <dxf>
      <numFmt numFmtId="169" formatCode="hh:mm"/>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27" formatCode="m/d/yyyy\ h:mm"/>
      <fill>
        <patternFill patternType="none">
          <fgColor indexed="64"/>
          <bgColor indexed="65"/>
        </patternFill>
      </fill>
    </dxf>
    <dxf>
      <numFmt numFmtId="19" formatCode="m/d/yyyy"/>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68" formatCode="[$-F400]h:mm:ss\ AM/PM"/>
      <fill>
        <patternFill patternType="none">
          <fgColor indexed="64"/>
          <bgColor indexed="65"/>
        </patternFill>
      </fill>
    </dxf>
    <dxf>
      <numFmt numFmtId="169" formatCode="hh:mm"/>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9" formatCode="hh:mm"/>
      <fill>
        <patternFill patternType="none">
          <fgColor indexed="64"/>
          <bgColor indexed="65"/>
        </patternFill>
      </fill>
      <alignment horizontal="center" vertical="bottom" textRotation="0" wrapText="0" indent="0" justifyLastLine="0" shrinkToFit="0" readingOrder="0"/>
    </dxf>
    <dxf>
      <numFmt numFmtId="19" formatCode="m/d/yyyy"/>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27" formatCode="m/d/yyyy\ h:mm"/>
      <fill>
        <patternFill patternType="none">
          <fgColor indexed="64"/>
          <bgColor indexed="65"/>
        </patternFill>
      </fill>
    </dxf>
    <dxf>
      <numFmt numFmtId="27" formatCode="m/d/yyyy\ h:mm"/>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solid">
          <fgColor rgb="FFC6EFCE"/>
        </patternFill>
      </fill>
    </dxf>
    <dxf>
      <fill>
        <patternFill patternType="none">
          <fgColor indexed="64"/>
          <bgColor auto="1"/>
        </patternFill>
      </fill>
    </dxf>
    <dxf>
      <fill>
        <patternFill patternType="none">
          <fgColor indexed="64"/>
          <bgColor auto="1"/>
        </patternFill>
      </fill>
    </dxf>
    <dxf>
      <fill>
        <patternFill>
          <bgColor rgb="FFD9D9D9"/>
        </patternFill>
      </fill>
    </dxf>
    <dxf>
      <fill>
        <patternFill>
          <bgColor rgb="FFDDEBF7"/>
        </patternFill>
      </fill>
    </dxf>
    <dxf>
      <fill>
        <patternFill>
          <bgColor rgb="FFFFC7CE"/>
        </patternFill>
      </fill>
    </dxf>
    <dxf>
      <fill>
        <patternFill>
          <bgColor rgb="FFC6EFCE"/>
        </patternFill>
      </fill>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170" formatCode="mm/dd/yy"/>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2"/>
        <color theme="1"/>
        <name val="Aptos"/>
        <family val="2"/>
        <scheme val="none"/>
      </font>
      <numFmt numFmtId="168" formatCode="[$-F400]h:mm:ss\ AM/P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auto="1"/>
        </patternFill>
      </fill>
      <alignment vertical="bottom" textRotation="0" wrapText="0" indent="0" justifyLastLine="0" shrinkToFit="0" readingOrder="0"/>
    </dxf>
    <dxf>
      <font>
        <strike val="0"/>
        <outline val="0"/>
        <shadow val="0"/>
        <u val="none"/>
        <vertAlign val="baseline"/>
        <sz val="12"/>
        <color theme="1"/>
        <name val="Aptos"/>
        <family val="2"/>
        <scheme val="none"/>
      </font>
      <fill>
        <patternFill patternType="none">
          <fgColor indexed="64"/>
          <bgColor auto="1"/>
        </patternFill>
      </fill>
      <alignment horizontal="center" vertical="bottom" textRotation="0" wrapText="0" indent="0" justifyLastLine="0" shrinkToFit="0" readingOrder="0"/>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ill>
        <patternFill>
          <bgColor rgb="FFD9D9D9"/>
        </patternFill>
      </fill>
    </dxf>
    <dxf>
      <fill>
        <patternFill>
          <bgColor rgb="FFDDEBF7"/>
        </patternFill>
      </fill>
    </dxf>
    <dxf>
      <fill>
        <patternFill>
          <bgColor rgb="FFFFC7CE"/>
        </patternFill>
      </fill>
    </dxf>
    <dxf>
      <fill>
        <patternFill>
          <bgColor rgb="FFC6EFCE"/>
        </patternFill>
      </fill>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2065187536243"/>
          <bgColor theme="0" tint="-0.14996795556505021"/>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1"/>
        </left>
        <right style="medium">
          <color theme="1"/>
        </right>
        <top style="medium">
          <color theme="1"/>
        </top>
        <bottom style="medium">
          <color theme="1"/>
        </bottom>
        <vertical style="thin">
          <color theme="6"/>
        </vertical>
        <horizontal style="thin">
          <color theme="6"/>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i val="0"/>
        <color theme="1"/>
      </font>
      <border diagonalUp="0" diagonalDown="0">
        <left/>
        <right/>
        <top/>
        <bottom style="medium">
          <color theme="1"/>
        </bottom>
        <vertical/>
        <horizontal/>
      </border>
    </dxf>
    <dxf>
      <font>
        <color theme="1"/>
      </font>
      <border>
        <left style="medium">
          <color theme="1"/>
        </left>
        <right style="medium">
          <color theme="1"/>
        </right>
        <top style="medium">
          <color theme="1"/>
        </top>
        <bottom style="medium">
          <color theme="1"/>
        </bottom>
        <vertical style="thin">
          <color theme="1"/>
        </vertical>
        <horizontal style="thin">
          <color theme="1"/>
        </horizontal>
      </border>
    </dxf>
  </dxfs>
  <tableStyles count="8" defaultTableStyle="TableStyleMedium2" defaultPivotStyle="PivotStyleLight16">
    <tableStyle name="Invisible" pivot="0" table="0" count="0" xr9:uid="{ED64E85C-CF3E-41CC-8B05-D20723E14618}"/>
    <tableStyle name="TableStyleLight15 2" pivot="0" count="7" xr9:uid="{6E068814-5BB5-4BA1-ACB0-253459FA954C}">
      <tableStyleElement type="wholeTable" dxfId="743"/>
      <tableStyleElement type="headerRow" dxfId="742"/>
      <tableStyleElement type="totalRow" dxfId="741"/>
      <tableStyleElement type="firstColumn" dxfId="740"/>
      <tableStyleElement type="lastColumn" dxfId="739"/>
      <tableStyleElement type="firstRowStripe" dxfId="738"/>
      <tableStyleElement type="firstColumnStripe" dxfId="737"/>
    </tableStyle>
    <tableStyle name="TableStyleLight16 2" pivot="0" count="7" xr9:uid="{D69CDBB7-032E-49BC-AC54-A31420CE7655}">
      <tableStyleElement type="wholeTable" dxfId="736"/>
      <tableStyleElement type="headerRow" dxfId="735"/>
      <tableStyleElement type="totalRow" dxfId="734"/>
      <tableStyleElement type="firstColumn" dxfId="733"/>
      <tableStyleElement type="lastColumn" dxfId="732"/>
      <tableStyleElement type="firstRowStripe" dxfId="731"/>
      <tableStyleElement type="firstColumnStripe" dxfId="730"/>
    </tableStyle>
    <tableStyle name="TableStyleLight17 2" pivot="0" count="7" xr9:uid="{F0E5CF34-A936-4E2B-86EA-DA714855B9FB}">
      <tableStyleElement type="wholeTable" dxfId="729"/>
      <tableStyleElement type="headerRow" dxfId="728"/>
      <tableStyleElement type="totalRow" dxfId="727"/>
      <tableStyleElement type="firstColumn" dxfId="726"/>
      <tableStyleElement type="lastColumn" dxfId="725"/>
      <tableStyleElement type="firstRowStripe" dxfId="724"/>
      <tableStyleElement type="firstColumnStripe" dxfId="723"/>
    </tableStyle>
    <tableStyle name="TableStyleLight18 2" pivot="0" count="7" xr9:uid="{FCE9A81E-B697-440C-9031-FD78FF52ED88}">
      <tableStyleElement type="wholeTable" dxfId="722"/>
      <tableStyleElement type="headerRow" dxfId="721"/>
      <tableStyleElement type="totalRow" dxfId="720"/>
      <tableStyleElement type="firstColumn" dxfId="719"/>
      <tableStyleElement type="lastColumn" dxfId="718"/>
      <tableStyleElement type="firstRowStripe" dxfId="717"/>
      <tableStyleElement type="firstColumnStripe" dxfId="716"/>
    </tableStyle>
    <tableStyle name="TableStyleLight18 3" pivot="0" count="7" xr9:uid="{AE81560E-A0A1-4B8F-8608-83C1F78B608A}">
      <tableStyleElement type="wholeTable" dxfId="715"/>
      <tableStyleElement type="headerRow" dxfId="714"/>
      <tableStyleElement type="totalRow" dxfId="713"/>
      <tableStyleElement type="firstColumn" dxfId="712"/>
      <tableStyleElement type="lastColumn" dxfId="711"/>
      <tableStyleElement type="firstRowStripe" dxfId="710"/>
      <tableStyleElement type="firstColumnStripe" dxfId="709"/>
    </tableStyle>
    <tableStyle name="TableStyleLight18 3 2" pivot="0" count="7" xr9:uid="{4C6F2DC0-9EE9-4779-9307-175D1C00B7C0}">
      <tableStyleElement type="wholeTable" dxfId="708"/>
      <tableStyleElement type="headerRow" dxfId="707"/>
      <tableStyleElement type="totalRow" dxfId="706"/>
      <tableStyleElement type="firstColumn" dxfId="705"/>
      <tableStyleElement type="lastColumn" dxfId="704"/>
      <tableStyleElement type="firstRowStripe" dxfId="703"/>
      <tableStyleElement type="firstColumnStripe" dxfId="702"/>
    </tableStyle>
    <tableStyle name="TableStyleLight19 2" pivot="0" count="7" xr9:uid="{A6B5A85E-1A32-4277-8575-40D0AE2BF488}">
      <tableStyleElement type="wholeTable" dxfId="701"/>
      <tableStyleElement type="headerRow" dxfId="700"/>
      <tableStyleElement type="totalRow" dxfId="699"/>
      <tableStyleElement type="firstColumn" dxfId="698"/>
      <tableStyleElement type="lastColumn" dxfId="697"/>
      <tableStyleElement type="firstRowStripe" dxfId="696"/>
      <tableStyleElement type="firstColumnStripe" dxfId="695"/>
    </tableStyle>
  </tableStyles>
  <colors>
    <mruColors>
      <color rgb="FFFF9F9F"/>
      <color rgb="FFFFFF66"/>
      <color rgb="FFE0B3FF"/>
      <color rgb="FFD3B5E9"/>
      <color rgb="FFFF0000"/>
      <color rgb="FF513E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[Time_SCRPA_Master_Macro.xlsm]All_Crimes!PivotTable6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All_Crimes!$AU$4:$AU$5</c:f>
              <c:strCache>
                <c:ptCount val="1"/>
                <c:pt idx="0">
                  <c:v>YTD</c:v>
                </c:pt>
              </c:strCache>
            </c:strRef>
          </c:tx>
          <c:spPr>
            <a:solidFill>
              <a:schemeClr val="tx1">
                <a:lumMod val="85000"/>
                <a:lumOff val="15000"/>
              </a:schemeClr>
            </a:solidFill>
            <a:ln>
              <a:noFill/>
            </a:ln>
            <a:effectLst/>
          </c:spPr>
          <c:invertIfNegative val="0"/>
          <c:cat>
            <c:strRef>
              <c:f>All_Crimes!$AT$6:$AT$8</c:f>
              <c:strCache>
                <c:ptCount val="2"/>
                <c:pt idx="0">
                  <c:v>Afternoon (12:00–15:59)</c:v>
                </c:pt>
                <c:pt idx="1">
                  <c:v>Night (20:00–23:59)</c:v>
                </c:pt>
              </c:strCache>
            </c:strRef>
          </c:cat>
          <c:val>
            <c:numRef>
              <c:f>All_Crimes!$AU$6:$AU$8</c:f>
              <c:numCache>
                <c:formatCode>General</c:formatCode>
                <c:ptCount val="2"/>
                <c:pt idx="0">
                  <c:v>3</c:v>
                </c:pt>
                <c:pt idx="1">
                  <c:v>1</c:v>
                </c:pt>
              </c:numCache>
            </c:numRef>
          </c:val>
          <c:extLst>
            <c:ext xmlns:c16="http://schemas.microsoft.com/office/drawing/2014/chart" uri="{C3380CC4-5D6E-409C-BE32-E72D297353CC}">
              <c16:uniqueId val="{00000000-5504-4875-9762-B303DA12CD8E}"/>
            </c:ext>
          </c:extLst>
        </c:ser>
        <c:dLbls>
          <c:showLegendKey val="0"/>
          <c:showVal val="0"/>
          <c:showCatName val="0"/>
          <c:showSerName val="0"/>
          <c:showPercent val="0"/>
          <c:showBubbleSize val="0"/>
        </c:dLbls>
        <c:gapWidth val="187"/>
        <c:overlap val="-7"/>
        <c:axId val="104637583"/>
        <c:axId val="104628463"/>
      </c:barChart>
      <c:catAx>
        <c:axId val="10463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28463"/>
        <c:crosses val="autoZero"/>
        <c:auto val="1"/>
        <c:lblAlgn val="ctr"/>
        <c:lblOffset val="100"/>
        <c:noMultiLvlLbl val="0"/>
      </c:catAx>
      <c:valAx>
        <c:axId val="104628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37583"/>
        <c:crosses val="autoZero"/>
        <c:crossBetween val="between"/>
      </c:valAx>
      <c:spPr>
        <a:solidFill>
          <a:schemeClr val="bg1">
            <a:lumMod val="8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sz="2400">
          <a:latin typeface="Aptos ExtraBold" panose="020B00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49</xdr:col>
      <xdr:colOff>733425</xdr:colOff>
      <xdr:row>1</xdr:row>
      <xdr:rowOff>9525</xdr:rowOff>
    </xdr:from>
    <xdr:to>
      <xdr:col>79</xdr:col>
      <xdr:colOff>552450</xdr:colOff>
      <xdr:row>73</xdr:row>
      <xdr:rowOff>142875</xdr:rowOff>
    </xdr:to>
    <xdr:graphicFrame macro="">
      <xdr:nvGraphicFramePr>
        <xdr:cNvPr id="2" name="Chart 1">
          <a:extLst>
            <a:ext uri="{FF2B5EF4-FFF2-40B4-BE49-F238E27FC236}">
              <a16:creationId xmlns:a16="http://schemas.microsoft.com/office/drawing/2014/main" id="{505DD372-6C55-4B7B-F79F-F01570B4E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bert A. Carucci" refreshedDate="45838.522657638889" backgroundQuery="1" createdVersion="8" refreshedVersion="8" minRefreshableVersion="3" recordCount="0" supportSubquery="1" supportAdvancedDrill="1" xr:uid="{6BF035B7-2BE0-49AD-9E55-C883D30A7CED}">
  <cacheSource type="external" connectionId="18"/>
  <cacheFields count="4">
    <cacheField name="[All_Crimes].[Enhanced_TimeOfDay].[Enhanced_TimeOfDay]" caption="Enhanced_TimeOfDay" numFmtId="0" hierarchy="34" level="1">
      <sharedItems count="2">
        <s v="Afternoon (12:00–15:59)"/>
        <s v="Night (20:00–23:59)"/>
      </sharedItems>
    </cacheField>
    <cacheField name="[All_Crimes].[Period].[Period]" caption="Period" numFmtId="0" hierarchy="31" level="1">
      <sharedItems count="2">
        <s v="YTD"/>
        <s v="Historical" u="1"/>
      </sharedItems>
    </cacheField>
    <cacheField name="[Measures].[Count of Case Number]" caption="Count of Case Number" numFmtId="0" hierarchy="44" level="32767"/>
    <cacheField name="[All_Crimes].[ALL_INCIDENTS].[ALL_INCIDENTS]" caption="ALL_INCIDENTS" numFmtId="0" hierarchy="30" level="1">
      <sharedItems containsSemiMixedTypes="0" containsNonDate="0" containsString="0"/>
    </cacheField>
  </cacheFields>
  <cacheHierarchies count="45">
    <cacheHierarchy uniqueName="[All_Crimes].[Case Number]" caption="Case Number" attribute="1" defaultMemberUniqueName="[All_Crimes].[Case Number].[All]" allUniqueName="[All_Crimes].[Case Number].[All]" dimensionUniqueName="[All_Crimes]" displayFolder="" count="0" memberValueDatatype="130" unbalanced="0"/>
    <cacheHierarchy uniqueName="[All_Crimes].[IncidentDate]" caption="IncidentDate" attribute="1" time="1" defaultMemberUniqueName="[All_Crimes].[IncidentDate].[All]" allUniqueName="[All_Crimes].[IncidentDate].[All]" dimensionUniqueName="[All_Crimes]" displayFolder="" count="0" memberValueDatatype="7" unbalanced="0"/>
    <cacheHierarchy uniqueName="[All_Crimes].[Incident Time]" caption="Incident Time" attribute="1" time="1" defaultMemberUniqueName="[All_Crimes].[Incident Time].[All]" allUniqueName="[All_Crimes].[Incident Time].[All]" dimensionUniqueName="[All_Crimes]" displayFolder="" count="0" memberValueDatatype="7" unbalanced="0"/>
    <cacheHierarchy uniqueName="[All_Crimes].[Incident Type_1]" caption="Incident Type_1" attribute="1" defaultMemberUniqueName="[All_Crimes].[Incident Type_1].[All]" allUniqueName="[All_Crimes].[Incident Type_1].[All]" dimensionUniqueName="[All_Crimes]" displayFolder="" count="0" memberValueDatatype="130" unbalanced="0"/>
    <cacheHierarchy uniqueName="[All_Crimes].[Incident Type_2]" caption="Incident Type_2" attribute="1" defaultMemberUniqueName="[All_Crimes].[Incident Type_2].[All]" allUniqueName="[All_Crimes].[Incident Type_2].[All]" dimensionUniqueName="[All_Crimes]" displayFolder="" count="0" memberValueDatatype="130" unbalanced="0"/>
    <cacheHierarchy uniqueName="[All_Crimes].[Incident Type_3]" caption="Incident Type_3" attribute="1" defaultMemberUniqueName="[All_Crimes].[Incident Type_3].[All]" allUniqueName="[All_Crimes].[Incident Type_3].[All]" dimensionUniqueName="[All_Crimes]" displayFolder="" count="0" memberValueDatatype="130" unbalanced="0"/>
    <cacheHierarchy uniqueName="[All_Crimes].[FullAddress]" caption="FullAddress" attribute="1" defaultMemberUniqueName="[All_Crimes].[FullAddress].[All]" allUniqueName="[All_Crimes].[FullAddress].[All]" dimensionUniqueName="[All_Crimes]" displayFolder="" count="0" memberValueDatatype="130" unbalanced="0"/>
    <cacheHierarchy uniqueName="[All_Crimes].[Grid]" caption="Grid" attribute="1" defaultMemberUniqueName="[All_Crimes].[Grid].[All]" allUniqueName="[All_Crimes].[Grid].[All]" dimensionUniqueName="[All_Crimes]" displayFolder="" count="0" memberValueDatatype="130" unbalanced="0"/>
    <cacheHierarchy uniqueName="[All_Crimes].[Zone]" caption="Zone" attribute="1" defaultMemberUniqueName="[All_Crimes].[Zone].[All]" allUniqueName="[All_Crimes].[Zone].[All]" dimensionUniqueName="[All_Crimes]" displayFolder="" count="0" memberValueDatatype="20" unbalanced="0"/>
    <cacheHierarchy uniqueName="[All_Crimes].[Narrative]" caption="Narrative" attribute="1" defaultMemberUniqueName="[All_Crimes].[Narrative].[All]" allUniqueName="[All_Crimes].[Narrative].[All]" dimensionUniqueName="[All_Crimes]" displayFolder="" count="0" memberValueDatatype="130" unbalanced="0"/>
    <cacheHierarchy uniqueName="[All_Crimes].[Total Value Stolen]" caption="Total Value Stolen" attribute="1" defaultMemberUniqueName="[All_Crimes].[Total Value Stolen].[All]" allUniqueName="[All_Crimes].[Total Value Stolen].[All]" dimensionUniqueName="[All_Crimes]" displayFolder="" count="0" memberValueDatatype="20" unbalanced="0"/>
    <cacheHierarchy uniqueName="[All_Crimes].[Total Value Recover]" caption="Total Value Recover" attribute="1" defaultMemberUniqueName="[All_Crimes].[Total Value Recover].[All]" allUniqueName="[All_Crimes].[Total Value Recover].[All]" dimensionUniqueName="[All_Crimes]" displayFolder="" count="0" memberValueDatatype="20" unbalanced="0"/>
    <cacheHierarchy uniqueName="[All_Crimes].[Registration 1]" caption="Registration 1" attribute="1" defaultMemberUniqueName="[All_Crimes].[Registration 1].[All]" allUniqueName="[All_Crimes].[Registration 1].[All]" dimensionUniqueName="[All_Crimes]" displayFolder="" count="0" memberValueDatatype="130" unbalanced="0"/>
    <cacheHierarchy uniqueName="[All_Crimes].[Make1]" caption="Make1" attribute="1" defaultMemberUniqueName="[All_Crimes].[Make1].[All]" allUniqueName="[All_Crimes].[Make1].[All]" dimensionUniqueName="[All_Crimes]" displayFolder="" count="0" memberValueDatatype="130" unbalanced="0"/>
    <cacheHierarchy uniqueName="[All_Crimes].[Model1]" caption="Model1" attribute="1" defaultMemberUniqueName="[All_Crimes].[Model1].[All]" allUniqueName="[All_Crimes].[Model1].[All]" dimensionUniqueName="[All_Crimes]" displayFolder="" count="0" memberValueDatatype="130" unbalanced="0"/>
    <cacheHierarchy uniqueName="[All_Crimes].[Reg State 1]" caption="Reg State 1" attribute="1" defaultMemberUniqueName="[All_Crimes].[Reg State 1].[All]" allUniqueName="[All_Crimes].[Reg State 1].[All]" dimensionUniqueName="[All_Crimes]" displayFolder="" count="0" memberValueDatatype="130" unbalanced="0"/>
    <cacheHierarchy uniqueName="[All_Crimes].[Registration 2]" caption="Registration 2" attribute="1" defaultMemberUniqueName="[All_Crimes].[Registration 2].[All]" allUniqueName="[All_Crimes].[Registration 2].[All]" dimensionUniqueName="[All_Crimes]" displayFolder="" count="0" memberValueDatatype="130" unbalanced="0"/>
    <cacheHierarchy uniqueName="[All_Crimes].[Reg State 2]" caption="Reg State 2" attribute="1" defaultMemberUniqueName="[All_Crimes].[Reg State 2].[All]" allUniqueName="[All_Crimes].[Reg State 2].[All]" dimensionUniqueName="[All_Crimes]" displayFolder="" count="0" memberValueDatatype="130" unbalanced="0"/>
    <cacheHierarchy uniqueName="[All_Crimes].[Make2]" caption="Make2" attribute="1" defaultMemberUniqueName="[All_Crimes].[Make2].[All]" allUniqueName="[All_Crimes].[Make2].[All]" dimensionUniqueName="[All_Crimes]" displayFolder="" count="0" memberValueDatatype="130" unbalanced="0"/>
    <cacheHierarchy uniqueName="[All_Crimes].[Model2]" caption="Model2" attribute="1" defaultMemberUniqueName="[All_Crimes].[Model2].[All]" allUniqueName="[All_Crimes].[Model2].[All]" dimensionUniqueName="[All_Crimes]" displayFolder="" count="0" memberValueDatatype="130" unbalanced="0"/>
    <cacheHierarchy uniqueName="[All_Crimes].[Reviewed By]" caption="Reviewed By" attribute="1" defaultMemberUniqueName="[All_Crimes].[Reviewed By].[All]" allUniqueName="[All_Crimes].[Reviewed By].[All]" dimensionUniqueName="[All_Crimes]" displayFolder="" count="0" memberValueDatatype="130" unbalanced="0"/>
    <cacheHierarchy uniqueName="[All_Crimes].[Officer of Record]" caption="Officer of Record" attribute="1" defaultMemberUniqueName="[All_Crimes].[Officer of Record].[All]" allUniqueName="[All_Crimes].[Officer of Record].[All]" dimensionUniqueName="[All_Crimes]" displayFolder="" count="0" memberValueDatatype="130" unbalanced="0"/>
    <cacheHierarchy uniqueName="[All_Crimes].[Squad]" caption="Squad" attribute="1" defaultMemberUniqueName="[All_Crimes].[Squad].[All]" allUniqueName="[All_Crimes].[Squad].[All]" dimensionUniqueName="[All_Crimes]" displayFolder="" count="0" memberValueDatatype="130" unbalanced="0"/>
    <cacheHierarchy uniqueName="[All_Crimes].[Det_Assigned]" caption="Det_Assigned" attribute="1" defaultMemberUniqueName="[All_Crimes].[Det_Assigned].[All]" allUniqueName="[All_Crimes].[Det_Assigned].[All]" dimensionUniqueName="[All_Crimes]" displayFolder="" count="0" memberValueDatatype="130" unbalanced="0"/>
    <cacheHierarchy uniqueName="[All_Crimes].[Case_Status]" caption="Case_Status" attribute="1" defaultMemberUniqueName="[All_Crimes].[Case_Status].[All]" allUniqueName="[All_Crimes].[Case_Status].[All]" dimensionUniqueName="[All_Crimes]" displayFolder="" count="0" memberValueDatatype="130" unbalanced="0"/>
    <cacheHierarchy uniqueName="[All_Crimes].[NibrsClassification]" caption="NibrsClassification" attribute="1" defaultMemberUniqueName="[All_Crimes].[NibrsClassification].[All]" allUniqueName="[All_Crimes].[NibrsClassification].[All]" dimensionUniqueName="[All_Crimes]" displayFolder="" count="0" memberValueDatatype="130" unbalanced="0"/>
    <cacheHierarchy uniqueName="[All_Crimes].[IncDate]" caption="IncDate" attribute="1" time="1" defaultMemberUniqueName="[All_Crimes].[IncDate].[All]" allUniqueName="[All_Crimes].[IncDate].[All]" dimensionUniqueName="[All_Crimes]" displayFolder="" count="0" memberValueDatatype="7" unbalanced="0"/>
    <cacheHierarchy uniqueName="[All_Crimes].[IncTime]" caption="IncTime" attribute="1" time="1" defaultMemberUniqueName="[All_Crimes].[IncTime].[All]" allUniqueName="[All_Crimes].[IncTime].[All]" dimensionUniqueName="[All_Crimes]" displayFolder="" count="0" memberValueDatatype="7" unbalanced="0"/>
    <cacheHierarchy uniqueName="[All_Crimes].[StartOfHour]" caption="StartOfHour" attribute="1" time="1" defaultMemberUniqueName="[All_Crimes].[StartOfHour].[All]" allUniqueName="[All_Crimes].[StartOfHour].[All]" dimensionUniqueName="[All_Crimes]" displayFolder="" count="0" memberValueDatatype="7" unbalanced="0"/>
    <cacheHierarchy uniqueName="[All_Crimes].[TimeOfDay]" caption="TimeOfDay" attribute="1" defaultMemberUniqueName="[All_Crimes].[TimeOfDay].[All]" allUniqueName="[All_Crimes].[TimeOfDay].[All]" dimensionUniqueName="[All_Crimes]" displayFolder="" count="0" memberValueDatatype="130" unbalanced="0"/>
    <cacheHierarchy uniqueName="[All_Crimes].[ALL_INCIDENTS]" caption="ALL_INCIDENTS" attribute="1" defaultMemberUniqueName="[All_Crimes].[ALL_INCIDENTS].[All]" allUniqueName="[All_Crimes].[ALL_INCIDENTS].[All]" dimensionUniqueName="[All_Crimes]" displayFolder="" count="2" memberValueDatatype="130" unbalanced="0">
      <fieldsUsage count="2">
        <fieldUsage x="-1"/>
        <fieldUsage x="3"/>
      </fieldsUsage>
    </cacheHierarchy>
    <cacheHierarchy uniqueName="[All_Crimes].[Period]" caption="Period" attribute="1" defaultMemberUniqueName="[All_Crimes].[Period].[All]" allUniqueName="[All_Crimes].[Period].[All]" dimensionUniqueName="[All_Crimes]" displayFolder="" count="2" memberValueDatatype="130" unbalanced="0">
      <fieldsUsage count="2">
        <fieldUsage x="-1"/>
        <fieldUsage x="1"/>
      </fieldsUsage>
    </cacheHierarchy>
    <cacheHierarchy uniqueName="[All_Crimes].[INC_TIME]" caption="INC_TIME" attribute="1" time="1" defaultMemberUniqueName="[All_Crimes].[INC_TIME].[All]" allUniqueName="[All_Crimes].[INC_TIME].[All]" dimensionUniqueName="[All_Crimes]" displayFolder="" count="0" memberValueDatatype="7" unbalanced="0"/>
    <cacheHierarchy uniqueName="[All_Crimes].[INC_DATE]" caption="INC_DATE" attribute="1" time="1" defaultMemberUniqueName="[All_Crimes].[INC_DATE].[All]" allUniqueName="[All_Crimes].[INC_DATE].[All]" dimensionUniqueName="[All_Crimes]" displayFolder="" count="0" memberValueDatatype="7" unbalanced="0"/>
    <cacheHierarchy uniqueName="[All_Crimes].[Enhanced_TimeOfDay]" caption="Enhanced_TimeOfDay" attribute="1" defaultMemberUniqueName="[All_Crimes].[Enhanced_TimeOfDay].[All]" allUniqueName="[All_Crimes].[Enhanced_TimeOfDay].[All]" dimensionUniqueName="[All_Crimes]" displayFolder="" count="2" memberValueDatatype="130" unbalanced="0">
      <fieldsUsage count="2">
        <fieldUsage x="-1"/>
        <fieldUsage x="0"/>
      </fieldsUsage>
    </cacheHierarchy>
    <cacheHierarchy uniqueName="[All_Crimes].[Day Name]" caption="Day Name" attribute="1" defaultMemberUniqueName="[All_Crimes].[Day Name].[All]" allUniqueName="[All_Crimes].[Day Name].[All]" dimensionUniqueName="[All_Crimes]" displayFolder="" count="0" memberValueDatatype="130" unbalanced="0"/>
    <cacheHierarchy uniqueName="[All_Crimes].[Month Name]" caption="Month Name" attribute="1" defaultMemberUniqueName="[All_Crimes].[Month Name].[All]" allUniqueName="[All_Crimes].[Month Name].[All]" dimensionUniqueName="[All_Crimes]" displayFolder="" count="0" memberValueDatatype="130" unbalanced="0"/>
    <cacheHierarchy uniqueName="[All_Crimes].[Year]" caption="Year" attribute="1" defaultMemberUniqueName="[All_Crimes].[Year].[All]" allUniqueName="[All_Crimes].[Year].[All]" dimensionUniqueName="[All_Crimes]" displayFolder="" count="0" memberValueDatatype="20" unbalanced="0"/>
    <cacheHierarchy uniqueName="[All_Crimes].[Week of Year]" caption="Week of Year" attribute="1" defaultMemberUniqueName="[All_Crimes].[Week of Year].[All]" allUniqueName="[All_Crimes].[Week of Year].[All]" dimensionUniqueName="[All_Crimes]" displayFolder="" count="0" memberValueDatatype="20" unbalanced="0"/>
    <cacheHierarchy uniqueName="[All_Crimes].[Day]" caption="Day" attribute="1" defaultMemberUniqueName="[All_Crimes].[Day].[All]" allUniqueName="[All_Crimes].[Day].[All]" dimensionUniqueName="[All_Crimes]" displayFolder="" count="0" memberValueDatatype="20" unbalanced="0"/>
    <cacheHierarchy uniqueName="[All_Crimes].[BLOCK_Enhanced]" caption="BLOCK_Enhanced" attribute="1" defaultMemberUniqueName="[All_Crimes].[BLOCK_Enhanced].[All]" allUniqueName="[All_Crimes].[BLOCK_Enhanced].[All]" dimensionUniqueName="[All_Crimes]" displayFolder="" count="0" memberValueDatatype="130" unbalanced="0"/>
    <cacheHierarchy uniqueName="[All_Crimes].[Crime_Category]" caption="Crime_Category" attribute="1" defaultMemberUniqueName="[All_Crimes].[Crime_Category].[All]" allUniqueName="[All_Crimes].[Crime_Category].[All]" dimensionUniqueName="[All_Crimes]" displayFolder="" count="0" memberValueDatatype="130" unbalanced="0"/>
    <cacheHierarchy uniqueName="[Measures].[__XL_Count All_Crimes]" caption="__XL_Count All_Crimes" measure="1" displayFolder="" measureGroup="All_Crimes" count="0" hidden="1"/>
    <cacheHierarchy uniqueName="[Measures].[__No measures defined]" caption="__No measures defined" measure="1" displayFolder="" count="0" hidden="1"/>
    <cacheHierarchy uniqueName="[Measures].[Count of Case Number]" caption="Count of Case Number" measure="1" displayFolder="" measureGroup="All_Crimes"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2">
    <dimension name="All_Crimes" uniqueName="[All_Crimes]" caption="All_Crimes"/>
    <dimension measure="1" name="Measures" uniqueName="[Measures]" caption="Measures"/>
  </dimensions>
  <measureGroups count="1">
    <measureGroup name="All_Crimes" caption="All_Crimes"/>
  </measureGroups>
  <maps count="1">
    <map measureGroup="0" dimension="0"/>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838.522658217589" createdVersion="8" refreshedVersion="8" minRefreshableVersion="3" recordCount="53" xr:uid="{E05F0283-B42E-4677-8222-E73DACB8BB1E}">
  <cacheSource type="worksheet">
    <worksheetSource name="Auto_Burglary"/>
  </cacheSource>
  <cacheFields count="61">
    <cacheField name="Case Number" numFmtId="0">
      <sharedItems/>
    </cacheField>
    <cacheField name="IncidentDate" numFmtId="0">
      <sharedItems containsString="0" containsBlank="1" containsNumber="1" containsInteger="1" minValue="45660" maxValue="45837"/>
    </cacheField>
    <cacheField name="Incident Time" numFmtId="22">
      <sharedItems containsNonDate="0" containsDate="1" containsString="0" containsBlank="1" minDate="1899-12-30T00:47:00" maxDate="1900-03-19T04:00:00"/>
    </cacheField>
    <cacheField name="Incident Date_Between" numFmtId="14">
      <sharedItems containsNonDate="0" containsDate="1" containsString="0" containsBlank="1" minDate="2025-01-04T00:00:00" maxDate="2025-07-01T00:00:00"/>
    </cacheField>
    <cacheField name="Incident Time_Between" numFmtId="168">
      <sharedItems containsNonDate="0" containsDate="1" containsString="0" containsBlank="1" minDate="1899-12-30T02:30:00" maxDate="1899-12-30T23:11:00"/>
    </cacheField>
    <cacheField name="Report Date" numFmtId="14">
      <sharedItems containsSemiMixedTypes="0" containsNonDate="0" containsDate="1" containsString="0" minDate="2025-01-04T00:00:00" maxDate="2025-07-01T00:00:00"/>
    </cacheField>
    <cacheField name="Report Time" numFmtId="168">
      <sharedItems containsSemiMixedTypes="0" containsNonDate="0" containsDate="1" containsString="0" minDate="1899-12-30T00:52:33" maxDate="1899-12-30T23:58:33"/>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2" maxValue="5"/>
    </cacheField>
    <cacheField name="Total Value Recover" numFmtId="0">
      <sharedItems containsString="0" containsBlank="1" containsNumber="1" containsInteger="1" minValue="0" maxValue="0"/>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Blank="1"/>
    </cacheField>
    <cacheField name="Reg State 2" numFmtId="0">
      <sharedItems containsBlank="1"/>
    </cacheField>
    <cacheField name="Make2" numFmtId="0">
      <sharedItems containsBlank="1"/>
    </cacheField>
    <cacheField name="Model2" numFmtId="0">
      <sharedItems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3T00:00:00" maxDate="2025-06-30T00:00:00"/>
    </cacheField>
    <cacheField name="IncTime" numFmtId="168">
      <sharedItems containsSemiMixedTypes="0" containsNonDate="0" containsDate="1" containsString="0" minDate="1899-12-30T00:47:00" maxDate="1899-12-30T23:30:00"/>
    </cacheField>
    <cacheField name="StartOfHour" numFmtId="168">
      <sharedItems containsSemiMixedTypes="0" containsNonDate="0" containsDate="1" containsString="0" minDate="1899-12-30T00:00:00" maxDate="1899-12-30T23:00:00"/>
    </cacheField>
    <cacheField name="TimeOfDay" numFmtId="0">
      <sharedItems/>
    </cacheField>
    <cacheField name="Block" numFmtId="0">
      <sharedItems/>
    </cacheField>
    <cacheField name="ALL_INCIDENTS" numFmtId="0">
      <sharedItems count="14">
        <s v="Motor Vehicle Theft - 2C:20-3"/>
        <s v="Burglary - Auto - 2C:18-2"/>
        <s v="Burglary - Auto - 2C:18-2 - Theft - 2C:20-3"/>
        <s v="Motor Vehicle Theft - 2C:20-3 - Theft - 2C:20-3"/>
        <s v="Motor Vehicle Theft - 2C:20-3 - Recovered Stolen Vehicle"/>
        <s v="Burglary - Auto - 2C:18-2 - Criminal Mischief - Vehicle - 2C:17-3"/>
        <s v="Burglary - Auto - 2C:18-2 - Theft - 2C:20-3 - Criminal Mischief - 2C:17-3"/>
        <s v="Burglary - Auto - 2C:18-2 - Suspicious Person - Property - Found"/>
        <s v="Burglary - Auto - 2C:18-2 - Weapons - Unlawful Purposes - 2C:39-4"/>
        <s v="Motor Vehicle Theft - 2C:20-3 - Motor Vehicle - Private Property Tow"/>
        <s v="Motor Vehicle Theft - 2C:20-3 - Suspicious Incident"/>
        <s v="Burglary - Auto - 2C:18-2 - Criminal Mischief - 2C:17-3"/>
        <s v="Motor Vehicle Theft - 2C:20-3 - Notification Request"/>
        <s v="Burglary - Auto - 2C:18-2 - Criminal Attempt - 2C:5-1 - Motor Vehicle Theft - 2C:20-3"/>
      </sharedItems>
    </cacheField>
    <cacheField name="Period" numFmtId="0">
      <sharedItems/>
    </cacheField>
    <cacheField name="INC_TIME" numFmtId="168">
      <sharedItems containsSemiMixedTypes="0" containsNonDate="0" containsDate="1" containsString="0" minDate="1899-12-30T00:47:00" maxDate="1899-12-30T23:30:00"/>
    </cacheField>
    <cacheField name="INC_DATE" numFmtId="14">
      <sharedItems containsSemiMixedTypes="0" containsNonDate="0" containsDate="1" containsString="0" minDate="2025-01-03T00:00:00" maxDate="2025-06-30T00:00:00" count="45">
        <d v="2025-01-03T00:00:00"/>
        <d v="2025-01-06T00:00:00"/>
        <d v="2025-01-15T00:00:00"/>
        <d v="2025-01-21T00:00:00"/>
        <d v="2025-01-22T00:00:00"/>
        <d v="2025-01-25T00:00:00"/>
        <d v="2025-01-26T00:00:00"/>
        <d v="2025-01-28T00:00:00"/>
        <d v="2025-02-01T00:00:00"/>
        <d v="2025-02-03T00:00:00"/>
        <d v="2025-02-07T00:00:00"/>
        <d v="2025-01-31T00:00:00"/>
        <d v="2025-02-13T00:00:00"/>
        <d v="2025-02-17T00:00:00"/>
        <d v="2025-02-25T00:00:00"/>
        <d v="2025-03-06T00:00:00"/>
        <d v="2025-03-09T00:00:00"/>
        <d v="2025-03-11T00:00:00"/>
        <d v="2025-03-21T00:00:00"/>
        <d v="2025-03-23T00:00:00"/>
        <d v="2025-03-28T00:00:00"/>
        <d v="2025-03-31T00:00:00"/>
        <d v="2025-04-01T00:00:00"/>
        <d v="2025-04-08T00:00:00"/>
        <d v="2025-04-09T00:00:00"/>
        <d v="2025-04-13T00:00:00"/>
        <d v="2025-04-19T00:00:00"/>
        <d v="2025-04-25T00:00:00"/>
        <d v="2025-04-29T00:00:00"/>
        <d v="2025-03-01T00:00:00"/>
        <d v="2025-05-05T00:00:00"/>
        <d v="2025-05-11T00:00:00"/>
        <d v="2025-05-12T00:00:00"/>
        <d v="2025-05-18T00:00:00"/>
        <d v="2025-05-14T00:00:00"/>
        <d v="2025-06-02T00:00:00"/>
        <d v="2025-06-03T00:00:00"/>
        <d v="2025-06-05T00:00:00"/>
        <d v="2025-06-07T00:00:00"/>
        <d v="2025-06-08T00:00:00"/>
        <d v="2025-06-11T00:00:00"/>
        <d v="2025-06-21T00:00:00"/>
        <d v="2025-06-20T00:00:00"/>
        <d v="2025-06-25T00:00:00"/>
        <d v="2025-06-29T00:00:00"/>
      </sharedItems>
    </cacheField>
    <cacheField name="Start of Hour" numFmtId="168">
      <sharedItems containsSemiMixedTypes="0" containsNonDate="0" containsDate="1" containsString="0" minDate="1899-12-30T00:00:00" maxDate="1899-12-30T23:00:00"/>
    </cacheField>
    <cacheField name="INC_DATE_AND_TIME" numFmtId="22">
      <sharedItems containsNonDate="0" containsString="0" containsBlank="1"/>
    </cacheField>
    <cacheField name="TOD" numFmtId="0">
      <sharedItems/>
    </cacheField>
    <cacheField name="Day Name" numFmtId="0">
      <sharedItems count="7">
        <s v="Friday"/>
        <s v="Monday"/>
        <s v="Wednesday"/>
        <s v="Tuesday"/>
        <s v="Saturday"/>
        <s v="Sunday"/>
        <s v="Thursday"/>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1" maxValue="27"/>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3" maxValue="180"/>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2" maxValue="5"/>
    </cacheField>
    <cacheField name="REPORT_CYCLE" numFmtId="0">
      <sharedItems/>
    </cacheField>
    <cacheField name="TIME_OF_DAY" numFmtId="0">
      <sharedItems count="6">
        <s v="Night (20:00–23:59)"/>
        <s v="Afternoon (12:00–15:59)"/>
        <s v="Evening Peak (16:00–19:59)"/>
        <s v="Morning Peak (08:00–11:59)"/>
        <s v="Early Morning (00:00–03: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bert A. Carucci" refreshedDate="45860.666371412037" createdVersion="8" refreshedVersion="8" minRefreshableVersion="3" recordCount="35" xr:uid="{CE3CD6FB-6E91-4F73-AC39-C31501C9D233}">
  <cacheSource type="worksheet">
    <worksheetSource name="Burglary_Commercial_Residential"/>
  </cacheSource>
  <cacheFields count="61">
    <cacheField name="Case Number" numFmtId="0">
      <sharedItems/>
    </cacheField>
    <cacheField name="IncidentDate" numFmtId="14">
      <sharedItems containsNonDate="0" containsDate="1" containsString="0" containsBlank="1" minDate="2025-01-16T00:00:00" maxDate="2025-07-22T00:00:00"/>
    </cacheField>
    <cacheField name="Incident Time" numFmtId="22">
      <sharedItems containsNonDate="0" containsDate="1" containsString="0" containsBlank="1" minDate="1899-12-30T01:07:00" maxDate="1899-12-30T23:30:00"/>
    </cacheField>
    <cacheField name="Incident Date_Between" numFmtId="14">
      <sharedItems containsNonDate="0" containsDate="1" containsString="0" containsBlank="1" minDate="2025-01-16T00:00:00" maxDate="2025-07-22T00:00:00"/>
    </cacheField>
    <cacheField name="Incident Time_Between" numFmtId="168">
      <sharedItems containsNonDate="0" containsDate="1" containsString="0" containsBlank="1" minDate="1899-12-30T00:36:00" maxDate="1899-12-30T19:00:00"/>
    </cacheField>
    <cacheField name="Report Date" numFmtId="14">
      <sharedItems containsSemiMixedTypes="0" containsNonDate="0" containsDate="1" containsString="0" minDate="2025-01-16T00:00:00" maxDate="2025-07-22T00:00:00"/>
    </cacheField>
    <cacheField name="Report Time" numFmtId="168">
      <sharedItems containsSemiMixedTypes="0" containsNonDate="0" containsDate="1" containsString="0" minDate="1899-12-30T02:57:41" maxDate="1899-12-30T22:43:12"/>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12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Blank="1"/>
    </cacheField>
    <cacheField name="Reg State 2" numFmtId="0">
      <sharedItems containsBlank="1"/>
    </cacheField>
    <cacheField name="Make2" numFmtId="0">
      <sharedItems containsBlank="1"/>
    </cacheField>
    <cacheField name="Model2" numFmtId="0">
      <sharedItems containsBlank="1"/>
    </cacheField>
    <cacheField name="Reviewed By" numFmtId="0">
      <sharedItems containsBlank="1"/>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16T00:00:00" maxDate="2025-07-22T00:00:00"/>
    </cacheField>
    <cacheField name="IncTime" numFmtId="168">
      <sharedItems containsSemiMixedTypes="0" containsNonDate="0" containsDate="1" containsString="0" minDate="1899-12-30T01:07:00" maxDate="1899-12-30T23:30:00"/>
    </cacheField>
    <cacheField name="StartOfHour" numFmtId="168">
      <sharedItems containsSemiMixedTypes="0" containsNonDate="0" containsDate="1" containsString="0" minDate="1899-12-30T01:00:00" maxDate="1899-12-30T23:00:00"/>
    </cacheField>
    <cacheField name="TimeOfDay" numFmtId="0">
      <sharedItems/>
    </cacheField>
    <cacheField name="Block" numFmtId="0">
      <sharedItems/>
    </cacheField>
    <cacheField name="ALL_INCIDENTS" numFmtId="0">
      <sharedItems count="14">
        <s v="Burglary - Residence - 2C:18-2"/>
        <s v="Burglary - Commercial - 2C:18-2 - Alarm - Burglar"/>
        <s v="Burglary - Commercial - 2C:18-2 - Suspicious Incident"/>
        <s v="Burglary - Commercial - 2C:18-2 - Hindering Apprehension - 2C:29-3 - Resisting Arrest/Eluding - 2C:29-2"/>
        <s v="Burglary - Residence - 2C:18-2 - Terroristic Threats - 2C:12-3 - Criminal Mischief - 2C:17-3"/>
        <s v="Burglary - Residence - 2C:18-2 - Theft - 2C:20-3 - Criminal Mischief - 2C:17-3"/>
        <s v="Burglary - Commercial - 2C:18-2"/>
        <s v="Burglary - Residence - 2C:18-2 - Theft - 2C:20-3 - Warrant Arrest"/>
        <s v="Burglary - Residence - 2C:18-2 - Aggravated Assault - 2C:12-1b - Unlawful Taking - 2C:20-10"/>
        <s v="Burglary - Residence - 2C:18-2 - Criminal Mischief - 2C:17-3 - Simple Assault - 2C:12-1a"/>
        <s v="Burglary - Residence - 2C:18-2 - Suspicious Person - Suspicious Incident"/>
        <s v="Burglary - Residence - 2C:18-2 - Theft - 2C:20-3"/>
        <s v="Burglary - Commercial - 2C:18-2 - Theft - 2C:20-3"/>
        <s v="Burglary - Residence - 2C:18-2 - Motor Vehicle Theft - 2C:20-3 - Criminal Mischief - 2C:17-3"/>
      </sharedItems>
    </cacheField>
    <cacheField name="Period" numFmtId="0">
      <sharedItems/>
    </cacheField>
    <cacheField name="INC_TIME" numFmtId="168">
      <sharedItems containsSemiMixedTypes="0" containsNonDate="0" containsDate="1" containsString="0" minDate="1899-12-30T01:07:00" maxDate="1899-12-30T23:30:00"/>
    </cacheField>
    <cacheField name="INC_DATE" numFmtId="14">
      <sharedItems containsSemiMixedTypes="0" containsNonDate="0" containsDate="1" containsString="0" minDate="2025-01-16T00:00:00" maxDate="2025-07-22T00:00:00" count="30">
        <d v="2025-01-16T00:00:00"/>
        <d v="2025-01-25T00:00:00"/>
        <d v="2025-01-31T00:00:00"/>
        <d v="2025-02-05T00:00:00"/>
        <d v="2025-02-17T00:00:00"/>
        <d v="2025-03-10T00:00:00"/>
        <d v="2025-03-27T00:00:00"/>
        <d v="2025-03-31T00:00:00"/>
        <d v="2025-04-01T00:00:00"/>
        <d v="2025-04-08T00:00:00"/>
        <d v="2025-04-13T00:00:00"/>
        <d v="2025-04-14T00:00:00"/>
        <d v="2025-04-16T00:00:00"/>
        <d v="2025-04-21T00:00:00"/>
        <d v="2025-04-20T00:00:00"/>
        <d v="2025-05-01T00:00:00"/>
        <d v="2025-05-12T00:00:00"/>
        <d v="2025-05-04T00:00:00"/>
        <d v="2025-05-24T00:00:00"/>
        <d v="2025-05-25T00:00:00"/>
        <d v="2025-04-27T00:00:00"/>
        <d v="2025-05-23T00:00:00"/>
        <d v="2025-06-18T00:00:00"/>
        <d v="2025-06-23T00:00:00"/>
        <d v="2025-06-27T00:00:00"/>
        <d v="2025-06-30T00:00:00"/>
        <d v="2025-07-02T00:00:00"/>
        <d v="2025-07-08T00:00:00"/>
        <d v="2025-07-13T00:00:00"/>
        <d v="2025-07-21T00:00:00"/>
      </sharedItems>
    </cacheField>
    <cacheField name="Start of Hour" numFmtId="168">
      <sharedItems containsSemiMixedTypes="0" containsNonDate="0" containsDate="1" containsString="0" minDate="1899-12-30T01:00:00" maxDate="1899-12-30T23:00:00"/>
    </cacheField>
    <cacheField name="INC_DATE_AND_TIME" numFmtId="22">
      <sharedItems containsNonDate="0" containsString="0" containsBlank="1"/>
    </cacheField>
    <cacheField name="TOD" numFmtId="0">
      <sharedItems count="6">
        <s v="Afternoon (12:00–15:59)"/>
        <s v="Morning Peak (08:00–11:59)"/>
        <s v="Early Morning (00:00–03:59)"/>
        <s v="Night (20:00–23:59)"/>
        <s v="Evening Peak (16:00–19:59)"/>
        <s v="Morning (04:00–07:59)"/>
      </sharedItems>
    </cacheField>
    <cacheField name="Day Name" numFmtId="0">
      <sharedItems containsBlank="1" count="8">
        <s v="Thursday"/>
        <s v="Saturday"/>
        <s v="Friday"/>
        <s v="Wednesday"/>
        <s v="Monday"/>
        <s v="Tuesday"/>
        <s v="Sunday"/>
        <m u="1"/>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30"/>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16" maxValue="202"/>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1200" maxValue="50300"/>
    </cacheField>
    <cacheField name="REPORT_CYCLE" numFmtId="0">
      <sharedItems containsNonDate="0" containsString="0" containsBlank="1"/>
    </cacheField>
    <cacheField name="TIME_OF_DAY" numFmtId="0">
      <sharedItems count="6">
        <s v="Afternoon (12:00–15:59)"/>
        <s v="Morning Peak (08:00–11:59)"/>
        <s v="Early Morning (00:00–03:59)"/>
        <s v="Night (20:00–23:59)"/>
        <s v="Evening Peak (16:00–19: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s v="25-000813"/>
    <n v="45660"/>
    <d v="1899-12-30T21:30:00"/>
    <d v="2025-01-04T00:00:00"/>
    <d v="1899-12-30T06:25:00"/>
    <d v="2025-01-04T00:00:00"/>
    <d v="1899-12-30T10:59:09"/>
    <s v="Motor Vehicle Theft - 2C:20-3"/>
    <m/>
    <m/>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W46uly"/>
    <s v="Honda"/>
    <s v="ACC"/>
    <s v="NJ"/>
    <m/>
    <m/>
    <m/>
    <m/>
    <s v="klosk_j"/>
    <s v="Complete"/>
    <s v="P.O. Nicholas Mazzaccaro 377"/>
    <s v="B4"/>
    <s v="Det. Robert Ghirardi 150"/>
    <s v="Active/Administratively Closed"/>
    <s v="240 = Theft of Motor Vehicle"/>
    <n v="9"/>
    <d v="2025-01-03T00:00:00"/>
    <d v="1899-12-30T21:30:00"/>
    <d v="1899-12-30T21:00:00"/>
    <s v="Night (20:00–23:59)"/>
    <s v="Lookout Avenue, 300 Block"/>
    <x v="0"/>
    <s v="YTD"/>
    <d v="1899-12-30T21:30:00"/>
    <x v="0"/>
    <d v="1899-12-30T21:00:00"/>
    <m/>
    <s v="Night (20:00–23:59)"/>
    <x v="0"/>
    <s v="January"/>
    <n v="2025"/>
    <n v="1"/>
    <n v="1"/>
    <n v="3"/>
    <n v="3"/>
    <s v="Lookout Avenue, 300 Block"/>
    <s v="309 Lookout Avenue, Hackensack, NJ, 07601"/>
    <m/>
    <m/>
    <s v="Honda ACC"/>
    <m/>
    <m/>
    <s v="Next Day"/>
    <x v="0"/>
    <s v="Night (20:00–23:59)"/>
  </r>
  <r>
    <s v="25-002635"/>
    <n v="45663"/>
    <d v="1899-12-30T15:30:00"/>
    <d v="2025-01-10T00:00:00"/>
    <m/>
    <d v="2025-01-10T00:00:00"/>
    <d v="1899-12-30T19:49:52"/>
    <s v="Burglary - Auto - 2C:18-2"/>
    <m/>
    <m/>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 Investigation"/>
    <s v="23F = Theft From Motor Vehicle"/>
    <n v="9"/>
    <d v="2025-01-06T00:00:00"/>
    <d v="1899-12-30T15:30:00"/>
    <d v="1899-12-30T15:00:00"/>
    <s v="Afternoon (12:00–15:59)"/>
    <s v="Prospect Avenue, 0 Block"/>
    <x v="1"/>
    <s v="YTD"/>
    <d v="1899-12-30T15:30:00"/>
    <x v="1"/>
    <d v="1899-12-30T15:00:00"/>
    <m/>
    <s v="Afternoon (12:00–15:59)"/>
    <x v="1"/>
    <s v="January"/>
    <n v="2025"/>
    <n v="2"/>
    <n v="2"/>
    <n v="6"/>
    <n v="6"/>
    <s v="Prospect Avenue, 0 Block"/>
    <s v="90 Prospect Avenue, Hackensack, NJ, 07601"/>
    <m/>
    <m/>
    <s v="Honda PIL"/>
    <m/>
    <m/>
    <s v="Within Week"/>
    <x v="1"/>
    <s v="Afternoon (12:00–15:59)"/>
  </r>
  <r>
    <s v="25-004097"/>
    <n v="45672"/>
    <d v="1899-12-30T12:57:26"/>
    <m/>
    <m/>
    <d v="2025-01-15T00:00:00"/>
    <d v="1899-12-30T12:57:26"/>
    <s v="Motor Vehicle Theft - 2C:20-3"/>
    <m/>
    <m/>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U38ULG"/>
    <s v="Honda"/>
    <s v="CIV"/>
    <s v="NJ"/>
    <m/>
    <m/>
    <m/>
    <m/>
    <s v="swetits_m"/>
    <s v="Complete"/>
    <s v="P.O. Frank Lorenzo 371"/>
    <s v="b1"/>
    <s v="Det. Matthew DeBonis 325"/>
    <s v="Active/Administratively Closed"/>
    <s v="240 = Theft of Motor Vehicle"/>
    <n v="9"/>
    <d v="2025-01-15T00:00:00"/>
    <d v="1899-12-30T12:57:26"/>
    <d v="1899-12-30T12:00:00"/>
    <s v="Afternoon (12:00–15:59)"/>
    <s v="First Street, 200 Block"/>
    <x v="0"/>
    <s v="YTD"/>
    <d v="1899-12-30T12:57:26"/>
    <x v="2"/>
    <d v="1899-12-30T12:00:00"/>
    <m/>
    <s v="Afternoon (12:00–15:59)"/>
    <x v="2"/>
    <s v="January"/>
    <n v="2025"/>
    <n v="3"/>
    <n v="3"/>
    <n v="15"/>
    <n v="15"/>
    <s v="First Street, 200 Block"/>
    <s v="244 First Street, Hackensack, NJ, 07601"/>
    <m/>
    <m/>
    <s v="Honda CIV"/>
    <m/>
    <m/>
    <s v="Same Day"/>
    <x v="1"/>
    <s v="Afternoon (12:00–15:59)"/>
  </r>
  <r>
    <s v="25-005871"/>
    <n v="45678"/>
    <d v="1899-12-30T19:00:00"/>
    <d v="2025-01-22T00:00:00"/>
    <d v="1899-12-30T03:09:00"/>
    <d v="2025-01-22T00:00:00"/>
    <d v="1899-12-30T03:10:53"/>
    <s v="Motor Vehicle Theft - 2C:20-3"/>
    <m/>
    <m/>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U22RSV"/>
    <s v="Honda"/>
    <s v="PAS"/>
    <s v="NJ"/>
    <m/>
    <m/>
    <m/>
    <m/>
    <s v="tovbin_s"/>
    <s v="Complete"/>
    <s v="P.O. Roselys Salas 369"/>
    <s v="B4"/>
    <s v="Det. John Tanucilli 335"/>
    <s v="Active/Administratively Closed"/>
    <s v="240 = Theft of Motor Vehicle"/>
    <n v="9"/>
    <d v="2025-01-21T00:00:00"/>
    <d v="1899-12-30T19:00:00"/>
    <d v="1899-12-30T19:00:00"/>
    <s v="Evening Peak (16:00–19:59)"/>
    <s v="Ross Avenue, 0 Block"/>
    <x v="0"/>
    <s v="YTD"/>
    <d v="1899-12-30T19:00:00"/>
    <x v="3"/>
    <d v="1899-12-30T19:00:00"/>
    <m/>
    <s v="Evening Peak (16:00–19:59)"/>
    <x v="3"/>
    <s v="January"/>
    <n v="2025"/>
    <n v="4"/>
    <n v="4"/>
    <n v="21"/>
    <n v="21"/>
    <s v="Ross Avenue, 0 Block"/>
    <s v="33 Ross Avenue, Hackensack, NJ, 07601"/>
    <m/>
    <m/>
    <s v="HONDA PAS"/>
    <m/>
    <m/>
    <s v="Next Day"/>
    <x v="2"/>
    <s v="Evening Peak (16:00–19:59)"/>
  </r>
  <r>
    <s v="25-006083"/>
    <n v="45679"/>
    <d v="1899-12-30T08:00:00"/>
    <d v="2025-01-22T00:00:00"/>
    <d v="1899-12-30T19:13:00"/>
    <d v="2025-01-22T00:00:00"/>
    <d v="1899-12-30T19:14:56"/>
    <s v="Motor Vehicle Theft - 2C:20-3"/>
    <m/>
    <m/>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Y62SRJ"/>
    <s v="Nissan"/>
    <s v="PTH"/>
    <s v="NJ"/>
    <m/>
    <m/>
    <m/>
    <m/>
    <s v="swetits_m"/>
    <s v="Complete"/>
    <s v="P.O. Roselys Salas 369"/>
    <s v="B4"/>
    <s v="Det. Demetrius Carroll 133"/>
    <s v="Active/Administratively Closed"/>
    <s v="240 = Theft of Motor Vehicle"/>
    <n v="9"/>
    <d v="2025-01-22T00:00:00"/>
    <d v="1899-12-30T08:00:00"/>
    <d v="1899-12-30T08:00:00"/>
    <s v="Morning Peak (08:00–11:59)"/>
    <s v="Hudson Street, 400 Block"/>
    <x v="0"/>
    <s v="YTD"/>
    <d v="1899-12-30T08:00:00"/>
    <x v="4"/>
    <d v="1899-12-30T08:00:00"/>
    <m/>
    <s v="Morning Peak (08:00–11:59)"/>
    <x v="2"/>
    <s v="January"/>
    <n v="2025"/>
    <n v="4"/>
    <n v="4"/>
    <n v="22"/>
    <n v="22"/>
    <s v="Hudson Street, 400 Block"/>
    <s v="443 Hudson Street, Hackensack, NJ, 07601"/>
    <m/>
    <m/>
    <s v="Nissan PTH"/>
    <m/>
    <m/>
    <s v="Same Day"/>
    <x v="3"/>
    <s v="Morning Peak (08:00–11:59)"/>
  </r>
  <r>
    <s v="25-007074"/>
    <n v="45682"/>
    <d v="1899-12-30T18:27:00"/>
    <m/>
    <m/>
    <d v="2025-01-26T00:00:00"/>
    <d v="1899-12-30T10:34:25"/>
    <s v="Burglary - Auto - 2C:18-2"/>
    <s v="Theft - 2C:20-3"/>
    <m/>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d v="1899-12-30T18:00:00"/>
    <s v="Evening Peak (16:00–19:59)"/>
    <s v="Stanley Place, 200 Block"/>
    <x v="2"/>
    <s v="YTD"/>
    <d v="1899-12-30T18:27:00"/>
    <x v="5"/>
    <d v="1899-12-30T18:00:00"/>
    <m/>
    <s v="Evening Peak (16:00–19:59)"/>
    <x v="4"/>
    <s v="January"/>
    <n v="2025"/>
    <n v="4"/>
    <n v="4"/>
    <n v="25"/>
    <n v="25"/>
    <s v="Stanley Place, 200 Block"/>
    <s v="206 Stanley Place, Hackensack, NJ, 07601"/>
    <m/>
    <m/>
    <s v="Honda CRV"/>
    <m/>
    <m/>
    <s v="Next Day"/>
    <x v="2"/>
    <s v="Evening Peak (16:00–19:59)"/>
  </r>
  <r>
    <s v="25-007197"/>
    <n v="45683"/>
    <d v="1899-12-30T20:10:00"/>
    <d v="2025-01-26T00:00:00"/>
    <d v="1899-12-30T20:19:00"/>
    <d v="2025-01-26T00:00:00"/>
    <d v="1899-12-30T20:24:08"/>
    <s v="Burglary - Auto - 2C:18-2"/>
    <s v="Theft - 2C:20-3"/>
    <m/>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1899-12-30T20:00:00"/>
    <s v="Night (20:00–23:59)"/>
    <s v="Pangborn Place, 0 Block"/>
    <x v="2"/>
    <s v="YTD"/>
    <d v="1899-12-30T20:10:00"/>
    <x v="6"/>
    <d v="1899-12-30T20:00:00"/>
    <m/>
    <s v="Night (20:00–23:59)"/>
    <x v="5"/>
    <s v="January"/>
    <n v="2025"/>
    <n v="5"/>
    <n v="5"/>
    <n v="26"/>
    <n v="26"/>
    <s v="Pangborn Place, 0 Block"/>
    <s v="5 Pangborn Place, Hackensack, NJ, 07601"/>
    <m/>
    <m/>
    <s v="Honda ODY"/>
    <m/>
    <m/>
    <s v="Same Day"/>
    <x v="0"/>
    <s v="Night (20:00–23:59)"/>
  </r>
  <r>
    <s v="25-008075"/>
    <n v="45685"/>
    <d v="1899-12-30T15:00:00"/>
    <d v="2025-01-29T00:00:00"/>
    <d v="1899-12-30T22:01:00"/>
    <d v="2025-01-29T00:00:00"/>
    <d v="1899-12-30T22:02:24"/>
    <s v="Motor Vehicle Theft - 2C:20-3"/>
    <s v="Theft - 2C:20-3"/>
    <m/>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k84cxu"/>
    <s v="Lexus"/>
    <s v="ES"/>
    <s v="NJ"/>
    <m/>
    <m/>
    <m/>
    <m/>
    <s v="swetits_m"/>
    <s v="Complete"/>
    <s v="P.O. Roselys Salas 369"/>
    <s v="B4"/>
    <s v="Det. Matthew DeBonis 325"/>
    <s v="Ex-Cleared / Closed"/>
    <s v="240 = Theft of Motor Vehicle"/>
    <n v="9"/>
    <d v="2025-01-28T00:00:00"/>
    <d v="1899-12-30T15:00:00"/>
    <d v="1899-12-30T15:00:00"/>
    <s v="Afternoon (12:00–15:59)"/>
    <s v="Essex Street, 100 Block"/>
    <x v="3"/>
    <s v="YTD"/>
    <d v="1899-12-30T15:00:00"/>
    <x v="7"/>
    <d v="1899-12-30T15:00:00"/>
    <m/>
    <s v="Afternoon (12:00–15:59)"/>
    <x v="3"/>
    <s v="January"/>
    <n v="2025"/>
    <n v="5"/>
    <n v="5"/>
    <n v="28"/>
    <n v="28"/>
    <s v="Essex Street, 100 Block"/>
    <s v="119 Essex Street, Hackensack, NJ, 07601"/>
    <m/>
    <m/>
    <s v="Lexus ES"/>
    <m/>
    <m/>
    <s v="Next Day"/>
    <x v="1"/>
    <s v="Afternoon (12:00–15:59)"/>
  </r>
  <r>
    <s v="25-008777"/>
    <n v="45689"/>
    <d v="1899-12-30T01:00:00"/>
    <m/>
    <d v="1899-12-30T02:30:00"/>
    <d v="2025-02-01T00:00:00"/>
    <d v="1899-12-30T02:52:33"/>
    <s v="Motor Vehicle Theft - 2C:20-3"/>
    <m/>
    <m/>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p77uzj"/>
    <s v="Ford"/>
    <s v="CRO"/>
    <s v="NJ"/>
    <m/>
    <m/>
    <m/>
    <m/>
    <s v="swetits_m"/>
    <s v="Complete"/>
    <s v="P.O. Roselys Salas 369"/>
    <s v="B4"/>
    <s v="Det. Demetrius Carroll 133"/>
    <s v="Active/Administratively Closed"/>
    <s v="240 = Theft of Motor Vehicle"/>
    <n v="9"/>
    <d v="2025-02-01T00:00:00"/>
    <d v="1899-12-30T01:00:00"/>
    <d v="1899-12-30T01:00:00"/>
    <s v="Early Morning (00:00–03:59)"/>
    <s v="Sutton Avenue, 400 Block"/>
    <x v="0"/>
    <s v="YTD"/>
    <d v="1899-12-30T01:00:00"/>
    <x v="8"/>
    <d v="1899-12-30T01:00:00"/>
    <m/>
    <s v="Early Morning (00:00–03:59)"/>
    <x v="4"/>
    <s v="February"/>
    <n v="2025"/>
    <n v="5"/>
    <n v="1"/>
    <n v="1"/>
    <n v="32"/>
    <s v="Sutton Avenue, 400 Block"/>
    <s v="453 Sutton Avenue, Hackensack, NJ, 07601"/>
    <m/>
    <m/>
    <s v="Ford CRO"/>
    <m/>
    <m/>
    <s v="Same Day"/>
    <x v="4"/>
    <s v="Early Morning (00:00–03:59)"/>
  </r>
  <r>
    <s v="25-009657"/>
    <n v="45691"/>
    <d v="1899-12-30T18:30:00"/>
    <d v="2025-02-04T00:00:00"/>
    <d v="1899-12-30T19:00:00"/>
    <d v="2025-02-04T00:00:00"/>
    <d v="1899-12-30T12:43:32"/>
    <s v="Motor Vehicle Theft - 2C:20-3"/>
    <m/>
    <m/>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m82732"/>
    <s v="RAM"/>
    <s v="Promaster"/>
    <s v="AZ"/>
    <m/>
    <m/>
    <m/>
    <m/>
    <s v="deleon_a"/>
    <s v="Complete"/>
    <s v="P.O. Micah Gibson 365"/>
    <s v="A3"/>
    <s v="Det. Matthew DeBonis 325"/>
    <s v="Complaint Signed"/>
    <s v="240 = Theft of Motor Vehicle"/>
    <n v="9"/>
    <d v="2025-02-03T00:00:00"/>
    <d v="1899-12-30T18:30:00"/>
    <d v="1899-12-30T18:00:00"/>
    <s v="Evening Peak (16:00–19:59)"/>
    <s v="Midtown Bridge Approach, 0 Block"/>
    <x v="0"/>
    <s v="YTD"/>
    <d v="1899-12-30T18:30:00"/>
    <x v="9"/>
    <d v="1899-12-30T18:00:00"/>
    <m/>
    <s v="Evening Peak (16:00–19:59)"/>
    <x v="1"/>
    <s v="February"/>
    <n v="2025"/>
    <n v="6"/>
    <n v="2"/>
    <n v="3"/>
    <n v="34"/>
    <s v="Midtown Bridge Approach, 0 Block"/>
    <s v="55 Midtown Bridge Approach, Hackensack, NJ, 07601"/>
    <m/>
    <m/>
    <s v="RAM Promaster"/>
    <m/>
    <m/>
    <s v="Next Day"/>
    <x v="2"/>
    <s v="Evening Peak (16:00–19:59)"/>
  </r>
  <r>
    <s v="25-010474"/>
    <n v="45695"/>
    <d v="1899-12-30T06:35:00"/>
    <d v="2025-02-07T00:00:00"/>
    <d v="1899-12-30T06:50:00"/>
    <d v="2025-02-07T00:00:00"/>
    <d v="1899-12-30T07:22:38"/>
    <s v="Motor Vehicle Theft - 2C:20-3"/>
    <m/>
    <m/>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T12sse"/>
    <s v="Dodge"/>
    <s v="CAR"/>
    <s v="NJ"/>
    <m/>
    <m/>
    <m/>
    <m/>
    <s v="swetits_m"/>
    <s v="Complete"/>
    <s v="P.O. Matthew Tedesco 316"/>
    <s v="B3"/>
    <s v="Sgt. Francesco Tripodi 134"/>
    <s v="No Investigation"/>
    <s v="240 = Theft of Motor Vehicle"/>
    <n v="9"/>
    <d v="2025-02-07T00:00:00"/>
    <d v="1899-12-30T06:35:00"/>
    <d v="1899-12-30T06:00:00"/>
    <s v="Morning (04:00–07:59)"/>
    <s v="Hudson Street, 100 Block"/>
    <x v="0"/>
    <s v="YTD"/>
    <d v="1899-12-30T06:35:00"/>
    <x v="10"/>
    <d v="1899-12-30T06:00:00"/>
    <m/>
    <s v="Morning (04:00–07:59)"/>
    <x v="0"/>
    <s v="February"/>
    <n v="2025"/>
    <n v="6"/>
    <n v="2"/>
    <n v="7"/>
    <n v="38"/>
    <s v="Hudson Street, 100 Block"/>
    <s v="170 Hudson Street, Hackensack, NJ, 07601"/>
    <m/>
    <m/>
    <s v="Dodge CAR"/>
    <m/>
    <m/>
    <s v="Same Day"/>
    <x v="5"/>
    <s v="Morning (04:00–07:59)"/>
  </r>
  <r>
    <s v="25-010788"/>
    <n v="45688"/>
    <d v="1899-12-30T12:00:00"/>
    <d v="2025-02-07T00:00:00"/>
    <d v="1899-12-30T13:00:00"/>
    <d v="2025-02-08T00:00:00"/>
    <d v="1899-12-30T09:22:04"/>
    <s v="Motor Vehicle Theft - 2C:20-3"/>
    <m/>
    <m/>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s70mpz"/>
    <m/>
    <s v="CIV"/>
    <s v="NJ"/>
    <m/>
    <m/>
    <m/>
    <m/>
    <s v="swetits_m"/>
    <s v="Complete"/>
    <s v="P.O. Daniel Francavilla 329"/>
    <s v="B4"/>
    <s v="Det. Matthew Dogali 338"/>
    <s v="Active/Administratively Closed"/>
    <s v="240 = Theft of Motor Vehicle"/>
    <n v="9"/>
    <d v="2025-01-31T00:00:00"/>
    <d v="1899-12-30T12:00:00"/>
    <d v="1899-12-30T12:00:00"/>
    <s v="Afternoon (12:00–15:59)"/>
    <s v="Hudson Street, 500 Block"/>
    <x v="0"/>
    <s v="YTD"/>
    <d v="1899-12-30T12:00:00"/>
    <x v="11"/>
    <d v="1899-12-30T12:00:00"/>
    <m/>
    <s v="Afternoon (12:00–15:59)"/>
    <x v="0"/>
    <s v="January"/>
    <n v="2025"/>
    <n v="5"/>
    <n v="5"/>
    <n v="31"/>
    <n v="31"/>
    <s v="Hudson Street, 500 Block"/>
    <s v="535 Hudson Street, Hackensack, NJ, 07601"/>
    <m/>
    <m/>
    <m/>
    <m/>
    <m/>
    <s v="Within Month"/>
    <x v="1"/>
    <s v="Afternoon (12:00–15:59)"/>
  </r>
  <r>
    <s v="25-012325"/>
    <n v="45701"/>
    <d v="1899-12-30T16:00:00"/>
    <m/>
    <m/>
    <d v="2025-02-14T00:00:00"/>
    <d v="1899-12-30T07:10:39"/>
    <s v="Burglary - Auto - 2C:18-2"/>
    <m/>
    <m/>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Administratively Closed"/>
    <s v="23F = Theft From Motor Vehicle"/>
    <n v="9"/>
    <d v="2025-02-13T00:00:00"/>
    <d v="1899-12-30T16:00:00"/>
    <d v="1899-12-30T16:00:00"/>
    <s v="Evening Peak (16:00–19:59)"/>
    <s v="Pleasantview Avenue &amp; Kipp Street, Unknown Block"/>
    <x v="1"/>
    <s v="YTD"/>
    <d v="1899-12-30T16:00:00"/>
    <x v="12"/>
    <d v="1899-12-30T16:00:00"/>
    <m/>
    <s v="Evening Peak (16:00–19:59)"/>
    <x v="6"/>
    <s v="February"/>
    <n v="2025"/>
    <n v="7"/>
    <n v="3"/>
    <n v="13"/>
    <n v="44"/>
    <s v="Pleasantview Avenue &amp; Kipp Street, Unknown Block"/>
    <s v="East Pleasantview Avenue &amp; Kipp Street, Hackensack, NJ, 07601"/>
    <m/>
    <m/>
    <s v="Ford R1Z"/>
    <m/>
    <m/>
    <s v="Next Day"/>
    <x v="2"/>
    <s v="Evening Peak (16:00–19:59)"/>
  </r>
  <r>
    <s v="25-013091"/>
    <n v="45705"/>
    <d v="1899-12-30T08:22:14"/>
    <m/>
    <m/>
    <d v="2025-02-17T00:00:00"/>
    <d v="1899-12-30T08:22:14"/>
    <s v="Motor Vehicle Theft - 2C:20-3"/>
    <s v="Recovered Stolen Vehicle"/>
    <m/>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l17pum"/>
    <s v="Honda"/>
    <s v="ACC"/>
    <s v="NJ"/>
    <m/>
    <m/>
    <m/>
    <m/>
    <s v="deleon_a"/>
    <s v="Complete"/>
    <s v="P.O. Ruben Almonte 359"/>
    <s v="A3"/>
    <s v="Det. Demetrius Carroll 133"/>
    <s v="Active/Administratively Closed"/>
    <s v="240 = Theft of Motor Vehicle"/>
    <n v="9"/>
    <d v="2025-02-17T00:00:00"/>
    <d v="1899-12-30T08:22:14"/>
    <d v="1899-12-30T08:00:00"/>
    <s v="Morning Peak (08:00–11:59)"/>
    <s v="Second Street, 100 Block"/>
    <x v="4"/>
    <s v="YTD"/>
    <d v="1899-12-30T08:22:14"/>
    <x v="13"/>
    <d v="1899-12-30T08:00:00"/>
    <m/>
    <s v="Morning Peak (08:00–11:59)"/>
    <x v="1"/>
    <s v="February"/>
    <n v="2025"/>
    <n v="8"/>
    <n v="4"/>
    <n v="17"/>
    <n v="48"/>
    <s v="Second Street, 100 Block"/>
    <s v="100 Second Street, Hackensack, NJ, 07601"/>
    <m/>
    <m/>
    <s v="Honda ACC"/>
    <m/>
    <m/>
    <s v="Same Day"/>
    <x v="3"/>
    <s v="Morning Peak (08:00–11:59)"/>
  </r>
  <r>
    <s v="25-013106"/>
    <n v="45705"/>
    <d v="1899-12-30T09:31:55"/>
    <m/>
    <m/>
    <d v="2025-02-17T00:00:00"/>
    <d v="1899-12-30T09:31:55"/>
    <s v="Motor Vehicle Theft - 2C:20-3"/>
    <m/>
    <m/>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z53rvg"/>
    <s v="Honda"/>
    <s v="ACC"/>
    <s v="NJ"/>
    <m/>
    <m/>
    <m/>
    <m/>
    <s v="deleon_a"/>
    <s v="Complete"/>
    <s v="P.O. Anzour Marza 356"/>
    <s v="A3"/>
    <s v="Det. Demetrius Carroll 133"/>
    <s v="Active/Administratively Closed"/>
    <s v="240 = Theft of Motor Vehicle"/>
    <n v="9"/>
    <d v="2025-02-17T00:00:00"/>
    <d v="1899-12-30T09:31:55"/>
    <d v="1899-12-30T09:00:00"/>
    <s v="Morning Peak (08:00–11:59)"/>
    <s v="Prospect Avenue, 0 Block"/>
    <x v="0"/>
    <s v="YTD"/>
    <d v="1899-12-30T09:31:55"/>
    <x v="13"/>
    <d v="1899-12-30T09:00:00"/>
    <m/>
    <s v="Morning Peak (08:00–11:59)"/>
    <x v="1"/>
    <s v="February"/>
    <n v="2025"/>
    <n v="8"/>
    <n v="4"/>
    <n v="17"/>
    <n v="48"/>
    <s v="Prospect Avenue, 0 Block"/>
    <s v="30 Prospect Avenue, Hackensack, NJ, 07601"/>
    <m/>
    <m/>
    <s v="Honda ACC"/>
    <m/>
    <m/>
    <s v="Same Day"/>
    <x v="3"/>
    <s v="Morning Peak (08:00–11:59)"/>
  </r>
  <r>
    <s v="25-015290"/>
    <n v="45713"/>
    <d v="1899-12-30T10:00:00"/>
    <d v="2025-02-25T00:00:00"/>
    <d v="1899-12-30T23:00:00"/>
    <d v="2025-02-24T00:00:00"/>
    <d v="1899-12-30T23:47:34"/>
    <s v="Motor Vehicle Theft - 2C:20-3"/>
    <m/>
    <m/>
    <s v="430 Washington Avenue, Hackensack, NJ, 07601"/>
    <s v="E3"/>
    <n v="5"/>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m/>
    <m/>
    <s v="8FL4661"/>
    <s v="Honda"/>
    <s v="PILOT"/>
    <s v="MD"/>
    <m/>
    <m/>
    <m/>
    <m/>
    <s v="klosk_j"/>
    <s v="Complete"/>
    <s v="P.O. Denisse Caero 367"/>
    <s v="B2"/>
    <s v="Det. John Tanucilli 335"/>
    <s v="Unfounded / Closed"/>
    <s v="240 = Theft of Motor Vehicle"/>
    <n v="9"/>
    <d v="2025-02-25T00:00:00"/>
    <d v="1899-12-30T10:00:00"/>
    <d v="1899-12-30T10:00:00"/>
    <s v="Morning Peak (08:00–11:59)"/>
    <s v="Washington Avenue, 400 Block"/>
    <x v="0"/>
    <s v="YTD"/>
    <d v="1899-12-30T10:00:00"/>
    <x v="14"/>
    <d v="1899-12-30T10:00:00"/>
    <m/>
    <s v="Morning Peak (08:00–11:59)"/>
    <x v="3"/>
    <s v="February"/>
    <n v="2025"/>
    <n v="9"/>
    <n v="5"/>
    <n v="25"/>
    <n v="56"/>
    <s v="Washington Avenue, 400 Block"/>
    <s v="430 Washington Avenue, Hackensack, NJ, 07601"/>
    <m/>
    <m/>
    <s v="Honda PILOT"/>
    <m/>
    <m/>
    <s v="Within Week"/>
    <x v="3"/>
    <s v="Morning Peak (08:00–11:59)"/>
  </r>
  <r>
    <s v="25-018160"/>
    <n v="45722"/>
    <d v="1899-12-30T22:35:45"/>
    <m/>
    <m/>
    <d v="2025-03-06T00:00:00"/>
    <d v="1899-12-30T22:35:45"/>
    <s v="Burglary - Auto - 2C:18-2"/>
    <m/>
    <m/>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Administratively Closed"/>
    <s v="23F = Theft From Motor Vehicle"/>
    <n v="9"/>
    <d v="2025-03-06T00:00:00"/>
    <d v="1899-12-30T22:35:45"/>
    <d v="1899-12-30T22:00:00"/>
    <s v="Night (20:00–23:59)"/>
    <s v="Central Avenue, 200 Block"/>
    <x v="1"/>
    <s v="YTD"/>
    <d v="1899-12-30T22:35:45"/>
    <x v="15"/>
    <d v="1899-12-30T22:00:00"/>
    <m/>
    <s v="Night (20:00–23:59)"/>
    <x v="6"/>
    <s v="March"/>
    <n v="2025"/>
    <n v="10"/>
    <n v="2"/>
    <n v="6"/>
    <n v="65"/>
    <s v="Central Avenue, 200 Block"/>
    <s v="216 Central Avenue, Hackensack, NJ, 07601"/>
    <m/>
    <m/>
    <s v="Ford EXP"/>
    <m/>
    <m/>
    <s v="Same Day"/>
    <x v="0"/>
    <s v="Night (20:00–23:59)"/>
  </r>
  <r>
    <s v="25-019245"/>
    <n v="45725"/>
    <d v="1899-12-30T19:30:00"/>
    <d v="2025-03-10T00:00:00"/>
    <d v="1899-12-30T08:30:00"/>
    <d v="2025-03-10T00:00:00"/>
    <d v="1899-12-30T08:53:28"/>
    <s v="Burglary - Auto - 2C:18-2"/>
    <m/>
    <m/>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s v="Det. Demetrius Carroll 133"/>
    <s v="Active/Administratively Closed"/>
    <s v="23F = Theft From Motor Vehicle"/>
    <n v="9"/>
    <d v="2025-03-09T00:00:00"/>
    <d v="1899-12-30T19:30:00"/>
    <d v="1899-12-30T19:00:00"/>
    <s v="Evening Peak (16:00–19:59)"/>
    <s v="American Legion Drive, 200 Block"/>
    <x v="1"/>
    <s v="YTD"/>
    <d v="1899-12-30T19:30:00"/>
    <x v="16"/>
    <d v="1899-12-30T19:00:00"/>
    <m/>
    <s v="Evening Peak (16:00–19:59)"/>
    <x v="5"/>
    <s v="March"/>
    <n v="2025"/>
    <n v="11"/>
    <n v="3"/>
    <n v="9"/>
    <n v="68"/>
    <s v="American Legion Drive, 200 Block"/>
    <s v="282 American Legion Drive, Hackensack, NJ, 07601"/>
    <m/>
    <m/>
    <s v="HYN TIB"/>
    <m/>
    <m/>
    <s v="Next Day"/>
    <x v="2"/>
    <s v="Evening Peak (16:00–19:59)"/>
  </r>
  <r>
    <s v="25-019756"/>
    <n v="45727"/>
    <d v="1899-12-30T14:30:00"/>
    <m/>
    <m/>
    <d v="2025-03-11T00:00:00"/>
    <d v="1899-12-30T16:34:10"/>
    <s v="Burglary - Auto - 2C:18-2"/>
    <m/>
    <m/>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Administratively Closed"/>
    <s v="23F = Theft From Motor Vehicle"/>
    <n v="9"/>
    <d v="2025-03-11T00:00:00"/>
    <d v="1899-12-30T14:30:00"/>
    <d v="1899-12-30T14:00:00"/>
    <s v="Afternoon (12:00–15:59)"/>
    <s v="Anderson Street, 100 Block"/>
    <x v="1"/>
    <s v="YTD"/>
    <d v="1899-12-30T14:30:00"/>
    <x v="17"/>
    <d v="1899-12-30T14:00:00"/>
    <m/>
    <s v="Afternoon (12:00–15:59)"/>
    <x v="3"/>
    <s v="March"/>
    <n v="2025"/>
    <n v="11"/>
    <n v="3"/>
    <n v="11"/>
    <n v="70"/>
    <s v="Anderson Street, 100 Block"/>
    <s v="123 Anderson Street, Hackensack, NJ, 07601"/>
    <m/>
    <m/>
    <s v="Subaru TRI"/>
    <m/>
    <m/>
    <s v="Same Day"/>
    <x v="1"/>
    <s v="Afternoon (12:00–15:59)"/>
  </r>
  <r>
    <s v="25-022902"/>
    <n v="45737"/>
    <d v="1899-12-30T07:48:00"/>
    <m/>
    <m/>
    <d v="2025-03-21T00:00:00"/>
    <d v="1899-12-30T14:19:53"/>
    <s v="Motor Vehicle Theft - 2C:20-3"/>
    <m/>
    <m/>
    <s v="171 Kenneth Street, Hackensack, NJ, 07601"/>
    <s v="F1"/>
    <n v="6"/>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m/>
    <m/>
    <s v="JWG42F"/>
    <s v="Chevrolet"/>
    <m/>
    <s v="NJ"/>
    <m/>
    <m/>
    <m/>
    <m/>
    <s v="farhi_b"/>
    <s v="Complete"/>
    <s v="P.O. Andres Lopez 375"/>
    <s v="A2"/>
    <s v="Det. Frank Scarpa 348"/>
    <s v="Ex-Cleared / Closed"/>
    <s v="240 = Theft of Motor Vehicle"/>
    <n v="9"/>
    <d v="2025-03-21T00:00:00"/>
    <d v="1899-12-30T07:48:00"/>
    <d v="1899-12-30T07:00:00"/>
    <s v="Morning (04:00–07:59)"/>
    <s v="Kenneth Street, 100 Block"/>
    <x v="0"/>
    <s v="YTD"/>
    <d v="1899-12-30T07:48:00"/>
    <x v="18"/>
    <d v="1899-12-30T07:00:00"/>
    <m/>
    <s v="Morning (04:00–07:59)"/>
    <x v="0"/>
    <s v="March"/>
    <n v="2025"/>
    <n v="12"/>
    <n v="4"/>
    <n v="21"/>
    <n v="80"/>
    <s v="Kenneth Street, 100 Block"/>
    <s v="171 Kenneth Street, Hackensack, NJ, 07601"/>
    <m/>
    <m/>
    <s v="Chevrolet "/>
    <m/>
    <m/>
    <s v="Same Day"/>
    <x v="5"/>
    <s v="Morning (04:00–07:59)"/>
  </r>
  <r>
    <s v="25-023424"/>
    <n v="45739"/>
    <d v="1899-12-30T04:10:00"/>
    <d v="2025-03-23T00:00:00"/>
    <d v="1899-12-30T04:20:00"/>
    <d v="2025-03-23T00:00:00"/>
    <d v="1899-12-30T04:55:22"/>
    <s v="Burglary - Auto - 2C:18-2"/>
    <s v="Criminal Mischief - Vehicle - 2C:17-3"/>
    <m/>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Complete"/>
    <s v="P.O. Micah Gibson 365"/>
    <s v="A3"/>
    <s v="Det. Demetrius Carroll 133"/>
    <s v="Active/Administratively Closed"/>
    <s v="23F = Theft From Motor Vehicle"/>
    <n v="9"/>
    <d v="2025-03-23T00:00:00"/>
    <d v="1899-12-30T04:10:00"/>
    <d v="1899-12-30T04:00:00"/>
    <s v="Morning (04:00–07:59)"/>
    <s v="Pulaski Place, 0 Block"/>
    <x v="5"/>
    <s v="YTD"/>
    <d v="1899-12-30T04:10:00"/>
    <x v="19"/>
    <d v="1899-12-30T04:00:00"/>
    <m/>
    <s v="Morning (04:00–07:59)"/>
    <x v="5"/>
    <s v="March"/>
    <n v="2025"/>
    <n v="13"/>
    <n v="5"/>
    <n v="23"/>
    <n v="82"/>
    <s v="Pulaski Place, 0 Block"/>
    <s v="24 Pulaski Place, Hackensack, NJ, 07601"/>
    <m/>
    <m/>
    <s v="Ford ECO"/>
    <m/>
    <m/>
    <s v="Same Day"/>
    <x v="5"/>
    <s v="Morning (04:00–07:59)"/>
  </r>
  <r>
    <s v="25-025341"/>
    <n v="45744"/>
    <d v="1899-12-30T20:30:00"/>
    <d v="2025-03-29T00:00:00"/>
    <d v="1899-12-30T10:00:00"/>
    <d v="2025-03-29T00:00:00"/>
    <d v="1899-12-30T10:19:00"/>
    <s v="Motor Vehicle Theft - 2C:20-3"/>
    <m/>
    <m/>
    <s v="296 Berry Street, Hackensack, NJ, 07601"/>
    <s v="H4"/>
    <n v="8"/>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m/>
    <m/>
    <s v="T41VHN"/>
    <s v="Acura"/>
    <s v="TLX"/>
    <s v="NJ"/>
    <m/>
    <m/>
    <m/>
    <m/>
    <s v="competiello_fa"/>
    <s v="Complete"/>
    <s v="P.O. Wanda Rivera 161"/>
    <s v="A1"/>
    <s v="Det. John Tanucilli 335"/>
    <s v="Active/Administratively Closed"/>
    <s v="240 = Theft of Motor Vehicle"/>
    <n v="9"/>
    <d v="2025-03-28T00:00:00"/>
    <d v="1899-12-30T20:30:00"/>
    <d v="1899-12-30T20:00:00"/>
    <s v="Night (20:00–23:59)"/>
    <s v="Berry Street, 200 Block"/>
    <x v="0"/>
    <s v="YTD"/>
    <d v="1899-12-30T20:30:00"/>
    <x v="20"/>
    <d v="1899-12-30T20:00:00"/>
    <m/>
    <s v="Night (20:00–23:59)"/>
    <x v="0"/>
    <s v="March"/>
    <n v="2025"/>
    <n v="13"/>
    <n v="5"/>
    <n v="28"/>
    <n v="87"/>
    <s v="Berry Street, 200 Block"/>
    <s v="296 Berry Street, Hackensack, NJ, 07601"/>
    <m/>
    <m/>
    <s v="Acura TLX"/>
    <m/>
    <m/>
    <s v="Next Day"/>
    <x v="0"/>
    <s v="Night (20:00–23:59)"/>
  </r>
  <r>
    <s v="25-026077"/>
    <n v="45747"/>
    <d v="1899-12-30T18:40:00"/>
    <d v="2025-03-31T00:00:00"/>
    <d v="1899-12-30T22:00:00"/>
    <d v="2025-03-31T00:00:00"/>
    <d v="1899-12-30T22:19:40"/>
    <s v="Burglary - Auto - 2C:18-2"/>
    <s v="Theft - 2C:20-3"/>
    <s v="Criminal Mischief - 2C:17-3"/>
    <s v="Second Street &amp; American Legion Drive, Hackensack, NJ, 07601"/>
    <s v="G3"/>
    <n v="7"/>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m/>
    <m/>
    <s v="J72JJJ"/>
    <s v="Toyota"/>
    <s v="SIENNA"/>
    <s v="NJ"/>
    <m/>
    <m/>
    <m/>
    <m/>
    <s v="farhi_b"/>
    <s v="Complete"/>
    <s v="P.O. Jeffrey Rodriguez 342"/>
    <s v="A2"/>
    <s v="Det. John Tanucilli 335"/>
    <s v="Active/Administratively Closed"/>
    <s v="290 = Destruction/Damage/Vandalism of Property"/>
    <n v="9"/>
    <d v="2025-03-31T00:00:00"/>
    <d v="1899-12-30T18:40:00"/>
    <d v="1899-12-30T18:00:00"/>
    <s v="Evening Peak (16:00–19:59)"/>
    <s v="Street &amp; American Legion Drive, Unknown Block"/>
    <x v="6"/>
    <s v="YTD"/>
    <d v="1899-12-30T18:40:00"/>
    <x v="21"/>
    <d v="1899-12-30T18:00:00"/>
    <m/>
    <s v="Evening Peak (16:00–19:59)"/>
    <x v="1"/>
    <s v="March"/>
    <n v="2025"/>
    <n v="14"/>
    <n v="6"/>
    <n v="31"/>
    <n v="90"/>
    <s v="Street &amp; American Legion Drive, Unknown Block"/>
    <s v="Second Street &amp; American Legion Drive, Hackensack, NJ, 07601"/>
    <m/>
    <m/>
    <s v="Toyota SIENNA"/>
    <m/>
    <m/>
    <s v="Same Day"/>
    <x v="2"/>
    <s v="Evening Peak (16:00–19:59)"/>
  </r>
  <r>
    <s v="25-026113"/>
    <n v="45747"/>
    <d v="1899-12-30T18:00:00"/>
    <m/>
    <m/>
    <d v="2025-04-01T00:00:00"/>
    <d v="1899-12-30T00:53:05"/>
    <s v="Burglary - Auto - 2C:18-2"/>
    <m/>
    <m/>
    <s v="310 Lookout Avenue, Hackensack, NJ, 07601"/>
    <s v="I2"/>
    <m/>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n v="2"/>
    <n v="0"/>
    <s v="imkr57"/>
    <s v="Nissan"/>
    <s v="Rogue"/>
    <s v="NJ"/>
    <m/>
    <m/>
    <m/>
    <m/>
    <s v="farhi_b"/>
    <s v="Complete"/>
    <s v="P.O. Matthew Antista 135"/>
    <s v="A4"/>
    <s v="Det. John Tanucilli 335"/>
    <s v="Complaint Signed"/>
    <s v="290 = Destruction/Damage/Vandalism of Property"/>
    <n v="9"/>
    <d v="2025-03-31T00:00:00"/>
    <d v="1899-12-30T18:00:00"/>
    <d v="1899-12-30T18:00:00"/>
    <s v="Evening Peak (16:00–19:59)"/>
    <s v="Lookout Avenue, 300 Block"/>
    <x v="1"/>
    <s v="YTD"/>
    <d v="1899-12-30T18:00:00"/>
    <x v="21"/>
    <d v="1899-12-30T18:00:00"/>
    <m/>
    <s v="Evening Peak (16:00–19:59)"/>
    <x v="1"/>
    <s v="March"/>
    <n v="2025"/>
    <n v="14"/>
    <n v="6"/>
    <n v="31"/>
    <n v="90"/>
    <s v="Lookout Avenue, 300 Block"/>
    <s v="310 Lookout Avenue, Hackensack, NJ, 07601"/>
    <m/>
    <m/>
    <s v="Nissan Rogue"/>
    <m/>
    <n v="2"/>
    <s v="Next Day"/>
    <x v="2"/>
    <s v="Evening Peak (16:00–19:59)"/>
  </r>
  <r>
    <s v="25-026103"/>
    <n v="45747"/>
    <d v="1899-12-30T20:00:00"/>
    <m/>
    <m/>
    <d v="2025-03-31T00:00:00"/>
    <d v="1899-12-30T23:58:33"/>
    <s v="Burglary - Auto - 2C:18-2"/>
    <m/>
    <m/>
    <s v="310 Lookout Avenue, Hackensack, NJ, 07601"/>
    <s v="I2"/>
    <n v="9"/>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n v="5"/>
    <n v="0"/>
    <s v="utu50w"/>
    <s v="Nissan"/>
    <s v="RGE"/>
    <s v="NJ"/>
    <m/>
    <m/>
    <m/>
    <m/>
    <s v="farhi_b"/>
    <s v="Complete"/>
    <s v="P.O. Matthew Antista 135"/>
    <s v="A4"/>
    <s v="Det. John Tanucilli 335"/>
    <s v="Complaint Signed"/>
    <s v="290 = Destruction/Damage/Vandalism of Property"/>
    <n v="9"/>
    <d v="2025-03-31T00:00:00"/>
    <d v="1899-12-30T20:00:00"/>
    <d v="1899-12-30T20:00:00"/>
    <s v="Night (20:00–23:59)"/>
    <s v="Lookout Avenue, 300 Block"/>
    <x v="1"/>
    <s v="YTD"/>
    <d v="1899-12-30T20:00:00"/>
    <x v="21"/>
    <d v="1899-12-30T20:00:00"/>
    <m/>
    <s v="Night (20:00–23:59)"/>
    <x v="1"/>
    <s v="March"/>
    <n v="2025"/>
    <n v="14"/>
    <n v="6"/>
    <n v="31"/>
    <n v="90"/>
    <s v="Lookout Avenue, 300 Block"/>
    <s v="310 Lookout Avenue, Hackensack, NJ, 07601"/>
    <m/>
    <m/>
    <s v="Nissan RGE"/>
    <m/>
    <n v="5"/>
    <s v="Same Day"/>
    <x v="0"/>
    <s v="Night (20:00–23:59)"/>
  </r>
  <r>
    <s v="25-026357"/>
    <n v="45748"/>
    <d v="1899-12-30T20:28:40"/>
    <m/>
    <m/>
    <d v="2025-04-01T00:00:00"/>
    <d v="1899-12-30T20:28:40"/>
    <s v="Burglary - Auto - 2C:18-2"/>
    <m/>
    <m/>
    <s v="77 Prospect Avenue, Hackensack, NJ, 07601"/>
    <s v="G4"/>
    <n v="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m/>
    <m/>
    <s v="U57SNU"/>
    <s v="Mazda"/>
    <s v="C30"/>
    <s v="NJ"/>
    <m/>
    <m/>
    <m/>
    <m/>
    <s v="deleon_a"/>
    <s v="Complete"/>
    <s v="P.O. Anzour Marza 356"/>
    <s v="A3"/>
    <s v="Det. John Tanucilli 335"/>
    <s v="Active/Administratively Closed"/>
    <s v="23F = Theft From Motor Vehicle"/>
    <n v="9"/>
    <d v="2025-04-01T00:00:00"/>
    <d v="1899-12-30T20:28:40"/>
    <d v="1899-12-30T20:00:00"/>
    <s v="Night (20:00–23:59)"/>
    <s v="Prospect Avenue, 0 Block"/>
    <x v="1"/>
    <s v="YTD"/>
    <d v="1899-12-30T20:28:40"/>
    <x v="22"/>
    <d v="1899-12-30T20:00:00"/>
    <m/>
    <s v="Night (20:00–23:59)"/>
    <x v="3"/>
    <s v="April"/>
    <n v="2025"/>
    <n v="14"/>
    <n v="1"/>
    <n v="1"/>
    <n v="91"/>
    <s v="Prospect Avenue, 0 Block"/>
    <s v="77 Prospect Avenue, Hackensack, NJ, 07601"/>
    <m/>
    <m/>
    <s v="Mazda C30"/>
    <m/>
    <m/>
    <s v="Same Day"/>
    <x v="0"/>
    <s v="Night (20:00–23:59)"/>
  </r>
  <r>
    <s v="25-028451"/>
    <n v="45755"/>
    <d v="1899-12-30T00:47:00"/>
    <m/>
    <m/>
    <d v="2025-04-08T00:00:00"/>
    <d v="1899-12-30T00:52:33"/>
    <s v="Burglary - Auto - 2C:18-2"/>
    <s v="Suspicious Person"/>
    <s v="Property - Found"/>
    <s v="120 Atlantic Street, Hackensack, NJ, 07601"/>
    <s v="G2"/>
    <n v="7"/>
    <s v="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quot;Jordan&quot;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quot;Jordan&quot;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quot;OCB&quot; slim premium rolling paper(s) with tip(s)- Three multi color plastic lighters - White in color USB car charger - A backwoods magnet - Two &quot;UFOND&quot; headband lights - White colored paper matches - A silver and black in color &quot;driven&quot;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
    <m/>
    <m/>
    <s v="t21vbk"/>
    <s v="BMW"/>
    <s v="530"/>
    <s v="NJ"/>
    <m/>
    <m/>
    <m/>
    <m/>
    <s v="butler_j"/>
    <s v="Complete"/>
    <s v="P.O. Massimo Gallorini 379"/>
    <s v="A2"/>
    <s v="Det. Matthew Dogali 338"/>
    <s v="Active/Administratively Closed"/>
    <s v="23F = Theft From Motor Vehicle"/>
    <n v="9"/>
    <d v="2025-04-08T00:00:00"/>
    <d v="1899-12-30T00:47:00"/>
    <d v="1899-12-30T00:00:00"/>
    <s v="Early Morning (00:00–03:59)"/>
    <s v="Atlantic Street, 100 Block"/>
    <x v="7"/>
    <s v="YTD"/>
    <d v="1899-12-30T00:47:00"/>
    <x v="23"/>
    <d v="1899-12-30T00:00:00"/>
    <m/>
    <s v="Early Morning (00:00–03:59)"/>
    <x v="3"/>
    <s v="April"/>
    <n v="2025"/>
    <n v="15"/>
    <n v="2"/>
    <n v="8"/>
    <n v="98"/>
    <s v="Atlantic Street, 100 Block"/>
    <s v="120 Atlantic Street, Hackensack, NJ, 07601"/>
    <m/>
    <m/>
    <s v="BMW 530"/>
    <m/>
    <m/>
    <s v="Same Day"/>
    <x v="4"/>
    <s v="Early Morning (00:00–03:59)"/>
  </r>
  <r>
    <s v="25-029155"/>
    <n v="45756"/>
    <d v="1899-12-30T23:10:00"/>
    <d v="2025-04-09T00:00:00"/>
    <d v="1899-12-30T23:11:00"/>
    <d v="2025-04-10T00:00:00"/>
    <d v="1899-12-30T13:49:36"/>
    <s v="Burglary - Auto - 2C:18-2"/>
    <m/>
    <m/>
    <s v="283 Summit Avenue, Hackensack, NJ, 07601"/>
    <s v="H5"/>
    <n v="8"/>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m/>
    <m/>
    <s v="Z73VFP"/>
    <s v="Chevrolet"/>
    <s v="SUB"/>
    <s v="NJ"/>
    <m/>
    <m/>
    <m/>
    <m/>
    <s v="bay_f"/>
    <s v="Complete"/>
    <s v="P.O. Roselys Salas 369"/>
    <s v="B4"/>
    <s v="Det. Gunther Lara-Nunez 351"/>
    <s v="Active/Administratively Closed"/>
    <s v="23F = Theft From Motor Vehicle"/>
    <n v="9"/>
    <d v="2025-04-09T00:00:00"/>
    <d v="1899-12-30T23:10:00"/>
    <d v="1899-12-30T23:00:00"/>
    <s v="Night (20:00–23:59)"/>
    <s v="Summit Avenue, 200 Block"/>
    <x v="1"/>
    <s v="YTD"/>
    <d v="1899-12-30T23:10:00"/>
    <x v="24"/>
    <d v="1899-12-30T23:00:00"/>
    <m/>
    <s v="Night (20:00–23:59)"/>
    <x v="2"/>
    <s v="April"/>
    <n v="2025"/>
    <n v="15"/>
    <n v="2"/>
    <n v="9"/>
    <n v="99"/>
    <s v="Summit Avenue, 200 Block"/>
    <s v="283 Summit Avenue, Hackensack, NJ, 07601"/>
    <m/>
    <m/>
    <s v="Chevrolet SUB"/>
    <m/>
    <m/>
    <s v="Next Day"/>
    <x v="0"/>
    <s v="Night (20:00–23:59)"/>
  </r>
  <r>
    <s v="25-030198"/>
    <m/>
    <m/>
    <d v="2025-04-13T00:00:00"/>
    <d v="1899-12-30T16:30:00"/>
    <d v="2025-04-13T00:00:00"/>
    <d v="1899-12-30T16:34:49"/>
    <s v="Burglary - Auto - 2C:18-2"/>
    <s v="Weapons - Unlawful Purposes - 2C:39-4"/>
    <m/>
    <s v="157 Central Avenue, Hackensack, NJ, 07601"/>
    <s v="G3"/>
    <n v="7"/>
    <s v="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quot;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
    <m/>
    <m/>
    <s v="n51uxw"/>
    <s v="Honda"/>
    <s v="ACC"/>
    <s v="NJ"/>
    <s v="d48utt"/>
    <s v="NJ"/>
    <s v="Ford"/>
    <s v="XPL"/>
    <s v="klosk_j"/>
    <s v="Complete"/>
    <s v="P.O. Michael Scangarella 349"/>
    <s v="B2"/>
    <s v="Det. John Tanucilli 335"/>
    <s v="Cleared - Arrest"/>
    <s v="23F = Theft From Motor Vehicle"/>
    <n v="9"/>
    <d v="2025-04-13T00:00:00"/>
    <d v="1899-12-30T16:30:00"/>
    <d v="1899-12-30T16:00:00"/>
    <s v="Evening Peak (16:00–19:59)"/>
    <s v="Central Avenue, 100 Block"/>
    <x v="8"/>
    <s v="YTD"/>
    <d v="1899-12-30T16:30:00"/>
    <x v="25"/>
    <d v="1899-12-30T16:00:00"/>
    <m/>
    <s v="Evening Peak (16:00–19:59)"/>
    <x v="5"/>
    <s v="April"/>
    <n v="2025"/>
    <n v="16"/>
    <n v="3"/>
    <n v="13"/>
    <n v="103"/>
    <s v="Central Avenue, 100 Block"/>
    <s v="157 Central Avenue, Hackensack, NJ, 07601"/>
    <m/>
    <m/>
    <s v="Honda ACC"/>
    <m/>
    <m/>
    <s v="Same Day"/>
    <x v="2"/>
    <s v="Evening Peak (16:00–19:59)"/>
  </r>
  <r>
    <s v="25-031868"/>
    <n v="45766"/>
    <d v="1899-12-30T14:00:00"/>
    <d v="2025-04-19T00:00:00"/>
    <d v="1899-12-30T15:00:00"/>
    <d v="2025-04-19T00:00:00"/>
    <d v="1899-12-30T15:17:07"/>
    <s v="Burglary - Auto - 2C:18-2"/>
    <s v="Theft - 2C:20-3"/>
    <m/>
    <s v="11 Passaic Street, Hackensack, NJ, 07601"/>
    <s v="H1"/>
    <n v="8"/>
    <s v="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
    <m/>
    <m/>
    <s v="xkem57"/>
    <s v="Ford"/>
    <s v="E25"/>
    <s v="NJ"/>
    <s v="h88kag"/>
    <s v="NJ"/>
    <s v="GMC"/>
    <s v="SIE"/>
    <s v="donnerstag_r"/>
    <s v="Complete"/>
    <s v="P.O. Laura Lopez-Amaya 374"/>
    <s v="B3"/>
    <s v="Det. Gunther Lara-Nunez 351"/>
    <s v="Active/Administratively Closed"/>
    <s v="23F = Theft From Motor Vehicle"/>
    <n v="9"/>
    <d v="2025-04-19T00:00:00"/>
    <d v="1899-12-30T14:00:00"/>
    <d v="1899-12-30T14:00:00"/>
    <s v="Afternoon (12:00–15:59)"/>
    <s v="Passaic Street, 0 Block"/>
    <x v="2"/>
    <s v="YTD"/>
    <d v="1899-12-30T14:00:00"/>
    <x v="26"/>
    <d v="1899-12-30T14:00:00"/>
    <m/>
    <s v="Afternoon (12:00–15:59)"/>
    <x v="4"/>
    <s v="April"/>
    <n v="2025"/>
    <n v="16"/>
    <n v="3"/>
    <n v="19"/>
    <n v="109"/>
    <s v="Passaic Street, 0 Block"/>
    <s v="11 Passaic Street, Hackensack, NJ, 07601"/>
    <m/>
    <m/>
    <s v="Ford E25"/>
    <m/>
    <m/>
    <s v="Same Day"/>
    <x v="1"/>
    <s v="Afternoon (12:00–15:59)"/>
  </r>
  <r>
    <s v="25-032505"/>
    <n v="45755"/>
    <d v="1899-12-30T05:00:00"/>
    <d v="2025-04-10T00:00:00"/>
    <d v="1899-12-30T09:00:00"/>
    <d v="2025-04-21T00:00:00"/>
    <d v="1899-12-30T12:46:50"/>
    <s v="Burglary - Auto - 2C:18-2"/>
    <m/>
    <m/>
    <s v="395 South River Street, Hackensack, NJ, 07601"/>
    <s v="E3"/>
    <n v="5"/>
    <s v="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
    <m/>
    <m/>
    <s v="G15RSU"/>
    <s v="GEN"/>
    <s v="G80"/>
    <s v="NJ"/>
    <m/>
    <m/>
    <m/>
    <m/>
    <s v="peralta_k"/>
    <s v="Complete"/>
    <s v="P.O. Alexander Reyes 355"/>
    <s v="B4"/>
    <s v="Det. Matthew DeBonis 325"/>
    <s v="Active/Administratively Closed"/>
    <s v="23F = Theft From Motor Vehicle"/>
    <n v="9"/>
    <d v="2025-04-08T00:00:00"/>
    <d v="1899-12-30T05:00:00"/>
    <d v="1899-12-30T05:00:00"/>
    <s v="Morning (04:00–07:59)"/>
    <s v="South River Street, 300 Block"/>
    <x v="1"/>
    <s v="YTD"/>
    <d v="1899-12-30T05:00:00"/>
    <x v="23"/>
    <d v="1899-12-30T05:00:00"/>
    <m/>
    <s v="Morning (04:00–07:59)"/>
    <x v="3"/>
    <s v="April"/>
    <n v="2025"/>
    <n v="15"/>
    <n v="2"/>
    <n v="8"/>
    <n v="98"/>
    <s v="South River Street, 300 Block"/>
    <s v="395 South River Street, Hackensack, NJ, 07601"/>
    <m/>
    <m/>
    <s v="GEN G80"/>
    <m/>
    <m/>
    <s v="Within Month"/>
    <x v="5"/>
    <s v="Morning (04:00–07:59)"/>
  </r>
  <r>
    <s v="25-034836"/>
    <n v="45772"/>
    <d v="1899-12-30T12:00:00"/>
    <d v="2025-04-28T00:00:00"/>
    <d v="1899-12-30T15:00:00"/>
    <d v="2025-04-28T00:00:00"/>
    <d v="1899-12-30T15:57:33"/>
    <s v="Motor Vehicle Theft - 2C:20-3"/>
    <m/>
    <m/>
    <s v="530 West Lookout Avenue, Hackensack, NJ, 07601"/>
    <s v="I2"/>
    <n v="9"/>
    <s v="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
    <m/>
    <m/>
    <s v="G86REG"/>
    <s v="Tesla"/>
    <s v="MOD"/>
    <s v="NJ"/>
    <m/>
    <m/>
    <m/>
    <m/>
    <s v="klosk_j"/>
    <s v="Complete"/>
    <s v="P.O. Laura Lopez-Amaya 374"/>
    <s v="B3"/>
    <s v="Sgt. Francesco Tripodi 134"/>
    <s v="Ex-Cleared / Closed"/>
    <s v="240 = Theft of Motor Vehicle"/>
    <n v="9"/>
    <d v="2025-04-25T00:00:00"/>
    <d v="1899-12-30T12:00:00"/>
    <d v="1899-12-30T12:00:00"/>
    <s v="Afternoon (12:00–15:59)"/>
    <s v="West Lookout Avenue, 500 Block"/>
    <x v="0"/>
    <s v="YTD"/>
    <d v="1899-12-30T12:00:00"/>
    <x v="27"/>
    <d v="1899-12-30T12:00:00"/>
    <m/>
    <s v="Afternoon (12:00–15:59)"/>
    <x v="0"/>
    <s v="April"/>
    <n v="2025"/>
    <n v="17"/>
    <n v="4"/>
    <n v="25"/>
    <n v="115"/>
    <s v="West Lookout Avenue, 500 Block"/>
    <s v="530 West Lookout Avenue, Hackensack, NJ, 07601"/>
    <m/>
    <m/>
    <s v="Tesla MOD"/>
    <m/>
    <m/>
    <s v="Within Week"/>
    <x v="1"/>
    <s v="Afternoon (12:00–15:59)"/>
  </r>
  <r>
    <s v="25-035174"/>
    <n v="45776"/>
    <d v="1899-12-30T13:30:00"/>
    <m/>
    <m/>
    <d v="2025-04-29T00:00:00"/>
    <d v="1899-12-30T14:49:23"/>
    <s v="Motor Vehicle Theft - 2C:20-3"/>
    <m/>
    <m/>
    <s v="240 Prospect Avenue, Hackensack, NJ, 07601"/>
    <s v="H4"/>
    <n v="8"/>
    <s v="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
    <m/>
    <m/>
    <s v="J73SXP"/>
    <s v="Hyundai"/>
    <s v="ELANTA"/>
    <s v="NJ"/>
    <m/>
    <m/>
    <m/>
    <m/>
    <s v="donnerstag_r"/>
    <s v="Complete"/>
    <s v="P.O. Alexander Reyes 355"/>
    <s v="B4"/>
    <s v="Det. John Tanucilli 335"/>
    <s v="Unfounded / Closed"/>
    <s v="240 = Theft of Motor Vehicle"/>
    <n v="9"/>
    <d v="2025-04-29T00:00:00"/>
    <d v="1899-12-30T13:30:00"/>
    <d v="1899-12-30T13:00:00"/>
    <s v="Afternoon (12:00–15:59)"/>
    <s v="Prospect Avenue, 200 Block"/>
    <x v="0"/>
    <s v="YTD"/>
    <d v="1899-12-30T13:30:00"/>
    <x v="28"/>
    <d v="1899-12-30T13:00:00"/>
    <m/>
    <s v="Afternoon (12:00–15:59)"/>
    <x v="3"/>
    <s v="April"/>
    <n v="2025"/>
    <n v="18"/>
    <n v="5"/>
    <n v="29"/>
    <n v="119"/>
    <s v="Prospect Avenue, 200 Block"/>
    <s v="240 Prospect Avenue, Hackensack, NJ, 07601"/>
    <m/>
    <m/>
    <s v="Hyundai ELANTA"/>
    <m/>
    <m/>
    <s v="Same Day"/>
    <x v="1"/>
    <s v="Afternoon (12:00–15:59)"/>
  </r>
  <r>
    <s v="25-036368"/>
    <n v="45717"/>
    <d v="1899-12-30T06:00:00"/>
    <d v="2025-05-03T00:00:00"/>
    <d v="1899-12-30T11:54:00"/>
    <d v="2025-05-03T00:00:00"/>
    <d v="1899-12-30T11:59:36"/>
    <s v="Motor Vehicle Theft - 2C:20-3"/>
    <m/>
    <m/>
    <s v="326 Prospect Avenue, Hackensack, NJ, 07601"/>
    <s v="H4"/>
    <n v="8"/>
    <s v="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
    <m/>
    <m/>
    <s v="3HRC7"/>
    <s v="Yamaha"/>
    <s v="CZD"/>
    <s v="NJ"/>
    <m/>
    <m/>
    <m/>
    <m/>
    <s v="klosk_j"/>
    <s v="Complete"/>
    <s v="P.O. Juda DeOliveira 376"/>
    <s v="A4"/>
    <s v="Det. Matthew Dogali 338"/>
    <s v="Active/Administratively Closed"/>
    <s v="240 = Theft of Motor Vehicle"/>
    <n v="9"/>
    <d v="2025-03-01T00:00:00"/>
    <d v="1899-12-30T06:00:00"/>
    <d v="1899-12-30T06:00:00"/>
    <s v="Morning (04:00–07:59)"/>
    <s v="Prospect Avenue, 300 Block"/>
    <x v="0"/>
    <s v="YTD"/>
    <d v="1899-12-30T06:00:00"/>
    <x v="29"/>
    <d v="1899-12-30T06:00:00"/>
    <m/>
    <s v="Morning (04:00–07:59)"/>
    <x v="4"/>
    <s v="March"/>
    <n v="2025"/>
    <n v="9"/>
    <n v="1"/>
    <n v="1"/>
    <n v="60"/>
    <s v="Prospect Avenue, 300 Block"/>
    <s v="326 Prospect Avenue, Hackensack, NJ, 07601"/>
    <m/>
    <m/>
    <s v="Yamaha CZD"/>
    <m/>
    <m/>
    <s v="Delayed Report"/>
    <x v="5"/>
    <s v="Morning (04:00–07:59)"/>
  </r>
  <r>
    <s v="25-037005"/>
    <n v="45782"/>
    <d v="1899-12-30T15:00:00"/>
    <m/>
    <m/>
    <d v="2025-05-05T00:00:00"/>
    <d v="1899-12-30T18:07:55"/>
    <s v="Motor Vehicle Theft - 2C:20-3"/>
    <s v="Motor Vehicle - Private Property Tow"/>
    <m/>
    <s v="233 Kinderkamack Road, Hackensack, NJ, 07601"/>
    <s v="I4"/>
    <n v="9"/>
    <s v="I responded to the listed address on a motor vehicle theft. Upon arrival I met with the registered owner of vehicle 1 who stated she parked her car in the driveway of 233 Kinderkamack Road at 1500 hours and when she returned at 1700 hours, her car was not there.     Prior to completing this report, P.O. Wouters discovered that Top Gun Towing towed Ms. Rivera's car. She was advised of the private property tow and how to retrieve her vehicle.     Vehicle 1 was taken out of NCIC."/>
    <m/>
    <m/>
    <s v="s41usm"/>
    <s v="Volks"/>
    <s v="JET"/>
    <s v="NJ"/>
    <m/>
    <m/>
    <m/>
    <m/>
    <s v="butler_j"/>
    <s v="Complete"/>
    <s v="P.O. Angelo Vicale 370"/>
    <s v="B3"/>
    <m/>
    <m/>
    <m/>
    <n v="9"/>
    <d v="2025-05-05T00:00:00"/>
    <d v="1899-12-30T15:00:00"/>
    <d v="1899-12-30T15:00:00"/>
    <s v="Afternoon (12:00–15:59)"/>
    <s v="Kinderkamack Road, 200 Block"/>
    <x v="9"/>
    <s v="YTD"/>
    <d v="1899-12-30T15:00:00"/>
    <x v="30"/>
    <d v="1899-12-30T15:00:00"/>
    <m/>
    <s v="Afternoon (12:00–15:59)"/>
    <x v="1"/>
    <s v="May"/>
    <n v="2025"/>
    <n v="19"/>
    <n v="2"/>
    <n v="5"/>
    <n v="125"/>
    <s v="Kinderkamack Road, 200 Block"/>
    <s v="233 Kinderkamack Road, Hackensack, NJ, 07601"/>
    <m/>
    <m/>
    <s v="Volks JET"/>
    <m/>
    <m/>
    <s v="Same Day"/>
    <x v="1"/>
    <s v="Afternoon (12:00–15:59)"/>
  </r>
  <r>
    <s v="25-038971"/>
    <n v="45788"/>
    <d v="1900-03-19T04:00:00"/>
    <d v="2025-05-12T00:00:00"/>
    <d v="1899-12-30T03:21:00"/>
    <d v="2025-05-12T00:00:00"/>
    <d v="1899-12-30T06:50:10"/>
    <s v="Burglary - Auto - 2C:18-2"/>
    <m/>
    <m/>
    <s v="38 Moonachie Road, Hackensack, NJ, 07601"/>
    <s v="E3"/>
    <n v="5"/>
    <s v="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
    <m/>
    <m/>
    <s v="P36RMF"/>
    <s v="Toyota"/>
    <s v="CAM"/>
    <s v="NJ"/>
    <m/>
    <m/>
    <m/>
    <m/>
    <s v="ghirardi_r"/>
    <s v="Complete"/>
    <s v="P.O. Forrod Bonsu 353"/>
    <s v="b1"/>
    <s v="Det. John Tanucilli 335"/>
    <s v="Active/Administratively Closed"/>
    <s v="23F = Theft From Motor Vehicle"/>
    <n v="9"/>
    <d v="2025-05-11T00:00:00"/>
    <d v="1899-12-30T04:00:00"/>
    <d v="1899-12-30T04:00:00"/>
    <s v="Morning (04:00–07:59)"/>
    <s v="Moonachie Road, 0 Block"/>
    <x v="1"/>
    <s v="YTD"/>
    <d v="1899-12-30T04:00:00"/>
    <x v="31"/>
    <d v="1899-12-30T04:00:00"/>
    <m/>
    <s v="Morning (04:00–07:59)"/>
    <x v="5"/>
    <s v="May"/>
    <n v="2025"/>
    <n v="20"/>
    <n v="3"/>
    <n v="11"/>
    <n v="131"/>
    <s v="Moonachie Road, 0 Block"/>
    <s v="38 Moonachie Road, Hackensack, NJ, 07601"/>
    <m/>
    <m/>
    <s v="Toyota CAM"/>
    <m/>
    <m/>
    <s v="Next Day"/>
    <x v="5"/>
    <s v="Morning (04:00–07:59)"/>
  </r>
  <r>
    <s v="25-039778"/>
    <n v="45782"/>
    <d v="1899-12-30T17:47:00"/>
    <m/>
    <m/>
    <d v="2025-05-14T00:00:00"/>
    <d v="1899-12-30T15:30:51"/>
    <s v="Motor Vehicle Theft - 2C:20-3"/>
    <s v="Suspicious Incident"/>
    <m/>
    <s v="520 River Street, Hackensack, NJ, 07601"/>
    <s v="I1"/>
    <n v="9"/>
    <s v="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quot;Danny Noriega&quot; contacted him about subletting a contract for him to pick the 2022 Bronco. Mr. Cazassa sent Mr. Hasan and the vehicle was towed back to his tow yard. Mr. Cazassa reported that he held the vehicle for an unusual amount of time (4 hours) and then &quot;Danny&quot;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
    <m/>
    <m/>
    <m/>
    <s v="Ford"/>
    <s v="BRO"/>
    <m/>
    <m/>
    <m/>
    <m/>
    <m/>
    <s v="klosk_j"/>
    <s v="Complete"/>
    <s v="P.O. Kevin Small 328"/>
    <s v="B2"/>
    <s v="Sgt. Francesco Tripodi 134"/>
    <s v="Active Investigation"/>
    <s v="240 = Theft of Motor Vehicle"/>
    <n v="9"/>
    <d v="2025-05-05T00:00:00"/>
    <d v="1899-12-30T17:47:00"/>
    <d v="1899-12-30T17:00:00"/>
    <s v="Evening Peak (16:00–19:59)"/>
    <s v="River Street, 500 Block"/>
    <x v="10"/>
    <s v="YTD"/>
    <d v="1899-12-30T17:47:00"/>
    <x v="30"/>
    <d v="1899-12-30T17:00:00"/>
    <m/>
    <s v="Evening Peak (16:00–19:59)"/>
    <x v="1"/>
    <s v="May"/>
    <n v="2025"/>
    <n v="19"/>
    <n v="2"/>
    <n v="5"/>
    <n v="125"/>
    <s v="River Street, 500 Block"/>
    <s v="520 River Street, Hackensack, NJ, 07601"/>
    <m/>
    <m/>
    <s v="Ford BRO"/>
    <m/>
    <m/>
    <s v="Within Month"/>
    <x v="2"/>
    <s v="Evening Peak (16:00–19:59)"/>
  </r>
  <r>
    <s v="25-039963"/>
    <n v="45789"/>
    <d v="1899-12-30T19:30:00"/>
    <d v="2025-05-12T00:00:00"/>
    <d v="1899-12-30T20:25:00"/>
    <d v="2025-05-15T00:00:00"/>
    <d v="1899-12-30T08:15:38"/>
    <s v="Motor Vehicle Theft - 2C:20-3"/>
    <m/>
    <m/>
    <s v="South Railroad Avenue &amp; Atlantic Street, Hackensack, NJ, 07601"/>
    <s v="G2"/>
    <m/>
    <s v="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
    <m/>
    <m/>
    <s v="6BHK7"/>
    <s v="QIA"/>
    <s v="JIG"/>
    <s v="NJ"/>
    <m/>
    <m/>
    <m/>
    <m/>
    <s v="knapp_j"/>
    <s v="Complete"/>
    <s v="P.O. Christian Alvarez 364"/>
    <s v="b1"/>
    <s v="Det. Gunther Lara-Nunez 351"/>
    <s v="Active/Administratively Closed"/>
    <s v="240 = Theft of Motor Vehicle"/>
    <n v="9"/>
    <d v="2025-05-12T00:00:00"/>
    <d v="1899-12-30T19:30:00"/>
    <d v="1899-12-30T19:00:00"/>
    <s v="Evening Peak (16:00–19:59)"/>
    <s v="Railroad Avenue &amp; Atlantic Street, Unknown Block"/>
    <x v="0"/>
    <s v="YTD"/>
    <d v="1899-12-30T19:30:00"/>
    <x v="32"/>
    <d v="1899-12-30T19:00:00"/>
    <m/>
    <s v="Evening Peak (16:00–19:59)"/>
    <x v="1"/>
    <s v="May"/>
    <n v="2025"/>
    <n v="20"/>
    <n v="3"/>
    <n v="12"/>
    <n v="132"/>
    <s v="Railroad Avenue &amp; Atlantic Street, Unknown Block"/>
    <s v="South Railroad Avenue &amp; Atlantic Street, Hackensack, NJ, 07601"/>
    <m/>
    <m/>
    <s v="QIA JIG"/>
    <m/>
    <m/>
    <s v="Within Week"/>
    <x v="2"/>
    <s v="Evening Peak (16:00–19:59)"/>
  </r>
  <r>
    <s v="25-041339"/>
    <n v="45795"/>
    <d v="1899-12-30T19:30:00"/>
    <m/>
    <m/>
    <d v="2025-05-19T00:00:00"/>
    <d v="1899-12-30T19:32:34"/>
    <s v="Motor Vehicle Theft - 2C:20-3"/>
    <m/>
    <m/>
    <s v="55 Clinton Place, Hackensack, NJ, 07601"/>
    <s v="I1"/>
    <n v="9"/>
    <s v="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
    <m/>
    <m/>
    <s v="5964HJ"/>
    <s v="Ford"/>
    <s v="ESC"/>
    <s v="NJ"/>
    <m/>
    <m/>
    <m/>
    <m/>
    <s v="peralta_k"/>
    <s v="Complete"/>
    <s v="P.O. Aziah Miller 357"/>
    <s v="A3"/>
    <s v="Sgt. Francesco Tripodi 134"/>
    <s v="Active Investigation"/>
    <s v="240 = Theft of Motor Vehicle"/>
    <n v="9"/>
    <d v="2025-05-18T00:00:00"/>
    <d v="1899-12-30T19:30:00"/>
    <d v="1899-12-30T19:00:00"/>
    <s v="Evening Peak (16:00–19:59)"/>
    <s v="Clinton Place, 0 Block"/>
    <x v="0"/>
    <s v="YTD"/>
    <d v="1899-12-30T19:30:00"/>
    <x v="33"/>
    <d v="1899-12-30T19:00:00"/>
    <m/>
    <s v="Evening Peak (16:00–19:59)"/>
    <x v="5"/>
    <s v="May"/>
    <n v="2025"/>
    <n v="21"/>
    <n v="4"/>
    <n v="18"/>
    <n v="138"/>
    <s v="Clinton Place, 0 Block"/>
    <s v="55 Clinton Place, Hackensack, NJ, 07601"/>
    <m/>
    <m/>
    <s v="Ford ESC"/>
    <m/>
    <m/>
    <s v="Next Day"/>
    <x v="2"/>
    <s v="Evening Peak (16:00–19:59)"/>
  </r>
  <r>
    <s v="25-041571"/>
    <n v="45791"/>
    <d v="1899-12-30T11:15:00"/>
    <m/>
    <m/>
    <d v="2025-05-20T00:00:00"/>
    <d v="1899-12-30T13:30:15"/>
    <s v="Burglary - Auto - 2C:18-2"/>
    <s v="Theft - 2C:20-3"/>
    <m/>
    <s v="461 Passaic Street, Hackensack, NJ, 07601"/>
    <s v="H5"/>
    <n v="8"/>
    <s v="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
    <m/>
    <m/>
    <s v="P2403495"/>
    <m/>
    <m/>
    <m/>
    <m/>
    <m/>
    <m/>
    <m/>
    <s v="ghirardi_r"/>
    <s v="Complete"/>
    <s v="P.O. Daniel Francavilla 329"/>
    <s v="B4"/>
    <s v="Det. Matthew Dogali 338"/>
    <s v="Active/Administratively Closed"/>
    <s v="23F = Theft From Motor Vehicle"/>
    <n v="9"/>
    <d v="2025-05-14T00:00:00"/>
    <d v="1899-12-30T11:15:00"/>
    <d v="1899-12-30T11:00:00"/>
    <s v="Morning Peak (08:00–11:59)"/>
    <s v="Passaic Street, 400 Block"/>
    <x v="2"/>
    <s v="YTD"/>
    <d v="1899-12-30T11:15:00"/>
    <x v="34"/>
    <d v="1899-12-30T11:00:00"/>
    <m/>
    <s v="Morning Peak (08:00–11:59)"/>
    <x v="2"/>
    <s v="May"/>
    <n v="2025"/>
    <n v="20"/>
    <n v="3"/>
    <n v="14"/>
    <n v="134"/>
    <s v="Passaic Street, 400 Block"/>
    <s v="461 Passaic Street, Hackensack, NJ, 07601"/>
    <m/>
    <m/>
    <m/>
    <m/>
    <m/>
    <s v="Within Week"/>
    <x v="3"/>
    <s v="Morning Peak (08:00–11:59)"/>
  </r>
  <r>
    <s v="25-045625"/>
    <n v="45810"/>
    <d v="1899-12-30T13:40:00"/>
    <d v="2025-06-03T00:00:00"/>
    <d v="1899-12-30T06:00:00"/>
    <d v="2025-06-03T00:00:00"/>
    <d v="1899-12-30T06:10:31"/>
    <s v="Motor Vehicle Theft - 2C:20-3"/>
    <m/>
    <m/>
    <s v="1 University Plaza Drive, Hackensack, NJ, 07601"/>
    <s v="I3"/>
    <n v="9"/>
    <s v="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
    <m/>
    <m/>
    <s v="XEFE81"/>
    <s v="Ford"/>
    <s v="E35"/>
    <s v="NJ"/>
    <m/>
    <m/>
    <m/>
    <m/>
    <s v="farhi_b"/>
    <s v="Complete"/>
    <s v="P.O. Angie Tabares 363"/>
    <s v="A3"/>
    <s v="Det. Gunther Lara-Nunez 351"/>
    <s v="Active Investigation"/>
    <s v="240 = Theft of Motor Vehicle"/>
    <n v="9"/>
    <d v="2025-06-02T00:00:00"/>
    <d v="1899-12-30T13:40:00"/>
    <d v="1899-12-30T13:00:00"/>
    <s v="Afternoon (12:00–15:59)"/>
    <s v="University Plaza Drive, 0 Block"/>
    <x v="0"/>
    <s v="28-Day"/>
    <d v="1899-12-30T13:40:00"/>
    <x v="35"/>
    <d v="1899-12-30T13:00:00"/>
    <m/>
    <s v="Afternoon (12:00–15:59)"/>
    <x v="1"/>
    <s v="June"/>
    <n v="2025"/>
    <n v="23"/>
    <n v="1"/>
    <n v="2"/>
    <n v="153"/>
    <s v="University Plaza Drive, 0 Block"/>
    <s v="1 University Plaza Drive, Hackensack, NJ, 07601"/>
    <m/>
    <m/>
    <s v="Ford E35"/>
    <m/>
    <m/>
    <s v="Next Day"/>
    <x v="1"/>
    <s v="Afternoon (12:00–15:59)"/>
  </r>
  <r>
    <s v="25-045839"/>
    <n v="45811"/>
    <d v="1899-12-30T19:30:42"/>
    <m/>
    <m/>
    <d v="2025-06-03T00:00:00"/>
    <d v="1899-12-30T19:30:42"/>
    <s v="Motor Vehicle Theft - 2C:20-3"/>
    <m/>
    <m/>
    <s v="160 Overlook Avenue, Hackensack, NJ, 07601"/>
    <s v="G4"/>
    <n v="7"/>
    <s v="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
    <m/>
    <m/>
    <s v="4HXZ4"/>
    <s v="YAM"/>
    <s v="YZF"/>
    <s v="NJ"/>
    <m/>
    <m/>
    <m/>
    <m/>
    <s v="competiello_fa"/>
    <s v="Complete"/>
    <s v="P.O. Anthony Mattalian 83"/>
    <s v="A2"/>
    <s v="Det. John Mora 257"/>
    <s v="Active/Administratively Closed"/>
    <s v="240 = Theft of Motor Vehicle"/>
    <n v="9"/>
    <d v="2025-06-03T00:00:00"/>
    <d v="1899-12-30T19:30:42"/>
    <d v="1899-12-30T19:00:00"/>
    <s v="Evening Peak (16:00–19:59)"/>
    <s v="Overlook Avenue, 100 Block"/>
    <x v="0"/>
    <s v="28-Day"/>
    <d v="1899-12-30T19:30:42"/>
    <x v="36"/>
    <d v="1899-12-30T19:00:00"/>
    <m/>
    <s v="Evening Peak (16:00–19:59)"/>
    <x v="3"/>
    <s v="June"/>
    <n v="2025"/>
    <n v="23"/>
    <n v="1"/>
    <n v="3"/>
    <n v="154"/>
    <s v="Overlook Avenue, 100 Block"/>
    <s v="160 Overlook Avenue, Hackensack, NJ, 07601"/>
    <m/>
    <m/>
    <s v="YAM YZF"/>
    <m/>
    <m/>
    <s v="Same Day"/>
    <x v="2"/>
    <s v="Evening Peak (16:00–19:59)"/>
  </r>
  <r>
    <s v="25-046294"/>
    <n v="45813"/>
    <d v="1899-12-30T06:50:00"/>
    <m/>
    <m/>
    <d v="2025-06-05T00:00:00"/>
    <d v="1899-12-30T06:53:06"/>
    <s v="Burglary - Auto - 2C:18-2"/>
    <s v="Criminal Mischief - 2C:17-3"/>
    <m/>
    <s v="411 Simons Avenue, Hackensack, NJ, 07601"/>
    <s v="F2"/>
    <n v="6"/>
    <s v="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
    <m/>
    <m/>
    <s v="P55UNM"/>
    <s v="Infiniti"/>
    <s v="Q50"/>
    <s v="NJ"/>
    <m/>
    <m/>
    <m/>
    <m/>
    <s v="Dominguez_l"/>
    <s v="Complete"/>
    <s v="P.O. Angelo Vicale 370"/>
    <s v="B3"/>
    <s v="Det. John Tanucilli 335"/>
    <s v="Active Investigation"/>
    <s v="23F = Theft From Motor Vehicle"/>
    <n v="9"/>
    <d v="2025-06-05T00:00:00"/>
    <d v="1899-12-30T06:50:00"/>
    <d v="1899-12-30T06:00:00"/>
    <s v="Morning (04:00–07:59)"/>
    <s v="Simons Avenue, 400 Block"/>
    <x v="11"/>
    <s v="28-Day"/>
    <d v="1899-12-30T06:50:00"/>
    <x v="37"/>
    <d v="1899-12-30T06:00:00"/>
    <m/>
    <s v="Morning (04:00–07:59)"/>
    <x v="6"/>
    <s v="June"/>
    <n v="2025"/>
    <n v="23"/>
    <n v="1"/>
    <n v="5"/>
    <n v="156"/>
    <s v="Simons Avenue, 400 Block"/>
    <s v="411 Simons Avenue, Hackensack, NJ, 07601"/>
    <m/>
    <m/>
    <s v="Infiniti Q50"/>
    <m/>
    <m/>
    <s v="Same Day"/>
    <x v="5"/>
    <s v="Morning (04:00–07:59)"/>
  </r>
  <r>
    <s v="25-046290"/>
    <n v="45813"/>
    <d v="1899-12-30T06:46:00"/>
    <m/>
    <m/>
    <d v="2025-06-05T00:00:00"/>
    <d v="1899-12-30T06:47:22"/>
    <s v="Burglary - Auto - 2C:18-2"/>
    <s v="Criminal Mischief - 2C:17-3"/>
    <m/>
    <s v="39 Union Street, Hackensack, NJ, 07601"/>
    <s v="G2"/>
    <n v="7"/>
    <s v="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quot;PJ&quot;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
    <m/>
    <m/>
    <s v="EJK4320"/>
    <s v="Infiniti"/>
    <s v="Q50"/>
    <s v="NY"/>
    <m/>
    <m/>
    <m/>
    <m/>
    <s v="Dominguez_l"/>
    <s v="Complete"/>
    <s v="P.O. Roselys Salas 369"/>
    <s v="B4"/>
    <s v="Det. John Tanucilli 335"/>
    <s v="Active/Administratively Closed"/>
    <s v="240 = Theft of Motor Vehicle"/>
    <n v="9"/>
    <d v="2025-06-05T00:00:00"/>
    <d v="1899-12-30T06:46:00"/>
    <d v="1899-12-30T06:00:00"/>
    <s v="Morning (04:00–07:59)"/>
    <s v="Union Street, 0 Block"/>
    <x v="11"/>
    <s v="28-Day"/>
    <d v="1899-12-30T06:46:00"/>
    <x v="37"/>
    <d v="1899-12-30T06:00:00"/>
    <m/>
    <s v="Morning (04:00–07:59)"/>
    <x v="6"/>
    <s v="June"/>
    <n v="2025"/>
    <n v="23"/>
    <n v="1"/>
    <n v="5"/>
    <n v="156"/>
    <s v="Union Street, 0 Block"/>
    <s v="39 Union Street, Hackensack, NJ, 07601"/>
    <m/>
    <m/>
    <s v="Infiniti Q50"/>
    <m/>
    <m/>
    <s v="Same Day"/>
    <x v="5"/>
    <s v="Morning (04:00–07:59)"/>
  </r>
  <r>
    <s v="25-047026"/>
    <n v="45815"/>
    <d v="1899-12-30T08:30:00"/>
    <d v="2025-06-07T00:00:00"/>
    <d v="1899-12-30T17:09:00"/>
    <d v="2025-06-07T00:00:00"/>
    <d v="1899-12-30T17:14:43"/>
    <s v="Burglary - Auto - 2C:18-2"/>
    <s v="Criminal Mischief - 2C:17-3"/>
    <m/>
    <s v="414 Hackensack Avenue, Hackensack, NJ, 07601"/>
    <s v="I6"/>
    <n v="9"/>
    <s v="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
    <m/>
    <m/>
    <s v="J58VJZ"/>
    <s v="Subaru"/>
    <s v="FOR"/>
    <s v="NJ"/>
    <m/>
    <m/>
    <m/>
    <m/>
    <s v="ghirardi_r"/>
    <s v="Complete"/>
    <s v="P.O. Maximiliano Anguizaca 368"/>
    <s v="B3"/>
    <s v="Det. Matthew Dogali 338"/>
    <s v="Active/Administratively Closed"/>
    <s v="23F = Theft From Motor Vehicle"/>
    <n v="9"/>
    <d v="2025-06-07T00:00:00"/>
    <d v="1899-12-30T08:30:00"/>
    <d v="1899-12-30T08:00:00"/>
    <s v="Morning Peak (08:00–11:59)"/>
    <s v="Hackensack Avenue, 400 Block"/>
    <x v="11"/>
    <s v="28-Day"/>
    <d v="1899-12-30T08:30:00"/>
    <x v="38"/>
    <d v="1899-12-30T08:00:00"/>
    <m/>
    <s v="Morning Peak (08:00–11:59)"/>
    <x v="4"/>
    <s v="June"/>
    <n v="2025"/>
    <n v="23"/>
    <n v="1"/>
    <n v="7"/>
    <n v="158"/>
    <s v="Hackensack Avenue, 400 Block"/>
    <s v="414 Hackensack Avenue, Hackensack, NJ, 07601"/>
    <m/>
    <m/>
    <s v="Subaru FOR"/>
    <m/>
    <m/>
    <s v="Same Day"/>
    <x v="3"/>
    <s v="Morning Peak (08:00–11:59)"/>
  </r>
  <r>
    <s v="25-047203"/>
    <n v="45816"/>
    <d v="1899-12-30T01:30:00"/>
    <m/>
    <m/>
    <d v="2025-06-08T00:00:00"/>
    <d v="1899-12-30T10:11:05"/>
    <s v="Burglary - Auto - 2C:18-2"/>
    <m/>
    <m/>
    <s v="282 American Legion Drive, Hackensack, NJ, 07601"/>
    <s v="G3"/>
    <n v="7"/>
    <s v="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
    <m/>
    <m/>
    <s v="t64klc"/>
    <m/>
    <s v="ESC"/>
    <s v="NJ"/>
    <m/>
    <m/>
    <m/>
    <m/>
    <s v="Dominguez_l"/>
    <s v="Complete"/>
    <s v="P.O. Roselys Salas 369"/>
    <s v="B4"/>
    <s v="Det. John Tanucilli 335"/>
    <s v="Active Investigation"/>
    <s v="23F = Theft From Motor Vehicle"/>
    <n v="9"/>
    <d v="2025-06-08T00:00:00"/>
    <d v="1899-12-30T01:30:00"/>
    <d v="1899-12-30T01:00:00"/>
    <s v="Early Morning (00:00–03:59)"/>
    <s v="American Legion Drive, 200 Block"/>
    <x v="1"/>
    <s v="28-Day"/>
    <d v="1899-12-30T01:30:00"/>
    <x v="39"/>
    <d v="1899-12-30T01:00:00"/>
    <m/>
    <s v="Early Morning (00:00–03:59)"/>
    <x v="5"/>
    <s v="June"/>
    <n v="2025"/>
    <n v="24"/>
    <n v="2"/>
    <n v="8"/>
    <n v="159"/>
    <s v="American Legion Drive, 200 Block"/>
    <s v="282 American Legion Drive, Hackensack, NJ, 07601"/>
    <m/>
    <m/>
    <m/>
    <m/>
    <m/>
    <s v="Same Day"/>
    <x v="4"/>
    <s v="Early Morning (00:00–03:59)"/>
  </r>
  <r>
    <s v="25-048048"/>
    <n v="45819"/>
    <d v="1899-12-30T04:31:00"/>
    <d v="2025-06-11T00:00:00"/>
    <d v="1899-12-30T04:32:00"/>
    <d v="2025-06-11T00:00:00"/>
    <d v="1899-12-30T04:34:09"/>
    <s v="Motor Vehicle Theft - 2C:20-3"/>
    <m/>
    <m/>
    <s v="150 Main Street, Hackensack, NJ, 07601"/>
    <m/>
    <m/>
    <s v="Suspect description: Black male, approximately 30 years old, wearing black hooded sweatshirt, black sweatpants, and black sneakers.   On 6/11/25 I responded to 150 Main Street, on a reported motor vehicle theft. Upon arrival, I made contact with the victim / Amazon driver, Andryk Inojosavalor, who did not speak English. I requested for a Spanish speaking officer. P.O. W Rivera and P.O. Aberde responded. The victim stated he parked his vehicle (bearing NJ Reg V82UPJ) in the parking space right in front of 150 Main Street. The victim further stated on 6/11/25 at approximately 04:31 hours he exited his vehicle. Before the victim entered 150 Main Street to deliver a package, he observed only one person walking toward the direction of his vehicle. The victim reported the vehicle was left on and unlocked when he entered the building. The key to the vehicle was also left in the vehicle. The victim further reported upon arriving back to his vehicle at approximately 04:32 hours he witnessed the suspect drive off with his vehicle going east on Mercer Street. The estimated value of the vehicle is $8,500.00 USD according to the victim.   Headquarters was notified. The vehicle details was put out on a SPEN message.   I then spoke to the concierge, Timothy Rayford, who was not able to provide the video surveillance of the suspect at this time. Mr. Rayford advised he was going to notify his manager and that he would be able to provide me with the video surveillance at a later time. The victim later reported the following items were inside the vehicle at the time of the incident:- Wallet (estimated value is $30.00).- $20.00 USD in the wallet.- 2 License Plates (estimated value is $20.00).- 1 Bank of America Debit Card.- 1 Bank of America Credit Card.- 1 Capital One Debit Card.- 1 Capital One Credit Card.- 1 BJ's Membership Card.- 1 Mercantile Credit Card.- Multiple Amazon Packages that were not delivered yet. The total estimated value of items stolen is $8,570.00.   A NJ Victim Notification Form was completed and a copy was provided to the victim. The stolen vehicle was entered into Auto Theft Task Force and NICIC. A Motor Vehicle Theft Investigation Checklist was completed and submitted to the Detective's Bureau. Sgt. Butler was advised.      A consent to search form was not signed on scene. However, the victim was contacted after the fact and stated that he was unable to respond to headquarters to at this time to since he did not have transportation. He continued that if the car was located he would respond to headquarters to sign a consent to search form."/>
    <m/>
    <m/>
    <s v="v82upj"/>
    <s v="Toyota"/>
    <s v="RUN"/>
    <s v="NJ"/>
    <m/>
    <m/>
    <m/>
    <m/>
    <s v="knapp_j"/>
    <s v="Complete"/>
    <s v="P.O. Massimo Gallorini 379"/>
    <s v="A2"/>
    <s v="Det. Matthew Dogali 338"/>
    <s v="Active Investigation"/>
    <s v="240 = Theft of Motor Vehicle"/>
    <n v="9"/>
    <d v="2025-06-11T00:00:00"/>
    <d v="1899-12-30T04:31:00"/>
    <d v="1899-12-30T04:00:00"/>
    <s v="Morning (04:00–07:59)"/>
    <s v="Main Street, 100 Block"/>
    <x v="0"/>
    <s v="28-Day"/>
    <d v="1899-12-30T04:31:00"/>
    <x v="40"/>
    <d v="1899-12-30T04:00:00"/>
    <m/>
    <s v="Morning (04:00–07:59)"/>
    <x v="2"/>
    <s v="June"/>
    <n v="2025"/>
    <n v="24"/>
    <n v="2"/>
    <n v="11"/>
    <n v="162"/>
    <s v="Main Street, 100 Block"/>
    <s v="150 Main Street, Hackensack, NJ, 07601"/>
    <m/>
    <m/>
    <s v="Toyota RUN"/>
    <m/>
    <m/>
    <s v="Same Day"/>
    <x v="5"/>
    <s v="Morning (04:00–07:59)"/>
  </r>
  <r>
    <s v="25-051110"/>
    <n v="45829"/>
    <d v="1899-12-30T03:40:45"/>
    <m/>
    <m/>
    <d v="2025-06-21T00:00:00"/>
    <d v="1899-12-30T03:45:45"/>
    <s v="Motor Vehicle Theft - 2C:20-3"/>
    <s v="Notification Request"/>
    <m/>
    <s v="20 Atlantic Street, Hackensack, NJ, 07601"/>
    <m/>
    <m/>
    <s v="On 6/21/25 P.O. F. Caneja and I responded to the listed address to investigate the report of a stolen motor vehicle, which was used to commit a crime within the municipality of Ramsey, NJ.   Upon arrival, we spoke to Brittany Perrotti, who is the registered owner of the vehicle. She stated that she parked her vehicle at the entrance level of the Area A garage near the State Street exit at approximately 15:00 hours on 6/20/25, and had no further contact with the vehicle until she was contacted by the Ramsey Police Department. She stated that she was contacted by the Ramsey Police Department and had been notified that her vehicle was used in the commission of a crime. Officers in Ramsey located the vehicle and attempted to make a motor vehicle stop, but were not able to, which then lead the Ramsey Police Department to contact the victim and make a notification.   Afterwards, I checked the location of the Area A garage where the victim stated that she parked her car. The car was not found at the location, there was no broken glass on the ground, and no other signs of theft was found.  The vehicle is described as a black KIA Sportage bearing NJ registration W70RJE. Complaints are to be signed against identified suspects. A victim notification form was completed, and she was provided with a copy. The victim is undecided at this time about having the vehicle processed for latent prints. She was advised that if she wished to do so, that a consent form needed to be completed. Vehicle insurance information is as follows, Code 632 Plymouth Rock Policy number TCA00002035735. Vehicle information was entered into NCIC."/>
    <m/>
    <m/>
    <s v="w70rje"/>
    <s v="KIA"/>
    <s v="SPO"/>
    <s v="NJ"/>
    <m/>
    <m/>
    <m/>
    <m/>
    <s v="Dominguez_l"/>
    <s v="Complete"/>
    <s v="P.O. Jann Aberde 386"/>
    <s v="A1"/>
    <s v="Det. John Tanucilli 335"/>
    <s v="Active Investigation"/>
    <m/>
    <n v="9"/>
    <d v="2025-06-21T00:00:00"/>
    <d v="1899-12-30T03:40:45"/>
    <d v="1899-12-30T03:00:00"/>
    <s v="Early Morning (00:00–03:59)"/>
    <s v="Atlantic Street, 0 Block"/>
    <x v="12"/>
    <s v="28-Day"/>
    <d v="1899-12-30T03:40:45"/>
    <x v="41"/>
    <d v="1899-12-30T03:00:00"/>
    <m/>
    <s v="Early Morning (00:00–03:59)"/>
    <x v="4"/>
    <s v="June"/>
    <n v="2025"/>
    <n v="25"/>
    <n v="3"/>
    <n v="21"/>
    <n v="172"/>
    <s v="Atlantic Street, 0 Block"/>
    <s v="20 Atlantic Street, Hackensack, NJ, 07601"/>
    <m/>
    <m/>
    <s v="KIA SPO"/>
    <m/>
    <m/>
    <s v="Same Day"/>
    <x v="4"/>
    <s v="Early Morning (00:00–03:59)"/>
  </r>
  <r>
    <s v="25-051150"/>
    <n v="45828"/>
    <d v="1899-12-30T23:30:00"/>
    <d v="2025-06-20T00:00:00"/>
    <d v="1899-12-30T09:00:00"/>
    <d v="2025-06-21T00:00:00"/>
    <d v="1899-12-30T09:26:30"/>
    <s v="Burglary - Auto - 2C:18-2"/>
    <s v="Criminal Attempt - 2C:5-1"/>
    <s v="Motor Vehicle Theft - 2C:20-3"/>
    <s v="274 State Street, Hackensack, NJ, 07601"/>
    <s v="H2"/>
    <n v="8"/>
    <s v="On June 21, 2025, at approximately 09:26 hours, I responded in marked radio car #117 to 274 State Street (city parking lot - Area D), for a report of a burglary. Upon arrival, I met with the victim who stated that someone tried to steal his vehicle.     The victim stated that he parked the listed vehicle (NJ/M60JZJ) directly behind 251 Main Street, in a marked parking space (space #20) facing east, at approximately 23:30 hours on the date of 06/20/2025.  He returned to his vehicle on this date at approximately 09:00 hours and noticed that the front passenger side door was left ajar and the rear driver side window was broken.  The victim also noticed that the compartment under the steering wheel was left open and the ignition to the vehicle was tampered with.  The victim stated that the vehicle is no longer functional due to the incident. The victim reported that none of his belongings were missing from the vehicle.  The estimated cost of repairs is approximately $2000.00.     Due to the tampering of the ignition, it appeared that the incident was an attempt to steal the vehicle.  The victim stated that the vehicle has an anti theft system installed.  I observed pry marks on the window sill which led me to believe that burglary tools may have been utilized to gain entry.  Due to the vehicle being contaminated by the victim, the scene was unable to be processed for fingerprints.  There are several cameras in the area that may have captured the incident.  The closest camera to the incident is located on the rear of 270 State Street.  Sgt. Gretkowski was notified of the incident.     A New Jersey Victim Notification Form was completed and a copy was given to the victim.  The victim wishes to be notified if any parties involved can be identified.Vehicle Insurance: Company Code 017, Policy #HPA00002847687."/>
    <m/>
    <m/>
    <s v="M60JZJ"/>
    <s v="Hyundai"/>
    <s v="ELA"/>
    <s v="NJ"/>
    <m/>
    <m/>
    <m/>
    <m/>
    <s v="Dominguez_l"/>
    <s v="Complete"/>
    <s v="P.O. Alexander Reyes 355"/>
    <s v="B4"/>
    <s v="Det. John Tanucilli 335"/>
    <s v="Active Investigation"/>
    <m/>
    <n v="9"/>
    <d v="2025-06-20T00:00:00"/>
    <d v="1899-12-30T23:30:00"/>
    <d v="1899-12-30T23:00:00"/>
    <s v="Night (20:00–23:59)"/>
    <s v="State Street, 200 Block"/>
    <x v="13"/>
    <s v="28-Day"/>
    <d v="1899-12-30T23:30:00"/>
    <x v="42"/>
    <d v="1899-12-30T23:00:00"/>
    <m/>
    <s v="Night (20:00–23:59)"/>
    <x v="0"/>
    <s v="June"/>
    <n v="2025"/>
    <n v="25"/>
    <n v="3"/>
    <n v="20"/>
    <n v="171"/>
    <s v="State Street, 200 Block"/>
    <s v="274 State Street, Hackensack, NJ, 07601"/>
    <m/>
    <m/>
    <s v="Hyundai ELA"/>
    <m/>
    <m/>
    <s v="Next Day"/>
    <x v="0"/>
    <s v="Night (20:00–23:59)"/>
  </r>
  <r>
    <s v="25-051170"/>
    <n v="45829"/>
    <d v="1899-12-30T10:55:00"/>
    <m/>
    <m/>
    <d v="2025-06-21T00:00:00"/>
    <d v="1899-12-30T11:03:13"/>
    <s v="Motor Vehicle Theft - 2C:20-3"/>
    <m/>
    <m/>
    <s v="274 Main Street, Hackensack, NJ, 07601"/>
    <s v="H1"/>
    <n v="8"/>
    <s v="Suspect description: Black male, dressed in all black, wearing a black ski mask.    On Saturday, June 21, 2025 at 1112 hours, Sgt. Gretkowski, P.O. Conlon and I responded to the area of Main Street and Berry Street on a motor vehicle theft. Sgt. Gretkowski was first on scene and he advised communications that this theft occurred approximately 10 minutes in the past. P.O. Conlon and I checked the area with negative results. Communication was advised to announce the stolen vehicle over SPEN.    I met with the victim on Main Street and Berry Street who stated that she parked her vehicle (NJ-S88UJJ) in front of Johnson Library (274 Main Street) and left it running with the doors unlocked. She walked across the street to KD Nutrition (274 1/2 Main Street) where she observed the suspect enter her vehicle. The victim ran across the street to her vehicle, pulled on the car door (which was now locked) then the suspect drove North on Main Street and fled the area.         The victim stated she only had her wallet in the vehicle with contained: 1- New Jersey D.L. Multiple debit/credit cards (All canceled)Approximately $3.00 cashLoose changeCar information (Registration/Insurance)The registered owner was not on scene, but I spoke to him over the phone and he requested the vehicle shall be fingerprinted if located, a consent to the taking of latent prints form was completed. The vehicle had no GPS and approximate value is $34,000. The vehicle was entered into NCIC.A New Jersey Victim Notification Form was completed.  An ATTF entry was made. Insurance information: Cure Auto Insurance (946), Policy #: PANJ089443, Expiration: 09/27/2025"/>
    <m/>
    <m/>
    <s v="S88UJJ"/>
    <s v="Toyota"/>
    <s v="HIG"/>
    <s v="NJ"/>
    <m/>
    <m/>
    <m/>
    <m/>
    <s v="Dominguez_l"/>
    <s v="Complete"/>
    <s v="P.O. Angelo Vicale 370"/>
    <s v="B3"/>
    <s v="Det. Demetrius Carroll 133"/>
    <s v="Active Investigation"/>
    <m/>
    <n v="9"/>
    <d v="2025-06-21T00:00:00"/>
    <d v="1899-12-30T10:55:00"/>
    <d v="1899-12-30T10:00:00"/>
    <s v="Morning Peak (08:00–11:59)"/>
    <s v="Main Street, 200 Block"/>
    <x v="0"/>
    <s v="28-Day"/>
    <d v="1899-12-30T10:55:00"/>
    <x v="41"/>
    <d v="1899-12-30T10:00:00"/>
    <m/>
    <s v="Morning Peak (08:00–11:59)"/>
    <x v="4"/>
    <s v="June"/>
    <n v="2025"/>
    <n v="25"/>
    <n v="3"/>
    <n v="21"/>
    <n v="172"/>
    <s v="Main Street, 200 Block"/>
    <s v="274 Main Street, Hackensack, NJ, 07601"/>
    <m/>
    <m/>
    <s v="Toyota HIG"/>
    <m/>
    <m/>
    <s v="Same Day"/>
    <x v="3"/>
    <s v="Morning Peak (08:00–11:59)"/>
  </r>
  <r>
    <s v="25-051478"/>
    <n v="45829"/>
    <d v="1899-12-30T19:00:00"/>
    <d v="2025-06-22T00:00:00"/>
    <d v="1899-12-30T11:00:00"/>
    <d v="2025-06-22T00:00:00"/>
    <d v="1899-12-30T11:25:43"/>
    <s v="Motor Vehicle Theft - 2C:20-3"/>
    <m/>
    <m/>
    <s v="95 Tracy Place, Hackensack, NJ, 07601"/>
    <s v="G5"/>
    <n v="7"/>
    <s v="I responded to the listed location for a motor vehicle theft. The victim reported that he parked his vehicle on 06/21/2025 at approximately 1900 hours and when he returned to his vehicle on 06/22/2025 at approximately 1100 hours it was gone. The victim further stated that he leaves the passenger door unlocked and a key in the center console of the vehicle.      No security cameras were observed in the area of where the vehicle was last seen.     The victim does not want the vehicle processed if it is located. I completed a New Jersey Victim Notification form and a copy was given to the victim. I completed a Hackensack Police Department MV Theft check list and it was turned into the front desk. The vehicle information was entered into the ATTF website. Vehicle was entered into NCIC as stolen."/>
    <m/>
    <m/>
    <s v="G85RPW"/>
    <s v="Toyota"/>
    <s v="COR"/>
    <s v="NJ_x000a_"/>
    <m/>
    <m/>
    <m/>
    <m/>
    <s v="Dominguez_l"/>
    <s v="Complete"/>
    <s v="P.O. Jacob Price 366"/>
    <s v="B4"/>
    <s v="Det. Demetrius Carroll 133"/>
    <s v="Active Investigation"/>
    <m/>
    <n v="9"/>
    <d v="2025-06-21T00:00:00"/>
    <d v="1899-12-30T19:00:00"/>
    <d v="1899-12-30T19:00:00"/>
    <s v="Evening Peak (16:00–19:59)"/>
    <s v="Tracy Place, 0 Block"/>
    <x v="0"/>
    <s v="28-Day"/>
    <d v="1899-12-30T19:00:00"/>
    <x v="41"/>
    <d v="1899-12-30T19:00:00"/>
    <m/>
    <s v="Evening Peak (16:00–19:59)"/>
    <x v="4"/>
    <s v="June"/>
    <n v="2025"/>
    <n v="25"/>
    <n v="3"/>
    <n v="21"/>
    <n v="172"/>
    <s v="Tracy Place, 0 Block"/>
    <s v="95 Tracy Place, Hackensack, NJ, 07601"/>
    <m/>
    <m/>
    <s v="Toyota COR"/>
    <m/>
    <m/>
    <s v="Next Day"/>
    <x v="2"/>
    <s v="Evening Peak (16:00–19:59)"/>
  </r>
  <r>
    <s v="25-052508"/>
    <n v="45833"/>
    <d v="1899-12-30T13:00:00"/>
    <m/>
    <m/>
    <d v="2025-06-25T00:00:00"/>
    <d v="1899-12-30T13:52:36"/>
    <s v="Burglary - Auto - 2C:18-2"/>
    <m/>
    <m/>
    <s v="355 West Pleasantview Avenue , Hackensack, NJ, 07601"/>
    <s v="F3"/>
    <n v="6"/>
    <s v="On June 25, 2025 I responded to 355W Pleasantview Ave on a report of a burglary to auto. Upon arrival, I met with the victim, David Cohen who stated that he believes his vehicle was burglarized some time after he came home. The victim stated that at approximately 12:45 hours today he came home and parked his vehicle in his assigned parking space (space 28). The victim left the windows rolled down about 6 inches while he went into his residence. Approximately an hour later he went back to his vehicle and discovered the interior in disarray and his belongings left in a mess. There were no signs of forced entry to his vehicle at this time.After further observation he realized his black wallet was stolen along with approximately 80-100 dollars and 3 credit cards. The victim reported the wallet was described as a black wallet with an approximate $10.00 value. Sgt. Tedesco responded to the scene shortly after. The victim did not want his vehicle processed at this time. Detectives were notified and a victim notification form was completed.      The victim reported that at the time of the report there was no fraudulent activity on his credit cards.      Total loss from incident is approximately $90-$110 at this time."/>
    <m/>
    <m/>
    <s v="C58VRT"/>
    <s v="Subaru"/>
    <s v="CRO"/>
    <s v="NJ"/>
    <m/>
    <m/>
    <m/>
    <m/>
    <s v="farhi_b"/>
    <s v="Complete"/>
    <s v="P.O. Anzour Marza 356"/>
    <s v="A3"/>
    <s v="Sgt. Francesco Tripodi 134"/>
    <s v="No Investigation"/>
    <s v="23F = Theft From Motor Vehicle"/>
    <n v="9"/>
    <d v="2025-06-25T00:00:00"/>
    <d v="1899-12-30T13:00:00"/>
    <d v="1899-12-30T13:00:00"/>
    <s v="Afternoon (12:00–15:59)"/>
    <s v="West Pleasantview Avenue, 300 Block"/>
    <x v="1"/>
    <s v="7-Day"/>
    <d v="1899-12-30T13:00:00"/>
    <x v="43"/>
    <d v="1899-12-30T13:00:00"/>
    <m/>
    <s v="Afternoon (12:00–15:59)"/>
    <x v="2"/>
    <s v="June"/>
    <n v="2025"/>
    <n v="26"/>
    <n v="4"/>
    <n v="25"/>
    <n v="176"/>
    <s v="West Pleasantview Avenue, 300 Block"/>
    <s v="355 West Pleasantview Avenue , Hackensack, NJ, 07601"/>
    <m/>
    <m/>
    <s v="Subaru CRO"/>
    <m/>
    <m/>
    <s v="Same Day"/>
    <x v="1"/>
    <s v="Afternoon (12:00–15:59)"/>
  </r>
  <r>
    <s v="25-053984"/>
    <n v="45837"/>
    <d v="1899-12-30T15:00:00"/>
    <d v="2025-06-30T00:00:00"/>
    <d v="1899-12-30T07:33:00"/>
    <d v="2025-06-30T00:00:00"/>
    <d v="1899-12-30T07:33:04"/>
    <s v="Burglary - Auto - 2C:18-2"/>
    <s v="Theft - 2C:20-3"/>
    <m/>
    <s v="33 East Broadway, Hackensack, NJ, 07601"/>
    <s v="E2"/>
    <n v="5"/>
    <s v="I responded to the listed location on a report of a burglary to auto. Upon arrival, I spoke to the complainant who stated that his vehicle was broken into and many of his tools were stolen. The complainant stated that he last saw his vehicle on 6/29/2025 at approximately 1500 hours and it was in tact. On 6/30/2025 at approximately 07:30 hours, he tried opening his vehicle to go to work and realized that the lock had been broken. He then checked the rest of the vehicle and realized many different items were missing along with the ignition being broken.    The complainant stated that he had no possible suspects for the incident. A New Jersey Victim Witness form was completed and the complainant was provided a copy.   List of stolen items: ($5,000.00)            Big Laser: $600            Laser Point: $400            12 Inch Miter Saw: $600             7 Inch Miter Saw: $350             Table Saw: $700             2 Chipping Guns: $500            Concrete Shotgun: $250              2 Compressor hoses: $200            Compressor: $200            Milwaukee: $200            10 Milwaukee Batteries: $1000            D/Sgt. P. Williams was advised."/>
    <m/>
    <m/>
    <s v="F10SMK"/>
    <s v="Ford"/>
    <s v="ECO"/>
    <s v="NJ"/>
    <m/>
    <m/>
    <m/>
    <m/>
    <s v="Dominguez_l"/>
    <s v="Complete"/>
    <s v="P.O. Laura Lopez-Amaya 374"/>
    <s v="B3"/>
    <s v="Det. John Mora 257"/>
    <s v="Active Investigation"/>
    <m/>
    <n v="9"/>
    <d v="2025-06-29T00:00:00"/>
    <d v="1899-12-30T15:00:00"/>
    <d v="1899-12-30T15:00:00"/>
    <s v="Afternoon (12:00–15:59)"/>
    <s v="East Broadway, 0 Block"/>
    <x v="2"/>
    <s v="7-Day"/>
    <d v="1899-12-30T15:00:00"/>
    <x v="44"/>
    <d v="1899-12-30T15:00:00"/>
    <m/>
    <s v="Afternoon (12:00–15:59)"/>
    <x v="5"/>
    <s v="June"/>
    <n v="2025"/>
    <n v="27"/>
    <n v="5"/>
    <n v="29"/>
    <n v="180"/>
    <s v="East Broadway, 0 Block"/>
    <s v="33 East Broadway, Hackensack, NJ, 07601"/>
    <m/>
    <m/>
    <s v="Ford ECO"/>
    <m/>
    <m/>
    <s v="Next Day"/>
    <x v="1"/>
    <s v="Afternoon (12:00–15:5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25-004478"/>
    <d v="2025-01-16T00:00:00"/>
    <d v="1899-12-30T12:00:00"/>
    <d v="2025-01-16T00:00:00"/>
    <d v="1899-12-30T18:00:00"/>
    <d v="2025-01-16T00:00:00"/>
    <d v="1899-12-30T19:34:52"/>
    <s v="Burglary - Residence - 2C:18-2"/>
    <m/>
    <m/>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1899-12-30T12:00:00"/>
    <s v="Afternoon (12:00–15:59)"/>
    <s v="Second Street, 0 Block"/>
    <x v="0"/>
    <s v="YTD"/>
    <d v="1899-12-30T12:00:00"/>
    <x v="0"/>
    <d v="1899-12-30T12:00:00"/>
    <m/>
    <x v="0"/>
    <x v="0"/>
    <s v="January"/>
    <n v="2025"/>
    <n v="3"/>
    <n v="3"/>
    <n v="16"/>
    <n v="16"/>
    <s v="Second Street, 0 Block"/>
    <s v="30 Second Street, Hackensack, NJ, 07601"/>
    <m/>
    <m/>
    <m/>
    <m/>
    <m/>
    <m/>
    <x v="0"/>
    <s v="Afternoon (12:00–15:59)"/>
  </r>
  <r>
    <s v="25-006864"/>
    <d v="2025-01-25T00:00:00"/>
    <d v="1899-12-30T11:00:00"/>
    <d v="2025-01-25T00:00:00"/>
    <d v="1899-12-30T14:00:00"/>
    <d v="2025-01-25T00:00:00"/>
    <d v="1899-12-30T13:55:59"/>
    <s v="Burglary - Residence - 2C:18-2"/>
    <m/>
    <m/>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Administratively Closed"/>
    <s v="220 = Burglary/Breaking &amp; Entering"/>
    <n v="9"/>
    <d v="2025-01-25T00:00:00"/>
    <d v="1899-12-30T11:00:00"/>
    <d v="1899-12-30T11:00:00"/>
    <s v="Morning Peak (08:00–11:59)"/>
    <s v="Kansas Street, 0 Block"/>
    <x v="0"/>
    <s v="YTD"/>
    <d v="1899-12-30T11:00:00"/>
    <x v="1"/>
    <d v="1899-12-30T11:00:00"/>
    <m/>
    <x v="1"/>
    <x v="1"/>
    <s v="January"/>
    <n v="2025"/>
    <n v="4"/>
    <n v="4"/>
    <n v="25"/>
    <n v="25"/>
    <s v="Kansas Street, 0 Block"/>
    <s v="60 Kansas Street, Hackensack, NJ, 07601"/>
    <m/>
    <m/>
    <m/>
    <m/>
    <m/>
    <m/>
    <x v="1"/>
    <s v="Morning Peak (08:00–11:59)"/>
  </r>
  <r>
    <s v="25-008551"/>
    <d v="2025-01-31T00:00:00"/>
    <d v="1899-12-30T11:59:50"/>
    <m/>
    <m/>
    <d v="2025-01-31T00:00:00"/>
    <d v="1899-12-30T11:59:50"/>
    <s v="Burglary - Residence - 2C:18-2"/>
    <m/>
    <m/>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d v="1899-12-30T11:00:00"/>
    <s v="Morning Peak (08:00–11:59)"/>
    <s v="The Esplanade, 200 Block"/>
    <x v="0"/>
    <s v="YTD"/>
    <d v="1899-12-30T11:59:50"/>
    <x v="2"/>
    <d v="1899-12-30T11:00:00"/>
    <m/>
    <x v="1"/>
    <x v="2"/>
    <s v="January"/>
    <n v="2025"/>
    <n v="5"/>
    <n v="5"/>
    <n v="31"/>
    <n v="31"/>
    <s v="The Esplanade, 200 Block"/>
    <s v="292 The Esplanade, Hackensack, NJ, 07601"/>
    <m/>
    <m/>
    <m/>
    <m/>
    <m/>
    <m/>
    <x v="1"/>
    <s v="Morning Peak (08:00–11:59)"/>
  </r>
  <r>
    <s v="25-009831"/>
    <d v="2025-02-05T00:00:00"/>
    <d v="1899-12-30T02:57:00"/>
    <m/>
    <m/>
    <d v="2025-02-05T00:00:00"/>
    <d v="1899-12-30T02:57:41"/>
    <s v="Burglary - Commercial - 2C:18-2"/>
    <s v="Alarm - Burglar"/>
    <m/>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d v="1899-12-30T02:00:00"/>
    <s v="Early Morning (00:00–03:59)"/>
    <s v="Passaic Street, 400 Block"/>
    <x v="1"/>
    <s v="YTD"/>
    <d v="1899-12-30T02:57:00"/>
    <x v="3"/>
    <d v="1899-12-30T02:00:00"/>
    <m/>
    <x v="2"/>
    <x v="3"/>
    <s v="February"/>
    <n v="2025"/>
    <n v="6"/>
    <n v="2"/>
    <n v="5"/>
    <n v="36"/>
    <s v="Passaic Street, 400 Block"/>
    <s v="441 Passaic Street, Hackensack, NJ, 07601"/>
    <m/>
    <m/>
    <m/>
    <m/>
    <m/>
    <m/>
    <x v="2"/>
    <s v="Early Morning (00:00–03:59)"/>
  </r>
  <r>
    <s v="25-013147"/>
    <d v="2025-02-17T00:00:00"/>
    <d v="1899-12-30T12:35:58"/>
    <m/>
    <m/>
    <d v="2025-02-17T00:00:00"/>
    <d v="1899-12-30T12:35:58"/>
    <s v="Burglary - Commercial - 2C:18-2"/>
    <s v="Suspicious Incident"/>
    <m/>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Active/Administratively Closed"/>
    <s v="220 = Burglary/Breaking &amp; Entering"/>
    <n v="9"/>
    <d v="2025-02-17T00:00:00"/>
    <d v="1899-12-30T12:35:58"/>
    <d v="1899-12-30T12:00:00"/>
    <s v="Afternoon (12:00–15:59)"/>
    <s v="Pangborn Place, 0 Block"/>
    <x v="2"/>
    <s v="YTD"/>
    <d v="1899-12-30T12:35:58"/>
    <x v="4"/>
    <d v="1899-12-30T12:00:00"/>
    <m/>
    <x v="0"/>
    <x v="4"/>
    <s v="February"/>
    <n v="2025"/>
    <n v="8"/>
    <n v="4"/>
    <n v="17"/>
    <n v="48"/>
    <s v="Pangborn Place, 0 Block"/>
    <s v="35 Pangborn Place, Hackensack, NJ, 07601"/>
    <m/>
    <m/>
    <m/>
    <m/>
    <m/>
    <m/>
    <x v="0"/>
    <s v="Afternoon (12:00–15:59)"/>
  </r>
  <r>
    <s v="25-019648"/>
    <d v="2025-03-10T00:00:00"/>
    <d v="1899-12-30T01:07:00"/>
    <d v="2025-03-10T00:00:00"/>
    <d v="1899-12-30T03:53:00"/>
    <d v="2025-03-11T00:00:00"/>
    <d v="1899-12-30T10:36:59"/>
    <s v="Burglary - Residence - 2C:18-2"/>
    <m/>
    <m/>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Complaint Signed"/>
    <s v="220 = Burglary/Breaking &amp; Entering"/>
    <n v="9"/>
    <d v="2025-03-10T00:00:00"/>
    <d v="1899-12-30T01:07:00"/>
    <d v="1899-12-30T01:00:00"/>
    <s v="Early Morning (00:00–03:59)"/>
    <s v="Park Avenue, 0 Block"/>
    <x v="0"/>
    <s v="YTD"/>
    <d v="1899-12-30T01:07:00"/>
    <x v="5"/>
    <d v="1899-12-30T01:00:00"/>
    <m/>
    <x v="2"/>
    <x v="4"/>
    <s v="March"/>
    <n v="2025"/>
    <n v="11"/>
    <n v="3"/>
    <n v="10"/>
    <n v="69"/>
    <s v="Park Avenue, 0 Block"/>
    <s v="1 Park Avenue, Hackensack, NJ, 07601"/>
    <m/>
    <m/>
    <m/>
    <m/>
    <m/>
    <m/>
    <x v="2"/>
    <s v="Early Morning (00:00–03:59)"/>
  </r>
  <r>
    <s v="25-024952"/>
    <d v="2025-03-27T00:00:00"/>
    <d v="1899-12-30T22:43:12"/>
    <m/>
    <m/>
    <d v="2025-03-27T00:00:00"/>
    <d v="1899-12-30T22:43:12"/>
    <s v="Burglary - Commercial - 2C:18-2"/>
    <s v="Hindering Apprehension - 2C:29-3"/>
    <s v="Resisting Arrest/Eluding - 2C:29-2"/>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Cleared - Arrest"/>
    <s v="220 = Burglary/Breaking &amp; Entering"/>
    <n v="9"/>
    <d v="2025-03-27T00:00:00"/>
    <d v="1899-12-30T22:43:12"/>
    <d v="1899-12-30T22:00:00"/>
    <s v="Night (20:00–23:59)"/>
    <s v="Essex Street, 200 Block"/>
    <x v="3"/>
    <s v="YTD"/>
    <d v="1899-12-30T22:43:12"/>
    <x v="6"/>
    <d v="1899-12-30T22:00:00"/>
    <m/>
    <x v="3"/>
    <x v="0"/>
    <s v="March"/>
    <n v="2025"/>
    <n v="13"/>
    <n v="5"/>
    <n v="27"/>
    <n v="86"/>
    <s v="Essex Street, 200 Block"/>
    <s v="211 Essex Street, Hackensack, NJ, 07601"/>
    <m/>
    <m/>
    <m/>
    <m/>
    <m/>
    <m/>
    <x v="3"/>
    <s v="Night (20:00–23:59)"/>
  </r>
  <r>
    <s v="25-025078"/>
    <d v="2025-03-27T00:00:00"/>
    <d v="1899-12-30T23:30:00"/>
    <d v="2025-03-28T00:00:00"/>
    <d v="1899-12-30T00:36:00"/>
    <d v="2025-03-28T00:00:00"/>
    <d v="1899-12-30T11:13:39"/>
    <s v="Burglary - Residence - 2C:18-2"/>
    <m/>
    <m/>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Administratively Closed"/>
    <s v="220 = Burglary/Breaking &amp; Entering"/>
    <n v="9"/>
    <d v="2025-03-27T00:00:00"/>
    <d v="1899-12-30T23:30:00"/>
    <d v="1899-12-30T23:00:00"/>
    <s v="Night (20:00–23:59)"/>
    <s v="Park Avenue, 0 Block"/>
    <x v="0"/>
    <s v="YTD"/>
    <d v="1899-12-30T23:30:00"/>
    <x v="6"/>
    <d v="1899-12-30T23:00:00"/>
    <m/>
    <x v="3"/>
    <x v="0"/>
    <s v="March"/>
    <n v="2025"/>
    <n v="13"/>
    <n v="5"/>
    <n v="27"/>
    <n v="86"/>
    <s v="Park Avenue, 0 Block"/>
    <s v="2 Park Avenue, Hackensack, NJ, 07601"/>
    <m/>
    <m/>
    <m/>
    <m/>
    <n v="50300"/>
    <m/>
    <x v="3"/>
    <s v="Night (20:00–23:59)"/>
  </r>
  <r>
    <s v="25-025926"/>
    <d v="2025-03-31T00:00:00"/>
    <d v="1899-12-30T12:00:00"/>
    <m/>
    <m/>
    <d v="2025-03-31T00:00:00"/>
    <d v="1899-12-30T13:02:43"/>
    <s v="Burglary - Residence - 2C:18-2"/>
    <m/>
    <m/>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s v="Sgt. Francesco Tripodi 134"/>
    <s v="No Investigation"/>
    <s v="220 = Burglary/Breaking &amp; Entering"/>
    <n v="9"/>
    <d v="2025-03-31T00:00:00"/>
    <d v="1899-12-30T12:00:00"/>
    <d v="1899-12-30T12:00:00"/>
    <s v="Afternoon (12:00–15:59)"/>
    <s v="Essex Street, 100 Block"/>
    <x v="0"/>
    <s v="YTD"/>
    <d v="1899-12-30T12:00:00"/>
    <x v="7"/>
    <d v="1899-12-30T12:00:00"/>
    <m/>
    <x v="0"/>
    <x v="4"/>
    <s v="March"/>
    <n v="2025"/>
    <n v="14"/>
    <n v="6"/>
    <n v="31"/>
    <n v="90"/>
    <s v="Essex Street, 100 Block"/>
    <s v="100 Essex Street, Hackensack, NJ, 07601"/>
    <m/>
    <m/>
    <m/>
    <m/>
    <m/>
    <m/>
    <x v="0"/>
    <s v="Afternoon (12:00–15:59)"/>
  </r>
  <r>
    <s v="25-027338"/>
    <d v="2025-04-01T00:00:00"/>
    <d v="1899-12-30T12:00:00"/>
    <d v="2025-04-04T00:00:00"/>
    <d v="1899-12-30T12:30:00"/>
    <d v="2025-04-04T00:00:00"/>
    <d v="1899-12-30T13:05:28"/>
    <s v="Burglary - Residence - 2C:18-2"/>
    <m/>
    <m/>
    <s v="75 Fair Street, Hackensack, NJ, 07601"/>
    <s v="E1"/>
    <n v="5"/>
    <s v="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
    <m/>
    <m/>
    <m/>
    <m/>
    <m/>
    <m/>
    <m/>
    <m/>
    <m/>
    <m/>
    <s v="klosk_j"/>
    <s v="Complete"/>
    <s v="P.O. Alexander Reyes 355"/>
    <s v="B4"/>
    <s v="Det. Gunther Lara-Nunez 351"/>
    <s v="Active/Administratively Closed"/>
    <s v="220 = Burglary/Breaking &amp; Entering"/>
    <n v="9"/>
    <d v="2025-04-01T00:00:00"/>
    <d v="1899-12-30T12:00:00"/>
    <d v="1899-12-30T12:00:00"/>
    <s v="Afternoon (12:00–15:59)"/>
    <s v="Fair Street, 0 Block"/>
    <x v="0"/>
    <s v="YTD"/>
    <d v="1899-12-30T12:00:00"/>
    <x v="8"/>
    <d v="1899-12-30T12:00:00"/>
    <m/>
    <x v="0"/>
    <x v="5"/>
    <s v="April"/>
    <n v="2025"/>
    <n v="14"/>
    <n v="1"/>
    <n v="1"/>
    <n v="91"/>
    <s v="Fair Street, 0 Block"/>
    <s v="75 Fair Street, Hackensack, NJ, 07601"/>
    <m/>
    <m/>
    <m/>
    <m/>
    <m/>
    <m/>
    <x v="0"/>
    <s v="Afternoon (12:00–15:59)"/>
  </r>
  <r>
    <s v="25-029829"/>
    <d v="2025-04-08T00:00:00"/>
    <d v="1899-12-30T12:00:00"/>
    <d v="2025-04-12T00:00:00"/>
    <d v="1899-12-30T12:00:00"/>
    <d v="2025-04-12T00:00:00"/>
    <d v="1899-12-30T12:38:52"/>
    <s v="Burglary - Residence - 2C:18-2"/>
    <m/>
    <m/>
    <s v="140 Hudson Street, Hackensack, NJ, 07601"/>
    <s v="E1"/>
    <n v="5"/>
    <s v="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
    <m/>
    <m/>
    <m/>
    <m/>
    <m/>
    <m/>
    <m/>
    <m/>
    <m/>
    <m/>
    <s v="bay_f"/>
    <s v="Complete"/>
    <s v="P.O. Laura Lopez-Amaya 374"/>
    <s v="B3"/>
    <s v="Det. Matthew Dogali 338"/>
    <s v="Active/Administratively Closed"/>
    <s v="220 = Burglary/Breaking &amp; Entering"/>
    <n v="9"/>
    <d v="2025-04-08T00:00:00"/>
    <d v="1899-12-30T12:00:00"/>
    <d v="1899-12-30T12:00:00"/>
    <s v="Afternoon (12:00–15:59)"/>
    <s v="Hudson Street, 100 Block"/>
    <x v="0"/>
    <s v="YTD"/>
    <d v="1899-12-30T12:00:00"/>
    <x v="9"/>
    <d v="1899-12-30T12:00:00"/>
    <m/>
    <x v="0"/>
    <x v="5"/>
    <s v="April"/>
    <n v="2025"/>
    <n v="15"/>
    <n v="2"/>
    <n v="8"/>
    <n v="98"/>
    <s v="Hudson Street, 100 Block"/>
    <s v="140 Hudson Street, Hackensack, NJ, 07601"/>
    <m/>
    <m/>
    <m/>
    <m/>
    <m/>
    <m/>
    <x v="0"/>
    <s v="Afternoon (12:00–15:59)"/>
  </r>
  <r>
    <s v="25-030220"/>
    <d v="2025-04-13T00:00:00"/>
    <d v="1899-12-30T18:44:52"/>
    <m/>
    <m/>
    <d v="2025-04-13T00:00:00"/>
    <d v="1899-12-30T18:44:52"/>
    <s v="Burglary - Residence - 2C:18-2"/>
    <s v="Terroristic Threats - 2C:12-3"/>
    <s v="Criminal Mischief - 2C:17-3"/>
    <s v="64 Prospect Avenue, Hackensack, NJ, 07601"/>
    <s v="G4"/>
    <n v="7"/>
    <s v="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quot; I am going to kill you &quot;.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
    <m/>
    <m/>
    <m/>
    <m/>
    <m/>
    <m/>
    <m/>
    <m/>
    <m/>
    <m/>
    <s v="klosk_j"/>
    <s v="Complete"/>
    <s v="P.O. Andres Lopez 375"/>
    <s v="A2"/>
    <s v="Det. John Tanucilli 335"/>
    <s v="Cleared - Arrest"/>
    <s v="220 = Burglary/Breaking &amp; Entering"/>
    <n v="9"/>
    <d v="2025-04-13T00:00:00"/>
    <d v="1899-12-30T18:44:52"/>
    <d v="1899-12-30T18:00:00"/>
    <s v="Evening Peak (16:00–19:59)"/>
    <s v="Prospect Avenue, 0 Block"/>
    <x v="4"/>
    <s v="YTD"/>
    <d v="1899-12-30T18:44:52"/>
    <x v="10"/>
    <d v="1899-12-30T18:00:00"/>
    <m/>
    <x v="4"/>
    <x v="6"/>
    <s v="April"/>
    <n v="2025"/>
    <n v="16"/>
    <n v="3"/>
    <n v="13"/>
    <n v="103"/>
    <s v="Prospect Avenue, 0 Block"/>
    <s v="64 Prospect Avenue, Hackensack, NJ, 07601"/>
    <m/>
    <m/>
    <m/>
    <m/>
    <m/>
    <m/>
    <x v="4"/>
    <s v="Evening Peak (16:00–19:59)"/>
  </r>
  <r>
    <s v="25-030780"/>
    <d v="2025-04-14T00:00:00"/>
    <d v="1899-12-30T23:00:00"/>
    <d v="2025-04-15T00:00:00"/>
    <d v="1899-12-30T18:30:00"/>
    <d v="2025-04-15T00:00:00"/>
    <d v="1899-12-30T18:40:03"/>
    <s v="Burglary - Residence - 2C:18-2"/>
    <s v="Theft - 2C:20-3"/>
    <s v="Criminal Mischief - 2C:17-3"/>
    <s v="325 Union Street, Hackensack, NJ, 07601"/>
    <s v="H2"/>
    <n v="8"/>
    <s v="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quot;ninja&quot; coming from the rear of the listed location with unknown items. The female then entered into an unknown SUV.  The victim stated that he was missing a pair of suede &quot;Jordan&quot;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
    <m/>
    <m/>
    <m/>
    <m/>
    <m/>
    <m/>
    <m/>
    <m/>
    <m/>
    <m/>
    <s v="butler_j"/>
    <s v="Complete"/>
    <s v="P.O. Paula Lopez 362"/>
    <s v="A1"/>
    <s v="Det. John Tanucilli 335"/>
    <s v="Ex-Cleared / Closed"/>
    <s v="220 = Burglary/Breaking &amp; Entering"/>
    <n v="9"/>
    <d v="2025-04-14T00:00:00"/>
    <d v="1899-12-30T23:00:00"/>
    <d v="1899-12-30T23:00:00"/>
    <s v="Night (20:00–23:59)"/>
    <s v="Union Street, 300 Block"/>
    <x v="5"/>
    <s v="YTD"/>
    <d v="1899-12-30T23:00:00"/>
    <x v="11"/>
    <d v="1899-12-30T23:00:00"/>
    <m/>
    <x v="3"/>
    <x v="4"/>
    <s v="April"/>
    <n v="2025"/>
    <n v="16"/>
    <n v="3"/>
    <n v="14"/>
    <n v="104"/>
    <s v="Union Street, 300 Block"/>
    <s v="325 Union Street, Hackensack, NJ, 07601"/>
    <m/>
    <m/>
    <m/>
    <m/>
    <m/>
    <m/>
    <x v="3"/>
    <s v="Night (20:00–23:59)"/>
  </r>
  <r>
    <s v="25-031651"/>
    <d v="2025-04-16T00:00:00"/>
    <d v="1899-12-30T06:00:00"/>
    <d v="2025-04-18T00:00:00"/>
    <m/>
    <d v="2025-04-18T00:00:00"/>
    <d v="1899-12-30T22:08:36"/>
    <s v="Burglary - Residence - 2C:18-2"/>
    <m/>
    <m/>
    <s v="28 Summit Avenue, Hackensack, NJ, 07601"/>
    <s v="G4"/>
    <n v="7"/>
    <s v="On April 18, 2025, at approximately 22:08 hours Sgt. Donnerstag, P.O. Bonsu, and I responded to 28 Summit Avenue for a report of a burglary that occurred in the past. The victims reported that they last saw their green Aipass electric bicycle and 58&quot; TLC 4k TV  on Wednesday, April 16, 2025 at approximately 06:00 hours in their garage (located in the rear). They reported noticing that both the electric bicycle and 58&quot; TV was gone earlier today. It should be noted, the garage door remains unlocked at all times and the victims do not have a key for it. There was no sign of forced entry observed. The victims reported the green Aipass electric bicycle costs approximately $758.00 and the 58&quot;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
    <m/>
    <m/>
    <m/>
    <m/>
    <m/>
    <m/>
    <m/>
    <m/>
    <m/>
    <m/>
    <s v="ghirardi_r"/>
    <s v="Complete"/>
    <s v="P.O. Denisse Caero 367"/>
    <s v="B2"/>
    <s v="Det. Demetrius Carroll 133"/>
    <s v="Active/Administratively Closed"/>
    <s v="220 = Burglary/Breaking &amp; Entering"/>
    <n v="9"/>
    <d v="2025-04-16T00:00:00"/>
    <d v="1899-12-30T06:00:00"/>
    <d v="1899-12-30T06:00:00"/>
    <s v="Morning (04:00–07:59)"/>
    <s v="Summit Avenue, 0 Block"/>
    <x v="0"/>
    <s v="YTD"/>
    <d v="1899-12-30T06:00:00"/>
    <x v="12"/>
    <d v="1899-12-30T06:00:00"/>
    <m/>
    <x v="5"/>
    <x v="3"/>
    <s v="April"/>
    <n v="2025"/>
    <n v="16"/>
    <n v="3"/>
    <n v="16"/>
    <n v="106"/>
    <s v="Summit Avenue, 0 Block"/>
    <s v="28 Summit Avenue, Hackensack, NJ, 07601"/>
    <m/>
    <m/>
    <m/>
    <m/>
    <m/>
    <m/>
    <x v="5"/>
    <s v="Morning (04:00–07:59)"/>
  </r>
  <r>
    <s v="25-032451"/>
    <m/>
    <m/>
    <m/>
    <m/>
    <d v="2025-04-21T00:00:00"/>
    <d v="1899-12-30T09:39:40"/>
    <s v="Burglary - Residence - 2C:18-2"/>
    <m/>
    <m/>
    <s v="130 Overlook Avenue, Hackensack, NJ, 07601"/>
    <s v="G4"/>
    <n v="7"/>
    <s v="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
    <m/>
    <m/>
    <m/>
    <m/>
    <m/>
    <m/>
    <m/>
    <m/>
    <m/>
    <m/>
    <s v="peralta_k"/>
    <s v="Complete"/>
    <s v="P.O. Alexander Reyes 355"/>
    <s v="B4"/>
    <s v="Sgt. Patrick Williams 143"/>
    <s v="No Investigation"/>
    <s v="220 = Burglary/Breaking &amp; Entering"/>
    <n v="9"/>
    <d v="2025-04-21T00:00:00"/>
    <d v="1899-12-30T09:39:40"/>
    <d v="1899-12-30T09:00:00"/>
    <s v="Morning Peak (08:00–11:59)"/>
    <s v="Overlook Avenue, 100 Block"/>
    <x v="0"/>
    <s v="YTD"/>
    <d v="1899-12-30T09:39:40"/>
    <x v="13"/>
    <d v="1899-12-30T09:00:00"/>
    <m/>
    <x v="1"/>
    <x v="4"/>
    <s v="April"/>
    <n v="2025"/>
    <n v="17"/>
    <n v="4"/>
    <n v="21"/>
    <n v="111"/>
    <s v="Overlook Avenue, 100 Block"/>
    <s v="130 Overlook Avenue, Hackensack, NJ, 07601"/>
    <m/>
    <m/>
    <m/>
    <m/>
    <m/>
    <m/>
    <x v="1"/>
    <s v="Morning Peak (08:00–11:59)"/>
  </r>
  <r>
    <s v="25-032420"/>
    <d v="2025-04-20T00:00:00"/>
    <d v="1899-12-30T03:34:00"/>
    <d v="2025-04-21T00:00:00"/>
    <d v="1899-12-30T08:00:00"/>
    <d v="2025-04-21T00:00:00"/>
    <d v="1899-12-30T08:04:33"/>
    <s v="Burglary - Commercial - 2C:18-2"/>
    <m/>
    <m/>
    <s v="16 Johnson Avenue, Hackensack, NJ, 07601"/>
    <s v="I4"/>
    <n v="9"/>
    <s v="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
    <m/>
    <m/>
    <m/>
    <m/>
    <m/>
    <m/>
    <m/>
    <m/>
    <m/>
    <m/>
    <s v="peralta_k"/>
    <s v="Complete"/>
    <s v="P.O. Laura Lopez-Amaya 374"/>
    <s v="B3"/>
    <s v="Det. Matthew Dogali 338"/>
    <s v="Active/Administratively Closed"/>
    <s v="220 = Burglary/Breaking &amp; Entering"/>
    <n v="9"/>
    <d v="2025-04-20T00:00:00"/>
    <d v="1899-12-30T03:34:00"/>
    <d v="1899-12-30T03:00:00"/>
    <s v="Early Morning (00:00–03:59)"/>
    <s v="Johnson Avenue, 0 Block"/>
    <x v="6"/>
    <s v="YTD"/>
    <d v="1899-12-30T03:34:00"/>
    <x v="14"/>
    <d v="1899-12-30T03:00:00"/>
    <m/>
    <x v="2"/>
    <x v="6"/>
    <s v="April"/>
    <n v="2025"/>
    <n v="17"/>
    <n v="4"/>
    <n v="20"/>
    <n v="110"/>
    <s v="Johnson Avenue, 0 Block"/>
    <s v="16 Johnson Avenue, Hackensack, NJ, 07601"/>
    <m/>
    <m/>
    <m/>
    <m/>
    <m/>
    <m/>
    <x v="2"/>
    <s v="Early Morning (00:00–03:59)"/>
  </r>
  <r>
    <s v="25-035868"/>
    <d v="2025-05-01T00:00:00"/>
    <d v="1899-12-30T22:27:45"/>
    <m/>
    <m/>
    <d v="2025-05-01T00:00:00"/>
    <d v="1899-12-30T22:27:45"/>
    <s v="Burglary - Residence - 2C:18-2"/>
    <s v="Theft - 2C:20-3"/>
    <s v="Warrant Arrest"/>
    <s v="185 Central Avenue, Hackensack, NJ, 07601"/>
    <s v="G3"/>
    <n v="7"/>
    <s v="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quot;no.&quot;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
    <m/>
    <m/>
    <m/>
    <m/>
    <m/>
    <m/>
    <m/>
    <m/>
    <m/>
    <m/>
    <s v="levis_r"/>
    <s v="Complete"/>
    <s v="P.O. Paula Lopez 362"/>
    <s v="A2"/>
    <s v="Det. John Tanucilli 335"/>
    <s v="Active/Administratively Closed"/>
    <s v="220 = Burglary/Breaking &amp; Entering"/>
    <n v="9"/>
    <d v="2025-05-01T00:00:00"/>
    <d v="1899-12-30T22:27:45"/>
    <d v="1899-12-30T22:00:00"/>
    <s v="Night (20:00–23:59)"/>
    <s v="Central Avenue, 100 Block"/>
    <x v="7"/>
    <s v="YTD"/>
    <d v="1899-12-30T22:27:45"/>
    <x v="15"/>
    <d v="1899-12-30T22:00:00"/>
    <m/>
    <x v="3"/>
    <x v="0"/>
    <s v="May"/>
    <n v="2025"/>
    <n v="18"/>
    <n v="1"/>
    <n v="1"/>
    <n v="121"/>
    <s v="Central Avenue, 100 Block"/>
    <s v="185 Central Avenue, Hackensack, NJ, 07601"/>
    <m/>
    <m/>
    <m/>
    <m/>
    <m/>
    <m/>
    <x v="3"/>
    <s v="Night (20:00–23:59)"/>
  </r>
  <r>
    <s v="25-038962"/>
    <d v="2025-05-12T00:00:00"/>
    <d v="1899-12-30T06:32:00"/>
    <m/>
    <m/>
    <d v="2025-05-12T00:00:00"/>
    <d v="1899-12-30T06:37:50"/>
    <s v="Burglary - Residence - 2C:18-2"/>
    <s v="Aggravated Assault - 2C:12-1b"/>
    <s v="Unlawful Taking - 2C:20-10"/>
    <s v="70 Cedar Avenue, Hackensack, NJ, 07601"/>
    <s v="I5"/>
    <n v="9"/>
    <s v="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
    <m/>
    <m/>
    <s v="s28snh"/>
    <s v="Honda"/>
    <s v="PIL"/>
    <s v="NJ"/>
    <m/>
    <m/>
    <m/>
    <m/>
    <s v="knapp_j"/>
    <s v="Complete"/>
    <s v="P.O. Nicholas Mazzaccaro 377"/>
    <s v="B2"/>
    <s v="Sgt. Francesco Tripodi 134"/>
    <s v="Complaint Signed"/>
    <s v="13A = Aggravated Assault"/>
    <n v="9"/>
    <d v="2025-05-12T00:00:00"/>
    <d v="1899-12-30T06:32:00"/>
    <d v="1899-12-30T06:00:00"/>
    <s v="Morning (04:00–07:59)"/>
    <s v="Cedar Avenue, 0 Block"/>
    <x v="8"/>
    <s v="YTD"/>
    <d v="1899-12-30T06:32:00"/>
    <x v="16"/>
    <d v="1899-12-30T06:00:00"/>
    <m/>
    <x v="5"/>
    <x v="4"/>
    <s v="May"/>
    <n v="2025"/>
    <n v="20"/>
    <n v="3"/>
    <n v="12"/>
    <n v="132"/>
    <s v="Cedar Avenue, 0 Block"/>
    <s v="70 Cedar Avenue, Hackensack, NJ, 07601"/>
    <m/>
    <m/>
    <s v="Honda PIL"/>
    <m/>
    <m/>
    <m/>
    <x v="5"/>
    <s v="Morning (04:00–07:59)"/>
  </r>
  <r>
    <s v="25-039095"/>
    <d v="2025-05-04T00:00:00"/>
    <d v="1899-12-30T13:00:00"/>
    <m/>
    <m/>
    <d v="2025-05-12T00:00:00"/>
    <d v="1899-12-30T13:20:26"/>
    <s v="Burglary - Residence - 2C:18-2"/>
    <m/>
    <m/>
    <s v="343 Park Street, Hackensack, NJ, 07601"/>
    <s v="H2"/>
    <n v="8"/>
    <s v="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
    <m/>
    <m/>
    <m/>
    <m/>
    <m/>
    <m/>
    <m/>
    <m/>
    <m/>
    <m/>
    <s v="knapp_j"/>
    <s v="Complete"/>
    <s v="P.O. Peter Voorhis 380"/>
    <s v="B1"/>
    <s v="Sgt. Francesco Tripodi 134"/>
    <s v="No Investigation"/>
    <s v="220 = Burglary/Breaking &amp; Entering"/>
    <n v="9"/>
    <d v="2025-05-04T00:00:00"/>
    <d v="1899-12-30T13:00:00"/>
    <d v="1899-12-30T13:00:00"/>
    <s v="Afternoon (12:00–15:59)"/>
    <s v="Park Street, 300 Block"/>
    <x v="0"/>
    <s v="YTD"/>
    <d v="1899-12-30T13:00:00"/>
    <x v="17"/>
    <d v="1899-12-30T13:00:00"/>
    <m/>
    <x v="0"/>
    <x v="6"/>
    <s v="May"/>
    <n v="2025"/>
    <n v="19"/>
    <n v="2"/>
    <n v="4"/>
    <n v="124"/>
    <s v="Park Street, 300 Block"/>
    <s v="343 Park Street, Hackensack, NJ, 07601"/>
    <m/>
    <m/>
    <m/>
    <m/>
    <m/>
    <m/>
    <x v="0"/>
    <s v="Afternoon (12:00–15:59)"/>
  </r>
  <r>
    <s v="25-040394"/>
    <d v="2025-05-12T00:00:00"/>
    <d v="1899-12-30T08:00:00"/>
    <d v="2025-05-16T00:00:00"/>
    <m/>
    <d v="2025-05-16T00:00:00"/>
    <d v="1899-12-30T13:20:08"/>
    <s v="Burglary - Residence - 2C:18-2"/>
    <m/>
    <m/>
    <s v="33 Henry Place, Hackensack, NJ, 07601"/>
    <s v="E3"/>
    <n v="5"/>
    <s v="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
    <m/>
    <m/>
    <m/>
    <m/>
    <m/>
    <m/>
    <m/>
    <m/>
    <m/>
    <m/>
    <s v="levis_r"/>
    <s v="Complete"/>
    <s v="P.O. Paula Lopez 362"/>
    <s v="A2"/>
    <s v="Sgt. Francesco Tripodi 134"/>
    <s v="No Investigation"/>
    <s v="220 = Burglary/Breaking &amp; Entering"/>
    <n v="9"/>
    <d v="2025-05-12T00:00:00"/>
    <d v="1899-12-30T08:00:00"/>
    <d v="1899-12-30T08:00:00"/>
    <s v="Morning Peak (08:00–11:59)"/>
    <s v="Henry Place, 0 Block"/>
    <x v="0"/>
    <s v="YTD"/>
    <d v="1899-12-30T08:00:00"/>
    <x v="16"/>
    <d v="1899-12-30T08:00:00"/>
    <m/>
    <x v="1"/>
    <x v="4"/>
    <s v="May"/>
    <n v="2025"/>
    <n v="20"/>
    <n v="3"/>
    <n v="12"/>
    <n v="132"/>
    <s v="Henry Place, 0 Block"/>
    <s v="33 Henry Place, Hackensack, NJ, 07601"/>
    <m/>
    <m/>
    <m/>
    <m/>
    <m/>
    <m/>
    <x v="1"/>
    <s v="Morning Peak (08:00–11:59)"/>
  </r>
  <r>
    <s v="25-042858"/>
    <d v="2025-05-24T00:00:00"/>
    <d v="1899-12-30T22:24:00"/>
    <m/>
    <m/>
    <d v="2025-05-24T00:00:00"/>
    <d v="1899-12-30T22:36:34"/>
    <s v="Burglary - Residence - 2C:18-2"/>
    <s v="Criminal Mischief - 2C:17-3"/>
    <s v="Simple Assault - 2C:12-1a"/>
    <s v="79 Lodi Street, Hackensack, NJ, 07601"/>
    <s v="E2"/>
    <n v="5"/>
    <s v="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
    <m/>
    <m/>
    <m/>
    <m/>
    <m/>
    <m/>
    <m/>
    <m/>
    <m/>
    <m/>
    <s v="gretkowski_j"/>
    <s v="Complete"/>
    <s v="P.O. Jeffrey Rodriguez 342"/>
    <s v="A4"/>
    <s v="Det. John Tanucilli 335"/>
    <s v="Active/Administratively Closed"/>
    <s v="220 = Burglary/Breaking &amp; Entering"/>
    <n v="9"/>
    <d v="2025-05-24T00:00:00"/>
    <d v="1899-12-30T22:24:00"/>
    <d v="1899-12-30T22:00:00"/>
    <s v="Night (20:00–23:59)"/>
    <s v="Lodi Street, 0 Block"/>
    <x v="9"/>
    <s v="YTD"/>
    <d v="1899-12-30T22:24:00"/>
    <x v="18"/>
    <d v="1899-12-30T22:00:00"/>
    <m/>
    <x v="3"/>
    <x v="1"/>
    <s v="May"/>
    <n v="2025"/>
    <n v="21"/>
    <n v="4"/>
    <n v="24"/>
    <n v="144"/>
    <s v="Lodi Street, 0 Block"/>
    <s v="79 Lodi Street, Hackensack, NJ, 07601"/>
    <m/>
    <m/>
    <m/>
    <m/>
    <m/>
    <m/>
    <x v="3"/>
    <s v="Night (20:00–23:59)"/>
  </r>
  <r>
    <s v="25-042950"/>
    <d v="2025-05-25T00:00:00"/>
    <d v="1899-12-30T05:45:00"/>
    <m/>
    <d v="1899-12-30T07:00:00"/>
    <d v="2025-05-25T00:00:00"/>
    <d v="1899-12-30T08:51:39"/>
    <s v="Burglary - Commercial - 2C:18-2"/>
    <m/>
    <m/>
    <s v="20 Prospect Avenue, Hackensack, NJ, 07601"/>
    <s v="G4"/>
    <n v="7"/>
    <s v="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
    <m/>
    <m/>
    <m/>
    <m/>
    <m/>
    <m/>
    <m/>
    <m/>
    <m/>
    <m/>
    <s v="butler_j"/>
    <s v="Complete"/>
    <s v="P.O. Jann Aberde 386"/>
    <s v="A1"/>
    <s v="Sgt. Francesco Tripodi 134"/>
    <s v="Ex-Cleared / Closed"/>
    <s v="220 = Burglary/Breaking &amp; Entering"/>
    <n v="9"/>
    <d v="2025-05-25T00:00:00"/>
    <d v="1899-12-30T05:45:00"/>
    <d v="1899-12-30T05:00:00"/>
    <s v="Morning (04:00–07:59)"/>
    <s v="Prospect Avenue, 0 Block"/>
    <x v="6"/>
    <s v="YTD"/>
    <d v="1899-12-30T05:45:00"/>
    <x v="19"/>
    <d v="1899-12-30T05:00:00"/>
    <m/>
    <x v="5"/>
    <x v="6"/>
    <s v="May"/>
    <n v="2025"/>
    <n v="22"/>
    <n v="5"/>
    <n v="25"/>
    <n v="145"/>
    <s v="Prospect Avenue, 0 Block"/>
    <s v="20 Prospect Avenue, Hackensack, NJ, 07601"/>
    <m/>
    <m/>
    <m/>
    <m/>
    <m/>
    <m/>
    <x v="5"/>
    <s v="Morning (04:00–07:59)"/>
  </r>
  <r>
    <s v="25-043052"/>
    <d v="2025-05-25T00:00:00"/>
    <d v="1899-12-30T18:15:00"/>
    <m/>
    <m/>
    <d v="2025-05-25T00:00:00"/>
    <d v="1899-12-30T18:21:55"/>
    <s v="Burglary - Residence - 2C:18-2"/>
    <s v="Suspicious Person"/>
    <s v="Suspicious Incident"/>
    <s v="87 Troast Street, Hackensack, NJ, 07601"/>
    <s v="E2"/>
    <n v="5"/>
    <s v="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quot;looking for someone&quot;. The victim advised that his primary language is Spanish and that the suspects spoke to him in English. He further reported that he had asked the suspects to leave, at which time the main suspect told him &quot;Don't talk to me like that&quo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
    <m/>
    <m/>
    <m/>
    <m/>
    <m/>
    <m/>
    <m/>
    <m/>
    <m/>
    <m/>
    <s v="gretkowski_j"/>
    <s v="Complete"/>
    <s v="P.O. Micah Gibson 365"/>
    <s v="A4"/>
    <s v="Det. John Tanucilli 335"/>
    <s v="Active/Administratively Closed"/>
    <s v="220 = Burglary/Breaking &amp; Entering"/>
    <n v="9"/>
    <d v="2025-05-25T00:00:00"/>
    <d v="1899-12-30T18:15:00"/>
    <d v="1899-12-30T18:00:00"/>
    <s v="Evening Peak (16:00–19:59)"/>
    <s v="Troast Street, 0 Block"/>
    <x v="10"/>
    <s v="YTD"/>
    <d v="1899-12-30T18:15:00"/>
    <x v="19"/>
    <d v="1899-12-30T18:00:00"/>
    <m/>
    <x v="4"/>
    <x v="6"/>
    <s v="May"/>
    <n v="2025"/>
    <n v="22"/>
    <n v="5"/>
    <n v="25"/>
    <n v="145"/>
    <s v="Troast Street, 0 Block"/>
    <s v="87 Troast Street, Hackensack, NJ, 07601"/>
    <m/>
    <m/>
    <m/>
    <m/>
    <m/>
    <m/>
    <x v="4"/>
    <s v="Evening Peak (16:00–19:59)"/>
  </r>
  <r>
    <s v="25-043063"/>
    <d v="2025-04-27T00:00:00"/>
    <d v="1899-12-30T19:00:00"/>
    <d v="2025-05-25T00:00:00"/>
    <m/>
    <d v="2025-05-25T00:00:00"/>
    <d v="1899-12-30T19:23:00"/>
    <s v="Burglary - Residence - 2C:18-2"/>
    <m/>
    <m/>
    <s v="60 Kansas Street, Hackensack, NJ, 07601"/>
    <s v="E1"/>
    <n v="5"/>
    <s v="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quot;No&quot;.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
    <m/>
    <m/>
    <m/>
    <m/>
    <m/>
    <m/>
    <m/>
    <m/>
    <m/>
    <m/>
    <s v="gretkowski_j"/>
    <s v="Complete"/>
    <s v="P.O. Reuven Lyak 318"/>
    <s v="B1"/>
    <s v="Det. Gunther Lara-Nunez 351"/>
    <s v="Active/Administratively Closed"/>
    <s v="220 = Burglary/Breaking &amp; Entering"/>
    <n v="9"/>
    <d v="2025-04-27T00:00:00"/>
    <d v="1899-12-30T19:00:00"/>
    <d v="1899-12-30T19:00:00"/>
    <s v="Evening Peak (16:00–19:59)"/>
    <s v="Kansas Street, 0 Block"/>
    <x v="0"/>
    <s v="YTD"/>
    <d v="1899-12-30T19:00:00"/>
    <x v="20"/>
    <d v="1899-12-30T19:00:00"/>
    <m/>
    <x v="4"/>
    <x v="6"/>
    <s v="April"/>
    <n v="2025"/>
    <n v="18"/>
    <n v="5"/>
    <n v="27"/>
    <n v="117"/>
    <s v="Kansas Street, 0 Block"/>
    <s v="60 Kansas Street, Hackensack, NJ, 07601"/>
    <m/>
    <m/>
    <m/>
    <m/>
    <m/>
    <m/>
    <x v="4"/>
    <s v="Evening Peak (16:00–19:59)"/>
  </r>
  <r>
    <s v="25-043899"/>
    <d v="2025-05-23T00:00:00"/>
    <d v="1899-12-30T08:00:00"/>
    <d v="2025-05-23T00:00:00"/>
    <d v="1899-12-30T16:00:00"/>
    <d v="2025-05-28T00:00:00"/>
    <d v="1899-12-30T16:53:40"/>
    <s v="Burglary - Residence - 2C:18-2"/>
    <m/>
    <m/>
    <s v="160 River Street, Hackensack, NJ, 07601"/>
    <m/>
    <m/>
    <s v="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
    <m/>
    <m/>
    <m/>
    <m/>
    <m/>
    <m/>
    <m/>
    <m/>
    <m/>
    <m/>
    <s v="ghirardi_r"/>
    <s v="Complete"/>
    <s v="P.O. Kevin Small 328"/>
    <s v="B2"/>
    <s v="Det. Matthew Dogali 338"/>
    <s v="Active/Administratively Closed"/>
    <s v="220 = Burglary/Breaking &amp; Entering"/>
    <n v="9"/>
    <d v="2025-05-23T00:00:00"/>
    <d v="1899-12-30T08:00:00"/>
    <d v="1899-12-30T08:00:00"/>
    <s v="Morning Peak (08:00–11:59)"/>
    <s v="River Street, 100 Block"/>
    <x v="0"/>
    <s v="YTD"/>
    <d v="1899-12-30T08:00:00"/>
    <x v="21"/>
    <d v="1899-12-30T08:00:00"/>
    <m/>
    <x v="1"/>
    <x v="2"/>
    <s v="May"/>
    <n v="2025"/>
    <n v="21"/>
    <n v="4"/>
    <n v="23"/>
    <n v="143"/>
    <s v="River Street, 100 Block"/>
    <s v="160 River Street, Hackensack, NJ, 07601"/>
    <m/>
    <m/>
    <m/>
    <m/>
    <m/>
    <m/>
    <x v="1"/>
    <s v="Morning Peak (08:00–11:59)"/>
  </r>
  <r>
    <s v="25-050281"/>
    <d v="2025-06-18T00:00:00"/>
    <d v="1899-12-30T09:15:00"/>
    <d v="2025-06-18T00:00:00"/>
    <d v="1899-12-30T10:00:00"/>
    <d v="2025-06-18T00:00:00"/>
    <d v="1899-12-30T11:09:24"/>
    <s v="Burglary - Residence - 2C:18-2"/>
    <m/>
    <m/>
    <s v="259 Park Street, Hackensack, NJ, 07601"/>
    <s v="H2"/>
    <n v="8"/>
    <s v="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
    <m/>
    <m/>
    <m/>
    <m/>
    <m/>
    <m/>
    <m/>
    <m/>
    <m/>
    <m/>
    <s v="knapp_j"/>
    <s v="Complete"/>
    <s v="P.O. Micah Gibson 365"/>
    <s v="A4"/>
    <s v="Det. Matthew Dogali 338"/>
    <s v="Unfounded / Closed"/>
    <s v="220 = Burglary/Breaking &amp; Entering"/>
    <n v="9"/>
    <d v="2025-06-18T00:00:00"/>
    <d v="1899-12-30T09:15:00"/>
    <d v="1899-12-30T09:00:00"/>
    <s v="Morning Peak (08:00–11:59)"/>
    <s v="Park Street, 200 Block"/>
    <x v="0"/>
    <s v="YTD"/>
    <d v="1899-12-30T09:15:00"/>
    <x v="22"/>
    <d v="1899-12-30T09:00:00"/>
    <m/>
    <x v="1"/>
    <x v="3"/>
    <s v="June"/>
    <n v="2025"/>
    <n v="25"/>
    <n v="3"/>
    <n v="18"/>
    <n v="169"/>
    <s v="Park Street, 200 Block"/>
    <s v="259 Park Street, Hackensack, NJ, 07601"/>
    <m/>
    <m/>
    <m/>
    <m/>
    <m/>
    <m/>
    <x v="1"/>
    <s v="Morning Peak (08:00–11:59)"/>
  </r>
  <r>
    <s v="25-052908"/>
    <d v="2025-06-23T00:00:00"/>
    <d v="1899-12-30T08:00:00"/>
    <d v="2025-06-26T00:00:00"/>
    <d v="1899-12-30T19:00:00"/>
    <d v="2025-06-26T00:00:00"/>
    <d v="1899-12-30T20:57:00"/>
    <s v="Burglary - Residence - 2C:18-2"/>
    <s v="Theft - 2C:20-3"/>
    <m/>
    <s v="250 Main Street, Hackensack, NJ, 07601"/>
    <s v="H1"/>
    <n v="8"/>
    <s v="I responded to police headquarters on a report of a burglary to a resident.  Upon arrival,  I made contact with the victim, Santos De La Cruz, who stated that somebody stole his safe from his room.  The victim stated that the safe was on the floor next to his bed and he saw it last on Monday, June 23rd, 2025.  The victim then went back to his safe this evening (06/26/2025) at approximately 1900 hours to put some of his savings in there, when he noticed the safe was missing.  The safe had $2,000.00 cash, a gold necklace ($300.00), an engagement ring ($300.00), and a gold ring ($300.00).  The safe also has an approximate value of $200.00.  The total estimated proceeds that were taken is approximately $3,100.00.  The victim did not observe an signs of forced entry and stated that his bedroom door is always locked.  Furthermore, he advised that he is the only person that has access to his room keys.  The victim was given a copy of the victim notification form.  Lt. L. Dominguez was advised of the incident and he informed D/Sgt. P. Williams."/>
    <m/>
    <m/>
    <m/>
    <m/>
    <m/>
    <m/>
    <m/>
    <m/>
    <m/>
    <m/>
    <s v="Dominguez_l"/>
    <s v="Complete"/>
    <s v="P.O. Paula Lopez 362"/>
    <s v="A2"/>
    <s v="Det. Matthew Dogali 338"/>
    <s v="Active/Administratively Closed"/>
    <s v="220 = Burglary/Breaking &amp; Entering"/>
    <n v="9"/>
    <d v="2025-06-23T00:00:00"/>
    <d v="1899-12-30T08:00:00"/>
    <d v="1899-12-30T08:00:00"/>
    <s v="Morning Peak (08:00–11:59)"/>
    <s v="Main Street, 200 Block"/>
    <x v="11"/>
    <s v="YTD"/>
    <d v="1899-12-30T08:00:00"/>
    <x v="23"/>
    <d v="1899-12-30T08:00:00"/>
    <m/>
    <x v="1"/>
    <x v="4"/>
    <s v="June"/>
    <n v="2025"/>
    <n v="26"/>
    <n v="4"/>
    <n v="23"/>
    <n v="174"/>
    <s v="Main Street, 200 Block"/>
    <s v="250 Main Street, Hackensack, NJ, 07601"/>
    <m/>
    <m/>
    <m/>
    <m/>
    <m/>
    <m/>
    <x v="1"/>
    <s v="Morning Peak (08:00–11:59)"/>
  </r>
  <r>
    <s v="25-053161"/>
    <d v="2025-06-27T00:00:00"/>
    <d v="1899-12-30T14:18:09"/>
    <m/>
    <m/>
    <d v="2025-06-27T00:00:00"/>
    <d v="1899-12-30T14:18:09"/>
    <s v="Burglary - Residence - 2C:18-2"/>
    <m/>
    <m/>
    <s v="77 Prospect Avenue, Hackensack, NJ, 07601"/>
    <s v="G4"/>
    <n v="7"/>
    <s v="On June 27, 2025, I responded to 77 Prospect on a report of a residential burglary that occurred in the past.  The reported burglary may have occurred today between 1100 hours and 1300 hours.      Upon arrival there was no initial response at the door. I contacted headquarters and they advised that the victim was hard of hearing. The door was unsecured and  I was able to make contact with the victim.  check on the welfare of the victim.            The victim stated she went to take a nap in the living room, at approximately 1100 hours and woke up at approximately 1300 hours. Upon waking up she noticed her apartment was rummaged through and her belongings were all around her on the floor. She observed that $70 cash, some credit cards and food stamps were missing. The victim stated she did not hear anyone walk into her apartment, since she took off her hearing aid when talking her nap. She also states that the apartment door is always left unlocked. The victim contaminated the scene prior to my arrival. No cameras are located on that floor level.Sgt. Farhi was advised and DSGT. Tripodi followed up."/>
    <m/>
    <m/>
    <m/>
    <m/>
    <m/>
    <m/>
    <m/>
    <m/>
    <m/>
    <m/>
    <s v="peralta_k"/>
    <s v="Complete"/>
    <s v="P.O. Angie Tabares 363"/>
    <s v="A3"/>
    <s v="Sgt. Patrick Williams 143"/>
    <s v="Unfounded / Closed"/>
    <s v="220 = Burglary/Breaking &amp; Entering"/>
    <n v="9"/>
    <d v="2025-06-27T00:00:00"/>
    <d v="1899-12-30T14:18:09"/>
    <d v="1899-12-30T14:00:00"/>
    <s v="Afternoon (12:00–15:59)"/>
    <s v="Prospect Avenue, 0 Block"/>
    <x v="0"/>
    <s v="28-Day"/>
    <d v="1899-12-30T14:18:09"/>
    <x v="24"/>
    <d v="1899-12-30T14:00:00"/>
    <m/>
    <x v="0"/>
    <x v="2"/>
    <s v="June"/>
    <n v="2025"/>
    <n v="26"/>
    <n v="4"/>
    <n v="27"/>
    <n v="178"/>
    <s v="Prospect Avenue, 0 Block"/>
    <s v="77 Prospect Avenue, Hackensack, NJ, 07601"/>
    <m/>
    <m/>
    <m/>
    <m/>
    <m/>
    <m/>
    <x v="0"/>
    <s v="Afternoon (12:00–15:59)"/>
  </r>
  <r>
    <s v="25-054058"/>
    <d v="2025-06-30T00:00:00"/>
    <d v="1899-12-30T11:16:33"/>
    <m/>
    <m/>
    <d v="2025-06-30T00:00:00"/>
    <d v="1899-12-30T11:16:33"/>
    <s v="Burglary - Residence - 2C:18-2"/>
    <m/>
    <m/>
    <s v="100 Essex Street, Hackensack, NJ, 07601"/>
    <s v="G2"/>
    <n v="7"/>
    <s v="P.O. Lemanowicz and I responded to the listed location on a burglary.   Upon arriving, P.O. Lemanowicz and I spoke with the complainant.  The complainant stated that he left items locked inside apartment #9 on Friday 06/27/25 at around 1600, and when he returned Monday 06/30/25 at 0900, he found that he was missing a Levoit air filter ($120 value) and a replacement Levoit filter ($10 value).  The door was forced open and the interior frame of the door was damaged as well as the dead bolt.      Sgt. Briggs responded to the scene and was advised of the above.   Due to the fact that the crime scene was cleaned up and contaminated by the workers, this scene could not be processed by BCI.  A victim notification from was filled out and a copy was handed to the victim.      There are no suspects at this time.  Total value stolen is $130.00.Estimated damage to the door and lock is $500.00"/>
    <m/>
    <m/>
    <m/>
    <m/>
    <m/>
    <m/>
    <m/>
    <m/>
    <m/>
    <m/>
    <s v="tovbin_s"/>
    <s v="Complete"/>
    <s v="P.O. Ricardo Swaby 381"/>
    <s v="B4"/>
    <s v="Det. Matthew Dogali 338"/>
    <s v="Active Investigation"/>
    <s v="220 = Burglary/Breaking &amp; Entering"/>
    <n v="9"/>
    <d v="2025-06-30T00:00:00"/>
    <d v="1899-12-30T11:16:33"/>
    <d v="1899-12-30T11:00:00"/>
    <s v="Morning Peak (08:00–11:59)"/>
    <s v="Essex Street, 100 Block"/>
    <x v="0"/>
    <s v="28-Day"/>
    <d v="1899-12-30T11:16:33"/>
    <x v="25"/>
    <d v="1899-12-30T11:00:00"/>
    <m/>
    <x v="1"/>
    <x v="4"/>
    <s v="June"/>
    <n v="2025"/>
    <n v="27"/>
    <n v="5"/>
    <n v="30"/>
    <n v="181"/>
    <s v="Essex Street, 100 Block"/>
    <s v="100 Essex Street, Hackensack, NJ, 07601"/>
    <m/>
    <m/>
    <m/>
    <m/>
    <m/>
    <m/>
    <x v="1"/>
    <s v="Morning Peak (08:00–11:59)"/>
  </r>
  <r>
    <s v="25-054890"/>
    <d v="2025-07-02T00:00:00"/>
    <d v="1899-12-30T11:45:00"/>
    <d v="2025-07-02T00:00:00"/>
    <d v="1899-12-30T14:00:00"/>
    <d v="2025-07-02T00:00:00"/>
    <d v="1899-12-30T19:40:35"/>
    <s v="Burglary - Residence - 2C:18-2"/>
    <m/>
    <m/>
    <s v="175 Passaic Street, Hackensack, NJ, 07601"/>
    <s v="H3"/>
    <n v="8"/>
    <s v="On Wednesday, July 2, 2025, I responded to a reported burglary at the specified residence. Upon arrival, I spoke with the victim, Angela Washington, who stated that her 18-carat gold necklace ($500) and 18-carat gold ball earrings ($250) were missing from the shelf in her bathroom.     The victim reported that earlier today, at approximately 10:45 a.m., she left her residence for a hair appointment in Paterson, NJ, and left the jewelry on the top shelf in the bathroom. She also reported that she ensured both locks on the front door entrance to the apartment were locked when she left. She further reported that she returned to her apartment between 1400 hours and 1430 hours, and upon arrival, she noticed that the top lock was unlocked, but the bottom lock appeared to be secured.      The victim, Angela Washington, reported that when she entered the apartment, she made her way into the bathroom and noticed that the pieces of jewelry were missing. She further reported that nothing else in the apartment appeared to be out of place or missing. I requested a supervisor and Sgt. Donnerstag responded to assist. It should be noted that when we asked the victim why she waited four hours to report the incident, she replied that she cleaned and checked the apartment to make sure she had not misplaced the pieces of jewelry. I completed a victim notification form and provided a copy to the victim. Detective, Sgt. Tripodi was notified."/>
    <m/>
    <m/>
    <m/>
    <m/>
    <m/>
    <m/>
    <m/>
    <m/>
    <m/>
    <m/>
    <s v="ghirardi_r"/>
    <s v="Complete"/>
    <s v="P.O. Forrod Bonsu 353"/>
    <s v="B1"/>
    <s v="Sgt. Francesco Tripodi 134"/>
    <s v="Active/Administratively Closed"/>
    <m/>
    <n v="9"/>
    <d v="2025-07-02T00:00:00"/>
    <d v="1899-12-30T11:45:00"/>
    <d v="1899-12-30T11:00:00"/>
    <s v="Morning Peak (08:00–11:59)"/>
    <s v="Passaic Street, 100 Block"/>
    <x v="0"/>
    <s v="28-Day"/>
    <d v="1899-12-30T11:45:00"/>
    <x v="26"/>
    <d v="1899-12-30T11:00:00"/>
    <m/>
    <x v="1"/>
    <x v="3"/>
    <s v="July"/>
    <n v="2025"/>
    <n v="27"/>
    <n v="1"/>
    <n v="2"/>
    <n v="183"/>
    <s v="Passaic Street, 100 Block"/>
    <s v="175 Passaic Street, Hackensack, NJ, 07601"/>
    <m/>
    <m/>
    <m/>
    <m/>
    <m/>
    <m/>
    <x v="1"/>
    <s v="Morning Peak (08:00–11:59)"/>
  </r>
  <r>
    <s v="25-055122"/>
    <d v="2025-06-27T00:00:00"/>
    <d v="1899-12-30T09:30:00"/>
    <d v="2025-07-01T00:00:00"/>
    <d v="1899-12-30T18:00:00"/>
    <d v="2025-07-03T00:00:00"/>
    <d v="1899-12-30T10:21:39"/>
    <s v="Burglary - Commercial - 2C:18-2"/>
    <s v="Theft - 2C:20-3"/>
    <m/>
    <s v="400  Hackensack Avenue, Hackensack, NJ, 07601"/>
    <s v="I6"/>
    <n v="9"/>
    <s v="On 7/3/25 P.O. I. Papanikolaou and I responded to 400 Hackensack Avenue, the Shops at Riverside, on a burglary.     Upon arrival, I met with the complainant, Connie Rexach, and her employee, Mason Bullock. The complainant was the Manager of Divinity Cleaning Service. Divinity Cleaning Service was a company who had a contract, for approximately 2 years, with the Cheesecake Factory.     The complainant stated between 6/27/25 at approximately 09:30 hours and 7/1/25 at approximately 18:00 hours an unknown suspect(s) stole equipment from the Cheesecake Factory Mechanical Room. The Cheesecake Factory Mechanical Room entry door was located outside on the south side of the Shops at Riverside. The complainant reported the Cheesecake Factory Mechanical Room door was locked, but it doesn't properly secure and could be forced open with pressure. The stolen equipment were as follows:A side by side floor machine, unknown serial number and unknown brand. Estimated value was approximately $850.00.A five pound bucket of stone polish paste valued at $480.Total value of stolen equipment was $1,330.00.   The complainant stated the Shops at Riverside Security Department was notified and advised of the incident.    Upon inspecting the Cheesecake Factory Mechanical Room no signs of forced entry / damage were observed. Additionally since 7/1/25 multiple people possibly made entry into the room, which contaminated any possible service area for fingerprints.    A supervisor was requested and Sgt. Competiello responded. The Detective Bureau was notified by Sgt. Competiello and Det. Sgt. Williams was advised of the incident.    A New Jersey Victim Notification Form was completed. The complainant reported if the suspect(s) are identified Divinity Cleaning Service would pursue a criminal case."/>
    <m/>
    <m/>
    <m/>
    <m/>
    <m/>
    <m/>
    <m/>
    <m/>
    <m/>
    <m/>
    <s v="knapp_j"/>
    <s v="Complete"/>
    <s v="P.O. Jann Aberde 386"/>
    <s v="A1"/>
    <s v="Det. Demetrius Carroll 133"/>
    <s v="Active Investigation"/>
    <m/>
    <n v="9"/>
    <d v="2025-06-27T00:00:00"/>
    <d v="1899-12-30T09:30:00"/>
    <d v="1899-12-30T09:00:00"/>
    <s v="Morning Peak (08:00–11:59)"/>
    <s v="Hackensack Avenue, 400 Block"/>
    <x v="12"/>
    <s v="28-Day"/>
    <d v="1899-12-30T09:30:00"/>
    <x v="24"/>
    <d v="1899-12-30T09:00:00"/>
    <m/>
    <x v="1"/>
    <x v="2"/>
    <s v="June"/>
    <n v="2025"/>
    <n v="26"/>
    <n v="4"/>
    <n v="27"/>
    <n v="178"/>
    <s v="Hackensack Avenue, 400 Block"/>
    <s v="400  Hackensack Avenue, Hackensack, NJ, 07601"/>
    <m/>
    <m/>
    <m/>
    <m/>
    <m/>
    <m/>
    <x v="1"/>
    <s v="Morning Peak (08:00–11:59)"/>
  </r>
  <r>
    <s v="25-056999"/>
    <d v="2025-07-08T00:00:00"/>
    <d v="1899-12-30T19:45:00"/>
    <m/>
    <m/>
    <d v="2025-07-09T00:00:00"/>
    <d v="1899-12-30T12:10:00"/>
    <s v="Burglary - Residence - 2C:18-2"/>
    <m/>
    <m/>
    <s v="240 First Street, Hackensack, NJ, 07601"/>
    <s v="H3"/>
    <n v="8"/>
    <s v="On Wednesday, July 9th, 2025 I responded to Headquarters on a walk in report of a burglary to residence. Upon arrival, I met with the victim who stated that on 07/08/25 at 1945 hours, his room was vacant and locked while he was at work. When he returned at 07/09/25 at 0010 hours, his door was opened and his room was ransacked.     The victim stated that he looked around his room and realized his PlayStation 5 Disk Console Version was missing along with the headset and HDMI cord. He also noticed that $375.00 cash was missing from his drawer and 3 debit cards (which he canceled). The victim contaminated the scene while looking through his belongings making it unable to be processed. Items stolen:PlayStation 5 Disk Version Console valued at: $929.99$375.00 cash                                                                   Total amount stolen: $1,304.99    The victim believes that Fred Brown is the suspect. The victim is helping out Fred Brown's wife, Natalya Brown, while she is having relationship issues with her husband. Earlier in the night on 07/08/2025, there was an incident involving a violation of a temporary restraining order where Natalya Brown was arrested. I responded to 240 First Street earlier this shift and became familiar with the situation. See OCA 25-056896 for further details. The victim stated that the suspect snatched his room key out of Ms. Brown's hand while he was on scene earlier in the day.     The victim believes that the suspect is jealous and upset that his wife is currently living with another man while the restraining order is in place. He believes that the suspect is retaliating against him and that's his motive for entering his apartment and stealing numerous items. After the completion of this report, I responded to 240 First Street Room 1 and observed no signs of forced entry to the door. Lt. L. Dominguez was advised. A New Jersey Victim Notification Form was completed."/>
    <m/>
    <m/>
    <m/>
    <m/>
    <m/>
    <m/>
    <m/>
    <m/>
    <m/>
    <m/>
    <s v="Dominguez_l"/>
    <s v="Complete"/>
    <s v="P.O. Angelo Vicale 370"/>
    <s v="B3"/>
    <s v="Det. John Mora 257"/>
    <s v="Active Investigation"/>
    <m/>
    <n v="9"/>
    <d v="2025-07-08T00:00:00"/>
    <d v="1899-12-30T19:45:00"/>
    <d v="1899-12-30T19:00:00"/>
    <s v="Evening Peak (16:00–19:59)"/>
    <s v="First Street, 200 Block"/>
    <x v="0"/>
    <s v="28-Day"/>
    <d v="1899-12-30T19:45:00"/>
    <x v="27"/>
    <d v="1899-12-30T19:00:00"/>
    <m/>
    <x v="4"/>
    <x v="5"/>
    <s v="July"/>
    <n v="2025"/>
    <n v="28"/>
    <n v="2"/>
    <n v="8"/>
    <n v="189"/>
    <s v="First Street, 200 Block"/>
    <s v="240 First Street, Hackensack, NJ, 07601"/>
    <m/>
    <m/>
    <m/>
    <m/>
    <m/>
    <m/>
    <x v="4"/>
    <s v="Evening Peak (16:00–19:59)"/>
  </r>
  <r>
    <s v="25-058451"/>
    <d v="2025-07-13T00:00:00"/>
    <d v="1899-12-30T13:18:19"/>
    <m/>
    <m/>
    <d v="2025-07-13T00:00:00"/>
    <d v="1899-12-30T13:18:19"/>
    <s v="Burglary - Residence - 2C:18-2"/>
    <m/>
    <m/>
    <s v="210 Main Street, Hackensack, NJ, 07601"/>
    <s v="H1"/>
    <n v="8"/>
    <s v="I responded to the listed location on a reported burglary into a storage unit. Upon arrival, I met with victim (Mrs. Marjan Moussavian) and her husband (Mr. Derrick Forrest). Mrs. Moussavian reported that during the morning hours on 07/04/2025, they locked their storage unit (#19), located in the basement of the building. Upon their return on 07/13/2025 at 0800 hours, they discovered the lock to the storage unit pushed up, and the unit was visibly accessed by an unknown person(s). Stolen out of the unit were (8) liquor bottles, valued at approximately ($200.00) and (4) sneakers, each valued at ($250.00). Total value stolen ($1,200.00). It should be noted that two liquor bottles were located by Mrs. Moussavian inside the unit were opened and used by the suspect(s). Bottles and storage unit are unable to be processed at this time. I did not observe any surveillance cameras in the area of the storage unit and the hallway leading to the unit. Sgt. Competiello was advised and responded. A victim notification form was completed and a copy was given to the victim. See OCA 25-058479 for a follow up incident."/>
    <n v="1200"/>
    <m/>
    <m/>
    <m/>
    <m/>
    <m/>
    <m/>
    <m/>
    <m/>
    <m/>
    <s v="knapp_j"/>
    <s v="Complete"/>
    <s v="P.O. Nart Marza 321"/>
    <s v="A1"/>
    <s v="Det. Gunther Lara-Nunez 351"/>
    <s v="Active Investigation"/>
    <m/>
    <n v="9"/>
    <d v="2025-07-13T00:00:00"/>
    <d v="1899-12-30T13:18:19"/>
    <d v="1899-12-30T13:00:00"/>
    <s v="Afternoon (12:00–15:59)"/>
    <s v="Main Street, 200 Block"/>
    <x v="0"/>
    <s v="28-Day"/>
    <d v="1899-12-30T13:18:19"/>
    <x v="28"/>
    <d v="1899-12-30T13:00:00"/>
    <m/>
    <x v="0"/>
    <x v="6"/>
    <s v="July"/>
    <n v="2025"/>
    <n v="29"/>
    <n v="3"/>
    <n v="13"/>
    <n v="194"/>
    <s v="Main Street, 200 Block"/>
    <s v="210 Main Street, Hackensack, NJ, 07601"/>
    <m/>
    <m/>
    <m/>
    <m/>
    <n v="1200"/>
    <m/>
    <x v="0"/>
    <s v="Afternoon (12:00–15:59)"/>
  </r>
  <r>
    <s v="25-058479"/>
    <d v="2025-07-13T00:00:00"/>
    <d v="1899-12-30T12:30:00"/>
    <m/>
    <d v="1899-12-30T13:30:00"/>
    <d v="2025-07-13T00:00:00"/>
    <d v="1899-12-30T15:48:24"/>
    <s v="Burglary - Residence - 2C:18-2"/>
    <m/>
    <m/>
    <s v="210 Main Street, Hackensack, NJ, 07601"/>
    <s v="H1"/>
    <n v="8"/>
    <s v="On 7/13/25 P.O. Rivera and I responded to 210 Main Street on a burglary call.   Upon arrival, I met with the victim, Marjan Moussavian, who stated that she realized items were stolen from her storage locker unit 19. She stated that the burglary approximately took place between 1230 hrs and 1330 hrs 7/13/25. The victim stated that she reported a separate burglary of the same storage locker earlier in the day. She began to empty the storage locker due to the broken latch, and drove her items another storage location. She left an ice machine and a HP monitor behind. When she returned to her storage locker at 1330, the ice machine and HP monitor were gone. She believes that someone unrelated to the first burglary took the items from her storage locker. There are cameras in the exterior and interior of the building that may have captured the incident. There were no staff members present to allow access to the cameras at the time of this report. Items stolen were as follows: a ice machine approximately valued at $500, and a HP monitor approximately valued at $300.A victim notification form was completed and provided to the victim. While on scene, Detectives requested we gather the evidence from the initial burglary. Reference case number 25-058451 for further information."/>
    <m/>
    <m/>
    <m/>
    <m/>
    <m/>
    <m/>
    <m/>
    <m/>
    <m/>
    <m/>
    <s v="knapp_j"/>
    <s v="Complete"/>
    <s v="P.O. Jann Aberde 386"/>
    <s v="A1"/>
    <s v="Det. Gunther Lara-Nunez 351"/>
    <s v="Active Investigation"/>
    <m/>
    <n v="9"/>
    <d v="2025-07-13T00:00:00"/>
    <d v="1899-12-30T12:30:00"/>
    <d v="1899-12-30T12:00:00"/>
    <s v="Afternoon (12:00–15:59)"/>
    <s v="Main Street, 200 Block"/>
    <x v="0"/>
    <s v="28-Day"/>
    <d v="1899-12-30T12:30:00"/>
    <x v="28"/>
    <d v="1899-12-30T12:00:00"/>
    <m/>
    <x v="0"/>
    <x v="6"/>
    <s v="July"/>
    <n v="2025"/>
    <n v="29"/>
    <n v="3"/>
    <n v="13"/>
    <n v="194"/>
    <s v="Main Street, 200 Block"/>
    <s v="210 Main Street, Hackensack, NJ, 07601"/>
    <m/>
    <m/>
    <m/>
    <m/>
    <m/>
    <m/>
    <x v="0"/>
    <s v="Afternoon (12:00–15:59)"/>
  </r>
  <r>
    <s v="25-061119"/>
    <d v="2025-07-21T00:00:00"/>
    <d v="1899-12-30T12:45:00"/>
    <d v="2025-07-21T00:00:00"/>
    <d v="1899-12-30T16:23:00"/>
    <d v="2025-07-21T00:00:00"/>
    <d v="1899-12-30T18:35:31"/>
    <s v="Burglary - Residence - 2C:18-2"/>
    <s v="Motor Vehicle Theft - 2C:20-3"/>
    <s v="Criminal Mischief - 2C:17-3"/>
    <s v="33 Oak Street, Hackensack, NJ, 07601"/>
    <s v="I4"/>
    <n v="9"/>
    <s v="Suspect 1: Black male, approximately 20-30 y.o.a., approximately 5'8&quot; and 150 lbs, wearing gray hooded sweatshirt, gray sweatpants, black shoes, and black mask.       Suspect 2: Black male, approximately 20-30 y.o.a., approximately 5'8&quot; and 150 lbs, wearing black hooded sweatshirt, black sweatpants, and black mask.     On 07/21/25, I responded to 33 Oak Street Apt. 1 on a report of a burglary to residence and motor vehicle theft. Upon arrival I met with the victim who had stated he arrived home at approximately 18:30 hours. The victim stated he observed the front door breached open. The victim then noticed his Lamborghini Huracan vehicle key missing. Victim entered the home garage and observed the vehicle missing. The Lamborghini cost approximately $400,000. His second vehicle, a black Mercedes-Benz G63 bearing NJ-G15VSH, was in the garage; however, suspects attempted to take as well. The victim further stated suspects entered his home and took his 'Rolex' that cost approximately $15,000. and his 'Audeman Piguet' that cost approximately $32,000.      The total monetary lost value was $447,000.00. Sgt. Farhi responded to assist. Detectives and Bergen County BCI were notified. Det. Scarpa arrived to asssist. BCI Det. Charlenea arrived to assist.      Sgt. Farhi, Det. Scarpa, Det. Charlenea, Det. , and I walked through the residence along with the victim. The scene was turned over to BCI who took photographs and collected fingerprints.      A New Jersey Victim Notification Form was completed. A copy was explained and given to the victim. A Hackensack Police Department Consent to Search Vehicle Form was completed. The stolen vehicle was entered into the Auto Theft Task Force."/>
    <m/>
    <m/>
    <s v="P26RLZ"/>
    <s v="Lamborguini"/>
    <s v="Huracan"/>
    <s v="NJ"/>
    <s v="G15VSH"/>
    <s v="NJ"/>
    <s v="Mercedes-Benz"/>
    <s v="G63"/>
    <m/>
    <s v="Complete"/>
    <s v="P.O. Juda DeOliveira 376"/>
    <s v="A4"/>
    <m/>
    <m/>
    <m/>
    <n v="9"/>
    <d v="2025-07-21T00:00:00"/>
    <d v="1899-12-30T12:45:00"/>
    <d v="1899-12-30T12:00:00"/>
    <s v="Afternoon (12:00–15:59)"/>
    <s v="Oak Street, 0 Block"/>
    <x v="13"/>
    <s v="7-Day"/>
    <d v="1899-12-30T12:45:00"/>
    <x v="29"/>
    <d v="1899-12-30T12:00:00"/>
    <m/>
    <x v="0"/>
    <x v="4"/>
    <s v="July"/>
    <n v="2025"/>
    <n v="30"/>
    <n v="4"/>
    <n v="21"/>
    <n v="202"/>
    <s v="Oak Street, 0 Block"/>
    <s v="33 Oak Street, Hackensack, NJ, 07601"/>
    <m/>
    <m/>
    <s v="Lamborguini Huracan"/>
    <m/>
    <m/>
    <m/>
    <x v="0"/>
    <s v="Afternoon (12:00–15: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7087B8-6125-4CD8-B97F-E1ED7A7434D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T4:AV8" firstHeaderRow="1" firstDataRow="2" firstDataCol="1" rowPageCount="1" colPageCount="1"/>
  <pivotFields count="4">
    <pivotField axis="axisRow" allDrilled="1" subtotalTop="0" showAll="0" nonAutoSortDefault="1" defaultSubtotal="0" defaultAttributeDrillState="1">
      <items count="2">
        <item x="0"/>
        <item x="1"/>
      </items>
    </pivotField>
    <pivotField axis="axisCol" allDrilled="1" subtotalTop="0" showAll="0" defaultSubtotal="0" defaultAttributeDrillState="1">
      <items count="2">
        <item s="1" x="0"/>
        <item x="1"/>
      </items>
    </pivotField>
    <pivotField dataField="1" subtotalTop="0" showAll="0" defaultSubtotal="0"/>
    <pivotField axis="axisPage" allDrilled="1" subtotalTop="0" showAll="0" dataSourceSort="1" defaultSubtotal="0" defaultAttributeDrillState="1"/>
  </pivotFields>
  <rowFields count="1">
    <field x="0"/>
  </rowFields>
  <rowItems count="3">
    <i>
      <x/>
    </i>
    <i>
      <x v="1"/>
    </i>
    <i t="grand">
      <x/>
    </i>
  </rowItems>
  <colFields count="1">
    <field x="1"/>
  </colFields>
  <colItems count="2">
    <i>
      <x/>
    </i>
    <i t="grand">
      <x/>
    </i>
  </colItems>
  <pageFields count="1">
    <pageField fld="3" hier="30" name="[All_Crimes].[ALL_INCIDENTS].&amp;[Sexual Assault - 2C:14-2b]" cap="Sexual Assault - 2C:14-2b"/>
  </pageFields>
  <dataFields count="1">
    <dataField name="Count of Case Number" fld="2" subtotal="count" baseField="0" baseItem="0"/>
  </dataFields>
  <formats count="40">
    <format dxfId="677">
      <pivotArea type="all" dataOnly="0" outline="0" fieldPosition="0"/>
    </format>
    <format dxfId="676">
      <pivotArea outline="0" collapsedLevelsAreSubtotals="1" fieldPosition="0"/>
    </format>
    <format dxfId="675">
      <pivotArea type="origin" dataOnly="0" labelOnly="1" outline="0" fieldPosition="0"/>
    </format>
    <format dxfId="674">
      <pivotArea field="1" type="button" dataOnly="0" labelOnly="1" outline="0" axis="axisCol" fieldPosition="0"/>
    </format>
    <format dxfId="673">
      <pivotArea type="topRight" dataOnly="0" labelOnly="1" outline="0" fieldPosition="0"/>
    </format>
    <format dxfId="672">
      <pivotArea field="0" type="button" dataOnly="0" labelOnly="1" outline="0" axis="axisRow" fieldPosition="0"/>
    </format>
    <format dxfId="671">
      <pivotArea dataOnly="0" labelOnly="1" fieldPosition="0">
        <references count="1">
          <reference field="0" count="0"/>
        </references>
      </pivotArea>
    </format>
    <format dxfId="670">
      <pivotArea dataOnly="0" labelOnly="1" grandRow="1" outline="0" fieldPosition="0"/>
    </format>
    <format dxfId="669">
      <pivotArea dataOnly="0" labelOnly="1" fieldPosition="0">
        <references count="1">
          <reference field="1" count="2">
            <x v="0"/>
            <x v="1048832"/>
          </reference>
        </references>
      </pivotArea>
    </format>
    <format dxfId="668">
      <pivotArea dataOnly="0" labelOnly="1" grandCol="1" outline="0" fieldPosition="0"/>
    </format>
    <format dxfId="667">
      <pivotArea type="all" dataOnly="0" outline="0" fieldPosition="0"/>
    </format>
    <format dxfId="666">
      <pivotArea outline="0" collapsedLevelsAreSubtotals="1" fieldPosition="0"/>
    </format>
    <format dxfId="665">
      <pivotArea type="origin" dataOnly="0" labelOnly="1" outline="0" fieldPosition="0"/>
    </format>
    <format dxfId="664">
      <pivotArea field="1" type="button" dataOnly="0" labelOnly="1" outline="0" axis="axisCol" fieldPosition="0"/>
    </format>
    <format dxfId="663">
      <pivotArea type="topRight" dataOnly="0" labelOnly="1" outline="0" fieldPosition="0"/>
    </format>
    <format dxfId="662">
      <pivotArea field="0" type="button" dataOnly="0" labelOnly="1" outline="0" axis="axisRow" fieldPosition="0"/>
    </format>
    <format dxfId="661">
      <pivotArea dataOnly="0" labelOnly="1" fieldPosition="0">
        <references count="1">
          <reference field="0" count="0"/>
        </references>
      </pivotArea>
    </format>
    <format dxfId="660">
      <pivotArea dataOnly="0" labelOnly="1" grandRow="1" outline="0" fieldPosition="0"/>
    </format>
    <format dxfId="659">
      <pivotArea dataOnly="0" labelOnly="1" fieldPosition="0">
        <references count="1">
          <reference field="1" count="2">
            <x v="0"/>
            <x v="1048832"/>
          </reference>
        </references>
      </pivotArea>
    </format>
    <format dxfId="658">
      <pivotArea dataOnly="0" labelOnly="1" grandCol="1" outline="0" fieldPosition="0"/>
    </format>
    <format dxfId="657">
      <pivotArea type="all" dataOnly="0" outline="0" fieldPosition="0"/>
    </format>
    <format dxfId="656">
      <pivotArea outline="0" collapsedLevelsAreSubtotals="1" fieldPosition="0"/>
    </format>
    <format dxfId="655">
      <pivotArea type="origin" dataOnly="0" labelOnly="1" outline="0" fieldPosition="0"/>
    </format>
    <format dxfId="654">
      <pivotArea field="1" type="button" dataOnly="0" labelOnly="1" outline="0" axis="axisCol" fieldPosition="0"/>
    </format>
    <format dxfId="653">
      <pivotArea type="topRight" dataOnly="0" labelOnly="1" outline="0" fieldPosition="0"/>
    </format>
    <format dxfId="652">
      <pivotArea field="0" type="button" dataOnly="0" labelOnly="1" outline="0" axis="axisRow" fieldPosition="0"/>
    </format>
    <format dxfId="651">
      <pivotArea dataOnly="0" labelOnly="1" fieldPosition="0">
        <references count="1">
          <reference field="0" count="0"/>
        </references>
      </pivotArea>
    </format>
    <format dxfId="650">
      <pivotArea dataOnly="0" labelOnly="1" grandRow="1" outline="0" fieldPosition="0"/>
    </format>
    <format dxfId="649">
      <pivotArea dataOnly="0" labelOnly="1" fieldPosition="0">
        <references count="1">
          <reference field="1" count="2">
            <x v="0"/>
            <x v="1048832"/>
          </reference>
        </references>
      </pivotArea>
    </format>
    <format dxfId="648">
      <pivotArea dataOnly="0" labelOnly="1" grandCol="1" outline="0" fieldPosition="0"/>
    </format>
    <format dxfId="647">
      <pivotArea type="all" dataOnly="0" outline="0" fieldPosition="0"/>
    </format>
    <format dxfId="646">
      <pivotArea outline="0" collapsedLevelsAreSubtotals="1" fieldPosition="0"/>
    </format>
    <format dxfId="645">
      <pivotArea type="origin" dataOnly="0" labelOnly="1" outline="0" fieldPosition="0"/>
    </format>
    <format dxfId="644">
      <pivotArea field="1" type="button" dataOnly="0" labelOnly="1" outline="0" axis="axisCol" fieldPosition="0"/>
    </format>
    <format dxfId="643">
      <pivotArea type="topRight" dataOnly="0" labelOnly="1" outline="0" fieldPosition="0"/>
    </format>
    <format dxfId="642">
      <pivotArea field="0" type="button" dataOnly="0" labelOnly="1" outline="0" axis="axisRow" fieldPosition="0"/>
    </format>
    <format dxfId="641">
      <pivotArea dataOnly="0" labelOnly="1" fieldPosition="0">
        <references count="1">
          <reference field="0" count="0"/>
        </references>
      </pivotArea>
    </format>
    <format dxfId="640">
      <pivotArea dataOnly="0" labelOnly="1" grandRow="1" outline="0" fieldPosition="0"/>
    </format>
    <format dxfId="639">
      <pivotArea dataOnly="0" labelOnly="1" fieldPosition="0">
        <references count="1">
          <reference field="1" count="2">
            <x v="0"/>
            <x v="1048832"/>
          </reference>
        </references>
      </pivotArea>
    </format>
    <format dxfId="638">
      <pivotArea dataOnly="0" labelOnly="1" grandCol="1" outline="0" fieldPosition="0"/>
    </format>
  </formats>
  <chartFormats count="8">
    <chartFormat chart="0" format="0" series="1">
      <pivotArea type="data" outline="0" fieldPosition="0">
        <references count="2">
          <reference field="4294967294" count="1" selected="0">
            <x v="0"/>
          </reference>
          <reference field="1" count="1" selected="0">
            <x v="1048832"/>
          </reference>
        </references>
      </pivotArea>
    </chartFormat>
    <chartFormat chart="0" format="1" series="1">
      <pivotArea type="data" outline="0" fieldPosition="0">
        <references count="2">
          <reference field="4294967294" count="1" selected="0">
            <x v="0"/>
          </reference>
          <reference field="1" count="1" selected="0">
            <x v="1048832"/>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29" format="4" series="1">
      <pivotArea type="data" outline="0" fieldPosition="0">
        <references count="2">
          <reference field="4294967294" count="1" selected="0">
            <x v="0"/>
          </reference>
          <reference field="1" count="1" selected="0">
            <x v="1048832"/>
          </reference>
        </references>
      </pivotArea>
    </chartFormat>
    <chartFormat chart="29" format="5" series="1">
      <pivotArea type="data" outline="0" fieldPosition="0">
        <references count="2">
          <reference field="4294967294" count="1" selected="0">
            <x v="0"/>
          </reference>
          <reference field="1" count="1" selected="0">
            <x v="0"/>
          </reference>
        </references>
      </pivotArea>
    </chartFormat>
    <chartFormat chart="30" format="6" series="1">
      <pivotArea type="data" outline="0" fieldPosition="0">
        <references count="2">
          <reference field="4294967294" count="1" selected="0">
            <x v="0"/>
          </reference>
          <reference field="1" count="1" selected="0">
            <x v="1048832"/>
          </reference>
        </references>
      </pivotArea>
    </chartFormat>
    <chartFormat chart="30" format="7" series="1">
      <pivotArea type="data" outline="0" fieldPosition="0">
        <references count="2">
          <reference field="4294967294" count="1" selected="0">
            <x v="0"/>
          </reference>
          <reference field="1"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All_Crimes].[ALL_INCIDENTS].&amp;[Sexual Assault - 2C:14-2b]"/>
        <member name="[All_Crimes].[ALL_INCIDENTS].&amp;[Criminal Sexual Contact - 2C:14-3a]"/>
        <member name="[All_Crimes].[ALL_INCIDENTS].&amp;[Sexual Assault - 2C:14-2b - Juvenile Investigation]"/>
        <member name="[All_Crimes].[ALL_INCIDENTS].&amp;[Exceptionally Cleared/Closed - Sexual Assault - 2C:14-2b]"/>
        <member name="[All_Crimes].[ALL_INCIDENTS].&amp;[Criminal Sexual Contact - 2C:14-3a - Juvenile Investigation]"/>
        <member name="[All_Crimes].[ALL_INCIDENTS].&amp;[Mental Health Incident - Sexual Assault - 2C:14-2b - Juvenile Investiga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ime_SCRPA_Master_2.0.xlsm!All_Crimes">
        <x15:activeTabTopLevelEntity name="[All_Crim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6E7B34-5BE9-45D9-B5AA-94F35B1E7608}" name="PivotTable7"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m="1" x="7"/>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v="1"/>
    </i>
    <i>
      <x v="2"/>
    </i>
    <i>
      <x v="3"/>
    </i>
    <i>
      <x v="4"/>
    </i>
    <i>
      <x v="5"/>
    </i>
    <i>
      <x v="6"/>
    </i>
    <i>
      <x v="7"/>
    </i>
  </colItems>
  <pageFields count="2">
    <pageField fld="40" hier="-1"/>
    <pageField fld="37" hier="-1"/>
  </pageFields>
  <dataFields count="1">
    <dataField name="Count of Case Number" fld="0" subtotal="count" baseField="0" baseItem="0"/>
  </dataFields>
  <formats count="21">
    <format dxfId="194">
      <pivotArea type="all" dataOnly="0" outline="0" fieldPosition="0"/>
    </format>
    <format dxfId="193">
      <pivotArea outline="0" collapsedLevelsAreSubtotals="1" fieldPosition="0"/>
    </format>
    <format dxfId="192">
      <pivotArea type="origin" dataOnly="0" labelOnly="1" outline="0" fieldPosition="0"/>
    </format>
    <format dxfId="191">
      <pivotArea field="44" type="button" dataOnly="0" labelOnly="1" outline="0" axis="axisCol" fieldPosition="0"/>
    </format>
    <format dxfId="190">
      <pivotArea type="topRight" dataOnly="0" labelOnly="1" outline="0" fieldPosition="0"/>
    </format>
    <format dxfId="189">
      <pivotArea field="43" type="button" dataOnly="0" labelOnly="1" outline="0"/>
    </format>
    <format dxfId="188">
      <pivotArea dataOnly="0" labelOnly="1" outline="0" fieldPosition="0">
        <references count="1">
          <reference field="44" count="0"/>
        </references>
      </pivotArea>
    </format>
    <format dxfId="187">
      <pivotArea type="all" dataOnly="0" outline="0" fieldPosition="0"/>
    </format>
    <format dxfId="186">
      <pivotArea outline="0" collapsedLevelsAreSubtotals="1" fieldPosition="0"/>
    </format>
    <format dxfId="185">
      <pivotArea type="topRight" dataOnly="0" labelOnly="1" outline="0" fieldPosition="0"/>
    </format>
    <format dxfId="184">
      <pivotArea field="43" type="button" dataOnly="0" labelOnly="1" outline="0"/>
    </format>
    <format dxfId="183">
      <pivotArea dataOnly="0" labelOnly="1" outline="0" fieldPosition="0">
        <references count="1">
          <reference field="44" count="0"/>
        </references>
      </pivotArea>
    </format>
    <format dxfId="182">
      <pivotArea field="43" type="button" dataOnly="0" labelOnly="1" outline="0"/>
    </format>
    <format dxfId="181">
      <pivotArea field="43" type="button" dataOnly="0" labelOnly="1" outline="0"/>
    </format>
    <format dxfId="180">
      <pivotArea field="59" type="button" dataOnly="0" labelOnly="1" outline="0" axis="axisRow" fieldPosition="0"/>
    </format>
    <format dxfId="179">
      <pivotArea type="origin" dataOnly="0" labelOnly="1" outline="0" fieldPosition="0"/>
    </format>
    <format dxfId="178">
      <pivotArea field="44" type="button" dataOnly="0" labelOnly="1" outline="0" axis="axisCol" fieldPosition="0"/>
    </format>
    <format dxfId="177">
      <pivotArea type="origin" dataOnly="0" labelOnly="1" outline="0" fieldPosition="0"/>
    </format>
    <format dxfId="176">
      <pivotArea field="44" type="button" dataOnly="0" labelOnly="1" outline="0" axis="axisCol" fieldPosition="0"/>
    </format>
    <format dxfId="175">
      <pivotArea field="59" type="button" dataOnly="0" labelOnly="1" outline="0" axis="axisRow" fieldPosition="0"/>
    </format>
    <format dxfId="174">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788DC1-DBFF-40DC-BB85-7B22BF6E533A}"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6:D29"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multipleItemSelectionAllowed="1" showAll="0">
      <items count="31">
        <item h="1" x="0"/>
        <item h="1" x="1"/>
        <item h="1" x="2"/>
        <item h="1" x="3"/>
        <item h="1" x="4"/>
        <item h="1" x="5"/>
        <item x="6"/>
        <item x="7"/>
        <item x="8"/>
        <item h="1" x="9"/>
        <item h="1" x="10"/>
        <item h="1" x="11"/>
        <item h="1" x="12"/>
        <item h="1" x="13"/>
        <item h="1" x="14"/>
        <item h="1" x="15"/>
        <item h="1" x="16"/>
        <item h="1" x="17"/>
        <item h="1" x="18"/>
        <item h="1" x="19"/>
        <item h="1" x="20"/>
        <item h="1" x="21"/>
        <item h="1" x="22"/>
        <item h="1" x="23"/>
        <item h="1" x="24"/>
        <item h="1" x="25"/>
        <item h="1" x="26"/>
        <item h="1" x="27"/>
        <item h="1" x="28"/>
        <item h="1" x="29"/>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x="4"/>
        <item x="5"/>
        <item x="3"/>
        <item x="0"/>
        <item x="2"/>
        <item x="1"/>
        <item x="6"/>
        <item m="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2">
    <i>
      <x/>
    </i>
    <i>
      <x v="3"/>
    </i>
  </rowItems>
  <colFields count="1">
    <field x="44"/>
  </colFields>
  <colItems count="3">
    <i>
      <x/>
    </i>
    <i>
      <x v="1"/>
    </i>
    <i>
      <x v="3"/>
    </i>
  </colItems>
  <pageFields count="2">
    <pageField fld="40" hier="-1"/>
    <pageField fld="37" hier="-1"/>
  </pageFields>
  <dataFields count="1">
    <dataField name="Count of Case Number" fld="0" subtotal="count" baseField="0" baseItem="0"/>
  </dataFields>
  <formats count="21">
    <format dxfId="215">
      <pivotArea type="all" dataOnly="0" outline="0" fieldPosition="0"/>
    </format>
    <format dxfId="214">
      <pivotArea outline="0" collapsedLevelsAreSubtotals="1" fieldPosition="0"/>
    </format>
    <format dxfId="213">
      <pivotArea type="origin" dataOnly="0" labelOnly="1" outline="0" fieldPosition="0"/>
    </format>
    <format dxfId="212">
      <pivotArea field="44" type="button" dataOnly="0" labelOnly="1" outline="0" axis="axisCol" fieldPosition="0"/>
    </format>
    <format dxfId="211">
      <pivotArea type="topRight" dataOnly="0" labelOnly="1" outline="0" fieldPosition="0"/>
    </format>
    <format dxfId="210">
      <pivotArea field="43" type="button" dataOnly="0" labelOnly="1" outline="0"/>
    </format>
    <format dxfId="209">
      <pivotArea dataOnly="0" labelOnly="1" outline="0" fieldPosition="0">
        <references count="1">
          <reference field="44" count="0"/>
        </references>
      </pivotArea>
    </format>
    <format dxfId="208">
      <pivotArea type="all" dataOnly="0" outline="0" fieldPosition="0"/>
    </format>
    <format dxfId="207">
      <pivotArea outline="0" collapsedLevelsAreSubtotals="1" fieldPosition="0"/>
    </format>
    <format dxfId="206">
      <pivotArea type="topRight" dataOnly="0" labelOnly="1" outline="0" fieldPosition="0"/>
    </format>
    <format dxfId="205">
      <pivotArea field="43" type="button" dataOnly="0" labelOnly="1" outline="0"/>
    </format>
    <format dxfId="204">
      <pivotArea dataOnly="0" labelOnly="1" outline="0" fieldPosition="0">
        <references count="1">
          <reference field="44" count="0"/>
        </references>
      </pivotArea>
    </format>
    <format dxfId="203">
      <pivotArea field="43" type="button" dataOnly="0" labelOnly="1" outline="0"/>
    </format>
    <format dxfId="202">
      <pivotArea field="43" type="button" dataOnly="0" labelOnly="1" outline="0"/>
    </format>
    <format dxfId="201">
      <pivotArea field="59" type="button" dataOnly="0" labelOnly="1" outline="0" axis="axisRow" fieldPosition="0"/>
    </format>
    <format dxfId="200">
      <pivotArea type="origin" dataOnly="0" labelOnly="1" outline="0" fieldPosition="0"/>
    </format>
    <format dxfId="199">
      <pivotArea field="44" type="button" dataOnly="0" labelOnly="1" outline="0" axis="axisCol" fieldPosition="0"/>
    </format>
    <format dxfId="198">
      <pivotArea type="origin" dataOnly="0" labelOnly="1" outline="0" fieldPosition="0"/>
    </format>
    <format dxfId="197">
      <pivotArea field="44" type="button" dataOnly="0" labelOnly="1" outline="0" axis="axisCol" fieldPosition="0"/>
    </format>
    <format dxfId="196">
      <pivotArea field="59" type="button" dataOnly="0" labelOnly="1" outline="0" axis="axisRow" fieldPosition="0"/>
    </format>
    <format dxfId="195">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8D0CC3-9F4F-4AB8-A5B0-A6A58278D2E0}" name="PT_BUR_AUTO_28D"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7:E31" firstHeaderRow="1" firstDataRow="2" firstDataCol="1" rowPageCount="2" colPageCount="1"/>
  <pivotFields count="61">
    <pivotField dataField="1"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multipleItemSelectionAllowed="1" showAll="0">
      <items count="46">
        <item h="1" x="1"/>
        <item h="1" x="5"/>
        <item h="1" x="6"/>
        <item h="1" x="12"/>
        <item h="1" x="15"/>
        <item h="1" x="16"/>
        <item h="1" x="17"/>
        <item x="19"/>
        <item x="21"/>
        <item x="22"/>
        <item x="24"/>
        <item h="1" x="0"/>
        <item h="1" x="2"/>
        <item h="1" x="3"/>
        <item h="1" x="4"/>
        <item h="1" x="7"/>
        <item h="1" x="8"/>
        <item h="1" x="9"/>
        <item h="1" x="10"/>
        <item h="1" x="11"/>
        <item h="1" x="13"/>
        <item h="1" x="14"/>
        <item h="1" x="18"/>
        <item h="1" x="20"/>
        <item h="1" x="23"/>
        <item h="1" x="25"/>
        <item h="1" x="26"/>
        <item h="1" x="27"/>
        <item h="1" x="28"/>
        <item h="1" x="29"/>
        <item h="1" x="30"/>
        <item h="1" x="31"/>
        <item h="1" x="32"/>
        <item h="1" x="33"/>
        <item h="1" x="34"/>
        <item h="1" x="35"/>
        <item h="1" x="36"/>
        <item h="1" x="37"/>
        <item h="1" x="38"/>
        <item h="1" x="39"/>
        <item h="1" x="40"/>
        <item h="1" x="41"/>
        <item h="1" x="42"/>
        <item h="1" x="43"/>
        <item h="1" x="44"/>
        <item t="default"/>
      </items>
    </pivotField>
    <pivotField compact="0" outline="0" showAll="0"/>
    <pivotField compact="0" numFmtId="22" outline="0" showAll="0"/>
    <pivotField compact="0" outline="0" showAll="0"/>
    <pivotField axis="axisCol" compact="0" outline="0" showAll="0" nonAutoSortDefault="1">
      <items count="8">
        <item x="5"/>
        <item x="1"/>
        <item x="3"/>
        <item x="6"/>
        <item x="4"/>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3">
    <i>
      <x/>
    </i>
    <i>
      <x v="2"/>
    </i>
    <i>
      <x v="5"/>
    </i>
  </rowItems>
  <colFields count="1">
    <field x="44"/>
  </colFields>
  <colItems count="4">
    <i>
      <x/>
    </i>
    <i>
      <x v="1"/>
    </i>
    <i>
      <x v="2"/>
    </i>
    <i>
      <x v="6"/>
    </i>
  </colItems>
  <pageFields count="2">
    <pageField fld="40" hier="-1"/>
    <pageField fld="37" hier="-1"/>
  </pageFields>
  <dataFields count="1">
    <dataField name="Count of Case Number" fld="0" subtotal="count" baseField="0" baseItem="0"/>
  </dataFields>
  <formats count="29">
    <format dxfId="93">
      <pivotArea dataOnly="0" labelOnly="1" outline="0" fieldPosition="0">
        <references count="1">
          <reference field="44" count="0"/>
        </references>
      </pivotArea>
    </format>
    <format dxfId="92">
      <pivotArea type="origin" dataOnly="0" labelOnly="1" outline="0" fieldPosition="0"/>
    </format>
    <format dxfId="91">
      <pivotArea field="44" type="button" dataOnly="0" labelOnly="1" outline="0" axis="axisCol" fieldPosition="0"/>
    </format>
    <format dxfId="90">
      <pivotArea type="topRight" dataOnly="0" labelOnly="1" outline="0" fieldPosition="0"/>
    </format>
    <format dxfId="89">
      <pivotArea dataOnly="0" labelOnly="1" outline="0" fieldPosition="0">
        <references count="1">
          <reference field="44" count="0"/>
        </references>
      </pivotArea>
    </format>
    <format dxfId="88">
      <pivotArea type="origin" dataOnly="0" labelOnly="1" outline="0" fieldPosition="0"/>
    </format>
    <format dxfId="87">
      <pivotArea field="44"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44" type="button" dataOnly="0" labelOnly="1" outline="0" axis="axisCol" fieldPosition="0"/>
    </format>
    <format dxfId="83">
      <pivotArea type="origin" dataOnly="0" labelOnly="1" outline="0" fieldPosition="0"/>
    </format>
    <format dxfId="82">
      <pivotArea field="44" type="button" dataOnly="0" labelOnly="1" outline="0" axis="axisCol" fieldPosition="0"/>
    </format>
    <format dxfId="81">
      <pivotArea type="topRight" dataOnly="0" labelOnly="1" outline="0" fieldPosition="0"/>
    </format>
    <format dxfId="80">
      <pivotArea outline="0" collapsedLevelsAreSubtotals="1" fieldPosition="0"/>
    </format>
    <format dxfId="79">
      <pivotArea dataOnly="0" labelOnly="1" outline="0" fieldPosition="0">
        <references count="1">
          <reference field="59" count="0"/>
        </references>
      </pivotArea>
    </format>
    <format dxfId="78">
      <pivotArea dataOnly="0" labelOnly="1" outline="0" fieldPosition="0">
        <references count="1">
          <reference field="59" count="0"/>
        </references>
      </pivotArea>
    </format>
    <format dxfId="77">
      <pivotArea field="59" type="button" dataOnly="0" labelOnly="1" outline="0" axis="axisRow" fieldPosition="0"/>
    </format>
    <format dxfId="76">
      <pivotArea type="origin" dataOnly="0" labelOnly="1" outline="0" fieldPosition="0"/>
    </format>
    <format dxfId="75">
      <pivotArea field="44" type="button" dataOnly="0" labelOnly="1" outline="0" axis="axisCol" fieldPosition="0"/>
    </format>
    <format dxfId="74">
      <pivotArea type="topRight" dataOnly="0" labelOnly="1" outline="0" fieldPosition="0"/>
    </format>
    <format dxfId="73">
      <pivotArea type="all" dataOnly="0" outline="0" fieldPosition="0"/>
    </format>
    <format dxfId="72">
      <pivotArea outline="0" collapsedLevelsAreSubtotals="1" fieldPosition="0"/>
    </format>
    <format dxfId="71">
      <pivotArea type="origin" dataOnly="0" labelOnly="1" outline="0" fieldPosition="0"/>
    </format>
    <format dxfId="70">
      <pivotArea field="44" type="button" dataOnly="0" labelOnly="1" outline="0" axis="axisCol" fieldPosition="0"/>
    </format>
    <format dxfId="69">
      <pivotArea type="topRight" dataOnly="0" labelOnly="1" outline="0" fieldPosition="0"/>
    </format>
    <format dxfId="68">
      <pivotArea field="59" type="button" dataOnly="0" labelOnly="1" outline="0" axis="axisRow" fieldPosition="0"/>
    </format>
    <format dxfId="67">
      <pivotArea dataOnly="0" labelOnly="1" outline="0" fieldPosition="0">
        <references count="1">
          <reference field="59" count="0"/>
        </references>
      </pivotArea>
    </format>
    <format dxfId="66">
      <pivotArea dataOnly="0" labelOnly="1" outline="0" fieldPosition="0">
        <references count="1">
          <reference field="44" count="0"/>
        </references>
      </pivotArea>
    </format>
    <format dxfId="65">
      <pivotArea dataOnly="0" labelOnly="1" outline="0" fieldPosition="0">
        <references count="1">
          <reference field="40"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EFBEEAF-0588-4EC2-A100-0728475D107D}" name="PT_BUR_AUTO_YTD"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multipleItemSelectionAllowed="1" showAll="0">
      <items count="46">
        <item x="1"/>
        <item x="5"/>
        <item x="6"/>
        <item x="12"/>
        <item x="15"/>
        <item x="16"/>
        <item x="17"/>
        <item x="19"/>
        <item x="21"/>
        <item x="22"/>
        <item x="24"/>
        <item x="0"/>
        <item x="2"/>
        <item x="3"/>
        <item x="4"/>
        <item x="7"/>
        <item x="8"/>
        <item x="9"/>
        <item x="10"/>
        <item x="11"/>
        <item x="13"/>
        <item x="14"/>
        <item x="18"/>
        <item x="20"/>
        <item x="23"/>
        <item x="25"/>
        <item x="26"/>
        <item x="27"/>
        <item x="28"/>
        <item x="29"/>
        <item x="30"/>
        <item x="31"/>
        <item x="32"/>
        <item x="33"/>
        <item x="34"/>
        <item x="35"/>
        <item x="36"/>
        <item x="37"/>
        <item x="38"/>
        <item x="39"/>
        <item x="40"/>
        <item x="41"/>
        <item x="42"/>
        <item x="43"/>
        <item x="44"/>
        <item t="default"/>
      </items>
    </pivotField>
    <pivotField compact="0" outline="0" showAll="0"/>
    <pivotField compact="0" numFmtId="22" outline="0" showAll="0"/>
    <pivotField compact="0" outline="0" showAll="0"/>
    <pivotField axis="axisCol" compact="0" outline="0" showAll="0" nonAutoSortDefault="1">
      <items count="8">
        <item x="5"/>
        <item x="1"/>
        <item x="3"/>
        <item x="6"/>
        <item x="4"/>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i>
    <i>
      <x v="1"/>
    </i>
    <i>
      <x v="2"/>
    </i>
    <i>
      <x v="3"/>
    </i>
    <i>
      <x v="4"/>
    </i>
    <i>
      <x v="5"/>
    </i>
    <i>
      <x v="6"/>
    </i>
  </colItems>
  <pageFields count="2">
    <pageField fld="40" hier="-1"/>
    <pageField fld="37" hier="-1"/>
  </pageFields>
  <dataFields count="1">
    <dataField name="Count of Case Number" fld="0" subtotal="count" baseField="0" baseItem="0"/>
  </dataFields>
  <formats count="28">
    <format dxfId="121">
      <pivotArea dataOnly="0" labelOnly="1" outline="0" fieldPosition="0">
        <references count="1">
          <reference field="44" count="0"/>
        </references>
      </pivotArea>
    </format>
    <format dxfId="120">
      <pivotArea type="origin" dataOnly="0" labelOnly="1" outline="0" fieldPosition="0"/>
    </format>
    <format dxfId="119">
      <pivotArea field="44" type="button" dataOnly="0" labelOnly="1" outline="0" axis="axisCol" fieldPosition="0"/>
    </format>
    <format dxfId="118">
      <pivotArea type="topRight" dataOnly="0" labelOnly="1" outline="0" fieldPosition="0"/>
    </format>
    <format dxfId="117">
      <pivotArea dataOnly="0" labelOnly="1" outline="0" fieldPosition="0">
        <references count="1">
          <reference field="44" count="0"/>
        </references>
      </pivotArea>
    </format>
    <format dxfId="116">
      <pivotArea type="origin" dataOnly="0" labelOnly="1" outline="0" fieldPosition="0"/>
    </format>
    <format dxfId="115">
      <pivotArea field="44" type="button" dataOnly="0" labelOnly="1" outline="0" axis="axisCol" fieldPosition="0"/>
    </format>
    <format dxfId="114">
      <pivotArea type="topRight" dataOnly="0" labelOnly="1" outline="0" fieldPosition="0"/>
    </format>
    <format dxfId="113">
      <pivotArea type="origin" dataOnly="0" labelOnly="1" outline="0" fieldPosition="0"/>
    </format>
    <format dxfId="112">
      <pivotArea field="44" type="button" dataOnly="0" labelOnly="1" outline="0" axis="axisCol" fieldPosition="0"/>
    </format>
    <format dxfId="111">
      <pivotArea type="origin" dataOnly="0" labelOnly="1" outline="0" fieldPosition="0"/>
    </format>
    <format dxfId="110">
      <pivotArea field="44" type="button" dataOnly="0" labelOnly="1" outline="0" axis="axisCol" fieldPosition="0"/>
    </format>
    <format dxfId="109">
      <pivotArea type="topRight" dataOnly="0" labelOnly="1" outline="0" fieldPosition="0"/>
    </format>
    <format dxfId="108">
      <pivotArea outline="0" collapsedLevelsAreSubtotals="1" fieldPosition="0"/>
    </format>
    <format dxfId="107">
      <pivotArea dataOnly="0" labelOnly="1" outline="0" fieldPosition="0">
        <references count="1">
          <reference field="59" count="0"/>
        </references>
      </pivotArea>
    </format>
    <format dxfId="106">
      <pivotArea dataOnly="0" labelOnly="1" outline="0" fieldPosition="0">
        <references count="1">
          <reference field="59" count="0"/>
        </references>
      </pivotArea>
    </format>
    <format dxfId="105">
      <pivotArea field="59" type="button" dataOnly="0" labelOnly="1" outline="0" axis="axisRow" fieldPosition="0"/>
    </format>
    <format dxfId="104">
      <pivotArea type="origin" dataOnly="0" labelOnly="1" outline="0" fieldPosition="0"/>
    </format>
    <format dxfId="103">
      <pivotArea field="44" type="button" dataOnly="0" labelOnly="1" outline="0" axis="axisCol" fieldPosition="0"/>
    </format>
    <format dxfId="102">
      <pivotArea type="topRight" dataOnly="0" labelOnly="1" outline="0" fieldPosition="0"/>
    </format>
    <format dxfId="101">
      <pivotArea type="all" dataOnly="0" outline="0" fieldPosition="0"/>
    </format>
    <format dxfId="100">
      <pivotArea outline="0" collapsedLevelsAreSubtotals="1" fieldPosition="0"/>
    </format>
    <format dxfId="99">
      <pivotArea type="origin" dataOnly="0" labelOnly="1" outline="0" fieldPosition="0"/>
    </format>
    <format dxfId="98">
      <pivotArea field="44" type="button" dataOnly="0" labelOnly="1" outline="0" axis="axisCol" fieldPosition="0"/>
    </format>
    <format dxfId="97">
      <pivotArea type="topRight" dataOnly="0" labelOnly="1" outline="0" fieldPosition="0"/>
    </format>
    <format dxfId="96">
      <pivotArea field="59" type="button" dataOnly="0" labelOnly="1" outline="0" axis="axisRow" fieldPosition="0"/>
    </format>
    <format dxfId="95">
      <pivotArea dataOnly="0" labelOnly="1" outline="0" fieldPosition="0">
        <references count="1">
          <reference field="59" count="0"/>
        </references>
      </pivotArea>
    </format>
    <format dxfId="94">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3095A4D-FB12-4D7A-B662-B66AF1D8E5CC}" autoFormatId="16" applyNumberFormats="0" applyBorderFormats="0" applyFontFormats="0" applyPatternFormats="0" applyAlignmentFormats="0" applyWidthHeightFormats="0">
  <queryTableRefresh nextId="8">
    <queryTableFields count="7">
      <queryTableField id="1" name="Report_Due_Date" tableColumnId="1"/>
      <queryTableField id="2" name="7_Day_Start" tableColumnId="2"/>
      <queryTableField id="3" name="7_Day_End" tableColumnId="3"/>
      <queryTableField id="4" name="28_Day_Start" tableColumnId="4"/>
      <queryTableField id="5" name="28_Day_End" tableColumnId="5"/>
      <queryTableField id="6" name="Report_Name" tableColumnId="6"/>
      <queryTableField id="7" name="Is_Du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2" xr16:uid="{00000000-0016-0000-0600-000000000000}" autoFormatId="16" applyNumberFormats="0" applyBorderFormats="0" applyFontFormats="0" applyPatternFormats="0" applyAlignmentFormats="0" applyWidthHeightFormats="0">
  <queryTableRefresh nextId="103">
    <queryTableFields count="42">
      <queryTableField id="1" name="Case Number" tableColumnId="1"/>
      <queryTableField id="37" name="IncidentDate" tableColumnId="37"/>
      <queryTableField id="3" name="Incident Time" tableColumnId="3"/>
      <queryTableField id="97" name="Incident Type_1" tableColumnId="52"/>
      <queryTableField id="98" name="Incident Type_2" tableColumnId="53"/>
      <queryTableField id="99" name="Incident Type_3" tableColumnId="54"/>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7" name="Officer of Record" tableColumnId="27"/>
      <queryTableField id="28" name="Squad" tableColumnId="28"/>
      <queryTableField id="29" name="Det_Assigned" tableColumnId="29"/>
      <queryTableField id="30" name="Case_Status" tableColumnId="30"/>
      <queryTableField id="38" name="NibrsClassification" tableColumnId="38"/>
      <queryTableField id="95" name="IncDate" tableColumnId="51"/>
      <queryTableField id="40" name="IncTime" tableColumnId="40"/>
      <queryTableField id="41" name="StartOfHour" tableColumnId="41"/>
      <queryTableField id="34" name="TimeOfDay" tableColumnId="34"/>
      <queryTableField id="35" name="ALL_INCIDENTS" tableColumnId="35"/>
      <queryTableField id="43" name="Period" tableColumnId="43"/>
      <queryTableField id="32" name="INC_TIME" tableColumnId="32"/>
      <queryTableField id="33" name="INC_DATE" tableColumnId="33"/>
      <queryTableField id="44" name="Enhanced_TimeOfDay" tableColumnId="44"/>
      <queryTableField id="45" name="Day Name" tableColumnId="45"/>
      <queryTableField id="46" name="Month Name" tableColumnId="46"/>
      <queryTableField id="47" name="Year" tableColumnId="47"/>
      <queryTableField id="48" name="Week of Year" tableColumnId="48"/>
      <queryTableField id="49" name="Day" tableColumnId="49"/>
      <queryTableField id="50" name="BLOCK_Enhanced" tableColumnId="50"/>
      <queryTableField id="36" name="Crime_Category" tableColumnId="3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5" xr16:uid="{6EC30D29-4F35-45EF-B280-F44823D0F0D4}" autoFormatId="16" applyNumberFormats="0" applyBorderFormats="0" applyFontFormats="0" applyPatternFormats="0" applyAlignmentFormats="0" applyWidthHeightFormats="0">
  <queryTableRefresh nextId="53">
    <queryTableFields count="52">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 id="7" name="Case Number" tableColumnId="7"/>
      <queryTableField id="8" name="IncidentDate" tableColumnId="8"/>
      <queryTableField id="9" name="Incident Time" tableColumnId="9"/>
      <queryTableField id="10" name="Incident Date_Between" tableColumnId="10"/>
      <queryTableField id="11" name="Incident Time_Between" tableColumnId="11"/>
      <queryTableField id="12" name="Report Date" tableColumnId="12"/>
      <queryTableField id="13" name="Report Time" tableColumnId="13"/>
      <queryTableField id="14" name="Incident Type_1" tableColumnId="14"/>
      <queryTableField id="15" name="Incident Type_2" tableColumnId="15"/>
      <queryTableField id="16" name="Incident Type_3" tableColumnId="16"/>
      <queryTableField id="17" name="FullAddress" tableColumnId="17"/>
      <queryTableField id="18" name="Grid" tableColumnId="18"/>
      <queryTableField id="19" name="Zone" tableColumnId="19"/>
      <queryTableField id="20" name="Narrative" tableColumnId="20"/>
      <queryTableField id="21" name="Total Value Stolen" tableColumnId="21"/>
      <queryTableField id="22" name="Total Value Recover" tableColumnId="22"/>
      <queryTableField id="23" name="Registration 1" tableColumnId="23"/>
      <queryTableField id="24" name="Make1" tableColumnId="24"/>
      <queryTableField id="25" name="Model1" tableColumnId="25"/>
      <queryTableField id="26" name="Reg State 1" tableColumnId="26"/>
      <queryTableField id="27" name="Registration 2" tableColumnId="27"/>
      <queryTableField id="28" name="Reg State 2" tableColumnId="28"/>
      <queryTableField id="29" name="Make2" tableColumnId="29"/>
      <queryTableField id="30" name="Model2" tableColumnId="30"/>
      <queryTableField id="31" name="Reviewed By" tableColumnId="31"/>
      <queryTableField id="32" name="CompleteCalc" tableColumnId="32"/>
      <queryTableField id="33" name="Officer of Record" tableColumnId="33"/>
      <queryTableField id="34" name="Squad" tableColumnId="34"/>
      <queryTableField id="35" name="Det_Assigned" tableColumnId="35"/>
      <queryTableField id="36" name="Case_Status" tableColumnId="36"/>
      <queryTableField id="37" name="NibrsClassification" tableColumnId="37"/>
      <queryTableField id="38" name="CASE_NUMBER_LENGTH" tableColumnId="38"/>
      <queryTableField id="39" name="Incident Date" tableColumnId="39"/>
      <queryTableField id="40" name="IncTime" tableColumnId="40"/>
      <queryTableField id="41" name="StartOfHour" tableColumnId="41"/>
      <queryTableField id="42" name="TimeOfDay" tableColumnId="42"/>
      <queryTableField id="43" name="Block" tableColumnId="43"/>
      <queryTableField id="44" name="ALL_INCIDENTS" tableColumnId="44"/>
      <queryTableField id="45" name="Period" tableColumnId="45"/>
      <queryTableField id="46" name="Enhanced_TimeOfDay" tableColumnId="46"/>
      <queryTableField id="47" name="Day Name" tableColumnId="47"/>
      <queryTableField id="48" name="Month Name" tableColumnId="48"/>
      <queryTableField id="49" name="Year" tableColumnId="49"/>
      <queryTableField id="50" name="Week of Year" tableColumnId="50"/>
      <queryTableField id="51" name="Day" tableColumnId="51"/>
      <queryTableField id="52" name="BLOCK_Enhanced" tableColumnId="5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9" connectionId="13" xr16:uid="{00000000-0016-0000-0A00-000001000000}" autoFormatId="16" applyNumberFormats="0" applyBorderFormats="0" applyFontFormats="0" applyPatternFormats="0" applyAlignmentFormats="0" applyWidthHeightFormats="0">
  <queryTableRefresh nextId="153">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 id="120" name="Period" tableColumnId="65"/>
      <queryTableField id="128" name="Crime_Category" tableColumnId="10"/>
      <queryTableField id="126" name="Attribute" tableColumnId="8"/>
      <queryTableField id="127" name="Incident_Type"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8" connectionId="10" xr16:uid="{00000000-0016-0000-0C00-000002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connectionId="7" xr16:uid="{00000000-0016-0000-0D00-000003000000}" autoFormatId="16" applyNumberFormats="0" applyBorderFormats="0" applyFontFormats="0" applyPatternFormats="0" applyAlignmentFormats="0" applyWidthHeightFormats="0">
  <queryTableRefresh nextId="123">
    <queryTableFields count="39">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119" name="CaseNumberLength" tableColumnId="6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20" name="Period" tableColumnId="6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3" xr16:uid="{00000000-0016-0000-0E00-000004000000}" autoFormatId="16" applyNumberFormats="0" applyBorderFormats="0" applyFontFormats="0" applyPatternFormats="0" applyAlignmentFormats="0" applyWidthHeightFormats="0">
  <queryTableRefresh nextId="124">
    <queryTableFields count="61">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7" name="CASE_NUMBER_LENGTH" tableColumnId="4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19" name="Period" tableColumnId="64"/>
      <queryTableField id="78" name="INC_TIME" tableColumnId="45"/>
      <queryTableField id="79" name="INC_DATE" tableColumnId="46"/>
      <queryTableField id="80" name="Start of Hour" tableColumnId="47"/>
      <queryTableField id="81" name="INC_DATE_AND_TIME" tableColumnId="48"/>
      <queryTableField id="82" name="TOD" tableColumnId="49"/>
      <queryTableField id="76" name="Day Name" tableColumnId="43"/>
      <queryTableField id="75" name="Month Name" tableColumnId="42"/>
      <queryTableField id="83" name="Year" tableColumnId="50"/>
      <queryTableField id="84" name="Week of Year" tableColumnId="51"/>
      <queryTableField id="85" name="Week of Month" tableColumnId="52"/>
      <queryTableField id="86" name="Day" tableColumnId="53"/>
      <queryTableField id="87" name="Day of Year" tableColumnId="54"/>
      <queryTableField id="120" name="BLOCK" tableColumnId="65"/>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00000000-0016-0000-0F00-000005000000}" autoFormatId="16" applyNumberFormats="0" applyBorderFormats="0" applyFontFormats="0" applyPatternFormats="0" applyAlignmentFormats="0" applyWidthHeightFormats="0">
  <queryTableRefresh nextId="142">
    <queryTableFields count="61">
      <queryTableField id="1" name="Case Number" tableColumnId="1"/>
      <queryTableField id="55" name="IncidentDate" tableColumnId="55"/>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56" name="NibrsClassification" tableColumnId="56"/>
      <queryTableField id="96" name="CASE_NUMBER_LENGTH" tableColumnId="62"/>
      <queryTableField id="2" name="Incident Date" tableColumnId="2"/>
      <queryTableField id="58" name="IncTime" tableColumnId="58"/>
      <queryTableField id="59" name="StartOfHour" tableColumnId="59"/>
      <queryTableField id="60" name="TimeOfDay" tableColumnId="60"/>
      <queryTableField id="109" name="BLOCK" tableColumnId="75"/>
      <queryTableField id="46" name="ALL_INCIDENTS" tableColumnId="46"/>
      <queryTableField id="135" name="Period" tableColumnId="85"/>
      <queryTableField id="97" name="INC_TIME" tableColumnId="63"/>
      <queryTableField id="98" name="INC_DATE" tableColumnId="64"/>
      <queryTableField id="99" name="Start of Hour" tableColumnId="65"/>
      <queryTableField id="100" name="INC_DATE_AND_TIME" tableColumnId="66"/>
      <queryTableField id="101" name="TOD" tableColumnId="67"/>
      <queryTableField id="102" name="Day Name" tableColumnId="68"/>
      <queryTableField id="103" name="Month Name" tableColumnId="69"/>
      <queryTableField id="104" name="Year" tableColumnId="70"/>
      <queryTableField id="105" name="Week of Year" tableColumnId="71"/>
      <queryTableField id="106" name="Week of Month" tableColumnId="72"/>
      <queryTableField id="107" name="Day" tableColumnId="73"/>
      <queryTableField id="108" name="Day of Year" tableColumnId="74"/>
      <queryTableField id="136" name="BLOCK" tableColumnId="86"/>
      <queryTableField id="110" name="Location" tableColumnId="76"/>
      <queryTableField id="111" name="St#" tableColumnId="77"/>
      <queryTableField id="112" name="Notes" tableColumnId="78"/>
      <queryTableField id="113" name="VEHICLE" tableColumnId="79"/>
      <queryTableField id="114" name="Suspect" tableColumnId="80"/>
      <queryTableField id="115" name="TOTAL_STOLEN_AMOUNT" tableColumnId="81"/>
      <queryTableField id="116" name="REPORT_CYCLE" tableColumnId="82"/>
      <queryTableField id="117" name="TIME_OF_DAY" tableColumnId="83"/>
      <queryTableField id="137" name="Enhanced_TimeOfDay" tableColumnId="87"/>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21EBBB8-BD36-40C6-9B91-F4B334BD2AE7}" name="TestBur_C_R_28D__2" displayName="TestBur_C_R_28D__2" ref="A1:H7" totalsRowShown="0">
  <autoFilter ref="A1:H7" xr:uid="{A21EBBB8-BD36-40C6-9B91-F4B334BD2AE7}"/>
  <tableColumns count="8">
    <tableColumn id="14" xr3:uid="{E1944B9C-0E6C-4687-9CE3-92F6FEA904CE}" name="CaseID"/>
    <tableColumn id="1" xr3:uid="{7A5C1ED7-7682-4D19-A9AD-401BB706D6F5}" name="Block" dataDxfId="694"/>
    <tableColumn id="2" xr3:uid="{33438211-9C07-48A5-A5B5-2D472E44C10D}" name="Incident Date" dataDxfId="693"/>
    <tableColumn id="3" xr3:uid="{9472C38C-6062-4C14-9F67-AB426096063A}" name="Day of Week" dataDxfId="692"/>
    <tableColumn id="4" xr3:uid="{4749A001-7F85-446F-98CB-E2C0EEB5EB8B}" name="Time of Day" dataDxfId="691"/>
    <tableColumn id="5" xr3:uid="{6A651A7F-F4B3-4533-8D92-C101A177B15D}" name="Suspect" dataDxfId="690"/>
    <tableColumn id="11" xr3:uid="{B916FEE6-672C-47CC-A522-12B086DACD4C}" name="Property Stolen" dataDxfId="689"/>
    <tableColumn id="13" xr3:uid="{F8B0CCE6-B7B9-4690-97CF-3F15E4080B6C}" name="Notes" dataDxfId="6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E15ABF-75ED-48F7-8D6F-D4DCA6290FF7}" name="_7Day_28Day_250414_" displayName="_7Day_28Day_250414_" ref="A1:G53" tableType="queryTable" totalsRowShown="0">
  <autoFilter ref="A1:G53" xr:uid="{A3E15ABF-75ED-48F7-8D6F-D4DCA6290FF7}"/>
  <tableColumns count="7">
    <tableColumn id="1" xr3:uid="{EDD3316D-FEEB-4987-B8A4-8DF0AA2D006B}" uniqueName="1" name="Report_Due_Date" queryTableFieldId="1" dataDxfId="687"/>
    <tableColumn id="2" xr3:uid="{09980C89-6D6B-4784-9BFD-714F995A8AAD}" uniqueName="2" name="7_Day_Start" queryTableFieldId="2" dataDxfId="686"/>
    <tableColumn id="3" xr3:uid="{457DA303-B861-4955-AE89-2CC41ACFF47E}" uniqueName="3" name="7_Day_End" queryTableFieldId="3" dataDxfId="685"/>
    <tableColumn id="4" xr3:uid="{70BE1596-4553-485E-B967-3E1D1C742932}" uniqueName="4" name="28_Day_Start" queryTableFieldId="4" dataDxfId="684"/>
    <tableColumn id="5" xr3:uid="{B1D0DE92-F18E-4394-BF0B-6ECBE94C7E57}" uniqueName="5" name="28_Day_End" queryTableFieldId="5" dataDxfId="683"/>
    <tableColumn id="6" xr3:uid="{8F12D425-67C1-4F76-A9A3-707E6057F5A9}" uniqueName="6" name="Report_Name" queryTableFieldId="6" dataDxfId="682"/>
    <tableColumn id="7" xr3:uid="{A9933870-9B85-4F2F-8C56-328B2ECAFEE9}" uniqueName="7" name="Is_Due" queryTableField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1B2722D-5BE4-4F03-B5BE-10A6C720D900}" name="All_Crimes" displayName="All_Crimes" ref="A1:AP131" tableType="queryTable" totalsRowShown="0" headerRowDxfId="637" dataDxfId="636">
  <autoFilter ref="A1:AP131" xr:uid="{51B2722D-5BE4-4F03-B5BE-10A6C720D900}"/>
  <sortState xmlns:xlrd2="http://schemas.microsoft.com/office/spreadsheetml/2017/richdata2" ref="A2:AP131">
    <sortCondition ref="AA1:AA131"/>
  </sortState>
  <tableColumns count="42">
    <tableColumn id="1" xr3:uid="{0FDD2D8A-7982-41C0-99D9-0D2438ECBACA}" uniqueName="1" name="Case Number" queryTableFieldId="1" dataDxfId="635"/>
    <tableColumn id="37" xr3:uid="{AAAEE88C-2BDB-498A-9979-CAFCE30E2B17}" uniqueName="37" name="IncidentDate" queryTableFieldId="37" dataDxfId="634"/>
    <tableColumn id="3" xr3:uid="{CAA53461-4203-448D-BABE-BACEC8074B34}" uniqueName="3" name="Incident Time" queryTableFieldId="3" dataDxfId="633"/>
    <tableColumn id="52" xr3:uid="{E9AADC18-3110-4782-8FB6-6509585CF5CE}" uniqueName="52" name="Incident Type_1" queryTableFieldId="97" dataDxfId="632"/>
    <tableColumn id="53" xr3:uid="{8E2A95BA-160B-4492-BA97-29B835C01361}" uniqueName="53" name="Incident Type_2" queryTableFieldId="98" dataDxfId="631"/>
    <tableColumn id="54" xr3:uid="{17859705-2727-463B-AEA3-925F1E3018E1}" uniqueName="54" name="Incident Type_3" queryTableFieldId="99" dataDxfId="630"/>
    <tableColumn id="11" xr3:uid="{81BC4B3D-0E7D-4C46-9B49-F92B7A3FF193}" uniqueName="11" name="FullAddress" queryTableFieldId="11" dataDxfId="629"/>
    <tableColumn id="12" xr3:uid="{6A8D4F0D-51A3-49B8-A24D-082D09849552}" uniqueName="12" name="Grid" queryTableFieldId="12" dataDxfId="628"/>
    <tableColumn id="13" xr3:uid="{E296028F-1D8B-4F34-888E-84F706C75AA4}" uniqueName="13" name="Zone" queryTableFieldId="13" dataDxfId="627"/>
    <tableColumn id="14" xr3:uid="{B45FABD5-9E83-444E-9089-6659A7153314}" uniqueName="14" name="Narrative" queryTableFieldId="14" dataDxfId="626"/>
    <tableColumn id="15" xr3:uid="{D02510C4-2464-40EB-ADC7-FFFDB572B551}" uniqueName="15" name="Total Value Stolen" queryTableFieldId="15" dataDxfId="625"/>
    <tableColumn id="16" xr3:uid="{BC70FC1C-37ED-4498-B349-50A608CD4DA2}" uniqueName="16" name="Total Value Recover" queryTableFieldId="16" dataDxfId="624"/>
    <tableColumn id="17" xr3:uid="{C4200733-0628-4B3C-9CF7-55F28C9BC82A}" uniqueName="17" name="Registration 1" queryTableFieldId="17" dataDxfId="623"/>
    <tableColumn id="18" xr3:uid="{EDA0EDE2-FA19-458B-A482-252EA51E5DC0}" uniqueName="18" name="Make1" queryTableFieldId="18" dataDxfId="622"/>
    <tableColumn id="19" xr3:uid="{223552B5-9F53-4691-B4B2-8787F68AAC17}" uniqueName="19" name="Model1" queryTableFieldId="19" dataDxfId="621"/>
    <tableColumn id="20" xr3:uid="{48DD3A96-7867-431F-9A62-3A2315AC7806}" uniqueName="20" name="Reg State 1" queryTableFieldId="20" dataDxfId="620"/>
    <tableColumn id="21" xr3:uid="{D5EE2796-5DEE-4754-8CCE-4F7E8B2D6FD8}" uniqueName="21" name="Registration 2" queryTableFieldId="21" dataDxfId="619"/>
    <tableColumn id="22" xr3:uid="{6E2300BF-356F-4463-B6E6-7A4C8034F83D}" uniqueName="22" name="Reg State 2" queryTableFieldId="22" dataDxfId="618"/>
    <tableColumn id="23" xr3:uid="{A693699E-FB3C-48A5-938B-BE598FFE5913}" uniqueName="23" name="Make2" queryTableFieldId="23" dataDxfId="617"/>
    <tableColumn id="24" xr3:uid="{D3739933-F44C-4873-8979-4C14A1780684}" uniqueName="24" name="Model2" queryTableFieldId="24" dataDxfId="616"/>
    <tableColumn id="25" xr3:uid="{0636A643-E171-41CD-A2FE-EFD87CAEDF2F}" uniqueName="25" name="Reviewed By" queryTableFieldId="25" dataDxfId="615"/>
    <tableColumn id="27" xr3:uid="{49C74A63-F3F3-446D-AE81-790E2C94994C}" uniqueName="27" name="Officer of Record" queryTableFieldId="27" dataDxfId="614"/>
    <tableColumn id="28" xr3:uid="{3842B9FA-B7D7-422C-ABDA-2701DD5D9E2D}" uniqueName="28" name="Squad" queryTableFieldId="28" dataDxfId="613"/>
    <tableColumn id="29" xr3:uid="{2BA544A3-12DF-47E7-8933-C2130B84DFE6}" uniqueName="29" name="Det_Assigned" queryTableFieldId="29" dataDxfId="612"/>
    <tableColumn id="30" xr3:uid="{F07EEA56-1FB1-4E52-8B30-6D3E95FE4E36}" uniqueName="30" name="Case_Status" queryTableFieldId="30" dataDxfId="611"/>
    <tableColumn id="38" xr3:uid="{0A72908E-2089-4712-9AD2-3C35C0D6943D}" uniqueName="38" name="NibrsClassification" queryTableFieldId="38" dataDxfId="610"/>
    <tableColumn id="51" xr3:uid="{B3EC970E-0272-460C-82CD-9D0F4F9953A7}" uniqueName="51" name="IncDate" queryTableFieldId="95" dataDxfId="609"/>
    <tableColumn id="40" xr3:uid="{89BCE274-8EB5-4C42-A970-7FBC0A7AE274}" uniqueName="40" name="IncTime" queryTableFieldId="40" dataDxfId="608"/>
    <tableColumn id="41" xr3:uid="{B08707AA-79B0-4E85-9549-F1EC33C1D932}" uniqueName="41" name="StartOfHour" queryTableFieldId="41" dataDxfId="607"/>
    <tableColumn id="34" xr3:uid="{47676419-459E-4C45-B9C0-474E46DEB456}" uniqueName="34" name="TimeOfDay" queryTableFieldId="34" dataDxfId="606"/>
    <tableColumn id="35" xr3:uid="{FBE8D321-E7E5-44F5-9C3E-FB64A0F40CD5}" uniqueName="35" name="ALL_INCIDENTS" queryTableFieldId="35" dataDxfId="605"/>
    <tableColumn id="43" xr3:uid="{ACF25102-A5C2-42EB-829B-2AD5F4082F1B}" uniqueName="43" name="Period" queryTableFieldId="43" dataDxfId="604"/>
    <tableColumn id="32" xr3:uid="{2A4ECAD4-FB6C-4006-A5B6-A73E7C26133D}" uniqueName="32" name="INC_TIME" queryTableFieldId="32" dataDxfId="603"/>
    <tableColumn id="33" xr3:uid="{FE60D9B3-A660-4A9F-B7C8-11CE907D9C1C}" uniqueName="33" name="INC_DATE" queryTableFieldId="33" dataDxfId="602"/>
    <tableColumn id="44" xr3:uid="{61B107CE-2301-4724-A767-C714FE7E22E4}" uniqueName="44" name="Enhanced_TimeOfDay" queryTableFieldId="44" dataDxfId="601"/>
    <tableColumn id="45" xr3:uid="{77CA50C4-6D0F-46AB-A47E-2CBB68CE0913}" uniqueName="45" name="Day Name" queryTableFieldId="45" dataDxfId="600"/>
    <tableColumn id="46" xr3:uid="{41554864-C472-457C-8CBA-31BBE802D419}" uniqueName="46" name="Month Name" queryTableFieldId="46" dataDxfId="599"/>
    <tableColumn id="47" xr3:uid="{F2852C48-90E6-4589-A842-327C29E1D008}" uniqueName="47" name="Year" queryTableFieldId="47" dataDxfId="598"/>
    <tableColumn id="48" xr3:uid="{592E9C72-21F6-4EEA-AB8B-1E8ACA8F96CF}" uniqueName="48" name="Week of Year" queryTableFieldId="48" dataDxfId="597"/>
    <tableColumn id="49" xr3:uid="{BCE11D3B-CF48-4F04-8F2D-42D384FCF788}" uniqueName="49" name="Day" queryTableFieldId="49" dataDxfId="596"/>
    <tableColumn id="50" xr3:uid="{3643FD83-E73A-437F-B859-58CB2027880C}" uniqueName="50" name="BLOCK_Enhanced" queryTableFieldId="50" dataDxfId="595"/>
    <tableColumn id="36" xr3:uid="{C38C95A1-6278-4802-B141-3434195C6370}" uniqueName="36" name="Crime_Category" queryTableFieldId="36" dataDxfId="59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4D8E4-4E57-48FA-A7F5-A7ABE078EBA9}" name="EXPORT_RMS" displayName="EXPORT_RMS" ref="A1:AZ130" tableType="queryTable" totalsRowShown="0" headerRowDxfId="589" dataDxfId="588">
  <autoFilter ref="A1:AZ130" xr:uid="{8D94D8E4-4E57-48FA-A7F5-A7ABE078EBA9}">
    <filterColumn colId="44">
      <colorFilter dxfId="587"/>
    </filterColumn>
  </autoFilter>
  <sortState xmlns:xlrd2="http://schemas.microsoft.com/office/spreadsheetml/2017/richdata2" ref="A2:AZ130">
    <sortCondition ref="AM1:AM130"/>
  </sortState>
  <tableColumns count="52">
    <tableColumn id="1" xr3:uid="{EA985C80-B3E9-4608-B2D7-ACC726C5B8E7}" uniqueName="1" name="Name" queryTableFieldId="1" dataDxfId="586"/>
    <tableColumn id="2" xr3:uid="{4EAA73CD-893D-46B5-A3F4-FC22A3985E8C}" uniqueName="2" name="Extension" queryTableFieldId="2" dataDxfId="585"/>
    <tableColumn id="3" xr3:uid="{3ACF7A34-A1C7-421E-B4EA-FBE07BD4755E}" uniqueName="3" name="Date accessed" queryTableFieldId="3" dataDxfId="584"/>
    <tableColumn id="4" xr3:uid="{33A40E4B-1DB2-4803-9DF1-441DBEE51871}" uniqueName="4" name="Date modified" queryTableFieldId="4" dataDxfId="583"/>
    <tableColumn id="5" xr3:uid="{D775F2A4-7B38-44C1-BB2F-DD0DF4955B92}" uniqueName="5" name="Date created" queryTableFieldId="5" dataDxfId="582"/>
    <tableColumn id="6" xr3:uid="{43F6B45B-96B4-40F4-9AF8-BA23902B9FCD}" uniqueName="6" name="Folder Path" queryTableFieldId="6" dataDxfId="581"/>
    <tableColumn id="7" xr3:uid="{535B67A8-0412-480F-B3E1-D0CC24F58429}" uniqueName="7" name="Case Number" queryTableFieldId="7" dataDxfId="580"/>
    <tableColumn id="8" xr3:uid="{748C8372-BB7E-47F8-989E-2581CBAF8A90}" uniqueName="8" name="IncidentDate" queryTableFieldId="8" dataDxfId="579"/>
    <tableColumn id="9" xr3:uid="{E5EDEB58-0305-4294-B646-F6C02B5879A1}" uniqueName="9" name="Incident Time" queryTableFieldId="9" dataDxfId="578"/>
    <tableColumn id="10" xr3:uid="{B40FBD19-A3A3-4690-BD58-A70827081220}" uniqueName="10" name="Incident Date_Between" queryTableFieldId="10" dataDxfId="577"/>
    <tableColumn id="11" xr3:uid="{5108CB6B-DE3A-49C5-B7CC-CB588322365D}" uniqueName="11" name="Incident Time_Between" queryTableFieldId="11" dataDxfId="576"/>
    <tableColumn id="12" xr3:uid="{51A007FB-D5A5-4517-BB98-4A421A0373B2}" uniqueName="12" name="Report Date" queryTableFieldId="12" dataDxfId="575"/>
    <tableColumn id="13" xr3:uid="{C2DEF440-2826-4AFA-80FA-4418FB97E16A}" uniqueName="13" name="Report Time" queryTableFieldId="13" dataDxfId="574"/>
    <tableColumn id="14" xr3:uid="{310660B9-01A5-48A4-A54B-5531A0B0ADDC}" uniqueName="14" name="Incident Type_1" queryTableFieldId="14" dataDxfId="573"/>
    <tableColumn id="15" xr3:uid="{8593B6E7-D31C-4349-BF1C-D99437FAC4B5}" uniqueName="15" name="Incident Type_2" queryTableFieldId="15" dataDxfId="572"/>
    <tableColumn id="16" xr3:uid="{79608978-A11E-4D09-ADD2-8210642AD8B2}" uniqueName="16" name="Incident Type_3" queryTableFieldId="16" dataDxfId="571"/>
    <tableColumn id="17" xr3:uid="{2E1284D2-D4DC-49B5-B66F-0342455BAC82}" uniqueName="17" name="FullAddress" queryTableFieldId="17" dataDxfId="570"/>
    <tableColumn id="18" xr3:uid="{17E603F0-D3A1-4A9C-809C-B0F93BB13F55}" uniqueName="18" name="Grid" queryTableFieldId="18" dataDxfId="569"/>
    <tableColumn id="19" xr3:uid="{404013C6-3EAC-4431-90DD-9410010BB8A1}" uniqueName="19" name="Zone" queryTableFieldId="19" dataDxfId="568"/>
    <tableColumn id="20" xr3:uid="{EA669477-1126-4CB8-8D14-38CDE237DAC6}" uniqueName="20" name="Narrative" queryTableFieldId="20" dataDxfId="567"/>
    <tableColumn id="21" xr3:uid="{AA589B34-8685-49AF-AA26-C6B16C059D96}" uniqueName="21" name="Total Value Stolen" queryTableFieldId="21" dataDxfId="566"/>
    <tableColumn id="22" xr3:uid="{6E11FC49-ACE5-4002-8F1F-DAC4339B1347}" uniqueName="22" name="Total Value Recover" queryTableFieldId="22" dataDxfId="565"/>
    <tableColumn id="23" xr3:uid="{BC857F7D-1CEF-4986-AF9F-7B4D11B2616E}" uniqueName="23" name="Registration 1" queryTableFieldId="23" dataDxfId="564"/>
    <tableColumn id="24" xr3:uid="{BCD855F4-7974-4988-969D-FC6E1A0C498E}" uniqueName="24" name="Make1" queryTableFieldId="24" dataDxfId="563"/>
    <tableColumn id="25" xr3:uid="{4E3D6D73-3F58-4828-8B30-F31936DB46C0}" uniqueName="25" name="Model1" queryTableFieldId="25" dataDxfId="562"/>
    <tableColumn id="26" xr3:uid="{153B73A4-BB5C-4174-B4A3-A703D8FFDBA9}" uniqueName="26" name="Reg State 1" queryTableFieldId="26" dataDxfId="561"/>
    <tableColumn id="27" xr3:uid="{38013CFE-1F79-4B73-976C-0654439ABAD8}" uniqueName="27" name="Registration 2" queryTableFieldId="27" dataDxfId="560"/>
    <tableColumn id="28" xr3:uid="{E7EAB6E4-F825-4DD5-B0E5-E42C2E76FAE0}" uniqueName="28" name="Reg State 2" queryTableFieldId="28" dataDxfId="559"/>
    <tableColumn id="29" xr3:uid="{71FAC948-F495-493E-82F7-430812BA8E58}" uniqueName="29" name="Make2" queryTableFieldId="29" dataDxfId="558"/>
    <tableColumn id="30" xr3:uid="{2DCFCD27-A095-4762-B507-379FDF1B41ED}" uniqueName="30" name="Model2" queryTableFieldId="30" dataDxfId="557"/>
    <tableColumn id="31" xr3:uid="{8965AD91-2966-44A0-A5F7-7E277E45200D}" uniqueName="31" name="Reviewed By" queryTableFieldId="31" dataDxfId="556"/>
    <tableColumn id="32" xr3:uid="{0CF68514-1673-49D3-A16C-DB0D1EEC8C8C}" uniqueName="32" name="CompleteCalc" queryTableFieldId="32" dataDxfId="555"/>
    <tableColumn id="33" xr3:uid="{42E63EC0-54AE-4705-A28C-31AF1950AD38}" uniqueName="33" name="Officer of Record" queryTableFieldId="33" dataDxfId="554"/>
    <tableColumn id="34" xr3:uid="{9E838174-81E6-4727-9CDA-4E7F0C90AACC}" uniqueName="34" name="Squad" queryTableFieldId="34" dataDxfId="553"/>
    <tableColumn id="35" xr3:uid="{00C5A1AB-42BB-40E4-AE3E-F62E6F9FBD14}" uniqueName="35" name="Det_Assigned" queryTableFieldId="35" dataDxfId="552"/>
    <tableColumn id="36" xr3:uid="{950233B8-BE1F-4251-B451-E22718BA18EA}" uniqueName="36" name="Case_Status" queryTableFieldId="36" dataDxfId="551"/>
    <tableColumn id="37" xr3:uid="{C98CBEB5-0DFE-4DDA-A885-27362785925B}" uniqueName="37" name="NibrsClassification" queryTableFieldId="37" dataDxfId="550"/>
    <tableColumn id="38" xr3:uid="{226C8214-FCC5-40C9-A754-FAD1DCE8A41B}" uniqueName="38" name="CASE_NUMBER_LENGTH" queryTableFieldId="38" dataDxfId="549"/>
    <tableColumn id="39" xr3:uid="{736F7B3F-42E3-4674-8BD2-95414A179677}" uniqueName="39" name="Incident Date" queryTableFieldId="39" dataDxfId="548"/>
    <tableColumn id="40" xr3:uid="{E8E346DA-71D1-4CD1-8965-6D4EBAECB672}" uniqueName="40" name="IncTime" queryTableFieldId="40" dataDxfId="547"/>
    <tableColumn id="41" xr3:uid="{D1BA0B4C-DB6B-4DFF-A6BB-DB1DB9251FC1}" uniqueName="41" name="StartOfHour" queryTableFieldId="41" dataDxfId="546"/>
    <tableColumn id="42" xr3:uid="{D4C0EC4B-7C19-433D-8F4E-5AC4EDDDD249}" uniqueName="42" name="TimeOfDay" queryTableFieldId="42" dataDxfId="545"/>
    <tableColumn id="43" xr3:uid="{419F106D-4575-405B-8CD7-FFEED4BCD51D}" uniqueName="43" name="Block" queryTableFieldId="43" dataDxfId="544"/>
    <tableColumn id="44" xr3:uid="{C25B82A1-CA78-4203-85F9-C3D1822F769D}" uniqueName="44" name="ALL_INCIDENTS" queryTableFieldId="44" dataDxfId="543"/>
    <tableColumn id="45" xr3:uid="{C77FF47A-C707-4DE1-8F77-AD3B5FA850AE}" uniqueName="45" name="Period" queryTableFieldId="45" dataDxfId="542"/>
    <tableColumn id="46" xr3:uid="{DFF030FE-D34B-4071-818E-EDB9F6006246}" uniqueName="46" name="Enhanced_TimeOfDay" queryTableFieldId="46" dataDxfId="541"/>
    <tableColumn id="47" xr3:uid="{41910A90-5120-443F-9B97-4FA123587D1D}" uniqueName="47" name="Day Name" queryTableFieldId="47" dataDxfId="540"/>
    <tableColumn id="48" xr3:uid="{53739EC5-7689-4E93-AE91-393166881A38}" uniqueName="48" name="Month Name" queryTableFieldId="48" dataDxfId="539"/>
    <tableColumn id="49" xr3:uid="{9D948D9A-A122-434A-99AC-DAEF47B7770F}" uniqueName="49" name="Year" queryTableFieldId="49" dataDxfId="538"/>
    <tableColumn id="50" xr3:uid="{5DB2751B-5D0E-4F3F-B95C-00798080C4ED}" uniqueName="50" name="Week of Year" queryTableFieldId="50" dataDxfId="537"/>
    <tableColumn id="51" xr3:uid="{9B8CC16E-CDF8-4662-8D4A-1464D104B889}" uniqueName="51" name="Day" queryTableFieldId="51" dataDxfId="536"/>
    <tableColumn id="52" xr3:uid="{A61D9B46-0298-429D-8AF8-BDAE4D3A7FC9}" uniqueName="52" name="BLOCK_Enhanced" queryTableFieldId="52" dataDxfId="53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1938BF8-D159-4BBB-AEF1-8AB1941B968C}" name="Sexual_Offenses" displayName="Sexual_Offenses" ref="A1:BJ13" tableType="queryTable" totalsRowShown="0" headerRowDxfId="530" dataDxfId="529">
  <autoFilter ref="A1:BJ13" xr:uid="{F1938BF8-D159-4BBB-AEF1-8AB1941B968C}"/>
  <tableColumns count="62">
    <tableColumn id="1" xr3:uid="{A3187587-2468-4912-91EA-0280831A9601}" uniqueName="1" name="Case Number" queryTableFieldId="1" dataDxfId="528"/>
    <tableColumn id="36" xr3:uid="{08A253D4-6981-4AEF-9626-7D9B563FABA9}" uniqueName="36" name="IncidentDate" queryTableFieldId="36" dataDxfId="527"/>
    <tableColumn id="3" xr3:uid="{8A7B3CC5-D680-46D8-809B-FA35E2D0200D}" uniqueName="3" name="Incident Time" queryTableFieldId="3" dataDxfId="526"/>
    <tableColumn id="4" xr3:uid="{1DAC9239-7023-4CE4-A167-D02591F2FB1A}" uniqueName="4" name="Incident Date_Between" queryTableFieldId="4" dataDxfId="525"/>
    <tableColumn id="5" xr3:uid="{B9967EF5-B82E-4A19-8EC3-692639A2E141}" uniqueName="5" name="Incident Time_Between" queryTableFieldId="5" dataDxfId="524"/>
    <tableColumn id="6" xr3:uid="{3E5C28D7-A54F-4C49-A34D-8007C833A155}" uniqueName="6" name="Report Date" queryTableFieldId="6" dataDxfId="523"/>
    <tableColumn id="7" xr3:uid="{FAA9D375-86A7-4232-8AA8-8B6B058753F4}" uniqueName="7" name="Report Time" queryTableFieldId="7" dataDxfId="522"/>
    <tableColumn id="11" xr3:uid="{DE753FE0-A3A1-4971-B121-FDC503893FA5}" uniqueName="11" name="FullAddress" queryTableFieldId="11" dataDxfId="521"/>
    <tableColumn id="12" xr3:uid="{E3CB3795-AEAB-4A36-BADB-E68104CA70EA}" uniqueName="12" name="Grid" queryTableFieldId="12" dataDxfId="520"/>
    <tableColumn id="13" xr3:uid="{964ABC4C-0FFE-45A8-A525-E63C9EA04552}" uniqueName="13" name="Zone" queryTableFieldId="13" dataDxfId="519"/>
    <tableColumn id="14" xr3:uid="{F47A4E54-F562-44DF-9037-5D3D39AA67AE}" uniqueName="14" name="Narrative" queryTableFieldId="14" dataDxfId="518"/>
    <tableColumn id="15" xr3:uid="{33000A2F-A6A7-4D3D-B474-BE2DE0F48148}" uniqueName="15" name="Total Value Stolen" queryTableFieldId="15" dataDxfId="517"/>
    <tableColumn id="16" xr3:uid="{9B1713A6-F113-468C-A1A7-4C9F423B5CCA}" uniqueName="16" name="Total Value Recover" queryTableFieldId="16" dataDxfId="516"/>
    <tableColumn id="17" xr3:uid="{CF7AEDE9-DDCF-4F69-B6F9-110300858D5F}" uniqueName="17" name="Registration 1" queryTableFieldId="17" dataDxfId="515"/>
    <tableColumn id="18" xr3:uid="{0A2E3E07-0FB1-4194-ABD7-1A96AD5B6F82}" uniqueName="18" name="Make1" queryTableFieldId="18" dataDxfId="514"/>
    <tableColumn id="19" xr3:uid="{EAE3180A-166D-458E-953F-1AF2CDDB4CED}" uniqueName="19" name="Model1" queryTableFieldId="19" dataDxfId="513"/>
    <tableColumn id="20" xr3:uid="{F427534F-32C2-48F1-81CB-5733D318447F}" uniqueName="20" name="Reg State 1" queryTableFieldId="20" dataDxfId="512"/>
    <tableColumn id="21" xr3:uid="{4019DF6E-AA79-4929-B13E-90D50EC56C83}" uniqueName="21" name="Registration 2" queryTableFieldId="21" dataDxfId="511"/>
    <tableColumn id="22" xr3:uid="{CF35AC25-D52D-4368-A7E9-343D488729AF}" uniqueName="22" name="Reg State 2" queryTableFieldId="22" dataDxfId="510"/>
    <tableColumn id="23" xr3:uid="{80D5827B-E335-4BC9-A131-EE16773CDE61}" uniqueName="23" name="Make2" queryTableFieldId="23" dataDxfId="509"/>
    <tableColumn id="24" xr3:uid="{053267A7-C4A0-4B25-A6B4-5435805E0ED0}" uniqueName="24" name="Model2" queryTableFieldId="24" dataDxfId="508"/>
    <tableColumn id="25" xr3:uid="{BD3BA784-2B60-465B-B5F3-461BB2AA423D}" uniqueName="25" name="Reviewed By" queryTableFieldId="25" dataDxfId="507"/>
    <tableColumn id="26" xr3:uid="{ADD44ADA-8C7B-4180-A1AF-954AB2D10A28}" uniqueName="26" name="CompleteCalc" queryTableFieldId="26" dataDxfId="506"/>
    <tableColumn id="27" xr3:uid="{03A64B8B-F004-493E-ABCD-4A88C03481BF}" uniqueName="27" name="Officer of Record" queryTableFieldId="27" dataDxfId="505"/>
    <tableColumn id="28" xr3:uid="{A0C4031D-6D3B-497B-A2F5-AFE1A1C0C5CA}" uniqueName="28" name="Squad" queryTableFieldId="28" dataDxfId="504"/>
    <tableColumn id="29" xr3:uid="{15D65689-4033-4931-9404-25F8E38F7F13}" uniqueName="29" name="Det_Assigned" queryTableFieldId="29" dataDxfId="503"/>
    <tableColumn id="30" xr3:uid="{6CB1746B-890A-4660-BFDC-7326760CE613}" uniqueName="30" name="Case_Status" queryTableFieldId="30" dataDxfId="502"/>
    <tableColumn id="37" xr3:uid="{869DFB7F-0DD7-44FF-BAA2-439CF0FB8EF2}" uniqueName="37" name="NibrsClassification" queryTableFieldId="37" dataDxfId="501"/>
    <tableColumn id="42" xr3:uid="{EF06DB09-D078-4BB9-8A81-D7230053B89F}" uniqueName="42" name="CASE_NUMBER_LENGTH" queryTableFieldId="75" dataDxfId="500"/>
    <tableColumn id="2" xr3:uid="{6342FBE7-606A-4C97-A01A-9BE7C3203A18}" uniqueName="2" name="Incident Date" queryTableFieldId="2" dataDxfId="499"/>
    <tableColumn id="39" xr3:uid="{60219516-10A0-4497-859A-45F7074AFFA3}" uniqueName="39" name="IncTime" queryTableFieldId="39" dataDxfId="498"/>
    <tableColumn id="40" xr3:uid="{DE809CB1-28E2-460D-AD29-CCC7654DC04D}" uniqueName="40" name="StartOfHour" queryTableFieldId="40" dataDxfId="497"/>
    <tableColumn id="34" xr3:uid="{ACE51454-C68B-4429-B2E1-8EE8485E966F}" uniqueName="34" name="TimeOfDay" queryTableFieldId="34" dataDxfId="496"/>
    <tableColumn id="55" xr3:uid="{15F811B4-7C2A-4F73-96F7-C9F918194219}" uniqueName="55" name="Block" queryTableFieldId="88" dataDxfId="495"/>
    <tableColumn id="64" xr3:uid="{BB9D4AE1-D9A8-4D28-8F3B-1D5CD86CF1B6}" uniqueName="64" name="AllIncidents" queryTableFieldId="119" dataDxfId="494"/>
    <tableColumn id="35" xr3:uid="{F419D0D0-6376-4E23-8DE1-6565D0A4B407}" uniqueName="35" name="ALL_INCIDENTS" queryTableFieldId="35" dataDxfId="493"/>
    <tableColumn id="43" xr3:uid="{45B28119-D700-4C0A-9B3F-BAA127157529}" uniqueName="43" name="INC_TIME" queryTableFieldId="76" dataDxfId="492"/>
    <tableColumn id="44" xr3:uid="{48F696B9-64E6-48A7-AA57-55048E83746B}" uniqueName="44" name="INC_DATE" queryTableFieldId="77" dataDxfId="491"/>
    <tableColumn id="45" xr3:uid="{EF38F1EC-6839-4712-9446-924CE277982A}" uniqueName="45" name="Start of Hour" queryTableFieldId="78" dataDxfId="490"/>
    <tableColumn id="46" xr3:uid="{76E3F1E0-BFD5-4C8E-A748-659756259142}" uniqueName="46" name="INC_DATE_AND_TIME" queryTableFieldId="79" dataDxfId="489"/>
    <tableColumn id="47" xr3:uid="{9E5D7DBF-66BC-4477-812E-BFD114B2880F}" uniqueName="47" name="TOD" queryTableFieldId="80" dataDxfId="488"/>
    <tableColumn id="48" xr3:uid="{90BE6B4C-3583-4B53-8708-E3D06B863137}" uniqueName="48" name="Day Name" queryTableFieldId="81" dataDxfId="487"/>
    <tableColumn id="49" xr3:uid="{D99D5FB7-3850-4A4D-AAA0-F926E94F6D12}" uniqueName="49" name="Month Name" queryTableFieldId="82" dataDxfId="486"/>
    <tableColumn id="50" xr3:uid="{84008BD0-9E0A-48C9-9133-E63B77CC3387}" uniqueName="50" name="Year" queryTableFieldId="83" dataDxfId="485"/>
    <tableColumn id="51" xr3:uid="{B21B148F-AE53-48DA-A11D-6562C364A9BF}" uniqueName="51" name="Week of Year" queryTableFieldId="84" dataDxfId="484"/>
    <tableColumn id="52" xr3:uid="{71C5EC10-40A5-42CB-BA13-E6358103D70A}" uniqueName="52" name="Week of Month" queryTableFieldId="85" dataDxfId="483"/>
    <tableColumn id="53" xr3:uid="{E03D6681-B3CB-45DF-A65E-BA0D12BBEBBE}" uniqueName="53" name="Day" queryTableFieldId="86" dataDxfId="482"/>
    <tableColumn id="54" xr3:uid="{ED6B24B8-AFB8-4AA4-9D17-5D05C8EC225A}" uniqueName="54" name="Day of Year" queryTableFieldId="87" dataDxfId="481"/>
    <tableColumn id="66" xr3:uid="{CA1A2CCA-987B-4069-9BDA-0492AC4BC544}" uniqueName="66" name="BLOCK2" queryTableFieldId="121" dataDxfId="480"/>
    <tableColumn id="56" xr3:uid="{B147B92C-4BCB-41A2-9133-3CF0FD7E1182}" uniqueName="56" name="Location" queryTableFieldId="89" dataDxfId="479"/>
    <tableColumn id="57" xr3:uid="{0B2B69D0-A00F-4546-8B0F-E8A0456177A0}" uniqueName="57" name="St#" queryTableFieldId="90" dataDxfId="478"/>
    <tableColumn id="58" xr3:uid="{F55EE3DB-34C2-49A5-873C-53121A92D5F6}" uniqueName="58" name="Notes" queryTableFieldId="91" dataDxfId="477"/>
    <tableColumn id="59" xr3:uid="{B075BB3B-CA95-41D0-B736-257A042A5EF4}" uniqueName="59" name="VEHICLE" queryTableFieldId="92" dataDxfId="476"/>
    <tableColumn id="60" xr3:uid="{98A0A98E-903C-4C29-B0A4-D62CFA74D6BB}" uniqueName="60" name="Suspect" queryTableFieldId="93" dataDxfId="475"/>
    <tableColumn id="61" xr3:uid="{39E5DF47-5488-4518-A65A-7E55929B70DD}" uniqueName="61" name="TOTAL_STOLEN_AMOUNT" queryTableFieldId="94" dataDxfId="474"/>
    <tableColumn id="62" xr3:uid="{A3618ADB-129D-4F96-8C37-D16EB73C98A1}" uniqueName="62" name="REPORT_CYCLE" queryTableFieldId="95" dataDxfId="473"/>
    <tableColumn id="63" xr3:uid="{3057D8F1-1D84-4F49-85F0-E40BE7FDC27E}" uniqueName="63" name="TIME_OF_DAY" queryTableFieldId="96" dataDxfId="472"/>
    <tableColumn id="41" xr3:uid="{C984CCC8-BD01-4D3D-AEFE-83EBBBDA0B7B}" uniqueName="41" name="Enhanced_TimeOfDay" queryTableFieldId="41" dataDxfId="471"/>
    <tableColumn id="65" xr3:uid="{26337666-8443-4948-BBCC-1604EF9E45A6}" uniqueName="65" name="Period" queryTableFieldId="120" dataDxfId="470"/>
    <tableColumn id="10" xr3:uid="{5754282D-9E57-4AA6-8A67-EA7E6FD30586}" uniqueName="10" name="Crime_Category" queryTableFieldId="128" dataDxfId="469"/>
    <tableColumn id="8" xr3:uid="{B56B8E01-B8BE-466A-80F5-DA564C5DDC35}" uniqueName="8" name="Attribute" queryTableFieldId="126"/>
    <tableColumn id="9" xr3:uid="{0D23F98E-A0C8-421B-9ED0-314BA49CC76D}" uniqueName="9" name="Incident_Type" queryTableFieldId="12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5ABD906-8B0B-44A4-9B17-BB0210218D51}" name="Robbery" displayName="Robbery" ref="A1:BJ23" tableType="queryTable" totalsRowShown="0" headerRowDxfId="464" dataDxfId="463">
  <autoFilter ref="A1:BJ23" xr:uid="{B5ABD906-8B0B-44A4-9B17-BB0210218D51}"/>
  <tableColumns count="62">
    <tableColumn id="1" xr3:uid="{073EBEFF-0C68-4126-89D9-5E18D39A8ACB}" uniqueName="1" name="Case Number" queryTableFieldId="1" dataDxfId="462"/>
    <tableColumn id="36" xr3:uid="{7E43CF6B-C836-4189-A8E1-1111FE4C9F60}" uniqueName="36" name="IncidentDate" queryTableFieldId="36" dataDxfId="461"/>
    <tableColumn id="3" xr3:uid="{D9D63DB2-777E-444A-92F9-B7C2D59B8129}" uniqueName="3" name="Incident Time" queryTableFieldId="3" dataDxfId="460"/>
    <tableColumn id="4" xr3:uid="{FBA5B256-73EC-4423-930F-3AB29FFC64F4}" uniqueName="4" name="Incident Date_Between" queryTableFieldId="4" dataDxfId="459"/>
    <tableColumn id="5" xr3:uid="{04FF0DD0-B344-4D08-A989-C2F14120999E}" uniqueName="5" name="Incident Time_Between" queryTableFieldId="5" dataDxfId="458"/>
    <tableColumn id="6" xr3:uid="{42CC2327-AC67-4ACC-8AE4-07829E8BD85C}" uniqueName="6" name="Report Date" queryTableFieldId="6" dataDxfId="457"/>
    <tableColumn id="7" xr3:uid="{05B06BC1-9A47-4864-B541-2B6858E583D2}" uniqueName="7" name="Report Time" queryTableFieldId="7" dataDxfId="456"/>
    <tableColumn id="8" xr3:uid="{4DE47915-B627-47C7-9702-47A905A10CB2}" uniqueName="8" name="Incident Type_1" queryTableFieldId="8" dataDxfId="455"/>
    <tableColumn id="9" xr3:uid="{302E5CAB-7EBA-46C1-9FA2-65452E2ABA0F}" uniqueName="9" name="Incident Type_2" queryTableFieldId="9" dataDxfId="454"/>
    <tableColumn id="10" xr3:uid="{C85BC010-8D77-4430-B5E7-9E2CAC5A3DEC}" uniqueName="10" name="Incident Type_3" queryTableFieldId="10" dataDxfId="453"/>
    <tableColumn id="11" xr3:uid="{12E919E0-72FE-4A22-A1C0-7E51E8EDAC81}" uniqueName="11" name="FullAddress" queryTableFieldId="11" dataDxfId="452"/>
    <tableColumn id="12" xr3:uid="{2EE6A06F-7FC6-4D6A-923C-CEF8B2BCD6B8}" uniqueName="12" name="Grid" queryTableFieldId="12" dataDxfId="451"/>
    <tableColumn id="13" xr3:uid="{6D06DE54-7110-4C38-8ED5-501A40B60D15}" uniqueName="13" name="Zone" queryTableFieldId="13" dataDxfId="450"/>
    <tableColumn id="14" xr3:uid="{382A7C26-8934-447A-A076-0072C2A5DF25}" uniqueName="14" name="Narrative" queryTableFieldId="14" dataDxfId="449"/>
    <tableColumn id="15" xr3:uid="{32048DBC-DAAC-4500-9ADF-38FDA230E46A}" uniqueName="15" name="Total Value Stolen" queryTableFieldId="15" dataDxfId="448"/>
    <tableColumn id="16" xr3:uid="{5B44F028-6E69-4971-8A67-97C8E5CE5DBA}" uniqueName="16" name="Total Value Recover" queryTableFieldId="16" dataDxfId="447"/>
    <tableColumn id="17" xr3:uid="{B11F2756-1118-43BF-ACA0-1DFCE91A124B}" uniqueName="17" name="Registration 1" queryTableFieldId="17" dataDxfId="446"/>
    <tableColumn id="18" xr3:uid="{AC324CFE-FD01-4B5F-9861-E542255371ED}" uniqueName="18" name="Make1" queryTableFieldId="18" dataDxfId="445"/>
    <tableColumn id="19" xr3:uid="{DA418A91-0A92-43B9-9954-76C8AD2874B8}" uniqueName="19" name="Model1" queryTableFieldId="19" dataDxfId="444"/>
    <tableColumn id="20" xr3:uid="{D3FD5405-62E2-4C5C-A15D-37EDB3356474}" uniqueName="20" name="Reg State 1" queryTableFieldId="20" dataDxfId="443"/>
    <tableColumn id="21" xr3:uid="{3ABEC754-62CF-4B4B-93DB-B9ED009B5BA5}" uniqueName="21" name="Registration 2" queryTableFieldId="21" dataDxfId="442"/>
    <tableColumn id="22" xr3:uid="{D58D4D60-AB45-4328-A118-4EAB553370C0}" uniqueName="22" name="Reg State 2" queryTableFieldId="22" dataDxfId="441"/>
    <tableColumn id="23" xr3:uid="{24221605-AEA9-454A-AC47-B6A7592BE693}" uniqueName="23" name="Make2" queryTableFieldId="23" dataDxfId="440"/>
    <tableColumn id="24" xr3:uid="{AF4BC642-5CDB-4825-8F7C-D70E90B4525B}" uniqueName="24" name="Model2" queryTableFieldId="24" dataDxfId="439"/>
    <tableColumn id="25" xr3:uid="{5BD394BE-C85C-4BE9-A456-57580CD2F186}" uniqueName="25" name="Reviewed By" queryTableFieldId="25" dataDxfId="438"/>
    <tableColumn id="26" xr3:uid="{961D2FB9-0F6A-4F10-B2DA-DD35257BF819}" uniqueName="26" name="CompleteCalc" queryTableFieldId="26" dataDxfId="437"/>
    <tableColumn id="27" xr3:uid="{56DB6DEB-193B-4E62-AC80-6A7CE8F3225D}" uniqueName="27" name="Officer of Record" queryTableFieldId="27" dataDxfId="436"/>
    <tableColumn id="28" xr3:uid="{F30C3D6F-19EA-4D96-8D53-A4AC7962B864}" uniqueName="28" name="Squad" queryTableFieldId="28" dataDxfId="435"/>
    <tableColumn id="29" xr3:uid="{46157F22-3336-4DAE-A8BA-FFAAFB9BB602}" uniqueName="29" name="Det_Assigned" queryTableFieldId="29" dataDxfId="434"/>
    <tableColumn id="30" xr3:uid="{84BA68F9-9176-4FDF-94D5-DD7BF4BCC249}" uniqueName="30" name="Case_Status" queryTableFieldId="30" dataDxfId="433"/>
    <tableColumn id="37" xr3:uid="{025F0873-9B21-47A4-9F54-56D348B6DE51}" uniqueName="37" name="NibrsClassification" queryTableFieldId="37" dataDxfId="432"/>
    <tableColumn id="42" xr3:uid="{A6586F66-153B-4CEE-B272-635FB18D0672}" uniqueName="42" name="CASE_NUMBER_LENGTH" queryTableFieldId="75" dataDxfId="431"/>
    <tableColumn id="2" xr3:uid="{DD22F8A9-F5A1-4F63-8E03-29BB62EBDF80}" uniqueName="2" name="Incident Date" queryTableFieldId="2" dataDxfId="430"/>
    <tableColumn id="39" xr3:uid="{34FE7D4E-147F-4744-88F7-D376CD7C6D9A}" uniqueName="39" name="IncTime" queryTableFieldId="39" dataDxfId="429"/>
    <tableColumn id="40" xr3:uid="{A6EA5C19-FED2-4C6E-A0B5-77CB7790F8E5}" uniqueName="40" name="StartOfHour" queryTableFieldId="40" dataDxfId="428"/>
    <tableColumn id="34" xr3:uid="{355E542F-7984-4C4D-9084-AD2FE8CDF61E}" uniqueName="34" name="TimeOfDay" queryTableFieldId="34" dataDxfId="427"/>
    <tableColumn id="55" xr3:uid="{21829D8D-47A6-4BB0-92E5-0FD3848D2F14}" uniqueName="55" name="Block" queryTableFieldId="88" dataDxfId="426"/>
    <tableColumn id="64" xr3:uid="{D584A825-5D20-4CAB-BC5A-B97DCE10DD35}" uniqueName="64" name="AllIncidents" queryTableFieldId="119" dataDxfId="425"/>
    <tableColumn id="65" xr3:uid="{F8053C5E-8CCB-4D14-A9AB-8D8C05B55432}" uniqueName="65" name="Period" queryTableFieldId="120" dataDxfId="424"/>
    <tableColumn id="35" xr3:uid="{5D5123DC-18F1-45EE-B2F9-DADF20CE9CD9}" uniqueName="35" name="ALL_INCIDENTS" queryTableFieldId="35" dataDxfId="423"/>
    <tableColumn id="43" xr3:uid="{826E7572-2BE4-4A1B-905A-2E58F3378254}" uniqueName="43" name="INC_TIME" queryTableFieldId="76" dataDxfId="422"/>
    <tableColumn id="44" xr3:uid="{FFE07E43-999B-4C38-A067-30A04C4E3E29}" uniqueName="44" name="INC_DATE" queryTableFieldId="77" dataDxfId="421"/>
    <tableColumn id="45" xr3:uid="{C1021011-F28B-4EAF-806B-943B572B77D0}" uniqueName="45" name="Start of Hour" queryTableFieldId="78" dataDxfId="420"/>
    <tableColumn id="46" xr3:uid="{2D36EA95-7123-4E90-9CE6-F2F57F6530CE}" uniqueName="46" name="INC_DATE_AND_TIME" queryTableFieldId="79" dataDxfId="419"/>
    <tableColumn id="47" xr3:uid="{403C17F9-8A1E-4F59-AA79-CC17E4F56E86}" uniqueName="47" name="TOD" queryTableFieldId="80" dataDxfId="418"/>
    <tableColumn id="48" xr3:uid="{FADCA35E-FB3B-4172-B203-503B793B717C}" uniqueName="48" name="Day Name" queryTableFieldId="81" dataDxfId="417"/>
    <tableColumn id="49" xr3:uid="{02909198-AAD5-47B5-A45B-2EFC42DE9A25}" uniqueName="49" name="Month Name" queryTableFieldId="82" dataDxfId="416"/>
    <tableColumn id="50" xr3:uid="{AD988F7A-1CB5-4147-B972-6E7AED559F45}" uniqueName="50" name="Year" queryTableFieldId="83" dataDxfId="415"/>
    <tableColumn id="51" xr3:uid="{8933EE75-7946-48F4-AB7F-E6B547E1C81D}" uniqueName="51" name="Week of Year" queryTableFieldId="84" dataDxfId="414"/>
    <tableColumn id="52" xr3:uid="{EB7243C2-85B4-4662-81BF-E892F4178C99}" uniqueName="52" name="Week of Month" queryTableFieldId="85" dataDxfId="413"/>
    <tableColumn id="53" xr3:uid="{C722D530-FEC2-447D-B437-F7CA7A1E5AE6}" uniqueName="53" name="Day" queryTableFieldId="86" dataDxfId="412"/>
    <tableColumn id="54" xr3:uid="{AFBFF7E1-F209-488A-87D4-0B2E4AB29492}" uniqueName="54" name="Day of Year" queryTableFieldId="87" dataDxfId="411"/>
    <tableColumn id="66" xr3:uid="{BAD70EE6-B8BE-4C0F-80D3-7B96E051FCB4}" uniqueName="66" name="BLOCK2" queryTableFieldId="121" dataDxfId="410"/>
    <tableColumn id="56" xr3:uid="{199F6E83-B61A-4E95-9850-D17286D4B7FE}" uniqueName="56" name="Location" queryTableFieldId="89" dataDxfId="409"/>
    <tableColumn id="57" xr3:uid="{F8EAFCD5-D0BA-4375-8B1C-639417542BC7}" uniqueName="57" name="St#" queryTableFieldId="90" dataDxfId="408"/>
    <tableColumn id="58" xr3:uid="{A6653756-F6D5-4AAE-880F-95484036B050}" uniqueName="58" name="Notes" queryTableFieldId="91" dataDxfId="407"/>
    <tableColumn id="59" xr3:uid="{21760134-A0A7-4692-8A52-79AD41663151}" uniqueName="59" name="VEHICLE" queryTableFieldId="92" dataDxfId="406"/>
    <tableColumn id="60" xr3:uid="{523C22A2-0D46-4FA5-B16F-E84110B2DCD2}" uniqueName="60" name="Suspect" queryTableFieldId="93" dataDxfId="405"/>
    <tableColumn id="61" xr3:uid="{A2B0BAFB-9EC9-48BD-8009-BA0F8CBBB133}" uniqueName="61" name="TOTAL_STOLEN_AMOUNT" queryTableFieldId="94" dataDxfId="404"/>
    <tableColumn id="62" xr3:uid="{489729E1-F28D-47FC-BBE2-153225832E3A}" uniqueName="62" name="REPORT_CYCLE" queryTableFieldId="95" dataDxfId="403"/>
    <tableColumn id="63" xr3:uid="{5FB658CA-A39F-4168-ACF2-981291825D04}" uniqueName="63" name="TIME_OF_DAY" queryTableFieldId="96" dataDxfId="402"/>
    <tableColumn id="41" xr3:uid="{10B96B21-AF39-4385-B477-7C906B2ABECE}" uniqueName="41" name="Enhanced_TimeOfDay" queryTableFieldId="41" dataDxfId="40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69E3D5-DCAA-44E5-8C5B-733D6790954D}" name="Motor_Vehicle_Theft" displayName="Motor_Vehicle_Theft" ref="A1:AM30" tableType="queryTable" totalsRowShown="0" headerRowDxfId="388" dataDxfId="387">
  <autoFilter ref="A1:AM30" xr:uid="{3769E3D5-DCAA-44E5-8C5B-733D6790954D}"/>
  <tableColumns count="39">
    <tableColumn id="1" xr3:uid="{2F174D43-B9B7-4C52-B954-EB7D477E86E8}" uniqueName="1" name="Case Number" queryTableFieldId="1" dataDxfId="386"/>
    <tableColumn id="36" xr3:uid="{88692CB9-D92B-40BE-8727-A84F5585A9AD}" uniqueName="36" name="IncidentDate" queryTableFieldId="36" dataDxfId="385"/>
    <tableColumn id="3" xr3:uid="{9FD77C46-40B8-4B0A-92CD-FF5A5A49A119}" uniqueName="3" name="Incident Time" queryTableFieldId="3" dataDxfId="384"/>
    <tableColumn id="4" xr3:uid="{56081B7C-83A2-410B-9291-18377ABA7C7C}" uniqueName="4" name="Incident Date_Between" queryTableFieldId="4" dataDxfId="383"/>
    <tableColumn id="5" xr3:uid="{BC2D902F-0F1E-48C0-A8A9-3646CADC8ED1}" uniqueName="5" name="Incident Time_Between" queryTableFieldId="5" dataDxfId="382"/>
    <tableColumn id="6" xr3:uid="{DC89B283-EA5C-481A-AF43-2F17A503055C}" uniqueName="6" name="Report Date" queryTableFieldId="6" dataDxfId="381"/>
    <tableColumn id="7" xr3:uid="{8061574A-F605-49EF-8140-1A23CCF3358F}" uniqueName="7" name="Report Time" queryTableFieldId="7" dataDxfId="380"/>
    <tableColumn id="8" xr3:uid="{879D3EBD-8EFE-48F9-BFE8-93EB00B8E075}" uniqueName="8" name="Incident Type_1" queryTableFieldId="8" dataDxfId="379"/>
    <tableColumn id="9" xr3:uid="{C4F17403-B67B-41DF-9856-EEE94FE7BE2F}" uniqueName="9" name="Incident Type_2" queryTableFieldId="9" dataDxfId="378"/>
    <tableColumn id="10" xr3:uid="{4BD429E3-5DFB-44A8-8D32-BCE46D3AA3B4}" uniqueName="10" name="Incident Type_3" queryTableFieldId="10" dataDxfId="377"/>
    <tableColumn id="11" xr3:uid="{4BF36B6F-C70A-4219-A908-DA5FF2E54AE1}" uniqueName="11" name="FullAddress" queryTableFieldId="11" dataDxfId="376"/>
    <tableColumn id="12" xr3:uid="{1854204F-9211-4667-98A0-1012CC9A7669}" uniqueName="12" name="Grid" queryTableFieldId="12" dataDxfId="375"/>
    <tableColumn id="13" xr3:uid="{05121178-BF09-4DB1-902C-328B10156E40}" uniqueName="13" name="Zone" queryTableFieldId="13" dataDxfId="374"/>
    <tableColumn id="14" xr3:uid="{5442CFE0-3197-4837-A064-8DFE4A5ED23F}" uniqueName="14" name="Narrative" queryTableFieldId="14" dataDxfId="373"/>
    <tableColumn id="15" xr3:uid="{1BEB9B34-75B4-43E6-BE67-46BA7BA10A53}" uniqueName="15" name="Total Value Stolen" queryTableFieldId="15" dataDxfId="372"/>
    <tableColumn id="16" xr3:uid="{0C37241B-987B-4047-B08E-3D5456EBE32B}" uniqueName="16" name="Total Value Recover" queryTableFieldId="16" dataDxfId="371"/>
    <tableColumn id="17" xr3:uid="{AC48FCAA-48F1-4D98-8EB6-D48D2D0AD813}" uniqueName="17" name="Registration 1" queryTableFieldId="17" dataDxfId="370"/>
    <tableColumn id="18" xr3:uid="{C9E3E0A5-A611-4A33-B4C6-75F0A05A2DD3}" uniqueName="18" name="Make1" queryTableFieldId="18" dataDxfId="369"/>
    <tableColumn id="19" xr3:uid="{69FE4A90-2313-4656-B374-B2D2A16B6322}" uniqueName="19" name="Model1" queryTableFieldId="19" dataDxfId="368"/>
    <tableColumn id="20" xr3:uid="{D2DDD88C-A137-4909-82AC-ADE4946EB104}" uniqueName="20" name="Reg State 1" queryTableFieldId="20" dataDxfId="367"/>
    <tableColumn id="21" xr3:uid="{FF5FC07D-D31A-4ACD-BBD0-9B694D9767E5}" uniqueName="21" name="Registration 2" queryTableFieldId="21" dataDxfId="366"/>
    <tableColumn id="22" xr3:uid="{D153ECA6-EB26-4A52-91A4-4C39B0E82D8D}" uniqueName="22" name="Reg State 2" queryTableFieldId="22" dataDxfId="365"/>
    <tableColumn id="23" xr3:uid="{E3536783-7FE5-4B8D-B1B5-18AAE9C82886}" uniqueName="23" name="Make2" queryTableFieldId="23" dataDxfId="364"/>
    <tableColumn id="24" xr3:uid="{81276FB2-FE38-48D4-AD35-97E0389FBD45}" uniqueName="24" name="Model2" queryTableFieldId="24" dataDxfId="363"/>
    <tableColumn id="25" xr3:uid="{B7E27295-1339-479A-9FFA-F6FC72108F1E}" uniqueName="25" name="Reviewed By" queryTableFieldId="25" dataDxfId="362"/>
    <tableColumn id="26" xr3:uid="{49A9A728-0939-4C84-A93C-ADE06A0F08EE}" uniqueName="26" name="CompleteCalc" queryTableFieldId="26" dataDxfId="361"/>
    <tableColumn id="27" xr3:uid="{2A139185-FDBE-4BDA-BC8B-8DE1F9D1B094}" uniqueName="27" name="Officer of Record" queryTableFieldId="27" dataDxfId="360"/>
    <tableColumn id="28" xr3:uid="{7DA4D084-1D51-4CEF-821D-D576ACCC96C4}" uniqueName="28" name="Squad" queryTableFieldId="28" dataDxfId="359"/>
    <tableColumn id="29" xr3:uid="{C0E215E2-A7C4-41D2-B352-B5082A0D9B13}" uniqueName="29" name="Det_Assigned" queryTableFieldId="29" dataDxfId="358"/>
    <tableColumn id="30" xr3:uid="{5CDD9A8C-79D0-4DD5-8498-D1937A495FEF}" uniqueName="30" name="Case_Status" queryTableFieldId="30" dataDxfId="357"/>
    <tableColumn id="37" xr3:uid="{AAEBE74C-8783-4B9F-9CA6-F64926EBBA44}" uniqueName="37" name="NibrsClassification" queryTableFieldId="37" dataDxfId="356"/>
    <tableColumn id="64" xr3:uid="{6A8EA985-43E3-4354-B8DD-C2FB40DDD3CF}" uniqueName="64" name="CaseNumberLength" queryTableFieldId="119" dataDxfId="355"/>
    <tableColumn id="2" xr3:uid="{94DEE3AC-8689-49D9-BEA5-E5DE7794A120}" uniqueName="2" name="Incident Date" queryTableFieldId="2" dataDxfId="354"/>
    <tableColumn id="39" xr3:uid="{8CB0AC9B-323D-4CD1-B8BF-60641E3A8814}" uniqueName="39" name="IncTime" queryTableFieldId="39" dataDxfId="353"/>
    <tableColumn id="40" xr3:uid="{F7FB22F7-6A15-444B-83FB-B59E9B34C1F1}" uniqueName="40" name="StartOfHour" queryTableFieldId="40" dataDxfId="352"/>
    <tableColumn id="34" xr3:uid="{A78FECA6-0158-4AE2-A401-0110DC6B80B7}" uniqueName="34" name="TimeOfDay" queryTableFieldId="34" dataDxfId="351"/>
    <tableColumn id="55" xr3:uid="{43394831-B1CD-4131-9C58-5F48D35A2863}" uniqueName="55" name="Block" queryTableFieldId="88" dataDxfId="350"/>
    <tableColumn id="35" xr3:uid="{D1B6A7FC-2E16-4978-8976-EF309DDD0D0A}" uniqueName="35" name="ALL_INCIDENTS" queryTableFieldId="35" dataDxfId="349"/>
    <tableColumn id="65" xr3:uid="{3652551A-3304-40F3-8528-C7484AD53F36}" uniqueName="65" name="Period" queryTableFieldId="120" dataDxfId="34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A332714-3ECC-4D31-9CC4-4113BBAAC668}" name="Auto_Burglary" displayName="Auto_Burglary" ref="A1:BI60" tableType="queryTable" totalsRowShown="0">
  <autoFilter ref="A1:BI60" xr:uid="{8A332714-3ECC-4D31-9CC4-4113BBAAC668}"/>
  <tableColumns count="61">
    <tableColumn id="1" xr3:uid="{5BA540F9-1A7B-453B-9A4E-D96A646A6A86}" uniqueName="1" name="Case Number" queryTableFieldId="1" dataDxfId="343"/>
    <tableColumn id="36" xr3:uid="{F928487C-3E3C-41EF-A73A-5749009F7AC8}" uniqueName="36" name="IncidentDate" queryTableFieldId="36"/>
    <tableColumn id="3" xr3:uid="{5265A68B-47DF-412B-9027-77BE219F324E}" uniqueName="3" name="Incident Time" queryTableFieldId="3" dataDxfId="342"/>
    <tableColumn id="4" xr3:uid="{52D9C017-E572-4AEF-9AE7-FA13104F9197}" uniqueName="4" name="Incident Date_Between" queryTableFieldId="4" dataDxfId="341"/>
    <tableColumn id="5" xr3:uid="{B87E6B0A-7CDE-4743-A5EF-ACC76E10BDD0}" uniqueName="5" name="Incident Time_Between" queryTableFieldId="5" dataDxfId="340"/>
    <tableColumn id="6" xr3:uid="{F8B913EF-6F23-4D3C-80F0-8CEE46016093}" uniqueName="6" name="Report Date" queryTableFieldId="6" dataDxfId="339"/>
    <tableColumn id="7" xr3:uid="{B8CF4528-8AC6-4672-AC45-5EEDC8A0167D}" uniqueName="7" name="Report Time" queryTableFieldId="7" dataDxfId="338"/>
    <tableColumn id="8" xr3:uid="{8A60C3C9-8A99-4281-8664-D88253ABF77D}" uniqueName="8" name="Incident Type_1" queryTableFieldId="8" dataDxfId="337"/>
    <tableColumn id="9" xr3:uid="{5146A8AE-4FA0-4DF3-AB69-487A303207AB}" uniqueName="9" name="Incident Type_2" queryTableFieldId="9" dataDxfId="336"/>
    <tableColumn id="10" xr3:uid="{31746788-02EC-4898-90C6-D76528C8BAB6}" uniqueName="10" name="Incident Type_3" queryTableFieldId="10" dataDxfId="335"/>
    <tableColumn id="11" xr3:uid="{C7C83012-958F-48A6-BD74-3D3996C44043}" uniqueName="11" name="FullAddress" queryTableFieldId="11" dataDxfId="334"/>
    <tableColumn id="12" xr3:uid="{8BF49E38-6030-4EC6-B1D2-15D6E3DC5402}" uniqueName="12" name="Grid" queryTableFieldId="12" dataDxfId="333"/>
    <tableColumn id="13" xr3:uid="{F74CB9B5-B195-40D4-943A-1DB662BBED36}" uniqueName="13" name="Zone" queryTableFieldId="13"/>
    <tableColumn id="14" xr3:uid="{D6FD85D9-8397-4502-B5D6-9A93DA469EC9}" uniqueName="14" name="Narrative" queryTableFieldId="14" dataDxfId="332"/>
    <tableColumn id="15" xr3:uid="{C221105F-5B39-40EE-95A1-5D555D2385E1}" uniqueName="15" name="Total Value Stolen" queryTableFieldId="15"/>
    <tableColumn id="16" xr3:uid="{8D6099C8-A108-484B-8714-C5F05F5AB948}" uniqueName="16" name="Total Value Recover" queryTableFieldId="16"/>
    <tableColumn id="17" xr3:uid="{AA765734-88CD-4866-ABCC-AD18A0A66F3A}" uniqueName="17" name="Registration 1" queryTableFieldId="17" dataDxfId="331"/>
    <tableColumn id="18" xr3:uid="{3D99E826-8D76-4BE5-9C9D-4FA87BBBA88C}" uniqueName="18" name="Make1" queryTableFieldId="18" dataDxfId="330"/>
    <tableColumn id="19" xr3:uid="{D6EA09AE-AEFF-42B3-9B98-4D2ECF186737}" uniqueName="19" name="Model1" queryTableFieldId="19" dataDxfId="329"/>
    <tableColumn id="20" xr3:uid="{E0FF7603-1356-4FB8-8412-6A89A933C593}" uniqueName="20" name="Reg State 1" queryTableFieldId="20" dataDxfId="328"/>
    <tableColumn id="21" xr3:uid="{4B160E49-139C-47D4-BF89-F15D990D54FE}" uniqueName="21" name="Registration 2" queryTableFieldId="21" dataDxfId="327"/>
    <tableColumn id="22" xr3:uid="{EAFCC410-6F8F-406F-8D9A-3B537145D081}" uniqueName="22" name="Reg State 2" queryTableFieldId="22" dataDxfId="326"/>
    <tableColumn id="23" xr3:uid="{E1F02B69-A11D-482E-9032-3CF1EB88B5D8}" uniqueName="23" name="Make2" queryTableFieldId="23" dataDxfId="325"/>
    <tableColumn id="24" xr3:uid="{FE1DBFF3-60D8-4B1D-AEB5-C5A130A76F0B}" uniqueName="24" name="Model2" queryTableFieldId="24" dataDxfId="324"/>
    <tableColumn id="25" xr3:uid="{245A2044-4B70-49E5-8528-11EABA170249}" uniqueName="25" name="Reviewed By" queryTableFieldId="25" dataDxfId="323"/>
    <tableColumn id="26" xr3:uid="{FCA0B8B9-518C-4F69-9A58-CD44EE43E69D}" uniqueName="26" name="CompleteCalc" queryTableFieldId="26" dataDxfId="322"/>
    <tableColumn id="27" xr3:uid="{24B882A0-18B4-4E88-BF7D-5A1F5168DD53}" uniqueName="27" name="Officer of Record" queryTableFieldId="27" dataDxfId="321"/>
    <tableColumn id="28" xr3:uid="{5C7DC1E0-D8D1-40E0-B1DF-BDF23DB6CC98}" uniqueName="28" name="Squad" queryTableFieldId="28" dataDxfId="320"/>
    <tableColumn id="29" xr3:uid="{5CF66AEF-E5C7-48F0-9D85-2D6ADA6F4872}" uniqueName="29" name="Det_Assigned" queryTableFieldId="29" dataDxfId="319"/>
    <tableColumn id="30" xr3:uid="{61343236-62FC-4DD9-9297-28E6996EAC7D}" uniqueName="30" name="Case_Status" queryTableFieldId="30" dataDxfId="318"/>
    <tableColumn id="37" xr3:uid="{BEAA3EEC-2F71-4ED7-9F3A-AF43BE3D060C}" uniqueName="37" name="NibrsClassification" queryTableFieldId="37" dataDxfId="317"/>
    <tableColumn id="44" xr3:uid="{21D92E75-137F-499D-9D61-9C9872B65D3C}" uniqueName="44" name="CASE_NUMBER_LENGTH" queryTableFieldId="77" dataDxfId="316"/>
    <tableColumn id="2" xr3:uid="{EF9458A7-9D7F-4AE2-B8BE-736AA300F1BF}" uniqueName="2" name="Incident Date" queryTableFieldId="2" dataDxfId="315"/>
    <tableColumn id="39" xr3:uid="{96AC2A62-F518-41FD-8548-7449B0BDC93D}" uniqueName="39" name="IncTime" queryTableFieldId="39" dataDxfId="314"/>
    <tableColumn id="40" xr3:uid="{BAFB2DDA-241E-494D-A64E-69A0902B83F4}" uniqueName="40" name="StartOfHour" queryTableFieldId="40" dataDxfId="313"/>
    <tableColumn id="34" xr3:uid="{E1AE53B3-6F1F-4731-A5CF-F5B2EFA1D646}" uniqueName="34" name="TimeOfDay" queryTableFieldId="34" dataDxfId="312"/>
    <tableColumn id="55" xr3:uid="{57E73902-4622-426B-BB9B-B84FCEDABAAF}" uniqueName="55" name="Block" queryTableFieldId="88" dataDxfId="311"/>
    <tableColumn id="35" xr3:uid="{183BA1A5-B13F-45F1-9691-F69CB8D1F502}" uniqueName="35" name="ALL_INCIDENTS" queryTableFieldId="35" dataDxfId="310"/>
    <tableColumn id="64" xr3:uid="{C6EE79CC-0587-4132-8F0D-45EC77C78022}" uniqueName="64" name="Period" queryTableFieldId="119" dataDxfId="309"/>
    <tableColumn id="45" xr3:uid="{614A2F5C-D720-4969-B1EB-10025700405A}" uniqueName="45" name="INC_TIME" queryTableFieldId="78" dataDxfId="308"/>
    <tableColumn id="46" xr3:uid="{096282C5-53DD-4767-A377-C9DC0BDD38B7}" uniqueName="46" name="INC_DATE" queryTableFieldId="79" dataDxfId="307"/>
    <tableColumn id="47" xr3:uid="{FF966459-743F-4039-A3AE-35DB5E29A1FA}" uniqueName="47" name="Start of Hour" queryTableFieldId="80" dataDxfId="306"/>
    <tableColumn id="48" xr3:uid="{C5001A9A-E03F-44E8-971B-444DCE41C073}" uniqueName="48" name="INC_DATE_AND_TIME" queryTableFieldId="81" dataDxfId="305"/>
    <tableColumn id="49" xr3:uid="{B615AF85-B90E-4EF5-A49A-8D6E5C07454A}" uniqueName="49" name="TOD" queryTableFieldId="82" dataDxfId="304"/>
    <tableColumn id="43" xr3:uid="{7EB2DC78-7697-4356-BB33-DBF4FE1CCD12}" uniqueName="43" name="Day Name" queryTableFieldId="76" dataDxfId="303"/>
    <tableColumn id="42" xr3:uid="{C21A69D0-B83C-462B-943B-77CA135E33F6}" uniqueName="42" name="Month Name" queryTableFieldId="75" dataDxfId="302"/>
    <tableColumn id="50" xr3:uid="{926DD5E3-FCF4-4571-9049-0C95E1C56CBF}" uniqueName="50" name="Year" queryTableFieldId="83" dataDxfId="301"/>
    <tableColumn id="51" xr3:uid="{3C56D885-A5B3-4245-88F6-E93E6EFD08DA}" uniqueName="51" name="Week of Year" queryTableFieldId="84" dataDxfId="300"/>
    <tableColumn id="52" xr3:uid="{C7FF5245-0F92-4702-9586-0466CAD7D0DE}" uniqueName="52" name="Week of Month" queryTableFieldId="85" dataDxfId="299"/>
    <tableColumn id="53" xr3:uid="{34530586-24BA-4032-A0B3-F4A968A266C6}" uniqueName="53" name="Day" queryTableFieldId="86" dataDxfId="298"/>
    <tableColumn id="54" xr3:uid="{000881D7-A6B6-4894-9A57-CFF31C7CC847}" uniqueName="54" name="Day of Year" queryTableFieldId="87" dataDxfId="297"/>
    <tableColumn id="65" xr3:uid="{203A6647-38E2-4599-8F72-D3E1ACBCC837}" uniqueName="65" name="BLOCK2" queryTableFieldId="120" dataDxfId="296"/>
    <tableColumn id="56" xr3:uid="{E452C2AE-A494-42EF-8A25-79315142AFB6}" uniqueName="56" name="Location" queryTableFieldId="89" dataDxfId="295"/>
    <tableColumn id="57" xr3:uid="{E3FBFA0D-CAD5-40CA-93EE-9A8B4776AC4B}" uniqueName="57" name="St#" queryTableFieldId="90" dataDxfId="294"/>
    <tableColumn id="58" xr3:uid="{9BA0E371-6599-4816-917F-993A7252C792}" uniqueName="58" name="Notes" queryTableFieldId="91" dataDxfId="293"/>
    <tableColumn id="59" xr3:uid="{5C025004-CD92-48AE-8B70-C7C8423D36EB}" uniqueName="59" name="VEHICLE" queryTableFieldId="92" dataDxfId="292"/>
    <tableColumn id="60" xr3:uid="{F1432615-2844-4EBC-A374-054A564F68BD}" uniqueName="60" name="Suspect" queryTableFieldId="93" dataDxfId="291"/>
    <tableColumn id="61" xr3:uid="{5A51A2B3-3895-418B-8C22-DB6040011481}" uniqueName="61" name="TOTAL_STOLEN_AMOUNT" queryTableFieldId="94" dataDxfId="290"/>
    <tableColumn id="62" xr3:uid="{C0BDBF04-4114-4FAB-AC15-9ED083843359}" uniqueName="62" name="REPORT_CYCLE" queryTableFieldId="95" dataDxfId="289"/>
    <tableColumn id="63" xr3:uid="{881B5536-18FC-4D19-8599-0F71416652ED}" uniqueName="63" name="TIME_OF_DAY" queryTableFieldId="96" dataDxfId="288"/>
    <tableColumn id="41" xr3:uid="{4AD37EF6-C5DC-4B4C-96F0-C2455C60EDE7}" uniqueName="41" name="Enhanced_TimeOfDay" queryTableFieldId="41" dataDxfId="28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010F07E-2B9E-4F29-B2EC-34BBDFED37C0}" name="Burglary_Commercial_Residential" displayName="Burglary_Commercial_Residential" ref="A1:BI36" tableType="queryTable" totalsRowShown="0" headerRowDxfId="282" dataDxfId="281">
  <autoFilter ref="A1:BI36" xr:uid="{C010F07E-2B9E-4F29-B2EC-34BBDFED37C0}"/>
  <tableColumns count="61">
    <tableColumn id="1" xr3:uid="{971A3DD2-3A1B-4D90-988D-EB55A9A2F9FD}" uniqueName="1" name="Case Number" queryTableFieldId="1" dataDxfId="280"/>
    <tableColumn id="55" xr3:uid="{75401D52-6EE7-4847-9BC5-574F25CD16E4}" uniqueName="55" name="IncidentDate" queryTableFieldId="55" dataDxfId="279"/>
    <tableColumn id="3" xr3:uid="{13B71906-EF90-4FC9-A1DC-B431A873447E}" uniqueName="3" name="Incident Time" queryTableFieldId="3" dataDxfId="278"/>
    <tableColumn id="4" xr3:uid="{E8D1D72E-FFD1-422E-850B-F07AC374508F}" uniqueName="4" name="Incident Date_Between" queryTableFieldId="4" dataDxfId="277"/>
    <tableColumn id="5" xr3:uid="{4B729429-2F1C-4C84-8812-B84783F88E5C}" uniqueName="5" name="Incident Time_Between" queryTableFieldId="5" dataDxfId="276"/>
    <tableColumn id="6" xr3:uid="{DAA89A0F-C3C5-4BB0-9C1D-08904D0AA835}" uniqueName="6" name="Report Date" queryTableFieldId="6" dataDxfId="275"/>
    <tableColumn id="7" xr3:uid="{721726A6-AC23-4162-AE93-BFC418AB87FE}" uniqueName="7" name="Report Time" queryTableFieldId="7" dataDxfId="274"/>
    <tableColumn id="8" xr3:uid="{A4D8D56F-C05F-4690-A6FA-C7084CBB01E7}" uniqueName="8" name="Incident Type_1" queryTableFieldId="8" dataDxfId="273"/>
    <tableColumn id="9" xr3:uid="{69E070D7-593E-4716-9FE4-7951F23AF646}" uniqueName="9" name="Incident Type_2" queryTableFieldId="9" dataDxfId="272"/>
    <tableColumn id="10" xr3:uid="{CFAA1391-10CB-47D7-8E9A-23CFCE1EC611}" uniqueName="10" name="Incident Type_3" queryTableFieldId="10" dataDxfId="271"/>
    <tableColumn id="11" xr3:uid="{8F08F409-B5B9-4B9E-83B3-9651E2B19363}" uniqueName="11" name="FullAddress" queryTableFieldId="11" dataDxfId="270"/>
    <tableColumn id="12" xr3:uid="{DD554A7E-5A9B-417D-B533-C0A39D544952}" uniqueName="12" name="Grid" queryTableFieldId="12" dataDxfId="269"/>
    <tableColumn id="13" xr3:uid="{15DCFB9F-A00A-4B74-A93C-0D16DC4ED8FD}" uniqueName="13" name="Zone" queryTableFieldId="13" dataDxfId="268"/>
    <tableColumn id="14" xr3:uid="{E7FED82A-E495-4066-A113-B6C9E833558B}" uniqueName="14" name="Narrative" queryTableFieldId="14" dataDxfId="267"/>
    <tableColumn id="15" xr3:uid="{D228771B-B55C-4642-AA38-C54E5F711A17}" uniqueName="15" name="Total Value Stolen" queryTableFieldId="15" dataDxfId="266"/>
    <tableColumn id="16" xr3:uid="{1BF12D1A-CC63-485A-B3EB-1D00A9BB017B}" uniqueName="16" name="Total Value Recover" queryTableFieldId="16" dataDxfId="265"/>
    <tableColumn id="17" xr3:uid="{804B5A07-AC98-47E7-A7CF-17C9A74E32F5}" uniqueName="17" name="Registration 1" queryTableFieldId="17" dataDxfId="264"/>
    <tableColumn id="18" xr3:uid="{BC117EE9-FD6D-4834-A9F5-5EF602BA94DF}" uniqueName="18" name="Make1" queryTableFieldId="18" dataDxfId="263"/>
    <tableColumn id="19" xr3:uid="{BA59A70E-2102-4B81-8837-AE666E9B68EB}" uniqueName="19" name="Model1" queryTableFieldId="19" dataDxfId="262"/>
    <tableColumn id="20" xr3:uid="{26189DA3-E02D-41D1-80B8-FA231B7CA7E1}" uniqueName="20" name="Reg State 1" queryTableFieldId="20" dataDxfId="261"/>
    <tableColumn id="21" xr3:uid="{1381443D-034A-4AEF-A05A-B22CC3CF0DF9}" uniqueName="21" name="Registration 2" queryTableFieldId="21" dataDxfId="260"/>
    <tableColumn id="22" xr3:uid="{FACE3B92-9298-45AD-9B3F-764572EEECCB}" uniqueName="22" name="Reg State 2" queryTableFieldId="22" dataDxfId="259"/>
    <tableColumn id="23" xr3:uid="{973FB742-120E-4FA2-AC5E-8BCC829913EC}" uniqueName="23" name="Make2" queryTableFieldId="23" dataDxfId="258"/>
    <tableColumn id="24" xr3:uid="{D7B5F31C-8FBF-46E3-A42B-3E76BCD1DE93}" uniqueName="24" name="Model2" queryTableFieldId="24" dataDxfId="257"/>
    <tableColumn id="25" xr3:uid="{60D41445-9C9F-4747-91A8-59344B96EA1F}" uniqueName="25" name="Reviewed By" queryTableFieldId="25" dataDxfId="256"/>
    <tableColumn id="26" xr3:uid="{1C00A268-63A8-4CBD-94EE-70A66FF3648E}" uniqueName="26" name="CompleteCalc" queryTableFieldId="26" dataDxfId="255"/>
    <tableColumn id="27" xr3:uid="{179F145E-CAB0-4464-810A-46090AD5E466}" uniqueName="27" name="Officer of Record" queryTableFieldId="27" dataDxfId="254"/>
    <tableColumn id="28" xr3:uid="{9A2E5CF0-13A9-4E27-9015-3DBFE1594C61}" uniqueName="28" name="Squad" queryTableFieldId="28" dataDxfId="253"/>
    <tableColumn id="29" xr3:uid="{9C9DFBE8-034B-46ED-8173-5C0486B169F9}" uniqueName="29" name="Det_Assigned" queryTableFieldId="29" dataDxfId="252"/>
    <tableColumn id="30" xr3:uid="{12D9D1D5-6179-4F4E-93C9-6CD94CBE89D1}" uniqueName="30" name="Case_Status" queryTableFieldId="30" dataDxfId="251"/>
    <tableColumn id="56" xr3:uid="{60A3844B-A86D-49E2-B07F-730547720469}" uniqueName="56" name="NibrsClassification" queryTableFieldId="56" dataDxfId="250"/>
    <tableColumn id="62" xr3:uid="{20A8B2E7-757E-4B95-B469-46B830E9DF89}" uniqueName="62" name="CASE_NUMBER_LENGTH" queryTableFieldId="96" dataDxfId="249"/>
    <tableColumn id="2" xr3:uid="{C93271B1-0F4C-404F-8FF9-5A9536A4B697}" uniqueName="2" name="Incident Date" queryTableFieldId="2" dataDxfId="248"/>
    <tableColumn id="58" xr3:uid="{51072B20-A300-4BB4-821C-2705DAB9E0A8}" uniqueName="58" name="IncTime" queryTableFieldId="58" dataDxfId="247"/>
    <tableColumn id="59" xr3:uid="{B744EE7B-A8DD-49A6-B2F1-108EE448C8EA}" uniqueName="59" name="StartOfHour" queryTableFieldId="59" dataDxfId="246"/>
    <tableColumn id="60" xr3:uid="{AD6E1BC2-9003-4C6E-9D5B-B7CCEE51EB9E}" uniqueName="60" name="TimeOfDay" queryTableFieldId="60" dataDxfId="245"/>
    <tableColumn id="75" xr3:uid="{DDCC066E-3009-460F-81A6-FD41D090EBA6}" uniqueName="75" name="Block" queryTableFieldId="109" dataDxfId="244"/>
    <tableColumn id="46" xr3:uid="{02A20A98-CE18-4DF2-9407-F7285F14EF66}" uniqueName="46" name="ALL_INCIDENTS" queryTableFieldId="46" dataDxfId="243"/>
    <tableColumn id="85" xr3:uid="{215EF4B1-2B35-4276-B511-10D5CD5C6D02}" uniqueName="85" name="Period" queryTableFieldId="135" dataDxfId="242"/>
    <tableColumn id="63" xr3:uid="{0B72F723-24CF-448D-8D59-7D0FAE9234B0}" uniqueName="63" name="INC_TIME" queryTableFieldId="97" dataDxfId="241"/>
    <tableColumn id="64" xr3:uid="{41453A37-7BAB-488C-8A7C-A9F87B9D15F0}" uniqueName="64" name="INC_DATE" queryTableFieldId="98" dataDxfId="240"/>
    <tableColumn id="65" xr3:uid="{BBBBACBF-D2F4-430C-8351-4273D93A079F}" uniqueName="65" name="Start of Hour" queryTableFieldId="99" dataDxfId="239"/>
    <tableColumn id="66" xr3:uid="{8041937C-95E7-4908-991A-A6580400C55C}" uniqueName="66" name="INC_DATE_AND_TIME" queryTableFieldId="100" dataDxfId="238"/>
    <tableColumn id="67" xr3:uid="{0FF939F8-0882-44CC-B237-8808F1E2E078}" uniqueName="67" name="TOD" queryTableFieldId="101" dataDxfId="237"/>
    <tableColumn id="68" xr3:uid="{12522FEB-6BD7-42A6-AF92-C5E2D54A6D32}" uniqueName="68" name="Day Name" queryTableFieldId="102" dataDxfId="236"/>
    <tableColumn id="69" xr3:uid="{38CAFBAA-A2DE-4513-B269-6712BC8748F2}" uniqueName="69" name="Month Name" queryTableFieldId="103" dataDxfId="235"/>
    <tableColumn id="70" xr3:uid="{50909469-3775-4B13-97C6-57886C6ECE47}" uniqueName="70" name="Year" queryTableFieldId="104" dataDxfId="234"/>
    <tableColumn id="71" xr3:uid="{8DE6EB4B-7641-437D-A0BB-A3D15E293819}" uniqueName="71" name="Week of Year" queryTableFieldId="105" dataDxfId="233"/>
    <tableColumn id="72" xr3:uid="{1F7088B8-1317-426B-9E30-70D67BE8218A}" uniqueName="72" name="Week of Month" queryTableFieldId="106" dataDxfId="232"/>
    <tableColumn id="73" xr3:uid="{0B5FB367-3DAA-4B36-9EE0-B2F1545E7B36}" uniqueName="73" name="Day" queryTableFieldId="107" dataDxfId="231"/>
    <tableColumn id="74" xr3:uid="{01BF0E99-6678-4CF2-A1FD-911056BA7468}" uniqueName="74" name="Day of Year" queryTableFieldId="108" dataDxfId="230"/>
    <tableColumn id="86" xr3:uid="{78F1358F-3FE6-493E-A711-1EEB469AD01A}" uniqueName="86" name="BLOCK2" queryTableFieldId="136" dataDxfId="229"/>
    <tableColumn id="76" xr3:uid="{0C742A3D-62BD-4105-9FB9-F7143601AE5F}" uniqueName="76" name="Location" queryTableFieldId="110" dataDxfId="228"/>
    <tableColumn id="77" xr3:uid="{3D9D0DC8-D1CB-4630-9BD1-E91D0E3C61E3}" uniqueName="77" name="St#" queryTableFieldId="111" dataDxfId="227"/>
    <tableColumn id="78" xr3:uid="{9F17B560-09B1-4B57-ABCA-3F0D0069D712}" uniqueName="78" name="Notes" queryTableFieldId="112" dataDxfId="226"/>
    <tableColumn id="79" xr3:uid="{3040DDB8-930B-40F3-89EB-7CFC97AD171A}" uniqueName="79" name="VEHICLE" queryTableFieldId="113" dataDxfId="225"/>
    <tableColumn id="80" xr3:uid="{6ABB9E1F-B967-49C3-AD1B-C8121B837396}" uniqueName="80" name="Suspect" queryTableFieldId="114" dataDxfId="224"/>
    <tableColumn id="81" xr3:uid="{0E13BD5A-B2DD-4B10-99B1-4E0FE8308AA2}" uniqueName="81" name="TOTAL_STOLEN_AMOUNT" queryTableFieldId="115" dataDxfId="223"/>
    <tableColumn id="82" xr3:uid="{D88D7C8D-4E83-47CD-B1CE-F6286A8E16CB}" uniqueName="82" name="REPORT_CYCLE" queryTableFieldId="116" dataDxfId="222"/>
    <tableColumn id="83" xr3:uid="{2DDD0B44-38CF-441C-9B7C-2398CEC80AE6}" uniqueName="83" name="TIME_OF_DAY" queryTableFieldId="117" dataDxfId="221"/>
    <tableColumn id="87" xr3:uid="{A8EF6CFB-CBFB-4DEF-8E8C-4FEBF2D9E1FB}" uniqueName="87" name="Enhanced_TimeOfDay" queryTableFieldId="137" dataDxfId="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CD1384B-A78D-4D22-BF57-57527D4538F7}" name="Bur_C_R50" displayName="Bur_C_R50" ref="M1:BN11" totalsRowShown="0" headerRowDxfId="173" dataDxfId="172">
  <autoFilter ref="M1:BN11" xr:uid="{0CD1384B-A78D-4D22-BF57-57527D4538F7}"/>
  <tableColumns count="54">
    <tableColumn id="1" xr3:uid="{8DBFF80D-CDA3-4C7D-AFE4-25A7FA949C0B}" name="Case Number" dataDxfId="171"/>
    <tableColumn id="2" xr3:uid="{4B32C307-04B2-4E06-879B-1C47990EA447}" name="INC_DATE" dataDxfId="170"/>
    <tableColumn id="3" xr3:uid="{CCF5552A-3101-409C-A2CC-C594719C0C08}" name="TOD"/>
    <tableColumn id="4" xr3:uid="{52CEF72F-8DCC-4716-B0D5-FD829FE089F0}" name="Start of Hour" dataDxfId="169"/>
    <tableColumn id="5" xr3:uid="{B5BBE312-A7A7-4128-A0FF-7C93D3392031}" name="INC_TIME" dataDxfId="168"/>
    <tableColumn id="6" xr3:uid="{8FDC614B-9734-4F3C-BDEE-32628643507F}" name="Day Name"/>
    <tableColumn id="7" xr3:uid="{8DD8AAA6-626D-4F8A-BFE4-1F82FD5910B0}" name="Month Name"/>
    <tableColumn id="8" xr3:uid="{CDD352D5-7E11-43C1-845D-17992AD9660D}" name="BLOCK"/>
    <tableColumn id="9" xr3:uid="{A02FD012-D329-4E11-BFBA-1A87102F8B0F}" name="Location"/>
    <tableColumn id="10" xr3:uid="{01DB759B-82E5-4732-A377-079EB612A673}" name="ALL_INCIDENTS"/>
    <tableColumn id="11" xr3:uid="{F7F1E8E6-7715-433A-96FA-F6F739EEE905}" name="Incident Type_1" dataDxfId="167"/>
    <tableColumn id="12" xr3:uid="{1E716A9F-A0A5-460A-B0DF-1B111A11665F}" name="Incident Type_2" dataDxfId="166"/>
    <tableColumn id="13" xr3:uid="{313D146B-E0C1-4017-BB83-19CC998A33D9}" name="Incident Type_3" dataDxfId="165"/>
    <tableColumn id="14" xr3:uid="{2DC8E3D3-788F-43B8-AE69-2ACA178F2A0F}" name="FullAddress" dataDxfId="164"/>
    <tableColumn id="47" xr3:uid="{68B5AC45-3887-4434-A52D-46D8A7638E59}" name="Grid" dataDxfId="163"/>
    <tableColumn id="54" xr3:uid="{EF527E54-F354-46AE-8575-50C41228F173}" name="Zone"/>
    <tableColumn id="15" xr3:uid="{ABD40984-83CE-4CB0-A5D8-EB6ACB59F210}" name="Narrative" dataDxfId="162"/>
    <tableColumn id="16" xr3:uid="{38AE268A-E478-4035-998A-80465ACA29B7}" name="Total Value Stolen" dataDxfId="161"/>
    <tableColumn id="17" xr3:uid="{9AA31042-4C8A-417A-8BCC-B20C2AC6E42C}" name="Total Value Recover" dataDxfId="160"/>
    <tableColumn id="18" xr3:uid="{5C70B1F7-2EC4-4E4C-8740-3E96795DF8B1}" name="Registration 1" dataDxfId="159"/>
    <tableColumn id="19" xr3:uid="{06376A9B-1CF9-430C-A35F-AA069A6AA6C1}" name="Make1" dataDxfId="158"/>
    <tableColumn id="20" xr3:uid="{99421096-9242-4098-8FCD-C26C9FD574CD}" name="Model1" dataDxfId="157"/>
    <tableColumn id="21" xr3:uid="{331137EF-4C13-4DDC-B80D-D98644B30E12}" name="Reg State 1" dataDxfId="156"/>
    <tableColumn id="22" xr3:uid="{2BC76BE6-D952-4844-9566-C8F8CA75A344}" name="Registration 2" dataDxfId="155"/>
    <tableColumn id="23" xr3:uid="{BC00D1E6-5798-4D3C-B256-1EC44782A776}" name="Reg State 2" dataDxfId="154"/>
    <tableColumn id="24" xr3:uid="{8336147A-DCE5-4596-A1FF-FD55C43DC5FD}" name="Make2" dataDxfId="153"/>
    <tableColumn id="25" xr3:uid="{8B591E20-AFE1-4590-A3DD-8861C4C76BBA}" name="Model2" dataDxfId="152"/>
    <tableColumn id="26" xr3:uid="{917BD22A-1A91-40C1-9350-139744ECF24E}" name="Reviewed By" dataDxfId="151"/>
    <tableColumn id="27" xr3:uid="{8943FF1F-0B49-4252-AC6A-30B17CAF51E8}" name="CompleteCalc" dataDxfId="150"/>
    <tableColumn id="28" xr3:uid="{FCB4ABCF-9B7F-494A-A132-87CD59849845}" name="Officer of Record" dataDxfId="149"/>
    <tableColumn id="29" xr3:uid="{51679C79-217D-43C7-8E77-A252FA0185F3}" name="Squad" dataDxfId="148"/>
    <tableColumn id="30" xr3:uid="{5387C2E1-5463-4E1C-9742-15D9035EC8ED}" name="Det_Assigned" dataDxfId="147"/>
    <tableColumn id="31" xr3:uid="{E7153E2D-F428-4051-9826-59761DC427AA}" name="Case_Status" dataDxfId="146"/>
    <tableColumn id="32" xr3:uid="{CD2BAF2F-1A1B-49DC-8BC9-87C1FEDF9130}" name="NIBRS Classification" dataDxfId="145"/>
    <tableColumn id="33" xr3:uid="{1E1CA433-54D2-4A4F-A7D7-6AC1E3B21E32}" name="CASE_NUMBER_LENGTH" dataDxfId="144"/>
    <tableColumn id="34" xr3:uid="{8CC3CDA9-58F3-4615-B536-288F40633174}" name="Incident Date" dataDxfId="143"/>
    <tableColumn id="35" xr3:uid="{FD2B7F2D-B418-4E3B-A557-CA5398F4AC12}" name="Incident Time" dataDxfId="142"/>
    <tableColumn id="36" xr3:uid="{BF36C18E-15FE-4A62-8C3E-CCF246CFCD10}" name="Incident Date_Between" dataDxfId="141"/>
    <tableColumn id="37" xr3:uid="{6EE80A5B-99D0-44C0-829A-9534D2520FC9}" name="Incident Time_Between" dataDxfId="140"/>
    <tableColumn id="38" xr3:uid="{D64E25F8-19E5-4E37-87C2-05A9A8469D28}" name="Report Date" dataDxfId="139"/>
    <tableColumn id="39" xr3:uid="{A179B8AD-FD56-4C02-A308-C2332AD2778E}" name="Report Time" dataDxfId="138"/>
    <tableColumn id="40" xr3:uid="{DDB04E3D-06C9-440D-89ED-D617DF343DF3}" name="Year" dataDxfId="137"/>
    <tableColumn id="41" xr3:uid="{AC5909CE-A646-441A-BBC3-BF6792B94BA5}" name="Week of Year" dataDxfId="136"/>
    <tableColumn id="42" xr3:uid="{EDD8C9F0-0663-4A97-BD40-C66FB4F4088D}" name="Week of Month" dataDxfId="135"/>
    <tableColumn id="43" xr3:uid="{CD74AE42-0764-4E41-A6A6-13F76DD8434A}" name="Day" dataDxfId="134"/>
    <tableColumn id="44" xr3:uid="{484AE78D-1C83-4F29-BAC9-5CB3211FAF60}" name="Day of Year" dataDxfId="133"/>
    <tableColumn id="45" xr3:uid="{65FB300B-DB45-4A1C-BD01-4C93BBC4CC5E}" name="INC_DATE_AND_TIME" dataDxfId="132"/>
    <tableColumn id="46" xr3:uid="{07CB8E68-106E-4105-91A7-1DF1FBCEECF0}" name="St#" dataDxfId="131"/>
    <tableColumn id="49" xr3:uid="{3CCCD671-FD9B-4A69-952F-3CD5F70038EF}" name="Notes"/>
    <tableColumn id="50" xr3:uid="{9CD9617D-EAB7-4438-980F-EE64B74254B7}" name="VEHICLE" dataDxfId="130"/>
    <tableColumn id="51" xr3:uid="{3F2DD14E-E4E0-48BD-AAFC-5C72983BF6E9}" name="Suspect" dataDxfId="129"/>
    <tableColumn id="52" xr3:uid="{F63BDAC3-68F7-4E8C-8C72-8298FD2096C2}" name="TOTAL_STOLEN_AMOUNT" dataDxfId="128"/>
    <tableColumn id="53" xr3:uid="{D7C6EC5E-2C28-409D-BBB5-BF00DE5841CE}" name="REPORT_CYCLE" dataDxfId="127"/>
    <tableColumn id="48" xr3:uid="{956E24E5-8802-4C79-8C12-49C651855486}" name="TIME_OF_DAY" dataDxfId="126"/>
  </tableColumns>
  <tableStyleInfo name="TableStyleLight19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5124254-843D-4925-808B-81581425B9C5}" name="REPORT_BUR_AUTO_7DAY" displayName="REPORT_BUR_AUTO_7DAY" ref="N1:AB2" totalsRowShown="0" headerRowDxfId="64" dataDxfId="63">
  <autoFilter ref="N1:AB2" xr:uid="{85124254-843D-4925-808B-81581425B9C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F7505E7-9D87-4C36-971A-B41530B0B7F6}" name="Block Incident Occurred On" dataDxfId="62"/>
    <tableColumn id="2" xr3:uid="{8922ED49-8F2E-4BF3-8E78-C8046E91BC0E}" name="Incident Date" dataDxfId="61"/>
    <tableColumn id="7" xr3:uid="{BBCF45BD-A2C3-4288-AA29-9D030301F35D}" name="Day of Week" dataDxfId="60"/>
    <tableColumn id="8" xr3:uid="{5FAD7BA0-72E7-4C32-B18F-39817BA1FE2E}" name="Time of Day Incident Occurred" dataDxfId="59"/>
    <tableColumn id="4" xr3:uid="{6D689E85-5A34-4E9C-A668-00E0889BCCAB}" name="Victim's Vehicle Description" dataDxfId="58"/>
    <tableColumn id="6" xr3:uid="{F42BEC7C-6526-44A8-AB91-17FC20818C34}" name="Vehicle Was Parked" dataDxfId="57"/>
    <tableColumn id="5" xr3:uid="{CFC7FF41-F7FC-4CDE-BD79-0667900FCBCC}" name="Entry Method" dataDxfId="56"/>
    <tableColumn id="9" xr3:uid="{00D11AA5-84CE-42B3-864B-635554C068C5}" name="Damage to Vehicle" dataDxfId="55"/>
    <tableColumn id="10" xr3:uid="{5D4117CA-0AB2-45E2-9046-55BF9807163B}" name="Suspect Description" dataDxfId="54"/>
    <tableColumn id="11" xr3:uid="{3BE4B175-BF08-4118-9ACC-49D200953A0D}" name="Suspect Vehicle Description" dataDxfId="53"/>
    <tableColumn id="12" xr3:uid="{5FF668F4-962D-48B3-B268-88F2E0A6108E}" name="Items Stolen" dataDxfId="52"/>
    <tableColumn id="13" xr3:uid="{E6B22A5D-DEB2-441A-ACEF-AF7F2AFE02F2}" name="Value of Stolen Property" dataDxfId="51"/>
    <tableColumn id="14" xr3:uid="{27E2A757-9324-4E40-BDAC-429A19FFE2BC}" name="Keys with Vehicle" dataDxfId="50"/>
    <tableColumn id="15" xr3:uid="{92696B52-EA75-4B05-AD99-65A1C7C77B9E}" name="Offense Completed" dataDxfId="49"/>
    <tableColumn id="16" xr3:uid="{9430299B-427C-4895-A43A-823B06AB5121}" name="Notes" dataDxfId="48"/>
  </tableColumns>
  <tableStyleInfo name="TableStyleLight18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D7BFB5-DE87-453F-B008-96471774DBC6}" name="_7Day_28Day_250414___2" displayName="_7Day_28Day_250414___2" ref="A1:G53" totalsRowShown="0">
  <autoFilter ref="A1:G53" xr:uid="{C3D7BFB5-DE87-453F-B008-96471774DBC6}"/>
  <tableColumns count="7">
    <tableColumn id="1" xr3:uid="{718B9033-645F-4266-9860-38B3FB024295}" name="Report_Due_Date" dataDxfId="47"/>
    <tableColumn id="2" xr3:uid="{98C5A2A6-E059-4AE5-B823-AB869D699EEA}" name="7_Day_Start" dataDxfId="46"/>
    <tableColumn id="3" xr3:uid="{F7298E0B-BF8D-4557-879F-7FF7C9A82CA0}" name="7_Day_End" dataDxfId="45"/>
    <tableColumn id="4" xr3:uid="{31C984E2-8588-4006-8DB0-C106BC1436C5}" name="28_Day_Start" dataDxfId="44"/>
    <tableColumn id="5" xr3:uid="{056A364F-B3DB-415C-A46D-4F5FCBC5B32B}" name="28_Day_End" dataDxfId="43"/>
    <tableColumn id="6" xr3:uid="{BC69DFC2-EB2B-43B8-B52F-070228AA9EB3}" name="Report_Name" dataDxfId="42"/>
    <tableColumn id="7" xr3:uid="{B2AE0C58-411A-4344-8B07-E9FEB8FC8489}" name="Is_Du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4140C-FEB8-4477-983A-0A15AE75688F}">
  <sheetPr codeName="Sheet14"/>
  <dimension ref="A1:H7"/>
  <sheetViews>
    <sheetView workbookViewId="0">
      <selection sqref="A1:M7"/>
    </sheetView>
  </sheetViews>
  <sheetFormatPr defaultRowHeight="15" x14ac:dyDescent="0.25"/>
  <cols>
    <col min="1" max="1" width="8.85546875" bestFit="1" customWidth="1"/>
    <col min="2" max="2" width="18.5703125" bestFit="1" customWidth="1"/>
    <col min="3" max="3" width="14.42578125" bestFit="1" customWidth="1"/>
    <col min="4" max="4" width="13.85546875" bestFit="1" customWidth="1"/>
    <col min="5" max="5" width="23.28515625" bestFit="1" customWidth="1"/>
    <col min="6" max="8" width="80.85546875" bestFit="1" customWidth="1"/>
    <col min="9" max="9" width="14.7109375" bestFit="1" customWidth="1"/>
    <col min="10" max="10" width="13.28515625" bestFit="1" customWidth="1"/>
    <col min="11" max="11" width="17.85546875" bestFit="1" customWidth="1"/>
    <col min="12" max="12" width="80.85546875" bestFit="1" customWidth="1"/>
    <col min="13" max="13" width="25.7109375" bestFit="1" customWidth="1"/>
    <col min="14" max="14" width="80.85546875" bestFit="1" customWidth="1"/>
  </cols>
  <sheetData>
    <row r="1" spans="1:8" x14ac:dyDescent="0.25">
      <c r="A1" t="s">
        <v>0</v>
      </c>
      <c r="B1" t="s">
        <v>1</v>
      </c>
      <c r="C1" t="s">
        <v>2</v>
      </c>
      <c r="D1" t="s">
        <v>3</v>
      </c>
      <c r="E1" t="s">
        <v>4</v>
      </c>
      <c r="F1" t="s">
        <v>5</v>
      </c>
      <c r="G1" t="s">
        <v>6</v>
      </c>
      <c r="H1" t="s">
        <v>7</v>
      </c>
    </row>
    <row r="2" spans="1:8" x14ac:dyDescent="0.25">
      <c r="A2">
        <v>0</v>
      </c>
      <c r="B2" t="s">
        <v>8</v>
      </c>
      <c r="C2" s="1">
        <v>45743</v>
      </c>
      <c r="D2" t="s">
        <v>9</v>
      </c>
      <c r="E2" t="s">
        <v>10</v>
      </c>
      <c r="F2" t="s">
        <v>11</v>
      </c>
      <c r="G2" t="s">
        <v>12</v>
      </c>
      <c r="H2" t="s">
        <v>13</v>
      </c>
    </row>
    <row r="3" spans="1:8" x14ac:dyDescent="0.25">
      <c r="A3">
        <v>1</v>
      </c>
      <c r="B3" t="s">
        <v>14</v>
      </c>
      <c r="C3" s="1">
        <v>45743</v>
      </c>
      <c r="D3" t="s">
        <v>9</v>
      </c>
      <c r="E3" t="s">
        <v>10</v>
      </c>
      <c r="F3" t="s">
        <v>15</v>
      </c>
      <c r="G3" t="s">
        <v>16</v>
      </c>
      <c r="H3" t="s">
        <v>17</v>
      </c>
    </row>
    <row r="4" spans="1:8" x14ac:dyDescent="0.25">
      <c r="A4">
        <v>2</v>
      </c>
      <c r="B4" t="s">
        <v>18</v>
      </c>
      <c r="C4" s="1">
        <v>45747</v>
      </c>
      <c r="D4" t="s">
        <v>19</v>
      </c>
      <c r="E4" t="s">
        <v>20</v>
      </c>
      <c r="F4" t="s">
        <v>21</v>
      </c>
      <c r="G4" t="s">
        <v>22</v>
      </c>
      <c r="H4" t="s">
        <v>23</v>
      </c>
    </row>
    <row r="5" spans="1:8" x14ac:dyDescent="0.25">
      <c r="A5">
        <v>3</v>
      </c>
      <c r="B5" t="s">
        <v>24</v>
      </c>
      <c r="C5" s="1">
        <v>45748</v>
      </c>
      <c r="D5" t="s">
        <v>25</v>
      </c>
      <c r="E5" t="s">
        <v>20</v>
      </c>
      <c r="F5" t="s">
        <v>11</v>
      </c>
      <c r="G5" t="s">
        <v>11</v>
      </c>
      <c r="H5" t="s">
        <v>26</v>
      </c>
    </row>
    <row r="6" spans="1:8" x14ac:dyDescent="0.25">
      <c r="A6">
        <v>4</v>
      </c>
      <c r="B6" t="s">
        <v>27</v>
      </c>
      <c r="C6" s="1">
        <v>45755</v>
      </c>
      <c r="D6" t="s">
        <v>25</v>
      </c>
      <c r="E6" t="s">
        <v>20</v>
      </c>
      <c r="F6" t="s">
        <v>11</v>
      </c>
      <c r="G6" t="s">
        <v>28</v>
      </c>
      <c r="H6" t="s">
        <v>29</v>
      </c>
    </row>
    <row r="7" spans="1:8" x14ac:dyDescent="0.25">
      <c r="A7">
        <v>5</v>
      </c>
      <c r="B7" t="s">
        <v>30</v>
      </c>
      <c r="C7" s="1">
        <v>45760</v>
      </c>
      <c r="D7" t="s">
        <v>31</v>
      </c>
      <c r="E7" t="s">
        <v>32</v>
      </c>
      <c r="F7" t="s">
        <v>11</v>
      </c>
      <c r="G7" t="s">
        <v>33</v>
      </c>
      <c r="H7" t="s">
        <v>34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2807-0C79-46C3-B4F2-43548D036948}">
  <sheetPr codeName="Sheet1"/>
  <dimension ref="A1:G53"/>
  <sheetViews>
    <sheetView workbookViewId="0">
      <selection activeCell="B8" sqref="B8"/>
    </sheetView>
  </sheetViews>
  <sheetFormatPr defaultRowHeight="15" x14ac:dyDescent="0.25"/>
  <cols>
    <col min="1" max="1" width="19.140625" bestFit="1" customWidth="1"/>
    <col min="2" max="2" width="13.7109375" bestFit="1" customWidth="1"/>
    <col min="3" max="3" width="12.85546875" bestFit="1" customWidth="1"/>
    <col min="4" max="4" width="14.7109375" bestFit="1" customWidth="1"/>
    <col min="5" max="5" width="13.85546875" bestFit="1" customWidth="1"/>
    <col min="6" max="6" width="15.7109375" bestFit="1" customWidth="1"/>
    <col min="7" max="7" width="9.28515625" bestFit="1" customWidth="1"/>
  </cols>
  <sheetData>
    <row r="1" spans="1:7" x14ac:dyDescent="0.25">
      <c r="A1" t="s">
        <v>35</v>
      </c>
      <c r="B1" t="s">
        <v>36</v>
      </c>
      <c r="C1" t="s">
        <v>37</v>
      </c>
      <c r="D1" t="s">
        <v>38</v>
      </c>
      <c r="E1" t="s">
        <v>39</v>
      </c>
      <c r="F1" t="s">
        <v>40</v>
      </c>
      <c r="G1" t="s">
        <v>41</v>
      </c>
    </row>
    <row r="2" spans="1:7" x14ac:dyDescent="0.25">
      <c r="A2" s="1">
        <v>45664</v>
      </c>
      <c r="B2" s="1">
        <v>45657</v>
      </c>
      <c r="C2" s="1">
        <v>45663</v>
      </c>
      <c r="D2" s="1">
        <v>45636</v>
      </c>
      <c r="E2" s="1">
        <v>45663</v>
      </c>
      <c r="F2" t="s">
        <v>42</v>
      </c>
    </row>
    <row r="3" spans="1:7" x14ac:dyDescent="0.25">
      <c r="A3" s="1">
        <v>45671</v>
      </c>
      <c r="B3" s="1">
        <v>45664</v>
      </c>
      <c r="C3" s="1">
        <v>45670</v>
      </c>
      <c r="D3" s="1">
        <v>45643</v>
      </c>
      <c r="E3" s="1">
        <v>45670</v>
      </c>
      <c r="F3" t="s">
        <v>43</v>
      </c>
    </row>
    <row r="4" spans="1:7" x14ac:dyDescent="0.25">
      <c r="A4" s="1">
        <v>45678</v>
      </c>
      <c r="B4" s="1">
        <v>45671</v>
      </c>
      <c r="C4" s="1">
        <v>45677</v>
      </c>
      <c r="D4" s="1">
        <v>45650</v>
      </c>
      <c r="E4" s="1">
        <v>45677</v>
      </c>
      <c r="F4" t="s">
        <v>44</v>
      </c>
    </row>
    <row r="5" spans="1:7" x14ac:dyDescent="0.25">
      <c r="A5" s="1">
        <v>45685</v>
      </c>
      <c r="B5" s="1">
        <v>45678</v>
      </c>
      <c r="C5" s="1">
        <v>45684</v>
      </c>
      <c r="D5" s="1">
        <v>45657</v>
      </c>
      <c r="E5" s="1">
        <v>45684</v>
      </c>
      <c r="F5" t="s">
        <v>45</v>
      </c>
    </row>
    <row r="6" spans="1:7" x14ac:dyDescent="0.25">
      <c r="A6" s="1">
        <v>45692</v>
      </c>
      <c r="B6" s="1">
        <v>45685</v>
      </c>
      <c r="C6" s="1">
        <v>45691</v>
      </c>
      <c r="D6" s="1">
        <v>45664</v>
      </c>
      <c r="E6" s="1">
        <v>45691</v>
      </c>
      <c r="F6" t="s">
        <v>46</v>
      </c>
    </row>
    <row r="7" spans="1:7" x14ac:dyDescent="0.25">
      <c r="A7" s="1">
        <v>45699</v>
      </c>
      <c r="B7" s="1">
        <v>45692</v>
      </c>
      <c r="C7" s="1">
        <v>45698</v>
      </c>
      <c r="D7" s="1">
        <v>45671</v>
      </c>
      <c r="E7" s="1">
        <v>45698</v>
      </c>
      <c r="F7" t="s">
        <v>47</v>
      </c>
    </row>
    <row r="8" spans="1:7" x14ac:dyDescent="0.25">
      <c r="A8" s="1">
        <v>45706</v>
      </c>
      <c r="B8" s="1">
        <v>45699</v>
      </c>
      <c r="C8" s="1">
        <v>45705</v>
      </c>
      <c r="D8" s="1">
        <v>45678</v>
      </c>
      <c r="E8" s="1">
        <v>45705</v>
      </c>
      <c r="F8" t="s">
        <v>48</v>
      </c>
    </row>
    <row r="9" spans="1:7" x14ac:dyDescent="0.25">
      <c r="A9" s="1">
        <v>45713</v>
      </c>
      <c r="B9" s="1">
        <v>45706</v>
      </c>
      <c r="C9" s="1">
        <v>45712</v>
      </c>
      <c r="D9" s="1">
        <v>45685</v>
      </c>
      <c r="E9" s="1">
        <v>45712</v>
      </c>
      <c r="F9" t="s">
        <v>49</v>
      </c>
    </row>
    <row r="10" spans="1:7" x14ac:dyDescent="0.25">
      <c r="A10" s="1">
        <v>45720</v>
      </c>
      <c r="B10" s="1">
        <v>45713</v>
      </c>
      <c r="C10" s="1">
        <v>45719</v>
      </c>
      <c r="D10" s="1">
        <v>45692</v>
      </c>
      <c r="E10" s="1">
        <v>45719</v>
      </c>
      <c r="F10" t="s">
        <v>50</v>
      </c>
    </row>
    <row r="11" spans="1:7" x14ac:dyDescent="0.25">
      <c r="A11" s="1">
        <v>45727</v>
      </c>
      <c r="B11" s="1">
        <v>45720</v>
      </c>
      <c r="C11" s="1">
        <v>45726</v>
      </c>
      <c r="D11" s="1">
        <v>45699</v>
      </c>
      <c r="E11" s="1">
        <v>45726</v>
      </c>
      <c r="F11" t="s">
        <v>51</v>
      </c>
    </row>
    <row r="12" spans="1:7" x14ac:dyDescent="0.25">
      <c r="A12" s="1">
        <v>45734</v>
      </c>
      <c r="B12" s="1">
        <v>45727</v>
      </c>
      <c r="C12" s="1">
        <v>45733</v>
      </c>
      <c r="D12" s="1">
        <v>45706</v>
      </c>
      <c r="E12" s="1">
        <v>45733</v>
      </c>
      <c r="F12" t="s">
        <v>52</v>
      </c>
    </row>
    <row r="13" spans="1:7" x14ac:dyDescent="0.25">
      <c r="A13" s="1">
        <v>45741</v>
      </c>
      <c r="B13" s="1">
        <v>45734</v>
      </c>
      <c r="C13" s="1">
        <v>45740</v>
      </c>
      <c r="D13" s="1">
        <v>45713</v>
      </c>
      <c r="E13" s="1">
        <v>45740</v>
      </c>
      <c r="F13" t="s">
        <v>53</v>
      </c>
    </row>
    <row r="14" spans="1:7" x14ac:dyDescent="0.25">
      <c r="A14" s="1">
        <v>45748</v>
      </c>
      <c r="B14" s="1">
        <v>45741</v>
      </c>
      <c r="C14" s="1">
        <v>45747</v>
      </c>
      <c r="D14" s="1">
        <v>45720</v>
      </c>
      <c r="E14" s="1">
        <v>45747</v>
      </c>
      <c r="F14" t="s">
        <v>54</v>
      </c>
    </row>
    <row r="15" spans="1:7" x14ac:dyDescent="0.25">
      <c r="A15" s="1">
        <v>45755</v>
      </c>
      <c r="B15" s="1">
        <v>45748</v>
      </c>
      <c r="C15" s="1">
        <v>45754</v>
      </c>
      <c r="D15" s="1">
        <v>45727</v>
      </c>
      <c r="E15" s="1">
        <v>45754</v>
      </c>
      <c r="F15" t="s">
        <v>55</v>
      </c>
    </row>
    <row r="16" spans="1:7" x14ac:dyDescent="0.25">
      <c r="A16" s="1">
        <v>45762</v>
      </c>
      <c r="B16" s="1">
        <v>45755</v>
      </c>
      <c r="C16" s="1">
        <v>45761</v>
      </c>
      <c r="D16" s="1">
        <v>45734</v>
      </c>
      <c r="E16" s="1">
        <v>45761</v>
      </c>
      <c r="F16" t="s">
        <v>56</v>
      </c>
    </row>
    <row r="17" spans="1:6" x14ac:dyDescent="0.25">
      <c r="A17" s="1">
        <v>45769</v>
      </c>
      <c r="B17" s="1">
        <v>45762</v>
      </c>
      <c r="C17" s="1">
        <v>45768</v>
      </c>
      <c r="D17" s="1">
        <v>45741</v>
      </c>
      <c r="E17" s="1">
        <v>45768</v>
      </c>
      <c r="F17" t="s">
        <v>57</v>
      </c>
    </row>
    <row r="18" spans="1:6" x14ac:dyDescent="0.25">
      <c r="A18" s="1">
        <v>45776</v>
      </c>
      <c r="B18" s="1">
        <v>45769</v>
      </c>
      <c r="C18" s="1">
        <v>45775</v>
      </c>
      <c r="D18" s="1">
        <v>45748</v>
      </c>
      <c r="E18" s="1">
        <v>45775</v>
      </c>
      <c r="F18" t="s">
        <v>58</v>
      </c>
    </row>
    <row r="19" spans="1:6" x14ac:dyDescent="0.25">
      <c r="A19" s="1">
        <v>45783</v>
      </c>
      <c r="B19" s="1">
        <v>45776</v>
      </c>
      <c r="C19" s="1">
        <v>45782</v>
      </c>
      <c r="D19" s="1">
        <v>45755</v>
      </c>
      <c r="E19" s="1">
        <v>45782</v>
      </c>
      <c r="F19" t="s">
        <v>59</v>
      </c>
    </row>
    <row r="20" spans="1:6" x14ac:dyDescent="0.25">
      <c r="A20" s="1">
        <v>45790</v>
      </c>
      <c r="B20" s="1">
        <v>45783</v>
      </c>
      <c r="C20" s="1">
        <v>45789</v>
      </c>
      <c r="D20" s="1">
        <v>45762</v>
      </c>
      <c r="E20" s="1">
        <v>45789</v>
      </c>
      <c r="F20" t="s">
        <v>60</v>
      </c>
    </row>
    <row r="21" spans="1:6" x14ac:dyDescent="0.25">
      <c r="A21" s="1">
        <v>45797</v>
      </c>
      <c r="B21" s="1">
        <v>45790</v>
      </c>
      <c r="C21" s="1">
        <v>45796</v>
      </c>
      <c r="D21" s="1">
        <v>45769</v>
      </c>
      <c r="E21" s="1">
        <v>45796</v>
      </c>
      <c r="F21" t="s">
        <v>61</v>
      </c>
    </row>
    <row r="22" spans="1:6" x14ac:dyDescent="0.25">
      <c r="A22" s="1">
        <v>45804</v>
      </c>
      <c r="B22" s="1">
        <v>45797</v>
      </c>
      <c r="C22" s="1">
        <v>45803</v>
      </c>
      <c r="D22" s="1">
        <v>45776</v>
      </c>
      <c r="E22" s="1">
        <v>45803</v>
      </c>
      <c r="F22" t="s">
        <v>62</v>
      </c>
    </row>
    <row r="23" spans="1:6" x14ac:dyDescent="0.25">
      <c r="A23" s="1">
        <v>45811</v>
      </c>
      <c r="B23" s="1">
        <v>45804</v>
      </c>
      <c r="C23" s="1">
        <v>45810</v>
      </c>
      <c r="D23" s="1">
        <v>45783</v>
      </c>
      <c r="E23" s="1">
        <v>45810</v>
      </c>
      <c r="F23" t="s">
        <v>63</v>
      </c>
    </row>
    <row r="24" spans="1:6" x14ac:dyDescent="0.25">
      <c r="A24" s="1">
        <v>45818</v>
      </c>
      <c r="B24" s="1">
        <v>45811</v>
      </c>
      <c r="C24" s="1">
        <v>45817</v>
      </c>
      <c r="D24" s="1">
        <v>45790</v>
      </c>
      <c r="E24" s="1">
        <v>45817</v>
      </c>
      <c r="F24" t="s">
        <v>63</v>
      </c>
    </row>
    <row r="25" spans="1:6" x14ac:dyDescent="0.25">
      <c r="A25" s="1">
        <v>45825</v>
      </c>
      <c r="B25" s="1">
        <v>45818</v>
      </c>
      <c r="C25" s="1">
        <v>45824</v>
      </c>
      <c r="D25" s="1">
        <v>45797</v>
      </c>
      <c r="E25" s="1">
        <v>45824</v>
      </c>
      <c r="F25" t="s">
        <v>64</v>
      </c>
    </row>
    <row r="26" spans="1:6" x14ac:dyDescent="0.25">
      <c r="A26" s="1">
        <v>45832</v>
      </c>
      <c r="B26" s="1">
        <v>45825</v>
      </c>
      <c r="C26" s="1">
        <v>45831</v>
      </c>
      <c r="D26" s="1">
        <v>45804</v>
      </c>
      <c r="E26" s="1">
        <v>45831</v>
      </c>
      <c r="F26" t="s">
        <v>65</v>
      </c>
    </row>
    <row r="27" spans="1:6" x14ac:dyDescent="0.25">
      <c r="A27" s="1">
        <v>45839</v>
      </c>
      <c r="B27" s="1">
        <v>45832</v>
      </c>
      <c r="C27" s="1">
        <v>45838</v>
      </c>
      <c r="D27" s="1">
        <v>45811</v>
      </c>
      <c r="E27" s="1">
        <v>45838</v>
      </c>
      <c r="F27" t="s">
        <v>66</v>
      </c>
    </row>
    <row r="28" spans="1:6" x14ac:dyDescent="0.25">
      <c r="A28" s="1">
        <v>45846</v>
      </c>
      <c r="B28" s="1">
        <v>45839</v>
      </c>
      <c r="C28" s="1">
        <v>45845</v>
      </c>
      <c r="D28" s="1">
        <v>45818</v>
      </c>
      <c r="E28" s="1">
        <v>45845</v>
      </c>
      <c r="F28" t="s">
        <v>67</v>
      </c>
    </row>
    <row r="29" spans="1:6" x14ac:dyDescent="0.25">
      <c r="A29" s="1">
        <v>45853</v>
      </c>
      <c r="B29" s="1">
        <v>45846</v>
      </c>
      <c r="C29" s="1">
        <v>45852</v>
      </c>
      <c r="D29" s="1">
        <v>45825</v>
      </c>
      <c r="E29" s="1">
        <v>45852</v>
      </c>
      <c r="F29" t="s">
        <v>68</v>
      </c>
    </row>
    <row r="30" spans="1:6" x14ac:dyDescent="0.25">
      <c r="A30" s="1">
        <v>45860</v>
      </c>
      <c r="B30" s="1">
        <v>45853</v>
      </c>
      <c r="C30" s="1">
        <v>45859</v>
      </c>
      <c r="D30" s="1">
        <v>45832</v>
      </c>
      <c r="E30" s="1">
        <v>45859</v>
      </c>
      <c r="F30" t="s">
        <v>69</v>
      </c>
    </row>
    <row r="31" spans="1:6" x14ac:dyDescent="0.25">
      <c r="A31" s="1">
        <v>45867</v>
      </c>
      <c r="B31" s="1">
        <v>45860</v>
      </c>
      <c r="C31" s="1">
        <v>45866</v>
      </c>
      <c r="D31" s="1">
        <v>45839</v>
      </c>
      <c r="E31" s="1">
        <v>45866</v>
      </c>
      <c r="F31" t="s">
        <v>70</v>
      </c>
    </row>
    <row r="32" spans="1:6" x14ac:dyDescent="0.25">
      <c r="A32" s="1">
        <v>45874</v>
      </c>
      <c r="B32" s="1">
        <v>45867</v>
      </c>
      <c r="C32" s="1">
        <v>45873</v>
      </c>
      <c r="D32" s="1">
        <v>45846</v>
      </c>
      <c r="E32" s="1">
        <v>45873</v>
      </c>
      <c r="F32" t="s">
        <v>71</v>
      </c>
    </row>
    <row r="33" spans="1:6" x14ac:dyDescent="0.25">
      <c r="A33" s="1">
        <v>45881</v>
      </c>
      <c r="B33" s="1">
        <v>45874</v>
      </c>
      <c r="C33" s="1">
        <v>45880</v>
      </c>
      <c r="D33" s="1">
        <v>45853</v>
      </c>
      <c r="E33" s="1">
        <v>45880</v>
      </c>
      <c r="F33" t="s">
        <v>72</v>
      </c>
    </row>
    <row r="34" spans="1:6" x14ac:dyDescent="0.25">
      <c r="A34" s="1">
        <v>45888</v>
      </c>
      <c r="B34" s="1">
        <v>45881</v>
      </c>
      <c r="C34" s="1">
        <v>45887</v>
      </c>
      <c r="D34" s="1">
        <v>45860</v>
      </c>
      <c r="E34" s="1">
        <v>45887</v>
      </c>
      <c r="F34" t="s">
        <v>73</v>
      </c>
    </row>
    <row r="35" spans="1:6" x14ac:dyDescent="0.25">
      <c r="A35" s="1">
        <v>45895</v>
      </c>
      <c r="B35" s="1">
        <v>45888</v>
      </c>
      <c r="C35" s="1">
        <v>45894</v>
      </c>
      <c r="D35" s="1">
        <v>45867</v>
      </c>
      <c r="E35" s="1">
        <v>45894</v>
      </c>
      <c r="F35" t="s">
        <v>74</v>
      </c>
    </row>
    <row r="36" spans="1:6" x14ac:dyDescent="0.25">
      <c r="A36" s="1">
        <v>45902</v>
      </c>
      <c r="B36" s="1">
        <v>45895</v>
      </c>
      <c r="C36" s="1">
        <v>45901</v>
      </c>
      <c r="D36" s="1">
        <v>45874</v>
      </c>
      <c r="E36" s="1">
        <v>45901</v>
      </c>
      <c r="F36" t="s">
        <v>75</v>
      </c>
    </row>
    <row r="37" spans="1:6" x14ac:dyDescent="0.25">
      <c r="A37" s="1">
        <v>45909</v>
      </c>
      <c r="B37" s="1">
        <v>45902</v>
      </c>
      <c r="C37" s="1">
        <v>45908</v>
      </c>
      <c r="D37" s="1">
        <v>45881</v>
      </c>
      <c r="E37" s="1">
        <v>45908</v>
      </c>
      <c r="F37" t="s">
        <v>76</v>
      </c>
    </row>
    <row r="38" spans="1:6" x14ac:dyDescent="0.25">
      <c r="A38" s="1">
        <v>45916</v>
      </c>
      <c r="B38" s="1">
        <v>45909</v>
      </c>
      <c r="C38" s="1">
        <v>45915</v>
      </c>
      <c r="D38" s="1">
        <v>45888</v>
      </c>
      <c r="E38" s="1">
        <v>45915</v>
      </c>
      <c r="F38" t="s">
        <v>77</v>
      </c>
    </row>
    <row r="39" spans="1:6" x14ac:dyDescent="0.25">
      <c r="A39" s="1">
        <v>45923</v>
      </c>
      <c r="B39" s="1">
        <v>45916</v>
      </c>
      <c r="C39" s="1">
        <v>45922</v>
      </c>
      <c r="D39" s="1">
        <v>45895</v>
      </c>
      <c r="E39" s="1">
        <v>45922</v>
      </c>
      <c r="F39" t="s">
        <v>78</v>
      </c>
    </row>
    <row r="40" spans="1:6" x14ac:dyDescent="0.25">
      <c r="A40" s="1">
        <v>45930</v>
      </c>
      <c r="B40" s="1">
        <v>45923</v>
      </c>
      <c r="C40" s="1">
        <v>45929</v>
      </c>
      <c r="D40" s="1">
        <v>45902</v>
      </c>
      <c r="E40" s="1">
        <v>45929</v>
      </c>
      <c r="F40" t="s">
        <v>79</v>
      </c>
    </row>
    <row r="41" spans="1:6" x14ac:dyDescent="0.25">
      <c r="A41" s="1">
        <v>45937</v>
      </c>
      <c r="B41" s="1">
        <v>45930</v>
      </c>
      <c r="C41" s="1">
        <v>45936</v>
      </c>
      <c r="D41" s="1">
        <v>45909</v>
      </c>
      <c r="E41" s="1">
        <v>45936</v>
      </c>
      <c r="F41" t="s">
        <v>80</v>
      </c>
    </row>
    <row r="42" spans="1:6" x14ac:dyDescent="0.25">
      <c r="A42" s="1">
        <v>45944</v>
      </c>
      <c r="B42" s="1">
        <v>45937</v>
      </c>
      <c r="C42" s="1">
        <v>45943</v>
      </c>
      <c r="D42" s="1">
        <v>45916</v>
      </c>
      <c r="E42" s="1">
        <v>45943</v>
      </c>
      <c r="F42" t="s">
        <v>81</v>
      </c>
    </row>
    <row r="43" spans="1:6" x14ac:dyDescent="0.25">
      <c r="A43" s="1">
        <v>45951</v>
      </c>
      <c r="B43" s="1">
        <v>45944</v>
      </c>
      <c r="C43" s="1">
        <v>45950</v>
      </c>
      <c r="D43" s="1">
        <v>45923</v>
      </c>
      <c r="E43" s="1">
        <v>45950</v>
      </c>
      <c r="F43" t="s">
        <v>82</v>
      </c>
    </row>
    <row r="44" spans="1:6" x14ac:dyDescent="0.25">
      <c r="A44" s="1">
        <v>45958</v>
      </c>
      <c r="B44" s="1">
        <v>45951</v>
      </c>
      <c r="C44" s="1">
        <v>45957</v>
      </c>
      <c r="D44" s="1">
        <v>45930</v>
      </c>
      <c r="E44" s="1">
        <v>45957</v>
      </c>
      <c r="F44" t="s">
        <v>83</v>
      </c>
    </row>
    <row r="45" spans="1:6" x14ac:dyDescent="0.25">
      <c r="A45" s="1">
        <v>45965</v>
      </c>
      <c r="B45" s="1">
        <v>45958</v>
      </c>
      <c r="C45" s="1">
        <v>45964</v>
      </c>
      <c r="D45" s="1">
        <v>45937</v>
      </c>
      <c r="E45" s="1">
        <v>45964</v>
      </c>
      <c r="F45" t="s">
        <v>84</v>
      </c>
    </row>
    <row r="46" spans="1:6" x14ac:dyDescent="0.25">
      <c r="A46" s="1">
        <v>45972</v>
      </c>
      <c r="B46" s="1">
        <v>45965</v>
      </c>
      <c r="C46" s="1">
        <v>45971</v>
      </c>
      <c r="D46" s="1">
        <v>45944</v>
      </c>
      <c r="E46" s="1">
        <v>45971</v>
      </c>
      <c r="F46" t="s">
        <v>85</v>
      </c>
    </row>
    <row r="47" spans="1:6" x14ac:dyDescent="0.25">
      <c r="A47" s="1">
        <v>45979</v>
      </c>
      <c r="B47" s="1">
        <v>45972</v>
      </c>
      <c r="C47" s="1">
        <v>45978</v>
      </c>
      <c r="D47" s="1">
        <v>45951</v>
      </c>
      <c r="E47" s="1">
        <v>45978</v>
      </c>
      <c r="F47" t="s">
        <v>86</v>
      </c>
    </row>
    <row r="48" spans="1:6" x14ac:dyDescent="0.25">
      <c r="A48" s="1">
        <v>45986</v>
      </c>
      <c r="B48" s="1">
        <v>45979</v>
      </c>
      <c r="C48" s="1">
        <v>45985</v>
      </c>
      <c r="D48" s="1">
        <v>45958</v>
      </c>
      <c r="E48" s="1">
        <v>45985</v>
      </c>
      <c r="F48" t="s">
        <v>87</v>
      </c>
    </row>
    <row r="49" spans="1:6" x14ac:dyDescent="0.25">
      <c r="A49" s="1">
        <v>45993</v>
      </c>
      <c r="B49" s="1">
        <v>45986</v>
      </c>
      <c r="C49" s="1">
        <v>45992</v>
      </c>
      <c r="D49" s="1">
        <v>45965</v>
      </c>
      <c r="E49" s="1">
        <v>45992</v>
      </c>
      <c r="F49" t="s">
        <v>88</v>
      </c>
    </row>
    <row r="50" spans="1:6" x14ac:dyDescent="0.25">
      <c r="A50" s="1">
        <v>46000</v>
      </c>
      <c r="B50" s="1">
        <v>45993</v>
      </c>
      <c r="C50" s="1">
        <v>45999</v>
      </c>
      <c r="D50" s="1">
        <v>45972</v>
      </c>
      <c r="E50" s="1">
        <v>45999</v>
      </c>
      <c r="F50" t="s">
        <v>89</v>
      </c>
    </row>
    <row r="51" spans="1:6" x14ac:dyDescent="0.25">
      <c r="A51" s="1">
        <v>46007</v>
      </c>
      <c r="B51" s="1">
        <v>46000</v>
      </c>
      <c r="C51" s="1">
        <v>46006</v>
      </c>
      <c r="D51" s="1">
        <v>45979</v>
      </c>
      <c r="E51" s="1">
        <v>46006</v>
      </c>
      <c r="F51" t="s">
        <v>90</v>
      </c>
    </row>
    <row r="52" spans="1:6" x14ac:dyDescent="0.25">
      <c r="A52" s="1">
        <v>46014</v>
      </c>
      <c r="B52" s="1">
        <v>46007</v>
      </c>
      <c r="C52" s="1">
        <v>46013</v>
      </c>
      <c r="D52" s="1">
        <v>45986</v>
      </c>
      <c r="E52" s="1">
        <v>46013</v>
      </c>
      <c r="F52" t="s">
        <v>91</v>
      </c>
    </row>
    <row r="53" spans="1:6" x14ac:dyDescent="0.25">
      <c r="A53" s="1">
        <v>46021</v>
      </c>
      <c r="B53" s="1">
        <v>46014</v>
      </c>
      <c r="C53" s="1">
        <v>46020</v>
      </c>
      <c r="D53" s="1">
        <v>45993</v>
      </c>
      <c r="E53" s="1">
        <v>46020</v>
      </c>
      <c r="F53" t="s">
        <v>92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F61B-093C-46D4-8AAA-1AAEF686C371}">
  <sheetPr codeName="Sheet36">
    <tabColor rgb="FFFFC000"/>
  </sheetPr>
  <dimension ref="A1:AW131"/>
  <sheetViews>
    <sheetView zoomScale="70" zoomScaleNormal="70" workbookViewId="0">
      <selection activeCell="J57" sqref="J57"/>
    </sheetView>
  </sheetViews>
  <sheetFormatPr defaultColWidth="121.7109375" defaultRowHeight="15.75" x14ac:dyDescent="0.25"/>
  <cols>
    <col min="1" max="1" width="21.28515625" style="14" bestFit="1" customWidth="1"/>
    <col min="2" max="2" width="20.85546875" style="75" bestFit="1" customWidth="1"/>
    <col min="3" max="3" width="21.28515625" style="76" bestFit="1" customWidth="1"/>
    <col min="4" max="4" width="35.7109375" style="14" bestFit="1" customWidth="1"/>
    <col min="5" max="6" width="40.42578125" style="14" bestFit="1" customWidth="1"/>
    <col min="7" max="7" width="79.7109375" style="14" bestFit="1" customWidth="1"/>
    <col min="8" max="8" width="11.7109375" style="74" bestFit="1" customWidth="1"/>
    <col min="9" max="9" width="12.42578125" style="74" bestFit="1" customWidth="1"/>
    <col min="10" max="10" width="121.7109375" style="14"/>
    <col min="11" max="11" width="26.140625" style="14" bestFit="1" customWidth="1"/>
    <col min="12" max="12" width="28" style="14" bestFit="1" customWidth="1"/>
    <col min="13" max="13" width="21.5703125" style="14" bestFit="1" customWidth="1"/>
    <col min="14" max="14" width="13.85546875" style="14" bestFit="1" customWidth="1"/>
    <col min="15" max="15" width="14.7109375" style="14" bestFit="1" customWidth="1"/>
    <col min="16" max="16" width="18.7109375" style="14" bestFit="1" customWidth="1"/>
    <col min="17" max="17" width="21.5703125" style="14" bestFit="1" customWidth="1"/>
    <col min="18" max="18" width="18.7109375" style="14" bestFit="1" customWidth="1"/>
    <col min="19" max="19" width="13.85546875" style="14" bestFit="1" customWidth="1"/>
    <col min="20" max="20" width="14.7109375" style="14" bestFit="1" customWidth="1"/>
    <col min="21" max="21" width="20.42578125" style="14" bestFit="1" customWidth="1"/>
    <col min="22" max="22" width="32.7109375" style="14" bestFit="1" customWidth="1"/>
    <col min="23" max="23" width="13.7109375" style="14" bestFit="1" customWidth="1"/>
    <col min="24" max="24" width="30.85546875" style="77" bestFit="1" customWidth="1"/>
    <col min="25" max="25" width="31.140625" style="79" bestFit="1" customWidth="1"/>
    <col min="26" max="26" width="50.28515625" style="79" bestFit="1" customWidth="1"/>
    <col min="27" max="28" width="15.5703125" style="74" bestFit="1" customWidth="1"/>
    <col min="29" max="29" width="19.7109375" style="74" bestFit="1" customWidth="1"/>
    <col min="30" max="30" width="28.5703125" style="79" bestFit="1" customWidth="1"/>
    <col min="31" max="31" width="103.7109375" style="77" bestFit="1" customWidth="1"/>
    <col min="32" max="32" width="13.85546875" style="74" bestFit="1" customWidth="1"/>
    <col min="33" max="33" width="16.85546875" style="74" bestFit="1" customWidth="1"/>
    <col min="34" max="34" width="17.5703125" style="14" bestFit="1" customWidth="1"/>
    <col min="35" max="35" width="30.28515625" style="14" bestFit="1" customWidth="1"/>
    <col min="36" max="36" width="17.85546875" style="14" bestFit="1" customWidth="1"/>
    <col min="37" max="37" width="20.28515625" style="14" bestFit="1" customWidth="1"/>
    <col min="38" max="38" width="12" style="14" bestFit="1" customWidth="1"/>
    <col min="39" max="39" width="20.85546875" style="14" bestFit="1" customWidth="1"/>
    <col min="40" max="40" width="11.28515625" style="14" bestFit="1" customWidth="1"/>
    <col min="41" max="41" width="52.28515625" style="14" bestFit="1" customWidth="1"/>
    <col min="42" max="42" width="31.140625" style="14" bestFit="1" customWidth="1"/>
    <col min="43" max="45" width="121.7109375" style="14"/>
    <col min="46" max="46" width="26.140625" style="14" bestFit="1" customWidth="1"/>
    <col min="47" max="47" width="20.140625" style="14" bestFit="1" customWidth="1"/>
    <col min="48" max="48" width="13.42578125" style="14" bestFit="1" customWidth="1"/>
    <col min="49" max="16384" width="121.7109375" style="14"/>
  </cols>
  <sheetData>
    <row r="1" spans="1:49" s="74" customFormat="1" x14ac:dyDescent="0.25">
      <c r="A1" s="74" t="s">
        <v>93</v>
      </c>
      <c r="B1" s="75" t="s">
        <v>94</v>
      </c>
      <c r="C1" s="76" t="s">
        <v>95</v>
      </c>
      <c r="D1" s="74" t="s">
        <v>96</v>
      </c>
      <c r="E1" s="74" t="s">
        <v>97</v>
      </c>
      <c r="F1" s="74" t="s">
        <v>98</v>
      </c>
      <c r="G1" s="74" t="s">
        <v>99</v>
      </c>
      <c r="H1" s="74" t="s">
        <v>100</v>
      </c>
      <c r="I1" s="74" t="s">
        <v>101</v>
      </c>
      <c r="J1" s="74" t="s">
        <v>102</v>
      </c>
      <c r="K1" s="74" t="s">
        <v>103</v>
      </c>
      <c r="L1" s="74" t="s">
        <v>104</v>
      </c>
      <c r="M1" s="74" t="s">
        <v>105</v>
      </c>
      <c r="N1" s="74" t="s">
        <v>106</v>
      </c>
      <c r="O1" s="74" t="s">
        <v>107</v>
      </c>
      <c r="P1" s="74" t="s">
        <v>108</v>
      </c>
      <c r="Q1" s="74" t="s">
        <v>109</v>
      </c>
      <c r="R1" s="74" t="s">
        <v>110</v>
      </c>
      <c r="S1" s="74" t="s">
        <v>111</v>
      </c>
      <c r="T1" s="74" t="s">
        <v>112</v>
      </c>
      <c r="U1" s="74" t="s">
        <v>113</v>
      </c>
      <c r="V1" s="74" t="s">
        <v>114</v>
      </c>
      <c r="W1" s="74" t="s">
        <v>115</v>
      </c>
      <c r="X1" s="74" t="s">
        <v>116</v>
      </c>
      <c r="Y1" s="74" t="s">
        <v>117</v>
      </c>
      <c r="Z1" s="74" t="s">
        <v>118</v>
      </c>
      <c r="AA1" s="75" t="s">
        <v>119</v>
      </c>
      <c r="AB1" s="76" t="s">
        <v>120</v>
      </c>
      <c r="AC1" s="76" t="s">
        <v>121</v>
      </c>
      <c r="AD1" s="74" t="s">
        <v>122</v>
      </c>
      <c r="AE1" s="74" t="s">
        <v>123</v>
      </c>
      <c r="AF1" s="74" t="s">
        <v>124</v>
      </c>
      <c r="AG1" s="76" t="s">
        <v>125</v>
      </c>
      <c r="AH1" s="75" t="s">
        <v>126</v>
      </c>
      <c r="AI1" s="74" t="s">
        <v>127</v>
      </c>
      <c r="AJ1" s="74" t="s">
        <v>128</v>
      </c>
      <c r="AK1" s="74" t="s">
        <v>129</v>
      </c>
      <c r="AL1" s="74" t="s">
        <v>130</v>
      </c>
      <c r="AM1" s="74" t="s">
        <v>131</v>
      </c>
      <c r="AN1" s="74" t="s">
        <v>132</v>
      </c>
      <c r="AO1" s="74" t="s">
        <v>133</v>
      </c>
      <c r="AP1" s="74" t="s">
        <v>134</v>
      </c>
    </row>
    <row r="2" spans="1:49" x14ac:dyDescent="0.25">
      <c r="A2" s="74" t="s">
        <v>135</v>
      </c>
      <c r="B2" s="75">
        <v>42906</v>
      </c>
      <c r="C2" s="89">
        <v>0.53615740740740736</v>
      </c>
      <c r="D2" s="14" t="s">
        <v>136</v>
      </c>
      <c r="G2" s="14" t="s">
        <v>137</v>
      </c>
      <c r="H2" s="74" t="s">
        <v>138</v>
      </c>
      <c r="I2" s="74">
        <v>8</v>
      </c>
      <c r="J2" s="14" t="s">
        <v>139</v>
      </c>
      <c r="U2" s="14" t="s">
        <v>140</v>
      </c>
      <c r="V2" s="14" t="s">
        <v>141</v>
      </c>
      <c r="W2" s="14" t="s">
        <v>142</v>
      </c>
      <c r="X2" s="14" t="s">
        <v>143</v>
      </c>
      <c r="Y2" s="14" t="s">
        <v>144</v>
      </c>
      <c r="Z2" s="14" t="s">
        <v>145</v>
      </c>
      <c r="AA2" s="75">
        <v>42906</v>
      </c>
      <c r="AB2" s="90">
        <v>0.53615740740740736</v>
      </c>
      <c r="AC2" s="90">
        <v>0.5</v>
      </c>
      <c r="AD2" s="14" t="s">
        <v>146</v>
      </c>
      <c r="AE2" s="14" t="s">
        <v>136</v>
      </c>
      <c r="AF2" s="74" t="s">
        <v>147</v>
      </c>
      <c r="AG2" s="90">
        <v>0.53615740740740736</v>
      </c>
      <c r="AH2" s="77">
        <v>42906</v>
      </c>
      <c r="AI2" s="14" t="s">
        <v>146</v>
      </c>
      <c r="AJ2" s="14" t="s">
        <v>148</v>
      </c>
      <c r="AK2" s="14" t="s">
        <v>149</v>
      </c>
      <c r="AL2" s="14">
        <v>2017</v>
      </c>
      <c r="AM2" s="14">
        <v>25</v>
      </c>
      <c r="AN2" s="14">
        <v>20</v>
      </c>
      <c r="AO2" s="14" t="s">
        <v>150</v>
      </c>
      <c r="AP2" s="14" t="s">
        <v>151</v>
      </c>
      <c r="AT2" s="78" t="s">
        <v>123</v>
      </c>
      <c r="AU2" s="14" t="s" vm="1">
        <v>152</v>
      </c>
    </row>
    <row r="3" spans="1:49" x14ac:dyDescent="0.25">
      <c r="A3" s="74" t="s">
        <v>153</v>
      </c>
      <c r="B3" s="75">
        <v>45660</v>
      </c>
      <c r="C3" s="89">
        <v>0.89583333333333337</v>
      </c>
      <c r="D3" s="14" t="s">
        <v>154</v>
      </c>
      <c r="G3" s="14" t="s">
        <v>155</v>
      </c>
      <c r="H3" s="74" t="s">
        <v>156</v>
      </c>
      <c r="I3" s="74">
        <v>9</v>
      </c>
      <c r="J3" s="14" t="s">
        <v>157</v>
      </c>
      <c r="M3" s="14" t="s">
        <v>158</v>
      </c>
      <c r="N3" s="14" t="s">
        <v>159</v>
      </c>
      <c r="O3" s="14" t="s">
        <v>160</v>
      </c>
      <c r="P3" s="14" t="s">
        <v>161</v>
      </c>
      <c r="U3" s="14" t="s">
        <v>162</v>
      </c>
      <c r="V3" s="14" t="s">
        <v>163</v>
      </c>
      <c r="W3" s="14" t="s">
        <v>164</v>
      </c>
      <c r="X3" s="14" t="s">
        <v>165</v>
      </c>
      <c r="Y3" s="14" t="s">
        <v>166</v>
      </c>
      <c r="Z3" s="14" t="s">
        <v>167</v>
      </c>
      <c r="AA3" s="75">
        <v>45660</v>
      </c>
      <c r="AB3" s="90">
        <v>0.89583333333333337</v>
      </c>
      <c r="AC3" s="90">
        <v>0.875</v>
      </c>
      <c r="AD3" s="14" t="s">
        <v>168</v>
      </c>
      <c r="AE3" s="14" t="s">
        <v>154</v>
      </c>
      <c r="AF3" s="74" t="s">
        <v>169</v>
      </c>
      <c r="AG3" s="90">
        <v>0.89583333333333337</v>
      </c>
      <c r="AH3" s="77">
        <v>45660</v>
      </c>
      <c r="AI3" s="14" t="s">
        <v>168</v>
      </c>
      <c r="AJ3" s="14" t="s">
        <v>170</v>
      </c>
      <c r="AK3" s="14" t="s">
        <v>171</v>
      </c>
      <c r="AL3" s="14">
        <v>2025</v>
      </c>
      <c r="AM3" s="14">
        <v>1</v>
      </c>
      <c r="AN3" s="14">
        <v>3</v>
      </c>
      <c r="AO3" s="14" t="s">
        <v>172</v>
      </c>
      <c r="AP3" s="14" t="s">
        <v>151</v>
      </c>
    </row>
    <row r="4" spans="1:49" x14ac:dyDescent="0.25">
      <c r="A4" s="74" t="s">
        <v>173</v>
      </c>
      <c r="B4" s="75">
        <v>45663</v>
      </c>
      <c r="C4" s="89">
        <v>0.64583333333333337</v>
      </c>
      <c r="D4" s="14" t="s">
        <v>174</v>
      </c>
      <c r="G4" s="14" t="s">
        <v>175</v>
      </c>
      <c r="I4" s="74">
        <v>7</v>
      </c>
      <c r="J4" s="14" t="s">
        <v>176</v>
      </c>
      <c r="M4" s="14" t="s">
        <v>177</v>
      </c>
      <c r="N4" s="14" t="s">
        <v>159</v>
      </c>
      <c r="O4" s="14" t="s">
        <v>178</v>
      </c>
      <c r="P4" s="14" t="s">
        <v>161</v>
      </c>
      <c r="U4" s="14" t="s">
        <v>140</v>
      </c>
      <c r="V4" s="14" t="s">
        <v>179</v>
      </c>
      <c r="W4" s="14" t="s">
        <v>142</v>
      </c>
      <c r="X4" s="14" t="s">
        <v>180</v>
      </c>
      <c r="Y4" s="14" t="s">
        <v>181</v>
      </c>
      <c r="Z4" s="14" t="s">
        <v>182</v>
      </c>
      <c r="AA4" s="75">
        <v>45663</v>
      </c>
      <c r="AB4" s="90">
        <v>0.64583333333333337</v>
      </c>
      <c r="AC4" s="90">
        <v>0.625</v>
      </c>
      <c r="AD4" s="14" t="s">
        <v>146</v>
      </c>
      <c r="AE4" s="14" t="s">
        <v>174</v>
      </c>
      <c r="AF4" s="74" t="s">
        <v>169</v>
      </c>
      <c r="AG4" s="90">
        <v>0.64583333333333337</v>
      </c>
      <c r="AH4" s="77">
        <v>45663</v>
      </c>
      <c r="AI4" s="14" t="s">
        <v>146</v>
      </c>
      <c r="AJ4" s="14" t="s">
        <v>183</v>
      </c>
      <c r="AK4" s="14" t="s">
        <v>171</v>
      </c>
      <c r="AL4" s="14">
        <v>2025</v>
      </c>
      <c r="AM4" s="14">
        <v>2</v>
      </c>
      <c r="AN4" s="14">
        <v>6</v>
      </c>
      <c r="AO4" s="14" t="s">
        <v>184</v>
      </c>
      <c r="AP4" s="14" t="s">
        <v>151</v>
      </c>
      <c r="AT4" s="78" t="s">
        <v>185</v>
      </c>
      <c r="AU4" s="78" t="s">
        <v>186</v>
      </c>
      <c r="AW4"/>
    </row>
    <row r="5" spans="1:49" x14ac:dyDescent="0.25">
      <c r="A5" s="74" t="s">
        <v>187</v>
      </c>
      <c r="B5" s="75">
        <v>45664</v>
      </c>
      <c r="C5" s="89">
        <v>0.58333333333333337</v>
      </c>
      <c r="D5" s="14" t="s">
        <v>188</v>
      </c>
      <c r="E5" s="14" t="s">
        <v>189</v>
      </c>
      <c r="G5" s="14" t="s">
        <v>190</v>
      </c>
      <c r="H5" s="74" t="s">
        <v>191</v>
      </c>
      <c r="I5" s="74">
        <v>7</v>
      </c>
      <c r="J5" s="14" t="s">
        <v>192</v>
      </c>
      <c r="U5" s="14" t="s">
        <v>193</v>
      </c>
      <c r="V5" s="14" t="s">
        <v>194</v>
      </c>
      <c r="W5" s="14" t="s">
        <v>195</v>
      </c>
      <c r="X5" s="14" t="s">
        <v>196</v>
      </c>
      <c r="Y5" s="14" t="s">
        <v>166</v>
      </c>
      <c r="Z5" s="14" t="s">
        <v>197</v>
      </c>
      <c r="AA5" s="75">
        <v>45664</v>
      </c>
      <c r="AB5" s="90">
        <v>0.58333333333333337</v>
      </c>
      <c r="AC5" s="90">
        <v>0.58333333333333337</v>
      </c>
      <c r="AD5" s="14" t="s">
        <v>146</v>
      </c>
      <c r="AE5" s="14" t="s">
        <v>198</v>
      </c>
      <c r="AF5" s="74" t="s">
        <v>169</v>
      </c>
      <c r="AG5" s="90">
        <v>0.58333333333333337</v>
      </c>
      <c r="AH5" s="77">
        <v>45664</v>
      </c>
      <c r="AI5" s="14" t="s">
        <v>146</v>
      </c>
      <c r="AJ5" s="14" t="s">
        <v>148</v>
      </c>
      <c r="AK5" s="14" t="s">
        <v>171</v>
      </c>
      <c r="AL5" s="14">
        <v>2025</v>
      </c>
      <c r="AM5" s="14">
        <v>2</v>
      </c>
      <c r="AN5" s="14">
        <v>7</v>
      </c>
      <c r="AO5" s="14" t="s">
        <v>199</v>
      </c>
      <c r="AP5" s="14" t="s">
        <v>200</v>
      </c>
      <c r="AT5" s="78" t="s">
        <v>201</v>
      </c>
      <c r="AU5" s="14" t="s">
        <v>169</v>
      </c>
      <c r="AV5" s="14" t="s">
        <v>202</v>
      </c>
      <c r="AW5"/>
    </row>
    <row r="6" spans="1:49" x14ac:dyDescent="0.25">
      <c r="A6" s="74" t="s">
        <v>203</v>
      </c>
      <c r="B6" s="75">
        <v>45670</v>
      </c>
      <c r="C6" s="89">
        <v>0.50347222222222221</v>
      </c>
      <c r="D6" s="14" t="s">
        <v>204</v>
      </c>
      <c r="E6" s="14" t="s">
        <v>205</v>
      </c>
      <c r="F6" s="14" t="s">
        <v>206</v>
      </c>
      <c r="G6" s="14" t="s">
        <v>207</v>
      </c>
      <c r="H6" s="74" t="s">
        <v>208</v>
      </c>
      <c r="I6" s="74">
        <v>8</v>
      </c>
      <c r="J6" s="14" t="s">
        <v>209</v>
      </c>
      <c r="U6" s="14" t="s">
        <v>162</v>
      </c>
      <c r="V6" s="14" t="s">
        <v>210</v>
      </c>
      <c r="W6" s="14" t="s">
        <v>211</v>
      </c>
      <c r="X6" s="14" t="s">
        <v>143</v>
      </c>
      <c r="Y6" s="14" t="s">
        <v>212</v>
      </c>
      <c r="Z6" s="14" t="s">
        <v>213</v>
      </c>
      <c r="AA6" s="75">
        <v>45670</v>
      </c>
      <c r="AB6" s="90">
        <v>0.50347222222222221</v>
      </c>
      <c r="AC6" s="90">
        <v>0.5</v>
      </c>
      <c r="AD6" s="14" t="s">
        <v>146</v>
      </c>
      <c r="AE6" s="14" t="s">
        <v>214</v>
      </c>
      <c r="AF6" s="74" t="s">
        <v>169</v>
      </c>
      <c r="AG6" s="90">
        <v>0.50347222222222221</v>
      </c>
      <c r="AH6" s="77">
        <v>45670</v>
      </c>
      <c r="AI6" s="14" t="s">
        <v>146</v>
      </c>
      <c r="AJ6" s="14" t="s">
        <v>183</v>
      </c>
      <c r="AK6" s="14" t="s">
        <v>171</v>
      </c>
      <c r="AL6" s="14">
        <v>2025</v>
      </c>
      <c r="AM6" s="14">
        <v>3</v>
      </c>
      <c r="AN6" s="14">
        <v>13</v>
      </c>
      <c r="AO6" s="14" t="s">
        <v>215</v>
      </c>
      <c r="AP6" s="14" t="s">
        <v>216</v>
      </c>
      <c r="AT6" s="70" t="s">
        <v>146</v>
      </c>
      <c r="AU6" s="14">
        <v>3</v>
      </c>
      <c r="AV6" s="14">
        <v>3</v>
      </c>
      <c r="AW6"/>
    </row>
    <row r="7" spans="1:49" x14ac:dyDescent="0.25">
      <c r="A7" s="74" t="s">
        <v>217</v>
      </c>
      <c r="B7" s="75">
        <v>45671</v>
      </c>
      <c r="C7" s="89">
        <v>0.64067129629629627</v>
      </c>
      <c r="D7" s="14" t="s">
        <v>206</v>
      </c>
      <c r="E7" s="14" t="s">
        <v>218</v>
      </c>
      <c r="F7" s="14" t="s">
        <v>219</v>
      </c>
      <c r="G7" s="14" t="s">
        <v>220</v>
      </c>
      <c r="H7" s="74" t="s">
        <v>221</v>
      </c>
      <c r="I7" s="74">
        <v>9</v>
      </c>
      <c r="J7" s="14" t="s">
        <v>222</v>
      </c>
      <c r="M7" s="14" t="s">
        <v>223</v>
      </c>
      <c r="N7" s="14" t="s">
        <v>224</v>
      </c>
      <c r="O7" s="14" t="s">
        <v>225</v>
      </c>
      <c r="P7" s="14" t="s">
        <v>161</v>
      </c>
      <c r="U7" s="14" t="s">
        <v>226</v>
      </c>
      <c r="V7" s="14" t="s">
        <v>163</v>
      </c>
      <c r="W7" s="14" t="s">
        <v>227</v>
      </c>
      <c r="X7" s="14" t="s">
        <v>228</v>
      </c>
      <c r="Y7" s="14" t="s">
        <v>166</v>
      </c>
      <c r="Z7" s="14" t="s">
        <v>213</v>
      </c>
      <c r="AA7" s="75">
        <v>45671</v>
      </c>
      <c r="AB7" s="90">
        <v>0.64067129629629627</v>
      </c>
      <c r="AC7" s="90">
        <v>0.625</v>
      </c>
      <c r="AD7" s="14" t="s">
        <v>146</v>
      </c>
      <c r="AE7" s="14" t="s">
        <v>229</v>
      </c>
      <c r="AF7" s="74" t="s">
        <v>169</v>
      </c>
      <c r="AG7" s="90">
        <v>0.64067129629629627</v>
      </c>
      <c r="AH7" s="77">
        <v>45671</v>
      </c>
      <c r="AI7" s="14" t="s">
        <v>146</v>
      </c>
      <c r="AJ7" s="14" t="s">
        <v>148</v>
      </c>
      <c r="AK7" s="14" t="s">
        <v>171</v>
      </c>
      <c r="AL7" s="14">
        <v>2025</v>
      </c>
      <c r="AM7" s="14">
        <v>3</v>
      </c>
      <c r="AN7" s="14">
        <v>14</v>
      </c>
      <c r="AO7" s="14" t="s">
        <v>230</v>
      </c>
      <c r="AP7" s="14" t="s">
        <v>231</v>
      </c>
      <c r="AT7" s="70" t="s">
        <v>168</v>
      </c>
      <c r="AU7" s="14">
        <v>1</v>
      </c>
      <c r="AV7" s="14">
        <v>1</v>
      </c>
      <c r="AW7"/>
    </row>
    <row r="8" spans="1:49" x14ac:dyDescent="0.25">
      <c r="A8" s="74" t="s">
        <v>232</v>
      </c>
      <c r="B8" s="75">
        <v>45672</v>
      </c>
      <c r="C8" s="89">
        <v>0.53988425925925931</v>
      </c>
      <c r="D8" s="14" t="s">
        <v>154</v>
      </c>
      <c r="G8" s="14" t="s">
        <v>233</v>
      </c>
      <c r="H8" s="74" t="s">
        <v>208</v>
      </c>
      <c r="I8" s="74">
        <v>8</v>
      </c>
      <c r="J8" s="14" t="s">
        <v>234</v>
      </c>
      <c r="M8" s="14" t="s">
        <v>235</v>
      </c>
      <c r="N8" s="14" t="s">
        <v>159</v>
      </c>
      <c r="O8" s="14" t="s">
        <v>236</v>
      </c>
      <c r="P8" s="14" t="s">
        <v>161</v>
      </c>
      <c r="U8" s="14" t="s">
        <v>226</v>
      </c>
      <c r="V8" s="14" t="s">
        <v>237</v>
      </c>
      <c r="W8" s="14" t="s">
        <v>238</v>
      </c>
      <c r="X8" s="14" t="s">
        <v>180</v>
      </c>
      <c r="Y8" s="14" t="s">
        <v>166</v>
      </c>
      <c r="Z8" s="14" t="s">
        <v>167</v>
      </c>
      <c r="AA8" s="75">
        <v>45672</v>
      </c>
      <c r="AB8" s="90">
        <v>0.53988425925925931</v>
      </c>
      <c r="AC8" s="90">
        <v>0.5</v>
      </c>
      <c r="AD8" s="14" t="s">
        <v>146</v>
      </c>
      <c r="AE8" s="14" t="s">
        <v>154</v>
      </c>
      <c r="AF8" s="74" t="s">
        <v>169</v>
      </c>
      <c r="AG8" s="90">
        <v>0.53988425925925931</v>
      </c>
      <c r="AH8" s="77">
        <v>45672</v>
      </c>
      <c r="AI8" s="14" t="s">
        <v>146</v>
      </c>
      <c r="AJ8" s="14" t="s">
        <v>239</v>
      </c>
      <c r="AK8" s="14" t="s">
        <v>171</v>
      </c>
      <c r="AL8" s="14">
        <v>2025</v>
      </c>
      <c r="AM8" s="14">
        <v>3</v>
      </c>
      <c r="AN8" s="14">
        <v>15</v>
      </c>
      <c r="AO8" s="14" t="s">
        <v>240</v>
      </c>
      <c r="AP8" s="14" t="s">
        <v>151</v>
      </c>
      <c r="AT8" s="70" t="s">
        <v>202</v>
      </c>
      <c r="AU8" s="14">
        <v>4</v>
      </c>
      <c r="AV8" s="14">
        <v>4</v>
      </c>
      <c r="AW8"/>
    </row>
    <row r="9" spans="1:49" x14ac:dyDescent="0.25">
      <c r="A9" s="74" t="s">
        <v>241</v>
      </c>
      <c r="B9" s="75">
        <v>45673</v>
      </c>
      <c r="C9" s="89">
        <v>0.5</v>
      </c>
      <c r="D9" s="14" t="s">
        <v>242</v>
      </c>
      <c r="G9" s="14" t="s">
        <v>243</v>
      </c>
      <c r="H9" s="74" t="s">
        <v>191</v>
      </c>
      <c r="I9" s="74">
        <v>7</v>
      </c>
      <c r="J9" s="14" t="s">
        <v>244</v>
      </c>
      <c r="U9" s="14" t="s">
        <v>140</v>
      </c>
      <c r="V9" s="14" t="s">
        <v>245</v>
      </c>
      <c r="W9" s="14" t="s">
        <v>142</v>
      </c>
      <c r="X9" s="14" t="s">
        <v>180</v>
      </c>
      <c r="Y9" s="14" t="s">
        <v>166</v>
      </c>
      <c r="Z9" s="14" t="s">
        <v>246</v>
      </c>
      <c r="AA9" s="75">
        <v>45673</v>
      </c>
      <c r="AB9" s="90">
        <v>0.5</v>
      </c>
      <c r="AC9" s="90">
        <v>0.5</v>
      </c>
      <c r="AD9" s="14" t="s">
        <v>146</v>
      </c>
      <c r="AE9" s="14" t="s">
        <v>242</v>
      </c>
      <c r="AF9" s="74" t="s">
        <v>169</v>
      </c>
      <c r="AG9" s="90">
        <v>0.5</v>
      </c>
      <c r="AH9" s="77">
        <v>45673</v>
      </c>
      <c r="AI9" s="14" t="s">
        <v>146</v>
      </c>
      <c r="AJ9" s="14" t="s">
        <v>247</v>
      </c>
      <c r="AK9" s="14" t="s">
        <v>171</v>
      </c>
      <c r="AL9" s="14">
        <v>2025</v>
      </c>
      <c r="AM9" s="14">
        <v>3</v>
      </c>
      <c r="AN9" s="14">
        <v>16</v>
      </c>
      <c r="AO9" s="14" t="s">
        <v>248</v>
      </c>
      <c r="AP9" s="14" t="s">
        <v>151</v>
      </c>
      <c r="AT9"/>
      <c r="AU9"/>
      <c r="AV9"/>
      <c r="AW9"/>
    </row>
    <row r="10" spans="1:49" x14ac:dyDescent="0.25">
      <c r="A10" s="74" t="s">
        <v>249</v>
      </c>
      <c r="B10" s="75">
        <v>45673</v>
      </c>
      <c r="C10" s="89">
        <v>0.87708333333333333</v>
      </c>
      <c r="D10" s="14" t="s">
        <v>206</v>
      </c>
      <c r="G10" s="14" t="s">
        <v>250</v>
      </c>
      <c r="H10" s="74" t="s">
        <v>251</v>
      </c>
      <c r="I10" s="74">
        <v>9</v>
      </c>
      <c r="J10" s="14" t="s">
        <v>252</v>
      </c>
      <c r="N10" s="14" t="s">
        <v>253</v>
      </c>
      <c r="O10" s="14" t="s">
        <v>254</v>
      </c>
      <c r="U10" s="14" t="s">
        <v>140</v>
      </c>
      <c r="V10" s="14" t="s">
        <v>255</v>
      </c>
      <c r="W10" s="14" t="s">
        <v>256</v>
      </c>
      <c r="X10" s="14" t="s">
        <v>257</v>
      </c>
      <c r="Y10" s="14" t="s">
        <v>144</v>
      </c>
      <c r="Z10" s="14" t="s">
        <v>213</v>
      </c>
      <c r="AA10" s="75">
        <v>45673</v>
      </c>
      <c r="AB10" s="90">
        <v>0.87708333333333333</v>
      </c>
      <c r="AC10" s="90">
        <v>0.875</v>
      </c>
      <c r="AD10" s="14" t="s">
        <v>168</v>
      </c>
      <c r="AE10" s="14" t="s">
        <v>206</v>
      </c>
      <c r="AF10" s="74" t="s">
        <v>169</v>
      </c>
      <c r="AG10" s="90">
        <v>0.87708333333333333</v>
      </c>
      <c r="AH10" s="77">
        <v>45673</v>
      </c>
      <c r="AI10" s="14" t="s">
        <v>168</v>
      </c>
      <c r="AJ10" s="14" t="s">
        <v>247</v>
      </c>
      <c r="AK10" s="14" t="s">
        <v>171</v>
      </c>
      <c r="AL10" s="14">
        <v>2025</v>
      </c>
      <c r="AM10" s="14">
        <v>3</v>
      </c>
      <c r="AN10" s="14">
        <v>16</v>
      </c>
      <c r="AO10" s="14" t="s">
        <v>258</v>
      </c>
      <c r="AP10" s="14" t="s">
        <v>151</v>
      </c>
    </row>
    <row r="11" spans="1:49" x14ac:dyDescent="0.25">
      <c r="A11" s="74" t="s">
        <v>259</v>
      </c>
      <c r="B11" s="75">
        <v>45678</v>
      </c>
      <c r="C11" s="89">
        <v>0.79166666666666663</v>
      </c>
      <c r="D11" s="14" t="s">
        <v>154</v>
      </c>
      <c r="G11" s="14" t="s">
        <v>260</v>
      </c>
      <c r="H11" s="74" t="s">
        <v>251</v>
      </c>
      <c r="I11" s="74">
        <v>9</v>
      </c>
      <c r="J11" s="14" t="s">
        <v>261</v>
      </c>
      <c r="M11" s="14" t="s">
        <v>262</v>
      </c>
      <c r="N11" s="14" t="s">
        <v>159</v>
      </c>
      <c r="O11" s="14" t="s">
        <v>263</v>
      </c>
      <c r="P11" s="14" t="s">
        <v>161</v>
      </c>
      <c r="U11" s="14" t="s">
        <v>264</v>
      </c>
      <c r="V11" s="14" t="s">
        <v>265</v>
      </c>
      <c r="W11" s="14" t="s">
        <v>164</v>
      </c>
      <c r="X11" s="14" t="s">
        <v>228</v>
      </c>
      <c r="Y11" s="14" t="s">
        <v>166</v>
      </c>
      <c r="Z11" s="14" t="s">
        <v>167</v>
      </c>
      <c r="AA11" s="75">
        <v>45678</v>
      </c>
      <c r="AB11" s="90">
        <v>0.79166666666666663</v>
      </c>
      <c r="AC11" s="90">
        <v>0.79166666666666663</v>
      </c>
      <c r="AD11" s="14" t="s">
        <v>266</v>
      </c>
      <c r="AE11" s="14" t="s">
        <v>154</v>
      </c>
      <c r="AF11" s="74" t="s">
        <v>169</v>
      </c>
      <c r="AG11" s="90">
        <v>0.79166666666666663</v>
      </c>
      <c r="AH11" s="77">
        <v>45678</v>
      </c>
      <c r="AI11" s="14" t="s">
        <v>266</v>
      </c>
      <c r="AJ11" s="14" t="s">
        <v>148</v>
      </c>
      <c r="AK11" s="14" t="s">
        <v>171</v>
      </c>
      <c r="AL11" s="14">
        <v>2025</v>
      </c>
      <c r="AM11" s="14">
        <v>4</v>
      </c>
      <c r="AN11" s="14">
        <v>21</v>
      </c>
      <c r="AO11" s="14" t="s">
        <v>267</v>
      </c>
      <c r="AP11" s="14" t="s">
        <v>151</v>
      </c>
    </row>
    <row r="12" spans="1:49" x14ac:dyDescent="0.25">
      <c r="A12" s="74" t="s">
        <v>268</v>
      </c>
      <c r="B12" s="75">
        <v>45679</v>
      </c>
      <c r="C12" s="89">
        <v>0.33333333333333331</v>
      </c>
      <c r="D12" s="14" t="s">
        <v>154</v>
      </c>
      <c r="G12" s="14" t="s">
        <v>269</v>
      </c>
      <c r="H12" s="74" t="s">
        <v>270</v>
      </c>
      <c r="I12" s="74">
        <v>5</v>
      </c>
      <c r="J12" s="14" t="s">
        <v>271</v>
      </c>
      <c r="M12" s="14" t="s">
        <v>272</v>
      </c>
      <c r="N12" s="14" t="s">
        <v>273</v>
      </c>
      <c r="O12" s="14" t="s">
        <v>274</v>
      </c>
      <c r="P12" s="14" t="s">
        <v>161</v>
      </c>
      <c r="U12" s="14" t="s">
        <v>226</v>
      </c>
      <c r="V12" s="14" t="s">
        <v>265</v>
      </c>
      <c r="W12" s="14" t="s">
        <v>164</v>
      </c>
      <c r="X12" s="14" t="s">
        <v>275</v>
      </c>
      <c r="Y12" s="14" t="s">
        <v>166</v>
      </c>
      <c r="Z12" s="14" t="s">
        <v>167</v>
      </c>
      <c r="AA12" s="75">
        <v>45679</v>
      </c>
      <c r="AB12" s="90">
        <v>0.33333333333333331</v>
      </c>
      <c r="AC12" s="90">
        <v>0.33333333333333331</v>
      </c>
      <c r="AD12" s="14" t="s">
        <v>276</v>
      </c>
      <c r="AE12" s="14" t="s">
        <v>154</v>
      </c>
      <c r="AF12" s="74" t="s">
        <v>169</v>
      </c>
      <c r="AG12" s="90">
        <v>0.33333333333333331</v>
      </c>
      <c r="AH12" s="77">
        <v>45679</v>
      </c>
      <c r="AI12" s="14" t="s">
        <v>276</v>
      </c>
      <c r="AJ12" s="14" t="s">
        <v>239</v>
      </c>
      <c r="AK12" s="14" t="s">
        <v>171</v>
      </c>
      <c r="AL12" s="14">
        <v>2025</v>
      </c>
      <c r="AM12" s="14">
        <v>4</v>
      </c>
      <c r="AN12" s="14">
        <v>22</v>
      </c>
      <c r="AO12" s="14" t="s">
        <v>277</v>
      </c>
      <c r="AP12" s="14" t="s">
        <v>151</v>
      </c>
    </row>
    <row r="13" spans="1:49" x14ac:dyDescent="0.25">
      <c r="A13" s="74" t="s">
        <v>278</v>
      </c>
      <c r="B13" s="75">
        <v>45680</v>
      </c>
      <c r="C13" s="89">
        <v>0.625</v>
      </c>
      <c r="D13" s="14" t="s">
        <v>136</v>
      </c>
      <c r="E13" s="14" t="s">
        <v>189</v>
      </c>
      <c r="G13" s="14" t="s">
        <v>279</v>
      </c>
      <c r="H13" s="74" t="s">
        <v>208</v>
      </c>
      <c r="I13" s="74">
        <v>8</v>
      </c>
      <c r="J13" s="14" t="s">
        <v>280</v>
      </c>
      <c r="U13" s="14" t="s">
        <v>281</v>
      </c>
      <c r="V13" s="14" t="s">
        <v>143</v>
      </c>
      <c r="W13" s="14" t="s">
        <v>282</v>
      </c>
      <c r="X13" s="14" t="s">
        <v>196</v>
      </c>
      <c r="Y13" s="14" t="s">
        <v>283</v>
      </c>
      <c r="Z13" s="14"/>
      <c r="AA13" s="75">
        <v>45680</v>
      </c>
      <c r="AB13" s="90">
        <v>0.625</v>
      </c>
      <c r="AC13" s="90">
        <v>0.625</v>
      </c>
      <c r="AD13" s="14" t="s">
        <v>146</v>
      </c>
      <c r="AE13" s="14" t="s">
        <v>284</v>
      </c>
      <c r="AF13" s="74" t="s">
        <v>169</v>
      </c>
      <c r="AG13" s="90">
        <v>0.625</v>
      </c>
      <c r="AH13" s="77">
        <v>45680</v>
      </c>
      <c r="AI13" s="14" t="s">
        <v>146</v>
      </c>
      <c r="AJ13" s="14" t="s">
        <v>247</v>
      </c>
      <c r="AK13" s="14" t="s">
        <v>171</v>
      </c>
      <c r="AL13" s="14">
        <v>2025</v>
      </c>
      <c r="AM13" s="14">
        <v>4</v>
      </c>
      <c r="AN13" s="14">
        <v>23</v>
      </c>
      <c r="AO13" s="14" t="s">
        <v>285</v>
      </c>
      <c r="AP13" s="14" t="s">
        <v>200</v>
      </c>
    </row>
    <row r="14" spans="1:49" x14ac:dyDescent="0.25">
      <c r="A14" s="74" t="s">
        <v>286</v>
      </c>
      <c r="B14" s="75">
        <v>45682</v>
      </c>
      <c r="C14" s="89">
        <v>0.45833333333333331</v>
      </c>
      <c r="D14" s="14" t="s">
        <v>242</v>
      </c>
      <c r="G14" s="14" t="s">
        <v>287</v>
      </c>
      <c r="H14" s="74" t="s">
        <v>288</v>
      </c>
      <c r="I14" s="74">
        <v>5</v>
      </c>
      <c r="J14" s="14" t="s">
        <v>289</v>
      </c>
      <c r="U14" s="14" t="s">
        <v>290</v>
      </c>
      <c r="V14" s="14" t="s">
        <v>291</v>
      </c>
      <c r="W14" s="14" t="s">
        <v>256</v>
      </c>
      <c r="X14" s="14" t="s">
        <v>180</v>
      </c>
      <c r="Y14" s="14" t="s">
        <v>166</v>
      </c>
      <c r="Z14" s="14" t="s">
        <v>246</v>
      </c>
      <c r="AA14" s="75">
        <v>45682</v>
      </c>
      <c r="AB14" s="90">
        <v>0.45833333333333331</v>
      </c>
      <c r="AC14" s="90">
        <v>0.45833333333333331</v>
      </c>
      <c r="AD14" s="14" t="s">
        <v>276</v>
      </c>
      <c r="AE14" s="14" t="s">
        <v>242</v>
      </c>
      <c r="AF14" s="74" t="s">
        <v>169</v>
      </c>
      <c r="AG14" s="90">
        <v>0.45833333333333331</v>
      </c>
      <c r="AH14" s="77">
        <v>45682</v>
      </c>
      <c r="AI14" s="14" t="s">
        <v>276</v>
      </c>
      <c r="AJ14" s="14" t="s">
        <v>292</v>
      </c>
      <c r="AK14" s="14" t="s">
        <v>171</v>
      </c>
      <c r="AL14" s="14">
        <v>2025</v>
      </c>
      <c r="AM14" s="14">
        <v>4</v>
      </c>
      <c r="AN14" s="14">
        <v>25</v>
      </c>
      <c r="AO14" s="14" t="s">
        <v>293</v>
      </c>
      <c r="AP14" s="14" t="s">
        <v>151</v>
      </c>
    </row>
    <row r="15" spans="1:49" x14ac:dyDescent="0.25">
      <c r="A15" s="74" t="s">
        <v>294</v>
      </c>
      <c r="B15" s="75">
        <v>45682</v>
      </c>
      <c r="C15" s="89">
        <v>0.76875000000000004</v>
      </c>
      <c r="D15" s="14" t="s">
        <v>174</v>
      </c>
      <c r="E15" s="14" t="s">
        <v>295</v>
      </c>
      <c r="G15" s="14" t="s">
        <v>296</v>
      </c>
      <c r="H15" s="74" t="s">
        <v>208</v>
      </c>
      <c r="I15" s="74">
        <v>8</v>
      </c>
      <c r="J15" s="14" t="s">
        <v>297</v>
      </c>
      <c r="M15" s="14" t="s">
        <v>298</v>
      </c>
      <c r="N15" s="14" t="s">
        <v>159</v>
      </c>
      <c r="O15" s="14" t="s">
        <v>299</v>
      </c>
      <c r="P15" s="14" t="s">
        <v>161</v>
      </c>
      <c r="U15" s="14" t="s">
        <v>290</v>
      </c>
      <c r="V15" s="14" t="s">
        <v>255</v>
      </c>
      <c r="W15" s="14" t="s">
        <v>256</v>
      </c>
      <c r="X15" s="14" t="s">
        <v>300</v>
      </c>
      <c r="Y15" s="14" t="s">
        <v>301</v>
      </c>
      <c r="Z15" s="14" t="s">
        <v>182</v>
      </c>
      <c r="AA15" s="75">
        <v>45682</v>
      </c>
      <c r="AB15" s="90">
        <v>0.76875000000000004</v>
      </c>
      <c r="AC15" s="90">
        <v>0.75</v>
      </c>
      <c r="AD15" s="14" t="s">
        <v>266</v>
      </c>
      <c r="AE15" s="14" t="s">
        <v>302</v>
      </c>
      <c r="AF15" s="74" t="s">
        <v>169</v>
      </c>
      <c r="AG15" s="90">
        <v>0.76875000000000004</v>
      </c>
      <c r="AH15" s="77">
        <v>45682</v>
      </c>
      <c r="AI15" s="14" t="s">
        <v>266</v>
      </c>
      <c r="AJ15" s="14" t="s">
        <v>292</v>
      </c>
      <c r="AK15" s="14" t="s">
        <v>171</v>
      </c>
      <c r="AL15" s="14">
        <v>2025</v>
      </c>
      <c r="AM15" s="14">
        <v>4</v>
      </c>
      <c r="AN15" s="14">
        <v>25</v>
      </c>
      <c r="AO15" s="14" t="s">
        <v>303</v>
      </c>
      <c r="AP15" s="14" t="s">
        <v>151</v>
      </c>
    </row>
    <row r="16" spans="1:49" x14ac:dyDescent="0.25">
      <c r="A16" s="74" t="s">
        <v>304</v>
      </c>
      <c r="B16" s="75">
        <v>45683</v>
      </c>
      <c r="C16" s="89">
        <v>0.84027777777777779</v>
      </c>
      <c r="D16" s="14" t="s">
        <v>174</v>
      </c>
      <c r="E16" s="14" t="s">
        <v>295</v>
      </c>
      <c r="G16" s="14" t="s">
        <v>305</v>
      </c>
      <c r="H16" s="74" t="s">
        <v>138</v>
      </c>
      <c r="I16" s="74">
        <v>9</v>
      </c>
      <c r="J16" s="14" t="s">
        <v>306</v>
      </c>
      <c r="M16" s="14" t="s">
        <v>307</v>
      </c>
      <c r="N16" s="14" t="s">
        <v>159</v>
      </c>
      <c r="O16" s="14" t="s">
        <v>308</v>
      </c>
      <c r="P16" s="14" t="s">
        <v>161</v>
      </c>
      <c r="U16" s="14" t="s">
        <v>140</v>
      </c>
      <c r="V16" s="14" t="s">
        <v>309</v>
      </c>
      <c r="W16" s="14" t="s">
        <v>142</v>
      </c>
      <c r="X16" s="14" t="s">
        <v>310</v>
      </c>
      <c r="Y16" s="14" t="s">
        <v>166</v>
      </c>
      <c r="Z16" s="14" t="s">
        <v>182</v>
      </c>
      <c r="AA16" s="75">
        <v>45683</v>
      </c>
      <c r="AB16" s="90">
        <v>0.84027777777777779</v>
      </c>
      <c r="AC16" s="90">
        <v>0.83333333333333337</v>
      </c>
      <c r="AD16" s="14" t="s">
        <v>168</v>
      </c>
      <c r="AE16" s="14" t="s">
        <v>302</v>
      </c>
      <c r="AF16" s="74" t="s">
        <v>169</v>
      </c>
      <c r="AG16" s="90">
        <v>0.84027777777777779</v>
      </c>
      <c r="AH16" s="77">
        <v>45683</v>
      </c>
      <c r="AI16" s="14" t="s">
        <v>168</v>
      </c>
      <c r="AJ16" s="14" t="s">
        <v>311</v>
      </c>
      <c r="AK16" s="14" t="s">
        <v>171</v>
      </c>
      <c r="AL16" s="14">
        <v>2025</v>
      </c>
      <c r="AM16" s="14">
        <v>5</v>
      </c>
      <c r="AN16" s="14">
        <v>26</v>
      </c>
      <c r="AO16" s="14" t="s">
        <v>312</v>
      </c>
      <c r="AP16" s="14" t="s">
        <v>151</v>
      </c>
    </row>
    <row r="17" spans="1:42" x14ac:dyDescent="0.25">
      <c r="A17" s="74" t="s">
        <v>313</v>
      </c>
      <c r="B17" s="75">
        <v>45685</v>
      </c>
      <c r="C17" s="89">
        <v>0.625</v>
      </c>
      <c r="D17" s="14" t="s">
        <v>154</v>
      </c>
      <c r="E17" s="14" t="s">
        <v>295</v>
      </c>
      <c r="G17" s="14" t="s">
        <v>314</v>
      </c>
      <c r="H17" s="74" t="s">
        <v>315</v>
      </c>
      <c r="I17" s="74">
        <v>6</v>
      </c>
      <c r="J17" s="14" t="s">
        <v>316</v>
      </c>
      <c r="M17" s="14" t="s">
        <v>317</v>
      </c>
      <c r="N17" s="14" t="s">
        <v>318</v>
      </c>
      <c r="O17" s="14" t="s">
        <v>319</v>
      </c>
      <c r="P17" s="14" t="s">
        <v>161</v>
      </c>
      <c r="U17" s="14" t="s">
        <v>226</v>
      </c>
      <c r="V17" s="14" t="s">
        <v>265</v>
      </c>
      <c r="W17" s="14" t="s">
        <v>164</v>
      </c>
      <c r="X17" s="14" t="s">
        <v>180</v>
      </c>
      <c r="Y17" s="14" t="s">
        <v>320</v>
      </c>
      <c r="Z17" s="14" t="s">
        <v>167</v>
      </c>
      <c r="AA17" s="75">
        <v>45685</v>
      </c>
      <c r="AB17" s="90">
        <v>0.625</v>
      </c>
      <c r="AC17" s="90">
        <v>0.625</v>
      </c>
      <c r="AD17" s="14" t="s">
        <v>146</v>
      </c>
      <c r="AE17" s="14" t="s">
        <v>321</v>
      </c>
      <c r="AF17" s="74" t="s">
        <v>169</v>
      </c>
      <c r="AG17" s="90">
        <v>0.625</v>
      </c>
      <c r="AH17" s="77">
        <v>45685</v>
      </c>
      <c r="AI17" s="14" t="s">
        <v>146</v>
      </c>
      <c r="AJ17" s="14" t="s">
        <v>148</v>
      </c>
      <c r="AK17" s="14" t="s">
        <v>171</v>
      </c>
      <c r="AL17" s="14">
        <v>2025</v>
      </c>
      <c r="AM17" s="14">
        <v>5</v>
      </c>
      <c r="AN17" s="14">
        <v>28</v>
      </c>
      <c r="AO17" s="14" t="s">
        <v>322</v>
      </c>
      <c r="AP17" s="14" t="s">
        <v>151</v>
      </c>
    </row>
    <row r="18" spans="1:42" x14ac:dyDescent="0.25">
      <c r="A18" s="74" t="s">
        <v>323</v>
      </c>
      <c r="B18" s="75">
        <v>45688</v>
      </c>
      <c r="C18" s="89">
        <v>0.49988425925925928</v>
      </c>
      <c r="D18" s="14" t="s">
        <v>242</v>
      </c>
      <c r="G18" s="14" t="s">
        <v>324</v>
      </c>
      <c r="H18" s="74" t="s">
        <v>325</v>
      </c>
      <c r="I18" s="74">
        <v>8</v>
      </c>
      <c r="J18" s="14" t="s">
        <v>326</v>
      </c>
      <c r="U18" s="14" t="s">
        <v>162</v>
      </c>
      <c r="V18" s="14" t="s">
        <v>327</v>
      </c>
      <c r="W18" s="14" t="s">
        <v>328</v>
      </c>
      <c r="X18" s="14" t="s">
        <v>228</v>
      </c>
      <c r="Y18" s="14" t="s">
        <v>166</v>
      </c>
      <c r="Z18" s="14" t="s">
        <v>246</v>
      </c>
      <c r="AA18" s="75">
        <v>45688</v>
      </c>
      <c r="AB18" s="90">
        <v>0.49988425925925928</v>
      </c>
      <c r="AC18" s="90">
        <v>0.45833333333333331</v>
      </c>
      <c r="AD18" s="14" t="s">
        <v>276</v>
      </c>
      <c r="AE18" s="14" t="s">
        <v>242</v>
      </c>
      <c r="AF18" s="74" t="s">
        <v>169</v>
      </c>
      <c r="AG18" s="90">
        <v>0.49988425925925928</v>
      </c>
      <c r="AH18" s="77">
        <v>45688</v>
      </c>
      <c r="AI18" s="14" t="s">
        <v>276</v>
      </c>
      <c r="AJ18" s="14" t="s">
        <v>170</v>
      </c>
      <c r="AK18" s="14" t="s">
        <v>171</v>
      </c>
      <c r="AL18" s="14">
        <v>2025</v>
      </c>
      <c r="AM18" s="14">
        <v>5</v>
      </c>
      <c r="AN18" s="14">
        <v>31</v>
      </c>
      <c r="AO18" s="14" t="s">
        <v>329</v>
      </c>
      <c r="AP18" s="14" t="s">
        <v>151</v>
      </c>
    </row>
    <row r="19" spans="1:42" x14ac:dyDescent="0.25">
      <c r="A19" s="74" t="s">
        <v>330</v>
      </c>
      <c r="B19" s="75">
        <v>45688</v>
      </c>
      <c r="C19" s="89">
        <v>0.5</v>
      </c>
      <c r="D19" s="14" t="s">
        <v>154</v>
      </c>
      <c r="G19" s="14" t="s">
        <v>331</v>
      </c>
      <c r="H19" s="74" t="s">
        <v>270</v>
      </c>
      <c r="I19" s="74">
        <v>5</v>
      </c>
      <c r="J19" s="14" t="s">
        <v>332</v>
      </c>
      <c r="M19" s="14" t="s">
        <v>333</v>
      </c>
      <c r="O19" s="14" t="s">
        <v>236</v>
      </c>
      <c r="P19" s="14" t="s">
        <v>161</v>
      </c>
      <c r="U19" s="14" t="s">
        <v>226</v>
      </c>
      <c r="V19" s="14" t="s">
        <v>334</v>
      </c>
      <c r="W19" s="14" t="s">
        <v>164</v>
      </c>
      <c r="X19" s="14" t="s">
        <v>310</v>
      </c>
      <c r="Y19" s="14" t="s">
        <v>166</v>
      </c>
      <c r="Z19" s="14" t="s">
        <v>167</v>
      </c>
      <c r="AA19" s="75">
        <v>45688</v>
      </c>
      <c r="AB19" s="90">
        <v>0.5</v>
      </c>
      <c r="AC19" s="90">
        <v>0.5</v>
      </c>
      <c r="AD19" s="14" t="s">
        <v>146</v>
      </c>
      <c r="AE19" s="14" t="s">
        <v>154</v>
      </c>
      <c r="AF19" s="74" t="s">
        <v>169</v>
      </c>
      <c r="AG19" s="90">
        <v>0.5</v>
      </c>
      <c r="AH19" s="77">
        <v>45688</v>
      </c>
      <c r="AI19" s="14" t="s">
        <v>146</v>
      </c>
      <c r="AJ19" s="14" t="s">
        <v>170</v>
      </c>
      <c r="AK19" s="14" t="s">
        <v>171</v>
      </c>
      <c r="AL19" s="14">
        <v>2025</v>
      </c>
      <c r="AM19" s="14">
        <v>5</v>
      </c>
      <c r="AN19" s="14">
        <v>31</v>
      </c>
      <c r="AO19" s="14" t="s">
        <v>335</v>
      </c>
      <c r="AP19" s="14" t="s">
        <v>151</v>
      </c>
    </row>
    <row r="20" spans="1:42" x14ac:dyDescent="0.25">
      <c r="A20" s="74" t="s">
        <v>336</v>
      </c>
      <c r="B20" s="75">
        <v>45689</v>
      </c>
      <c r="C20" s="89">
        <v>4.1666666666666664E-2</v>
      </c>
      <c r="D20" s="14" t="s">
        <v>154</v>
      </c>
      <c r="G20" s="14" t="s">
        <v>337</v>
      </c>
      <c r="H20" s="74" t="s">
        <v>338</v>
      </c>
      <c r="I20" s="74">
        <v>6</v>
      </c>
      <c r="J20" s="14" t="s">
        <v>339</v>
      </c>
      <c r="M20" s="14" t="s">
        <v>340</v>
      </c>
      <c r="N20" s="14" t="s">
        <v>341</v>
      </c>
      <c r="O20" s="14" t="s">
        <v>342</v>
      </c>
      <c r="P20" s="14" t="s">
        <v>161</v>
      </c>
      <c r="U20" s="14" t="s">
        <v>226</v>
      </c>
      <c r="V20" s="14" t="s">
        <v>265</v>
      </c>
      <c r="W20" s="14" t="s">
        <v>164</v>
      </c>
      <c r="X20" s="14" t="s">
        <v>275</v>
      </c>
      <c r="Y20" s="14" t="s">
        <v>166</v>
      </c>
      <c r="Z20" s="14" t="s">
        <v>167</v>
      </c>
      <c r="AA20" s="75">
        <v>45689</v>
      </c>
      <c r="AB20" s="90">
        <v>4.1666666666666664E-2</v>
      </c>
      <c r="AC20" s="90">
        <v>4.1666666666666664E-2</v>
      </c>
      <c r="AD20" s="14" t="s">
        <v>343</v>
      </c>
      <c r="AE20" s="14" t="s">
        <v>154</v>
      </c>
      <c r="AF20" s="74" t="s">
        <v>169</v>
      </c>
      <c r="AG20" s="90">
        <v>4.1666666666666664E-2</v>
      </c>
      <c r="AH20" s="77">
        <v>45689</v>
      </c>
      <c r="AI20" s="14" t="s">
        <v>343</v>
      </c>
      <c r="AJ20" s="14" t="s">
        <v>292</v>
      </c>
      <c r="AK20" s="14" t="s">
        <v>344</v>
      </c>
      <c r="AL20" s="14">
        <v>2025</v>
      </c>
      <c r="AM20" s="14">
        <v>5</v>
      </c>
      <c r="AN20" s="14">
        <v>1</v>
      </c>
      <c r="AO20" s="14" t="s">
        <v>345</v>
      </c>
      <c r="AP20" s="14" t="s">
        <v>151</v>
      </c>
    </row>
    <row r="21" spans="1:42" x14ac:dyDescent="0.25">
      <c r="A21" s="74" t="s">
        <v>346</v>
      </c>
      <c r="B21" s="75">
        <v>45690</v>
      </c>
      <c r="C21" s="89">
        <v>0.72569444444444442</v>
      </c>
      <c r="D21" s="14" t="s">
        <v>347</v>
      </c>
      <c r="E21" s="14" t="s">
        <v>206</v>
      </c>
      <c r="G21" s="14" t="s">
        <v>348</v>
      </c>
      <c r="H21" s="74" t="s">
        <v>288</v>
      </c>
      <c r="I21" s="74">
        <v>5</v>
      </c>
      <c r="J21" s="14" t="s">
        <v>349</v>
      </c>
      <c r="U21" s="14" t="s">
        <v>140</v>
      </c>
      <c r="V21" s="14" t="s">
        <v>309</v>
      </c>
      <c r="W21" s="14" t="s">
        <v>142</v>
      </c>
      <c r="X21" s="14" t="s">
        <v>350</v>
      </c>
      <c r="Y21" s="14" t="s">
        <v>301</v>
      </c>
      <c r="Z21" s="14"/>
      <c r="AA21" s="75">
        <v>45690</v>
      </c>
      <c r="AB21" s="90">
        <v>0.72569444444444442</v>
      </c>
      <c r="AC21" s="90">
        <v>0.70833333333333337</v>
      </c>
      <c r="AD21" s="14" t="s">
        <v>266</v>
      </c>
      <c r="AE21" s="14" t="s">
        <v>351</v>
      </c>
      <c r="AF21" s="74" t="s">
        <v>169</v>
      </c>
      <c r="AG21" s="90">
        <v>0.72569444444444442</v>
      </c>
      <c r="AH21" s="77">
        <v>45690</v>
      </c>
      <c r="AI21" s="14" t="s">
        <v>266</v>
      </c>
      <c r="AJ21" s="14" t="s">
        <v>311</v>
      </c>
      <c r="AK21" s="14" t="s">
        <v>344</v>
      </c>
      <c r="AL21" s="14">
        <v>2025</v>
      </c>
      <c r="AM21" s="14">
        <v>6</v>
      </c>
      <c r="AN21" s="14">
        <v>2</v>
      </c>
      <c r="AO21" s="14" t="s">
        <v>352</v>
      </c>
      <c r="AP21" s="14" t="s">
        <v>231</v>
      </c>
    </row>
    <row r="22" spans="1:42" x14ac:dyDescent="0.25">
      <c r="A22" s="74" t="s">
        <v>353</v>
      </c>
      <c r="C22" s="89"/>
      <c r="D22" s="14" t="s">
        <v>206</v>
      </c>
      <c r="G22" s="14" t="s">
        <v>354</v>
      </c>
      <c r="H22" s="74" t="s">
        <v>221</v>
      </c>
      <c r="I22" s="74">
        <v>9</v>
      </c>
      <c r="J22" s="14" t="s">
        <v>355</v>
      </c>
      <c r="U22" s="14" t="s">
        <v>290</v>
      </c>
      <c r="V22" s="14" t="s">
        <v>245</v>
      </c>
      <c r="W22" s="14" t="s">
        <v>142</v>
      </c>
      <c r="X22" s="14" t="s">
        <v>310</v>
      </c>
      <c r="Y22" s="14" t="s">
        <v>166</v>
      </c>
      <c r="Z22" s="14" t="s">
        <v>213</v>
      </c>
      <c r="AA22" s="75">
        <v>45691</v>
      </c>
      <c r="AB22" s="90">
        <v>0.694849537037037</v>
      </c>
      <c r="AC22" s="90">
        <v>0.66666666666666663</v>
      </c>
      <c r="AD22" s="14" t="s">
        <v>266</v>
      </c>
      <c r="AE22" s="14" t="s">
        <v>206</v>
      </c>
      <c r="AF22" s="74" t="s">
        <v>169</v>
      </c>
      <c r="AG22" s="90">
        <v>0.694849537037037</v>
      </c>
      <c r="AH22" s="77">
        <v>45691</v>
      </c>
      <c r="AI22" s="14" t="s">
        <v>266</v>
      </c>
      <c r="AJ22" s="14" t="s">
        <v>183</v>
      </c>
      <c r="AK22" s="14" t="s">
        <v>344</v>
      </c>
      <c r="AL22" s="14">
        <v>2025</v>
      </c>
      <c r="AM22" s="14">
        <v>6</v>
      </c>
      <c r="AN22" s="14">
        <v>3</v>
      </c>
      <c r="AO22" s="14" t="s">
        <v>230</v>
      </c>
      <c r="AP22" s="14" t="s">
        <v>151</v>
      </c>
    </row>
    <row r="23" spans="1:42" x14ac:dyDescent="0.25">
      <c r="A23" s="74" t="s">
        <v>356</v>
      </c>
      <c r="B23" s="75">
        <v>45691</v>
      </c>
      <c r="C23" s="89">
        <v>0.77083333333333337</v>
      </c>
      <c r="D23" s="14" t="s">
        <v>154</v>
      </c>
      <c r="G23" s="14" t="s">
        <v>357</v>
      </c>
      <c r="H23" s="74" t="s">
        <v>358</v>
      </c>
      <c r="I23" s="74">
        <v>8</v>
      </c>
      <c r="J23" s="14" t="s">
        <v>359</v>
      </c>
      <c r="M23" s="14" t="s">
        <v>360</v>
      </c>
      <c r="N23" s="14" t="s">
        <v>361</v>
      </c>
      <c r="O23" s="14" t="s">
        <v>362</v>
      </c>
      <c r="P23" s="14" t="s">
        <v>363</v>
      </c>
      <c r="U23" s="14" t="s">
        <v>140</v>
      </c>
      <c r="V23" s="14" t="s">
        <v>309</v>
      </c>
      <c r="W23" s="14" t="s">
        <v>142</v>
      </c>
      <c r="X23" s="14" t="s">
        <v>180</v>
      </c>
      <c r="Y23" s="14" t="s">
        <v>364</v>
      </c>
      <c r="Z23" s="14" t="s">
        <v>167</v>
      </c>
      <c r="AA23" s="75">
        <v>45691</v>
      </c>
      <c r="AB23" s="90">
        <v>0.77083333333333337</v>
      </c>
      <c r="AC23" s="90">
        <v>0.75</v>
      </c>
      <c r="AD23" s="14" t="s">
        <v>266</v>
      </c>
      <c r="AE23" s="14" t="s">
        <v>154</v>
      </c>
      <c r="AF23" s="74" t="s">
        <v>169</v>
      </c>
      <c r="AG23" s="90">
        <v>0.77083333333333337</v>
      </c>
      <c r="AH23" s="77">
        <v>45691</v>
      </c>
      <c r="AI23" s="14" t="s">
        <v>266</v>
      </c>
      <c r="AJ23" s="14" t="s">
        <v>183</v>
      </c>
      <c r="AK23" s="14" t="s">
        <v>344</v>
      </c>
      <c r="AL23" s="14">
        <v>2025</v>
      </c>
      <c r="AM23" s="14">
        <v>6</v>
      </c>
      <c r="AN23" s="14">
        <v>3</v>
      </c>
      <c r="AO23" s="14" t="s">
        <v>365</v>
      </c>
      <c r="AP23" s="14" t="s">
        <v>151</v>
      </c>
    </row>
    <row r="24" spans="1:42" x14ac:dyDescent="0.25">
      <c r="A24" s="74" t="s">
        <v>366</v>
      </c>
      <c r="B24" s="75">
        <v>45693</v>
      </c>
      <c r="C24" s="89">
        <v>0.12291666666666666</v>
      </c>
      <c r="D24" s="14" t="s">
        <v>367</v>
      </c>
      <c r="E24" s="14" t="s">
        <v>368</v>
      </c>
      <c r="G24" s="14" t="s">
        <v>369</v>
      </c>
      <c r="H24" s="74" t="s">
        <v>325</v>
      </c>
      <c r="I24" s="74">
        <v>8</v>
      </c>
      <c r="J24" s="14" t="s">
        <v>370</v>
      </c>
      <c r="U24" s="14" t="s">
        <v>226</v>
      </c>
      <c r="V24" s="14" t="s">
        <v>371</v>
      </c>
      <c r="W24" s="14" t="s">
        <v>256</v>
      </c>
      <c r="X24" s="14" t="s">
        <v>372</v>
      </c>
      <c r="Y24" s="14" t="s">
        <v>181</v>
      </c>
      <c r="Z24" s="14" t="s">
        <v>246</v>
      </c>
      <c r="AA24" s="75">
        <v>45693</v>
      </c>
      <c r="AB24" s="90">
        <v>0.12291666666666666</v>
      </c>
      <c r="AC24" s="90">
        <v>8.3333333333333329E-2</v>
      </c>
      <c r="AD24" s="14" t="s">
        <v>343</v>
      </c>
      <c r="AE24" s="14" t="s">
        <v>373</v>
      </c>
      <c r="AF24" s="74" t="s">
        <v>169</v>
      </c>
      <c r="AG24" s="90">
        <v>0.12291666666666666</v>
      </c>
      <c r="AH24" s="77">
        <v>45693</v>
      </c>
      <c r="AI24" s="14" t="s">
        <v>343</v>
      </c>
      <c r="AJ24" s="14" t="s">
        <v>239</v>
      </c>
      <c r="AK24" s="14" t="s">
        <v>344</v>
      </c>
      <c r="AL24" s="14">
        <v>2025</v>
      </c>
      <c r="AM24" s="14">
        <v>6</v>
      </c>
      <c r="AN24" s="14">
        <v>5</v>
      </c>
      <c r="AO24" s="14" t="s">
        <v>374</v>
      </c>
      <c r="AP24" s="14" t="s">
        <v>375</v>
      </c>
    </row>
    <row r="25" spans="1:42" x14ac:dyDescent="0.25">
      <c r="A25" s="74" t="s">
        <v>376</v>
      </c>
      <c r="B25" s="75">
        <v>45695</v>
      </c>
      <c r="C25" s="89">
        <v>0.27430555555555558</v>
      </c>
      <c r="D25" s="14" t="s">
        <v>154</v>
      </c>
      <c r="G25" s="14" t="s">
        <v>377</v>
      </c>
      <c r="H25" s="74" t="s">
        <v>378</v>
      </c>
      <c r="I25" s="74">
        <v>5</v>
      </c>
      <c r="J25" s="14" t="s">
        <v>379</v>
      </c>
      <c r="M25" s="14" t="s">
        <v>380</v>
      </c>
      <c r="N25" s="14" t="s">
        <v>381</v>
      </c>
      <c r="O25" s="14" t="s">
        <v>382</v>
      </c>
      <c r="P25" s="14" t="s">
        <v>161</v>
      </c>
      <c r="U25" s="14" t="s">
        <v>226</v>
      </c>
      <c r="V25" s="14" t="s">
        <v>383</v>
      </c>
      <c r="W25" s="14" t="s">
        <v>384</v>
      </c>
      <c r="X25" s="14" t="s">
        <v>350</v>
      </c>
      <c r="Y25" s="14" t="s">
        <v>301</v>
      </c>
      <c r="Z25" s="14" t="s">
        <v>167</v>
      </c>
      <c r="AA25" s="75">
        <v>45695</v>
      </c>
      <c r="AB25" s="90">
        <v>0.27430555555555558</v>
      </c>
      <c r="AC25" s="90">
        <v>0.25</v>
      </c>
      <c r="AD25" s="14" t="s">
        <v>385</v>
      </c>
      <c r="AE25" s="14" t="s">
        <v>154</v>
      </c>
      <c r="AF25" s="74" t="s">
        <v>169</v>
      </c>
      <c r="AG25" s="90">
        <v>0.27430555555555558</v>
      </c>
      <c r="AH25" s="77">
        <v>45695</v>
      </c>
      <c r="AI25" s="14" t="s">
        <v>385</v>
      </c>
      <c r="AJ25" s="14" t="s">
        <v>170</v>
      </c>
      <c r="AK25" s="14" t="s">
        <v>344</v>
      </c>
      <c r="AL25" s="14">
        <v>2025</v>
      </c>
      <c r="AM25" s="14">
        <v>6</v>
      </c>
      <c r="AN25" s="14">
        <v>7</v>
      </c>
      <c r="AO25" s="14" t="s">
        <v>352</v>
      </c>
      <c r="AP25" s="14" t="s">
        <v>151</v>
      </c>
    </row>
    <row r="26" spans="1:42" x14ac:dyDescent="0.25">
      <c r="A26" s="74" t="s">
        <v>386</v>
      </c>
      <c r="B26" s="75">
        <v>45701</v>
      </c>
      <c r="C26" s="89">
        <v>8.3333333333333329E-2</v>
      </c>
      <c r="D26" s="14" t="s">
        <v>387</v>
      </c>
      <c r="E26" s="14" t="s">
        <v>388</v>
      </c>
      <c r="F26" s="14" t="s">
        <v>206</v>
      </c>
      <c r="G26" s="14" t="s">
        <v>389</v>
      </c>
      <c r="H26" s="74" t="s">
        <v>390</v>
      </c>
      <c r="I26" s="74">
        <v>9</v>
      </c>
      <c r="J26" s="14" t="s">
        <v>391</v>
      </c>
      <c r="U26" s="14" t="s">
        <v>392</v>
      </c>
      <c r="V26" s="14" t="s">
        <v>393</v>
      </c>
      <c r="W26" s="14" t="s">
        <v>384</v>
      </c>
      <c r="X26" s="14" t="s">
        <v>257</v>
      </c>
      <c r="Y26" s="14" t="s">
        <v>394</v>
      </c>
      <c r="Z26" s="14"/>
      <c r="AA26" s="75">
        <v>45701</v>
      </c>
      <c r="AB26" s="90">
        <v>8.3333333333333329E-2</v>
      </c>
      <c r="AC26" s="90">
        <v>8.3333333333333329E-2</v>
      </c>
      <c r="AD26" s="14" t="s">
        <v>343</v>
      </c>
      <c r="AE26" s="14" t="s">
        <v>395</v>
      </c>
      <c r="AF26" s="74" t="s">
        <v>169</v>
      </c>
      <c r="AG26" s="90">
        <v>8.3333333333333329E-2</v>
      </c>
      <c r="AH26" s="77">
        <v>45701</v>
      </c>
      <c r="AI26" s="14" t="s">
        <v>343</v>
      </c>
      <c r="AJ26" s="14" t="s">
        <v>247</v>
      </c>
      <c r="AK26" s="14" t="s">
        <v>344</v>
      </c>
      <c r="AL26" s="14">
        <v>2025</v>
      </c>
      <c r="AM26" s="14">
        <v>7</v>
      </c>
      <c r="AN26" s="14">
        <v>13</v>
      </c>
      <c r="AO26" s="14" t="s">
        <v>396</v>
      </c>
      <c r="AP26" s="14" t="s">
        <v>397</v>
      </c>
    </row>
    <row r="27" spans="1:42" x14ac:dyDescent="0.25">
      <c r="A27" s="74" t="s">
        <v>398</v>
      </c>
      <c r="B27" s="75">
        <v>45701</v>
      </c>
      <c r="C27" s="89">
        <v>0.66666666666666663</v>
      </c>
      <c r="D27" s="14" t="s">
        <v>174</v>
      </c>
      <c r="G27" s="14" t="s">
        <v>399</v>
      </c>
      <c r="H27" s="74" t="s">
        <v>400</v>
      </c>
      <c r="I27" s="74">
        <v>6</v>
      </c>
      <c r="J27" s="14" t="s">
        <v>401</v>
      </c>
      <c r="M27" s="14" t="s">
        <v>402</v>
      </c>
      <c r="N27" s="14" t="s">
        <v>341</v>
      </c>
      <c r="O27" s="14" t="s">
        <v>403</v>
      </c>
      <c r="P27" s="14" t="s">
        <v>161</v>
      </c>
      <c r="U27" s="14" t="s">
        <v>226</v>
      </c>
      <c r="V27" s="14" t="s">
        <v>393</v>
      </c>
      <c r="W27" s="14" t="s">
        <v>384</v>
      </c>
      <c r="X27" s="14" t="s">
        <v>275</v>
      </c>
      <c r="Y27" s="14" t="s">
        <v>166</v>
      </c>
      <c r="Z27" s="14" t="s">
        <v>182</v>
      </c>
      <c r="AA27" s="75">
        <v>45701</v>
      </c>
      <c r="AB27" s="90">
        <v>0.66666666666666663</v>
      </c>
      <c r="AC27" s="90">
        <v>0.66666666666666663</v>
      </c>
      <c r="AD27" s="14" t="s">
        <v>266</v>
      </c>
      <c r="AE27" s="14" t="s">
        <v>174</v>
      </c>
      <c r="AF27" s="74" t="s">
        <v>169</v>
      </c>
      <c r="AG27" s="90">
        <v>0.66666666666666663</v>
      </c>
      <c r="AH27" s="77">
        <v>45701</v>
      </c>
      <c r="AI27" s="14" t="s">
        <v>266</v>
      </c>
      <c r="AJ27" s="14" t="s">
        <v>247</v>
      </c>
      <c r="AK27" s="14" t="s">
        <v>344</v>
      </c>
      <c r="AL27" s="14">
        <v>2025</v>
      </c>
      <c r="AM27" s="14">
        <v>7</v>
      </c>
      <c r="AN27" s="14">
        <v>13</v>
      </c>
      <c r="AO27" s="14" t="s">
        <v>404</v>
      </c>
      <c r="AP27" s="14" t="s">
        <v>151</v>
      </c>
    </row>
    <row r="28" spans="1:42" x14ac:dyDescent="0.25">
      <c r="A28" s="74" t="s">
        <v>405</v>
      </c>
      <c r="B28" s="75">
        <v>45705</v>
      </c>
      <c r="C28" s="89">
        <v>0.34877314814814814</v>
      </c>
      <c r="D28" s="14" t="s">
        <v>154</v>
      </c>
      <c r="E28" s="14" t="s">
        <v>406</v>
      </c>
      <c r="G28" s="14" t="s">
        <v>407</v>
      </c>
      <c r="H28" s="74" t="s">
        <v>191</v>
      </c>
      <c r="I28" s="74">
        <v>7</v>
      </c>
      <c r="J28" s="14" t="s">
        <v>408</v>
      </c>
      <c r="M28" s="14" t="s">
        <v>409</v>
      </c>
      <c r="N28" s="14" t="s">
        <v>159</v>
      </c>
      <c r="O28" s="14" t="s">
        <v>160</v>
      </c>
      <c r="P28" s="14" t="s">
        <v>161</v>
      </c>
      <c r="U28" s="14" t="s">
        <v>140</v>
      </c>
      <c r="V28" s="14" t="s">
        <v>179</v>
      </c>
      <c r="W28" s="14" t="s">
        <v>142</v>
      </c>
      <c r="X28" s="14" t="s">
        <v>275</v>
      </c>
      <c r="Y28" s="14" t="s">
        <v>166</v>
      </c>
      <c r="Z28" s="14" t="s">
        <v>167</v>
      </c>
      <c r="AA28" s="75">
        <v>45705</v>
      </c>
      <c r="AB28" s="90">
        <v>0.34877314814814814</v>
      </c>
      <c r="AC28" s="90">
        <v>0.33333333333333331</v>
      </c>
      <c r="AD28" s="14" t="s">
        <v>276</v>
      </c>
      <c r="AE28" s="14" t="s">
        <v>410</v>
      </c>
      <c r="AF28" s="74" t="s">
        <v>169</v>
      </c>
      <c r="AG28" s="90">
        <v>0.34877314814814814</v>
      </c>
      <c r="AH28" s="77">
        <v>45705</v>
      </c>
      <c r="AI28" s="14" t="s">
        <v>276</v>
      </c>
      <c r="AJ28" s="14" t="s">
        <v>183</v>
      </c>
      <c r="AK28" s="14" t="s">
        <v>344</v>
      </c>
      <c r="AL28" s="14">
        <v>2025</v>
      </c>
      <c r="AM28" s="14">
        <v>8</v>
      </c>
      <c r="AN28" s="14">
        <v>17</v>
      </c>
      <c r="AO28" s="14" t="s">
        <v>411</v>
      </c>
      <c r="AP28" s="14" t="s">
        <v>231</v>
      </c>
    </row>
    <row r="29" spans="1:42" x14ac:dyDescent="0.25">
      <c r="A29" s="74" t="s">
        <v>412</v>
      </c>
      <c r="B29" s="75">
        <v>45705</v>
      </c>
      <c r="C29" s="89">
        <v>0.39716435185185184</v>
      </c>
      <c r="D29" s="14" t="s">
        <v>154</v>
      </c>
      <c r="G29" s="14" t="s">
        <v>413</v>
      </c>
      <c r="H29" s="74" t="s">
        <v>414</v>
      </c>
      <c r="I29" s="74">
        <v>7</v>
      </c>
      <c r="J29" s="14" t="s">
        <v>415</v>
      </c>
      <c r="M29" s="14" t="s">
        <v>416</v>
      </c>
      <c r="N29" s="14" t="s">
        <v>159</v>
      </c>
      <c r="O29" s="14" t="s">
        <v>160</v>
      </c>
      <c r="P29" s="14" t="s">
        <v>161</v>
      </c>
      <c r="U29" s="14" t="s">
        <v>140</v>
      </c>
      <c r="V29" s="14" t="s">
        <v>417</v>
      </c>
      <c r="W29" s="14" t="s">
        <v>142</v>
      </c>
      <c r="X29" s="14" t="s">
        <v>275</v>
      </c>
      <c r="Y29" s="14" t="s">
        <v>166</v>
      </c>
      <c r="Z29" s="14" t="s">
        <v>167</v>
      </c>
      <c r="AA29" s="75">
        <v>45705</v>
      </c>
      <c r="AB29" s="90">
        <v>0.39716435185185184</v>
      </c>
      <c r="AC29" s="90">
        <v>0.375</v>
      </c>
      <c r="AD29" s="14" t="s">
        <v>276</v>
      </c>
      <c r="AE29" s="14" t="s">
        <v>154</v>
      </c>
      <c r="AF29" s="74" t="s">
        <v>169</v>
      </c>
      <c r="AG29" s="90">
        <v>0.39716435185185184</v>
      </c>
      <c r="AH29" s="77">
        <v>45705</v>
      </c>
      <c r="AI29" s="14" t="s">
        <v>276</v>
      </c>
      <c r="AJ29" s="14" t="s">
        <v>183</v>
      </c>
      <c r="AK29" s="14" t="s">
        <v>344</v>
      </c>
      <c r="AL29" s="14">
        <v>2025</v>
      </c>
      <c r="AM29" s="14">
        <v>8</v>
      </c>
      <c r="AN29" s="14">
        <v>17</v>
      </c>
      <c r="AO29" s="14" t="s">
        <v>184</v>
      </c>
      <c r="AP29" s="14" t="s">
        <v>151</v>
      </c>
    </row>
    <row r="30" spans="1:42" x14ac:dyDescent="0.25">
      <c r="A30" s="74" t="s">
        <v>418</v>
      </c>
      <c r="B30" s="75">
        <v>45705</v>
      </c>
      <c r="C30" s="89">
        <v>0.52497685185185183</v>
      </c>
      <c r="D30" s="14" t="s">
        <v>367</v>
      </c>
      <c r="E30" s="14" t="s">
        <v>347</v>
      </c>
      <c r="G30" s="14" t="s">
        <v>419</v>
      </c>
      <c r="H30" s="74" t="s">
        <v>251</v>
      </c>
      <c r="I30" s="74">
        <v>9</v>
      </c>
      <c r="J30" s="14" t="s">
        <v>420</v>
      </c>
      <c r="U30" s="14" t="s">
        <v>140</v>
      </c>
      <c r="V30" s="14" t="s">
        <v>179</v>
      </c>
      <c r="W30" s="14" t="s">
        <v>142</v>
      </c>
      <c r="X30" s="14" t="s">
        <v>350</v>
      </c>
      <c r="Y30" s="14" t="s">
        <v>166</v>
      </c>
      <c r="Z30" s="14" t="s">
        <v>246</v>
      </c>
      <c r="AA30" s="75">
        <v>45705</v>
      </c>
      <c r="AB30" s="90">
        <v>0.52497685185185183</v>
      </c>
      <c r="AC30" s="90">
        <v>0.5</v>
      </c>
      <c r="AD30" s="14" t="s">
        <v>146</v>
      </c>
      <c r="AE30" s="14" t="s">
        <v>421</v>
      </c>
      <c r="AF30" s="74" t="s">
        <v>169</v>
      </c>
      <c r="AG30" s="90">
        <v>0.52497685185185183</v>
      </c>
      <c r="AH30" s="77">
        <v>45705</v>
      </c>
      <c r="AI30" s="14" t="s">
        <v>146</v>
      </c>
      <c r="AJ30" s="14" t="s">
        <v>183</v>
      </c>
      <c r="AK30" s="14" t="s">
        <v>344</v>
      </c>
      <c r="AL30" s="14">
        <v>2025</v>
      </c>
      <c r="AM30" s="14">
        <v>8</v>
      </c>
      <c r="AN30" s="14">
        <v>17</v>
      </c>
      <c r="AO30" s="14" t="s">
        <v>312</v>
      </c>
      <c r="AP30" s="14" t="s">
        <v>231</v>
      </c>
    </row>
    <row r="31" spans="1:42" x14ac:dyDescent="0.25">
      <c r="A31" s="74" t="s">
        <v>422</v>
      </c>
      <c r="B31" s="75">
        <v>45705</v>
      </c>
      <c r="C31" s="89">
        <v>0.83333333333333337</v>
      </c>
      <c r="D31" s="14" t="s">
        <v>423</v>
      </c>
      <c r="E31" s="14" t="s">
        <v>136</v>
      </c>
      <c r="G31" s="14" t="s">
        <v>424</v>
      </c>
      <c r="H31" s="74" t="s">
        <v>425</v>
      </c>
      <c r="I31" s="74">
        <v>8</v>
      </c>
      <c r="J31" s="14" t="s">
        <v>426</v>
      </c>
      <c r="U31" s="14" t="s">
        <v>281</v>
      </c>
      <c r="V31" s="14" t="s">
        <v>310</v>
      </c>
      <c r="W31" s="14" t="s">
        <v>282</v>
      </c>
      <c r="X31" s="14" t="s">
        <v>310</v>
      </c>
      <c r="Y31" s="14" t="s">
        <v>320</v>
      </c>
      <c r="Z31" s="14"/>
      <c r="AA31" s="75">
        <v>45705</v>
      </c>
      <c r="AB31" s="90">
        <v>0.83333333333333337</v>
      </c>
      <c r="AC31" s="90">
        <v>0.83333333333333337</v>
      </c>
      <c r="AD31" s="14" t="s">
        <v>168</v>
      </c>
      <c r="AE31" s="14" t="s">
        <v>427</v>
      </c>
      <c r="AF31" s="74" t="s">
        <v>169</v>
      </c>
      <c r="AG31" s="90">
        <v>0.83333333333333337</v>
      </c>
      <c r="AH31" s="77">
        <v>45705</v>
      </c>
      <c r="AI31" s="14" t="s">
        <v>168</v>
      </c>
      <c r="AJ31" s="14" t="s">
        <v>183</v>
      </c>
      <c r="AK31" s="14" t="s">
        <v>344</v>
      </c>
      <c r="AL31" s="14">
        <v>2025</v>
      </c>
      <c r="AM31" s="14">
        <v>8</v>
      </c>
      <c r="AN31" s="14">
        <v>17</v>
      </c>
      <c r="AO31" s="14" t="s">
        <v>428</v>
      </c>
      <c r="AP31" s="14" t="s">
        <v>151</v>
      </c>
    </row>
    <row r="32" spans="1:42" x14ac:dyDescent="0.25">
      <c r="A32" s="74" t="s">
        <v>429</v>
      </c>
      <c r="B32" s="75">
        <v>45713</v>
      </c>
      <c r="C32" s="89">
        <v>0.41666666666666669</v>
      </c>
      <c r="D32" s="14" t="s">
        <v>154</v>
      </c>
      <c r="G32" s="14" t="s">
        <v>430</v>
      </c>
      <c r="H32" s="74" t="s">
        <v>270</v>
      </c>
      <c r="I32" s="74">
        <v>5</v>
      </c>
      <c r="J32" s="14" t="s">
        <v>431</v>
      </c>
      <c r="M32" s="14" t="s">
        <v>432</v>
      </c>
      <c r="N32" s="14" t="s">
        <v>159</v>
      </c>
      <c r="O32" s="14" t="s">
        <v>433</v>
      </c>
      <c r="P32" s="14" t="s">
        <v>434</v>
      </c>
      <c r="U32" s="14" t="s">
        <v>162</v>
      </c>
      <c r="V32" s="14" t="s">
        <v>327</v>
      </c>
      <c r="W32" s="14" t="s">
        <v>328</v>
      </c>
      <c r="X32" s="14" t="s">
        <v>228</v>
      </c>
      <c r="Y32" s="14" t="s">
        <v>435</v>
      </c>
      <c r="Z32" s="14" t="s">
        <v>167</v>
      </c>
      <c r="AA32" s="75">
        <v>45713</v>
      </c>
      <c r="AB32" s="90">
        <v>0.41666666666666669</v>
      </c>
      <c r="AC32" s="90">
        <v>0.41666666666666669</v>
      </c>
      <c r="AD32" s="14" t="s">
        <v>276</v>
      </c>
      <c r="AE32" s="14" t="s">
        <v>154</v>
      </c>
      <c r="AF32" s="74" t="s">
        <v>169</v>
      </c>
      <c r="AG32" s="90">
        <v>0.41666666666666669</v>
      </c>
      <c r="AH32" s="77">
        <v>45713</v>
      </c>
      <c r="AI32" s="14" t="s">
        <v>276</v>
      </c>
      <c r="AJ32" s="14" t="s">
        <v>148</v>
      </c>
      <c r="AK32" s="14" t="s">
        <v>344</v>
      </c>
      <c r="AL32" s="14">
        <v>2025</v>
      </c>
      <c r="AM32" s="14">
        <v>9</v>
      </c>
      <c r="AN32" s="14">
        <v>25</v>
      </c>
      <c r="AO32" s="14" t="s">
        <v>436</v>
      </c>
      <c r="AP32" s="14" t="s">
        <v>151</v>
      </c>
    </row>
    <row r="33" spans="1:42" x14ac:dyDescent="0.25">
      <c r="A33" s="74" t="s">
        <v>437</v>
      </c>
      <c r="B33" s="75">
        <v>45717</v>
      </c>
      <c r="C33" s="89">
        <v>0.25</v>
      </c>
      <c r="D33" s="14" t="s">
        <v>154</v>
      </c>
      <c r="G33" s="14" t="s">
        <v>438</v>
      </c>
      <c r="H33" s="74" t="s">
        <v>425</v>
      </c>
      <c r="I33" s="74">
        <v>8</v>
      </c>
      <c r="J33" s="14" t="s">
        <v>439</v>
      </c>
      <c r="M33" s="14" t="s">
        <v>440</v>
      </c>
      <c r="N33" s="14" t="s">
        <v>441</v>
      </c>
      <c r="O33" s="14" t="s">
        <v>442</v>
      </c>
      <c r="P33" s="14" t="s">
        <v>161</v>
      </c>
      <c r="U33" s="14" t="s">
        <v>162</v>
      </c>
      <c r="V33" s="14" t="s">
        <v>443</v>
      </c>
      <c r="W33" s="14" t="s">
        <v>444</v>
      </c>
      <c r="X33" s="14" t="s">
        <v>310</v>
      </c>
      <c r="Y33" s="14" t="s">
        <v>166</v>
      </c>
      <c r="Z33" s="14" t="s">
        <v>167</v>
      </c>
      <c r="AA33" s="75">
        <v>45717</v>
      </c>
      <c r="AB33" s="90">
        <v>0.25</v>
      </c>
      <c r="AC33" s="90">
        <v>0.25</v>
      </c>
      <c r="AD33" s="14" t="s">
        <v>385</v>
      </c>
      <c r="AE33" s="14" t="s">
        <v>154</v>
      </c>
      <c r="AF33" s="74" t="s">
        <v>169</v>
      </c>
      <c r="AG33" s="90">
        <v>0.25</v>
      </c>
      <c r="AH33" s="77">
        <v>45717</v>
      </c>
      <c r="AI33" s="14" t="s">
        <v>385</v>
      </c>
      <c r="AJ33" s="14" t="s">
        <v>292</v>
      </c>
      <c r="AK33" s="14" t="s">
        <v>445</v>
      </c>
      <c r="AL33" s="14">
        <v>2025</v>
      </c>
      <c r="AM33" s="14">
        <v>9</v>
      </c>
      <c r="AN33" s="14">
        <v>1</v>
      </c>
      <c r="AO33" s="14" t="s">
        <v>446</v>
      </c>
      <c r="AP33" s="14" t="s">
        <v>151</v>
      </c>
    </row>
    <row r="34" spans="1:42" x14ac:dyDescent="0.25">
      <c r="A34" s="74" t="s">
        <v>447</v>
      </c>
      <c r="B34" s="75">
        <v>45720</v>
      </c>
      <c r="C34" s="89">
        <v>0.64097222222222228</v>
      </c>
      <c r="D34" s="14" t="s">
        <v>206</v>
      </c>
      <c r="E34" s="14" t="s">
        <v>448</v>
      </c>
      <c r="F34" s="14" t="s">
        <v>204</v>
      </c>
      <c r="G34" s="14" t="s">
        <v>449</v>
      </c>
      <c r="H34" s="74" t="s">
        <v>208</v>
      </c>
      <c r="I34" s="74">
        <v>8</v>
      </c>
      <c r="J34" s="14" t="s">
        <v>450</v>
      </c>
      <c r="M34" s="14" t="s">
        <v>451</v>
      </c>
      <c r="N34" s="14" t="s">
        <v>452</v>
      </c>
      <c r="O34" s="14" t="s">
        <v>453</v>
      </c>
      <c r="P34" s="14" t="s">
        <v>161</v>
      </c>
      <c r="U34" s="14" t="s">
        <v>281</v>
      </c>
      <c r="V34" s="14" t="s">
        <v>454</v>
      </c>
      <c r="W34" s="14" t="s">
        <v>328</v>
      </c>
      <c r="X34" s="14" t="s">
        <v>257</v>
      </c>
      <c r="Y34" s="14" t="s">
        <v>364</v>
      </c>
      <c r="Z34" s="14" t="s">
        <v>213</v>
      </c>
      <c r="AA34" s="75">
        <v>45720</v>
      </c>
      <c r="AB34" s="90">
        <v>0.64097222222222228</v>
      </c>
      <c r="AC34" s="90">
        <v>0.625</v>
      </c>
      <c r="AD34" s="14" t="s">
        <v>146</v>
      </c>
      <c r="AE34" s="14" t="s">
        <v>455</v>
      </c>
      <c r="AF34" s="74" t="s">
        <v>169</v>
      </c>
      <c r="AG34" s="90">
        <v>0.64097222222222228</v>
      </c>
      <c r="AH34" s="77">
        <v>45720</v>
      </c>
      <c r="AI34" s="14" t="s">
        <v>146</v>
      </c>
      <c r="AJ34" s="14" t="s">
        <v>148</v>
      </c>
      <c r="AK34" s="14" t="s">
        <v>445</v>
      </c>
      <c r="AL34" s="14">
        <v>2025</v>
      </c>
      <c r="AM34" s="14">
        <v>10</v>
      </c>
      <c r="AN34" s="14">
        <v>4</v>
      </c>
      <c r="AO34" s="14" t="s">
        <v>456</v>
      </c>
      <c r="AP34" s="14" t="s">
        <v>216</v>
      </c>
    </row>
    <row r="35" spans="1:42" x14ac:dyDescent="0.25">
      <c r="A35" s="74" t="s">
        <v>457</v>
      </c>
      <c r="B35" s="75">
        <v>45720</v>
      </c>
      <c r="C35" s="89">
        <v>0.79126157407407405</v>
      </c>
      <c r="D35" s="14" t="s">
        <v>206</v>
      </c>
      <c r="G35" s="14" t="s">
        <v>458</v>
      </c>
      <c r="H35" s="74" t="s">
        <v>315</v>
      </c>
      <c r="I35" s="74">
        <v>6</v>
      </c>
      <c r="J35" s="14" t="s">
        <v>459</v>
      </c>
      <c r="U35" s="14" t="s">
        <v>281</v>
      </c>
      <c r="V35" s="14" t="s">
        <v>460</v>
      </c>
      <c r="W35" s="14" t="s">
        <v>164</v>
      </c>
      <c r="X35" s="14" t="s">
        <v>180</v>
      </c>
      <c r="Y35" s="14" t="s">
        <v>364</v>
      </c>
      <c r="Z35" s="14" t="s">
        <v>213</v>
      </c>
      <c r="AA35" s="75">
        <v>45720</v>
      </c>
      <c r="AB35" s="90">
        <v>0.79126157407407405</v>
      </c>
      <c r="AC35" s="90">
        <v>0.75</v>
      </c>
      <c r="AD35" s="14" t="s">
        <v>266</v>
      </c>
      <c r="AE35" s="14" t="s">
        <v>206</v>
      </c>
      <c r="AF35" s="74" t="s">
        <v>169</v>
      </c>
      <c r="AG35" s="90">
        <v>0.79126157407407405</v>
      </c>
      <c r="AH35" s="77">
        <v>45720</v>
      </c>
      <c r="AI35" s="14" t="s">
        <v>266</v>
      </c>
      <c r="AJ35" s="14" t="s">
        <v>148</v>
      </c>
      <c r="AK35" s="14" t="s">
        <v>445</v>
      </c>
      <c r="AL35" s="14">
        <v>2025</v>
      </c>
      <c r="AM35" s="14">
        <v>10</v>
      </c>
      <c r="AN35" s="14">
        <v>4</v>
      </c>
      <c r="AO35" s="14" t="s">
        <v>461</v>
      </c>
      <c r="AP35" s="14" t="s">
        <v>151</v>
      </c>
    </row>
    <row r="36" spans="1:42" x14ac:dyDescent="0.25">
      <c r="A36" s="74" t="s">
        <v>462</v>
      </c>
      <c r="B36" s="75">
        <v>45722</v>
      </c>
      <c r="C36" s="89">
        <v>0.94149305555555551</v>
      </c>
      <c r="D36" s="14" t="s">
        <v>174</v>
      </c>
      <c r="G36" s="14" t="s">
        <v>463</v>
      </c>
      <c r="H36" s="74" t="s">
        <v>208</v>
      </c>
      <c r="I36" s="74">
        <v>8</v>
      </c>
      <c r="J36" s="14" t="s">
        <v>464</v>
      </c>
      <c r="M36" s="14" t="s">
        <v>465</v>
      </c>
      <c r="N36" s="14" t="s">
        <v>341</v>
      </c>
      <c r="O36" s="14" t="s">
        <v>466</v>
      </c>
      <c r="P36" s="14" t="s">
        <v>161</v>
      </c>
      <c r="U36" s="14" t="s">
        <v>467</v>
      </c>
      <c r="V36" s="14" t="s">
        <v>179</v>
      </c>
      <c r="W36" s="14" t="s">
        <v>142</v>
      </c>
      <c r="X36" s="14" t="s">
        <v>228</v>
      </c>
      <c r="Y36" s="14" t="s">
        <v>166</v>
      </c>
      <c r="Z36" s="14" t="s">
        <v>182</v>
      </c>
      <c r="AA36" s="75">
        <v>45722</v>
      </c>
      <c r="AB36" s="90">
        <v>0.94149305555555551</v>
      </c>
      <c r="AC36" s="90">
        <v>0.91666666666666663</v>
      </c>
      <c r="AD36" s="14" t="s">
        <v>168</v>
      </c>
      <c r="AE36" s="14" t="s">
        <v>174</v>
      </c>
      <c r="AF36" s="74" t="s">
        <v>169</v>
      </c>
      <c r="AG36" s="90">
        <v>0.94149305555555551</v>
      </c>
      <c r="AH36" s="77">
        <v>45722</v>
      </c>
      <c r="AI36" s="14" t="s">
        <v>168</v>
      </c>
      <c r="AJ36" s="14" t="s">
        <v>247</v>
      </c>
      <c r="AK36" s="14" t="s">
        <v>445</v>
      </c>
      <c r="AL36" s="14">
        <v>2025</v>
      </c>
      <c r="AM36" s="14">
        <v>10</v>
      </c>
      <c r="AN36" s="14">
        <v>6</v>
      </c>
      <c r="AO36" s="14" t="s">
        <v>468</v>
      </c>
      <c r="AP36" s="14" t="s">
        <v>151</v>
      </c>
    </row>
    <row r="37" spans="1:42" x14ac:dyDescent="0.25">
      <c r="A37" s="74" t="s">
        <v>469</v>
      </c>
      <c r="B37" s="75">
        <v>45725</v>
      </c>
      <c r="C37" s="89">
        <v>0.8125</v>
      </c>
      <c r="D37" s="14" t="s">
        <v>174</v>
      </c>
      <c r="G37" s="14" t="s">
        <v>470</v>
      </c>
      <c r="H37" s="74" t="s">
        <v>191</v>
      </c>
      <c r="I37" s="74">
        <v>7</v>
      </c>
      <c r="J37" s="14" t="s">
        <v>471</v>
      </c>
      <c r="M37" s="14" t="s">
        <v>472</v>
      </c>
      <c r="N37" s="14" t="s">
        <v>473</v>
      </c>
      <c r="O37" s="14" t="s">
        <v>474</v>
      </c>
      <c r="P37" s="14" t="s">
        <v>161</v>
      </c>
      <c r="U37" s="14" t="s">
        <v>162</v>
      </c>
      <c r="V37" s="14" t="s">
        <v>475</v>
      </c>
      <c r="W37" s="14" t="s">
        <v>211</v>
      </c>
      <c r="X37" s="14" t="s">
        <v>275</v>
      </c>
      <c r="Y37" s="14" t="s">
        <v>166</v>
      </c>
      <c r="Z37" s="14" t="s">
        <v>182</v>
      </c>
      <c r="AA37" s="75">
        <v>45725</v>
      </c>
      <c r="AB37" s="90">
        <v>0.8125</v>
      </c>
      <c r="AC37" s="90">
        <v>0.79166666666666663</v>
      </c>
      <c r="AD37" s="14" t="s">
        <v>266</v>
      </c>
      <c r="AE37" s="14" t="s">
        <v>174</v>
      </c>
      <c r="AF37" s="74" t="s">
        <v>169</v>
      </c>
      <c r="AG37" s="90">
        <v>0.8125</v>
      </c>
      <c r="AH37" s="77">
        <v>45725</v>
      </c>
      <c r="AI37" s="14" t="s">
        <v>266</v>
      </c>
      <c r="AJ37" s="14" t="s">
        <v>311</v>
      </c>
      <c r="AK37" s="14" t="s">
        <v>445</v>
      </c>
      <c r="AL37" s="14">
        <v>2025</v>
      </c>
      <c r="AM37" s="14">
        <v>11</v>
      </c>
      <c r="AN37" s="14">
        <v>9</v>
      </c>
      <c r="AO37" s="14" t="s">
        <v>476</v>
      </c>
      <c r="AP37" s="14" t="s">
        <v>151</v>
      </c>
    </row>
    <row r="38" spans="1:42" x14ac:dyDescent="0.25">
      <c r="A38" s="74" t="s">
        <v>477</v>
      </c>
      <c r="B38" s="75">
        <v>45726</v>
      </c>
      <c r="C38" s="89">
        <v>4.6527777777777779E-2</v>
      </c>
      <c r="D38" s="14" t="s">
        <v>242</v>
      </c>
      <c r="G38" s="14" t="s">
        <v>478</v>
      </c>
      <c r="H38" s="74" t="s">
        <v>358</v>
      </c>
      <c r="I38" s="74">
        <v>8</v>
      </c>
      <c r="J38" s="14" t="s">
        <v>479</v>
      </c>
      <c r="U38" s="14" t="s">
        <v>480</v>
      </c>
      <c r="V38" s="14" t="s">
        <v>163</v>
      </c>
      <c r="W38" s="14" t="s">
        <v>328</v>
      </c>
      <c r="X38" s="14" t="s">
        <v>310</v>
      </c>
      <c r="Y38" s="14" t="s">
        <v>364</v>
      </c>
      <c r="Z38" s="14" t="s">
        <v>246</v>
      </c>
      <c r="AA38" s="75">
        <v>45726</v>
      </c>
      <c r="AB38" s="90">
        <v>4.6527777777777779E-2</v>
      </c>
      <c r="AC38" s="90">
        <v>4.1666666666666664E-2</v>
      </c>
      <c r="AD38" s="14" t="s">
        <v>343</v>
      </c>
      <c r="AE38" s="14" t="s">
        <v>242</v>
      </c>
      <c r="AF38" s="74" t="s">
        <v>169</v>
      </c>
      <c r="AG38" s="90">
        <v>4.6527777777777779E-2</v>
      </c>
      <c r="AH38" s="77">
        <v>45726</v>
      </c>
      <c r="AI38" s="14" t="s">
        <v>343</v>
      </c>
      <c r="AJ38" s="14" t="s">
        <v>183</v>
      </c>
      <c r="AK38" s="14" t="s">
        <v>445</v>
      </c>
      <c r="AL38" s="14">
        <v>2025</v>
      </c>
      <c r="AM38" s="14">
        <v>11</v>
      </c>
      <c r="AN38" s="14">
        <v>10</v>
      </c>
      <c r="AO38" s="14" t="s">
        <v>481</v>
      </c>
      <c r="AP38" s="14" t="s">
        <v>151</v>
      </c>
    </row>
    <row r="39" spans="1:42" x14ac:dyDescent="0.25">
      <c r="A39" s="74" t="s">
        <v>482</v>
      </c>
      <c r="B39" s="75">
        <v>45727</v>
      </c>
      <c r="C39" s="89">
        <v>0.60416666666666663</v>
      </c>
      <c r="D39" s="14" t="s">
        <v>174</v>
      </c>
      <c r="G39" s="14" t="s">
        <v>483</v>
      </c>
      <c r="H39" s="74" t="s">
        <v>208</v>
      </c>
      <c r="I39" s="74">
        <v>8</v>
      </c>
      <c r="J39" s="14" t="s">
        <v>484</v>
      </c>
      <c r="M39" s="14" t="s">
        <v>485</v>
      </c>
      <c r="N39" s="14" t="s">
        <v>486</v>
      </c>
      <c r="O39" s="14" t="s">
        <v>487</v>
      </c>
      <c r="P39" s="14" t="s">
        <v>161</v>
      </c>
      <c r="U39" s="14" t="s">
        <v>281</v>
      </c>
      <c r="V39" s="14" t="s">
        <v>327</v>
      </c>
      <c r="W39" s="14" t="s">
        <v>328</v>
      </c>
      <c r="X39" s="14" t="s">
        <v>488</v>
      </c>
      <c r="Y39" s="14" t="s">
        <v>166</v>
      </c>
      <c r="Z39" s="14" t="s">
        <v>182</v>
      </c>
      <c r="AA39" s="75">
        <v>45727</v>
      </c>
      <c r="AB39" s="90">
        <v>0.60416666666666663</v>
      </c>
      <c r="AC39" s="90">
        <v>0.58333333333333337</v>
      </c>
      <c r="AD39" s="14" t="s">
        <v>146</v>
      </c>
      <c r="AE39" s="14" t="s">
        <v>174</v>
      </c>
      <c r="AF39" s="74" t="s">
        <v>169</v>
      </c>
      <c r="AG39" s="90">
        <v>0.60416666666666663</v>
      </c>
      <c r="AH39" s="77">
        <v>45727</v>
      </c>
      <c r="AI39" s="14" t="s">
        <v>146</v>
      </c>
      <c r="AJ39" s="14" t="s">
        <v>148</v>
      </c>
      <c r="AK39" s="14" t="s">
        <v>445</v>
      </c>
      <c r="AL39" s="14">
        <v>2025</v>
      </c>
      <c r="AM39" s="14">
        <v>11</v>
      </c>
      <c r="AN39" s="14">
        <v>11</v>
      </c>
      <c r="AO39" s="14" t="s">
        <v>489</v>
      </c>
      <c r="AP39" s="14" t="s">
        <v>151</v>
      </c>
    </row>
    <row r="40" spans="1:42" x14ac:dyDescent="0.25">
      <c r="A40" s="74" t="s">
        <v>490</v>
      </c>
      <c r="C40" s="89"/>
      <c r="D40" s="14" t="s">
        <v>387</v>
      </c>
      <c r="E40" s="14" t="s">
        <v>242</v>
      </c>
      <c r="G40" s="14" t="s">
        <v>491</v>
      </c>
      <c r="H40" s="74" t="s">
        <v>221</v>
      </c>
      <c r="I40" s="74">
        <v>9</v>
      </c>
      <c r="J40" s="14" t="s">
        <v>492</v>
      </c>
      <c r="M40" s="14" t="s">
        <v>493</v>
      </c>
      <c r="N40" s="14" t="s">
        <v>494</v>
      </c>
      <c r="O40" s="14" t="s">
        <v>495</v>
      </c>
      <c r="P40" s="14" t="s">
        <v>161</v>
      </c>
      <c r="V40" s="14" t="s">
        <v>496</v>
      </c>
      <c r="W40" s="14" t="s">
        <v>497</v>
      </c>
      <c r="X40" s="14"/>
      <c r="Y40" s="14"/>
      <c r="Z40" s="14"/>
      <c r="AA40" s="75">
        <v>45734</v>
      </c>
      <c r="AB40" s="90">
        <v>0.22916666666666666</v>
      </c>
      <c r="AC40" s="90">
        <v>0.20833333333333334</v>
      </c>
      <c r="AD40" s="14" t="s">
        <v>385</v>
      </c>
      <c r="AE40" s="14" t="s">
        <v>498</v>
      </c>
      <c r="AF40" s="74" t="s">
        <v>169</v>
      </c>
      <c r="AG40" s="90">
        <v>0.22916666666666666</v>
      </c>
      <c r="AH40" s="77">
        <v>45734</v>
      </c>
      <c r="AI40" s="14" t="s">
        <v>385</v>
      </c>
      <c r="AJ40" s="14" t="s">
        <v>148</v>
      </c>
      <c r="AK40" s="14" t="s">
        <v>445</v>
      </c>
      <c r="AL40" s="14">
        <v>2025</v>
      </c>
      <c r="AM40" s="14">
        <v>12</v>
      </c>
      <c r="AN40" s="14">
        <v>18</v>
      </c>
      <c r="AO40" s="14" t="s">
        <v>230</v>
      </c>
      <c r="AP40" s="14" t="s">
        <v>397</v>
      </c>
    </row>
    <row r="41" spans="1:42" x14ac:dyDescent="0.25">
      <c r="A41" s="74" t="s">
        <v>499</v>
      </c>
      <c r="B41" s="75">
        <v>45737</v>
      </c>
      <c r="C41" s="89">
        <v>0.32500000000000001</v>
      </c>
      <c r="D41" s="14" t="s">
        <v>154</v>
      </c>
      <c r="G41" s="14" t="s">
        <v>500</v>
      </c>
      <c r="H41" s="74" t="s">
        <v>315</v>
      </c>
      <c r="I41" s="74">
        <v>6</v>
      </c>
      <c r="J41" s="14" t="s">
        <v>501</v>
      </c>
      <c r="M41" s="14" t="s">
        <v>502</v>
      </c>
      <c r="N41" s="14" t="s">
        <v>503</v>
      </c>
      <c r="P41" s="14" t="s">
        <v>161</v>
      </c>
      <c r="U41" s="14" t="s">
        <v>467</v>
      </c>
      <c r="V41" s="14" t="s">
        <v>291</v>
      </c>
      <c r="W41" s="14" t="s">
        <v>256</v>
      </c>
      <c r="X41" s="14" t="s">
        <v>372</v>
      </c>
      <c r="Y41" s="14" t="s">
        <v>320</v>
      </c>
      <c r="Z41" s="14" t="s">
        <v>167</v>
      </c>
      <c r="AA41" s="75">
        <v>45737</v>
      </c>
      <c r="AB41" s="90">
        <v>0.32500000000000001</v>
      </c>
      <c r="AC41" s="90">
        <v>0.29166666666666669</v>
      </c>
      <c r="AD41" s="14" t="s">
        <v>385</v>
      </c>
      <c r="AE41" s="14" t="s">
        <v>154</v>
      </c>
      <c r="AF41" s="74" t="s">
        <v>169</v>
      </c>
      <c r="AG41" s="90">
        <v>0.32500000000000001</v>
      </c>
      <c r="AH41" s="77">
        <v>45737</v>
      </c>
      <c r="AI41" s="14" t="s">
        <v>385</v>
      </c>
      <c r="AJ41" s="14" t="s">
        <v>170</v>
      </c>
      <c r="AK41" s="14" t="s">
        <v>445</v>
      </c>
      <c r="AL41" s="14">
        <v>2025</v>
      </c>
      <c r="AM41" s="14">
        <v>12</v>
      </c>
      <c r="AN41" s="14">
        <v>21</v>
      </c>
      <c r="AO41" s="14" t="s">
        <v>504</v>
      </c>
      <c r="AP41" s="14" t="s">
        <v>151</v>
      </c>
    </row>
    <row r="42" spans="1:42" x14ac:dyDescent="0.25">
      <c r="A42" s="74" t="s">
        <v>505</v>
      </c>
      <c r="B42" s="75">
        <v>45739</v>
      </c>
      <c r="C42" s="89">
        <v>0.1736111111111111</v>
      </c>
      <c r="D42" s="14" t="s">
        <v>174</v>
      </c>
      <c r="E42" s="14" t="s">
        <v>506</v>
      </c>
      <c r="G42" s="14" t="s">
        <v>507</v>
      </c>
      <c r="H42" s="74" t="s">
        <v>270</v>
      </c>
      <c r="I42" s="74">
        <v>5</v>
      </c>
      <c r="J42" s="14" t="s">
        <v>508</v>
      </c>
      <c r="M42" s="14" t="s">
        <v>509</v>
      </c>
      <c r="N42" s="14" t="s">
        <v>341</v>
      </c>
      <c r="O42" s="14" t="s">
        <v>510</v>
      </c>
      <c r="P42" s="14" t="s">
        <v>161</v>
      </c>
      <c r="U42" s="14" t="s">
        <v>511</v>
      </c>
      <c r="V42" s="14" t="s">
        <v>309</v>
      </c>
      <c r="W42" s="14" t="s">
        <v>142</v>
      </c>
      <c r="X42" s="14" t="s">
        <v>275</v>
      </c>
      <c r="Y42" s="14" t="s">
        <v>166</v>
      </c>
      <c r="Z42" s="14" t="s">
        <v>182</v>
      </c>
      <c r="AA42" s="75">
        <v>45739</v>
      </c>
      <c r="AB42" s="90">
        <v>0.1736111111111111</v>
      </c>
      <c r="AC42" s="90">
        <v>0.16666666666666666</v>
      </c>
      <c r="AD42" s="14" t="s">
        <v>385</v>
      </c>
      <c r="AE42" s="14" t="s">
        <v>512</v>
      </c>
      <c r="AF42" s="74" t="s">
        <v>169</v>
      </c>
      <c r="AG42" s="90">
        <v>0.1736111111111111</v>
      </c>
      <c r="AH42" s="77">
        <v>45739</v>
      </c>
      <c r="AI42" s="14" t="s">
        <v>385</v>
      </c>
      <c r="AJ42" s="14" t="s">
        <v>311</v>
      </c>
      <c r="AK42" s="14" t="s">
        <v>445</v>
      </c>
      <c r="AL42" s="14">
        <v>2025</v>
      </c>
      <c r="AM42" s="14">
        <v>13</v>
      </c>
      <c r="AN42" s="14">
        <v>23</v>
      </c>
      <c r="AO42" s="14" t="s">
        <v>513</v>
      </c>
      <c r="AP42" s="14" t="s">
        <v>151</v>
      </c>
    </row>
    <row r="43" spans="1:42" x14ac:dyDescent="0.25">
      <c r="A43" s="74" t="s">
        <v>514</v>
      </c>
      <c r="B43" s="75">
        <v>45739</v>
      </c>
      <c r="C43" s="89">
        <v>0.62013888888888891</v>
      </c>
      <c r="D43" s="14" t="s">
        <v>188</v>
      </c>
      <c r="G43" s="14" t="s">
        <v>515</v>
      </c>
      <c r="H43" s="74" t="s">
        <v>516</v>
      </c>
      <c r="I43" s="74">
        <v>9</v>
      </c>
      <c r="J43" s="14" t="s">
        <v>517</v>
      </c>
      <c r="U43" s="14" t="s">
        <v>518</v>
      </c>
      <c r="V43" s="14" t="s">
        <v>443</v>
      </c>
      <c r="W43" s="14" t="s">
        <v>142</v>
      </c>
      <c r="X43" s="14" t="s">
        <v>275</v>
      </c>
      <c r="Y43" s="14" t="s">
        <v>166</v>
      </c>
      <c r="Z43" s="14" t="s">
        <v>197</v>
      </c>
      <c r="AA43" s="75">
        <v>45739</v>
      </c>
      <c r="AB43" s="90">
        <v>0.62013888888888891</v>
      </c>
      <c r="AC43" s="90">
        <v>0.58333333333333337</v>
      </c>
      <c r="AD43" s="14" t="s">
        <v>146</v>
      </c>
      <c r="AE43" s="14" t="s">
        <v>188</v>
      </c>
      <c r="AF43" s="74" t="s">
        <v>169</v>
      </c>
      <c r="AG43" s="90">
        <v>0.62013888888888891</v>
      </c>
      <c r="AH43" s="77">
        <v>45739</v>
      </c>
      <c r="AI43" s="14" t="s">
        <v>146</v>
      </c>
      <c r="AJ43" s="14" t="s">
        <v>311</v>
      </c>
      <c r="AK43" s="14" t="s">
        <v>445</v>
      </c>
      <c r="AL43" s="14">
        <v>2025</v>
      </c>
      <c r="AM43" s="14">
        <v>13</v>
      </c>
      <c r="AN43" s="14">
        <v>23</v>
      </c>
      <c r="AO43" s="14" t="s">
        <v>519</v>
      </c>
      <c r="AP43" s="14" t="s">
        <v>151</v>
      </c>
    </row>
    <row r="44" spans="1:42" x14ac:dyDescent="0.25">
      <c r="A44" s="74" t="s">
        <v>520</v>
      </c>
      <c r="B44" s="75">
        <v>45741</v>
      </c>
      <c r="C44" s="89">
        <v>0.48402777777777778</v>
      </c>
      <c r="D44" s="14" t="s">
        <v>206</v>
      </c>
      <c r="E44" s="14" t="s">
        <v>295</v>
      </c>
      <c r="F44" s="14" t="s">
        <v>521</v>
      </c>
      <c r="G44" s="14" t="s">
        <v>220</v>
      </c>
      <c r="H44" s="74" t="s">
        <v>221</v>
      </c>
      <c r="I44" s="74">
        <v>9</v>
      </c>
      <c r="J44" s="14" t="s">
        <v>522</v>
      </c>
      <c r="M44" s="14" t="s">
        <v>523</v>
      </c>
      <c r="N44" s="14" t="s">
        <v>486</v>
      </c>
      <c r="O44" s="14" t="s">
        <v>524</v>
      </c>
      <c r="P44" s="14" t="s">
        <v>161</v>
      </c>
      <c r="U44" s="14" t="s">
        <v>162</v>
      </c>
      <c r="V44" s="14" t="s">
        <v>525</v>
      </c>
      <c r="W44" s="14" t="s">
        <v>211</v>
      </c>
      <c r="X44" s="14" t="s">
        <v>228</v>
      </c>
      <c r="Y44" s="14" t="s">
        <v>166</v>
      </c>
      <c r="Z44" s="14" t="s">
        <v>213</v>
      </c>
      <c r="AA44" s="75">
        <v>45741</v>
      </c>
      <c r="AB44" s="90">
        <v>0.48402777777777778</v>
      </c>
      <c r="AC44" s="90">
        <v>0.45833333333333331</v>
      </c>
      <c r="AD44" s="14" t="s">
        <v>276</v>
      </c>
      <c r="AE44" s="14" t="s">
        <v>526</v>
      </c>
      <c r="AF44" s="74" t="s">
        <v>169</v>
      </c>
      <c r="AG44" s="90">
        <v>0.48402777777777778</v>
      </c>
      <c r="AH44" s="77">
        <v>45741</v>
      </c>
      <c r="AI44" s="14" t="s">
        <v>276</v>
      </c>
      <c r="AJ44" s="14" t="s">
        <v>148</v>
      </c>
      <c r="AK44" s="14" t="s">
        <v>445</v>
      </c>
      <c r="AL44" s="14">
        <v>2025</v>
      </c>
      <c r="AM44" s="14">
        <v>13</v>
      </c>
      <c r="AN44" s="14">
        <v>25</v>
      </c>
      <c r="AO44" s="14" t="s">
        <v>230</v>
      </c>
      <c r="AP44" s="14" t="s">
        <v>216</v>
      </c>
    </row>
    <row r="45" spans="1:42" x14ac:dyDescent="0.25">
      <c r="A45" s="74" t="s">
        <v>527</v>
      </c>
      <c r="B45" s="75">
        <v>45743</v>
      </c>
      <c r="C45" s="89">
        <v>0.94666666666666666</v>
      </c>
      <c r="D45" s="14" t="s">
        <v>367</v>
      </c>
      <c r="E45" s="14" t="s">
        <v>528</v>
      </c>
      <c r="F45" s="14" t="s">
        <v>218</v>
      </c>
      <c r="G45" s="14" t="s">
        <v>529</v>
      </c>
      <c r="H45" s="74" t="s">
        <v>315</v>
      </c>
      <c r="I45" s="74">
        <v>6</v>
      </c>
      <c r="J45" s="14" t="s">
        <v>13</v>
      </c>
      <c r="U45" s="14" t="s">
        <v>281</v>
      </c>
      <c r="V45" s="14" t="s">
        <v>530</v>
      </c>
      <c r="W45" s="14" t="s">
        <v>384</v>
      </c>
      <c r="X45" s="14" t="s">
        <v>257</v>
      </c>
      <c r="Y45" s="14" t="s">
        <v>144</v>
      </c>
      <c r="Z45" s="14" t="s">
        <v>246</v>
      </c>
      <c r="AA45" s="75">
        <v>45743</v>
      </c>
      <c r="AB45" s="90">
        <v>0.94666666666666666</v>
      </c>
      <c r="AC45" s="90">
        <v>0.91666666666666663</v>
      </c>
      <c r="AD45" s="14" t="s">
        <v>168</v>
      </c>
      <c r="AE45" s="14" t="s">
        <v>531</v>
      </c>
      <c r="AF45" s="74" t="s">
        <v>169</v>
      </c>
      <c r="AG45" s="90">
        <v>0.94666666666666666</v>
      </c>
      <c r="AH45" s="77">
        <v>45743</v>
      </c>
      <c r="AI45" s="14" t="s">
        <v>168</v>
      </c>
      <c r="AJ45" s="14" t="s">
        <v>247</v>
      </c>
      <c r="AK45" s="14" t="s">
        <v>445</v>
      </c>
      <c r="AL45" s="14">
        <v>2025</v>
      </c>
      <c r="AM45" s="14">
        <v>13</v>
      </c>
      <c r="AN45" s="14">
        <v>27</v>
      </c>
      <c r="AO45" s="14" t="s">
        <v>461</v>
      </c>
      <c r="AP45" s="14" t="s">
        <v>151</v>
      </c>
    </row>
    <row r="46" spans="1:42" x14ac:dyDescent="0.25">
      <c r="A46" s="74" t="s">
        <v>532</v>
      </c>
      <c r="B46" s="75">
        <v>45743</v>
      </c>
      <c r="C46" s="89">
        <v>0.97916666666666663</v>
      </c>
      <c r="D46" s="14" t="s">
        <v>242</v>
      </c>
      <c r="G46" s="14" t="s">
        <v>533</v>
      </c>
      <c r="H46" s="74" t="s">
        <v>358</v>
      </c>
      <c r="I46" s="74">
        <v>8</v>
      </c>
      <c r="J46" s="14" t="s">
        <v>17</v>
      </c>
      <c r="K46" s="14">
        <v>50300</v>
      </c>
      <c r="U46" s="14" t="s">
        <v>162</v>
      </c>
      <c r="V46" s="14" t="s">
        <v>475</v>
      </c>
      <c r="W46" s="14" t="s">
        <v>211</v>
      </c>
      <c r="X46" s="14" t="s">
        <v>534</v>
      </c>
      <c r="Y46" s="14" t="s">
        <v>166</v>
      </c>
      <c r="Z46" s="14" t="s">
        <v>246</v>
      </c>
      <c r="AA46" s="75">
        <v>45743</v>
      </c>
      <c r="AB46" s="90">
        <v>0.97916666666666663</v>
      </c>
      <c r="AC46" s="90">
        <v>0.95833333333333337</v>
      </c>
      <c r="AD46" s="14" t="s">
        <v>168</v>
      </c>
      <c r="AE46" s="14" t="s">
        <v>242</v>
      </c>
      <c r="AF46" s="74" t="s">
        <v>169</v>
      </c>
      <c r="AG46" s="90">
        <v>0.97916666666666663</v>
      </c>
      <c r="AH46" s="77">
        <v>45743</v>
      </c>
      <c r="AI46" s="14" t="s">
        <v>168</v>
      </c>
      <c r="AJ46" s="14" t="s">
        <v>247</v>
      </c>
      <c r="AK46" s="14" t="s">
        <v>445</v>
      </c>
      <c r="AL46" s="14">
        <v>2025</v>
      </c>
      <c r="AM46" s="14">
        <v>13</v>
      </c>
      <c r="AN46" s="14">
        <v>27</v>
      </c>
      <c r="AO46" s="14" t="s">
        <v>481</v>
      </c>
      <c r="AP46" s="14" t="s">
        <v>151</v>
      </c>
    </row>
    <row r="47" spans="1:42" x14ac:dyDescent="0.25">
      <c r="A47" s="74" t="s">
        <v>535</v>
      </c>
      <c r="B47" s="75">
        <v>45744</v>
      </c>
      <c r="C47" s="89">
        <v>0.85416666666666663</v>
      </c>
      <c r="D47" s="14" t="s">
        <v>154</v>
      </c>
      <c r="G47" s="14" t="s">
        <v>536</v>
      </c>
      <c r="H47" s="74" t="s">
        <v>425</v>
      </c>
      <c r="I47" s="74">
        <v>8</v>
      </c>
      <c r="J47" s="14" t="s">
        <v>537</v>
      </c>
      <c r="M47" s="14" t="s">
        <v>538</v>
      </c>
      <c r="N47" s="14" t="s">
        <v>539</v>
      </c>
      <c r="O47" s="14" t="s">
        <v>540</v>
      </c>
      <c r="P47" s="14" t="s">
        <v>161</v>
      </c>
      <c r="U47" s="14" t="s">
        <v>511</v>
      </c>
      <c r="V47" s="14" t="s">
        <v>541</v>
      </c>
      <c r="W47" s="14" t="s">
        <v>542</v>
      </c>
      <c r="X47" s="14" t="s">
        <v>228</v>
      </c>
      <c r="Y47" s="14" t="s">
        <v>166</v>
      </c>
      <c r="Z47" s="14" t="s">
        <v>167</v>
      </c>
      <c r="AA47" s="75">
        <v>45744</v>
      </c>
      <c r="AB47" s="90">
        <v>0.85416666666666663</v>
      </c>
      <c r="AC47" s="90">
        <v>0.83333333333333337</v>
      </c>
      <c r="AD47" s="14" t="s">
        <v>168</v>
      </c>
      <c r="AE47" s="14" t="s">
        <v>154</v>
      </c>
      <c r="AF47" s="74" t="s">
        <v>169</v>
      </c>
      <c r="AG47" s="90">
        <v>0.85416666666666663</v>
      </c>
      <c r="AH47" s="77">
        <v>45744</v>
      </c>
      <c r="AI47" s="14" t="s">
        <v>168</v>
      </c>
      <c r="AJ47" s="14" t="s">
        <v>170</v>
      </c>
      <c r="AK47" s="14" t="s">
        <v>445</v>
      </c>
      <c r="AL47" s="14">
        <v>2025</v>
      </c>
      <c r="AM47" s="14">
        <v>13</v>
      </c>
      <c r="AN47" s="14">
        <v>28</v>
      </c>
      <c r="AO47" s="14" t="s">
        <v>543</v>
      </c>
      <c r="AP47" s="14" t="s">
        <v>151</v>
      </c>
    </row>
    <row r="48" spans="1:42" x14ac:dyDescent="0.25">
      <c r="A48" s="74" t="s">
        <v>544</v>
      </c>
      <c r="B48" s="75">
        <v>45745</v>
      </c>
      <c r="C48" s="89">
        <v>0.20515046296296297</v>
      </c>
      <c r="D48" s="14" t="s">
        <v>347</v>
      </c>
      <c r="E48" s="14" t="s">
        <v>545</v>
      </c>
      <c r="G48" s="14" t="s">
        <v>546</v>
      </c>
      <c r="H48" s="74" t="s">
        <v>338</v>
      </c>
      <c r="I48" s="74">
        <v>6</v>
      </c>
      <c r="J48" s="14" t="s">
        <v>547</v>
      </c>
      <c r="M48" s="14" t="s">
        <v>548</v>
      </c>
      <c r="N48" s="14" t="s">
        <v>539</v>
      </c>
      <c r="O48" s="14" t="s">
        <v>540</v>
      </c>
      <c r="P48" s="14" t="s">
        <v>161</v>
      </c>
      <c r="U48" s="14" t="s">
        <v>511</v>
      </c>
      <c r="V48" s="14" t="s">
        <v>530</v>
      </c>
      <c r="W48" s="14" t="s">
        <v>384</v>
      </c>
      <c r="X48" s="14" t="s">
        <v>488</v>
      </c>
      <c r="Y48" s="14" t="s">
        <v>166</v>
      </c>
      <c r="Z48" s="14"/>
      <c r="AA48" s="75">
        <v>45745</v>
      </c>
      <c r="AB48" s="90">
        <v>0.20515046296296297</v>
      </c>
      <c r="AC48" s="90">
        <v>0.16666666666666666</v>
      </c>
      <c r="AD48" s="14" t="s">
        <v>385</v>
      </c>
      <c r="AE48" s="14" t="s">
        <v>549</v>
      </c>
      <c r="AF48" s="74" t="s">
        <v>169</v>
      </c>
      <c r="AG48" s="90">
        <v>0.20515046296296297</v>
      </c>
      <c r="AH48" s="77">
        <v>45745</v>
      </c>
      <c r="AI48" s="14" t="s">
        <v>385</v>
      </c>
      <c r="AJ48" s="14" t="s">
        <v>292</v>
      </c>
      <c r="AK48" s="14" t="s">
        <v>445</v>
      </c>
      <c r="AL48" s="14">
        <v>2025</v>
      </c>
      <c r="AM48" s="14">
        <v>13</v>
      </c>
      <c r="AN48" s="14">
        <v>29</v>
      </c>
      <c r="AO48" s="14" t="s">
        <v>550</v>
      </c>
      <c r="AP48" s="14" t="s">
        <v>231</v>
      </c>
    </row>
    <row r="49" spans="1:42" x14ac:dyDescent="0.25">
      <c r="A49" s="74" t="s">
        <v>551</v>
      </c>
      <c r="B49" s="75">
        <v>45747</v>
      </c>
      <c r="C49" s="89">
        <v>0.5</v>
      </c>
      <c r="D49" s="14" t="s">
        <v>242</v>
      </c>
      <c r="G49" s="14" t="s">
        <v>552</v>
      </c>
      <c r="H49" s="74" t="s">
        <v>553</v>
      </c>
      <c r="I49" s="74">
        <v>7</v>
      </c>
      <c r="J49" s="14" t="s">
        <v>23</v>
      </c>
      <c r="U49" s="14" t="s">
        <v>511</v>
      </c>
      <c r="V49" s="14" t="s">
        <v>554</v>
      </c>
      <c r="W49" s="14" t="s">
        <v>256</v>
      </c>
      <c r="X49" s="14" t="s">
        <v>350</v>
      </c>
      <c r="Y49" s="14" t="s">
        <v>301</v>
      </c>
      <c r="Z49" s="14" t="s">
        <v>246</v>
      </c>
      <c r="AA49" s="75">
        <v>45747</v>
      </c>
      <c r="AB49" s="90">
        <v>0.5</v>
      </c>
      <c r="AC49" s="90">
        <v>0.5</v>
      </c>
      <c r="AD49" s="14" t="s">
        <v>146</v>
      </c>
      <c r="AE49" s="14" t="s">
        <v>242</v>
      </c>
      <c r="AF49" s="74" t="s">
        <v>169</v>
      </c>
      <c r="AG49" s="90">
        <v>0.5</v>
      </c>
      <c r="AH49" s="77">
        <v>45747</v>
      </c>
      <c r="AI49" s="14" t="s">
        <v>146</v>
      </c>
      <c r="AJ49" s="14" t="s">
        <v>183</v>
      </c>
      <c r="AK49" s="14" t="s">
        <v>445</v>
      </c>
      <c r="AL49" s="14">
        <v>2025</v>
      </c>
      <c r="AM49" s="14">
        <v>14</v>
      </c>
      <c r="AN49" s="14">
        <v>31</v>
      </c>
      <c r="AO49" s="14" t="s">
        <v>322</v>
      </c>
      <c r="AP49" s="14" t="s">
        <v>151</v>
      </c>
    </row>
    <row r="50" spans="1:42" x14ac:dyDescent="0.25">
      <c r="A50" s="74" t="s">
        <v>555</v>
      </c>
      <c r="B50" s="75">
        <v>45747</v>
      </c>
      <c r="C50" s="89">
        <v>0.77777777777777779</v>
      </c>
      <c r="D50" s="14" t="s">
        <v>174</v>
      </c>
      <c r="E50" s="14" t="s">
        <v>295</v>
      </c>
      <c r="F50" s="14" t="s">
        <v>556</v>
      </c>
      <c r="G50" s="14" t="s">
        <v>557</v>
      </c>
      <c r="H50" s="74" t="s">
        <v>191</v>
      </c>
      <c r="I50" s="74">
        <v>7</v>
      </c>
      <c r="J50" s="14" t="s">
        <v>558</v>
      </c>
      <c r="M50" s="14" t="s">
        <v>559</v>
      </c>
      <c r="N50" s="14" t="s">
        <v>560</v>
      </c>
      <c r="O50" s="14" t="s">
        <v>561</v>
      </c>
      <c r="P50" s="14" t="s">
        <v>161</v>
      </c>
      <c r="U50" s="14" t="s">
        <v>467</v>
      </c>
      <c r="V50" s="14" t="s">
        <v>562</v>
      </c>
      <c r="W50" s="14" t="s">
        <v>256</v>
      </c>
      <c r="X50" s="14" t="s">
        <v>228</v>
      </c>
      <c r="Y50" s="14" t="s">
        <v>166</v>
      </c>
      <c r="Z50" s="14" t="s">
        <v>563</v>
      </c>
      <c r="AA50" s="75">
        <v>45747</v>
      </c>
      <c r="AB50" s="90">
        <v>0.77777777777777779</v>
      </c>
      <c r="AC50" s="90">
        <v>0.75</v>
      </c>
      <c r="AD50" s="14" t="s">
        <v>266</v>
      </c>
      <c r="AE50" s="14" t="s">
        <v>564</v>
      </c>
      <c r="AF50" s="74" t="s">
        <v>169</v>
      </c>
      <c r="AG50" s="90">
        <v>0.77777777777777779</v>
      </c>
      <c r="AH50" s="77">
        <v>45747</v>
      </c>
      <c r="AI50" s="14" t="s">
        <v>266</v>
      </c>
      <c r="AJ50" s="14" t="s">
        <v>183</v>
      </c>
      <c r="AK50" s="14" t="s">
        <v>445</v>
      </c>
      <c r="AL50" s="14">
        <v>2025</v>
      </c>
      <c r="AM50" s="14">
        <v>14</v>
      </c>
      <c r="AN50" s="14">
        <v>31</v>
      </c>
      <c r="AO50" s="14" t="s">
        <v>565</v>
      </c>
      <c r="AP50" s="14" t="s">
        <v>151</v>
      </c>
    </row>
    <row r="51" spans="1:42" x14ac:dyDescent="0.25">
      <c r="A51" s="74" t="s">
        <v>566</v>
      </c>
      <c r="B51" s="75">
        <v>45747</v>
      </c>
      <c r="C51" s="89">
        <v>0.75</v>
      </c>
      <c r="D51" s="14" t="s">
        <v>174</v>
      </c>
      <c r="G51" s="14" t="s">
        <v>567</v>
      </c>
      <c r="H51" s="74" t="s">
        <v>156</v>
      </c>
      <c r="J51" s="14" t="s">
        <v>568</v>
      </c>
      <c r="K51" s="14">
        <v>2</v>
      </c>
      <c r="L51" s="14">
        <v>0</v>
      </c>
      <c r="M51" s="14" t="s">
        <v>569</v>
      </c>
      <c r="N51" s="14" t="s">
        <v>273</v>
      </c>
      <c r="O51" s="14" t="s">
        <v>570</v>
      </c>
      <c r="P51" s="14" t="s">
        <v>161</v>
      </c>
      <c r="U51" s="14" t="s">
        <v>467</v>
      </c>
      <c r="V51" s="14" t="s">
        <v>571</v>
      </c>
      <c r="W51" s="14" t="s">
        <v>444</v>
      </c>
      <c r="X51" s="14" t="s">
        <v>228</v>
      </c>
      <c r="Y51" s="14" t="s">
        <v>364</v>
      </c>
      <c r="Z51" s="14" t="s">
        <v>563</v>
      </c>
      <c r="AA51" s="75">
        <v>45747</v>
      </c>
      <c r="AB51" s="90">
        <v>0.75</v>
      </c>
      <c r="AC51" s="90">
        <v>0.75</v>
      </c>
      <c r="AD51" s="14" t="s">
        <v>266</v>
      </c>
      <c r="AE51" s="14" t="s">
        <v>174</v>
      </c>
      <c r="AF51" s="74" t="s">
        <v>169</v>
      </c>
      <c r="AG51" s="90">
        <v>0.75</v>
      </c>
      <c r="AH51" s="77">
        <v>45747</v>
      </c>
      <c r="AI51" s="14" t="s">
        <v>266</v>
      </c>
      <c r="AJ51" s="14" t="s">
        <v>183</v>
      </c>
      <c r="AK51" s="14" t="s">
        <v>445</v>
      </c>
      <c r="AL51" s="14">
        <v>2025</v>
      </c>
      <c r="AM51" s="14">
        <v>14</v>
      </c>
      <c r="AN51" s="14">
        <v>31</v>
      </c>
      <c r="AO51" s="14" t="s">
        <v>172</v>
      </c>
      <c r="AP51" s="14" t="s">
        <v>151</v>
      </c>
    </row>
    <row r="52" spans="1:42" x14ac:dyDescent="0.25">
      <c r="A52" s="74" t="s">
        <v>572</v>
      </c>
      <c r="B52" s="75">
        <v>45747</v>
      </c>
      <c r="C52" s="89">
        <v>0.83333333333333337</v>
      </c>
      <c r="D52" s="14" t="s">
        <v>174</v>
      </c>
      <c r="G52" s="14" t="s">
        <v>567</v>
      </c>
      <c r="H52" s="74" t="s">
        <v>156</v>
      </c>
      <c r="I52" s="74">
        <v>9</v>
      </c>
      <c r="J52" s="14" t="s">
        <v>573</v>
      </c>
      <c r="K52" s="14">
        <v>5</v>
      </c>
      <c r="L52" s="14">
        <v>0</v>
      </c>
      <c r="M52" s="14" t="s">
        <v>574</v>
      </c>
      <c r="N52" s="14" t="s">
        <v>273</v>
      </c>
      <c r="O52" s="14" t="s">
        <v>575</v>
      </c>
      <c r="P52" s="14" t="s">
        <v>161</v>
      </c>
      <c r="U52" s="14" t="s">
        <v>467</v>
      </c>
      <c r="V52" s="14" t="s">
        <v>571</v>
      </c>
      <c r="W52" s="14" t="s">
        <v>444</v>
      </c>
      <c r="X52" s="14" t="s">
        <v>228</v>
      </c>
      <c r="Y52" s="14" t="s">
        <v>364</v>
      </c>
      <c r="Z52" s="14" t="s">
        <v>563</v>
      </c>
      <c r="AA52" s="75">
        <v>45747</v>
      </c>
      <c r="AB52" s="90">
        <v>0.83333333333333337</v>
      </c>
      <c r="AC52" s="90">
        <v>0.83333333333333337</v>
      </c>
      <c r="AD52" s="14" t="s">
        <v>168</v>
      </c>
      <c r="AE52" s="14" t="s">
        <v>174</v>
      </c>
      <c r="AF52" s="74" t="s">
        <v>169</v>
      </c>
      <c r="AG52" s="90">
        <v>0.83333333333333337</v>
      </c>
      <c r="AH52" s="77">
        <v>45747</v>
      </c>
      <c r="AI52" s="14" t="s">
        <v>168</v>
      </c>
      <c r="AJ52" s="14" t="s">
        <v>183</v>
      </c>
      <c r="AK52" s="14" t="s">
        <v>445</v>
      </c>
      <c r="AL52" s="14">
        <v>2025</v>
      </c>
      <c r="AM52" s="14">
        <v>14</v>
      </c>
      <c r="AN52" s="14">
        <v>31</v>
      </c>
      <c r="AO52" s="14" t="s">
        <v>172</v>
      </c>
      <c r="AP52" s="14" t="s">
        <v>151</v>
      </c>
    </row>
    <row r="53" spans="1:42" x14ac:dyDescent="0.25">
      <c r="A53" s="74" t="s">
        <v>576</v>
      </c>
      <c r="B53" s="75">
        <v>45748</v>
      </c>
      <c r="C53" s="89">
        <v>0.85324074074074074</v>
      </c>
      <c r="D53" s="14" t="s">
        <v>174</v>
      </c>
      <c r="G53" s="14" t="s">
        <v>577</v>
      </c>
      <c r="H53" s="74" t="s">
        <v>414</v>
      </c>
      <c r="I53" s="74">
        <v>7</v>
      </c>
      <c r="J53" s="14" t="s">
        <v>578</v>
      </c>
      <c r="M53" s="14" t="s">
        <v>579</v>
      </c>
      <c r="N53" s="14" t="s">
        <v>580</v>
      </c>
      <c r="O53" s="14" t="s">
        <v>581</v>
      </c>
      <c r="P53" s="14" t="s">
        <v>161</v>
      </c>
      <c r="U53" s="14" t="s">
        <v>140</v>
      </c>
      <c r="V53" s="14" t="s">
        <v>417</v>
      </c>
      <c r="W53" s="14" t="s">
        <v>142</v>
      </c>
      <c r="X53" s="14" t="s">
        <v>228</v>
      </c>
      <c r="Y53" s="14" t="s">
        <v>166</v>
      </c>
      <c r="Z53" s="14" t="s">
        <v>182</v>
      </c>
      <c r="AA53" s="75">
        <v>45748</v>
      </c>
      <c r="AB53" s="90">
        <v>0.85324074074074074</v>
      </c>
      <c r="AC53" s="90">
        <v>0.83333333333333337</v>
      </c>
      <c r="AD53" s="14" t="s">
        <v>168</v>
      </c>
      <c r="AE53" s="14" t="s">
        <v>174</v>
      </c>
      <c r="AF53" s="74" t="s">
        <v>169</v>
      </c>
      <c r="AG53" s="90">
        <v>0.85324074074074074</v>
      </c>
      <c r="AH53" s="77">
        <v>45748</v>
      </c>
      <c r="AI53" s="14" t="s">
        <v>168</v>
      </c>
      <c r="AJ53" s="14" t="s">
        <v>148</v>
      </c>
      <c r="AK53" s="14" t="s">
        <v>582</v>
      </c>
      <c r="AL53" s="14">
        <v>2025</v>
      </c>
      <c r="AM53" s="14">
        <v>14</v>
      </c>
      <c r="AN53" s="14">
        <v>1</v>
      </c>
      <c r="AO53" s="14" t="s">
        <v>184</v>
      </c>
      <c r="AP53" s="14" t="s">
        <v>151</v>
      </c>
    </row>
    <row r="54" spans="1:42" x14ac:dyDescent="0.25">
      <c r="A54" s="74" t="s">
        <v>583</v>
      </c>
      <c r="B54" s="75">
        <v>45748</v>
      </c>
      <c r="C54" s="89">
        <v>0.5</v>
      </c>
      <c r="D54" s="14" t="s">
        <v>242</v>
      </c>
      <c r="G54" s="14" t="s">
        <v>584</v>
      </c>
      <c r="H54" s="74" t="s">
        <v>288</v>
      </c>
      <c r="I54" s="74">
        <v>5</v>
      </c>
      <c r="J54" s="14" t="s">
        <v>26</v>
      </c>
      <c r="U54" s="14" t="s">
        <v>162</v>
      </c>
      <c r="V54" s="14" t="s">
        <v>585</v>
      </c>
      <c r="W54" s="14" t="s">
        <v>164</v>
      </c>
      <c r="X54" s="14" t="s">
        <v>488</v>
      </c>
      <c r="Y54" s="14" t="s">
        <v>166</v>
      </c>
      <c r="Z54" s="14" t="s">
        <v>246</v>
      </c>
      <c r="AA54" s="75">
        <v>45748</v>
      </c>
      <c r="AB54" s="90">
        <v>0.5</v>
      </c>
      <c r="AC54" s="90">
        <v>0.5</v>
      </c>
      <c r="AD54" s="14" t="s">
        <v>146</v>
      </c>
      <c r="AE54" s="14" t="s">
        <v>242</v>
      </c>
      <c r="AF54" s="74" t="s">
        <v>169</v>
      </c>
      <c r="AG54" s="90">
        <v>0.5</v>
      </c>
      <c r="AH54" s="77">
        <v>45748</v>
      </c>
      <c r="AI54" s="14" t="s">
        <v>146</v>
      </c>
      <c r="AJ54" s="14" t="s">
        <v>148</v>
      </c>
      <c r="AK54" s="14" t="s">
        <v>582</v>
      </c>
      <c r="AL54" s="14">
        <v>2025</v>
      </c>
      <c r="AM54" s="14">
        <v>14</v>
      </c>
      <c r="AN54" s="14">
        <v>1</v>
      </c>
      <c r="AO54" s="14" t="s">
        <v>586</v>
      </c>
      <c r="AP54" s="14" t="s">
        <v>151</v>
      </c>
    </row>
    <row r="55" spans="1:42" x14ac:dyDescent="0.25">
      <c r="A55" s="74" t="s">
        <v>587</v>
      </c>
      <c r="B55" s="75">
        <v>45749</v>
      </c>
      <c r="C55" s="89">
        <v>0.89930555555555558</v>
      </c>
      <c r="D55" s="14" t="s">
        <v>588</v>
      </c>
      <c r="E55" s="14" t="s">
        <v>136</v>
      </c>
      <c r="F55" s="14" t="s">
        <v>189</v>
      </c>
      <c r="G55" s="14" t="s">
        <v>589</v>
      </c>
      <c r="H55" s="74" t="s">
        <v>138</v>
      </c>
      <c r="I55" s="74">
        <v>8</v>
      </c>
      <c r="J55" s="14" t="s">
        <v>590</v>
      </c>
      <c r="U55" s="14" t="s">
        <v>162</v>
      </c>
      <c r="V55" s="14" t="s">
        <v>525</v>
      </c>
      <c r="W55" s="14" t="s">
        <v>211</v>
      </c>
      <c r="X55" s="14" t="s">
        <v>143</v>
      </c>
      <c r="Y55" s="14" t="s">
        <v>283</v>
      </c>
      <c r="Z55" s="14"/>
      <c r="AA55" s="75">
        <v>45749</v>
      </c>
      <c r="AB55" s="90">
        <v>0.89930555555555558</v>
      </c>
      <c r="AC55" s="90">
        <v>0.875</v>
      </c>
      <c r="AD55" s="14" t="s">
        <v>168</v>
      </c>
      <c r="AE55" s="14" t="s">
        <v>591</v>
      </c>
      <c r="AF55" s="74" t="s">
        <v>169</v>
      </c>
      <c r="AG55" s="90">
        <v>0.89930555555555558</v>
      </c>
      <c r="AH55" s="77">
        <v>45749</v>
      </c>
      <c r="AI55" s="14" t="s">
        <v>168</v>
      </c>
      <c r="AJ55" s="14" t="s">
        <v>239</v>
      </c>
      <c r="AK55" s="14" t="s">
        <v>582</v>
      </c>
      <c r="AL55" s="14">
        <v>2025</v>
      </c>
      <c r="AM55" s="14">
        <v>14</v>
      </c>
      <c r="AN55" s="14">
        <v>2</v>
      </c>
      <c r="AO55" s="14" t="s">
        <v>592</v>
      </c>
      <c r="AP55" s="14" t="s">
        <v>200</v>
      </c>
    </row>
    <row r="56" spans="1:42" x14ac:dyDescent="0.25">
      <c r="A56" s="74" t="s">
        <v>593</v>
      </c>
      <c r="B56" s="75">
        <v>45755</v>
      </c>
      <c r="C56" s="89">
        <v>3.2638888888888891E-2</v>
      </c>
      <c r="D56" s="14" t="s">
        <v>174</v>
      </c>
      <c r="E56" s="14" t="s">
        <v>219</v>
      </c>
      <c r="F56" s="14" t="s">
        <v>594</v>
      </c>
      <c r="G56" s="14" t="s">
        <v>595</v>
      </c>
      <c r="H56" s="74" t="s">
        <v>553</v>
      </c>
      <c r="I56" s="74">
        <v>7</v>
      </c>
      <c r="J56" s="14" t="s">
        <v>596</v>
      </c>
      <c r="M56" s="14" t="s">
        <v>597</v>
      </c>
      <c r="N56" s="14" t="s">
        <v>452</v>
      </c>
      <c r="O56" s="14" t="s">
        <v>598</v>
      </c>
      <c r="P56" s="14" t="s">
        <v>161</v>
      </c>
      <c r="U56" s="14" t="s">
        <v>599</v>
      </c>
      <c r="V56" s="14" t="s">
        <v>255</v>
      </c>
      <c r="W56" s="14" t="s">
        <v>256</v>
      </c>
      <c r="X56" s="14" t="s">
        <v>310</v>
      </c>
      <c r="Y56" s="14" t="s">
        <v>166</v>
      </c>
      <c r="Z56" s="14" t="s">
        <v>182</v>
      </c>
      <c r="AA56" s="75">
        <v>45755</v>
      </c>
      <c r="AB56" s="90">
        <v>3.2638888888888891E-2</v>
      </c>
      <c r="AC56" s="90">
        <v>0</v>
      </c>
      <c r="AD56" s="14" t="s">
        <v>343</v>
      </c>
      <c r="AE56" s="14" t="s">
        <v>600</v>
      </c>
      <c r="AF56" s="74" t="s">
        <v>169</v>
      </c>
      <c r="AG56" s="90">
        <v>3.2638888888888891E-2</v>
      </c>
      <c r="AH56" s="77">
        <v>45755</v>
      </c>
      <c r="AI56" s="14" t="s">
        <v>343</v>
      </c>
      <c r="AJ56" s="14" t="s">
        <v>148</v>
      </c>
      <c r="AK56" s="14" t="s">
        <v>582</v>
      </c>
      <c r="AL56" s="14">
        <v>2025</v>
      </c>
      <c r="AM56" s="14">
        <v>15</v>
      </c>
      <c r="AN56" s="14">
        <v>8</v>
      </c>
      <c r="AO56" s="14" t="s">
        <v>601</v>
      </c>
      <c r="AP56" s="14" t="s">
        <v>231</v>
      </c>
    </row>
    <row r="57" spans="1:42" x14ac:dyDescent="0.25">
      <c r="A57" s="74" t="s">
        <v>602</v>
      </c>
      <c r="B57" s="75">
        <v>45755</v>
      </c>
      <c r="C57" s="89">
        <v>0.5</v>
      </c>
      <c r="D57" s="14" t="s">
        <v>242</v>
      </c>
      <c r="G57" s="14" t="s">
        <v>603</v>
      </c>
      <c r="H57" s="74" t="s">
        <v>288</v>
      </c>
      <c r="I57" s="74">
        <v>5</v>
      </c>
      <c r="J57" s="14" t="s">
        <v>29</v>
      </c>
      <c r="U57" s="14" t="s">
        <v>281</v>
      </c>
      <c r="V57" s="14" t="s">
        <v>530</v>
      </c>
      <c r="W57" s="14" t="s">
        <v>384</v>
      </c>
      <c r="X57" s="14" t="s">
        <v>310</v>
      </c>
      <c r="Y57" s="14" t="s">
        <v>166</v>
      </c>
      <c r="Z57" s="14" t="s">
        <v>246</v>
      </c>
      <c r="AA57" s="75">
        <v>45755</v>
      </c>
      <c r="AB57" s="90">
        <v>0.5</v>
      </c>
      <c r="AC57" s="90">
        <v>0.5</v>
      </c>
      <c r="AD57" s="14" t="s">
        <v>146</v>
      </c>
      <c r="AE57" s="14" t="s">
        <v>242</v>
      </c>
      <c r="AF57" s="74" t="s">
        <v>169</v>
      </c>
      <c r="AG57" s="90">
        <v>0.5</v>
      </c>
      <c r="AH57" s="77">
        <v>45755</v>
      </c>
      <c r="AI57" s="14" t="s">
        <v>146</v>
      </c>
      <c r="AJ57" s="14" t="s">
        <v>148</v>
      </c>
      <c r="AK57" s="14" t="s">
        <v>582</v>
      </c>
      <c r="AL57" s="14">
        <v>2025</v>
      </c>
      <c r="AM57" s="14">
        <v>15</v>
      </c>
      <c r="AN57" s="14">
        <v>8</v>
      </c>
      <c r="AO57" s="14" t="s">
        <v>352</v>
      </c>
      <c r="AP57" s="14" t="s">
        <v>151</v>
      </c>
    </row>
    <row r="58" spans="1:42" x14ac:dyDescent="0.25">
      <c r="A58" s="74" t="s">
        <v>604</v>
      </c>
      <c r="B58" s="75">
        <v>45755</v>
      </c>
      <c r="C58" s="89">
        <v>0.20833333333333334</v>
      </c>
      <c r="D58" s="14" t="s">
        <v>174</v>
      </c>
      <c r="G58" s="14" t="s">
        <v>605</v>
      </c>
      <c r="H58" s="74" t="s">
        <v>270</v>
      </c>
      <c r="I58" s="74">
        <v>5</v>
      </c>
      <c r="J58" s="14" t="s">
        <v>606</v>
      </c>
      <c r="M58" s="14" t="s">
        <v>607</v>
      </c>
      <c r="N58" s="14" t="s">
        <v>608</v>
      </c>
      <c r="O58" s="14" t="s">
        <v>609</v>
      </c>
      <c r="P58" s="14" t="s">
        <v>161</v>
      </c>
      <c r="U58" s="14" t="s">
        <v>610</v>
      </c>
      <c r="V58" s="14" t="s">
        <v>585</v>
      </c>
      <c r="W58" s="14" t="s">
        <v>164</v>
      </c>
      <c r="X58" s="14" t="s">
        <v>180</v>
      </c>
      <c r="Y58" s="14" t="s">
        <v>166</v>
      </c>
      <c r="Z58" s="14" t="s">
        <v>182</v>
      </c>
      <c r="AA58" s="75">
        <v>45755</v>
      </c>
      <c r="AB58" s="90">
        <v>0.20833333333333334</v>
      </c>
      <c r="AC58" s="90">
        <v>0.20833333333333334</v>
      </c>
      <c r="AD58" s="14" t="s">
        <v>385</v>
      </c>
      <c r="AE58" s="14" t="s">
        <v>174</v>
      </c>
      <c r="AF58" s="74" t="s">
        <v>169</v>
      </c>
      <c r="AG58" s="90">
        <v>0.20833333333333334</v>
      </c>
      <c r="AH58" s="77">
        <v>45755</v>
      </c>
      <c r="AI58" s="14" t="s">
        <v>385</v>
      </c>
      <c r="AJ58" s="14" t="s">
        <v>148</v>
      </c>
      <c r="AK58" s="14" t="s">
        <v>582</v>
      </c>
      <c r="AL58" s="14">
        <v>2025</v>
      </c>
      <c r="AM58" s="14">
        <v>15</v>
      </c>
      <c r="AN58" s="14">
        <v>8</v>
      </c>
      <c r="AO58" s="14" t="s">
        <v>611</v>
      </c>
      <c r="AP58" s="14" t="s">
        <v>151</v>
      </c>
    </row>
    <row r="59" spans="1:42" x14ac:dyDescent="0.25">
      <c r="A59" s="74" t="s">
        <v>612</v>
      </c>
      <c r="B59" s="75">
        <v>45756</v>
      </c>
      <c r="C59" s="89">
        <v>0.96527777777777779</v>
      </c>
      <c r="D59" s="14" t="s">
        <v>174</v>
      </c>
      <c r="G59" s="14" t="s">
        <v>613</v>
      </c>
      <c r="H59" s="74" t="s">
        <v>325</v>
      </c>
      <c r="I59" s="74">
        <v>8</v>
      </c>
      <c r="J59" s="14" t="s">
        <v>614</v>
      </c>
      <c r="M59" s="14" t="s">
        <v>615</v>
      </c>
      <c r="N59" s="14" t="s">
        <v>503</v>
      </c>
      <c r="O59" s="14" t="s">
        <v>616</v>
      </c>
      <c r="P59" s="14" t="s">
        <v>161</v>
      </c>
      <c r="U59" s="14" t="s">
        <v>281</v>
      </c>
      <c r="V59" s="14" t="s">
        <v>265</v>
      </c>
      <c r="W59" s="14" t="s">
        <v>164</v>
      </c>
      <c r="X59" s="14" t="s">
        <v>488</v>
      </c>
      <c r="Y59" s="14" t="s">
        <v>166</v>
      </c>
      <c r="Z59" s="14" t="s">
        <v>182</v>
      </c>
      <c r="AA59" s="75">
        <v>45756</v>
      </c>
      <c r="AB59" s="90">
        <v>0.96527777777777779</v>
      </c>
      <c r="AC59" s="90">
        <v>0.95833333333333337</v>
      </c>
      <c r="AD59" s="14" t="s">
        <v>168</v>
      </c>
      <c r="AE59" s="14" t="s">
        <v>174</v>
      </c>
      <c r="AF59" s="74" t="s">
        <v>169</v>
      </c>
      <c r="AG59" s="90">
        <v>0.96527777777777779</v>
      </c>
      <c r="AH59" s="77">
        <v>45756</v>
      </c>
      <c r="AI59" s="14" t="s">
        <v>168</v>
      </c>
      <c r="AJ59" s="14" t="s">
        <v>239</v>
      </c>
      <c r="AK59" s="14" t="s">
        <v>582</v>
      </c>
      <c r="AL59" s="14">
        <v>2025</v>
      </c>
      <c r="AM59" s="14">
        <v>15</v>
      </c>
      <c r="AN59" s="14">
        <v>9</v>
      </c>
      <c r="AO59" s="14" t="s">
        <v>617</v>
      </c>
      <c r="AP59" s="14" t="s">
        <v>151</v>
      </c>
    </row>
    <row r="60" spans="1:42" x14ac:dyDescent="0.25">
      <c r="A60" s="74" t="s">
        <v>618</v>
      </c>
      <c r="C60" s="89"/>
      <c r="D60" s="14" t="s">
        <v>174</v>
      </c>
      <c r="E60" s="14" t="s">
        <v>619</v>
      </c>
      <c r="G60" s="14" t="s">
        <v>620</v>
      </c>
      <c r="H60" s="74" t="s">
        <v>191</v>
      </c>
      <c r="I60" s="74">
        <v>7</v>
      </c>
      <c r="J60" s="14" t="s">
        <v>621</v>
      </c>
      <c r="M60" s="14" t="s">
        <v>622</v>
      </c>
      <c r="N60" s="14" t="s">
        <v>159</v>
      </c>
      <c r="O60" s="14" t="s">
        <v>160</v>
      </c>
      <c r="P60" s="14" t="s">
        <v>161</v>
      </c>
      <c r="Q60" s="14" t="s">
        <v>623</v>
      </c>
      <c r="R60" s="14" t="s">
        <v>161</v>
      </c>
      <c r="S60" s="14" t="s">
        <v>341</v>
      </c>
      <c r="T60" s="14" t="s">
        <v>624</v>
      </c>
      <c r="U60" s="14" t="s">
        <v>162</v>
      </c>
      <c r="V60" s="14" t="s">
        <v>625</v>
      </c>
      <c r="W60" s="14" t="s">
        <v>328</v>
      </c>
      <c r="X60" s="14" t="s">
        <v>228</v>
      </c>
      <c r="Y60" s="14" t="s">
        <v>144</v>
      </c>
      <c r="Z60" s="14" t="s">
        <v>182</v>
      </c>
      <c r="AA60" s="75">
        <v>45760</v>
      </c>
      <c r="AB60" s="90">
        <v>0.6875</v>
      </c>
      <c r="AC60" s="90">
        <v>0.66666666666666663</v>
      </c>
      <c r="AD60" s="14" t="s">
        <v>266</v>
      </c>
      <c r="AE60" s="14" t="s">
        <v>626</v>
      </c>
      <c r="AF60" s="74" t="s">
        <v>169</v>
      </c>
      <c r="AG60" s="90">
        <v>0.6875</v>
      </c>
      <c r="AH60" s="77">
        <v>45760</v>
      </c>
      <c r="AI60" s="14" t="s">
        <v>266</v>
      </c>
      <c r="AJ60" s="14" t="s">
        <v>311</v>
      </c>
      <c r="AK60" s="14" t="s">
        <v>582</v>
      </c>
      <c r="AL60" s="14">
        <v>2025</v>
      </c>
      <c r="AM60" s="14">
        <v>16</v>
      </c>
      <c r="AN60" s="14">
        <v>13</v>
      </c>
      <c r="AO60" s="14" t="s">
        <v>627</v>
      </c>
      <c r="AP60" s="14" t="s">
        <v>151</v>
      </c>
    </row>
    <row r="61" spans="1:42" x14ac:dyDescent="0.25">
      <c r="A61" s="74" t="s">
        <v>628</v>
      </c>
      <c r="B61" s="75">
        <v>45760</v>
      </c>
      <c r="C61" s="89">
        <v>0.78115740740740736</v>
      </c>
      <c r="D61" s="14" t="s">
        <v>242</v>
      </c>
      <c r="E61" s="14" t="s">
        <v>629</v>
      </c>
      <c r="F61" s="14" t="s">
        <v>556</v>
      </c>
      <c r="G61" s="14" t="s">
        <v>630</v>
      </c>
      <c r="H61" s="74" t="s">
        <v>414</v>
      </c>
      <c r="I61" s="74">
        <v>7</v>
      </c>
      <c r="J61" s="14" t="s">
        <v>34</v>
      </c>
      <c r="U61" s="14" t="s">
        <v>162</v>
      </c>
      <c r="V61" s="14" t="s">
        <v>291</v>
      </c>
      <c r="W61" s="14" t="s">
        <v>256</v>
      </c>
      <c r="X61" s="14" t="s">
        <v>228</v>
      </c>
      <c r="Y61" s="14" t="s">
        <v>144</v>
      </c>
      <c r="Z61" s="14" t="s">
        <v>246</v>
      </c>
      <c r="AA61" s="75">
        <v>45760</v>
      </c>
      <c r="AB61" s="90">
        <v>0.78115740740740736</v>
      </c>
      <c r="AC61" s="90">
        <v>0.75</v>
      </c>
      <c r="AD61" s="14" t="s">
        <v>266</v>
      </c>
      <c r="AE61" s="14" t="s">
        <v>631</v>
      </c>
      <c r="AF61" s="74" t="s">
        <v>169</v>
      </c>
      <c r="AG61" s="90">
        <v>0.78115740740740736</v>
      </c>
      <c r="AH61" s="77">
        <v>45760</v>
      </c>
      <c r="AI61" s="14" t="s">
        <v>266</v>
      </c>
      <c r="AJ61" s="14" t="s">
        <v>311</v>
      </c>
      <c r="AK61" s="14" t="s">
        <v>582</v>
      </c>
      <c r="AL61" s="14">
        <v>2025</v>
      </c>
      <c r="AM61" s="14">
        <v>16</v>
      </c>
      <c r="AN61" s="14">
        <v>13</v>
      </c>
      <c r="AO61" s="14" t="s">
        <v>184</v>
      </c>
      <c r="AP61" s="14" t="s">
        <v>151</v>
      </c>
    </row>
    <row r="62" spans="1:42" x14ac:dyDescent="0.25">
      <c r="A62" s="74" t="s">
        <v>632</v>
      </c>
      <c r="B62" s="75">
        <v>45761</v>
      </c>
      <c r="C62" s="89">
        <v>0.95833333333333337</v>
      </c>
      <c r="D62" s="14" t="s">
        <v>242</v>
      </c>
      <c r="E62" s="14" t="s">
        <v>295</v>
      </c>
      <c r="F62" s="14" t="s">
        <v>556</v>
      </c>
      <c r="G62" s="14" t="s">
        <v>633</v>
      </c>
      <c r="H62" s="74" t="s">
        <v>138</v>
      </c>
      <c r="I62" s="74">
        <v>8</v>
      </c>
      <c r="J62" s="14" t="s">
        <v>634</v>
      </c>
      <c r="U62" s="14" t="s">
        <v>599</v>
      </c>
      <c r="V62" s="14" t="s">
        <v>635</v>
      </c>
      <c r="W62" s="14" t="s">
        <v>542</v>
      </c>
      <c r="X62" s="14" t="s">
        <v>228</v>
      </c>
      <c r="Y62" s="14" t="s">
        <v>320</v>
      </c>
      <c r="Z62" s="14" t="s">
        <v>246</v>
      </c>
      <c r="AA62" s="75">
        <v>45761</v>
      </c>
      <c r="AB62" s="90">
        <v>0.95833333333333337</v>
      </c>
      <c r="AC62" s="90">
        <v>0.95833333333333337</v>
      </c>
      <c r="AD62" s="14" t="s">
        <v>168</v>
      </c>
      <c r="AE62" s="14" t="s">
        <v>636</v>
      </c>
      <c r="AF62" s="74" t="s">
        <v>169</v>
      </c>
      <c r="AG62" s="90">
        <v>0.95833333333333337</v>
      </c>
      <c r="AH62" s="77">
        <v>45761</v>
      </c>
      <c r="AI62" s="14" t="s">
        <v>168</v>
      </c>
      <c r="AJ62" s="14" t="s">
        <v>183</v>
      </c>
      <c r="AK62" s="14" t="s">
        <v>582</v>
      </c>
      <c r="AL62" s="14">
        <v>2025</v>
      </c>
      <c r="AM62" s="14">
        <v>16</v>
      </c>
      <c r="AN62" s="14">
        <v>14</v>
      </c>
      <c r="AO62" s="14" t="s">
        <v>150</v>
      </c>
      <c r="AP62" s="14" t="s">
        <v>151</v>
      </c>
    </row>
    <row r="63" spans="1:42" x14ac:dyDescent="0.25">
      <c r="A63" s="74" t="s">
        <v>637</v>
      </c>
      <c r="B63" s="75">
        <v>45763</v>
      </c>
      <c r="C63" s="89">
        <v>0.25</v>
      </c>
      <c r="D63" s="14" t="s">
        <v>242</v>
      </c>
      <c r="G63" s="14" t="s">
        <v>638</v>
      </c>
      <c r="H63" s="74" t="s">
        <v>414</v>
      </c>
      <c r="I63" s="74">
        <v>7</v>
      </c>
      <c r="J63" s="14" t="s">
        <v>639</v>
      </c>
      <c r="U63" s="14" t="s">
        <v>480</v>
      </c>
      <c r="V63" s="14" t="s">
        <v>327</v>
      </c>
      <c r="W63" s="14" t="s">
        <v>328</v>
      </c>
      <c r="X63" s="14" t="s">
        <v>275</v>
      </c>
      <c r="Y63" s="14" t="s">
        <v>166</v>
      </c>
      <c r="Z63" s="14" t="s">
        <v>246</v>
      </c>
      <c r="AA63" s="75">
        <v>45763</v>
      </c>
      <c r="AB63" s="90">
        <v>0.25</v>
      </c>
      <c r="AC63" s="90">
        <v>0.25</v>
      </c>
      <c r="AD63" s="14" t="s">
        <v>385</v>
      </c>
      <c r="AE63" s="14" t="s">
        <v>242</v>
      </c>
      <c r="AF63" s="74" t="s">
        <v>169</v>
      </c>
      <c r="AG63" s="90">
        <v>0.25</v>
      </c>
      <c r="AH63" s="77">
        <v>45763</v>
      </c>
      <c r="AI63" s="14" t="s">
        <v>385</v>
      </c>
      <c r="AJ63" s="14" t="s">
        <v>239</v>
      </c>
      <c r="AK63" s="14" t="s">
        <v>582</v>
      </c>
      <c r="AL63" s="14">
        <v>2025</v>
      </c>
      <c r="AM63" s="14">
        <v>16</v>
      </c>
      <c r="AN63" s="14">
        <v>16</v>
      </c>
      <c r="AO63" s="14" t="s">
        <v>640</v>
      </c>
      <c r="AP63" s="14" t="s">
        <v>151</v>
      </c>
    </row>
    <row r="64" spans="1:42" x14ac:dyDescent="0.25">
      <c r="A64" s="74" t="s">
        <v>641</v>
      </c>
      <c r="B64" s="75">
        <v>45765</v>
      </c>
      <c r="C64" s="89">
        <v>0.85416666666666663</v>
      </c>
      <c r="D64" s="14" t="s">
        <v>206</v>
      </c>
      <c r="E64" s="14" t="s">
        <v>642</v>
      </c>
      <c r="F64" s="14" t="s">
        <v>387</v>
      </c>
      <c r="G64" s="14" t="s">
        <v>643</v>
      </c>
      <c r="H64" s="74" t="s">
        <v>644</v>
      </c>
      <c r="I64" s="74">
        <v>7</v>
      </c>
      <c r="J64" s="14" t="s">
        <v>645</v>
      </c>
      <c r="U64" s="14" t="s">
        <v>480</v>
      </c>
      <c r="V64" s="14" t="s">
        <v>646</v>
      </c>
      <c r="W64" s="14" t="s">
        <v>328</v>
      </c>
      <c r="X64" s="14" t="s">
        <v>534</v>
      </c>
      <c r="Y64" s="14" t="s">
        <v>301</v>
      </c>
      <c r="Z64" s="14" t="s">
        <v>213</v>
      </c>
      <c r="AA64" s="75">
        <v>45765</v>
      </c>
      <c r="AB64" s="90">
        <v>0.85416666666666663</v>
      </c>
      <c r="AC64" s="90">
        <v>0.83333333333333337</v>
      </c>
      <c r="AD64" s="14" t="s">
        <v>168</v>
      </c>
      <c r="AE64" s="14" t="s">
        <v>647</v>
      </c>
      <c r="AF64" s="74" t="s">
        <v>169</v>
      </c>
      <c r="AG64" s="90">
        <v>0.85416666666666663</v>
      </c>
      <c r="AH64" s="77">
        <v>45765</v>
      </c>
      <c r="AI64" s="14" t="s">
        <v>168</v>
      </c>
      <c r="AJ64" s="14" t="s">
        <v>170</v>
      </c>
      <c r="AK64" s="14" t="s">
        <v>582</v>
      </c>
      <c r="AL64" s="14">
        <v>2025</v>
      </c>
      <c r="AM64" s="14">
        <v>16</v>
      </c>
      <c r="AN64" s="14">
        <v>18</v>
      </c>
      <c r="AO64" s="14" t="s">
        <v>648</v>
      </c>
      <c r="AP64" s="14" t="s">
        <v>397</v>
      </c>
    </row>
    <row r="65" spans="1:42" x14ac:dyDescent="0.25">
      <c r="A65" s="74" t="s">
        <v>649</v>
      </c>
      <c r="B65" s="75">
        <v>45766</v>
      </c>
      <c r="C65" s="89">
        <v>0.58333333333333337</v>
      </c>
      <c r="D65" s="14" t="s">
        <v>174</v>
      </c>
      <c r="E65" s="14" t="s">
        <v>295</v>
      </c>
      <c r="G65" s="14" t="s">
        <v>650</v>
      </c>
      <c r="H65" s="74" t="s">
        <v>358</v>
      </c>
      <c r="I65" s="74">
        <v>8</v>
      </c>
      <c r="J65" s="14" t="s">
        <v>651</v>
      </c>
      <c r="M65" s="14" t="s">
        <v>652</v>
      </c>
      <c r="N65" s="14" t="s">
        <v>341</v>
      </c>
      <c r="O65" s="14" t="s">
        <v>653</v>
      </c>
      <c r="P65" s="14" t="s">
        <v>161</v>
      </c>
      <c r="Q65" s="14" t="s">
        <v>654</v>
      </c>
      <c r="R65" s="14" t="s">
        <v>161</v>
      </c>
      <c r="S65" s="14" t="s">
        <v>655</v>
      </c>
      <c r="T65" s="14" t="s">
        <v>656</v>
      </c>
      <c r="U65" s="14" t="s">
        <v>657</v>
      </c>
      <c r="V65" s="14" t="s">
        <v>530</v>
      </c>
      <c r="W65" s="14" t="s">
        <v>384</v>
      </c>
      <c r="X65" s="14" t="s">
        <v>488</v>
      </c>
      <c r="Y65" s="14" t="s">
        <v>166</v>
      </c>
      <c r="Z65" s="14" t="s">
        <v>182</v>
      </c>
      <c r="AA65" s="75">
        <v>45766</v>
      </c>
      <c r="AB65" s="90">
        <v>0.58333333333333337</v>
      </c>
      <c r="AC65" s="90">
        <v>0.58333333333333337</v>
      </c>
      <c r="AD65" s="14" t="s">
        <v>146</v>
      </c>
      <c r="AE65" s="14" t="s">
        <v>302</v>
      </c>
      <c r="AF65" s="74" t="s">
        <v>169</v>
      </c>
      <c r="AG65" s="90">
        <v>0.58333333333333337</v>
      </c>
      <c r="AH65" s="77">
        <v>45766</v>
      </c>
      <c r="AI65" s="14" t="s">
        <v>146</v>
      </c>
      <c r="AJ65" s="14" t="s">
        <v>292</v>
      </c>
      <c r="AK65" s="14" t="s">
        <v>582</v>
      </c>
      <c r="AL65" s="14">
        <v>2025</v>
      </c>
      <c r="AM65" s="14">
        <v>16</v>
      </c>
      <c r="AN65" s="14">
        <v>19</v>
      </c>
      <c r="AO65" s="14" t="s">
        <v>658</v>
      </c>
      <c r="AP65" s="14" t="s">
        <v>151</v>
      </c>
    </row>
    <row r="66" spans="1:42" x14ac:dyDescent="0.25">
      <c r="A66" s="74" t="s">
        <v>659</v>
      </c>
      <c r="B66" s="75">
        <v>45767</v>
      </c>
      <c r="C66" s="89">
        <v>0.14861111111111111</v>
      </c>
      <c r="D66" s="14" t="s">
        <v>367</v>
      </c>
      <c r="G66" s="14" t="s">
        <v>660</v>
      </c>
      <c r="H66" s="74" t="s">
        <v>516</v>
      </c>
      <c r="I66" s="74">
        <v>9</v>
      </c>
      <c r="J66" s="14" t="s">
        <v>661</v>
      </c>
      <c r="U66" s="14" t="s">
        <v>610</v>
      </c>
      <c r="V66" s="14" t="s">
        <v>530</v>
      </c>
      <c r="W66" s="14" t="s">
        <v>384</v>
      </c>
      <c r="X66" s="14" t="s">
        <v>310</v>
      </c>
      <c r="Y66" s="14" t="s">
        <v>166</v>
      </c>
      <c r="Z66" s="14" t="s">
        <v>246</v>
      </c>
      <c r="AA66" s="75">
        <v>45767</v>
      </c>
      <c r="AB66" s="90">
        <v>0.14861111111111111</v>
      </c>
      <c r="AC66" s="90">
        <v>0.125</v>
      </c>
      <c r="AD66" s="14" t="s">
        <v>343</v>
      </c>
      <c r="AE66" s="14" t="s">
        <v>367</v>
      </c>
      <c r="AF66" s="74" t="s">
        <v>169</v>
      </c>
      <c r="AG66" s="90">
        <v>0.14861111111111111</v>
      </c>
      <c r="AH66" s="77">
        <v>45767</v>
      </c>
      <c r="AI66" s="14" t="s">
        <v>343</v>
      </c>
      <c r="AJ66" s="14" t="s">
        <v>311</v>
      </c>
      <c r="AK66" s="14" t="s">
        <v>582</v>
      </c>
      <c r="AL66" s="14">
        <v>2025</v>
      </c>
      <c r="AM66" s="14">
        <v>17</v>
      </c>
      <c r="AN66" s="14">
        <v>20</v>
      </c>
      <c r="AO66" s="14" t="s">
        <v>662</v>
      </c>
      <c r="AP66" s="14" t="s">
        <v>151</v>
      </c>
    </row>
    <row r="67" spans="1:42" x14ac:dyDescent="0.25">
      <c r="A67" s="74" t="s">
        <v>663</v>
      </c>
      <c r="C67" s="89"/>
      <c r="D67" s="14" t="s">
        <v>242</v>
      </c>
      <c r="G67" s="14" t="s">
        <v>664</v>
      </c>
      <c r="H67" s="74" t="s">
        <v>414</v>
      </c>
      <c r="I67" s="74">
        <v>7</v>
      </c>
      <c r="J67" s="14" t="s">
        <v>665</v>
      </c>
      <c r="U67" s="14" t="s">
        <v>610</v>
      </c>
      <c r="V67" s="14" t="s">
        <v>585</v>
      </c>
      <c r="W67" s="14" t="s">
        <v>164</v>
      </c>
      <c r="X67" s="14" t="s">
        <v>534</v>
      </c>
      <c r="Y67" s="14" t="s">
        <v>301</v>
      </c>
      <c r="Z67" s="14" t="s">
        <v>246</v>
      </c>
      <c r="AA67" s="75">
        <v>45768</v>
      </c>
      <c r="AB67" s="90">
        <v>0.40254629629629629</v>
      </c>
      <c r="AC67" s="90">
        <v>0.375</v>
      </c>
      <c r="AD67" s="14" t="s">
        <v>276</v>
      </c>
      <c r="AE67" s="14" t="s">
        <v>242</v>
      </c>
      <c r="AF67" s="74" t="s">
        <v>169</v>
      </c>
      <c r="AG67" s="90">
        <v>0.40254629629629629</v>
      </c>
      <c r="AH67" s="77">
        <v>45768</v>
      </c>
      <c r="AI67" s="14" t="s">
        <v>276</v>
      </c>
      <c r="AJ67" s="14" t="s">
        <v>183</v>
      </c>
      <c r="AK67" s="14" t="s">
        <v>582</v>
      </c>
      <c r="AL67" s="14">
        <v>2025</v>
      </c>
      <c r="AM67" s="14">
        <v>17</v>
      </c>
      <c r="AN67" s="14">
        <v>21</v>
      </c>
      <c r="AO67" s="14" t="s">
        <v>666</v>
      </c>
      <c r="AP67" s="14" t="s">
        <v>151</v>
      </c>
    </row>
    <row r="68" spans="1:42" x14ac:dyDescent="0.25">
      <c r="A68" s="74" t="s">
        <v>667</v>
      </c>
      <c r="B68" s="75">
        <v>45771</v>
      </c>
      <c r="C68" s="89">
        <v>0.45277777777777778</v>
      </c>
      <c r="D68" s="14" t="s">
        <v>423</v>
      </c>
      <c r="E68" s="14" t="s">
        <v>188</v>
      </c>
      <c r="F68" s="14" t="s">
        <v>189</v>
      </c>
      <c r="G68" s="14" t="s">
        <v>190</v>
      </c>
      <c r="H68" s="74" t="s">
        <v>191</v>
      </c>
      <c r="I68" s="74">
        <v>7</v>
      </c>
      <c r="J68" s="14" t="s">
        <v>668</v>
      </c>
      <c r="U68" s="14" t="s">
        <v>193</v>
      </c>
      <c r="V68" s="14" t="s">
        <v>194</v>
      </c>
      <c r="W68" s="14" t="s">
        <v>195</v>
      </c>
      <c r="X68" s="14" t="s">
        <v>194</v>
      </c>
      <c r="Y68" s="14" t="s">
        <v>320</v>
      </c>
      <c r="Z68" s="14" t="s">
        <v>197</v>
      </c>
      <c r="AA68" s="75">
        <v>45771</v>
      </c>
      <c r="AB68" s="90">
        <v>0.45277777777777778</v>
      </c>
      <c r="AC68" s="90">
        <v>0.41666666666666669</v>
      </c>
      <c r="AD68" s="14" t="s">
        <v>276</v>
      </c>
      <c r="AE68" s="14" t="s">
        <v>669</v>
      </c>
      <c r="AF68" s="74" t="s">
        <v>169</v>
      </c>
      <c r="AG68" s="90">
        <v>0.45277777777777778</v>
      </c>
      <c r="AH68" s="77">
        <v>45771</v>
      </c>
      <c r="AI68" s="14" t="s">
        <v>276</v>
      </c>
      <c r="AJ68" s="14" t="s">
        <v>247</v>
      </c>
      <c r="AK68" s="14" t="s">
        <v>582</v>
      </c>
      <c r="AL68" s="14">
        <v>2025</v>
      </c>
      <c r="AM68" s="14">
        <v>17</v>
      </c>
      <c r="AN68" s="14">
        <v>24</v>
      </c>
      <c r="AO68" s="14" t="s">
        <v>199</v>
      </c>
      <c r="AP68" s="14" t="s">
        <v>200</v>
      </c>
    </row>
    <row r="69" spans="1:42" x14ac:dyDescent="0.25">
      <c r="A69" s="74" t="s">
        <v>670</v>
      </c>
      <c r="B69" s="75">
        <v>45772</v>
      </c>
      <c r="C69" s="89">
        <v>0.5</v>
      </c>
      <c r="D69" s="14" t="s">
        <v>154</v>
      </c>
      <c r="G69" s="14" t="s">
        <v>671</v>
      </c>
      <c r="H69" s="74" t="s">
        <v>156</v>
      </c>
      <c r="I69" s="74">
        <v>9</v>
      </c>
      <c r="J69" s="14" t="s">
        <v>672</v>
      </c>
      <c r="M69" s="14" t="s">
        <v>673</v>
      </c>
      <c r="N69" s="14" t="s">
        <v>674</v>
      </c>
      <c r="O69" s="14" t="s">
        <v>675</v>
      </c>
      <c r="P69" s="14" t="s">
        <v>161</v>
      </c>
      <c r="U69" s="14" t="s">
        <v>162</v>
      </c>
      <c r="V69" s="14" t="s">
        <v>530</v>
      </c>
      <c r="W69" s="14" t="s">
        <v>384</v>
      </c>
      <c r="X69" s="14" t="s">
        <v>350</v>
      </c>
      <c r="Y69" s="14" t="s">
        <v>320</v>
      </c>
      <c r="Z69" s="14" t="s">
        <v>167</v>
      </c>
      <c r="AA69" s="75">
        <v>45772</v>
      </c>
      <c r="AB69" s="90">
        <v>0.5</v>
      </c>
      <c r="AC69" s="90">
        <v>0.5</v>
      </c>
      <c r="AD69" s="14" t="s">
        <v>146</v>
      </c>
      <c r="AE69" s="14" t="s">
        <v>154</v>
      </c>
      <c r="AF69" s="74" t="s">
        <v>169</v>
      </c>
      <c r="AG69" s="90">
        <v>0.5</v>
      </c>
      <c r="AH69" s="77">
        <v>45772</v>
      </c>
      <c r="AI69" s="14" t="s">
        <v>146</v>
      </c>
      <c r="AJ69" s="14" t="s">
        <v>170</v>
      </c>
      <c r="AK69" s="14" t="s">
        <v>582</v>
      </c>
      <c r="AL69" s="14">
        <v>2025</v>
      </c>
      <c r="AM69" s="14">
        <v>17</v>
      </c>
      <c r="AN69" s="14">
        <v>25</v>
      </c>
      <c r="AO69" s="14" t="s">
        <v>676</v>
      </c>
      <c r="AP69" s="14" t="s">
        <v>151</v>
      </c>
    </row>
    <row r="70" spans="1:42" x14ac:dyDescent="0.25">
      <c r="A70" s="74" t="s">
        <v>677</v>
      </c>
      <c r="B70" s="75">
        <v>45774</v>
      </c>
      <c r="C70" s="89">
        <v>0.77083333333333337</v>
      </c>
      <c r="D70" s="14" t="s">
        <v>206</v>
      </c>
      <c r="E70" s="14" t="s">
        <v>388</v>
      </c>
      <c r="G70" s="14" t="s">
        <v>678</v>
      </c>
      <c r="H70" s="74" t="s">
        <v>400</v>
      </c>
      <c r="I70" s="74">
        <v>6</v>
      </c>
      <c r="J70" s="14" t="s">
        <v>679</v>
      </c>
      <c r="M70" s="14" t="s">
        <v>680</v>
      </c>
      <c r="N70" s="14" t="s">
        <v>452</v>
      </c>
      <c r="Q70" s="14" t="s">
        <v>680</v>
      </c>
      <c r="S70" s="14" t="s">
        <v>681</v>
      </c>
      <c r="U70" s="14" t="s">
        <v>682</v>
      </c>
      <c r="V70" s="14" t="s">
        <v>683</v>
      </c>
      <c r="W70" s="14" t="s">
        <v>684</v>
      </c>
      <c r="X70" s="14"/>
      <c r="Y70" s="14"/>
      <c r="Z70" s="14"/>
      <c r="AA70" s="75">
        <v>45774</v>
      </c>
      <c r="AB70" s="90">
        <v>0.77083333333333337</v>
      </c>
      <c r="AC70" s="90">
        <v>0.75</v>
      </c>
      <c r="AD70" s="14" t="s">
        <v>266</v>
      </c>
      <c r="AE70" s="14" t="s">
        <v>685</v>
      </c>
      <c r="AF70" s="74" t="s">
        <v>169</v>
      </c>
      <c r="AG70" s="90">
        <v>0.77083333333333337</v>
      </c>
      <c r="AH70" s="77">
        <v>45774</v>
      </c>
      <c r="AI70" s="14" t="s">
        <v>266</v>
      </c>
      <c r="AJ70" s="14" t="s">
        <v>311</v>
      </c>
      <c r="AK70" s="14" t="s">
        <v>582</v>
      </c>
      <c r="AL70" s="14">
        <v>2025</v>
      </c>
      <c r="AM70" s="14">
        <v>18</v>
      </c>
      <c r="AN70" s="14">
        <v>27</v>
      </c>
      <c r="AO70" s="14" t="s">
        <v>686</v>
      </c>
      <c r="AP70" s="14" t="s">
        <v>151</v>
      </c>
    </row>
    <row r="71" spans="1:42" x14ac:dyDescent="0.25">
      <c r="A71" s="74" t="s">
        <v>687</v>
      </c>
      <c r="B71" s="75">
        <v>45774</v>
      </c>
      <c r="C71" s="89">
        <v>0.79166666666666663</v>
      </c>
      <c r="D71" s="14" t="s">
        <v>242</v>
      </c>
      <c r="G71" s="14" t="s">
        <v>287</v>
      </c>
      <c r="H71" s="74" t="s">
        <v>288</v>
      </c>
      <c r="I71" s="74">
        <v>5</v>
      </c>
      <c r="J71" s="14" t="s">
        <v>688</v>
      </c>
      <c r="U71" s="14" t="s">
        <v>518</v>
      </c>
      <c r="V71" s="14" t="s">
        <v>689</v>
      </c>
      <c r="W71" s="14" t="s">
        <v>211</v>
      </c>
      <c r="X71" s="14" t="s">
        <v>488</v>
      </c>
      <c r="Y71" s="14" t="s">
        <v>166</v>
      </c>
      <c r="Z71" s="14" t="s">
        <v>246</v>
      </c>
      <c r="AA71" s="75">
        <v>45774</v>
      </c>
      <c r="AB71" s="90">
        <v>0.79166666666666663</v>
      </c>
      <c r="AC71" s="90">
        <v>0.79166666666666663</v>
      </c>
      <c r="AD71" s="14" t="s">
        <v>266</v>
      </c>
      <c r="AE71" s="14" t="s">
        <v>242</v>
      </c>
      <c r="AF71" s="74" t="s">
        <v>169</v>
      </c>
      <c r="AG71" s="90">
        <v>0.79166666666666663</v>
      </c>
      <c r="AH71" s="77">
        <v>45774</v>
      </c>
      <c r="AI71" s="14" t="s">
        <v>266</v>
      </c>
      <c r="AJ71" s="14" t="s">
        <v>311</v>
      </c>
      <c r="AK71" s="14" t="s">
        <v>582</v>
      </c>
      <c r="AL71" s="14">
        <v>2025</v>
      </c>
      <c r="AM71" s="14">
        <v>18</v>
      </c>
      <c r="AN71" s="14">
        <v>27</v>
      </c>
      <c r="AO71" s="14" t="s">
        <v>293</v>
      </c>
      <c r="AP71" s="14" t="s">
        <v>151</v>
      </c>
    </row>
    <row r="72" spans="1:42" x14ac:dyDescent="0.25">
      <c r="A72" s="74" t="s">
        <v>690</v>
      </c>
      <c r="B72" s="75">
        <v>45776</v>
      </c>
      <c r="C72" s="89">
        <v>0.5625</v>
      </c>
      <c r="D72" s="14" t="s">
        <v>154</v>
      </c>
      <c r="G72" s="14" t="s">
        <v>691</v>
      </c>
      <c r="H72" s="74" t="s">
        <v>425</v>
      </c>
      <c r="I72" s="74">
        <v>8</v>
      </c>
      <c r="J72" s="14" t="s">
        <v>692</v>
      </c>
      <c r="M72" s="14" t="s">
        <v>693</v>
      </c>
      <c r="N72" s="14" t="s">
        <v>253</v>
      </c>
      <c r="O72" s="14" t="s">
        <v>694</v>
      </c>
      <c r="P72" s="14" t="s">
        <v>161</v>
      </c>
      <c r="U72" s="14" t="s">
        <v>657</v>
      </c>
      <c r="V72" s="14" t="s">
        <v>585</v>
      </c>
      <c r="W72" s="14" t="s">
        <v>164</v>
      </c>
      <c r="X72" s="14" t="s">
        <v>228</v>
      </c>
      <c r="Y72" s="14" t="s">
        <v>435</v>
      </c>
      <c r="Z72" s="14" t="s">
        <v>167</v>
      </c>
      <c r="AA72" s="75">
        <v>45776</v>
      </c>
      <c r="AB72" s="90">
        <v>0.5625</v>
      </c>
      <c r="AC72" s="90">
        <v>0.54166666666666663</v>
      </c>
      <c r="AD72" s="14" t="s">
        <v>146</v>
      </c>
      <c r="AE72" s="14" t="s">
        <v>154</v>
      </c>
      <c r="AF72" s="74" t="s">
        <v>169</v>
      </c>
      <c r="AG72" s="90">
        <v>0.5625</v>
      </c>
      <c r="AH72" s="77">
        <v>45776</v>
      </c>
      <c r="AI72" s="14" t="s">
        <v>146</v>
      </c>
      <c r="AJ72" s="14" t="s">
        <v>148</v>
      </c>
      <c r="AK72" s="14" t="s">
        <v>582</v>
      </c>
      <c r="AL72" s="14">
        <v>2025</v>
      </c>
      <c r="AM72" s="14">
        <v>18</v>
      </c>
      <c r="AN72" s="14">
        <v>29</v>
      </c>
      <c r="AO72" s="14" t="s">
        <v>428</v>
      </c>
      <c r="AP72" s="14" t="s">
        <v>151</v>
      </c>
    </row>
    <row r="73" spans="1:42" x14ac:dyDescent="0.25">
      <c r="A73" s="74" t="s">
        <v>695</v>
      </c>
      <c r="B73" s="75">
        <v>45777</v>
      </c>
      <c r="C73" s="89">
        <v>0.68012731481481481</v>
      </c>
      <c r="D73" s="14" t="s">
        <v>206</v>
      </c>
      <c r="G73" s="14" t="s">
        <v>696</v>
      </c>
      <c r="J73" s="14" t="s">
        <v>697</v>
      </c>
      <c r="U73" s="14" t="s">
        <v>290</v>
      </c>
      <c r="V73" s="14" t="s">
        <v>141</v>
      </c>
      <c r="W73" s="14" t="s">
        <v>142</v>
      </c>
      <c r="X73" s="14" t="s">
        <v>698</v>
      </c>
      <c r="Y73" s="14" t="s">
        <v>320</v>
      </c>
      <c r="Z73" s="14" t="s">
        <v>213</v>
      </c>
      <c r="AA73" s="75">
        <v>45777</v>
      </c>
      <c r="AB73" s="90">
        <v>0.68012731481481481</v>
      </c>
      <c r="AC73" s="90">
        <v>0.66666666666666663</v>
      </c>
      <c r="AD73" s="14" t="s">
        <v>266</v>
      </c>
      <c r="AE73" s="14" t="s">
        <v>206</v>
      </c>
      <c r="AF73" s="74" t="s">
        <v>169</v>
      </c>
      <c r="AG73" s="90">
        <v>0.68012731481481481</v>
      </c>
      <c r="AH73" s="77">
        <v>45777</v>
      </c>
      <c r="AI73" s="14" t="s">
        <v>266</v>
      </c>
      <c r="AJ73" s="14" t="s">
        <v>239</v>
      </c>
      <c r="AK73" s="14" t="s">
        <v>582</v>
      </c>
      <c r="AL73" s="14">
        <v>2025</v>
      </c>
      <c r="AM73" s="14">
        <v>18</v>
      </c>
      <c r="AN73" s="14">
        <v>30</v>
      </c>
      <c r="AO73" s="14" t="s">
        <v>699</v>
      </c>
      <c r="AP73" s="14" t="s">
        <v>151</v>
      </c>
    </row>
    <row r="74" spans="1:42" x14ac:dyDescent="0.25">
      <c r="A74" s="74" t="s">
        <v>700</v>
      </c>
      <c r="B74" s="75">
        <v>45778</v>
      </c>
      <c r="C74" s="89">
        <v>0.93593749999999998</v>
      </c>
      <c r="D74" s="14" t="s">
        <v>242</v>
      </c>
      <c r="E74" s="14" t="s">
        <v>295</v>
      </c>
      <c r="F74" s="14" t="s">
        <v>701</v>
      </c>
      <c r="G74" s="14" t="s">
        <v>702</v>
      </c>
      <c r="H74" s="74" t="s">
        <v>191</v>
      </c>
      <c r="I74" s="74">
        <v>7</v>
      </c>
      <c r="J74" s="14" t="s">
        <v>703</v>
      </c>
      <c r="U74" s="14" t="s">
        <v>290</v>
      </c>
      <c r="V74" s="14" t="s">
        <v>635</v>
      </c>
      <c r="W74" s="14" t="s">
        <v>256</v>
      </c>
      <c r="X74" s="14" t="s">
        <v>228</v>
      </c>
      <c r="Y74" s="14" t="s">
        <v>166</v>
      </c>
      <c r="Z74" s="14" t="s">
        <v>246</v>
      </c>
      <c r="AA74" s="75">
        <v>45778</v>
      </c>
      <c r="AB74" s="90">
        <v>0.93593749999999998</v>
      </c>
      <c r="AC74" s="90">
        <v>0.91666666666666663</v>
      </c>
      <c r="AD74" s="14" t="s">
        <v>168</v>
      </c>
      <c r="AE74" s="14" t="s">
        <v>704</v>
      </c>
      <c r="AF74" s="74" t="s">
        <v>169</v>
      </c>
      <c r="AG74" s="90">
        <v>0.93593749999999998</v>
      </c>
      <c r="AH74" s="77">
        <v>45778</v>
      </c>
      <c r="AI74" s="14" t="s">
        <v>168</v>
      </c>
      <c r="AJ74" s="14" t="s">
        <v>247</v>
      </c>
      <c r="AK74" s="14" t="s">
        <v>705</v>
      </c>
      <c r="AL74" s="14">
        <v>2025</v>
      </c>
      <c r="AM74" s="14">
        <v>18</v>
      </c>
      <c r="AN74" s="14">
        <v>1</v>
      </c>
      <c r="AO74" s="14" t="s">
        <v>627</v>
      </c>
      <c r="AP74" s="14" t="s">
        <v>151</v>
      </c>
    </row>
    <row r="75" spans="1:42" x14ac:dyDescent="0.25">
      <c r="A75" s="74" t="s">
        <v>706</v>
      </c>
      <c r="B75" s="75">
        <v>45781</v>
      </c>
      <c r="C75" s="89">
        <v>0.54166666666666663</v>
      </c>
      <c r="D75" s="14" t="s">
        <v>242</v>
      </c>
      <c r="G75" s="14" t="s">
        <v>707</v>
      </c>
      <c r="H75" s="74" t="s">
        <v>138</v>
      </c>
      <c r="I75" s="74">
        <v>8</v>
      </c>
      <c r="J75" s="14" t="s">
        <v>708</v>
      </c>
      <c r="U75" s="14" t="s">
        <v>709</v>
      </c>
      <c r="V75" s="14" t="s">
        <v>475</v>
      </c>
      <c r="W75" s="14" t="s">
        <v>211</v>
      </c>
      <c r="X75" s="14" t="s">
        <v>350</v>
      </c>
      <c r="Y75" s="14" t="s">
        <v>301</v>
      </c>
      <c r="Z75" s="14" t="s">
        <v>246</v>
      </c>
      <c r="AA75" s="75">
        <v>45781</v>
      </c>
      <c r="AB75" s="90">
        <v>0.54166666666666663</v>
      </c>
      <c r="AC75" s="90">
        <v>0.54166666666666663</v>
      </c>
      <c r="AD75" s="14" t="s">
        <v>146</v>
      </c>
      <c r="AE75" s="14" t="s">
        <v>242</v>
      </c>
      <c r="AF75" s="74" t="s">
        <v>169</v>
      </c>
      <c r="AG75" s="90">
        <v>0.54166666666666663</v>
      </c>
      <c r="AH75" s="77">
        <v>45781</v>
      </c>
      <c r="AI75" s="14" t="s">
        <v>146</v>
      </c>
      <c r="AJ75" s="14" t="s">
        <v>311</v>
      </c>
      <c r="AK75" s="14" t="s">
        <v>705</v>
      </c>
      <c r="AL75" s="14">
        <v>2025</v>
      </c>
      <c r="AM75" s="14">
        <v>19</v>
      </c>
      <c r="AN75" s="14">
        <v>4</v>
      </c>
      <c r="AO75" s="14" t="s">
        <v>710</v>
      </c>
      <c r="AP75" s="14" t="s">
        <v>151</v>
      </c>
    </row>
    <row r="76" spans="1:42" x14ac:dyDescent="0.25">
      <c r="A76" s="74" t="s">
        <v>711</v>
      </c>
      <c r="B76" s="75">
        <v>45782</v>
      </c>
      <c r="C76" s="89">
        <v>0.625</v>
      </c>
      <c r="D76" s="14" t="s">
        <v>154</v>
      </c>
      <c r="E76" s="14" t="s">
        <v>712</v>
      </c>
      <c r="G76" s="14" t="s">
        <v>713</v>
      </c>
      <c r="H76" s="74" t="s">
        <v>516</v>
      </c>
      <c r="I76" s="74">
        <v>9</v>
      </c>
      <c r="J76" s="14" t="s">
        <v>714</v>
      </c>
      <c r="M76" s="14" t="s">
        <v>715</v>
      </c>
      <c r="N76" s="14" t="s">
        <v>224</v>
      </c>
      <c r="O76" s="14" t="s">
        <v>716</v>
      </c>
      <c r="P76" s="14" t="s">
        <v>161</v>
      </c>
      <c r="U76" s="14" t="s">
        <v>599</v>
      </c>
      <c r="V76" s="14" t="s">
        <v>393</v>
      </c>
      <c r="W76" s="14" t="s">
        <v>384</v>
      </c>
      <c r="X76" s="14"/>
      <c r="Y76" s="14"/>
      <c r="Z76" s="14"/>
      <c r="AA76" s="75">
        <v>45782</v>
      </c>
      <c r="AB76" s="90">
        <v>0.625</v>
      </c>
      <c r="AC76" s="90">
        <v>0.625</v>
      </c>
      <c r="AD76" s="14" t="s">
        <v>146</v>
      </c>
      <c r="AE76" s="14" t="s">
        <v>717</v>
      </c>
      <c r="AF76" s="74" t="s">
        <v>169</v>
      </c>
      <c r="AG76" s="90">
        <v>0.625</v>
      </c>
      <c r="AH76" s="77">
        <v>45782</v>
      </c>
      <c r="AI76" s="14" t="s">
        <v>146</v>
      </c>
      <c r="AJ76" s="14" t="s">
        <v>183</v>
      </c>
      <c r="AK76" s="14" t="s">
        <v>705</v>
      </c>
      <c r="AL76" s="14">
        <v>2025</v>
      </c>
      <c r="AM76" s="14">
        <v>19</v>
      </c>
      <c r="AN76" s="14">
        <v>5</v>
      </c>
      <c r="AO76" s="14" t="s">
        <v>718</v>
      </c>
      <c r="AP76" s="14" t="s">
        <v>151</v>
      </c>
    </row>
    <row r="77" spans="1:42" x14ac:dyDescent="0.25">
      <c r="A77" s="74" t="s">
        <v>719</v>
      </c>
      <c r="B77" s="75">
        <v>45782</v>
      </c>
      <c r="C77" s="89">
        <v>0.74097222222222225</v>
      </c>
      <c r="D77" s="14" t="s">
        <v>154</v>
      </c>
      <c r="E77" s="14" t="s">
        <v>347</v>
      </c>
      <c r="G77" s="14" t="s">
        <v>720</v>
      </c>
      <c r="H77" s="74" t="s">
        <v>251</v>
      </c>
      <c r="I77" s="74">
        <v>9</v>
      </c>
      <c r="J77" s="14" t="s">
        <v>721</v>
      </c>
      <c r="N77" s="14" t="s">
        <v>341</v>
      </c>
      <c r="O77" s="14" t="s">
        <v>722</v>
      </c>
      <c r="U77" s="14" t="s">
        <v>162</v>
      </c>
      <c r="V77" s="14" t="s">
        <v>646</v>
      </c>
      <c r="W77" s="14" t="s">
        <v>328</v>
      </c>
      <c r="X77" s="14" t="s">
        <v>350</v>
      </c>
      <c r="Y77" s="14" t="s">
        <v>181</v>
      </c>
      <c r="Z77" s="14" t="s">
        <v>167</v>
      </c>
      <c r="AA77" s="75">
        <v>45782</v>
      </c>
      <c r="AB77" s="90">
        <v>0.74097222222222225</v>
      </c>
      <c r="AC77" s="90">
        <v>0.70833333333333337</v>
      </c>
      <c r="AD77" s="14" t="s">
        <v>266</v>
      </c>
      <c r="AE77" s="14" t="s">
        <v>723</v>
      </c>
      <c r="AF77" s="74" t="s">
        <v>169</v>
      </c>
      <c r="AG77" s="90">
        <v>0.74097222222222225</v>
      </c>
      <c r="AH77" s="77">
        <v>45782</v>
      </c>
      <c r="AI77" s="14" t="s">
        <v>266</v>
      </c>
      <c r="AJ77" s="14" t="s">
        <v>183</v>
      </c>
      <c r="AK77" s="14" t="s">
        <v>705</v>
      </c>
      <c r="AL77" s="14">
        <v>2025</v>
      </c>
      <c r="AM77" s="14">
        <v>19</v>
      </c>
      <c r="AN77" s="14">
        <v>5</v>
      </c>
      <c r="AO77" s="14" t="s">
        <v>724</v>
      </c>
      <c r="AP77" s="14" t="s">
        <v>231</v>
      </c>
    </row>
    <row r="78" spans="1:42" x14ac:dyDescent="0.25">
      <c r="A78" s="74" t="s">
        <v>725</v>
      </c>
      <c r="B78" s="75">
        <v>45786</v>
      </c>
      <c r="C78" s="89">
        <v>0.60416666666666663</v>
      </c>
      <c r="D78" s="14" t="s">
        <v>206</v>
      </c>
      <c r="E78" s="14" t="s">
        <v>726</v>
      </c>
      <c r="G78" s="14" t="s">
        <v>727</v>
      </c>
      <c r="H78" s="74" t="s">
        <v>270</v>
      </c>
      <c r="I78" s="74">
        <v>5</v>
      </c>
      <c r="J78" s="14" t="s">
        <v>728</v>
      </c>
      <c r="U78" s="14" t="s">
        <v>518</v>
      </c>
      <c r="V78" s="14" t="s">
        <v>729</v>
      </c>
      <c r="W78" s="14" t="s">
        <v>256</v>
      </c>
      <c r="X78" s="14" t="s">
        <v>310</v>
      </c>
      <c r="Y78" s="14" t="s">
        <v>144</v>
      </c>
      <c r="Z78" s="14" t="s">
        <v>213</v>
      </c>
      <c r="AA78" s="75">
        <v>45786</v>
      </c>
      <c r="AB78" s="90">
        <v>0.60416666666666663</v>
      </c>
      <c r="AC78" s="90">
        <v>0.58333333333333337</v>
      </c>
      <c r="AD78" s="14" t="s">
        <v>146</v>
      </c>
      <c r="AE78" s="14" t="s">
        <v>730</v>
      </c>
      <c r="AF78" s="74" t="s">
        <v>169</v>
      </c>
      <c r="AG78" s="90">
        <v>0.60416666666666663</v>
      </c>
      <c r="AH78" s="77">
        <v>45786</v>
      </c>
      <c r="AI78" s="14" t="s">
        <v>146</v>
      </c>
      <c r="AJ78" s="14" t="s">
        <v>170</v>
      </c>
      <c r="AK78" s="14" t="s">
        <v>705</v>
      </c>
      <c r="AL78" s="14">
        <v>2025</v>
      </c>
      <c r="AM78" s="14">
        <v>19</v>
      </c>
      <c r="AN78" s="14">
        <v>9</v>
      </c>
      <c r="AO78" s="14" t="s">
        <v>731</v>
      </c>
      <c r="AP78" s="14" t="s">
        <v>151</v>
      </c>
    </row>
    <row r="79" spans="1:42" x14ac:dyDescent="0.25">
      <c r="A79" s="74" t="s">
        <v>732</v>
      </c>
      <c r="B79" s="75">
        <v>45788</v>
      </c>
      <c r="C79" s="89">
        <v>0.16666666666666666</v>
      </c>
      <c r="D79" s="14" t="s">
        <v>174</v>
      </c>
      <c r="G79" s="14" t="s">
        <v>733</v>
      </c>
      <c r="H79" s="74" t="s">
        <v>270</v>
      </c>
      <c r="I79" s="74">
        <v>5</v>
      </c>
      <c r="J79" s="14" t="s">
        <v>734</v>
      </c>
      <c r="M79" s="14" t="s">
        <v>735</v>
      </c>
      <c r="N79" s="14" t="s">
        <v>560</v>
      </c>
      <c r="O79" s="14" t="s">
        <v>736</v>
      </c>
      <c r="P79" s="14" t="s">
        <v>161</v>
      </c>
      <c r="U79" s="14" t="s">
        <v>480</v>
      </c>
      <c r="V79" s="14" t="s">
        <v>210</v>
      </c>
      <c r="W79" s="14" t="s">
        <v>211</v>
      </c>
      <c r="X79" s="14" t="s">
        <v>228</v>
      </c>
      <c r="Y79" s="14" t="s">
        <v>166</v>
      </c>
      <c r="Z79" s="14" t="s">
        <v>182</v>
      </c>
      <c r="AA79" s="75">
        <v>45788</v>
      </c>
      <c r="AB79" s="90">
        <v>0.16666666666666666</v>
      </c>
      <c r="AC79" s="90">
        <v>0.16666666666666666</v>
      </c>
      <c r="AD79" s="14" t="s">
        <v>385</v>
      </c>
      <c r="AE79" s="14" t="s">
        <v>174</v>
      </c>
      <c r="AF79" s="74" t="s">
        <v>169</v>
      </c>
      <c r="AG79" s="90">
        <v>0.16666666666666666</v>
      </c>
      <c r="AH79" s="77">
        <v>45788</v>
      </c>
      <c r="AI79" s="14" t="s">
        <v>385</v>
      </c>
      <c r="AJ79" s="14" t="s">
        <v>311</v>
      </c>
      <c r="AK79" s="14" t="s">
        <v>705</v>
      </c>
      <c r="AL79" s="14">
        <v>2025</v>
      </c>
      <c r="AM79" s="14">
        <v>20</v>
      </c>
      <c r="AN79" s="14">
        <v>11</v>
      </c>
      <c r="AO79" s="14" t="s">
        <v>737</v>
      </c>
      <c r="AP79" s="14" t="s">
        <v>151</v>
      </c>
    </row>
    <row r="80" spans="1:42" x14ac:dyDescent="0.25">
      <c r="A80" s="74" t="s">
        <v>738</v>
      </c>
      <c r="B80" s="75">
        <v>45788</v>
      </c>
      <c r="C80" s="89"/>
      <c r="D80" s="14" t="s">
        <v>136</v>
      </c>
      <c r="E80" s="14" t="s">
        <v>189</v>
      </c>
      <c r="G80" s="14" t="s">
        <v>190</v>
      </c>
      <c r="H80" s="74" t="s">
        <v>191</v>
      </c>
      <c r="J80" s="14" t="s">
        <v>739</v>
      </c>
      <c r="U80" s="14" t="s">
        <v>740</v>
      </c>
      <c r="V80" s="14" t="s">
        <v>194</v>
      </c>
      <c r="W80" s="14" t="s">
        <v>444</v>
      </c>
      <c r="X80" s="14" t="s">
        <v>194</v>
      </c>
      <c r="Y80" s="14" t="s">
        <v>166</v>
      </c>
      <c r="Z80" s="14" t="s">
        <v>741</v>
      </c>
      <c r="AA80" s="75">
        <v>45788</v>
      </c>
      <c r="AB80" s="90">
        <v>0.63552083333333331</v>
      </c>
      <c r="AC80" s="90">
        <v>0.625</v>
      </c>
      <c r="AD80" s="14" t="s">
        <v>146</v>
      </c>
      <c r="AE80" s="14" t="s">
        <v>284</v>
      </c>
      <c r="AF80" s="74" t="s">
        <v>169</v>
      </c>
      <c r="AG80" s="90">
        <v>0.63552083333333331</v>
      </c>
      <c r="AH80" s="77">
        <v>45788</v>
      </c>
      <c r="AI80" s="14" t="s">
        <v>146</v>
      </c>
      <c r="AJ80" s="14" t="s">
        <v>311</v>
      </c>
      <c r="AK80" s="14" t="s">
        <v>705</v>
      </c>
      <c r="AL80" s="14">
        <v>2025</v>
      </c>
      <c r="AM80" s="14">
        <v>20</v>
      </c>
      <c r="AN80" s="14">
        <v>11</v>
      </c>
      <c r="AO80" s="14" t="s">
        <v>199</v>
      </c>
      <c r="AP80" s="14" t="s">
        <v>200</v>
      </c>
    </row>
    <row r="81" spans="1:42" x14ac:dyDescent="0.25">
      <c r="A81" s="74" t="s">
        <v>742</v>
      </c>
      <c r="B81" s="75">
        <v>45789</v>
      </c>
      <c r="C81" s="89">
        <v>0.2722222222222222</v>
      </c>
      <c r="D81" s="14" t="s">
        <v>242</v>
      </c>
      <c r="E81" s="14" t="s">
        <v>388</v>
      </c>
      <c r="F81" s="14" t="s">
        <v>743</v>
      </c>
      <c r="G81" s="14" t="s">
        <v>744</v>
      </c>
      <c r="H81" s="74" t="s">
        <v>390</v>
      </c>
      <c r="I81" s="74">
        <v>9</v>
      </c>
      <c r="J81" s="14" t="s">
        <v>745</v>
      </c>
      <c r="M81" s="14" t="s">
        <v>746</v>
      </c>
      <c r="N81" s="14" t="s">
        <v>159</v>
      </c>
      <c r="O81" s="14" t="s">
        <v>178</v>
      </c>
      <c r="P81" s="14" t="s">
        <v>161</v>
      </c>
      <c r="U81" s="14" t="s">
        <v>709</v>
      </c>
      <c r="V81" s="14" t="s">
        <v>163</v>
      </c>
      <c r="W81" s="14" t="s">
        <v>328</v>
      </c>
      <c r="X81" s="14" t="s">
        <v>350</v>
      </c>
      <c r="Y81" s="14" t="s">
        <v>364</v>
      </c>
      <c r="Z81" s="14" t="s">
        <v>747</v>
      </c>
      <c r="AA81" s="75">
        <v>45789</v>
      </c>
      <c r="AB81" s="90">
        <v>0.2722222222222222</v>
      </c>
      <c r="AC81" s="90">
        <v>0.25</v>
      </c>
      <c r="AD81" s="14" t="s">
        <v>385</v>
      </c>
      <c r="AE81" s="14" t="s">
        <v>748</v>
      </c>
      <c r="AF81" s="74" t="s">
        <v>169</v>
      </c>
      <c r="AG81" s="90">
        <v>0.2722222222222222</v>
      </c>
      <c r="AH81" s="77">
        <v>45789</v>
      </c>
      <c r="AI81" s="14" t="s">
        <v>385</v>
      </c>
      <c r="AJ81" s="14" t="s">
        <v>183</v>
      </c>
      <c r="AK81" s="14" t="s">
        <v>705</v>
      </c>
      <c r="AL81" s="14">
        <v>2025</v>
      </c>
      <c r="AM81" s="14">
        <v>20</v>
      </c>
      <c r="AN81" s="14">
        <v>12</v>
      </c>
      <c r="AO81" s="14" t="s">
        <v>749</v>
      </c>
      <c r="AP81" s="14" t="s">
        <v>151</v>
      </c>
    </row>
    <row r="82" spans="1:42" x14ac:dyDescent="0.25">
      <c r="A82" s="74" t="s">
        <v>750</v>
      </c>
      <c r="B82" s="75">
        <v>45789</v>
      </c>
      <c r="C82" s="89">
        <v>0.8125</v>
      </c>
      <c r="D82" s="14" t="s">
        <v>154</v>
      </c>
      <c r="G82" s="14" t="s">
        <v>751</v>
      </c>
      <c r="H82" s="74" t="s">
        <v>553</v>
      </c>
      <c r="J82" s="14" t="s">
        <v>752</v>
      </c>
      <c r="M82" s="14" t="s">
        <v>753</v>
      </c>
      <c r="N82" s="14" t="s">
        <v>754</v>
      </c>
      <c r="O82" s="14" t="s">
        <v>755</v>
      </c>
      <c r="P82" s="14" t="s">
        <v>161</v>
      </c>
      <c r="U82" s="14" t="s">
        <v>709</v>
      </c>
      <c r="V82" s="14" t="s">
        <v>525</v>
      </c>
      <c r="W82" s="14" t="s">
        <v>211</v>
      </c>
      <c r="X82" s="14" t="s">
        <v>488</v>
      </c>
      <c r="Y82" s="14" t="s">
        <v>166</v>
      </c>
      <c r="Z82" s="14" t="s">
        <v>167</v>
      </c>
      <c r="AA82" s="75">
        <v>45789</v>
      </c>
      <c r="AB82" s="90">
        <v>0.8125</v>
      </c>
      <c r="AC82" s="90">
        <v>0.79166666666666663</v>
      </c>
      <c r="AD82" s="14" t="s">
        <v>266</v>
      </c>
      <c r="AE82" s="14" t="s">
        <v>154</v>
      </c>
      <c r="AF82" s="74" t="s">
        <v>169</v>
      </c>
      <c r="AG82" s="90">
        <v>0.8125</v>
      </c>
      <c r="AH82" s="77">
        <v>45789</v>
      </c>
      <c r="AI82" s="14" t="s">
        <v>266</v>
      </c>
      <c r="AJ82" s="14" t="s">
        <v>183</v>
      </c>
      <c r="AK82" s="14" t="s">
        <v>705</v>
      </c>
      <c r="AL82" s="14">
        <v>2025</v>
      </c>
      <c r="AM82" s="14">
        <v>20</v>
      </c>
      <c r="AN82" s="14">
        <v>12</v>
      </c>
      <c r="AO82" s="14" t="s">
        <v>756</v>
      </c>
      <c r="AP82" s="14" t="s">
        <v>151</v>
      </c>
    </row>
    <row r="83" spans="1:42" x14ac:dyDescent="0.25">
      <c r="A83" s="74" t="s">
        <v>757</v>
      </c>
      <c r="B83" s="75">
        <v>45789</v>
      </c>
      <c r="C83" s="89">
        <v>0.33333333333333331</v>
      </c>
      <c r="D83" s="14" t="s">
        <v>242</v>
      </c>
      <c r="G83" s="14" t="s">
        <v>758</v>
      </c>
      <c r="H83" s="74" t="s">
        <v>270</v>
      </c>
      <c r="I83" s="74">
        <v>5</v>
      </c>
      <c r="J83" s="14" t="s">
        <v>759</v>
      </c>
      <c r="U83" s="14" t="s">
        <v>290</v>
      </c>
      <c r="V83" s="14" t="s">
        <v>635</v>
      </c>
      <c r="W83" s="14" t="s">
        <v>256</v>
      </c>
      <c r="X83" s="14" t="s">
        <v>350</v>
      </c>
      <c r="Y83" s="14" t="s">
        <v>301</v>
      </c>
      <c r="Z83" s="14" t="s">
        <v>246</v>
      </c>
      <c r="AA83" s="75">
        <v>45789</v>
      </c>
      <c r="AB83" s="90">
        <v>0.33333333333333331</v>
      </c>
      <c r="AC83" s="90">
        <v>0.33333333333333331</v>
      </c>
      <c r="AD83" s="14" t="s">
        <v>276</v>
      </c>
      <c r="AE83" s="14" t="s">
        <v>242</v>
      </c>
      <c r="AF83" s="74" t="s">
        <v>169</v>
      </c>
      <c r="AG83" s="90">
        <v>0.33333333333333331</v>
      </c>
      <c r="AH83" s="77">
        <v>45789</v>
      </c>
      <c r="AI83" s="14" t="s">
        <v>276</v>
      </c>
      <c r="AJ83" s="14" t="s">
        <v>183</v>
      </c>
      <c r="AK83" s="14" t="s">
        <v>705</v>
      </c>
      <c r="AL83" s="14">
        <v>2025</v>
      </c>
      <c r="AM83" s="14">
        <v>20</v>
      </c>
      <c r="AN83" s="14">
        <v>12</v>
      </c>
      <c r="AO83" s="14" t="s">
        <v>760</v>
      </c>
      <c r="AP83" s="14" t="s">
        <v>151</v>
      </c>
    </row>
    <row r="84" spans="1:42" x14ac:dyDescent="0.25">
      <c r="A84" s="74" t="s">
        <v>761</v>
      </c>
      <c r="B84" s="75">
        <v>45790</v>
      </c>
      <c r="C84" s="89">
        <v>0.64583333333333337</v>
      </c>
      <c r="D84" s="14" t="s">
        <v>188</v>
      </c>
      <c r="G84" s="14" t="s">
        <v>762</v>
      </c>
      <c r="H84" s="74" t="s">
        <v>251</v>
      </c>
      <c r="I84" s="74">
        <v>9</v>
      </c>
      <c r="J84" s="14" t="s">
        <v>763</v>
      </c>
      <c r="U84" s="14" t="s">
        <v>480</v>
      </c>
      <c r="V84" s="14" t="s">
        <v>334</v>
      </c>
      <c r="W84" s="14" t="s">
        <v>164</v>
      </c>
      <c r="X84" s="14" t="s">
        <v>257</v>
      </c>
      <c r="Y84" s="14" t="s">
        <v>320</v>
      </c>
      <c r="Z84" s="14" t="s">
        <v>197</v>
      </c>
      <c r="AA84" s="75">
        <v>45790</v>
      </c>
      <c r="AB84" s="90">
        <v>0.64583333333333337</v>
      </c>
      <c r="AC84" s="90">
        <v>0.625</v>
      </c>
      <c r="AD84" s="14" t="s">
        <v>146</v>
      </c>
      <c r="AE84" s="14" t="s">
        <v>188</v>
      </c>
      <c r="AF84" s="74" t="s">
        <v>169</v>
      </c>
      <c r="AG84" s="90">
        <v>0.64583333333333337</v>
      </c>
      <c r="AH84" s="77">
        <v>45790</v>
      </c>
      <c r="AI84" s="14" t="s">
        <v>146</v>
      </c>
      <c r="AJ84" s="14" t="s">
        <v>148</v>
      </c>
      <c r="AK84" s="14" t="s">
        <v>705</v>
      </c>
      <c r="AL84" s="14">
        <v>2025</v>
      </c>
      <c r="AM84" s="14">
        <v>20</v>
      </c>
      <c r="AN84" s="14">
        <v>13</v>
      </c>
      <c r="AO84" s="14" t="s">
        <v>764</v>
      </c>
      <c r="AP84" s="14" t="s">
        <v>151</v>
      </c>
    </row>
    <row r="85" spans="1:42" x14ac:dyDescent="0.25">
      <c r="A85" s="74" t="s">
        <v>765</v>
      </c>
      <c r="B85" s="75">
        <v>45791</v>
      </c>
      <c r="C85" s="89">
        <v>0.46875</v>
      </c>
      <c r="D85" s="14" t="s">
        <v>174</v>
      </c>
      <c r="E85" s="14" t="s">
        <v>295</v>
      </c>
      <c r="G85" s="14" t="s">
        <v>766</v>
      </c>
      <c r="H85" s="74" t="s">
        <v>325</v>
      </c>
      <c r="I85" s="74">
        <v>8</v>
      </c>
      <c r="J85" s="14" t="s">
        <v>767</v>
      </c>
      <c r="M85" s="14" t="s">
        <v>768</v>
      </c>
      <c r="U85" s="14" t="s">
        <v>480</v>
      </c>
      <c r="V85" s="14" t="s">
        <v>334</v>
      </c>
      <c r="W85" s="14" t="s">
        <v>164</v>
      </c>
      <c r="X85" s="14" t="s">
        <v>310</v>
      </c>
      <c r="Y85" s="14" t="s">
        <v>166</v>
      </c>
      <c r="Z85" s="14" t="s">
        <v>182</v>
      </c>
      <c r="AA85" s="75">
        <v>45791</v>
      </c>
      <c r="AB85" s="90">
        <v>0.46875</v>
      </c>
      <c r="AC85" s="90">
        <v>0.45833333333333331</v>
      </c>
      <c r="AD85" s="14" t="s">
        <v>276</v>
      </c>
      <c r="AE85" s="14" t="s">
        <v>302</v>
      </c>
      <c r="AF85" s="74" t="s">
        <v>169</v>
      </c>
      <c r="AG85" s="90">
        <v>0.46875</v>
      </c>
      <c r="AH85" s="77">
        <v>45791</v>
      </c>
      <c r="AI85" s="14" t="s">
        <v>276</v>
      </c>
      <c r="AJ85" s="14" t="s">
        <v>239</v>
      </c>
      <c r="AK85" s="14" t="s">
        <v>705</v>
      </c>
      <c r="AL85" s="14">
        <v>2025</v>
      </c>
      <c r="AM85" s="14">
        <v>20</v>
      </c>
      <c r="AN85" s="14">
        <v>14</v>
      </c>
      <c r="AO85" s="14" t="s">
        <v>374</v>
      </c>
      <c r="AP85" s="14" t="s">
        <v>151</v>
      </c>
    </row>
    <row r="86" spans="1:42" x14ac:dyDescent="0.25">
      <c r="A86" s="74" t="s">
        <v>769</v>
      </c>
      <c r="B86" s="75">
        <v>45795</v>
      </c>
      <c r="C86" s="89">
        <v>0.8125</v>
      </c>
      <c r="D86" s="14" t="s">
        <v>154</v>
      </c>
      <c r="G86" s="14" t="s">
        <v>770</v>
      </c>
      <c r="H86" s="74" t="s">
        <v>251</v>
      </c>
      <c r="I86" s="74">
        <v>9</v>
      </c>
      <c r="J86" s="14" t="s">
        <v>771</v>
      </c>
      <c r="M86" s="14" t="s">
        <v>772</v>
      </c>
      <c r="N86" s="14" t="s">
        <v>341</v>
      </c>
      <c r="O86" s="14" t="s">
        <v>773</v>
      </c>
      <c r="P86" s="14" t="s">
        <v>161</v>
      </c>
      <c r="U86" s="14" t="s">
        <v>610</v>
      </c>
      <c r="V86" s="14" t="s">
        <v>245</v>
      </c>
      <c r="W86" s="14" t="s">
        <v>142</v>
      </c>
      <c r="X86" s="14" t="s">
        <v>350</v>
      </c>
      <c r="Y86" s="14" t="s">
        <v>181</v>
      </c>
      <c r="Z86" s="14" t="s">
        <v>167</v>
      </c>
      <c r="AA86" s="75">
        <v>45795</v>
      </c>
      <c r="AB86" s="90">
        <v>0.8125</v>
      </c>
      <c r="AC86" s="90">
        <v>0.79166666666666663</v>
      </c>
      <c r="AD86" s="14" t="s">
        <v>266</v>
      </c>
      <c r="AE86" s="14" t="s">
        <v>154</v>
      </c>
      <c r="AF86" s="74" t="s">
        <v>169</v>
      </c>
      <c r="AG86" s="90">
        <v>0.8125</v>
      </c>
      <c r="AH86" s="77">
        <v>45795</v>
      </c>
      <c r="AI86" s="14" t="s">
        <v>266</v>
      </c>
      <c r="AJ86" s="14" t="s">
        <v>311</v>
      </c>
      <c r="AK86" s="14" t="s">
        <v>705</v>
      </c>
      <c r="AL86" s="14">
        <v>2025</v>
      </c>
      <c r="AM86" s="14">
        <v>21</v>
      </c>
      <c r="AN86" s="14">
        <v>18</v>
      </c>
      <c r="AO86" s="14" t="s">
        <v>774</v>
      </c>
      <c r="AP86" s="14" t="s">
        <v>151</v>
      </c>
    </row>
    <row r="87" spans="1:42" x14ac:dyDescent="0.25">
      <c r="A87" s="74" t="s">
        <v>775</v>
      </c>
      <c r="B87" s="75">
        <v>45800</v>
      </c>
      <c r="C87" s="89">
        <v>0.33333333333333331</v>
      </c>
      <c r="D87" s="14" t="s">
        <v>242</v>
      </c>
      <c r="G87" s="14" t="s">
        <v>776</v>
      </c>
      <c r="J87" s="14" t="s">
        <v>777</v>
      </c>
      <c r="U87" s="14" t="s">
        <v>480</v>
      </c>
      <c r="V87" s="14" t="s">
        <v>646</v>
      </c>
      <c r="W87" s="14" t="s">
        <v>328</v>
      </c>
      <c r="X87" s="14" t="s">
        <v>310</v>
      </c>
      <c r="Y87" s="14" t="s">
        <v>166</v>
      </c>
      <c r="Z87" s="14" t="s">
        <v>246</v>
      </c>
      <c r="AA87" s="75">
        <v>45800</v>
      </c>
      <c r="AB87" s="90">
        <v>0.33333333333333331</v>
      </c>
      <c r="AC87" s="90">
        <v>0.33333333333333331</v>
      </c>
      <c r="AD87" s="14" t="s">
        <v>276</v>
      </c>
      <c r="AE87" s="14" t="s">
        <v>242</v>
      </c>
      <c r="AF87" s="74" t="s">
        <v>169</v>
      </c>
      <c r="AG87" s="90">
        <v>0.33333333333333331</v>
      </c>
      <c r="AH87" s="77">
        <v>45800</v>
      </c>
      <c r="AI87" s="14" t="s">
        <v>276</v>
      </c>
      <c r="AJ87" s="14" t="s">
        <v>170</v>
      </c>
      <c r="AK87" s="14" t="s">
        <v>705</v>
      </c>
      <c r="AL87" s="14">
        <v>2025</v>
      </c>
      <c r="AM87" s="14">
        <v>21</v>
      </c>
      <c r="AN87" s="14">
        <v>23</v>
      </c>
      <c r="AO87" s="14" t="s">
        <v>648</v>
      </c>
      <c r="AP87" s="14" t="s">
        <v>151</v>
      </c>
    </row>
    <row r="88" spans="1:42" x14ac:dyDescent="0.25">
      <c r="A88" s="74" t="s">
        <v>778</v>
      </c>
      <c r="B88" s="75">
        <v>45801</v>
      </c>
      <c r="C88" s="89">
        <v>0.93333333333333335</v>
      </c>
      <c r="D88" s="14" t="s">
        <v>242</v>
      </c>
      <c r="E88" s="14" t="s">
        <v>556</v>
      </c>
      <c r="F88" s="14" t="s">
        <v>779</v>
      </c>
      <c r="G88" s="14" t="s">
        <v>780</v>
      </c>
      <c r="H88" s="74" t="s">
        <v>378</v>
      </c>
      <c r="I88" s="74">
        <v>5</v>
      </c>
      <c r="J88" s="14" t="s">
        <v>781</v>
      </c>
      <c r="U88" s="14" t="s">
        <v>518</v>
      </c>
      <c r="V88" s="14" t="s">
        <v>562</v>
      </c>
      <c r="W88" s="14" t="s">
        <v>444</v>
      </c>
      <c r="X88" s="14" t="s">
        <v>228</v>
      </c>
      <c r="Y88" s="14" t="s">
        <v>166</v>
      </c>
      <c r="Z88" s="14" t="s">
        <v>246</v>
      </c>
      <c r="AA88" s="75">
        <v>45801</v>
      </c>
      <c r="AB88" s="90">
        <v>0.93333333333333335</v>
      </c>
      <c r="AC88" s="90">
        <v>0.91666666666666663</v>
      </c>
      <c r="AD88" s="14" t="s">
        <v>168</v>
      </c>
      <c r="AE88" s="14" t="s">
        <v>782</v>
      </c>
      <c r="AF88" s="74" t="s">
        <v>169</v>
      </c>
      <c r="AG88" s="90">
        <v>0.93333333333333335</v>
      </c>
      <c r="AH88" s="77">
        <v>45801</v>
      </c>
      <c r="AI88" s="14" t="s">
        <v>168</v>
      </c>
      <c r="AJ88" s="14" t="s">
        <v>292</v>
      </c>
      <c r="AK88" s="14" t="s">
        <v>705</v>
      </c>
      <c r="AL88" s="14">
        <v>2025</v>
      </c>
      <c r="AM88" s="14">
        <v>21</v>
      </c>
      <c r="AN88" s="14">
        <v>24</v>
      </c>
      <c r="AO88" s="14" t="s">
        <v>783</v>
      </c>
      <c r="AP88" s="14" t="s">
        <v>151</v>
      </c>
    </row>
    <row r="89" spans="1:42" x14ac:dyDescent="0.25">
      <c r="A89" s="74" t="s">
        <v>784</v>
      </c>
      <c r="B89" s="75">
        <v>45802</v>
      </c>
      <c r="C89" s="89">
        <v>0.23958333333333334</v>
      </c>
      <c r="D89" s="14" t="s">
        <v>367</v>
      </c>
      <c r="G89" s="14" t="s">
        <v>785</v>
      </c>
      <c r="H89" s="74" t="s">
        <v>414</v>
      </c>
      <c r="I89" s="74">
        <v>7</v>
      </c>
      <c r="J89" s="14" t="s">
        <v>786</v>
      </c>
      <c r="U89" s="14" t="s">
        <v>599</v>
      </c>
      <c r="V89" s="14" t="s">
        <v>787</v>
      </c>
      <c r="W89" s="14" t="s">
        <v>542</v>
      </c>
      <c r="X89" s="14" t="s">
        <v>350</v>
      </c>
      <c r="Y89" s="14" t="s">
        <v>320</v>
      </c>
      <c r="Z89" s="14" t="s">
        <v>246</v>
      </c>
      <c r="AA89" s="75">
        <v>45802</v>
      </c>
      <c r="AB89" s="90">
        <v>0.23958333333333334</v>
      </c>
      <c r="AC89" s="90">
        <v>0.20833333333333334</v>
      </c>
      <c r="AD89" s="14" t="s">
        <v>385</v>
      </c>
      <c r="AE89" s="14" t="s">
        <v>367</v>
      </c>
      <c r="AF89" s="74" t="s">
        <v>169</v>
      </c>
      <c r="AG89" s="90">
        <v>0.23958333333333334</v>
      </c>
      <c r="AH89" s="77">
        <v>45802</v>
      </c>
      <c r="AI89" s="14" t="s">
        <v>385</v>
      </c>
      <c r="AJ89" s="14" t="s">
        <v>311</v>
      </c>
      <c r="AK89" s="14" t="s">
        <v>705</v>
      </c>
      <c r="AL89" s="14">
        <v>2025</v>
      </c>
      <c r="AM89" s="14">
        <v>22</v>
      </c>
      <c r="AN89" s="14">
        <v>25</v>
      </c>
      <c r="AO89" s="14" t="s">
        <v>184</v>
      </c>
      <c r="AP89" s="14" t="s">
        <v>151</v>
      </c>
    </row>
    <row r="90" spans="1:42" x14ac:dyDescent="0.25">
      <c r="A90" s="74" t="s">
        <v>788</v>
      </c>
      <c r="B90" s="75">
        <v>45802</v>
      </c>
      <c r="C90" s="89">
        <v>0.76041666666666663</v>
      </c>
      <c r="D90" s="14" t="s">
        <v>242</v>
      </c>
      <c r="E90" s="14" t="s">
        <v>219</v>
      </c>
      <c r="F90" s="14" t="s">
        <v>347</v>
      </c>
      <c r="G90" s="14" t="s">
        <v>789</v>
      </c>
      <c r="H90" s="74" t="s">
        <v>378</v>
      </c>
      <c r="I90" s="74">
        <v>5</v>
      </c>
      <c r="J90" s="14" t="s">
        <v>790</v>
      </c>
      <c r="U90" s="14" t="s">
        <v>518</v>
      </c>
      <c r="V90" s="14" t="s">
        <v>309</v>
      </c>
      <c r="W90" s="14" t="s">
        <v>444</v>
      </c>
      <c r="X90" s="14" t="s">
        <v>228</v>
      </c>
      <c r="Y90" s="14" t="s">
        <v>166</v>
      </c>
      <c r="Z90" s="14" t="s">
        <v>246</v>
      </c>
      <c r="AA90" s="75">
        <v>45802</v>
      </c>
      <c r="AB90" s="90">
        <v>0.76041666666666663</v>
      </c>
      <c r="AC90" s="90">
        <v>0.75</v>
      </c>
      <c r="AD90" s="14" t="s">
        <v>266</v>
      </c>
      <c r="AE90" s="14" t="s">
        <v>791</v>
      </c>
      <c r="AF90" s="74" t="s">
        <v>169</v>
      </c>
      <c r="AG90" s="90">
        <v>0.76041666666666663</v>
      </c>
      <c r="AH90" s="77">
        <v>45802</v>
      </c>
      <c r="AI90" s="14" t="s">
        <v>266</v>
      </c>
      <c r="AJ90" s="14" t="s">
        <v>311</v>
      </c>
      <c r="AK90" s="14" t="s">
        <v>705</v>
      </c>
      <c r="AL90" s="14">
        <v>2025</v>
      </c>
      <c r="AM90" s="14">
        <v>22</v>
      </c>
      <c r="AN90" s="14">
        <v>25</v>
      </c>
      <c r="AO90" s="14" t="s">
        <v>792</v>
      </c>
      <c r="AP90" s="14" t="s">
        <v>231</v>
      </c>
    </row>
    <row r="91" spans="1:42" x14ac:dyDescent="0.25">
      <c r="A91" s="74" t="s">
        <v>793</v>
      </c>
      <c r="B91" s="75">
        <v>45804</v>
      </c>
      <c r="C91" s="89">
        <v>0.9770833333333333</v>
      </c>
      <c r="D91" s="14" t="s">
        <v>206</v>
      </c>
      <c r="E91" s="14" t="s">
        <v>779</v>
      </c>
      <c r="F91" s="14" t="s">
        <v>794</v>
      </c>
      <c r="G91" s="14" t="s">
        <v>795</v>
      </c>
      <c r="H91" s="74" t="s">
        <v>270</v>
      </c>
      <c r="I91" s="74">
        <v>5</v>
      </c>
      <c r="J91" s="14" t="s">
        <v>796</v>
      </c>
      <c r="U91" s="14" t="s">
        <v>193</v>
      </c>
      <c r="V91" s="14" t="s">
        <v>443</v>
      </c>
      <c r="W91" s="14" t="s">
        <v>444</v>
      </c>
      <c r="X91" s="14" t="s">
        <v>275</v>
      </c>
      <c r="Y91" s="14" t="s">
        <v>166</v>
      </c>
      <c r="Z91" s="14" t="s">
        <v>213</v>
      </c>
      <c r="AA91" s="75">
        <v>45804</v>
      </c>
      <c r="AB91" s="90">
        <v>0.9770833333333333</v>
      </c>
      <c r="AC91" s="90">
        <v>0.95833333333333337</v>
      </c>
      <c r="AD91" s="14" t="s">
        <v>168</v>
      </c>
      <c r="AE91" s="14" t="s">
        <v>797</v>
      </c>
      <c r="AF91" s="74" t="s">
        <v>169</v>
      </c>
      <c r="AG91" s="90">
        <v>0.9770833333333333</v>
      </c>
      <c r="AH91" s="77">
        <v>45804</v>
      </c>
      <c r="AI91" s="14" t="s">
        <v>168</v>
      </c>
      <c r="AJ91" s="14" t="s">
        <v>148</v>
      </c>
      <c r="AK91" s="14" t="s">
        <v>705</v>
      </c>
      <c r="AL91" s="14">
        <v>2025</v>
      </c>
      <c r="AM91" s="14">
        <v>22</v>
      </c>
      <c r="AN91" s="14">
        <v>27</v>
      </c>
      <c r="AO91" s="14" t="s">
        <v>731</v>
      </c>
      <c r="AP91" s="14" t="s">
        <v>375</v>
      </c>
    </row>
    <row r="92" spans="1:42" x14ac:dyDescent="0.25">
      <c r="A92" s="74" t="s">
        <v>798</v>
      </c>
      <c r="B92" s="75">
        <v>45806</v>
      </c>
      <c r="C92" s="89">
        <v>0.15972222222222221</v>
      </c>
      <c r="D92" s="14" t="s">
        <v>206</v>
      </c>
      <c r="G92" s="14" t="s">
        <v>799</v>
      </c>
      <c r="H92" s="74" t="s">
        <v>138</v>
      </c>
      <c r="I92" s="74">
        <v>8</v>
      </c>
      <c r="J92" s="14" t="s">
        <v>800</v>
      </c>
      <c r="U92" s="14" t="s">
        <v>264</v>
      </c>
      <c r="V92" s="14" t="s">
        <v>801</v>
      </c>
      <c r="W92" s="14" t="s">
        <v>164</v>
      </c>
      <c r="X92" s="14" t="s">
        <v>350</v>
      </c>
      <c r="Y92" s="14" t="s">
        <v>301</v>
      </c>
      <c r="Z92" s="14" t="s">
        <v>213</v>
      </c>
      <c r="AA92" s="75">
        <v>45806</v>
      </c>
      <c r="AB92" s="90">
        <v>0.15972222222222221</v>
      </c>
      <c r="AC92" s="90">
        <v>0.125</v>
      </c>
      <c r="AD92" s="14" t="s">
        <v>343</v>
      </c>
      <c r="AE92" s="14" t="s">
        <v>206</v>
      </c>
      <c r="AF92" s="74" t="s">
        <v>169</v>
      </c>
      <c r="AG92" s="90">
        <v>0.15972222222222221</v>
      </c>
      <c r="AH92" s="77">
        <v>45806</v>
      </c>
      <c r="AI92" s="14" t="s">
        <v>343</v>
      </c>
      <c r="AJ92" s="14" t="s">
        <v>247</v>
      </c>
      <c r="AK92" s="14" t="s">
        <v>705</v>
      </c>
      <c r="AL92" s="14">
        <v>2025</v>
      </c>
      <c r="AM92" s="14">
        <v>22</v>
      </c>
      <c r="AN92" s="14">
        <v>29</v>
      </c>
      <c r="AO92" s="14" t="s">
        <v>802</v>
      </c>
      <c r="AP92" s="14" t="s">
        <v>151</v>
      </c>
    </row>
    <row r="93" spans="1:42" x14ac:dyDescent="0.25">
      <c r="A93" s="74" t="s">
        <v>803</v>
      </c>
      <c r="B93" s="75">
        <v>45809</v>
      </c>
      <c r="C93" s="89">
        <v>0.5</v>
      </c>
      <c r="D93" s="14" t="s">
        <v>136</v>
      </c>
      <c r="E93" s="14" t="s">
        <v>804</v>
      </c>
      <c r="F93" s="14" t="s">
        <v>166</v>
      </c>
      <c r="G93" s="14" t="s">
        <v>805</v>
      </c>
      <c r="H93" s="74" t="s">
        <v>191</v>
      </c>
      <c r="I93" s="74">
        <v>7</v>
      </c>
      <c r="J93" s="14" t="s">
        <v>806</v>
      </c>
      <c r="U93" s="14" t="s">
        <v>281</v>
      </c>
      <c r="V93" s="14" t="s">
        <v>228</v>
      </c>
      <c r="W93" s="14" t="s">
        <v>282</v>
      </c>
      <c r="X93" s="14" t="s">
        <v>228</v>
      </c>
      <c r="Y93" s="14" t="s">
        <v>166</v>
      </c>
      <c r="Z93" s="14" t="s">
        <v>807</v>
      </c>
      <c r="AA93" s="75">
        <v>45809</v>
      </c>
      <c r="AB93" s="90">
        <v>0.5</v>
      </c>
      <c r="AC93" s="90">
        <v>0.5</v>
      </c>
      <c r="AD93" s="14" t="s">
        <v>146</v>
      </c>
      <c r="AE93" s="14" t="s">
        <v>808</v>
      </c>
      <c r="AF93" s="74" t="s">
        <v>169</v>
      </c>
      <c r="AG93" s="90">
        <v>0.5</v>
      </c>
      <c r="AH93" s="77">
        <v>45809</v>
      </c>
      <c r="AI93" s="14" t="s">
        <v>146</v>
      </c>
      <c r="AJ93" s="14" t="s">
        <v>311</v>
      </c>
      <c r="AK93" s="14" t="s">
        <v>149</v>
      </c>
      <c r="AL93" s="14">
        <v>2025</v>
      </c>
      <c r="AM93" s="14">
        <v>23</v>
      </c>
      <c r="AN93" s="14">
        <v>1</v>
      </c>
      <c r="AO93" s="14" t="s">
        <v>627</v>
      </c>
      <c r="AP93" s="14" t="s">
        <v>231</v>
      </c>
    </row>
    <row r="94" spans="1:42" x14ac:dyDescent="0.25">
      <c r="A94" s="74" t="s">
        <v>810</v>
      </c>
      <c r="B94" s="75">
        <v>45810</v>
      </c>
      <c r="C94" s="89">
        <v>0.56944444444444442</v>
      </c>
      <c r="D94" s="14" t="s">
        <v>154</v>
      </c>
      <c r="G94" s="14" t="s">
        <v>811</v>
      </c>
      <c r="H94" s="74" t="s">
        <v>812</v>
      </c>
      <c r="I94" s="74">
        <v>9</v>
      </c>
      <c r="J94" s="14" t="s">
        <v>813</v>
      </c>
      <c r="M94" s="14" t="s">
        <v>814</v>
      </c>
      <c r="N94" s="14" t="s">
        <v>341</v>
      </c>
      <c r="O94" s="14" t="s">
        <v>815</v>
      </c>
      <c r="P94" s="14" t="s">
        <v>161</v>
      </c>
      <c r="U94" s="14" t="s">
        <v>467</v>
      </c>
      <c r="V94" s="14" t="s">
        <v>141</v>
      </c>
      <c r="W94" s="14" t="s">
        <v>142</v>
      </c>
      <c r="X94" s="14" t="s">
        <v>488</v>
      </c>
      <c r="Y94" s="14" t="s">
        <v>166</v>
      </c>
      <c r="Z94" s="14" t="s">
        <v>167</v>
      </c>
      <c r="AA94" s="75">
        <v>45810</v>
      </c>
      <c r="AB94" s="90">
        <v>0.56944444444444442</v>
      </c>
      <c r="AC94" s="90">
        <v>0.54166666666666663</v>
      </c>
      <c r="AD94" s="14" t="s">
        <v>146</v>
      </c>
      <c r="AE94" s="14" t="s">
        <v>154</v>
      </c>
      <c r="AF94" s="74" t="s">
        <v>169</v>
      </c>
      <c r="AG94" s="90">
        <v>0.56944444444444442</v>
      </c>
      <c r="AH94" s="77">
        <v>45810</v>
      </c>
      <c r="AI94" s="14" t="s">
        <v>146</v>
      </c>
      <c r="AJ94" s="14" t="s">
        <v>183</v>
      </c>
      <c r="AK94" s="14" t="s">
        <v>149</v>
      </c>
      <c r="AL94" s="14">
        <v>2025</v>
      </c>
      <c r="AM94" s="14">
        <v>23</v>
      </c>
      <c r="AN94" s="14">
        <v>2</v>
      </c>
      <c r="AO94" s="14" t="s">
        <v>816</v>
      </c>
      <c r="AP94" s="14" t="s">
        <v>151</v>
      </c>
    </row>
    <row r="95" spans="1:42" x14ac:dyDescent="0.25">
      <c r="A95" s="74" t="s">
        <v>817</v>
      </c>
      <c r="B95" s="75">
        <v>45811</v>
      </c>
      <c r="C95" s="89">
        <v>0.81298611111111108</v>
      </c>
      <c r="D95" s="14" t="s">
        <v>154</v>
      </c>
      <c r="G95" s="14" t="s">
        <v>818</v>
      </c>
      <c r="H95" s="74" t="s">
        <v>414</v>
      </c>
      <c r="I95" s="74">
        <v>7</v>
      </c>
      <c r="J95" s="14" t="s">
        <v>819</v>
      </c>
      <c r="M95" s="14" t="s">
        <v>820</v>
      </c>
      <c r="N95" s="14" t="s">
        <v>821</v>
      </c>
      <c r="O95" s="14" t="s">
        <v>822</v>
      </c>
      <c r="P95" s="14" t="s">
        <v>161</v>
      </c>
      <c r="U95" s="14" t="s">
        <v>511</v>
      </c>
      <c r="V95" s="14" t="s">
        <v>554</v>
      </c>
      <c r="W95" s="14" t="s">
        <v>256</v>
      </c>
      <c r="X95" s="14" t="s">
        <v>257</v>
      </c>
      <c r="Y95" s="14" t="s">
        <v>166</v>
      </c>
      <c r="Z95" s="14" t="s">
        <v>167</v>
      </c>
      <c r="AA95" s="75">
        <v>45811</v>
      </c>
      <c r="AB95" s="90">
        <v>0.81298611111111108</v>
      </c>
      <c r="AC95" s="90">
        <v>0.79166666666666663</v>
      </c>
      <c r="AD95" s="14" t="s">
        <v>266</v>
      </c>
      <c r="AE95" s="14" t="s">
        <v>154</v>
      </c>
      <c r="AF95" s="74" t="s">
        <v>169</v>
      </c>
      <c r="AG95" s="90">
        <v>0.81298611111111108</v>
      </c>
      <c r="AH95" s="77">
        <v>45811</v>
      </c>
      <c r="AI95" s="14" t="s">
        <v>266</v>
      </c>
      <c r="AJ95" s="14" t="s">
        <v>148</v>
      </c>
      <c r="AK95" s="14" t="s">
        <v>149</v>
      </c>
      <c r="AL95" s="14">
        <v>2025</v>
      </c>
      <c r="AM95" s="14">
        <v>23</v>
      </c>
      <c r="AN95" s="14">
        <v>3</v>
      </c>
      <c r="AO95" s="14" t="s">
        <v>666</v>
      </c>
      <c r="AP95" s="14" t="s">
        <v>151</v>
      </c>
    </row>
    <row r="96" spans="1:42" x14ac:dyDescent="0.25">
      <c r="A96" s="74" t="s">
        <v>823</v>
      </c>
      <c r="B96" s="75">
        <v>45813</v>
      </c>
      <c r="C96" s="89">
        <v>0.28472222222222221</v>
      </c>
      <c r="D96" s="14" t="s">
        <v>174</v>
      </c>
      <c r="E96" s="14" t="s">
        <v>556</v>
      </c>
      <c r="G96" s="14" t="s">
        <v>824</v>
      </c>
      <c r="H96" s="74" t="s">
        <v>338</v>
      </c>
      <c r="I96" s="74">
        <v>6</v>
      </c>
      <c r="J96" s="14" t="s">
        <v>825</v>
      </c>
      <c r="M96" s="14" t="s">
        <v>826</v>
      </c>
      <c r="N96" s="14" t="s">
        <v>827</v>
      </c>
      <c r="O96" s="14" t="s">
        <v>828</v>
      </c>
      <c r="P96" s="14" t="s">
        <v>161</v>
      </c>
      <c r="U96" s="14" t="s">
        <v>193</v>
      </c>
      <c r="V96" s="14" t="s">
        <v>393</v>
      </c>
      <c r="W96" s="14" t="s">
        <v>384</v>
      </c>
      <c r="X96" s="14" t="s">
        <v>228</v>
      </c>
      <c r="Y96" s="14" t="s">
        <v>166</v>
      </c>
      <c r="Z96" s="14" t="s">
        <v>182</v>
      </c>
      <c r="AA96" s="75">
        <v>45813</v>
      </c>
      <c r="AB96" s="90">
        <v>0.28472222222222221</v>
      </c>
      <c r="AC96" s="90">
        <v>0.25</v>
      </c>
      <c r="AD96" s="14" t="s">
        <v>385</v>
      </c>
      <c r="AE96" s="14" t="s">
        <v>829</v>
      </c>
      <c r="AF96" s="74" t="s">
        <v>169</v>
      </c>
      <c r="AG96" s="90">
        <v>0.28472222222222221</v>
      </c>
      <c r="AH96" s="77">
        <v>45813</v>
      </c>
      <c r="AI96" s="14" t="s">
        <v>385</v>
      </c>
      <c r="AJ96" s="14" t="s">
        <v>247</v>
      </c>
      <c r="AK96" s="14" t="s">
        <v>149</v>
      </c>
      <c r="AL96" s="14">
        <v>2025</v>
      </c>
      <c r="AM96" s="14">
        <v>23</v>
      </c>
      <c r="AN96" s="14">
        <v>5</v>
      </c>
      <c r="AO96" s="14" t="s">
        <v>830</v>
      </c>
      <c r="AP96" s="14" t="s">
        <v>151</v>
      </c>
    </row>
    <row r="97" spans="1:42" x14ac:dyDescent="0.25">
      <c r="A97" s="74" t="s">
        <v>831</v>
      </c>
      <c r="B97" s="75">
        <v>45813</v>
      </c>
      <c r="C97" s="89">
        <v>0.28194444444444444</v>
      </c>
      <c r="D97" s="14" t="s">
        <v>174</v>
      </c>
      <c r="E97" s="14" t="s">
        <v>556</v>
      </c>
      <c r="G97" s="14" t="s">
        <v>832</v>
      </c>
      <c r="H97" s="74" t="s">
        <v>553</v>
      </c>
      <c r="I97" s="74">
        <v>7</v>
      </c>
      <c r="J97" s="14" t="s">
        <v>833</v>
      </c>
      <c r="M97" s="14" t="s">
        <v>834</v>
      </c>
      <c r="N97" s="14" t="s">
        <v>827</v>
      </c>
      <c r="O97" s="14" t="s">
        <v>828</v>
      </c>
      <c r="P97" s="14" t="s">
        <v>835</v>
      </c>
      <c r="U97" s="14" t="s">
        <v>193</v>
      </c>
      <c r="V97" s="14" t="s">
        <v>265</v>
      </c>
      <c r="W97" s="14" t="s">
        <v>164</v>
      </c>
      <c r="X97" s="14" t="s">
        <v>228</v>
      </c>
      <c r="Y97" s="14" t="s">
        <v>166</v>
      </c>
      <c r="Z97" s="14" t="s">
        <v>167</v>
      </c>
      <c r="AA97" s="75">
        <v>45813</v>
      </c>
      <c r="AB97" s="90">
        <v>0.28194444444444444</v>
      </c>
      <c r="AC97" s="90">
        <v>0.25</v>
      </c>
      <c r="AD97" s="14" t="s">
        <v>385</v>
      </c>
      <c r="AE97" s="14" t="s">
        <v>829</v>
      </c>
      <c r="AF97" s="74" t="s">
        <v>169</v>
      </c>
      <c r="AG97" s="90">
        <v>0.28194444444444444</v>
      </c>
      <c r="AH97" s="77">
        <v>45813</v>
      </c>
      <c r="AI97" s="14" t="s">
        <v>385</v>
      </c>
      <c r="AJ97" s="14" t="s">
        <v>247</v>
      </c>
      <c r="AK97" s="14" t="s">
        <v>149</v>
      </c>
      <c r="AL97" s="14">
        <v>2025</v>
      </c>
      <c r="AM97" s="14">
        <v>23</v>
      </c>
      <c r="AN97" s="14">
        <v>5</v>
      </c>
      <c r="AO97" s="14" t="s">
        <v>836</v>
      </c>
      <c r="AP97" s="14" t="s">
        <v>151</v>
      </c>
    </row>
    <row r="98" spans="1:42" x14ac:dyDescent="0.25">
      <c r="A98" s="74" t="s">
        <v>837</v>
      </c>
      <c r="B98" s="75">
        <v>45815</v>
      </c>
      <c r="C98" s="89">
        <v>0.35416666666666669</v>
      </c>
      <c r="D98" s="14" t="s">
        <v>174</v>
      </c>
      <c r="E98" s="14" t="s">
        <v>556</v>
      </c>
      <c r="G98" s="14" t="s">
        <v>491</v>
      </c>
      <c r="H98" s="74" t="s">
        <v>221</v>
      </c>
      <c r="I98" s="74">
        <v>9</v>
      </c>
      <c r="J98" s="14" t="s">
        <v>838</v>
      </c>
      <c r="M98" s="14" t="s">
        <v>839</v>
      </c>
      <c r="N98" s="14" t="s">
        <v>486</v>
      </c>
      <c r="O98" s="14" t="s">
        <v>840</v>
      </c>
      <c r="P98" s="14" t="s">
        <v>161</v>
      </c>
      <c r="U98" s="14" t="s">
        <v>480</v>
      </c>
      <c r="V98" s="14" t="s">
        <v>841</v>
      </c>
      <c r="W98" s="14" t="s">
        <v>384</v>
      </c>
      <c r="X98" s="14" t="s">
        <v>310</v>
      </c>
      <c r="Y98" s="14" t="s">
        <v>166</v>
      </c>
      <c r="Z98" s="14" t="s">
        <v>182</v>
      </c>
      <c r="AA98" s="75">
        <v>45815</v>
      </c>
      <c r="AB98" s="90">
        <v>0.35416666666666669</v>
      </c>
      <c r="AC98" s="90">
        <v>0.33333333333333331</v>
      </c>
      <c r="AD98" s="14" t="s">
        <v>276</v>
      </c>
      <c r="AE98" s="14" t="s">
        <v>829</v>
      </c>
      <c r="AF98" s="74" t="s">
        <v>169</v>
      </c>
      <c r="AG98" s="90">
        <v>0.35416666666666669</v>
      </c>
      <c r="AH98" s="77">
        <v>45815</v>
      </c>
      <c r="AI98" s="14" t="s">
        <v>276</v>
      </c>
      <c r="AJ98" s="14" t="s">
        <v>292</v>
      </c>
      <c r="AK98" s="14" t="s">
        <v>149</v>
      </c>
      <c r="AL98" s="14">
        <v>2025</v>
      </c>
      <c r="AM98" s="14">
        <v>23</v>
      </c>
      <c r="AN98" s="14">
        <v>7</v>
      </c>
      <c r="AO98" s="14" t="s">
        <v>230</v>
      </c>
      <c r="AP98" s="14" t="s">
        <v>151</v>
      </c>
    </row>
    <row r="99" spans="1:42" x14ac:dyDescent="0.25">
      <c r="A99" s="74" t="s">
        <v>842</v>
      </c>
      <c r="B99" s="75">
        <v>45816</v>
      </c>
      <c r="C99" s="89">
        <v>6.25E-2</v>
      </c>
      <c r="D99" s="14" t="s">
        <v>174</v>
      </c>
      <c r="G99" s="14" t="s">
        <v>470</v>
      </c>
      <c r="H99" s="74" t="s">
        <v>191</v>
      </c>
      <c r="I99" s="74">
        <v>7</v>
      </c>
      <c r="J99" s="14" t="s">
        <v>843</v>
      </c>
      <c r="M99" s="14" t="s">
        <v>844</v>
      </c>
      <c r="O99" s="14" t="s">
        <v>773</v>
      </c>
      <c r="P99" s="14" t="s">
        <v>161</v>
      </c>
      <c r="U99" s="14" t="s">
        <v>193</v>
      </c>
      <c r="V99" s="14" t="s">
        <v>265</v>
      </c>
      <c r="W99" s="14" t="s">
        <v>164</v>
      </c>
      <c r="X99" s="14" t="s">
        <v>228</v>
      </c>
      <c r="Y99" s="14" t="s">
        <v>181</v>
      </c>
      <c r="Z99" s="14" t="s">
        <v>182</v>
      </c>
      <c r="AA99" s="75">
        <v>45816</v>
      </c>
      <c r="AB99" s="90">
        <v>6.25E-2</v>
      </c>
      <c r="AC99" s="90">
        <v>4.1666666666666664E-2</v>
      </c>
      <c r="AD99" s="14" t="s">
        <v>343</v>
      </c>
      <c r="AE99" s="14" t="s">
        <v>174</v>
      </c>
      <c r="AF99" s="74" t="s">
        <v>169</v>
      </c>
      <c r="AG99" s="90">
        <v>6.25E-2</v>
      </c>
      <c r="AH99" s="77">
        <v>45816</v>
      </c>
      <c r="AI99" s="14" t="s">
        <v>343</v>
      </c>
      <c r="AJ99" s="14" t="s">
        <v>311</v>
      </c>
      <c r="AK99" s="14" t="s">
        <v>149</v>
      </c>
      <c r="AL99" s="14">
        <v>2025</v>
      </c>
      <c r="AM99" s="14">
        <v>24</v>
      </c>
      <c r="AN99" s="14">
        <v>8</v>
      </c>
      <c r="AO99" s="14" t="s">
        <v>476</v>
      </c>
      <c r="AP99" s="14" t="s">
        <v>151</v>
      </c>
    </row>
    <row r="100" spans="1:42" x14ac:dyDescent="0.25">
      <c r="A100" s="74" t="s">
        <v>845</v>
      </c>
      <c r="B100" s="75">
        <v>45816</v>
      </c>
      <c r="C100" s="89">
        <v>0.98263888888888884</v>
      </c>
      <c r="D100" s="14" t="s">
        <v>206</v>
      </c>
      <c r="G100" s="14" t="s">
        <v>846</v>
      </c>
      <c r="H100" s="74" t="s">
        <v>644</v>
      </c>
      <c r="I100" s="74">
        <v>7</v>
      </c>
      <c r="J100" s="14" t="s">
        <v>847</v>
      </c>
      <c r="U100" s="14" t="s">
        <v>480</v>
      </c>
      <c r="V100" s="14" t="s">
        <v>848</v>
      </c>
      <c r="W100" s="14" t="s">
        <v>211</v>
      </c>
      <c r="X100" s="14" t="s">
        <v>257</v>
      </c>
      <c r="Y100" s="14" t="s">
        <v>181</v>
      </c>
      <c r="Z100" s="14" t="s">
        <v>213</v>
      </c>
      <c r="AA100" s="75">
        <v>45816</v>
      </c>
      <c r="AB100" s="90">
        <v>0.98263888888888884</v>
      </c>
      <c r="AC100" s="90">
        <v>0.95833333333333337</v>
      </c>
      <c r="AD100" s="14" t="s">
        <v>168</v>
      </c>
      <c r="AE100" s="14" t="s">
        <v>206</v>
      </c>
      <c r="AF100" s="74" t="s">
        <v>169</v>
      </c>
      <c r="AG100" s="90">
        <v>0.98263888888888884</v>
      </c>
      <c r="AH100" s="77">
        <v>45816</v>
      </c>
      <c r="AI100" s="14" t="s">
        <v>168</v>
      </c>
      <c r="AJ100" s="14" t="s">
        <v>311</v>
      </c>
      <c r="AK100" s="14" t="s">
        <v>149</v>
      </c>
      <c r="AL100" s="14">
        <v>2025</v>
      </c>
      <c r="AM100" s="14">
        <v>24</v>
      </c>
      <c r="AN100" s="14">
        <v>8</v>
      </c>
      <c r="AO100" s="14" t="s">
        <v>648</v>
      </c>
      <c r="AP100" s="14" t="s">
        <v>151</v>
      </c>
    </row>
    <row r="101" spans="1:42" x14ac:dyDescent="0.25">
      <c r="A101" s="74" t="s">
        <v>849</v>
      </c>
      <c r="B101" s="75">
        <v>45819</v>
      </c>
      <c r="C101" s="89">
        <v>0.18819444444444444</v>
      </c>
      <c r="D101" s="14" t="s">
        <v>154</v>
      </c>
      <c r="G101" s="14" t="s">
        <v>850</v>
      </c>
      <c r="J101" s="14" t="s">
        <v>851</v>
      </c>
      <c r="M101" s="14" t="s">
        <v>852</v>
      </c>
      <c r="N101" s="14" t="s">
        <v>560</v>
      </c>
      <c r="O101" s="14" t="s">
        <v>853</v>
      </c>
      <c r="P101" s="14" t="s">
        <v>161</v>
      </c>
      <c r="U101" s="14" t="s">
        <v>709</v>
      </c>
      <c r="V101" s="14" t="s">
        <v>255</v>
      </c>
      <c r="W101" s="14" t="s">
        <v>256</v>
      </c>
      <c r="X101" s="14" t="s">
        <v>310</v>
      </c>
      <c r="Y101" s="14" t="s">
        <v>364</v>
      </c>
      <c r="Z101" s="14" t="s">
        <v>167</v>
      </c>
      <c r="AA101" s="75">
        <v>45819</v>
      </c>
      <c r="AB101" s="90">
        <v>0.18819444444444444</v>
      </c>
      <c r="AC101" s="90">
        <v>0.16666666666666666</v>
      </c>
      <c r="AD101" s="14" t="s">
        <v>385</v>
      </c>
      <c r="AE101" s="14" t="s">
        <v>154</v>
      </c>
      <c r="AF101" s="74" t="s">
        <v>169</v>
      </c>
      <c r="AG101" s="90">
        <v>0.18819444444444444</v>
      </c>
      <c r="AH101" s="77">
        <v>45819</v>
      </c>
      <c r="AI101" s="14" t="s">
        <v>385</v>
      </c>
      <c r="AJ101" s="14" t="s">
        <v>239</v>
      </c>
      <c r="AK101" s="14" t="s">
        <v>149</v>
      </c>
      <c r="AL101" s="14">
        <v>2025</v>
      </c>
      <c r="AM101" s="14">
        <v>24</v>
      </c>
      <c r="AN101" s="14">
        <v>11</v>
      </c>
      <c r="AO101" s="14" t="s">
        <v>854</v>
      </c>
      <c r="AP101" s="14" t="s">
        <v>151</v>
      </c>
    </row>
    <row r="102" spans="1:42" x14ac:dyDescent="0.25">
      <c r="A102" s="74" t="s">
        <v>855</v>
      </c>
      <c r="B102" s="75">
        <v>45826</v>
      </c>
      <c r="C102" s="89">
        <v>0.38541666666666669</v>
      </c>
      <c r="D102" s="14" t="s">
        <v>242</v>
      </c>
      <c r="G102" s="14" t="s">
        <v>856</v>
      </c>
      <c r="H102" s="74" t="s">
        <v>138</v>
      </c>
      <c r="I102" s="74">
        <v>8</v>
      </c>
      <c r="J102" s="14" t="s">
        <v>857</v>
      </c>
      <c r="U102" s="14" t="s">
        <v>709</v>
      </c>
      <c r="V102" s="14" t="s">
        <v>309</v>
      </c>
      <c r="W102" s="14" t="s">
        <v>444</v>
      </c>
      <c r="X102" s="14" t="s">
        <v>310</v>
      </c>
      <c r="Y102" s="14" t="s">
        <v>435</v>
      </c>
      <c r="Z102" s="14" t="s">
        <v>246</v>
      </c>
      <c r="AA102" s="75">
        <v>45826</v>
      </c>
      <c r="AB102" s="90">
        <v>0.38541666666666669</v>
      </c>
      <c r="AC102" s="90">
        <v>0.375</v>
      </c>
      <c r="AD102" s="14" t="s">
        <v>276</v>
      </c>
      <c r="AE102" s="14" t="s">
        <v>242</v>
      </c>
      <c r="AF102" s="74" t="s">
        <v>169</v>
      </c>
      <c r="AG102" s="90">
        <v>0.38541666666666669</v>
      </c>
      <c r="AH102" s="77">
        <v>45826</v>
      </c>
      <c r="AI102" s="14" t="s">
        <v>276</v>
      </c>
      <c r="AJ102" s="14" t="s">
        <v>239</v>
      </c>
      <c r="AK102" s="14" t="s">
        <v>149</v>
      </c>
      <c r="AL102" s="14">
        <v>2025</v>
      </c>
      <c r="AM102" s="14">
        <v>25</v>
      </c>
      <c r="AN102" s="14">
        <v>18</v>
      </c>
      <c r="AO102" s="14" t="s">
        <v>858</v>
      </c>
      <c r="AP102" s="14" t="s">
        <v>151</v>
      </c>
    </row>
    <row r="103" spans="1:42" x14ac:dyDescent="0.25">
      <c r="A103" s="74" t="s">
        <v>859</v>
      </c>
      <c r="B103" s="75">
        <v>45827</v>
      </c>
      <c r="C103" s="89">
        <v>0.48125000000000001</v>
      </c>
      <c r="D103" s="14" t="s">
        <v>206</v>
      </c>
      <c r="E103" s="14" t="s">
        <v>726</v>
      </c>
      <c r="F103" s="14" t="s">
        <v>388</v>
      </c>
      <c r="G103" s="14" t="s">
        <v>727</v>
      </c>
      <c r="H103" s="74" t="s">
        <v>270</v>
      </c>
      <c r="I103" s="74">
        <v>5</v>
      </c>
      <c r="J103" s="14" t="s">
        <v>860</v>
      </c>
      <c r="M103" s="14" t="s">
        <v>861</v>
      </c>
      <c r="N103" s="14" t="s">
        <v>273</v>
      </c>
      <c r="P103" s="14" t="s">
        <v>862</v>
      </c>
      <c r="U103" s="14" t="s">
        <v>709</v>
      </c>
      <c r="V103" s="14" t="s">
        <v>245</v>
      </c>
      <c r="W103" s="14" t="s">
        <v>142</v>
      </c>
      <c r="X103" s="14" t="s">
        <v>534</v>
      </c>
      <c r="Y103" s="14" t="s">
        <v>301</v>
      </c>
      <c r="Z103" s="14" t="s">
        <v>213</v>
      </c>
      <c r="AA103" s="75">
        <v>45827</v>
      </c>
      <c r="AB103" s="90">
        <v>0.48125000000000001</v>
      </c>
      <c r="AC103" s="90">
        <v>0.45833333333333331</v>
      </c>
      <c r="AD103" s="14" t="s">
        <v>276</v>
      </c>
      <c r="AE103" s="14" t="s">
        <v>863</v>
      </c>
      <c r="AF103" s="74" t="s">
        <v>169</v>
      </c>
      <c r="AG103" s="90">
        <v>0.48125000000000001</v>
      </c>
      <c r="AH103" s="77">
        <v>45827</v>
      </c>
      <c r="AI103" s="14" t="s">
        <v>276</v>
      </c>
      <c r="AJ103" s="14" t="s">
        <v>247</v>
      </c>
      <c r="AK103" s="14" t="s">
        <v>149</v>
      </c>
      <c r="AL103" s="14">
        <v>2025</v>
      </c>
      <c r="AM103" s="14">
        <v>25</v>
      </c>
      <c r="AN103" s="14">
        <v>19</v>
      </c>
      <c r="AO103" s="14" t="s">
        <v>731</v>
      </c>
      <c r="AP103" s="14" t="s">
        <v>151</v>
      </c>
    </row>
    <row r="104" spans="1:42" x14ac:dyDescent="0.25">
      <c r="A104" s="74" t="s">
        <v>864</v>
      </c>
      <c r="B104" s="75">
        <v>45828</v>
      </c>
      <c r="C104" s="89">
        <v>0.97916666666666663</v>
      </c>
      <c r="D104" s="14" t="s">
        <v>174</v>
      </c>
      <c r="E104" s="14" t="s">
        <v>205</v>
      </c>
      <c r="F104" s="14" t="s">
        <v>154</v>
      </c>
      <c r="G104" s="14" t="s">
        <v>865</v>
      </c>
      <c r="H104" s="74" t="s">
        <v>138</v>
      </c>
      <c r="I104" s="74">
        <v>8</v>
      </c>
      <c r="J104" s="14" t="s">
        <v>866</v>
      </c>
      <c r="M104" s="14" t="s">
        <v>867</v>
      </c>
      <c r="N104" s="14" t="s">
        <v>253</v>
      </c>
      <c r="O104" s="14" t="s">
        <v>868</v>
      </c>
      <c r="P104" s="14" t="s">
        <v>161</v>
      </c>
      <c r="U104" s="14" t="s">
        <v>193</v>
      </c>
      <c r="V104" s="14" t="s">
        <v>585</v>
      </c>
      <c r="W104" s="14" t="s">
        <v>164</v>
      </c>
      <c r="X104" s="14" t="s">
        <v>228</v>
      </c>
      <c r="Y104" s="14" t="s">
        <v>181</v>
      </c>
      <c r="Z104" s="14" t="s">
        <v>167</v>
      </c>
      <c r="AA104" s="75">
        <v>45828</v>
      </c>
      <c r="AB104" s="90">
        <v>0.97916666666666663</v>
      </c>
      <c r="AC104" s="90">
        <v>0.95833333333333337</v>
      </c>
      <c r="AD104" s="14" t="s">
        <v>168</v>
      </c>
      <c r="AE104" s="14" t="s">
        <v>869</v>
      </c>
      <c r="AF104" s="74" t="s">
        <v>169</v>
      </c>
      <c r="AG104" s="90">
        <v>0.97916666666666663</v>
      </c>
      <c r="AH104" s="77">
        <v>45828</v>
      </c>
      <c r="AI104" s="14" t="s">
        <v>168</v>
      </c>
      <c r="AJ104" s="14" t="s">
        <v>170</v>
      </c>
      <c r="AK104" s="14" t="s">
        <v>149</v>
      </c>
      <c r="AL104" s="14">
        <v>2025</v>
      </c>
      <c r="AM104" s="14">
        <v>25</v>
      </c>
      <c r="AN104" s="14">
        <v>20</v>
      </c>
      <c r="AO104" s="14" t="s">
        <v>870</v>
      </c>
      <c r="AP104" s="14" t="s">
        <v>151</v>
      </c>
    </row>
    <row r="105" spans="1:42" x14ac:dyDescent="0.25">
      <c r="A105" s="74" t="s">
        <v>871</v>
      </c>
      <c r="B105" s="75">
        <v>45829</v>
      </c>
      <c r="C105" s="89">
        <v>0.15329861111111112</v>
      </c>
      <c r="D105" s="14" t="s">
        <v>154</v>
      </c>
      <c r="E105" s="14" t="s">
        <v>872</v>
      </c>
      <c r="G105" s="14" t="s">
        <v>873</v>
      </c>
      <c r="J105" s="14" t="s">
        <v>874</v>
      </c>
      <c r="M105" s="14" t="s">
        <v>875</v>
      </c>
      <c r="N105" s="14" t="s">
        <v>494</v>
      </c>
      <c r="O105" s="14" t="s">
        <v>876</v>
      </c>
      <c r="P105" s="14" t="s">
        <v>161</v>
      </c>
      <c r="U105" s="14" t="s">
        <v>193</v>
      </c>
      <c r="V105" s="14" t="s">
        <v>787</v>
      </c>
      <c r="W105" s="14" t="s">
        <v>542</v>
      </c>
      <c r="X105" s="14" t="s">
        <v>228</v>
      </c>
      <c r="Y105" s="14" t="s">
        <v>166</v>
      </c>
      <c r="Z105" s="14" t="s">
        <v>167</v>
      </c>
      <c r="AA105" s="75">
        <v>45829</v>
      </c>
      <c r="AB105" s="90">
        <v>0.15329861111111112</v>
      </c>
      <c r="AC105" s="90">
        <v>0.125</v>
      </c>
      <c r="AD105" s="14" t="s">
        <v>343</v>
      </c>
      <c r="AE105" s="14" t="s">
        <v>877</v>
      </c>
      <c r="AF105" s="74" t="s">
        <v>169</v>
      </c>
      <c r="AG105" s="90">
        <v>0.15329861111111112</v>
      </c>
      <c r="AH105" s="77">
        <v>45829</v>
      </c>
      <c r="AI105" s="14" t="s">
        <v>343</v>
      </c>
      <c r="AJ105" s="14" t="s">
        <v>292</v>
      </c>
      <c r="AK105" s="14" t="s">
        <v>149</v>
      </c>
      <c r="AL105" s="14">
        <v>2025</v>
      </c>
      <c r="AM105" s="14">
        <v>25</v>
      </c>
      <c r="AN105" s="14">
        <v>21</v>
      </c>
      <c r="AO105" s="14" t="s">
        <v>878</v>
      </c>
      <c r="AP105" s="14" t="s">
        <v>879</v>
      </c>
    </row>
    <row r="106" spans="1:42" x14ac:dyDescent="0.25">
      <c r="A106" s="74" t="s">
        <v>880</v>
      </c>
      <c r="B106" s="75">
        <v>45829</v>
      </c>
      <c r="C106" s="89">
        <v>0.4548611111111111</v>
      </c>
      <c r="D106" s="14" t="s">
        <v>154</v>
      </c>
      <c r="G106" s="14" t="s">
        <v>881</v>
      </c>
      <c r="H106" s="74" t="s">
        <v>358</v>
      </c>
      <c r="I106" s="74">
        <v>8</v>
      </c>
      <c r="J106" s="14" t="s">
        <v>882</v>
      </c>
      <c r="M106" s="14" t="s">
        <v>883</v>
      </c>
      <c r="N106" s="14" t="s">
        <v>560</v>
      </c>
      <c r="O106" s="14" t="s">
        <v>884</v>
      </c>
      <c r="P106" s="14" t="s">
        <v>161</v>
      </c>
      <c r="U106" s="14" t="s">
        <v>193</v>
      </c>
      <c r="V106" s="14" t="s">
        <v>393</v>
      </c>
      <c r="W106" s="14" t="s">
        <v>384</v>
      </c>
      <c r="X106" s="14" t="s">
        <v>275</v>
      </c>
      <c r="Y106" s="14" t="s">
        <v>166</v>
      </c>
      <c r="Z106" s="14" t="s">
        <v>167</v>
      </c>
      <c r="AA106" s="75">
        <v>45829</v>
      </c>
      <c r="AB106" s="90">
        <v>0.4548611111111111</v>
      </c>
      <c r="AC106" s="90">
        <v>0.41666666666666669</v>
      </c>
      <c r="AD106" s="14" t="s">
        <v>276</v>
      </c>
      <c r="AE106" s="14" t="s">
        <v>154</v>
      </c>
      <c r="AF106" s="74" t="s">
        <v>169</v>
      </c>
      <c r="AG106" s="90">
        <v>0.4548611111111111</v>
      </c>
      <c r="AH106" s="77">
        <v>45829</v>
      </c>
      <c r="AI106" s="14" t="s">
        <v>276</v>
      </c>
      <c r="AJ106" s="14" t="s">
        <v>292</v>
      </c>
      <c r="AK106" s="14" t="s">
        <v>149</v>
      </c>
      <c r="AL106" s="14">
        <v>2025</v>
      </c>
      <c r="AM106" s="14">
        <v>25</v>
      </c>
      <c r="AN106" s="14">
        <v>21</v>
      </c>
      <c r="AO106" s="14" t="s">
        <v>885</v>
      </c>
      <c r="AP106" s="14" t="s">
        <v>151</v>
      </c>
    </row>
    <row r="107" spans="1:42" x14ac:dyDescent="0.25">
      <c r="A107" s="74" t="s">
        <v>886</v>
      </c>
      <c r="B107" s="75">
        <v>45829</v>
      </c>
      <c r="C107" s="89">
        <v>0.79166666666666663</v>
      </c>
      <c r="D107" s="14" t="s">
        <v>154</v>
      </c>
      <c r="G107" s="14" t="s">
        <v>887</v>
      </c>
      <c r="H107" s="74" t="s">
        <v>888</v>
      </c>
      <c r="I107" s="74">
        <v>7</v>
      </c>
      <c r="J107" s="14" t="s">
        <v>889</v>
      </c>
      <c r="M107" s="14" t="s">
        <v>890</v>
      </c>
      <c r="N107" s="14" t="s">
        <v>560</v>
      </c>
      <c r="O107" s="14" t="s">
        <v>891</v>
      </c>
      <c r="P107" s="14" t="s">
        <v>892</v>
      </c>
      <c r="U107" s="14" t="s">
        <v>193</v>
      </c>
      <c r="V107" s="14" t="s">
        <v>801</v>
      </c>
      <c r="W107" s="14" t="s">
        <v>164</v>
      </c>
      <c r="X107" s="14" t="s">
        <v>275</v>
      </c>
      <c r="Y107" s="14" t="s">
        <v>364</v>
      </c>
      <c r="Z107" s="14" t="s">
        <v>167</v>
      </c>
      <c r="AA107" s="75">
        <v>45829</v>
      </c>
      <c r="AB107" s="90">
        <v>0.79166666666666663</v>
      </c>
      <c r="AC107" s="90">
        <v>0.79166666666666663</v>
      </c>
      <c r="AD107" s="14" t="s">
        <v>266</v>
      </c>
      <c r="AE107" s="14" t="s">
        <v>154</v>
      </c>
      <c r="AF107" s="74" t="s">
        <v>169</v>
      </c>
      <c r="AG107" s="90">
        <v>0.79166666666666663</v>
      </c>
      <c r="AH107" s="77">
        <v>45829</v>
      </c>
      <c r="AI107" s="14" t="s">
        <v>266</v>
      </c>
      <c r="AJ107" s="14" t="s">
        <v>292</v>
      </c>
      <c r="AK107" s="14" t="s">
        <v>149</v>
      </c>
      <c r="AL107" s="14">
        <v>2025</v>
      </c>
      <c r="AM107" s="14">
        <v>25</v>
      </c>
      <c r="AN107" s="14">
        <v>21</v>
      </c>
      <c r="AO107" s="14" t="s">
        <v>893</v>
      </c>
      <c r="AP107" s="14" t="s">
        <v>151</v>
      </c>
    </row>
    <row r="108" spans="1:42" x14ac:dyDescent="0.25">
      <c r="A108" s="74" t="s">
        <v>894</v>
      </c>
      <c r="B108" s="75">
        <v>45831</v>
      </c>
      <c r="C108" s="89">
        <v>0.33333333333333331</v>
      </c>
      <c r="D108" s="14" t="s">
        <v>242</v>
      </c>
      <c r="E108" s="14" t="s">
        <v>295</v>
      </c>
      <c r="G108" s="14" t="s">
        <v>895</v>
      </c>
      <c r="H108" s="74" t="s">
        <v>358</v>
      </c>
      <c r="I108" s="74">
        <v>8</v>
      </c>
      <c r="J108" s="14" t="s">
        <v>896</v>
      </c>
      <c r="U108" s="14" t="s">
        <v>193</v>
      </c>
      <c r="V108" s="14" t="s">
        <v>635</v>
      </c>
      <c r="W108" s="14" t="s">
        <v>256</v>
      </c>
      <c r="X108" s="14" t="s">
        <v>310</v>
      </c>
      <c r="Y108" s="14" t="s">
        <v>166</v>
      </c>
      <c r="Z108" s="14" t="s">
        <v>246</v>
      </c>
      <c r="AA108" s="75">
        <v>45831</v>
      </c>
      <c r="AB108" s="90">
        <v>0.33333333333333331</v>
      </c>
      <c r="AC108" s="90">
        <v>0.33333333333333331</v>
      </c>
      <c r="AD108" s="14" t="s">
        <v>276</v>
      </c>
      <c r="AE108" s="14" t="s">
        <v>897</v>
      </c>
      <c r="AF108" s="74" t="s">
        <v>948</v>
      </c>
      <c r="AG108" s="90">
        <v>0.33333333333333331</v>
      </c>
      <c r="AH108" s="77">
        <v>45831</v>
      </c>
      <c r="AI108" s="14" t="s">
        <v>276</v>
      </c>
      <c r="AJ108" s="14" t="s">
        <v>183</v>
      </c>
      <c r="AK108" s="14" t="s">
        <v>149</v>
      </c>
      <c r="AL108" s="14">
        <v>2025</v>
      </c>
      <c r="AM108" s="14">
        <v>26</v>
      </c>
      <c r="AN108" s="14">
        <v>23</v>
      </c>
      <c r="AO108" s="14" t="s">
        <v>885</v>
      </c>
      <c r="AP108" s="14" t="s">
        <v>151</v>
      </c>
    </row>
    <row r="109" spans="1:42" x14ac:dyDescent="0.25">
      <c r="A109" s="74" t="s">
        <v>898</v>
      </c>
      <c r="B109" s="75">
        <v>45833</v>
      </c>
      <c r="C109" s="89">
        <v>0.54166666666666663</v>
      </c>
      <c r="D109" s="14" t="s">
        <v>174</v>
      </c>
      <c r="G109" s="14" t="s">
        <v>899</v>
      </c>
      <c r="H109" s="74" t="s">
        <v>400</v>
      </c>
      <c r="I109" s="74">
        <v>6</v>
      </c>
      <c r="J109" s="14" t="s">
        <v>900</v>
      </c>
      <c r="M109" s="14" t="s">
        <v>901</v>
      </c>
      <c r="N109" s="14" t="s">
        <v>486</v>
      </c>
      <c r="O109" s="14" t="s">
        <v>342</v>
      </c>
      <c r="P109" s="14" t="s">
        <v>161</v>
      </c>
      <c r="U109" s="14" t="s">
        <v>467</v>
      </c>
      <c r="V109" s="14" t="s">
        <v>417</v>
      </c>
      <c r="W109" s="14" t="s">
        <v>142</v>
      </c>
      <c r="X109" s="14" t="s">
        <v>350</v>
      </c>
      <c r="Y109" s="14" t="s">
        <v>301</v>
      </c>
      <c r="Z109" s="14" t="s">
        <v>182</v>
      </c>
      <c r="AA109" s="75">
        <v>45833</v>
      </c>
      <c r="AB109" s="90">
        <v>0.54166666666666663</v>
      </c>
      <c r="AC109" s="90">
        <v>0.54166666666666663</v>
      </c>
      <c r="AD109" s="14" t="s">
        <v>146</v>
      </c>
      <c r="AE109" s="14" t="s">
        <v>174</v>
      </c>
      <c r="AF109" s="74" t="s">
        <v>948</v>
      </c>
      <c r="AG109" s="90">
        <v>0.54166666666666663</v>
      </c>
      <c r="AH109" s="77">
        <v>45833</v>
      </c>
      <c r="AI109" s="14" t="s">
        <v>146</v>
      </c>
      <c r="AJ109" s="14" t="s">
        <v>239</v>
      </c>
      <c r="AK109" s="14" t="s">
        <v>149</v>
      </c>
      <c r="AL109" s="14">
        <v>2025</v>
      </c>
      <c r="AM109" s="14">
        <v>26</v>
      </c>
      <c r="AN109" s="14">
        <v>25</v>
      </c>
      <c r="AO109" s="14" t="s">
        <v>902</v>
      </c>
      <c r="AP109" s="14" t="s">
        <v>151</v>
      </c>
    </row>
    <row r="110" spans="1:42" x14ac:dyDescent="0.25">
      <c r="A110" s="74" t="s">
        <v>903</v>
      </c>
      <c r="B110" s="75">
        <v>45835</v>
      </c>
      <c r="C110" s="89">
        <v>0.59593750000000001</v>
      </c>
      <c r="D110" s="14" t="s">
        <v>242</v>
      </c>
      <c r="G110" s="14" t="s">
        <v>577</v>
      </c>
      <c r="H110" s="74" t="s">
        <v>414</v>
      </c>
      <c r="I110" s="74">
        <v>7</v>
      </c>
      <c r="J110" s="14" t="s">
        <v>904</v>
      </c>
      <c r="U110" s="14" t="s">
        <v>610</v>
      </c>
      <c r="V110" s="14" t="s">
        <v>141</v>
      </c>
      <c r="W110" s="14" t="s">
        <v>142</v>
      </c>
      <c r="X110" s="14" t="s">
        <v>534</v>
      </c>
      <c r="Y110" s="14" t="s">
        <v>435</v>
      </c>
      <c r="Z110" s="14" t="s">
        <v>246</v>
      </c>
      <c r="AA110" s="75">
        <v>45835</v>
      </c>
      <c r="AB110" s="90">
        <v>0.59593750000000001</v>
      </c>
      <c r="AC110" s="90">
        <v>0.58333333333333337</v>
      </c>
      <c r="AD110" s="14" t="s">
        <v>146</v>
      </c>
      <c r="AE110" s="14" t="s">
        <v>242</v>
      </c>
      <c r="AF110" s="74" t="s">
        <v>948</v>
      </c>
      <c r="AG110" s="90">
        <v>0.59593750000000001</v>
      </c>
      <c r="AH110" s="77">
        <v>45835</v>
      </c>
      <c r="AI110" s="14" t="s">
        <v>146</v>
      </c>
      <c r="AJ110" s="14" t="s">
        <v>170</v>
      </c>
      <c r="AK110" s="14" t="s">
        <v>149</v>
      </c>
      <c r="AL110" s="14">
        <v>2025</v>
      </c>
      <c r="AM110" s="14">
        <v>26</v>
      </c>
      <c r="AN110" s="14">
        <v>27</v>
      </c>
      <c r="AO110" s="14" t="s">
        <v>184</v>
      </c>
      <c r="AP110" s="14" t="s">
        <v>151</v>
      </c>
    </row>
    <row r="111" spans="1:42" x14ac:dyDescent="0.25">
      <c r="A111" s="74" t="s">
        <v>1143</v>
      </c>
      <c r="B111" s="75">
        <v>45835</v>
      </c>
      <c r="C111" s="89">
        <v>0.39583333333333331</v>
      </c>
      <c r="D111" s="14" t="s">
        <v>367</v>
      </c>
      <c r="E111" s="14" t="s">
        <v>295</v>
      </c>
      <c r="G111" s="14" t="s">
        <v>1144</v>
      </c>
      <c r="H111" s="74" t="s">
        <v>221</v>
      </c>
      <c r="I111" s="74">
        <v>9</v>
      </c>
      <c r="J111" s="14" t="s">
        <v>1145</v>
      </c>
      <c r="U111" s="14" t="s">
        <v>709</v>
      </c>
      <c r="V111" s="14" t="s">
        <v>787</v>
      </c>
      <c r="W111" s="14" t="s">
        <v>542</v>
      </c>
      <c r="X111" s="14" t="s">
        <v>275</v>
      </c>
      <c r="Y111" s="14" t="s">
        <v>181</v>
      </c>
      <c r="Z111" s="14"/>
      <c r="AA111" s="75">
        <v>45835</v>
      </c>
      <c r="AB111" s="90">
        <v>0.39583333333333331</v>
      </c>
      <c r="AC111" s="90">
        <v>0.375</v>
      </c>
      <c r="AD111" s="14" t="s">
        <v>276</v>
      </c>
      <c r="AE111" s="14" t="s">
        <v>1146</v>
      </c>
      <c r="AF111" s="74" t="s">
        <v>948</v>
      </c>
      <c r="AG111" s="90">
        <v>0.39583333333333331</v>
      </c>
      <c r="AH111" s="77">
        <v>45835</v>
      </c>
      <c r="AI111" s="14" t="s">
        <v>276</v>
      </c>
      <c r="AJ111" s="14" t="s">
        <v>170</v>
      </c>
      <c r="AK111" s="14" t="s">
        <v>149</v>
      </c>
      <c r="AL111" s="14">
        <v>2025</v>
      </c>
      <c r="AM111" s="14">
        <v>26</v>
      </c>
      <c r="AN111" s="14">
        <v>27</v>
      </c>
      <c r="AO111" s="14" t="s">
        <v>230</v>
      </c>
      <c r="AP111" s="14" t="s">
        <v>151</v>
      </c>
    </row>
    <row r="112" spans="1:42" x14ac:dyDescent="0.25">
      <c r="A112" s="74" t="s">
        <v>906</v>
      </c>
      <c r="B112" s="75">
        <v>45837</v>
      </c>
      <c r="C112" s="89">
        <v>0.625</v>
      </c>
      <c r="D112" s="14" t="s">
        <v>174</v>
      </c>
      <c r="E112" s="14" t="s">
        <v>295</v>
      </c>
      <c r="G112" s="14" t="s">
        <v>907</v>
      </c>
      <c r="H112" s="74" t="s">
        <v>378</v>
      </c>
      <c r="I112" s="74">
        <v>5</v>
      </c>
      <c r="J112" s="14" t="s">
        <v>908</v>
      </c>
      <c r="M112" s="14" t="s">
        <v>909</v>
      </c>
      <c r="N112" s="14" t="s">
        <v>341</v>
      </c>
      <c r="O112" s="14" t="s">
        <v>510</v>
      </c>
      <c r="P112" s="14" t="s">
        <v>161</v>
      </c>
      <c r="U112" s="14" t="s">
        <v>193</v>
      </c>
      <c r="V112" s="14" t="s">
        <v>530</v>
      </c>
      <c r="W112" s="14" t="s">
        <v>384</v>
      </c>
      <c r="X112" s="14" t="s">
        <v>257</v>
      </c>
      <c r="Y112" s="14" t="s">
        <v>181</v>
      </c>
      <c r="Z112" s="14" t="s">
        <v>182</v>
      </c>
      <c r="AA112" s="75">
        <v>45837</v>
      </c>
      <c r="AB112" s="90">
        <v>0.625</v>
      </c>
      <c r="AC112" s="90">
        <v>0.625</v>
      </c>
      <c r="AD112" s="14" t="s">
        <v>146</v>
      </c>
      <c r="AE112" s="14" t="s">
        <v>302</v>
      </c>
      <c r="AF112" s="74" t="s">
        <v>948</v>
      </c>
      <c r="AG112" s="90">
        <v>0.625</v>
      </c>
      <c r="AH112" s="77">
        <v>45837</v>
      </c>
      <c r="AI112" s="14" t="s">
        <v>146</v>
      </c>
      <c r="AJ112" s="14" t="s">
        <v>311</v>
      </c>
      <c r="AK112" s="14" t="s">
        <v>149</v>
      </c>
      <c r="AL112" s="14">
        <v>2025</v>
      </c>
      <c r="AM112" s="14">
        <v>27</v>
      </c>
      <c r="AN112" s="14">
        <v>29</v>
      </c>
      <c r="AO112" s="14" t="s">
        <v>910</v>
      </c>
      <c r="AP112" s="14" t="s">
        <v>151</v>
      </c>
    </row>
    <row r="113" spans="1:42" x14ac:dyDescent="0.25">
      <c r="A113" s="74" t="s">
        <v>1133</v>
      </c>
      <c r="B113" s="75">
        <v>45838</v>
      </c>
      <c r="C113" s="89">
        <v>0.46982638888888889</v>
      </c>
      <c r="D113" s="14" t="s">
        <v>242</v>
      </c>
      <c r="G113" s="14" t="s">
        <v>552</v>
      </c>
      <c r="H113" s="74" t="s">
        <v>553</v>
      </c>
      <c r="I113" s="74">
        <v>7</v>
      </c>
      <c r="J113" s="14" t="s">
        <v>1134</v>
      </c>
      <c r="U113" s="14" t="s">
        <v>264</v>
      </c>
      <c r="V113" s="14" t="s">
        <v>1135</v>
      </c>
      <c r="W113" s="14" t="s">
        <v>164</v>
      </c>
      <c r="X113" s="14" t="s">
        <v>310</v>
      </c>
      <c r="Y113" s="14" t="s">
        <v>181</v>
      </c>
      <c r="Z113" s="14" t="s">
        <v>246</v>
      </c>
      <c r="AA113" s="75">
        <v>45838</v>
      </c>
      <c r="AB113" s="90">
        <v>0.46982638888888889</v>
      </c>
      <c r="AC113" s="90">
        <v>0.45833333333333331</v>
      </c>
      <c r="AD113" s="14" t="s">
        <v>276</v>
      </c>
      <c r="AE113" s="14" t="s">
        <v>242</v>
      </c>
      <c r="AF113" s="74" t="s">
        <v>948</v>
      </c>
      <c r="AG113" s="90">
        <v>0.46982638888888889</v>
      </c>
      <c r="AH113" s="77">
        <v>45838</v>
      </c>
      <c r="AI113" s="14" t="s">
        <v>276</v>
      </c>
      <c r="AJ113" s="14" t="s">
        <v>183</v>
      </c>
      <c r="AK113" s="14" t="s">
        <v>149</v>
      </c>
      <c r="AL113" s="14">
        <v>2025</v>
      </c>
      <c r="AM113" s="14">
        <v>27</v>
      </c>
      <c r="AN113" s="14">
        <v>30</v>
      </c>
      <c r="AO113" s="14" t="s">
        <v>322</v>
      </c>
      <c r="AP113" s="14" t="s">
        <v>151</v>
      </c>
    </row>
    <row r="114" spans="1:42" x14ac:dyDescent="0.25">
      <c r="A114" s="74" t="s">
        <v>1136</v>
      </c>
      <c r="B114" s="75">
        <v>45839</v>
      </c>
      <c r="C114" s="89">
        <v>0.53263888888888888</v>
      </c>
      <c r="D114" s="14" t="s">
        <v>206</v>
      </c>
      <c r="E114" s="14" t="s">
        <v>726</v>
      </c>
      <c r="G114" s="14" t="s">
        <v>727</v>
      </c>
      <c r="H114" s="74" t="s">
        <v>270</v>
      </c>
      <c r="I114" s="74">
        <v>5</v>
      </c>
      <c r="J114" s="14" t="s">
        <v>1137</v>
      </c>
      <c r="U114" s="14" t="s">
        <v>162</v>
      </c>
      <c r="V114" s="14" t="s">
        <v>265</v>
      </c>
      <c r="W114" s="14" t="s">
        <v>164</v>
      </c>
      <c r="X114" s="14" t="s">
        <v>534</v>
      </c>
      <c r="Y114" s="14" t="s">
        <v>301</v>
      </c>
      <c r="Z114" s="14" t="s">
        <v>213</v>
      </c>
      <c r="AA114" s="75">
        <v>45839</v>
      </c>
      <c r="AB114" s="90">
        <v>0.53263888888888888</v>
      </c>
      <c r="AC114" s="90">
        <v>0.5</v>
      </c>
      <c r="AD114" s="14" t="s">
        <v>146</v>
      </c>
      <c r="AE114" s="14" t="s">
        <v>730</v>
      </c>
      <c r="AF114" s="74" t="s">
        <v>809</v>
      </c>
      <c r="AG114" s="90">
        <v>0.53263888888888888</v>
      </c>
      <c r="AH114" s="77">
        <v>45839</v>
      </c>
      <c r="AI114" s="14" t="s">
        <v>146</v>
      </c>
      <c r="AJ114" s="14" t="s">
        <v>148</v>
      </c>
      <c r="AK114" s="14" t="s">
        <v>1138</v>
      </c>
      <c r="AL114" s="14">
        <v>2025</v>
      </c>
      <c r="AM114" s="14">
        <v>27</v>
      </c>
      <c r="AN114" s="14">
        <v>1</v>
      </c>
      <c r="AO114" s="14" t="s">
        <v>731</v>
      </c>
      <c r="AP114" s="14" t="s">
        <v>151</v>
      </c>
    </row>
    <row r="115" spans="1:42" x14ac:dyDescent="0.25">
      <c r="A115" s="74" t="s">
        <v>1139</v>
      </c>
      <c r="B115" s="75">
        <v>45840</v>
      </c>
      <c r="C115" s="89">
        <v>0.48958333333333331</v>
      </c>
      <c r="D115" s="14" t="s">
        <v>242</v>
      </c>
      <c r="G115" s="14" t="s">
        <v>1140</v>
      </c>
      <c r="H115" s="74" t="s">
        <v>208</v>
      </c>
      <c r="I115" s="74">
        <v>8</v>
      </c>
      <c r="J115" s="14" t="s">
        <v>1141</v>
      </c>
      <c r="U115" s="14" t="s">
        <v>480</v>
      </c>
      <c r="V115" s="14" t="s">
        <v>210</v>
      </c>
      <c r="W115" s="14" t="s">
        <v>211</v>
      </c>
      <c r="X115" s="14" t="s">
        <v>350</v>
      </c>
      <c r="Y115" s="14" t="s">
        <v>166</v>
      </c>
      <c r="Z115" s="14"/>
      <c r="AA115" s="75">
        <v>45840</v>
      </c>
      <c r="AB115" s="90">
        <v>0.48958333333333331</v>
      </c>
      <c r="AC115" s="90">
        <v>0.45833333333333331</v>
      </c>
      <c r="AD115" s="14" t="s">
        <v>276</v>
      </c>
      <c r="AE115" s="14" t="s">
        <v>242</v>
      </c>
      <c r="AF115" s="74" t="s">
        <v>809</v>
      </c>
      <c r="AG115" s="90">
        <v>0.48958333333333331</v>
      </c>
      <c r="AH115" s="77">
        <v>45840</v>
      </c>
      <c r="AI115" s="14" t="s">
        <v>276</v>
      </c>
      <c r="AJ115" s="14" t="s">
        <v>239</v>
      </c>
      <c r="AK115" s="14" t="s">
        <v>1138</v>
      </c>
      <c r="AL115" s="14">
        <v>2025</v>
      </c>
      <c r="AM115" s="14">
        <v>27</v>
      </c>
      <c r="AN115" s="14">
        <v>2</v>
      </c>
      <c r="AO115" s="14" t="s">
        <v>1142</v>
      </c>
      <c r="AP115" s="14" t="s">
        <v>151</v>
      </c>
    </row>
    <row r="116" spans="1:42" x14ac:dyDescent="0.25">
      <c r="A116" s="74" t="s">
        <v>1147</v>
      </c>
      <c r="B116" s="75">
        <v>45841</v>
      </c>
      <c r="C116" s="89">
        <v>0.625</v>
      </c>
      <c r="D116" s="14" t="s">
        <v>136</v>
      </c>
      <c r="E116" s="14" t="s">
        <v>189</v>
      </c>
      <c r="G116" s="14" t="s">
        <v>1148</v>
      </c>
      <c r="H116" s="74" t="s">
        <v>414</v>
      </c>
      <c r="I116" s="74">
        <v>7</v>
      </c>
      <c r="J116" s="14" t="s">
        <v>1149</v>
      </c>
      <c r="U116" s="14" t="s">
        <v>467</v>
      </c>
      <c r="V116" s="14" t="s">
        <v>1150</v>
      </c>
      <c r="W116" s="14" t="s">
        <v>142</v>
      </c>
      <c r="X116" s="14" t="s">
        <v>194</v>
      </c>
      <c r="Y116" s="14" t="s">
        <v>283</v>
      </c>
      <c r="Z116" s="14"/>
      <c r="AA116" s="75">
        <v>45841</v>
      </c>
      <c r="AB116" s="90">
        <v>0.625</v>
      </c>
      <c r="AC116" s="90">
        <v>0.625</v>
      </c>
      <c r="AD116" s="14" t="s">
        <v>146</v>
      </c>
      <c r="AE116" s="14" t="s">
        <v>284</v>
      </c>
      <c r="AF116" s="74" t="s">
        <v>809</v>
      </c>
      <c r="AG116" s="90">
        <v>0.625</v>
      </c>
      <c r="AH116" s="77">
        <v>45841</v>
      </c>
      <c r="AI116" s="14" t="s">
        <v>146</v>
      </c>
      <c r="AJ116" s="14" t="s">
        <v>247</v>
      </c>
      <c r="AK116" s="14" t="s">
        <v>1138</v>
      </c>
      <c r="AL116" s="14">
        <v>2025</v>
      </c>
      <c r="AM116" s="14">
        <v>27</v>
      </c>
      <c r="AN116" s="14">
        <v>3</v>
      </c>
      <c r="AO116" s="14" t="s">
        <v>1151</v>
      </c>
      <c r="AP116" s="14" t="s">
        <v>200</v>
      </c>
    </row>
    <row r="117" spans="1:42" x14ac:dyDescent="0.25">
      <c r="A117" s="74" t="s">
        <v>1152</v>
      </c>
      <c r="B117" s="75">
        <v>45845</v>
      </c>
      <c r="C117" s="89">
        <v>0.60763888888888884</v>
      </c>
      <c r="D117" s="14" t="s">
        <v>701</v>
      </c>
      <c r="E117" s="14" t="s">
        <v>206</v>
      </c>
      <c r="F117" s="14" t="s">
        <v>619</v>
      </c>
      <c r="G117" s="14" t="s">
        <v>1153</v>
      </c>
      <c r="H117" s="74" t="s">
        <v>288</v>
      </c>
      <c r="I117" s="74">
        <v>5</v>
      </c>
      <c r="J117" s="14" t="s">
        <v>1154</v>
      </c>
      <c r="U117" s="14" t="s">
        <v>193</v>
      </c>
      <c r="V117" s="14" t="s">
        <v>454</v>
      </c>
      <c r="W117" s="14" t="s">
        <v>328</v>
      </c>
      <c r="X117" s="14" t="s">
        <v>228</v>
      </c>
      <c r="Y117" s="14" t="s">
        <v>320</v>
      </c>
      <c r="Z117" s="14"/>
      <c r="AA117" s="75">
        <v>45845</v>
      </c>
      <c r="AB117" s="90">
        <v>0.60763888888888884</v>
      </c>
      <c r="AC117" s="90">
        <v>0.58333333333333337</v>
      </c>
      <c r="AD117" s="14" t="s">
        <v>146</v>
      </c>
      <c r="AE117" s="14" t="s">
        <v>1156</v>
      </c>
      <c r="AF117" s="74" t="s">
        <v>809</v>
      </c>
      <c r="AG117" s="90">
        <v>0.60763888888888884</v>
      </c>
      <c r="AH117" s="77">
        <v>45845</v>
      </c>
      <c r="AI117" s="14" t="s">
        <v>146</v>
      </c>
      <c r="AJ117" s="14" t="s">
        <v>183</v>
      </c>
      <c r="AK117" s="14" t="s">
        <v>1138</v>
      </c>
      <c r="AL117" s="14">
        <v>2025</v>
      </c>
      <c r="AM117" s="14">
        <v>28</v>
      </c>
      <c r="AN117" s="14">
        <v>7</v>
      </c>
      <c r="AO117" s="14" t="s">
        <v>1155</v>
      </c>
      <c r="AP117" s="14" t="s">
        <v>151</v>
      </c>
    </row>
    <row r="118" spans="1:42" x14ac:dyDescent="0.25">
      <c r="A118" s="74" t="s">
        <v>1157</v>
      </c>
      <c r="B118" s="75">
        <v>45846</v>
      </c>
      <c r="C118" s="89">
        <v>0.82291666666666663</v>
      </c>
      <c r="D118" s="14" t="s">
        <v>242</v>
      </c>
      <c r="G118" s="14" t="s">
        <v>1158</v>
      </c>
      <c r="H118" s="74" t="s">
        <v>208</v>
      </c>
      <c r="I118" s="74">
        <v>8</v>
      </c>
      <c r="J118" s="14" t="s">
        <v>1159</v>
      </c>
      <c r="U118" s="14" t="s">
        <v>193</v>
      </c>
      <c r="V118" s="14" t="s">
        <v>393</v>
      </c>
      <c r="W118" s="14" t="s">
        <v>384</v>
      </c>
      <c r="X118" s="14" t="s">
        <v>257</v>
      </c>
      <c r="Y118" s="14" t="s">
        <v>181</v>
      </c>
      <c r="Z118" s="14"/>
      <c r="AA118" s="75">
        <v>45846</v>
      </c>
      <c r="AB118" s="90">
        <v>0.82291666666666663</v>
      </c>
      <c r="AC118" s="90">
        <v>0.79166666666666663</v>
      </c>
      <c r="AD118" s="14" t="s">
        <v>266</v>
      </c>
      <c r="AE118" s="14" t="s">
        <v>242</v>
      </c>
      <c r="AF118" s="74" t="s">
        <v>809</v>
      </c>
      <c r="AG118" s="90">
        <v>0.82291666666666663</v>
      </c>
      <c r="AH118" s="77">
        <v>45846</v>
      </c>
      <c r="AI118" s="14" t="s">
        <v>266</v>
      </c>
      <c r="AJ118" s="14" t="s">
        <v>148</v>
      </c>
      <c r="AK118" s="14" t="s">
        <v>1138</v>
      </c>
      <c r="AL118" s="14">
        <v>2025</v>
      </c>
      <c r="AM118" s="14">
        <v>28</v>
      </c>
      <c r="AN118" s="14">
        <v>8</v>
      </c>
      <c r="AO118" s="14" t="s">
        <v>240</v>
      </c>
      <c r="AP118" s="14" t="s">
        <v>151</v>
      </c>
    </row>
    <row r="119" spans="1:42" x14ac:dyDescent="0.25">
      <c r="A119" s="74" t="s">
        <v>1160</v>
      </c>
      <c r="B119" s="75">
        <v>45848</v>
      </c>
      <c r="C119" s="89">
        <v>9.8611111111111108E-2</v>
      </c>
      <c r="D119" s="14" t="s">
        <v>206</v>
      </c>
      <c r="E119" s="14" t="s">
        <v>388</v>
      </c>
      <c r="F119" s="14" t="s">
        <v>629</v>
      </c>
      <c r="G119" s="14" t="s">
        <v>1161</v>
      </c>
      <c r="H119" s="74" t="s">
        <v>644</v>
      </c>
      <c r="I119" s="74">
        <v>7</v>
      </c>
      <c r="J119" s="14" t="s">
        <v>1162</v>
      </c>
      <c r="U119" s="14" t="s">
        <v>392</v>
      </c>
      <c r="V119" s="14" t="s">
        <v>585</v>
      </c>
      <c r="W119" s="14" t="s">
        <v>164</v>
      </c>
      <c r="X119" s="14" t="s">
        <v>488</v>
      </c>
      <c r="Y119" s="14" t="s">
        <v>181</v>
      </c>
      <c r="Z119" s="14"/>
      <c r="AA119" s="75">
        <v>45848</v>
      </c>
      <c r="AB119" s="90">
        <v>9.8611111111111108E-2</v>
      </c>
      <c r="AC119" s="90">
        <v>8.3333333333333329E-2</v>
      </c>
      <c r="AD119" s="14" t="s">
        <v>343</v>
      </c>
      <c r="AE119" s="14" t="s">
        <v>1165</v>
      </c>
      <c r="AF119" s="74" t="s">
        <v>809</v>
      </c>
      <c r="AG119" s="90">
        <v>9.8611111111111108E-2</v>
      </c>
      <c r="AH119" s="77">
        <v>45848</v>
      </c>
      <c r="AI119" s="14" t="s">
        <v>343</v>
      </c>
      <c r="AJ119" s="14" t="s">
        <v>247</v>
      </c>
      <c r="AK119" s="14" t="s">
        <v>1138</v>
      </c>
      <c r="AL119" s="14">
        <v>2025</v>
      </c>
      <c r="AM119" s="14">
        <v>28</v>
      </c>
      <c r="AN119" s="14">
        <v>10</v>
      </c>
      <c r="AO119" s="14" t="s">
        <v>1164</v>
      </c>
      <c r="AP119" s="14" t="s">
        <v>151</v>
      </c>
    </row>
    <row r="120" spans="1:42" x14ac:dyDescent="0.25">
      <c r="A120" s="74" t="s">
        <v>1166</v>
      </c>
      <c r="B120" s="75">
        <v>45849</v>
      </c>
      <c r="C120" s="89">
        <v>4.8946759259259259E-2</v>
      </c>
      <c r="D120" s="14" t="s">
        <v>779</v>
      </c>
      <c r="E120" s="14" t="s">
        <v>206</v>
      </c>
      <c r="F120" s="14" t="s">
        <v>556</v>
      </c>
      <c r="G120" s="14" t="s">
        <v>1167</v>
      </c>
      <c r="H120" s="74" t="s">
        <v>315</v>
      </c>
      <c r="I120" s="74">
        <v>6</v>
      </c>
      <c r="J120" s="14" t="s">
        <v>1168</v>
      </c>
      <c r="U120" s="14" t="s">
        <v>392</v>
      </c>
      <c r="V120" s="14" t="s">
        <v>1135</v>
      </c>
      <c r="W120" s="14" t="s">
        <v>542</v>
      </c>
      <c r="X120" s="14"/>
      <c r="Y120" s="14"/>
      <c r="Z120" s="14"/>
      <c r="AA120" s="75">
        <v>45849</v>
      </c>
      <c r="AB120" s="90">
        <v>4.8946759259259259E-2</v>
      </c>
      <c r="AC120" s="90">
        <v>4.1666666666666664E-2</v>
      </c>
      <c r="AD120" s="14" t="s">
        <v>343</v>
      </c>
      <c r="AE120" s="14" t="s">
        <v>1170</v>
      </c>
      <c r="AF120" s="74" t="s">
        <v>809</v>
      </c>
      <c r="AG120" s="90">
        <v>4.8946759259259259E-2</v>
      </c>
      <c r="AH120" s="77">
        <v>45849</v>
      </c>
      <c r="AI120" s="14" t="s">
        <v>343</v>
      </c>
      <c r="AJ120" s="14" t="s">
        <v>170</v>
      </c>
      <c r="AK120" s="14" t="s">
        <v>1138</v>
      </c>
      <c r="AL120" s="14">
        <v>2025</v>
      </c>
      <c r="AM120" s="14">
        <v>28</v>
      </c>
      <c r="AN120" s="14">
        <v>11</v>
      </c>
      <c r="AO120" s="14" t="s">
        <v>1169</v>
      </c>
      <c r="AP120" s="14" t="s">
        <v>151</v>
      </c>
    </row>
    <row r="121" spans="1:42" x14ac:dyDescent="0.25">
      <c r="A121" s="74" t="s">
        <v>1171</v>
      </c>
      <c r="B121" s="75">
        <v>45851</v>
      </c>
      <c r="C121" s="89">
        <v>0.1125</v>
      </c>
      <c r="D121" s="14" t="s">
        <v>136</v>
      </c>
      <c r="G121" s="14" t="s">
        <v>1172</v>
      </c>
      <c r="H121" s="74" t="s">
        <v>315</v>
      </c>
      <c r="J121" s="14" t="s">
        <v>1173</v>
      </c>
      <c r="U121" s="14" t="s">
        <v>709</v>
      </c>
      <c r="V121" s="14" t="s">
        <v>443</v>
      </c>
      <c r="W121" s="14" t="s">
        <v>444</v>
      </c>
      <c r="X121" s="14" t="s">
        <v>534</v>
      </c>
      <c r="Y121" s="14" t="s">
        <v>301</v>
      </c>
      <c r="Z121" s="14"/>
      <c r="AA121" s="75">
        <v>45851</v>
      </c>
      <c r="AB121" s="90">
        <v>0.1125</v>
      </c>
      <c r="AC121" s="90">
        <v>8.3333333333333329E-2</v>
      </c>
      <c r="AD121" s="14" t="s">
        <v>343</v>
      </c>
      <c r="AE121" s="14" t="s">
        <v>136</v>
      </c>
      <c r="AF121" s="74" t="s">
        <v>809</v>
      </c>
      <c r="AG121" s="90">
        <v>0.1125</v>
      </c>
      <c r="AH121" s="77">
        <v>45851</v>
      </c>
      <c r="AI121" s="14" t="s">
        <v>343</v>
      </c>
      <c r="AJ121" s="14" t="s">
        <v>311</v>
      </c>
      <c r="AK121" s="14" t="s">
        <v>1138</v>
      </c>
      <c r="AL121" s="14">
        <v>2025</v>
      </c>
      <c r="AM121" s="14">
        <v>29</v>
      </c>
      <c r="AN121" s="14">
        <v>13</v>
      </c>
      <c r="AO121" s="14" t="s">
        <v>699</v>
      </c>
      <c r="AP121" s="14" t="s">
        <v>151</v>
      </c>
    </row>
    <row r="122" spans="1:42" x14ac:dyDescent="0.25">
      <c r="A122" s="74" t="s">
        <v>1174</v>
      </c>
      <c r="B122" s="75">
        <v>45851</v>
      </c>
      <c r="C122" s="89">
        <v>0.5543865740740741</v>
      </c>
      <c r="D122" s="14" t="s">
        <v>242</v>
      </c>
      <c r="G122" s="14" t="s">
        <v>1175</v>
      </c>
      <c r="H122" s="74" t="s">
        <v>358</v>
      </c>
      <c r="I122" s="74">
        <v>8</v>
      </c>
      <c r="J122" s="14" t="s">
        <v>1176</v>
      </c>
      <c r="K122" s="14">
        <v>1200</v>
      </c>
      <c r="U122" s="14" t="s">
        <v>709</v>
      </c>
      <c r="V122" s="14" t="s">
        <v>1177</v>
      </c>
      <c r="W122" s="14" t="s">
        <v>542</v>
      </c>
      <c r="X122" s="14" t="s">
        <v>488</v>
      </c>
      <c r="Y122" s="14" t="s">
        <v>181</v>
      </c>
      <c r="Z122" s="14"/>
      <c r="AA122" s="75">
        <v>45851</v>
      </c>
      <c r="AB122" s="90">
        <v>0.5543865740740741</v>
      </c>
      <c r="AC122" s="90">
        <v>0.54166666666666663</v>
      </c>
      <c r="AD122" s="14" t="s">
        <v>146</v>
      </c>
      <c r="AE122" s="14" t="s">
        <v>242</v>
      </c>
      <c r="AF122" s="74" t="s">
        <v>809</v>
      </c>
      <c r="AG122" s="90">
        <v>0.5543865740740741</v>
      </c>
      <c r="AH122" s="77">
        <v>45851</v>
      </c>
      <c r="AI122" s="14" t="s">
        <v>146</v>
      </c>
      <c r="AJ122" s="14" t="s">
        <v>311</v>
      </c>
      <c r="AK122" s="14" t="s">
        <v>1138</v>
      </c>
      <c r="AL122" s="14">
        <v>2025</v>
      </c>
      <c r="AM122" s="14">
        <v>29</v>
      </c>
      <c r="AN122" s="14">
        <v>13</v>
      </c>
      <c r="AO122" s="14" t="s">
        <v>885</v>
      </c>
      <c r="AP122" s="14" t="s">
        <v>151</v>
      </c>
    </row>
    <row r="123" spans="1:42" x14ac:dyDescent="0.25">
      <c r="A123" s="74" t="s">
        <v>1178</v>
      </c>
      <c r="B123" s="75">
        <v>45851</v>
      </c>
      <c r="C123" s="89">
        <v>0.52083333333333337</v>
      </c>
      <c r="D123" s="14" t="s">
        <v>242</v>
      </c>
      <c r="G123" s="14" t="s">
        <v>1175</v>
      </c>
      <c r="H123" s="74" t="s">
        <v>358</v>
      </c>
      <c r="I123" s="74">
        <v>8</v>
      </c>
      <c r="J123" s="14" t="s">
        <v>1179</v>
      </c>
      <c r="U123" s="14" t="s">
        <v>709</v>
      </c>
      <c r="V123" s="14" t="s">
        <v>787</v>
      </c>
      <c r="W123" s="14" t="s">
        <v>542</v>
      </c>
      <c r="X123" s="14" t="s">
        <v>488</v>
      </c>
      <c r="Y123" s="14" t="s">
        <v>181</v>
      </c>
      <c r="Z123" s="14"/>
      <c r="AA123" s="75">
        <v>45851</v>
      </c>
      <c r="AB123" s="90">
        <v>0.52083333333333337</v>
      </c>
      <c r="AC123" s="90">
        <v>0.5</v>
      </c>
      <c r="AD123" s="14" t="s">
        <v>146</v>
      </c>
      <c r="AE123" s="14" t="s">
        <v>242</v>
      </c>
      <c r="AF123" s="74" t="s">
        <v>809</v>
      </c>
      <c r="AG123" s="90">
        <v>0.52083333333333337</v>
      </c>
      <c r="AH123" s="77">
        <v>45851</v>
      </c>
      <c r="AI123" s="14" t="s">
        <v>146</v>
      </c>
      <c r="AJ123" s="14" t="s">
        <v>311</v>
      </c>
      <c r="AK123" s="14" t="s">
        <v>1138</v>
      </c>
      <c r="AL123" s="14">
        <v>2025</v>
      </c>
      <c r="AM123" s="14">
        <v>29</v>
      </c>
      <c r="AN123" s="14">
        <v>13</v>
      </c>
      <c r="AO123" s="14" t="s">
        <v>885</v>
      </c>
      <c r="AP123" s="14" t="s">
        <v>151</v>
      </c>
    </row>
    <row r="124" spans="1:42" x14ac:dyDescent="0.25">
      <c r="A124" s="74" t="s">
        <v>1180</v>
      </c>
      <c r="B124" s="75">
        <v>45853</v>
      </c>
      <c r="C124" s="89">
        <v>0.83333333333333337</v>
      </c>
      <c r="D124" s="14" t="s">
        <v>174</v>
      </c>
      <c r="G124" s="14" t="s">
        <v>1181</v>
      </c>
      <c r="H124" s="74" t="s">
        <v>378</v>
      </c>
      <c r="I124" s="74">
        <v>6</v>
      </c>
      <c r="J124" s="14" t="s">
        <v>1182</v>
      </c>
      <c r="M124" s="14" t="s">
        <v>1183</v>
      </c>
      <c r="N124" s="14" t="s">
        <v>381</v>
      </c>
      <c r="O124" s="14" t="s">
        <v>1184</v>
      </c>
      <c r="P124" s="14" t="s">
        <v>161</v>
      </c>
      <c r="U124" s="14" t="s">
        <v>162</v>
      </c>
      <c r="V124" s="14" t="s">
        <v>530</v>
      </c>
      <c r="W124" s="14" t="s">
        <v>384</v>
      </c>
      <c r="X124" s="14" t="s">
        <v>257</v>
      </c>
      <c r="Y124" s="14" t="s">
        <v>320</v>
      </c>
      <c r="Z124" s="14"/>
      <c r="AA124" s="75">
        <v>45853</v>
      </c>
      <c r="AB124" s="90">
        <v>0.83333333333333337</v>
      </c>
      <c r="AC124" s="90">
        <v>0.83333333333333337</v>
      </c>
      <c r="AD124" s="14" t="s">
        <v>168</v>
      </c>
      <c r="AE124" s="14" t="s">
        <v>174</v>
      </c>
      <c r="AF124" s="74" t="s">
        <v>809</v>
      </c>
      <c r="AG124" s="90">
        <v>0.83333333333333337</v>
      </c>
      <c r="AH124" s="77">
        <v>45853</v>
      </c>
      <c r="AI124" s="14" t="s">
        <v>168</v>
      </c>
      <c r="AJ124" s="14" t="s">
        <v>148</v>
      </c>
      <c r="AK124" s="14" t="s">
        <v>1138</v>
      </c>
      <c r="AL124" s="14">
        <v>2025</v>
      </c>
      <c r="AM124" s="14">
        <v>29</v>
      </c>
      <c r="AN124" s="14">
        <v>15</v>
      </c>
      <c r="AO124" s="14" t="s">
        <v>783</v>
      </c>
      <c r="AP124" s="14" t="s">
        <v>151</v>
      </c>
    </row>
    <row r="125" spans="1:42" x14ac:dyDescent="0.25">
      <c r="A125" s="74" t="s">
        <v>1185</v>
      </c>
      <c r="B125" s="75">
        <v>45855</v>
      </c>
      <c r="C125" s="89">
        <v>0.95909722222222227</v>
      </c>
      <c r="D125" s="14" t="s">
        <v>136</v>
      </c>
      <c r="E125" s="14" t="s">
        <v>189</v>
      </c>
      <c r="F125" s="14" t="s">
        <v>204</v>
      </c>
      <c r="G125" s="14" t="s">
        <v>1186</v>
      </c>
      <c r="H125" s="74" t="s">
        <v>378</v>
      </c>
      <c r="I125" s="74">
        <v>5</v>
      </c>
      <c r="J125" s="14" t="s">
        <v>1187</v>
      </c>
      <c r="U125" s="14" t="s">
        <v>193</v>
      </c>
      <c r="V125" s="14" t="s">
        <v>265</v>
      </c>
      <c r="W125" s="14" t="s">
        <v>164</v>
      </c>
      <c r="X125" s="14" t="s">
        <v>1188</v>
      </c>
      <c r="Y125" s="14" t="s">
        <v>181</v>
      </c>
      <c r="Z125" s="14"/>
      <c r="AA125" s="75">
        <v>45855</v>
      </c>
      <c r="AB125" s="90">
        <v>0.95909722222222227</v>
      </c>
      <c r="AC125" s="90">
        <v>0.95833333333333337</v>
      </c>
      <c r="AD125" s="14" t="s">
        <v>168</v>
      </c>
      <c r="AE125" s="14" t="s">
        <v>1190</v>
      </c>
      <c r="AF125" s="74" t="s">
        <v>809</v>
      </c>
      <c r="AG125" s="90">
        <v>0.95909722222222227</v>
      </c>
      <c r="AH125" s="77">
        <v>45855</v>
      </c>
      <c r="AI125" s="14" t="s">
        <v>168</v>
      </c>
      <c r="AJ125" s="14" t="s">
        <v>247</v>
      </c>
      <c r="AK125" s="14" t="s">
        <v>1138</v>
      </c>
      <c r="AL125" s="14">
        <v>2025</v>
      </c>
      <c r="AM125" s="14">
        <v>29</v>
      </c>
      <c r="AN125" s="14">
        <v>17</v>
      </c>
      <c r="AO125" s="14" t="s">
        <v>1189</v>
      </c>
      <c r="AP125" s="14" t="s">
        <v>216</v>
      </c>
    </row>
    <row r="126" spans="1:42" x14ac:dyDescent="0.25">
      <c r="A126" s="74" t="s">
        <v>1191</v>
      </c>
      <c r="B126" s="75">
        <v>45855</v>
      </c>
      <c r="C126" s="89">
        <v>0.6875</v>
      </c>
      <c r="D126" s="14" t="s">
        <v>206</v>
      </c>
      <c r="G126" s="14" t="s">
        <v>1153</v>
      </c>
      <c r="H126" s="74" t="s">
        <v>288</v>
      </c>
      <c r="I126" s="74">
        <v>5</v>
      </c>
      <c r="J126" s="14" t="s">
        <v>1192</v>
      </c>
      <c r="U126" s="14" t="s">
        <v>193</v>
      </c>
      <c r="V126" s="14" t="s">
        <v>1193</v>
      </c>
      <c r="X126" s="14" t="s">
        <v>180</v>
      </c>
      <c r="Y126" s="14" t="s">
        <v>181</v>
      </c>
      <c r="Z126" s="14"/>
      <c r="AA126" s="75">
        <v>45855</v>
      </c>
      <c r="AB126" s="90">
        <v>0.6875</v>
      </c>
      <c r="AC126" s="90">
        <v>0.66666666666666663</v>
      </c>
      <c r="AD126" s="14" t="s">
        <v>266</v>
      </c>
      <c r="AE126" s="14" t="s">
        <v>206</v>
      </c>
      <c r="AF126" s="74" t="s">
        <v>809</v>
      </c>
      <c r="AG126" s="90">
        <v>0.6875</v>
      </c>
      <c r="AH126" s="77">
        <v>45855</v>
      </c>
      <c r="AI126" s="14" t="s">
        <v>266</v>
      </c>
      <c r="AJ126" s="14" t="s">
        <v>247</v>
      </c>
      <c r="AK126" s="14" t="s">
        <v>1138</v>
      </c>
      <c r="AL126" s="14">
        <v>2025</v>
      </c>
      <c r="AM126" s="14">
        <v>29</v>
      </c>
      <c r="AN126" s="14">
        <v>17</v>
      </c>
      <c r="AO126" s="14" t="s">
        <v>1155</v>
      </c>
      <c r="AP126" s="14" t="s">
        <v>151</v>
      </c>
    </row>
    <row r="127" spans="1:42" x14ac:dyDescent="0.25">
      <c r="A127" s="74" t="s">
        <v>1194</v>
      </c>
      <c r="B127" s="75">
        <v>45856</v>
      </c>
      <c r="C127" s="89">
        <v>0.97986111111111107</v>
      </c>
      <c r="D127" s="14" t="s">
        <v>174</v>
      </c>
      <c r="E127" s="14" t="s">
        <v>295</v>
      </c>
      <c r="G127" s="14" t="s">
        <v>1195</v>
      </c>
      <c r="H127" s="74" t="s">
        <v>325</v>
      </c>
      <c r="I127" s="74">
        <v>8</v>
      </c>
      <c r="J127" s="14" t="s">
        <v>1196</v>
      </c>
      <c r="M127" s="14" t="s">
        <v>1197</v>
      </c>
      <c r="N127" s="14" t="s">
        <v>1228</v>
      </c>
      <c r="O127" s="14" t="s">
        <v>1199</v>
      </c>
      <c r="P127" s="14" t="s">
        <v>161</v>
      </c>
      <c r="U127" s="14" t="s">
        <v>193</v>
      </c>
      <c r="V127" s="14" t="s">
        <v>265</v>
      </c>
      <c r="W127" s="14" t="s">
        <v>164</v>
      </c>
      <c r="X127" s="14" t="s">
        <v>310</v>
      </c>
      <c r="Y127" s="14" t="s">
        <v>181</v>
      </c>
      <c r="Z127" s="14"/>
      <c r="AA127" s="75">
        <v>45856</v>
      </c>
      <c r="AB127" s="90">
        <v>0.97986111111111107</v>
      </c>
      <c r="AC127" s="90">
        <v>0.95833333333333337</v>
      </c>
      <c r="AD127" s="14" t="s">
        <v>168</v>
      </c>
      <c r="AE127" s="14" t="s">
        <v>302</v>
      </c>
      <c r="AF127" s="74" t="s">
        <v>809</v>
      </c>
      <c r="AG127" s="90">
        <v>0.97986111111111107</v>
      </c>
      <c r="AH127" s="77">
        <v>45856</v>
      </c>
      <c r="AI127" s="14" t="s">
        <v>168</v>
      </c>
      <c r="AJ127" s="14" t="s">
        <v>170</v>
      </c>
      <c r="AK127" s="14" t="s">
        <v>1138</v>
      </c>
      <c r="AL127" s="14">
        <v>2025</v>
      </c>
      <c r="AM127" s="14">
        <v>29</v>
      </c>
      <c r="AN127" s="14">
        <v>18</v>
      </c>
      <c r="AO127" s="14" t="s">
        <v>1200</v>
      </c>
      <c r="AP127" s="14" t="s">
        <v>151</v>
      </c>
    </row>
    <row r="128" spans="1:42" x14ac:dyDescent="0.25">
      <c r="A128" s="74" t="s">
        <v>1201</v>
      </c>
      <c r="B128" s="75">
        <v>45856</v>
      </c>
      <c r="C128" s="89">
        <v>0.85416666666666663</v>
      </c>
      <c r="D128" s="14" t="s">
        <v>174</v>
      </c>
      <c r="G128" s="14" t="s">
        <v>1202</v>
      </c>
      <c r="H128" s="74" t="s">
        <v>325</v>
      </c>
      <c r="J128" s="14" t="s">
        <v>1203</v>
      </c>
      <c r="M128" s="14" t="s">
        <v>1229</v>
      </c>
      <c r="N128" s="14" t="s">
        <v>159</v>
      </c>
      <c r="O128" s="14" t="s">
        <v>1205</v>
      </c>
      <c r="P128" s="14" t="s">
        <v>835</v>
      </c>
      <c r="U128" s="14" t="s">
        <v>709</v>
      </c>
      <c r="V128" s="14" t="s">
        <v>1206</v>
      </c>
      <c r="W128" s="14" t="s">
        <v>256</v>
      </c>
      <c r="X128" s="14" t="s">
        <v>310</v>
      </c>
      <c r="Y128" s="14" t="s">
        <v>181</v>
      </c>
      <c r="Z128" s="14"/>
      <c r="AA128" s="75">
        <v>45856</v>
      </c>
      <c r="AB128" s="90">
        <v>0.85416666666666663</v>
      </c>
      <c r="AC128" s="90">
        <v>0.83333333333333337</v>
      </c>
      <c r="AD128" s="14" t="s">
        <v>168</v>
      </c>
      <c r="AE128" s="14" t="s">
        <v>174</v>
      </c>
      <c r="AF128" s="74" t="s">
        <v>809</v>
      </c>
      <c r="AG128" s="90">
        <v>0.85416666666666663</v>
      </c>
      <c r="AH128" s="77">
        <v>45856</v>
      </c>
      <c r="AI128" s="14" t="s">
        <v>168</v>
      </c>
      <c r="AJ128" s="14" t="s">
        <v>170</v>
      </c>
      <c r="AK128" s="14" t="s">
        <v>1138</v>
      </c>
      <c r="AL128" s="14">
        <v>2025</v>
      </c>
      <c r="AM128" s="14">
        <v>29</v>
      </c>
      <c r="AN128" s="14">
        <v>18</v>
      </c>
      <c r="AO128" s="14" t="s">
        <v>1207</v>
      </c>
      <c r="AP128" s="14" t="s">
        <v>151</v>
      </c>
    </row>
    <row r="129" spans="1:42" x14ac:dyDescent="0.25">
      <c r="A129" s="74" t="s">
        <v>1208</v>
      </c>
      <c r="B129" s="75">
        <v>45856</v>
      </c>
      <c r="C129" s="89">
        <v>0.85416666666666663</v>
      </c>
      <c r="D129" s="14" t="s">
        <v>174</v>
      </c>
      <c r="G129" s="14" t="s">
        <v>1202</v>
      </c>
      <c r="J129" s="14" t="s">
        <v>1203</v>
      </c>
      <c r="M129" s="14" t="s">
        <v>1230</v>
      </c>
      <c r="N129" s="14" t="s">
        <v>159</v>
      </c>
      <c r="O129" s="14" t="s">
        <v>299</v>
      </c>
      <c r="P129" s="14" t="s">
        <v>835</v>
      </c>
      <c r="U129" s="14" t="s">
        <v>709</v>
      </c>
      <c r="V129" s="14" t="s">
        <v>1206</v>
      </c>
      <c r="W129" s="14" t="s">
        <v>256</v>
      </c>
      <c r="X129" s="14" t="s">
        <v>310</v>
      </c>
      <c r="Y129" s="14" t="s">
        <v>181</v>
      </c>
      <c r="Z129" s="14"/>
      <c r="AA129" s="75">
        <v>45856</v>
      </c>
      <c r="AB129" s="90">
        <v>0.85416666666666663</v>
      </c>
      <c r="AC129" s="90">
        <v>0.83333333333333337</v>
      </c>
      <c r="AD129" s="14" t="s">
        <v>168</v>
      </c>
      <c r="AE129" s="14" t="s">
        <v>174</v>
      </c>
      <c r="AF129" s="74" t="s">
        <v>809</v>
      </c>
      <c r="AG129" s="90">
        <v>0.85416666666666663</v>
      </c>
      <c r="AH129" s="77">
        <v>45856</v>
      </c>
      <c r="AI129" s="14" t="s">
        <v>168</v>
      </c>
      <c r="AJ129" s="14" t="s">
        <v>170</v>
      </c>
      <c r="AK129" s="14" t="s">
        <v>1138</v>
      </c>
      <c r="AL129" s="14">
        <v>2025</v>
      </c>
      <c r="AM129" s="14">
        <v>29</v>
      </c>
      <c r="AN129" s="14">
        <v>18</v>
      </c>
      <c r="AO129" s="14" t="s">
        <v>1207</v>
      </c>
      <c r="AP129" s="14" t="s">
        <v>151</v>
      </c>
    </row>
    <row r="130" spans="1:42" x14ac:dyDescent="0.25">
      <c r="A130" s="74" t="s">
        <v>1210</v>
      </c>
      <c r="B130" s="75">
        <v>45856</v>
      </c>
      <c r="C130" s="89">
        <v>0.85416666666666663</v>
      </c>
      <c r="D130" s="14" t="s">
        <v>174</v>
      </c>
      <c r="G130" s="14" t="s">
        <v>1202</v>
      </c>
      <c r="H130" s="74" t="s">
        <v>325</v>
      </c>
      <c r="I130" s="74">
        <v>8</v>
      </c>
      <c r="J130" s="14" t="s">
        <v>1211</v>
      </c>
      <c r="M130" s="14" t="s">
        <v>1231</v>
      </c>
      <c r="N130" s="14" t="s">
        <v>273</v>
      </c>
      <c r="O130" s="14" t="s">
        <v>1213</v>
      </c>
      <c r="P130" s="14" t="s">
        <v>161</v>
      </c>
      <c r="U130" s="14" t="s">
        <v>709</v>
      </c>
      <c r="V130" s="14" t="s">
        <v>1206</v>
      </c>
      <c r="W130" s="14" t="s">
        <v>256</v>
      </c>
      <c r="X130" s="14" t="s">
        <v>310</v>
      </c>
      <c r="Y130" s="14" t="s">
        <v>181</v>
      </c>
      <c r="Z130" s="14"/>
      <c r="AA130" s="75">
        <v>45856</v>
      </c>
      <c r="AB130" s="90">
        <v>0.85416666666666663</v>
      </c>
      <c r="AC130" s="90">
        <v>0.83333333333333337</v>
      </c>
      <c r="AD130" s="14" t="s">
        <v>168</v>
      </c>
      <c r="AE130" s="14" t="s">
        <v>174</v>
      </c>
      <c r="AF130" s="74" t="s">
        <v>809</v>
      </c>
      <c r="AG130" s="90">
        <v>0.85416666666666663</v>
      </c>
      <c r="AH130" s="77">
        <v>45856</v>
      </c>
      <c r="AI130" s="14" t="s">
        <v>168</v>
      </c>
      <c r="AJ130" s="14" t="s">
        <v>170</v>
      </c>
      <c r="AK130" s="14" t="s">
        <v>1138</v>
      </c>
      <c r="AL130" s="14">
        <v>2025</v>
      </c>
      <c r="AM130" s="14">
        <v>29</v>
      </c>
      <c r="AN130" s="14">
        <v>18</v>
      </c>
      <c r="AO130" s="14" t="s">
        <v>1207</v>
      </c>
      <c r="AP130" s="14" t="s">
        <v>151</v>
      </c>
    </row>
    <row r="131" spans="1:42" x14ac:dyDescent="0.25">
      <c r="A131" s="74" t="s">
        <v>1214</v>
      </c>
      <c r="C131" s="89"/>
      <c r="D131" s="14" t="s">
        <v>242</v>
      </c>
      <c r="F131" s="14" t="s">
        <v>154</v>
      </c>
      <c r="G131" s="14" t="s">
        <v>1215</v>
      </c>
      <c r="H131" s="74" t="s">
        <v>516</v>
      </c>
      <c r="I131" s="74">
        <v>9</v>
      </c>
      <c r="J131" s="14" t="s">
        <v>1216</v>
      </c>
      <c r="M131" s="14" t="s">
        <v>1217</v>
      </c>
      <c r="N131" s="14" t="s">
        <v>1218</v>
      </c>
      <c r="O131" s="14" t="s">
        <v>1219</v>
      </c>
      <c r="P131" s="14" t="s">
        <v>161</v>
      </c>
      <c r="V131" s="14" t="s">
        <v>443</v>
      </c>
      <c r="W131" s="14" t="s">
        <v>444</v>
      </c>
      <c r="X131" s="14"/>
      <c r="Y131" s="14"/>
      <c r="Z131" s="14"/>
      <c r="AA131" s="75">
        <v>45859</v>
      </c>
      <c r="AB131" s="90">
        <v>0.7746643518518519</v>
      </c>
      <c r="AC131" s="90">
        <v>0.75</v>
      </c>
      <c r="AD131" s="14" t="s">
        <v>266</v>
      </c>
      <c r="AE131" s="14" t="s">
        <v>1222</v>
      </c>
      <c r="AF131" s="74" t="s">
        <v>809</v>
      </c>
      <c r="AG131" s="90">
        <v>0.7746643518518519</v>
      </c>
      <c r="AH131" s="77">
        <v>45859</v>
      </c>
      <c r="AI131" s="14" t="s">
        <v>266</v>
      </c>
      <c r="AJ131" s="14" t="s">
        <v>183</v>
      </c>
      <c r="AK131" s="14" t="s">
        <v>1138</v>
      </c>
      <c r="AL131" s="14">
        <v>2025</v>
      </c>
      <c r="AM131" s="14">
        <v>30</v>
      </c>
      <c r="AN131" s="14">
        <v>21</v>
      </c>
      <c r="AO131" s="14" t="s">
        <v>1221</v>
      </c>
      <c r="AP131" s="14" t="s">
        <v>151</v>
      </c>
    </row>
  </sheetData>
  <phoneticPr fontId="9" type="noConversion"/>
  <conditionalFormatting sqref="A2:AP131">
    <cfRule type="expression" dxfId="681" priority="1" stopIfTrue="1">
      <formula>$AF2="7-Day"</formula>
    </cfRule>
    <cfRule type="expression" dxfId="680" priority="2" stopIfTrue="1">
      <formula>$AF2="28-Day"</formula>
    </cfRule>
    <cfRule type="expression" dxfId="679" priority="3" stopIfTrue="1">
      <formula>$AF2="YTD"</formula>
    </cfRule>
    <cfRule type="expression" dxfId="678" priority="4" stopIfTrue="1">
      <formula>$AF2="Historical"</formula>
    </cfRule>
  </conditionalFormatting>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67CBC-40C3-4B34-A00F-3C00ACD084AA}">
  <sheetPr codeName="Sheet5">
    <tabColor rgb="FFFFC000"/>
  </sheetPr>
  <dimension ref="A1:AZ130"/>
  <sheetViews>
    <sheetView tabSelected="1" workbookViewId="0">
      <selection activeCell="J143" sqref="J143"/>
    </sheetView>
  </sheetViews>
  <sheetFormatPr defaultRowHeight="15" x14ac:dyDescent="0.25"/>
  <cols>
    <col min="1" max="1" width="33.5703125" bestFit="1" customWidth="1"/>
    <col min="2" max="2" width="12" bestFit="1" customWidth="1"/>
    <col min="3" max="3" width="15.85546875" bestFit="1" customWidth="1"/>
    <col min="4" max="4" width="16.140625" bestFit="1" customWidth="1"/>
    <col min="5" max="5" width="14.85546875" bestFit="1" customWidth="1"/>
    <col min="6" max="6" width="71.140625" bestFit="1" customWidth="1"/>
    <col min="7" max="7" width="15.140625" bestFit="1" customWidth="1"/>
    <col min="8" max="8" width="17" style="63" bestFit="1" customWidth="1"/>
    <col min="9" max="9" width="17.85546875" style="86" bestFit="1" customWidth="1"/>
    <col min="10" max="10" width="24.5703125" bestFit="1" customWidth="1"/>
    <col min="11" max="11" width="24.85546875" bestFit="1" customWidth="1"/>
    <col min="12" max="12" width="13.85546875" bestFit="1" customWidth="1"/>
    <col min="13" max="13" width="14.140625" bestFit="1" customWidth="1"/>
    <col min="14" max="14" width="31.5703125" bestFit="1" customWidth="1"/>
    <col min="15" max="16" width="36.28515625" bestFit="1" customWidth="1"/>
    <col min="17" max="17" width="70.5703125" bestFit="1" customWidth="1"/>
    <col min="18" max="18" width="7.140625" bestFit="1" customWidth="1"/>
    <col min="19" max="19" width="7.7109375" bestFit="1" customWidth="1"/>
    <col min="20" max="20" width="81.140625" bestFit="1" customWidth="1"/>
    <col min="21" max="21" width="19.7109375" bestFit="1" customWidth="1"/>
    <col min="22" max="22" width="21.140625" bestFit="1" customWidth="1"/>
    <col min="23" max="23" width="15.5703125" bestFit="1" customWidth="1"/>
    <col min="24" max="24" width="12" bestFit="1" customWidth="1"/>
    <col min="25" max="25" width="10.140625" bestFit="1" customWidth="1"/>
    <col min="26" max="26" width="13" bestFit="1" customWidth="1"/>
    <col min="27" max="27" width="15.5703125" bestFit="1" customWidth="1"/>
    <col min="28" max="28" width="13" bestFit="1" customWidth="1"/>
    <col min="29" max="29" width="14.85546875" bestFit="1" customWidth="1"/>
    <col min="30" max="30" width="10.140625" bestFit="1" customWidth="1"/>
    <col min="31" max="31" width="14.7109375" bestFit="1" customWidth="1"/>
    <col min="32" max="32" width="15.7109375" bestFit="1" customWidth="1"/>
    <col min="33" max="33" width="29.42578125" bestFit="1" customWidth="1"/>
    <col min="34" max="34" width="8.7109375" bestFit="1" customWidth="1"/>
    <col min="35" max="35" width="27.42578125" bestFit="1" customWidth="1"/>
    <col min="36" max="36" width="29.140625" bestFit="1" customWidth="1"/>
    <col min="37" max="37" width="45.85546875" bestFit="1" customWidth="1"/>
    <col min="38" max="38" width="27.42578125" style="87" bestFit="1" customWidth="1"/>
    <col min="39" max="39" width="17.42578125" style="63" bestFit="1" customWidth="1"/>
    <col min="40" max="40" width="12.5703125" style="86" bestFit="1" customWidth="1"/>
    <col min="41" max="41" width="13.85546875" bestFit="1" customWidth="1"/>
    <col min="42" max="42" width="25.7109375" bestFit="1" customWidth="1"/>
    <col min="43" max="43" width="48.5703125" bestFit="1" customWidth="1"/>
    <col min="44" max="44" width="81.140625" bestFit="1" customWidth="1"/>
    <col min="45" max="45" width="9.140625" bestFit="1" customWidth="1"/>
    <col min="46" max="46" width="25.7109375" bestFit="1" customWidth="1"/>
    <col min="47" max="47" width="12.28515625" bestFit="1" customWidth="1"/>
    <col min="48" max="48" width="15" bestFit="1" customWidth="1"/>
    <col min="49" max="49" width="7.28515625" bestFit="1" customWidth="1"/>
    <col min="50" max="50" width="15.42578125" bestFit="1" customWidth="1"/>
    <col min="51" max="51" width="6.5703125" bestFit="1" customWidth="1"/>
    <col min="52" max="52" width="48.5703125" bestFit="1" customWidth="1"/>
  </cols>
  <sheetData>
    <row r="1" spans="1:52" x14ac:dyDescent="0.25">
      <c r="A1" t="s">
        <v>965</v>
      </c>
      <c r="B1" t="s">
        <v>966</v>
      </c>
      <c r="C1" t="s">
        <v>967</v>
      </c>
      <c r="D1" t="s">
        <v>968</v>
      </c>
      <c r="E1" t="s">
        <v>969</v>
      </c>
      <c r="F1" t="s">
        <v>970</v>
      </c>
      <c r="G1" t="s">
        <v>93</v>
      </c>
      <c r="H1" s="63" t="s">
        <v>94</v>
      </c>
      <c r="I1" s="86" t="s">
        <v>95</v>
      </c>
      <c r="J1" t="s">
        <v>911</v>
      </c>
      <c r="K1" t="s">
        <v>912</v>
      </c>
      <c r="L1" t="s">
        <v>913</v>
      </c>
      <c r="M1" t="s">
        <v>914</v>
      </c>
      <c r="N1" t="s">
        <v>96</v>
      </c>
      <c r="O1" t="s">
        <v>97</v>
      </c>
      <c r="P1" t="s">
        <v>98</v>
      </c>
      <c r="Q1" t="s">
        <v>99</v>
      </c>
      <c r="R1" t="s">
        <v>100</v>
      </c>
      <c r="S1" t="s">
        <v>101</v>
      </c>
      <c r="T1" t="s">
        <v>102</v>
      </c>
      <c r="U1" t="s">
        <v>103</v>
      </c>
      <c r="V1" t="s">
        <v>104</v>
      </c>
      <c r="W1" t="s">
        <v>105</v>
      </c>
      <c r="X1" t="s">
        <v>106</v>
      </c>
      <c r="Y1" t="s">
        <v>107</v>
      </c>
      <c r="Z1" t="s">
        <v>108</v>
      </c>
      <c r="AA1" t="s">
        <v>109</v>
      </c>
      <c r="AB1" t="s">
        <v>110</v>
      </c>
      <c r="AC1" t="s">
        <v>111</v>
      </c>
      <c r="AD1" t="s">
        <v>112</v>
      </c>
      <c r="AE1" t="s">
        <v>113</v>
      </c>
      <c r="AF1" t="s">
        <v>915</v>
      </c>
      <c r="AG1" t="s">
        <v>114</v>
      </c>
      <c r="AH1" t="s">
        <v>115</v>
      </c>
      <c r="AI1" t="s">
        <v>116</v>
      </c>
      <c r="AJ1" t="s">
        <v>117</v>
      </c>
      <c r="AK1" t="s">
        <v>118</v>
      </c>
      <c r="AL1" s="87" t="s">
        <v>916</v>
      </c>
      <c r="AM1" s="63" t="s">
        <v>2</v>
      </c>
      <c r="AN1" s="86" t="s">
        <v>120</v>
      </c>
      <c r="AO1" t="s">
        <v>121</v>
      </c>
      <c r="AP1" t="s">
        <v>122</v>
      </c>
      <c r="AQ1" t="s">
        <v>1</v>
      </c>
      <c r="AR1" t="s">
        <v>123</v>
      </c>
      <c r="AS1" t="s">
        <v>124</v>
      </c>
      <c r="AT1" t="s">
        <v>127</v>
      </c>
      <c r="AU1" t="s">
        <v>128</v>
      </c>
      <c r="AV1" t="s">
        <v>129</v>
      </c>
      <c r="AW1" t="s">
        <v>130</v>
      </c>
      <c r="AX1" t="s">
        <v>131</v>
      </c>
      <c r="AY1" t="s">
        <v>132</v>
      </c>
      <c r="AZ1" t="s">
        <v>133</v>
      </c>
    </row>
    <row r="2" spans="1:52" hidden="1" x14ac:dyDescent="0.25">
      <c r="A2" t="s">
        <v>1243</v>
      </c>
      <c r="B2" t="s">
        <v>971</v>
      </c>
      <c r="C2" s="88">
        <v>45860.556130439814</v>
      </c>
      <c r="D2" s="88">
        <v>45860.554155092592</v>
      </c>
      <c r="E2" s="88">
        <v>45860.456824490742</v>
      </c>
      <c r="F2" t="s">
        <v>1132</v>
      </c>
      <c r="G2" t="s">
        <v>153</v>
      </c>
      <c r="H2" s="63">
        <v>45660</v>
      </c>
      <c r="I2" s="86">
        <v>0.89583333333333326</v>
      </c>
      <c r="J2" s="1">
        <v>45661</v>
      </c>
      <c r="K2" s="12">
        <v>0.2673611111111111</v>
      </c>
      <c r="L2" s="1">
        <v>45661</v>
      </c>
      <c r="M2" s="12">
        <v>0.45774305555555556</v>
      </c>
      <c r="N2" t="s">
        <v>154</v>
      </c>
      <c r="Q2" t="s">
        <v>155</v>
      </c>
      <c r="R2" t="s">
        <v>156</v>
      </c>
      <c r="S2">
        <v>9</v>
      </c>
      <c r="T2" t="s">
        <v>157</v>
      </c>
      <c r="W2" t="s">
        <v>972</v>
      </c>
      <c r="X2" t="s">
        <v>942</v>
      </c>
      <c r="Y2" t="s">
        <v>160</v>
      </c>
      <c r="Z2" t="s">
        <v>161</v>
      </c>
      <c r="AE2" t="s">
        <v>950</v>
      </c>
      <c r="AF2" t="s">
        <v>931</v>
      </c>
      <c r="AG2" t="s">
        <v>163</v>
      </c>
      <c r="AH2" t="s">
        <v>164</v>
      </c>
      <c r="AI2" t="s">
        <v>165</v>
      </c>
      <c r="AJ2" t="s">
        <v>166</v>
      </c>
      <c r="AK2" t="s">
        <v>167</v>
      </c>
      <c r="AL2" s="87">
        <v>9</v>
      </c>
      <c r="AM2" s="63">
        <v>45660</v>
      </c>
      <c r="AN2" s="86">
        <v>0.89583333333333337</v>
      </c>
      <c r="AO2" s="12">
        <v>0.875</v>
      </c>
      <c r="AP2" t="s">
        <v>168</v>
      </c>
      <c r="AQ2" t="s">
        <v>172</v>
      </c>
      <c r="AR2" t="s">
        <v>154</v>
      </c>
      <c r="AS2" t="s">
        <v>169</v>
      </c>
      <c r="AT2" t="s">
        <v>168</v>
      </c>
      <c r="AU2" t="s">
        <v>170</v>
      </c>
      <c r="AV2" t="s">
        <v>171</v>
      </c>
      <c r="AW2">
        <v>2025</v>
      </c>
      <c r="AX2">
        <v>1</v>
      </c>
      <c r="AY2">
        <v>3</v>
      </c>
      <c r="AZ2" t="s">
        <v>172</v>
      </c>
    </row>
    <row r="3" spans="1:52" hidden="1" x14ac:dyDescent="0.25">
      <c r="A3" t="s">
        <v>1243</v>
      </c>
      <c r="B3" t="s">
        <v>971</v>
      </c>
      <c r="C3" s="88">
        <v>45860.556130439814</v>
      </c>
      <c r="D3" s="88">
        <v>45860.554155092592</v>
      </c>
      <c r="E3" s="88">
        <v>45860.456824490742</v>
      </c>
      <c r="F3" t="s">
        <v>1132</v>
      </c>
      <c r="G3" t="s">
        <v>173</v>
      </c>
      <c r="H3" s="63">
        <v>45663</v>
      </c>
      <c r="I3" s="86">
        <v>0.64583333333333326</v>
      </c>
      <c r="J3" s="1">
        <v>45667</v>
      </c>
      <c r="K3" s="12"/>
      <c r="L3" s="1">
        <v>45667</v>
      </c>
      <c r="M3" s="12">
        <v>0.82629629629629631</v>
      </c>
      <c r="N3" t="s">
        <v>174</v>
      </c>
      <c r="Q3" t="s">
        <v>175</v>
      </c>
      <c r="S3">
        <v>7</v>
      </c>
      <c r="T3" t="s">
        <v>176</v>
      </c>
      <c r="W3" t="s">
        <v>177</v>
      </c>
      <c r="X3" t="s">
        <v>942</v>
      </c>
      <c r="Y3" t="s">
        <v>178</v>
      </c>
      <c r="Z3" t="s">
        <v>161</v>
      </c>
      <c r="AE3" t="s">
        <v>934</v>
      </c>
      <c r="AF3" t="s">
        <v>931</v>
      </c>
      <c r="AG3" t="s">
        <v>179</v>
      </c>
      <c r="AH3" t="s">
        <v>142</v>
      </c>
      <c r="AI3" t="s">
        <v>180</v>
      </c>
      <c r="AJ3" t="s">
        <v>181</v>
      </c>
      <c r="AK3" t="s">
        <v>182</v>
      </c>
      <c r="AL3" s="87">
        <v>9</v>
      </c>
      <c r="AM3" s="63">
        <v>45663</v>
      </c>
      <c r="AN3" s="86">
        <v>0.64583333333333337</v>
      </c>
      <c r="AO3" s="12">
        <v>0.625</v>
      </c>
      <c r="AP3" t="s">
        <v>146</v>
      </c>
      <c r="AQ3" t="s">
        <v>184</v>
      </c>
      <c r="AR3" t="s">
        <v>174</v>
      </c>
      <c r="AS3" t="s">
        <v>169</v>
      </c>
      <c r="AT3" t="s">
        <v>146</v>
      </c>
      <c r="AU3" t="s">
        <v>183</v>
      </c>
      <c r="AV3" t="s">
        <v>171</v>
      </c>
      <c r="AW3">
        <v>2025</v>
      </c>
      <c r="AX3">
        <v>2</v>
      </c>
      <c r="AY3">
        <v>6</v>
      </c>
      <c r="AZ3" t="s">
        <v>184</v>
      </c>
    </row>
    <row r="4" spans="1:52" hidden="1" x14ac:dyDescent="0.25">
      <c r="A4" t="s">
        <v>1243</v>
      </c>
      <c r="B4" t="s">
        <v>971</v>
      </c>
      <c r="C4" s="88">
        <v>45860.556130439814</v>
      </c>
      <c r="D4" s="88">
        <v>45860.554155092592</v>
      </c>
      <c r="E4" s="88">
        <v>45860.456824490742</v>
      </c>
      <c r="F4" t="s">
        <v>1132</v>
      </c>
      <c r="G4" t="s">
        <v>187</v>
      </c>
      <c r="H4" s="63">
        <v>45664</v>
      </c>
      <c r="I4" s="86">
        <v>0.58333333333333326</v>
      </c>
      <c r="J4" s="1"/>
      <c r="K4" s="12"/>
      <c r="L4" s="1">
        <v>45667</v>
      </c>
      <c r="M4" s="12">
        <v>0.59781249999999997</v>
      </c>
      <c r="N4" t="s">
        <v>188</v>
      </c>
      <c r="O4" t="s">
        <v>189</v>
      </c>
      <c r="Q4" t="s">
        <v>190</v>
      </c>
      <c r="R4" t="s">
        <v>191</v>
      </c>
      <c r="S4">
        <v>7</v>
      </c>
      <c r="T4" t="s">
        <v>192</v>
      </c>
      <c r="AE4" t="s">
        <v>930</v>
      </c>
      <c r="AF4" t="s">
        <v>931</v>
      </c>
      <c r="AG4" t="s">
        <v>194</v>
      </c>
      <c r="AH4" t="s">
        <v>195</v>
      </c>
      <c r="AI4" t="s">
        <v>196</v>
      </c>
      <c r="AJ4" t="s">
        <v>166</v>
      </c>
      <c r="AK4" t="s">
        <v>197</v>
      </c>
      <c r="AL4" s="87">
        <v>9</v>
      </c>
      <c r="AM4" s="63">
        <v>45664</v>
      </c>
      <c r="AN4" s="86">
        <v>0.58333333333333337</v>
      </c>
      <c r="AO4" s="12">
        <v>0.58333333333333337</v>
      </c>
      <c r="AP4" t="s">
        <v>146</v>
      </c>
      <c r="AQ4" t="s">
        <v>199</v>
      </c>
      <c r="AR4" t="s">
        <v>198</v>
      </c>
      <c r="AS4" t="s">
        <v>169</v>
      </c>
      <c r="AT4" t="s">
        <v>146</v>
      </c>
      <c r="AU4" t="s">
        <v>148</v>
      </c>
      <c r="AV4" t="s">
        <v>171</v>
      </c>
      <c r="AW4">
        <v>2025</v>
      </c>
      <c r="AX4">
        <v>2</v>
      </c>
      <c r="AY4">
        <v>7</v>
      </c>
      <c r="AZ4" t="s">
        <v>199</v>
      </c>
    </row>
    <row r="5" spans="1:52" hidden="1" x14ac:dyDescent="0.25">
      <c r="A5" t="s">
        <v>1243</v>
      </c>
      <c r="B5" t="s">
        <v>971</v>
      </c>
      <c r="C5" s="88">
        <v>45860.556130439814</v>
      </c>
      <c r="D5" s="88">
        <v>45860.554155092592</v>
      </c>
      <c r="E5" s="88">
        <v>45860.456824490742</v>
      </c>
      <c r="F5" t="s">
        <v>1132</v>
      </c>
      <c r="G5" t="s">
        <v>203</v>
      </c>
      <c r="H5" s="63">
        <v>45670</v>
      </c>
      <c r="I5" s="86">
        <v>0.50347222222222232</v>
      </c>
      <c r="J5" s="1"/>
      <c r="K5" s="12"/>
      <c r="L5" s="1">
        <v>45670</v>
      </c>
      <c r="M5" s="12">
        <v>0.50537037037037036</v>
      </c>
      <c r="N5" t="s">
        <v>204</v>
      </c>
      <c r="O5" t="s">
        <v>205</v>
      </c>
      <c r="P5" t="s">
        <v>206</v>
      </c>
      <c r="Q5" t="s">
        <v>207</v>
      </c>
      <c r="R5" t="s">
        <v>208</v>
      </c>
      <c r="S5">
        <v>8</v>
      </c>
      <c r="T5" t="s">
        <v>209</v>
      </c>
      <c r="AE5" t="s">
        <v>950</v>
      </c>
      <c r="AF5" t="s">
        <v>931</v>
      </c>
      <c r="AG5" t="s">
        <v>210</v>
      </c>
      <c r="AH5" t="s">
        <v>211</v>
      </c>
      <c r="AI5" t="s">
        <v>143</v>
      </c>
      <c r="AJ5" t="s">
        <v>212</v>
      </c>
      <c r="AK5" t="s">
        <v>213</v>
      </c>
      <c r="AL5" s="87">
        <v>9</v>
      </c>
      <c r="AM5" s="63">
        <v>45670</v>
      </c>
      <c r="AN5" s="86">
        <v>0.50347222222222221</v>
      </c>
      <c r="AO5" s="12">
        <v>0.5</v>
      </c>
      <c r="AP5" t="s">
        <v>146</v>
      </c>
      <c r="AQ5" t="s">
        <v>215</v>
      </c>
      <c r="AR5" t="s">
        <v>214</v>
      </c>
      <c r="AS5" t="s">
        <v>169</v>
      </c>
      <c r="AT5" t="s">
        <v>146</v>
      </c>
      <c r="AU5" t="s">
        <v>183</v>
      </c>
      <c r="AV5" t="s">
        <v>171</v>
      </c>
      <c r="AW5">
        <v>2025</v>
      </c>
      <c r="AX5">
        <v>3</v>
      </c>
      <c r="AY5">
        <v>13</v>
      </c>
      <c r="AZ5" t="s">
        <v>215</v>
      </c>
    </row>
    <row r="6" spans="1:52" hidden="1" x14ac:dyDescent="0.25">
      <c r="A6" t="s">
        <v>1243</v>
      </c>
      <c r="B6" t="s">
        <v>971</v>
      </c>
      <c r="C6" s="88">
        <v>45860.556130439814</v>
      </c>
      <c r="D6" s="88">
        <v>45860.554155092592</v>
      </c>
      <c r="E6" s="88">
        <v>45860.456824490742</v>
      </c>
      <c r="F6" t="s">
        <v>1132</v>
      </c>
      <c r="G6" t="s">
        <v>217</v>
      </c>
      <c r="H6" s="63">
        <v>45671</v>
      </c>
      <c r="I6" s="86">
        <v>0.64067129629629638</v>
      </c>
      <c r="J6" s="1"/>
      <c r="K6" s="12"/>
      <c r="L6" s="1">
        <v>45671</v>
      </c>
      <c r="M6" s="12">
        <v>0.64067129629629627</v>
      </c>
      <c r="N6" t="s">
        <v>206</v>
      </c>
      <c r="O6" t="s">
        <v>218</v>
      </c>
      <c r="P6" t="s">
        <v>219</v>
      </c>
      <c r="Q6" t="s">
        <v>220</v>
      </c>
      <c r="R6" t="s">
        <v>221</v>
      </c>
      <c r="S6">
        <v>9</v>
      </c>
      <c r="T6" t="s">
        <v>222</v>
      </c>
      <c r="W6" t="s">
        <v>951</v>
      </c>
      <c r="X6" t="s">
        <v>952</v>
      </c>
      <c r="Y6" t="s">
        <v>225</v>
      </c>
      <c r="Z6" t="s">
        <v>161</v>
      </c>
      <c r="AE6" t="s">
        <v>953</v>
      </c>
      <c r="AF6" t="s">
        <v>931</v>
      </c>
      <c r="AG6" t="s">
        <v>163</v>
      </c>
      <c r="AH6" t="s">
        <v>227</v>
      </c>
      <c r="AI6" t="s">
        <v>228</v>
      </c>
      <c r="AJ6" t="s">
        <v>166</v>
      </c>
      <c r="AK6" t="s">
        <v>213</v>
      </c>
      <c r="AL6" s="87">
        <v>9</v>
      </c>
      <c r="AM6" s="63">
        <v>45671</v>
      </c>
      <c r="AN6" s="86">
        <v>0.64067129629629627</v>
      </c>
      <c r="AO6" s="12">
        <v>0.625</v>
      </c>
      <c r="AP6" t="s">
        <v>146</v>
      </c>
      <c r="AQ6" t="s">
        <v>230</v>
      </c>
      <c r="AR6" t="s">
        <v>229</v>
      </c>
      <c r="AS6" t="s">
        <v>169</v>
      </c>
      <c r="AT6" t="s">
        <v>146</v>
      </c>
      <c r="AU6" t="s">
        <v>148</v>
      </c>
      <c r="AV6" t="s">
        <v>171</v>
      </c>
      <c r="AW6">
        <v>2025</v>
      </c>
      <c r="AX6">
        <v>3</v>
      </c>
      <c r="AY6">
        <v>14</v>
      </c>
      <c r="AZ6" t="s">
        <v>230</v>
      </c>
    </row>
    <row r="7" spans="1:52" hidden="1" x14ac:dyDescent="0.25">
      <c r="A7" t="s">
        <v>1243</v>
      </c>
      <c r="B7" t="s">
        <v>971</v>
      </c>
      <c r="C7" s="88">
        <v>45860.556130439814</v>
      </c>
      <c r="D7" s="88">
        <v>45860.554155092592</v>
      </c>
      <c r="E7" s="88">
        <v>45860.456824490742</v>
      </c>
      <c r="F7" t="s">
        <v>1132</v>
      </c>
      <c r="G7" t="s">
        <v>232</v>
      </c>
      <c r="H7" s="63">
        <v>45672</v>
      </c>
      <c r="I7" s="86">
        <v>0.5398842592592592</v>
      </c>
      <c r="J7" s="1"/>
      <c r="K7" s="12"/>
      <c r="L7" s="1">
        <v>45672</v>
      </c>
      <c r="M7" s="12">
        <v>0.53988425925925931</v>
      </c>
      <c r="N7" t="s">
        <v>154</v>
      </c>
      <c r="Q7" t="s">
        <v>233</v>
      </c>
      <c r="R7" t="s">
        <v>208</v>
      </c>
      <c r="S7">
        <v>8</v>
      </c>
      <c r="T7" t="s">
        <v>234</v>
      </c>
      <c r="W7" t="s">
        <v>235</v>
      </c>
      <c r="X7" t="s">
        <v>942</v>
      </c>
      <c r="Y7" t="s">
        <v>236</v>
      </c>
      <c r="Z7" t="s">
        <v>161</v>
      </c>
      <c r="AE7" t="s">
        <v>953</v>
      </c>
      <c r="AF7" t="s">
        <v>931</v>
      </c>
      <c r="AG7" t="s">
        <v>237</v>
      </c>
      <c r="AH7" t="s">
        <v>238</v>
      </c>
      <c r="AI7" t="s">
        <v>180</v>
      </c>
      <c r="AJ7" t="s">
        <v>166</v>
      </c>
      <c r="AK7" t="s">
        <v>167</v>
      </c>
      <c r="AL7" s="87">
        <v>9</v>
      </c>
      <c r="AM7" s="63">
        <v>45672</v>
      </c>
      <c r="AN7" s="86">
        <v>0.53988425925925931</v>
      </c>
      <c r="AO7" s="12">
        <v>0.5</v>
      </c>
      <c r="AP7" t="s">
        <v>146</v>
      </c>
      <c r="AQ7" t="s">
        <v>240</v>
      </c>
      <c r="AR7" t="s">
        <v>154</v>
      </c>
      <c r="AS7" t="s">
        <v>169</v>
      </c>
      <c r="AT7" t="s">
        <v>146</v>
      </c>
      <c r="AU7" t="s">
        <v>239</v>
      </c>
      <c r="AV7" t="s">
        <v>171</v>
      </c>
      <c r="AW7">
        <v>2025</v>
      </c>
      <c r="AX7">
        <v>3</v>
      </c>
      <c r="AY7">
        <v>15</v>
      </c>
      <c r="AZ7" t="s">
        <v>240</v>
      </c>
    </row>
    <row r="8" spans="1:52" hidden="1" x14ac:dyDescent="0.25">
      <c r="A8" t="s">
        <v>1243</v>
      </c>
      <c r="B8" t="s">
        <v>971</v>
      </c>
      <c r="C8" s="88">
        <v>45860.556130439814</v>
      </c>
      <c r="D8" s="88">
        <v>45860.554155092592</v>
      </c>
      <c r="E8" s="88">
        <v>45860.456824490742</v>
      </c>
      <c r="F8" t="s">
        <v>1132</v>
      </c>
      <c r="G8" t="s">
        <v>241</v>
      </c>
      <c r="H8" s="63">
        <v>45673</v>
      </c>
      <c r="I8" s="86">
        <v>0.5</v>
      </c>
      <c r="J8" s="1">
        <v>45673</v>
      </c>
      <c r="K8" s="12">
        <v>0.75</v>
      </c>
      <c r="L8" s="1">
        <v>45673</v>
      </c>
      <c r="M8" s="12">
        <v>0.81587962962962968</v>
      </c>
      <c r="N8" t="s">
        <v>242</v>
      </c>
      <c r="Q8" t="s">
        <v>243</v>
      </c>
      <c r="R8" t="s">
        <v>191</v>
      </c>
      <c r="S8">
        <v>7</v>
      </c>
      <c r="T8" t="s">
        <v>244</v>
      </c>
      <c r="AE8" t="s">
        <v>934</v>
      </c>
      <c r="AF8" t="s">
        <v>931</v>
      </c>
      <c r="AG8" t="s">
        <v>245</v>
      </c>
      <c r="AH8" t="s">
        <v>142</v>
      </c>
      <c r="AI8" t="s">
        <v>180</v>
      </c>
      <c r="AJ8" t="s">
        <v>166</v>
      </c>
      <c r="AK8" t="s">
        <v>246</v>
      </c>
      <c r="AL8" s="87">
        <v>9</v>
      </c>
      <c r="AM8" s="63">
        <v>45673</v>
      </c>
      <c r="AN8" s="86">
        <v>0.5</v>
      </c>
      <c r="AO8" s="12">
        <v>0.5</v>
      </c>
      <c r="AP8" t="s">
        <v>146</v>
      </c>
      <c r="AQ8" t="s">
        <v>248</v>
      </c>
      <c r="AR8" t="s">
        <v>242</v>
      </c>
      <c r="AS8" t="s">
        <v>169</v>
      </c>
      <c r="AT8" t="s">
        <v>146</v>
      </c>
      <c r="AU8" t="s">
        <v>247</v>
      </c>
      <c r="AV8" t="s">
        <v>171</v>
      </c>
      <c r="AW8">
        <v>2025</v>
      </c>
      <c r="AX8">
        <v>3</v>
      </c>
      <c r="AY8">
        <v>16</v>
      </c>
      <c r="AZ8" t="s">
        <v>248</v>
      </c>
    </row>
    <row r="9" spans="1:52" hidden="1" x14ac:dyDescent="0.25">
      <c r="A9" t="s">
        <v>1243</v>
      </c>
      <c r="B9" t="s">
        <v>971</v>
      </c>
      <c r="C9" s="88">
        <v>45860.556130439814</v>
      </c>
      <c r="D9" s="88">
        <v>45860.554155092592</v>
      </c>
      <c r="E9" s="88">
        <v>45860.456824490742</v>
      </c>
      <c r="F9" t="s">
        <v>1132</v>
      </c>
      <c r="G9" t="s">
        <v>249</v>
      </c>
      <c r="H9" s="63">
        <v>45673</v>
      </c>
      <c r="I9" s="86">
        <v>0.87708333333333344</v>
      </c>
      <c r="J9" s="1">
        <v>45673</v>
      </c>
      <c r="K9" s="12">
        <v>0.88611111111111107</v>
      </c>
      <c r="L9" s="1">
        <v>45674</v>
      </c>
      <c r="M9" s="12">
        <v>0.51179398148148147</v>
      </c>
      <c r="N9" t="s">
        <v>206</v>
      </c>
      <c r="Q9" t="s">
        <v>250</v>
      </c>
      <c r="R9" t="s">
        <v>251</v>
      </c>
      <c r="S9">
        <v>9</v>
      </c>
      <c r="T9" t="s">
        <v>252</v>
      </c>
      <c r="X9" t="s">
        <v>955</v>
      </c>
      <c r="Y9" t="s">
        <v>956</v>
      </c>
      <c r="AE9" t="s">
        <v>934</v>
      </c>
      <c r="AF9" t="s">
        <v>931</v>
      </c>
      <c r="AG9" t="s">
        <v>255</v>
      </c>
      <c r="AH9" t="s">
        <v>256</v>
      </c>
      <c r="AI9" t="s">
        <v>257</v>
      </c>
      <c r="AJ9" t="s">
        <v>144</v>
      </c>
      <c r="AK9" t="s">
        <v>213</v>
      </c>
      <c r="AL9" s="87">
        <v>9</v>
      </c>
      <c r="AM9" s="63">
        <v>45673</v>
      </c>
      <c r="AN9" s="86">
        <v>0.87708333333333333</v>
      </c>
      <c r="AO9" s="12">
        <v>0.875</v>
      </c>
      <c r="AP9" t="s">
        <v>168</v>
      </c>
      <c r="AQ9" t="s">
        <v>258</v>
      </c>
      <c r="AR9" t="s">
        <v>206</v>
      </c>
      <c r="AS9" t="s">
        <v>169</v>
      </c>
      <c r="AT9" t="s">
        <v>168</v>
      </c>
      <c r="AU9" t="s">
        <v>247</v>
      </c>
      <c r="AV9" t="s">
        <v>171</v>
      </c>
      <c r="AW9">
        <v>2025</v>
      </c>
      <c r="AX9">
        <v>3</v>
      </c>
      <c r="AY9">
        <v>16</v>
      </c>
      <c r="AZ9" t="s">
        <v>258</v>
      </c>
    </row>
    <row r="10" spans="1:52" hidden="1" x14ac:dyDescent="0.25">
      <c r="A10" t="s">
        <v>1243</v>
      </c>
      <c r="B10" t="s">
        <v>971</v>
      </c>
      <c r="C10" s="88">
        <v>45860.556130439814</v>
      </c>
      <c r="D10" s="88">
        <v>45860.554155092592</v>
      </c>
      <c r="E10" s="88">
        <v>45860.456824490742</v>
      </c>
      <c r="F10" t="s">
        <v>1132</v>
      </c>
      <c r="G10" t="s">
        <v>259</v>
      </c>
      <c r="H10" s="63">
        <v>45678</v>
      </c>
      <c r="I10" s="86">
        <v>0.79166666666666674</v>
      </c>
      <c r="J10" s="1">
        <v>45679</v>
      </c>
      <c r="K10" s="12">
        <v>0.13125000000000001</v>
      </c>
      <c r="L10" s="1">
        <v>45679</v>
      </c>
      <c r="M10" s="12">
        <v>0.13255787037037037</v>
      </c>
      <c r="N10" t="s">
        <v>154</v>
      </c>
      <c r="Q10" t="s">
        <v>260</v>
      </c>
      <c r="R10" t="s">
        <v>251</v>
      </c>
      <c r="S10">
        <v>9</v>
      </c>
      <c r="T10" t="s">
        <v>261</v>
      </c>
      <c r="W10" t="s">
        <v>262</v>
      </c>
      <c r="X10" t="s">
        <v>159</v>
      </c>
      <c r="Y10" t="s">
        <v>263</v>
      </c>
      <c r="Z10" t="s">
        <v>161</v>
      </c>
      <c r="AE10" t="s">
        <v>964</v>
      </c>
      <c r="AF10" t="s">
        <v>931</v>
      </c>
      <c r="AG10" t="s">
        <v>265</v>
      </c>
      <c r="AH10" t="s">
        <v>164</v>
      </c>
      <c r="AI10" t="s">
        <v>228</v>
      </c>
      <c r="AJ10" t="s">
        <v>166</v>
      </c>
      <c r="AK10" t="s">
        <v>167</v>
      </c>
      <c r="AL10" s="87">
        <v>9</v>
      </c>
      <c r="AM10" s="63">
        <v>45678</v>
      </c>
      <c r="AN10" s="86">
        <v>0.79166666666666663</v>
      </c>
      <c r="AO10" s="12">
        <v>0.79166666666666663</v>
      </c>
      <c r="AP10" t="s">
        <v>266</v>
      </c>
      <c r="AQ10" t="s">
        <v>267</v>
      </c>
      <c r="AR10" t="s">
        <v>154</v>
      </c>
      <c r="AS10" t="s">
        <v>169</v>
      </c>
      <c r="AT10" t="s">
        <v>266</v>
      </c>
      <c r="AU10" t="s">
        <v>148</v>
      </c>
      <c r="AV10" t="s">
        <v>171</v>
      </c>
      <c r="AW10">
        <v>2025</v>
      </c>
      <c r="AX10">
        <v>4</v>
      </c>
      <c r="AY10">
        <v>21</v>
      </c>
      <c r="AZ10" t="s">
        <v>267</v>
      </c>
    </row>
    <row r="11" spans="1:52" hidden="1" x14ac:dyDescent="0.25">
      <c r="A11" t="s">
        <v>1243</v>
      </c>
      <c r="B11" t="s">
        <v>971</v>
      </c>
      <c r="C11" s="88">
        <v>45860.556130439814</v>
      </c>
      <c r="D11" s="88">
        <v>45860.554155092592</v>
      </c>
      <c r="E11" s="88">
        <v>45860.456824490742</v>
      </c>
      <c r="F11" t="s">
        <v>1132</v>
      </c>
      <c r="G11" t="s">
        <v>268</v>
      </c>
      <c r="H11" s="63">
        <v>45679</v>
      </c>
      <c r="I11" s="86">
        <v>0.33333333333333326</v>
      </c>
      <c r="J11" s="1">
        <v>45679</v>
      </c>
      <c r="K11" s="12">
        <v>0.80069444444444449</v>
      </c>
      <c r="L11" s="1">
        <v>45679</v>
      </c>
      <c r="M11" s="12">
        <v>0.80203703703703699</v>
      </c>
      <c r="N11" t="s">
        <v>154</v>
      </c>
      <c r="Q11" t="s">
        <v>269</v>
      </c>
      <c r="R11" t="s">
        <v>270</v>
      </c>
      <c r="S11">
        <v>5</v>
      </c>
      <c r="T11" t="s">
        <v>271</v>
      </c>
      <c r="W11" t="s">
        <v>272</v>
      </c>
      <c r="X11" t="s">
        <v>947</v>
      </c>
      <c r="Y11" t="s">
        <v>274</v>
      </c>
      <c r="Z11" t="s">
        <v>161</v>
      </c>
      <c r="AE11" t="s">
        <v>953</v>
      </c>
      <c r="AF11" t="s">
        <v>931</v>
      </c>
      <c r="AG11" t="s">
        <v>265</v>
      </c>
      <c r="AH11" t="s">
        <v>164</v>
      </c>
      <c r="AI11" t="s">
        <v>275</v>
      </c>
      <c r="AJ11" t="s">
        <v>166</v>
      </c>
      <c r="AK11" t="s">
        <v>167</v>
      </c>
      <c r="AL11" s="87">
        <v>9</v>
      </c>
      <c r="AM11" s="63">
        <v>45679</v>
      </c>
      <c r="AN11" s="86">
        <v>0.33333333333333331</v>
      </c>
      <c r="AO11" s="12">
        <v>0.33333333333333331</v>
      </c>
      <c r="AP11" t="s">
        <v>276</v>
      </c>
      <c r="AQ11" t="s">
        <v>277</v>
      </c>
      <c r="AR11" t="s">
        <v>154</v>
      </c>
      <c r="AS11" t="s">
        <v>169</v>
      </c>
      <c r="AT11" t="s">
        <v>276</v>
      </c>
      <c r="AU11" t="s">
        <v>239</v>
      </c>
      <c r="AV11" t="s">
        <v>171</v>
      </c>
      <c r="AW11">
        <v>2025</v>
      </c>
      <c r="AX11">
        <v>4</v>
      </c>
      <c r="AY11">
        <v>22</v>
      </c>
      <c r="AZ11" t="s">
        <v>277</v>
      </c>
    </row>
    <row r="12" spans="1:52" hidden="1" x14ac:dyDescent="0.25">
      <c r="A12" t="s">
        <v>1243</v>
      </c>
      <c r="B12" t="s">
        <v>971</v>
      </c>
      <c r="C12" s="88">
        <v>45860.556130439814</v>
      </c>
      <c r="D12" s="88">
        <v>45860.554155092592</v>
      </c>
      <c r="E12" s="88">
        <v>45860.456824490742</v>
      </c>
      <c r="F12" t="s">
        <v>1132</v>
      </c>
      <c r="G12" t="s">
        <v>278</v>
      </c>
      <c r="H12" s="63">
        <v>45680</v>
      </c>
      <c r="I12" s="86">
        <v>0.625</v>
      </c>
      <c r="J12" s="1"/>
      <c r="K12" s="12"/>
      <c r="L12" s="1">
        <v>45680</v>
      </c>
      <c r="M12" s="12">
        <v>0.66545138888888888</v>
      </c>
      <c r="N12" t="s">
        <v>136</v>
      </c>
      <c r="O12" t="s">
        <v>189</v>
      </c>
      <c r="Q12" t="s">
        <v>279</v>
      </c>
      <c r="R12" t="s">
        <v>208</v>
      </c>
      <c r="S12">
        <v>8</v>
      </c>
      <c r="T12" t="s">
        <v>280</v>
      </c>
      <c r="AE12" t="s">
        <v>932</v>
      </c>
      <c r="AF12" t="s">
        <v>931</v>
      </c>
      <c r="AG12" t="s">
        <v>143</v>
      </c>
      <c r="AH12" t="s">
        <v>282</v>
      </c>
      <c r="AI12" t="s">
        <v>196</v>
      </c>
      <c r="AJ12" t="s">
        <v>283</v>
      </c>
      <c r="AL12" s="87">
        <v>9</v>
      </c>
      <c r="AM12" s="63">
        <v>45680</v>
      </c>
      <c r="AN12" s="86">
        <v>0.625</v>
      </c>
      <c r="AO12" s="12">
        <v>0.625</v>
      </c>
      <c r="AP12" t="s">
        <v>146</v>
      </c>
      <c r="AQ12" t="s">
        <v>285</v>
      </c>
      <c r="AR12" t="s">
        <v>284</v>
      </c>
      <c r="AS12" t="s">
        <v>169</v>
      </c>
      <c r="AT12" t="s">
        <v>146</v>
      </c>
      <c r="AU12" t="s">
        <v>247</v>
      </c>
      <c r="AV12" t="s">
        <v>171</v>
      </c>
      <c r="AW12">
        <v>2025</v>
      </c>
      <c r="AX12">
        <v>4</v>
      </c>
      <c r="AY12">
        <v>23</v>
      </c>
      <c r="AZ12" t="s">
        <v>285</v>
      </c>
    </row>
    <row r="13" spans="1:52" hidden="1" x14ac:dyDescent="0.25">
      <c r="A13" t="s">
        <v>1243</v>
      </c>
      <c r="B13" t="s">
        <v>971</v>
      </c>
      <c r="C13" s="88">
        <v>45860.556130439814</v>
      </c>
      <c r="D13" s="88">
        <v>45860.554155092592</v>
      </c>
      <c r="E13" s="88">
        <v>45860.456824490742</v>
      </c>
      <c r="F13" t="s">
        <v>1132</v>
      </c>
      <c r="G13" t="s">
        <v>286</v>
      </c>
      <c r="H13" s="63">
        <v>45682</v>
      </c>
      <c r="I13" s="86">
        <v>0.45833333333333326</v>
      </c>
      <c r="J13" s="1">
        <v>45682</v>
      </c>
      <c r="K13" s="12">
        <v>0.58333333333333337</v>
      </c>
      <c r="L13" s="1">
        <v>45682</v>
      </c>
      <c r="M13" s="12">
        <v>0.58054398148148145</v>
      </c>
      <c r="N13" t="s">
        <v>242</v>
      </c>
      <c r="Q13" t="s">
        <v>287</v>
      </c>
      <c r="R13" t="s">
        <v>288</v>
      </c>
      <c r="S13">
        <v>5</v>
      </c>
      <c r="T13" t="s">
        <v>289</v>
      </c>
      <c r="AE13" t="s">
        <v>958</v>
      </c>
      <c r="AF13" t="s">
        <v>931</v>
      </c>
      <c r="AG13" t="s">
        <v>291</v>
      </c>
      <c r="AH13" t="s">
        <v>256</v>
      </c>
      <c r="AI13" t="s">
        <v>180</v>
      </c>
      <c r="AJ13" t="s">
        <v>166</v>
      </c>
      <c r="AK13" t="s">
        <v>246</v>
      </c>
      <c r="AL13" s="87">
        <v>9</v>
      </c>
      <c r="AM13" s="63">
        <v>45682</v>
      </c>
      <c r="AN13" s="86">
        <v>0.45833333333333331</v>
      </c>
      <c r="AO13" s="12">
        <v>0.45833333333333331</v>
      </c>
      <c r="AP13" t="s">
        <v>276</v>
      </c>
      <c r="AQ13" t="s">
        <v>293</v>
      </c>
      <c r="AR13" t="s">
        <v>242</v>
      </c>
      <c r="AS13" t="s">
        <v>169</v>
      </c>
      <c r="AT13" t="s">
        <v>276</v>
      </c>
      <c r="AU13" t="s">
        <v>292</v>
      </c>
      <c r="AV13" t="s">
        <v>171</v>
      </c>
      <c r="AW13">
        <v>2025</v>
      </c>
      <c r="AX13">
        <v>4</v>
      </c>
      <c r="AY13">
        <v>25</v>
      </c>
      <c r="AZ13" t="s">
        <v>293</v>
      </c>
    </row>
    <row r="14" spans="1:52" hidden="1" x14ac:dyDescent="0.25">
      <c r="A14" t="s">
        <v>1243</v>
      </c>
      <c r="B14" t="s">
        <v>971</v>
      </c>
      <c r="C14" s="88">
        <v>45860.556130439814</v>
      </c>
      <c r="D14" s="88">
        <v>45860.554155092592</v>
      </c>
      <c r="E14" s="88">
        <v>45860.456824490742</v>
      </c>
      <c r="F14" t="s">
        <v>1132</v>
      </c>
      <c r="G14" t="s">
        <v>294</v>
      </c>
      <c r="H14" s="63">
        <v>45682</v>
      </c>
      <c r="I14" s="86">
        <v>0.76875000000000004</v>
      </c>
      <c r="J14" s="1"/>
      <c r="K14" s="12"/>
      <c r="L14" s="1">
        <v>45683</v>
      </c>
      <c r="M14" s="12">
        <v>0.44056712962962963</v>
      </c>
      <c r="N14" t="s">
        <v>174</v>
      </c>
      <c r="O14" t="s">
        <v>295</v>
      </c>
      <c r="Q14" t="s">
        <v>296</v>
      </c>
      <c r="R14" t="s">
        <v>208</v>
      </c>
      <c r="S14">
        <v>8</v>
      </c>
      <c r="T14" t="s">
        <v>297</v>
      </c>
      <c r="W14" t="s">
        <v>973</v>
      </c>
      <c r="X14" t="s">
        <v>942</v>
      </c>
      <c r="Y14" t="s">
        <v>299</v>
      </c>
      <c r="Z14" t="s">
        <v>161</v>
      </c>
      <c r="AE14" t="s">
        <v>958</v>
      </c>
      <c r="AF14" t="s">
        <v>931</v>
      </c>
      <c r="AG14" t="s">
        <v>255</v>
      </c>
      <c r="AH14" t="s">
        <v>256</v>
      </c>
      <c r="AI14" t="s">
        <v>300</v>
      </c>
      <c r="AJ14" t="s">
        <v>301</v>
      </c>
      <c r="AK14" t="s">
        <v>182</v>
      </c>
      <c r="AL14" s="87">
        <v>9</v>
      </c>
      <c r="AM14" s="63">
        <v>45682</v>
      </c>
      <c r="AN14" s="86">
        <v>0.76875000000000004</v>
      </c>
      <c r="AO14" s="12">
        <v>0.75</v>
      </c>
      <c r="AP14" t="s">
        <v>266</v>
      </c>
      <c r="AQ14" t="s">
        <v>303</v>
      </c>
      <c r="AR14" t="s">
        <v>302</v>
      </c>
      <c r="AS14" t="s">
        <v>169</v>
      </c>
      <c r="AT14" t="s">
        <v>266</v>
      </c>
      <c r="AU14" t="s">
        <v>292</v>
      </c>
      <c r="AV14" t="s">
        <v>171</v>
      </c>
      <c r="AW14">
        <v>2025</v>
      </c>
      <c r="AX14">
        <v>4</v>
      </c>
      <c r="AY14">
        <v>25</v>
      </c>
      <c r="AZ14" t="s">
        <v>303</v>
      </c>
    </row>
    <row r="15" spans="1:52" hidden="1" x14ac:dyDescent="0.25">
      <c r="A15" t="s">
        <v>1243</v>
      </c>
      <c r="B15" t="s">
        <v>971</v>
      </c>
      <c r="C15" s="88">
        <v>45860.556130439814</v>
      </c>
      <c r="D15" s="88">
        <v>45860.554155092592</v>
      </c>
      <c r="E15" s="88">
        <v>45860.456824490742</v>
      </c>
      <c r="F15" t="s">
        <v>1132</v>
      </c>
      <c r="G15" t="s">
        <v>304</v>
      </c>
      <c r="H15" s="63">
        <v>45683</v>
      </c>
      <c r="I15" s="86">
        <v>0.84027777777777768</v>
      </c>
      <c r="J15" s="1">
        <v>45683</v>
      </c>
      <c r="K15" s="12">
        <v>0.84652777777777777</v>
      </c>
      <c r="L15" s="1">
        <v>45683</v>
      </c>
      <c r="M15" s="12">
        <v>0.85009259259259262</v>
      </c>
      <c r="N15" t="s">
        <v>174</v>
      </c>
      <c r="O15" t="s">
        <v>295</v>
      </c>
      <c r="Q15" t="s">
        <v>305</v>
      </c>
      <c r="R15" t="s">
        <v>138</v>
      </c>
      <c r="S15">
        <v>9</v>
      </c>
      <c r="T15" t="s">
        <v>306</v>
      </c>
      <c r="W15" t="s">
        <v>974</v>
      </c>
      <c r="X15" t="s">
        <v>942</v>
      </c>
      <c r="Y15" t="s">
        <v>308</v>
      </c>
      <c r="Z15" t="s">
        <v>975</v>
      </c>
      <c r="AE15" t="s">
        <v>934</v>
      </c>
      <c r="AF15" t="s">
        <v>931</v>
      </c>
      <c r="AG15" t="s">
        <v>309</v>
      </c>
      <c r="AH15" t="s">
        <v>142</v>
      </c>
      <c r="AI15" t="s">
        <v>310</v>
      </c>
      <c r="AJ15" t="s">
        <v>166</v>
      </c>
      <c r="AK15" t="s">
        <v>182</v>
      </c>
      <c r="AL15" s="87">
        <v>9</v>
      </c>
      <c r="AM15" s="63">
        <v>45683</v>
      </c>
      <c r="AN15" s="86">
        <v>0.84027777777777779</v>
      </c>
      <c r="AO15" s="12">
        <v>0.83333333333333337</v>
      </c>
      <c r="AP15" t="s">
        <v>168</v>
      </c>
      <c r="AQ15" t="s">
        <v>312</v>
      </c>
      <c r="AR15" t="s">
        <v>302</v>
      </c>
      <c r="AS15" t="s">
        <v>169</v>
      </c>
      <c r="AT15" t="s">
        <v>168</v>
      </c>
      <c r="AU15" t="s">
        <v>311</v>
      </c>
      <c r="AV15" t="s">
        <v>171</v>
      </c>
      <c r="AW15">
        <v>2025</v>
      </c>
      <c r="AX15">
        <v>5</v>
      </c>
      <c r="AY15">
        <v>26</v>
      </c>
      <c r="AZ15" t="s">
        <v>312</v>
      </c>
    </row>
    <row r="16" spans="1:52" hidden="1" x14ac:dyDescent="0.25">
      <c r="A16" t="s">
        <v>1243</v>
      </c>
      <c r="B16" t="s">
        <v>971</v>
      </c>
      <c r="C16" s="88">
        <v>45860.556130439814</v>
      </c>
      <c r="D16" s="88">
        <v>45860.554155092592</v>
      </c>
      <c r="E16" s="88">
        <v>45860.456824490742</v>
      </c>
      <c r="F16" t="s">
        <v>1132</v>
      </c>
      <c r="G16" t="s">
        <v>313</v>
      </c>
      <c r="H16" s="63">
        <v>45685</v>
      </c>
      <c r="I16" s="86">
        <v>0.625</v>
      </c>
      <c r="J16" s="1">
        <v>45686</v>
      </c>
      <c r="K16" s="12">
        <v>0.91736111111111107</v>
      </c>
      <c r="L16" s="1">
        <v>45686</v>
      </c>
      <c r="M16" s="12">
        <v>0.91833333333333333</v>
      </c>
      <c r="N16" t="s">
        <v>154</v>
      </c>
      <c r="O16" t="s">
        <v>295</v>
      </c>
      <c r="Q16" t="s">
        <v>314</v>
      </c>
      <c r="R16" t="s">
        <v>315</v>
      </c>
      <c r="S16">
        <v>6</v>
      </c>
      <c r="T16" t="s">
        <v>316</v>
      </c>
      <c r="W16" t="s">
        <v>976</v>
      </c>
      <c r="X16" t="s">
        <v>977</v>
      </c>
      <c r="Y16" t="s">
        <v>319</v>
      </c>
      <c r="Z16" t="s">
        <v>161</v>
      </c>
      <c r="AE16" t="s">
        <v>978</v>
      </c>
      <c r="AF16" t="s">
        <v>931</v>
      </c>
      <c r="AG16" t="s">
        <v>265</v>
      </c>
      <c r="AH16" t="s">
        <v>164</v>
      </c>
      <c r="AI16" t="s">
        <v>180</v>
      </c>
      <c r="AJ16" t="s">
        <v>320</v>
      </c>
      <c r="AK16" t="s">
        <v>167</v>
      </c>
      <c r="AL16" s="87">
        <v>9</v>
      </c>
      <c r="AM16" s="63">
        <v>45685</v>
      </c>
      <c r="AN16" s="86">
        <v>0.625</v>
      </c>
      <c r="AO16" s="12">
        <v>0.625</v>
      </c>
      <c r="AP16" t="s">
        <v>146</v>
      </c>
      <c r="AQ16" t="s">
        <v>322</v>
      </c>
      <c r="AR16" t="s">
        <v>321</v>
      </c>
      <c r="AS16" t="s">
        <v>169</v>
      </c>
      <c r="AT16" t="s">
        <v>146</v>
      </c>
      <c r="AU16" t="s">
        <v>148</v>
      </c>
      <c r="AV16" t="s">
        <v>171</v>
      </c>
      <c r="AW16">
        <v>2025</v>
      </c>
      <c r="AX16">
        <v>5</v>
      </c>
      <c r="AY16">
        <v>28</v>
      </c>
      <c r="AZ16" t="s">
        <v>322</v>
      </c>
    </row>
    <row r="17" spans="1:52" hidden="1" x14ac:dyDescent="0.25">
      <c r="A17" t="s">
        <v>1243</v>
      </c>
      <c r="B17" t="s">
        <v>971</v>
      </c>
      <c r="C17" s="88">
        <v>45860.556130439814</v>
      </c>
      <c r="D17" s="88">
        <v>45860.554155092592</v>
      </c>
      <c r="E17" s="88">
        <v>45860.456824490742</v>
      </c>
      <c r="F17" t="s">
        <v>1132</v>
      </c>
      <c r="G17" t="s">
        <v>323</v>
      </c>
      <c r="H17" s="63">
        <v>45688</v>
      </c>
      <c r="I17" s="86">
        <v>0.49988425925925917</v>
      </c>
      <c r="J17" s="1"/>
      <c r="K17" s="12"/>
      <c r="L17" s="1">
        <v>45688</v>
      </c>
      <c r="M17" s="12">
        <v>0.49988425925925928</v>
      </c>
      <c r="N17" t="s">
        <v>242</v>
      </c>
      <c r="Q17" t="s">
        <v>324</v>
      </c>
      <c r="R17" t="s">
        <v>325</v>
      </c>
      <c r="S17">
        <v>8</v>
      </c>
      <c r="T17" t="s">
        <v>326</v>
      </c>
      <c r="AE17" t="s">
        <v>950</v>
      </c>
      <c r="AF17" t="s">
        <v>931</v>
      </c>
      <c r="AG17" t="s">
        <v>327</v>
      </c>
      <c r="AH17" t="s">
        <v>328</v>
      </c>
      <c r="AI17" t="s">
        <v>228</v>
      </c>
      <c r="AJ17" t="s">
        <v>166</v>
      </c>
      <c r="AK17" t="s">
        <v>246</v>
      </c>
      <c r="AL17" s="87">
        <v>9</v>
      </c>
      <c r="AM17" s="63">
        <v>45688</v>
      </c>
      <c r="AN17" s="86">
        <v>0.49988425925925928</v>
      </c>
      <c r="AO17" s="12">
        <v>0.45833333333333331</v>
      </c>
      <c r="AP17" t="s">
        <v>276</v>
      </c>
      <c r="AQ17" t="s">
        <v>329</v>
      </c>
      <c r="AR17" t="s">
        <v>242</v>
      </c>
      <c r="AS17" t="s">
        <v>169</v>
      </c>
      <c r="AT17" t="s">
        <v>276</v>
      </c>
      <c r="AU17" t="s">
        <v>170</v>
      </c>
      <c r="AV17" t="s">
        <v>171</v>
      </c>
      <c r="AW17">
        <v>2025</v>
      </c>
      <c r="AX17">
        <v>5</v>
      </c>
      <c r="AY17">
        <v>31</v>
      </c>
      <c r="AZ17" t="s">
        <v>329</v>
      </c>
    </row>
    <row r="18" spans="1:52" hidden="1" x14ac:dyDescent="0.25">
      <c r="A18" t="s">
        <v>1243</v>
      </c>
      <c r="B18" t="s">
        <v>971</v>
      </c>
      <c r="C18" s="88">
        <v>45860.556130439814</v>
      </c>
      <c r="D18" s="88">
        <v>45860.554155092592</v>
      </c>
      <c r="E18" s="88">
        <v>45860.456824490742</v>
      </c>
      <c r="F18" t="s">
        <v>1132</v>
      </c>
      <c r="G18" t="s">
        <v>330</v>
      </c>
      <c r="H18" s="63">
        <v>45688</v>
      </c>
      <c r="I18" s="86">
        <v>0.5</v>
      </c>
      <c r="J18" s="1">
        <v>45695</v>
      </c>
      <c r="K18" s="12">
        <v>0.54166666666666663</v>
      </c>
      <c r="L18" s="1">
        <v>45696</v>
      </c>
      <c r="M18" s="12">
        <v>0.3903240740740741</v>
      </c>
      <c r="N18" t="s">
        <v>154</v>
      </c>
      <c r="Q18" t="s">
        <v>331</v>
      </c>
      <c r="R18" t="s">
        <v>270</v>
      </c>
      <c r="S18">
        <v>5</v>
      </c>
      <c r="T18" t="s">
        <v>332</v>
      </c>
      <c r="W18" t="s">
        <v>985</v>
      </c>
      <c r="Y18" t="s">
        <v>236</v>
      </c>
      <c r="Z18" t="s">
        <v>975</v>
      </c>
      <c r="AE18" t="s">
        <v>953</v>
      </c>
      <c r="AF18" t="s">
        <v>931</v>
      </c>
      <c r="AG18" t="s">
        <v>334</v>
      </c>
      <c r="AH18" t="s">
        <v>164</v>
      </c>
      <c r="AI18" t="s">
        <v>310</v>
      </c>
      <c r="AJ18" t="s">
        <v>166</v>
      </c>
      <c r="AK18" t="s">
        <v>167</v>
      </c>
      <c r="AL18" s="87">
        <v>9</v>
      </c>
      <c r="AM18" s="63">
        <v>45688</v>
      </c>
      <c r="AN18" s="86">
        <v>0.5</v>
      </c>
      <c r="AO18" s="12">
        <v>0.5</v>
      </c>
      <c r="AP18" t="s">
        <v>146</v>
      </c>
      <c r="AQ18" t="s">
        <v>335</v>
      </c>
      <c r="AR18" t="s">
        <v>154</v>
      </c>
      <c r="AS18" t="s">
        <v>169</v>
      </c>
      <c r="AT18" t="s">
        <v>146</v>
      </c>
      <c r="AU18" t="s">
        <v>170</v>
      </c>
      <c r="AV18" t="s">
        <v>171</v>
      </c>
      <c r="AW18">
        <v>2025</v>
      </c>
      <c r="AX18">
        <v>5</v>
      </c>
      <c r="AY18">
        <v>31</v>
      </c>
      <c r="AZ18" t="s">
        <v>335</v>
      </c>
    </row>
    <row r="19" spans="1:52" hidden="1" x14ac:dyDescent="0.25">
      <c r="A19" t="s">
        <v>1243</v>
      </c>
      <c r="B19" t="s">
        <v>971</v>
      </c>
      <c r="C19" s="88">
        <v>45860.556130439814</v>
      </c>
      <c r="D19" s="88">
        <v>45860.554155092592</v>
      </c>
      <c r="E19" s="88">
        <v>45860.456824490742</v>
      </c>
      <c r="F19" t="s">
        <v>1132</v>
      </c>
      <c r="G19" t="s">
        <v>336</v>
      </c>
      <c r="H19" s="63">
        <v>45689</v>
      </c>
      <c r="I19" s="86">
        <v>4.1666666666666741E-2</v>
      </c>
      <c r="J19" s="1"/>
      <c r="K19" s="12">
        <v>0.10416666666666667</v>
      </c>
      <c r="L19" s="1">
        <v>45689</v>
      </c>
      <c r="M19" s="12">
        <v>0.11982638888888889</v>
      </c>
      <c r="N19" t="s">
        <v>154</v>
      </c>
      <c r="Q19" t="s">
        <v>337</v>
      </c>
      <c r="R19" t="s">
        <v>338</v>
      </c>
      <c r="S19">
        <v>6</v>
      </c>
      <c r="T19" t="s">
        <v>339</v>
      </c>
      <c r="W19" t="s">
        <v>979</v>
      </c>
      <c r="X19" t="s">
        <v>980</v>
      </c>
      <c r="Y19" t="s">
        <v>342</v>
      </c>
      <c r="Z19" t="s">
        <v>161</v>
      </c>
      <c r="AE19" t="s">
        <v>953</v>
      </c>
      <c r="AF19" t="s">
        <v>931</v>
      </c>
      <c r="AG19" t="s">
        <v>265</v>
      </c>
      <c r="AH19" t="s">
        <v>164</v>
      </c>
      <c r="AI19" t="s">
        <v>275</v>
      </c>
      <c r="AJ19" t="s">
        <v>166</v>
      </c>
      <c r="AK19" t="s">
        <v>167</v>
      </c>
      <c r="AL19" s="87">
        <v>9</v>
      </c>
      <c r="AM19" s="63">
        <v>45689</v>
      </c>
      <c r="AN19" s="86">
        <v>4.1666666666666664E-2</v>
      </c>
      <c r="AO19" s="12">
        <v>4.1666666666666664E-2</v>
      </c>
      <c r="AP19" t="s">
        <v>343</v>
      </c>
      <c r="AQ19" t="s">
        <v>345</v>
      </c>
      <c r="AR19" t="s">
        <v>154</v>
      </c>
      <c r="AS19" t="s">
        <v>169</v>
      </c>
      <c r="AT19" t="s">
        <v>343</v>
      </c>
      <c r="AU19" t="s">
        <v>292</v>
      </c>
      <c r="AV19" t="s">
        <v>344</v>
      </c>
      <c r="AW19">
        <v>2025</v>
      </c>
      <c r="AX19">
        <v>5</v>
      </c>
      <c r="AY19">
        <v>1</v>
      </c>
      <c r="AZ19" t="s">
        <v>345</v>
      </c>
    </row>
    <row r="20" spans="1:52" hidden="1" x14ac:dyDescent="0.25">
      <c r="A20" t="s">
        <v>1243</v>
      </c>
      <c r="B20" t="s">
        <v>971</v>
      </c>
      <c r="C20" s="88">
        <v>45860.556130439814</v>
      </c>
      <c r="D20" s="88">
        <v>45860.554155092592</v>
      </c>
      <c r="E20" s="88">
        <v>45860.456824490742</v>
      </c>
      <c r="F20" t="s">
        <v>1132</v>
      </c>
      <c r="G20" t="s">
        <v>346</v>
      </c>
      <c r="H20" s="63">
        <v>45690</v>
      </c>
      <c r="I20" s="86">
        <v>0.72569444444444442</v>
      </c>
      <c r="J20" s="1">
        <v>45690</v>
      </c>
      <c r="K20" s="12">
        <v>0.75</v>
      </c>
      <c r="L20" s="1">
        <v>45691</v>
      </c>
      <c r="M20" s="12">
        <v>0.50143518518518515</v>
      </c>
      <c r="N20" t="s">
        <v>347</v>
      </c>
      <c r="O20" t="s">
        <v>206</v>
      </c>
      <c r="Q20" t="s">
        <v>348</v>
      </c>
      <c r="R20" t="s">
        <v>288</v>
      </c>
      <c r="S20">
        <v>5</v>
      </c>
      <c r="T20" t="s">
        <v>349</v>
      </c>
      <c r="AE20" t="s">
        <v>934</v>
      </c>
      <c r="AF20" t="s">
        <v>931</v>
      </c>
      <c r="AG20" t="s">
        <v>309</v>
      </c>
      <c r="AH20" t="s">
        <v>142</v>
      </c>
      <c r="AI20" t="s">
        <v>350</v>
      </c>
      <c r="AJ20" t="s">
        <v>301</v>
      </c>
      <c r="AL20" s="87">
        <v>9</v>
      </c>
      <c r="AM20" s="63">
        <v>45690</v>
      </c>
      <c r="AN20" s="86">
        <v>0.72569444444444442</v>
      </c>
      <c r="AO20" s="12">
        <v>0.70833333333333337</v>
      </c>
      <c r="AP20" t="s">
        <v>266</v>
      </c>
      <c r="AQ20" t="s">
        <v>352</v>
      </c>
      <c r="AR20" t="s">
        <v>351</v>
      </c>
      <c r="AS20" t="s">
        <v>169</v>
      </c>
      <c r="AT20" t="s">
        <v>266</v>
      </c>
      <c r="AU20" t="s">
        <v>311</v>
      </c>
      <c r="AV20" t="s">
        <v>344</v>
      </c>
      <c r="AW20">
        <v>2025</v>
      </c>
      <c r="AX20">
        <v>6</v>
      </c>
      <c r="AY20">
        <v>2</v>
      </c>
      <c r="AZ20" t="s">
        <v>352</v>
      </c>
    </row>
    <row r="21" spans="1:52" hidden="1" x14ac:dyDescent="0.25">
      <c r="A21" t="s">
        <v>1243</v>
      </c>
      <c r="B21" t="s">
        <v>971</v>
      </c>
      <c r="C21" s="88">
        <v>45860.556130439814</v>
      </c>
      <c r="D21" s="88">
        <v>45860.554155092592</v>
      </c>
      <c r="E21" s="88">
        <v>45860.456824490742</v>
      </c>
      <c r="F21" t="s">
        <v>1132</v>
      </c>
      <c r="G21" t="s">
        <v>353</v>
      </c>
      <c r="J21" s="1"/>
      <c r="K21" s="12"/>
      <c r="L21" s="1">
        <v>45691</v>
      </c>
      <c r="M21" s="12">
        <v>0.694849537037037</v>
      </c>
      <c r="N21" t="s">
        <v>206</v>
      </c>
      <c r="Q21" t="s">
        <v>354</v>
      </c>
      <c r="R21" t="s">
        <v>221</v>
      </c>
      <c r="S21">
        <v>9</v>
      </c>
      <c r="T21" t="s">
        <v>355</v>
      </c>
      <c r="AE21" t="s">
        <v>958</v>
      </c>
      <c r="AF21" t="s">
        <v>931</v>
      </c>
      <c r="AG21" t="s">
        <v>245</v>
      </c>
      <c r="AH21" t="s">
        <v>142</v>
      </c>
      <c r="AI21" t="s">
        <v>310</v>
      </c>
      <c r="AJ21" t="s">
        <v>166</v>
      </c>
      <c r="AK21" t="s">
        <v>213</v>
      </c>
      <c r="AL21" s="87">
        <v>9</v>
      </c>
      <c r="AM21" s="63">
        <v>45691</v>
      </c>
      <c r="AN21" s="86">
        <v>0.694849537037037</v>
      </c>
      <c r="AO21" s="12">
        <v>0.66666666666666663</v>
      </c>
      <c r="AP21" t="s">
        <v>266</v>
      </c>
      <c r="AQ21" t="s">
        <v>230</v>
      </c>
      <c r="AR21" t="s">
        <v>206</v>
      </c>
      <c r="AS21" t="s">
        <v>169</v>
      </c>
      <c r="AT21" t="s">
        <v>266</v>
      </c>
      <c r="AU21" t="s">
        <v>183</v>
      </c>
      <c r="AV21" t="s">
        <v>344</v>
      </c>
      <c r="AW21">
        <v>2025</v>
      </c>
      <c r="AX21">
        <v>6</v>
      </c>
      <c r="AY21">
        <v>3</v>
      </c>
      <c r="AZ21" t="s">
        <v>230</v>
      </c>
    </row>
    <row r="22" spans="1:52" hidden="1" x14ac:dyDescent="0.25">
      <c r="A22" t="s">
        <v>1243</v>
      </c>
      <c r="B22" t="s">
        <v>971</v>
      </c>
      <c r="C22" s="88">
        <v>45860.556130439814</v>
      </c>
      <c r="D22" s="88">
        <v>45860.554155092592</v>
      </c>
      <c r="E22" s="88">
        <v>45860.456824490742</v>
      </c>
      <c r="F22" t="s">
        <v>1132</v>
      </c>
      <c r="G22" t="s">
        <v>356</v>
      </c>
      <c r="H22" s="63">
        <v>45691</v>
      </c>
      <c r="I22" s="86">
        <v>0.77083333333333326</v>
      </c>
      <c r="J22" s="1">
        <v>45692</v>
      </c>
      <c r="K22" s="12">
        <v>0.79166666666666663</v>
      </c>
      <c r="L22" s="1">
        <v>45692</v>
      </c>
      <c r="M22" s="12">
        <v>0.53023148148148147</v>
      </c>
      <c r="N22" t="s">
        <v>154</v>
      </c>
      <c r="Q22" t="s">
        <v>357</v>
      </c>
      <c r="R22" t="s">
        <v>358</v>
      </c>
      <c r="S22">
        <v>8</v>
      </c>
      <c r="T22" t="s">
        <v>359</v>
      </c>
      <c r="W22" t="s">
        <v>981</v>
      </c>
      <c r="X22" t="s">
        <v>361</v>
      </c>
      <c r="Y22" t="s">
        <v>982</v>
      </c>
      <c r="Z22" t="s">
        <v>363</v>
      </c>
      <c r="AE22" t="s">
        <v>934</v>
      </c>
      <c r="AF22" t="s">
        <v>931</v>
      </c>
      <c r="AG22" t="s">
        <v>309</v>
      </c>
      <c r="AH22" t="s">
        <v>142</v>
      </c>
      <c r="AI22" t="s">
        <v>180</v>
      </c>
      <c r="AJ22" t="s">
        <v>364</v>
      </c>
      <c r="AK22" t="s">
        <v>167</v>
      </c>
      <c r="AL22" s="87">
        <v>9</v>
      </c>
      <c r="AM22" s="63">
        <v>45691</v>
      </c>
      <c r="AN22" s="86">
        <v>0.77083333333333337</v>
      </c>
      <c r="AO22" s="12">
        <v>0.75</v>
      </c>
      <c r="AP22" t="s">
        <v>266</v>
      </c>
      <c r="AQ22" t="s">
        <v>365</v>
      </c>
      <c r="AR22" t="s">
        <v>154</v>
      </c>
      <c r="AS22" t="s">
        <v>169</v>
      </c>
      <c r="AT22" t="s">
        <v>266</v>
      </c>
      <c r="AU22" t="s">
        <v>183</v>
      </c>
      <c r="AV22" t="s">
        <v>344</v>
      </c>
      <c r="AW22">
        <v>2025</v>
      </c>
      <c r="AX22">
        <v>6</v>
      </c>
      <c r="AY22">
        <v>3</v>
      </c>
      <c r="AZ22" t="s">
        <v>365</v>
      </c>
    </row>
    <row r="23" spans="1:52" hidden="1" x14ac:dyDescent="0.25">
      <c r="A23" t="s">
        <v>1243</v>
      </c>
      <c r="B23" t="s">
        <v>971</v>
      </c>
      <c r="C23" s="88">
        <v>45860.556130439814</v>
      </c>
      <c r="D23" s="88">
        <v>45860.554155092592</v>
      </c>
      <c r="E23" s="88">
        <v>45860.456824490742</v>
      </c>
      <c r="F23" t="s">
        <v>1132</v>
      </c>
      <c r="G23" t="s">
        <v>366</v>
      </c>
      <c r="H23" s="63">
        <v>45693</v>
      </c>
      <c r="I23" s="86">
        <v>0.12291666666666656</v>
      </c>
      <c r="J23" s="1"/>
      <c r="K23" s="12"/>
      <c r="L23" s="1">
        <v>45693</v>
      </c>
      <c r="M23" s="12">
        <v>0.1233912037037037</v>
      </c>
      <c r="N23" t="s">
        <v>367</v>
      </c>
      <c r="O23" t="s">
        <v>368</v>
      </c>
      <c r="Q23" t="s">
        <v>369</v>
      </c>
      <c r="R23" t="s">
        <v>325</v>
      </c>
      <c r="S23">
        <v>8</v>
      </c>
      <c r="T23" t="s">
        <v>370</v>
      </c>
      <c r="AE23" t="s">
        <v>953</v>
      </c>
      <c r="AF23" t="s">
        <v>931</v>
      </c>
      <c r="AG23" t="s">
        <v>371</v>
      </c>
      <c r="AH23" t="s">
        <v>256</v>
      </c>
      <c r="AI23" t="s">
        <v>372</v>
      </c>
      <c r="AJ23" t="s">
        <v>181</v>
      </c>
      <c r="AK23" t="s">
        <v>246</v>
      </c>
      <c r="AL23" s="87">
        <v>9</v>
      </c>
      <c r="AM23" s="63">
        <v>45693</v>
      </c>
      <c r="AN23" s="86">
        <v>0.12291666666666666</v>
      </c>
      <c r="AO23" s="12">
        <v>8.3333333333333329E-2</v>
      </c>
      <c r="AP23" t="s">
        <v>343</v>
      </c>
      <c r="AQ23" t="s">
        <v>374</v>
      </c>
      <c r="AR23" t="s">
        <v>373</v>
      </c>
      <c r="AS23" t="s">
        <v>169</v>
      </c>
      <c r="AT23" t="s">
        <v>343</v>
      </c>
      <c r="AU23" t="s">
        <v>239</v>
      </c>
      <c r="AV23" t="s">
        <v>344</v>
      </c>
      <c r="AW23">
        <v>2025</v>
      </c>
      <c r="AX23">
        <v>6</v>
      </c>
      <c r="AY23">
        <v>5</v>
      </c>
      <c r="AZ23" t="s">
        <v>374</v>
      </c>
    </row>
    <row r="24" spans="1:52" hidden="1" x14ac:dyDescent="0.25">
      <c r="A24" t="s">
        <v>1243</v>
      </c>
      <c r="B24" t="s">
        <v>971</v>
      </c>
      <c r="C24" s="88">
        <v>45860.556130439814</v>
      </c>
      <c r="D24" s="88">
        <v>45860.554155092592</v>
      </c>
      <c r="E24" s="88">
        <v>45860.456824490742</v>
      </c>
      <c r="F24" t="s">
        <v>1132</v>
      </c>
      <c r="G24" t="s">
        <v>376</v>
      </c>
      <c r="H24" s="63">
        <v>45695</v>
      </c>
      <c r="I24" s="86">
        <v>0.27430555555555558</v>
      </c>
      <c r="J24" s="1">
        <v>45695</v>
      </c>
      <c r="K24" s="12">
        <v>0.28472222222222221</v>
      </c>
      <c r="L24" s="1">
        <v>45695</v>
      </c>
      <c r="M24" s="12">
        <v>0.30738425925925927</v>
      </c>
      <c r="N24" t="s">
        <v>154</v>
      </c>
      <c r="Q24" t="s">
        <v>377</v>
      </c>
      <c r="R24" t="s">
        <v>378</v>
      </c>
      <c r="S24">
        <v>5</v>
      </c>
      <c r="T24" t="s">
        <v>379</v>
      </c>
      <c r="W24" t="s">
        <v>983</v>
      </c>
      <c r="X24" t="s">
        <v>984</v>
      </c>
      <c r="Y24" t="s">
        <v>382</v>
      </c>
      <c r="Z24" t="s">
        <v>161</v>
      </c>
      <c r="AE24" t="s">
        <v>953</v>
      </c>
      <c r="AF24" t="s">
        <v>931</v>
      </c>
      <c r="AG24" t="s">
        <v>383</v>
      </c>
      <c r="AH24" t="s">
        <v>384</v>
      </c>
      <c r="AI24" t="s">
        <v>350</v>
      </c>
      <c r="AJ24" t="s">
        <v>301</v>
      </c>
      <c r="AK24" t="s">
        <v>167</v>
      </c>
      <c r="AL24" s="87">
        <v>9</v>
      </c>
      <c r="AM24" s="63">
        <v>45695</v>
      </c>
      <c r="AN24" s="86">
        <v>0.27430555555555558</v>
      </c>
      <c r="AO24" s="12">
        <v>0.25</v>
      </c>
      <c r="AP24" t="s">
        <v>385</v>
      </c>
      <c r="AQ24" t="s">
        <v>352</v>
      </c>
      <c r="AR24" t="s">
        <v>154</v>
      </c>
      <c r="AS24" t="s">
        <v>169</v>
      </c>
      <c r="AT24" t="s">
        <v>385</v>
      </c>
      <c r="AU24" t="s">
        <v>170</v>
      </c>
      <c r="AV24" t="s">
        <v>344</v>
      </c>
      <c r="AW24">
        <v>2025</v>
      </c>
      <c r="AX24">
        <v>6</v>
      </c>
      <c r="AY24">
        <v>7</v>
      </c>
      <c r="AZ24" t="s">
        <v>352</v>
      </c>
    </row>
    <row r="25" spans="1:52" hidden="1" x14ac:dyDescent="0.25">
      <c r="A25" t="s">
        <v>1243</v>
      </c>
      <c r="B25" t="s">
        <v>971</v>
      </c>
      <c r="C25" s="88">
        <v>45860.556130439814</v>
      </c>
      <c r="D25" s="88">
        <v>45860.554155092592</v>
      </c>
      <c r="E25" s="88">
        <v>45860.456824490742</v>
      </c>
      <c r="F25" t="s">
        <v>1132</v>
      </c>
      <c r="G25" t="s">
        <v>386</v>
      </c>
      <c r="H25" s="63">
        <v>45701</v>
      </c>
      <c r="I25" s="86">
        <v>8.3333333333333259E-2</v>
      </c>
      <c r="J25" s="1"/>
      <c r="K25" s="12"/>
      <c r="L25" s="1">
        <v>45701</v>
      </c>
      <c r="M25" s="12">
        <v>0.51225694444444447</v>
      </c>
      <c r="N25" t="s">
        <v>387</v>
      </c>
      <c r="O25" t="s">
        <v>388</v>
      </c>
      <c r="P25" t="s">
        <v>206</v>
      </c>
      <c r="Q25" t="s">
        <v>389</v>
      </c>
      <c r="R25" t="s">
        <v>390</v>
      </c>
      <c r="S25">
        <v>9</v>
      </c>
      <c r="T25" t="s">
        <v>391</v>
      </c>
      <c r="AE25" t="s">
        <v>933</v>
      </c>
      <c r="AF25" t="s">
        <v>931</v>
      </c>
      <c r="AG25" t="s">
        <v>393</v>
      </c>
      <c r="AH25" t="s">
        <v>384</v>
      </c>
      <c r="AI25" t="s">
        <v>257</v>
      </c>
      <c r="AJ25" t="s">
        <v>394</v>
      </c>
      <c r="AL25" s="87">
        <v>9</v>
      </c>
      <c r="AM25" s="63">
        <v>45701</v>
      </c>
      <c r="AN25" s="86">
        <v>8.3333333333333329E-2</v>
      </c>
      <c r="AO25" s="12">
        <v>8.3333333333333329E-2</v>
      </c>
      <c r="AP25" t="s">
        <v>343</v>
      </c>
      <c r="AQ25" t="s">
        <v>396</v>
      </c>
      <c r="AR25" t="s">
        <v>395</v>
      </c>
      <c r="AS25" t="s">
        <v>169</v>
      </c>
      <c r="AT25" t="s">
        <v>343</v>
      </c>
      <c r="AU25" t="s">
        <v>247</v>
      </c>
      <c r="AV25" t="s">
        <v>344</v>
      </c>
      <c r="AW25">
        <v>2025</v>
      </c>
      <c r="AX25">
        <v>7</v>
      </c>
      <c r="AY25">
        <v>13</v>
      </c>
      <c r="AZ25" t="s">
        <v>396</v>
      </c>
    </row>
    <row r="26" spans="1:52" hidden="1" x14ac:dyDescent="0.25">
      <c r="A26" t="s">
        <v>1243</v>
      </c>
      <c r="B26" t="s">
        <v>971</v>
      </c>
      <c r="C26" s="88">
        <v>45860.556130439814</v>
      </c>
      <c r="D26" s="88">
        <v>45860.554155092592</v>
      </c>
      <c r="E26" s="88">
        <v>45860.456824490742</v>
      </c>
      <c r="F26" t="s">
        <v>1132</v>
      </c>
      <c r="G26" t="s">
        <v>398</v>
      </c>
      <c r="H26" s="63">
        <v>45701</v>
      </c>
      <c r="I26" s="86">
        <v>0.66666666666666674</v>
      </c>
      <c r="J26" s="1"/>
      <c r="K26" s="12"/>
      <c r="L26" s="1">
        <v>45702</v>
      </c>
      <c r="M26" s="12">
        <v>0.29906250000000001</v>
      </c>
      <c r="N26" t="s">
        <v>174</v>
      </c>
      <c r="Q26" t="s">
        <v>399</v>
      </c>
      <c r="R26" t="s">
        <v>400</v>
      </c>
      <c r="S26">
        <v>6</v>
      </c>
      <c r="T26" t="s">
        <v>401</v>
      </c>
      <c r="W26" t="s">
        <v>402</v>
      </c>
      <c r="X26" t="s">
        <v>980</v>
      </c>
      <c r="Y26" t="s">
        <v>403</v>
      </c>
      <c r="Z26" t="s">
        <v>161</v>
      </c>
      <c r="AE26" t="s">
        <v>953</v>
      </c>
      <c r="AF26" t="s">
        <v>931</v>
      </c>
      <c r="AG26" t="s">
        <v>393</v>
      </c>
      <c r="AH26" t="s">
        <v>384</v>
      </c>
      <c r="AI26" t="s">
        <v>275</v>
      </c>
      <c r="AJ26" t="s">
        <v>166</v>
      </c>
      <c r="AK26" t="s">
        <v>182</v>
      </c>
      <c r="AL26" s="87">
        <v>9</v>
      </c>
      <c r="AM26" s="63">
        <v>45701</v>
      </c>
      <c r="AN26" s="86">
        <v>0.66666666666666663</v>
      </c>
      <c r="AO26" s="12">
        <v>0.66666666666666663</v>
      </c>
      <c r="AP26" t="s">
        <v>266</v>
      </c>
      <c r="AQ26" t="s">
        <v>404</v>
      </c>
      <c r="AR26" t="s">
        <v>174</v>
      </c>
      <c r="AS26" t="s">
        <v>169</v>
      </c>
      <c r="AT26" t="s">
        <v>266</v>
      </c>
      <c r="AU26" t="s">
        <v>247</v>
      </c>
      <c r="AV26" t="s">
        <v>344</v>
      </c>
      <c r="AW26">
        <v>2025</v>
      </c>
      <c r="AX26">
        <v>7</v>
      </c>
      <c r="AY26">
        <v>13</v>
      </c>
      <c r="AZ26" t="s">
        <v>404</v>
      </c>
    </row>
    <row r="27" spans="1:52" hidden="1" x14ac:dyDescent="0.25">
      <c r="A27" t="s">
        <v>1243</v>
      </c>
      <c r="B27" t="s">
        <v>971</v>
      </c>
      <c r="C27" s="88">
        <v>45860.556130439814</v>
      </c>
      <c r="D27" s="88">
        <v>45860.554155092592</v>
      </c>
      <c r="E27" s="88">
        <v>45860.456824490742</v>
      </c>
      <c r="F27" t="s">
        <v>1132</v>
      </c>
      <c r="G27" t="s">
        <v>405</v>
      </c>
      <c r="H27" s="63">
        <v>45705</v>
      </c>
      <c r="I27" s="86">
        <v>0.34877314814814819</v>
      </c>
      <c r="J27" s="1"/>
      <c r="K27" s="12"/>
      <c r="L27" s="1">
        <v>45705</v>
      </c>
      <c r="M27" s="12">
        <v>0.34877314814814814</v>
      </c>
      <c r="N27" t="s">
        <v>154</v>
      </c>
      <c r="O27" t="s">
        <v>406</v>
      </c>
      <c r="Q27" t="s">
        <v>407</v>
      </c>
      <c r="R27" t="s">
        <v>191</v>
      </c>
      <c r="S27">
        <v>7</v>
      </c>
      <c r="T27" t="s">
        <v>408</v>
      </c>
      <c r="W27" t="s">
        <v>986</v>
      </c>
      <c r="X27" t="s">
        <v>942</v>
      </c>
      <c r="Y27" t="s">
        <v>160</v>
      </c>
      <c r="Z27" t="s">
        <v>161</v>
      </c>
      <c r="AE27" t="s">
        <v>934</v>
      </c>
      <c r="AF27" t="s">
        <v>931</v>
      </c>
      <c r="AG27" t="s">
        <v>179</v>
      </c>
      <c r="AH27" t="s">
        <v>142</v>
      </c>
      <c r="AI27" t="s">
        <v>275</v>
      </c>
      <c r="AJ27" t="s">
        <v>166</v>
      </c>
      <c r="AK27" t="s">
        <v>167</v>
      </c>
      <c r="AL27" s="87">
        <v>9</v>
      </c>
      <c r="AM27" s="63">
        <v>45705</v>
      </c>
      <c r="AN27" s="86">
        <v>0.34877314814814814</v>
      </c>
      <c r="AO27" s="12">
        <v>0.33333333333333331</v>
      </c>
      <c r="AP27" t="s">
        <v>276</v>
      </c>
      <c r="AQ27" t="s">
        <v>411</v>
      </c>
      <c r="AR27" t="s">
        <v>410</v>
      </c>
      <c r="AS27" t="s">
        <v>169</v>
      </c>
      <c r="AT27" t="s">
        <v>276</v>
      </c>
      <c r="AU27" t="s">
        <v>183</v>
      </c>
      <c r="AV27" t="s">
        <v>344</v>
      </c>
      <c r="AW27">
        <v>2025</v>
      </c>
      <c r="AX27">
        <v>8</v>
      </c>
      <c r="AY27">
        <v>17</v>
      </c>
      <c r="AZ27" t="s">
        <v>411</v>
      </c>
    </row>
    <row r="28" spans="1:52" hidden="1" x14ac:dyDescent="0.25">
      <c r="A28" t="s">
        <v>1243</v>
      </c>
      <c r="B28" t="s">
        <v>971</v>
      </c>
      <c r="C28" s="88">
        <v>45860.556130439814</v>
      </c>
      <c r="D28" s="88">
        <v>45860.554155092592</v>
      </c>
      <c r="E28" s="88">
        <v>45860.456824490742</v>
      </c>
      <c r="F28" t="s">
        <v>1132</v>
      </c>
      <c r="G28" t="s">
        <v>412</v>
      </c>
      <c r="H28" s="63">
        <v>45705</v>
      </c>
      <c r="I28" s="86">
        <v>0.39716435185185195</v>
      </c>
      <c r="J28" s="1"/>
      <c r="K28" s="12"/>
      <c r="L28" s="1">
        <v>45705</v>
      </c>
      <c r="M28" s="12">
        <v>0.39716435185185184</v>
      </c>
      <c r="N28" t="s">
        <v>154</v>
      </c>
      <c r="Q28" t="s">
        <v>413</v>
      </c>
      <c r="R28" t="s">
        <v>414</v>
      </c>
      <c r="S28">
        <v>7</v>
      </c>
      <c r="T28" t="s">
        <v>415</v>
      </c>
      <c r="W28" t="s">
        <v>987</v>
      </c>
      <c r="X28" t="s">
        <v>942</v>
      </c>
      <c r="Y28" t="s">
        <v>160</v>
      </c>
      <c r="Z28" t="s">
        <v>975</v>
      </c>
      <c r="AE28" t="s">
        <v>934</v>
      </c>
      <c r="AF28" t="s">
        <v>931</v>
      </c>
      <c r="AG28" t="s">
        <v>417</v>
      </c>
      <c r="AH28" t="s">
        <v>142</v>
      </c>
      <c r="AI28" t="s">
        <v>275</v>
      </c>
      <c r="AJ28" t="s">
        <v>166</v>
      </c>
      <c r="AK28" t="s">
        <v>167</v>
      </c>
      <c r="AL28" s="87">
        <v>9</v>
      </c>
      <c r="AM28" s="63">
        <v>45705</v>
      </c>
      <c r="AN28" s="86">
        <v>0.39716435185185184</v>
      </c>
      <c r="AO28" s="12">
        <v>0.375</v>
      </c>
      <c r="AP28" t="s">
        <v>276</v>
      </c>
      <c r="AQ28" t="s">
        <v>184</v>
      </c>
      <c r="AR28" t="s">
        <v>154</v>
      </c>
      <c r="AS28" t="s">
        <v>169</v>
      </c>
      <c r="AT28" t="s">
        <v>276</v>
      </c>
      <c r="AU28" t="s">
        <v>183</v>
      </c>
      <c r="AV28" t="s">
        <v>344</v>
      </c>
      <c r="AW28">
        <v>2025</v>
      </c>
      <c r="AX28">
        <v>8</v>
      </c>
      <c r="AY28">
        <v>17</v>
      </c>
      <c r="AZ28" t="s">
        <v>184</v>
      </c>
    </row>
    <row r="29" spans="1:52" hidden="1" x14ac:dyDescent="0.25">
      <c r="A29" t="s">
        <v>1243</v>
      </c>
      <c r="B29" t="s">
        <v>971</v>
      </c>
      <c r="C29" s="88">
        <v>45860.556130439814</v>
      </c>
      <c r="D29" s="88">
        <v>45860.554155092592</v>
      </c>
      <c r="E29" s="88">
        <v>45860.456824490742</v>
      </c>
      <c r="F29" t="s">
        <v>1132</v>
      </c>
      <c r="G29" t="s">
        <v>418</v>
      </c>
      <c r="H29" s="63">
        <v>45705</v>
      </c>
      <c r="I29" s="86">
        <v>0.52497685185185183</v>
      </c>
      <c r="J29" s="1"/>
      <c r="K29" s="12"/>
      <c r="L29" s="1">
        <v>45705</v>
      </c>
      <c r="M29" s="12">
        <v>0.52497685185185183</v>
      </c>
      <c r="N29" t="s">
        <v>367</v>
      </c>
      <c r="O29" t="s">
        <v>347</v>
      </c>
      <c r="Q29" t="s">
        <v>419</v>
      </c>
      <c r="R29" t="s">
        <v>251</v>
      </c>
      <c r="S29">
        <v>9</v>
      </c>
      <c r="T29" t="s">
        <v>420</v>
      </c>
      <c r="AE29" t="s">
        <v>934</v>
      </c>
      <c r="AF29" t="s">
        <v>931</v>
      </c>
      <c r="AG29" t="s">
        <v>179</v>
      </c>
      <c r="AH29" t="s">
        <v>142</v>
      </c>
      <c r="AI29" t="s">
        <v>350</v>
      </c>
      <c r="AJ29" t="s">
        <v>166</v>
      </c>
      <c r="AK29" t="s">
        <v>246</v>
      </c>
      <c r="AL29" s="87">
        <v>9</v>
      </c>
      <c r="AM29" s="63">
        <v>45705</v>
      </c>
      <c r="AN29" s="86">
        <v>0.52497685185185183</v>
      </c>
      <c r="AO29" s="12">
        <v>0.5</v>
      </c>
      <c r="AP29" t="s">
        <v>146</v>
      </c>
      <c r="AQ29" t="s">
        <v>312</v>
      </c>
      <c r="AR29" t="s">
        <v>421</v>
      </c>
      <c r="AS29" t="s">
        <v>169</v>
      </c>
      <c r="AT29" t="s">
        <v>146</v>
      </c>
      <c r="AU29" t="s">
        <v>183</v>
      </c>
      <c r="AV29" t="s">
        <v>344</v>
      </c>
      <c r="AW29">
        <v>2025</v>
      </c>
      <c r="AX29">
        <v>8</v>
      </c>
      <c r="AY29">
        <v>17</v>
      </c>
      <c r="AZ29" t="s">
        <v>312</v>
      </c>
    </row>
    <row r="30" spans="1:52" hidden="1" x14ac:dyDescent="0.25">
      <c r="A30" t="s">
        <v>1243</v>
      </c>
      <c r="B30" t="s">
        <v>971</v>
      </c>
      <c r="C30" s="88">
        <v>45860.556130439814</v>
      </c>
      <c r="D30" s="88">
        <v>45860.554155092592</v>
      </c>
      <c r="E30" s="88">
        <v>45860.456824490742</v>
      </c>
      <c r="F30" t="s">
        <v>1132</v>
      </c>
      <c r="G30" t="s">
        <v>422</v>
      </c>
      <c r="H30" s="63">
        <v>45705</v>
      </c>
      <c r="I30" s="86">
        <v>0.83333333333333326</v>
      </c>
      <c r="J30" s="1">
        <v>45705</v>
      </c>
      <c r="K30" s="12">
        <v>0.98958333333333337</v>
      </c>
      <c r="L30" s="1">
        <v>45706</v>
      </c>
      <c r="M30" s="12">
        <v>0.73564814814814816</v>
      </c>
      <c r="N30" t="s">
        <v>423</v>
      </c>
      <c r="O30" t="s">
        <v>136</v>
      </c>
      <c r="Q30" t="s">
        <v>424</v>
      </c>
      <c r="R30" t="s">
        <v>425</v>
      </c>
      <c r="S30">
        <v>8</v>
      </c>
      <c r="T30" t="s">
        <v>426</v>
      </c>
      <c r="AE30" t="s">
        <v>932</v>
      </c>
      <c r="AF30" t="s">
        <v>931</v>
      </c>
      <c r="AG30" t="s">
        <v>310</v>
      </c>
      <c r="AH30" t="s">
        <v>282</v>
      </c>
      <c r="AI30" t="s">
        <v>310</v>
      </c>
      <c r="AJ30" t="s">
        <v>320</v>
      </c>
      <c r="AL30" s="87">
        <v>9</v>
      </c>
      <c r="AM30" s="63">
        <v>45705</v>
      </c>
      <c r="AN30" s="86">
        <v>0.83333333333333337</v>
      </c>
      <c r="AO30" s="12">
        <v>0.83333333333333337</v>
      </c>
      <c r="AP30" t="s">
        <v>168</v>
      </c>
      <c r="AQ30" t="s">
        <v>428</v>
      </c>
      <c r="AR30" t="s">
        <v>427</v>
      </c>
      <c r="AS30" t="s">
        <v>169</v>
      </c>
      <c r="AT30" t="s">
        <v>168</v>
      </c>
      <c r="AU30" t="s">
        <v>183</v>
      </c>
      <c r="AV30" t="s">
        <v>344</v>
      </c>
      <c r="AW30">
        <v>2025</v>
      </c>
      <c r="AX30">
        <v>8</v>
      </c>
      <c r="AY30">
        <v>17</v>
      </c>
      <c r="AZ30" t="s">
        <v>428</v>
      </c>
    </row>
    <row r="31" spans="1:52" hidden="1" x14ac:dyDescent="0.25">
      <c r="A31" t="s">
        <v>1243</v>
      </c>
      <c r="B31" t="s">
        <v>971</v>
      </c>
      <c r="C31" s="88">
        <v>45860.556130439814</v>
      </c>
      <c r="D31" s="88">
        <v>45860.554155092592</v>
      </c>
      <c r="E31" s="88">
        <v>45860.456824490742</v>
      </c>
      <c r="F31" t="s">
        <v>1132</v>
      </c>
      <c r="G31" t="s">
        <v>429</v>
      </c>
      <c r="H31" s="63">
        <v>45713</v>
      </c>
      <c r="I31" s="86">
        <v>0.41666666666666674</v>
      </c>
      <c r="J31" s="1">
        <v>45713</v>
      </c>
      <c r="K31" s="12">
        <v>0.95833333333333337</v>
      </c>
      <c r="L31" s="1">
        <v>45712</v>
      </c>
      <c r="M31" s="12">
        <v>0.99136574074074069</v>
      </c>
      <c r="N31" t="s">
        <v>154</v>
      </c>
      <c r="Q31" t="s">
        <v>430</v>
      </c>
      <c r="R31" t="s">
        <v>270</v>
      </c>
      <c r="S31">
        <v>5</v>
      </c>
      <c r="T31" t="s">
        <v>431</v>
      </c>
      <c r="W31" t="s">
        <v>432</v>
      </c>
      <c r="X31" t="s">
        <v>942</v>
      </c>
      <c r="Y31" t="s">
        <v>433</v>
      </c>
      <c r="Z31" t="s">
        <v>434</v>
      </c>
      <c r="AE31" t="s">
        <v>950</v>
      </c>
      <c r="AF31" t="s">
        <v>931</v>
      </c>
      <c r="AG31" t="s">
        <v>327</v>
      </c>
      <c r="AH31" t="s">
        <v>328</v>
      </c>
      <c r="AI31" t="s">
        <v>228</v>
      </c>
      <c r="AJ31" t="s">
        <v>435</v>
      </c>
      <c r="AK31" t="s">
        <v>167</v>
      </c>
      <c r="AL31" s="87">
        <v>9</v>
      </c>
      <c r="AM31" s="63">
        <v>45713</v>
      </c>
      <c r="AN31" s="86">
        <v>0.41666666666666669</v>
      </c>
      <c r="AO31" s="12">
        <v>0.41666666666666669</v>
      </c>
      <c r="AP31" t="s">
        <v>276</v>
      </c>
      <c r="AQ31" t="s">
        <v>436</v>
      </c>
      <c r="AR31" t="s">
        <v>154</v>
      </c>
      <c r="AS31" t="s">
        <v>169</v>
      </c>
      <c r="AT31" t="s">
        <v>276</v>
      </c>
      <c r="AU31" t="s">
        <v>148</v>
      </c>
      <c r="AV31" t="s">
        <v>344</v>
      </c>
      <c r="AW31">
        <v>2025</v>
      </c>
      <c r="AX31">
        <v>9</v>
      </c>
      <c r="AY31">
        <v>25</v>
      </c>
      <c r="AZ31" t="s">
        <v>436</v>
      </c>
    </row>
    <row r="32" spans="1:52" hidden="1" x14ac:dyDescent="0.25">
      <c r="A32" t="s">
        <v>1243</v>
      </c>
      <c r="B32" t="s">
        <v>971</v>
      </c>
      <c r="C32" s="88">
        <v>45860.556130439814</v>
      </c>
      <c r="D32" s="88">
        <v>45860.554155092592</v>
      </c>
      <c r="E32" s="88">
        <v>45860.456824490742</v>
      </c>
      <c r="F32" t="s">
        <v>1132</v>
      </c>
      <c r="G32" t="s">
        <v>437</v>
      </c>
      <c r="H32" s="63">
        <v>45717</v>
      </c>
      <c r="I32" s="86">
        <v>0.25</v>
      </c>
      <c r="J32" s="1">
        <v>45780</v>
      </c>
      <c r="K32" s="12">
        <v>0.49583333333333335</v>
      </c>
      <c r="L32" s="1">
        <v>45780</v>
      </c>
      <c r="M32" s="12">
        <v>0.49972222222222223</v>
      </c>
      <c r="N32" t="s">
        <v>154</v>
      </c>
      <c r="Q32" t="s">
        <v>438</v>
      </c>
      <c r="R32" t="s">
        <v>425</v>
      </c>
      <c r="S32">
        <v>8</v>
      </c>
      <c r="T32" t="s">
        <v>439</v>
      </c>
      <c r="W32" t="s">
        <v>440</v>
      </c>
      <c r="X32" t="s">
        <v>1008</v>
      </c>
      <c r="Y32" t="s">
        <v>442</v>
      </c>
      <c r="Z32" t="s">
        <v>161</v>
      </c>
      <c r="AE32" t="s">
        <v>950</v>
      </c>
      <c r="AF32" t="s">
        <v>931</v>
      </c>
      <c r="AG32" t="s">
        <v>443</v>
      </c>
      <c r="AH32" t="s">
        <v>444</v>
      </c>
      <c r="AI32" t="s">
        <v>310</v>
      </c>
      <c r="AJ32" t="s">
        <v>166</v>
      </c>
      <c r="AK32" t="s">
        <v>167</v>
      </c>
      <c r="AL32" s="87">
        <v>9</v>
      </c>
      <c r="AM32" s="63">
        <v>45717</v>
      </c>
      <c r="AN32" s="86">
        <v>0.25</v>
      </c>
      <c r="AO32" s="12">
        <v>0.25</v>
      </c>
      <c r="AP32" t="s">
        <v>385</v>
      </c>
      <c r="AQ32" t="s">
        <v>446</v>
      </c>
      <c r="AR32" t="s">
        <v>154</v>
      </c>
      <c r="AS32" t="s">
        <v>169</v>
      </c>
      <c r="AT32" t="s">
        <v>385</v>
      </c>
      <c r="AU32" t="s">
        <v>292</v>
      </c>
      <c r="AV32" t="s">
        <v>445</v>
      </c>
      <c r="AW32">
        <v>2025</v>
      </c>
      <c r="AX32">
        <v>9</v>
      </c>
      <c r="AY32">
        <v>1</v>
      </c>
      <c r="AZ32" t="s">
        <v>446</v>
      </c>
    </row>
    <row r="33" spans="1:52" hidden="1" x14ac:dyDescent="0.25">
      <c r="A33" t="s">
        <v>1243</v>
      </c>
      <c r="B33" t="s">
        <v>971</v>
      </c>
      <c r="C33" s="88">
        <v>45860.556130439814</v>
      </c>
      <c r="D33" s="88">
        <v>45860.554155092592</v>
      </c>
      <c r="E33" s="88">
        <v>45860.456824490742</v>
      </c>
      <c r="F33" t="s">
        <v>1132</v>
      </c>
      <c r="G33" t="s">
        <v>447</v>
      </c>
      <c r="H33" s="63">
        <v>45720</v>
      </c>
      <c r="I33" s="86">
        <v>0.64097222222222228</v>
      </c>
      <c r="J33" s="1"/>
      <c r="K33" s="12"/>
      <c r="L33" s="1">
        <v>45720</v>
      </c>
      <c r="M33" s="12">
        <v>0.64444444444444449</v>
      </c>
      <c r="N33" t="s">
        <v>206</v>
      </c>
      <c r="O33" t="s">
        <v>448</v>
      </c>
      <c r="P33" t="s">
        <v>204</v>
      </c>
      <c r="Q33" t="s">
        <v>449</v>
      </c>
      <c r="R33" t="s">
        <v>208</v>
      </c>
      <c r="S33">
        <v>8</v>
      </c>
      <c r="T33" t="s">
        <v>450</v>
      </c>
      <c r="W33" t="s">
        <v>451</v>
      </c>
      <c r="X33" t="s">
        <v>452</v>
      </c>
      <c r="Y33" t="s">
        <v>453</v>
      </c>
      <c r="Z33" t="s">
        <v>161</v>
      </c>
      <c r="AE33" t="s">
        <v>959</v>
      </c>
      <c r="AF33" t="s">
        <v>931</v>
      </c>
      <c r="AG33" t="s">
        <v>454</v>
      </c>
      <c r="AH33" t="s">
        <v>328</v>
      </c>
      <c r="AI33" t="s">
        <v>257</v>
      </c>
      <c r="AJ33" t="s">
        <v>364</v>
      </c>
      <c r="AK33" t="s">
        <v>213</v>
      </c>
      <c r="AL33" s="87">
        <v>9</v>
      </c>
      <c r="AM33" s="63">
        <v>45720</v>
      </c>
      <c r="AN33" s="86">
        <v>0.64097222222222228</v>
      </c>
      <c r="AO33" s="12">
        <v>0.625</v>
      </c>
      <c r="AP33" t="s">
        <v>146</v>
      </c>
      <c r="AQ33" t="s">
        <v>456</v>
      </c>
      <c r="AR33" t="s">
        <v>455</v>
      </c>
      <c r="AS33" t="s">
        <v>169</v>
      </c>
      <c r="AT33" t="s">
        <v>146</v>
      </c>
      <c r="AU33" t="s">
        <v>148</v>
      </c>
      <c r="AV33" t="s">
        <v>445</v>
      </c>
      <c r="AW33">
        <v>2025</v>
      </c>
      <c r="AX33">
        <v>10</v>
      </c>
      <c r="AY33">
        <v>4</v>
      </c>
      <c r="AZ33" t="s">
        <v>456</v>
      </c>
    </row>
    <row r="34" spans="1:52" hidden="1" x14ac:dyDescent="0.25">
      <c r="A34" t="s">
        <v>1243</v>
      </c>
      <c r="B34" t="s">
        <v>971</v>
      </c>
      <c r="C34" s="88">
        <v>45860.556130439814</v>
      </c>
      <c r="D34" s="88">
        <v>45860.554155092592</v>
      </c>
      <c r="E34" s="88">
        <v>45860.456824490742</v>
      </c>
      <c r="F34" t="s">
        <v>1132</v>
      </c>
      <c r="G34" t="s">
        <v>457</v>
      </c>
      <c r="H34" s="63">
        <v>45720</v>
      </c>
      <c r="I34" s="86">
        <v>0.79126157407407405</v>
      </c>
      <c r="J34" s="1"/>
      <c r="K34" s="12"/>
      <c r="L34" s="1">
        <v>45720</v>
      </c>
      <c r="M34" s="12">
        <v>0.79126157407407405</v>
      </c>
      <c r="N34" t="s">
        <v>206</v>
      </c>
      <c r="Q34" t="s">
        <v>458</v>
      </c>
      <c r="R34" t="s">
        <v>315</v>
      </c>
      <c r="S34">
        <v>6</v>
      </c>
      <c r="T34" t="s">
        <v>459</v>
      </c>
      <c r="AE34" t="s">
        <v>959</v>
      </c>
      <c r="AF34" t="s">
        <v>931</v>
      </c>
      <c r="AG34" t="s">
        <v>460</v>
      </c>
      <c r="AH34" t="s">
        <v>164</v>
      </c>
      <c r="AI34" t="s">
        <v>180</v>
      </c>
      <c r="AJ34" t="s">
        <v>364</v>
      </c>
      <c r="AK34" t="s">
        <v>213</v>
      </c>
      <c r="AL34" s="87">
        <v>9</v>
      </c>
      <c r="AM34" s="63">
        <v>45720</v>
      </c>
      <c r="AN34" s="86">
        <v>0.79126157407407405</v>
      </c>
      <c r="AO34" s="12">
        <v>0.75</v>
      </c>
      <c r="AP34" t="s">
        <v>266</v>
      </c>
      <c r="AQ34" t="s">
        <v>461</v>
      </c>
      <c r="AR34" t="s">
        <v>206</v>
      </c>
      <c r="AS34" t="s">
        <v>169</v>
      </c>
      <c r="AT34" t="s">
        <v>266</v>
      </c>
      <c r="AU34" t="s">
        <v>148</v>
      </c>
      <c r="AV34" t="s">
        <v>445</v>
      </c>
      <c r="AW34">
        <v>2025</v>
      </c>
      <c r="AX34">
        <v>10</v>
      </c>
      <c r="AY34">
        <v>4</v>
      </c>
      <c r="AZ34" t="s">
        <v>461</v>
      </c>
    </row>
    <row r="35" spans="1:52" hidden="1" x14ac:dyDescent="0.25">
      <c r="A35" t="s">
        <v>1243</v>
      </c>
      <c r="B35" t="s">
        <v>971</v>
      </c>
      <c r="C35" s="88">
        <v>45860.556130439814</v>
      </c>
      <c r="D35" s="88">
        <v>45860.554155092592</v>
      </c>
      <c r="E35" s="88">
        <v>45860.456824490742</v>
      </c>
      <c r="F35" t="s">
        <v>1132</v>
      </c>
      <c r="G35" t="s">
        <v>462</v>
      </c>
      <c r="H35" s="63">
        <v>45722</v>
      </c>
      <c r="I35" s="86">
        <v>0.94149305555555562</v>
      </c>
      <c r="J35" s="1"/>
      <c r="K35" s="12"/>
      <c r="L35" s="1">
        <v>45722</v>
      </c>
      <c r="M35" s="12">
        <v>0.94149305555555551</v>
      </c>
      <c r="N35" t="s">
        <v>174</v>
      </c>
      <c r="Q35" t="s">
        <v>463</v>
      </c>
      <c r="R35" t="s">
        <v>208</v>
      </c>
      <c r="S35">
        <v>8</v>
      </c>
      <c r="T35" t="s">
        <v>464</v>
      </c>
      <c r="W35" t="s">
        <v>465</v>
      </c>
      <c r="X35" t="s">
        <v>980</v>
      </c>
      <c r="Y35" t="s">
        <v>466</v>
      </c>
      <c r="Z35" t="s">
        <v>161</v>
      </c>
      <c r="AE35" t="s">
        <v>988</v>
      </c>
      <c r="AF35" t="s">
        <v>931</v>
      </c>
      <c r="AG35" t="s">
        <v>179</v>
      </c>
      <c r="AH35" t="s">
        <v>142</v>
      </c>
      <c r="AI35" t="s">
        <v>228</v>
      </c>
      <c r="AJ35" t="s">
        <v>166</v>
      </c>
      <c r="AK35" t="s">
        <v>182</v>
      </c>
      <c r="AL35" s="87">
        <v>9</v>
      </c>
      <c r="AM35" s="63">
        <v>45722</v>
      </c>
      <c r="AN35" s="86">
        <v>0.94149305555555551</v>
      </c>
      <c r="AO35" s="12">
        <v>0.91666666666666663</v>
      </c>
      <c r="AP35" t="s">
        <v>168</v>
      </c>
      <c r="AQ35" t="s">
        <v>468</v>
      </c>
      <c r="AR35" t="s">
        <v>174</v>
      </c>
      <c r="AS35" t="s">
        <v>169</v>
      </c>
      <c r="AT35" t="s">
        <v>168</v>
      </c>
      <c r="AU35" t="s">
        <v>247</v>
      </c>
      <c r="AV35" t="s">
        <v>445</v>
      </c>
      <c r="AW35">
        <v>2025</v>
      </c>
      <c r="AX35">
        <v>10</v>
      </c>
      <c r="AY35">
        <v>6</v>
      </c>
      <c r="AZ35" t="s">
        <v>468</v>
      </c>
    </row>
    <row r="36" spans="1:52" hidden="1" x14ac:dyDescent="0.25">
      <c r="A36" t="s">
        <v>1243</v>
      </c>
      <c r="B36" t="s">
        <v>971</v>
      </c>
      <c r="C36" s="88">
        <v>45860.556130439814</v>
      </c>
      <c r="D36" s="88">
        <v>45860.554155092592</v>
      </c>
      <c r="E36" s="88">
        <v>45860.456824490742</v>
      </c>
      <c r="F36" t="s">
        <v>1132</v>
      </c>
      <c r="G36" t="s">
        <v>469</v>
      </c>
      <c r="H36" s="63">
        <v>45725</v>
      </c>
      <c r="I36" s="86">
        <v>0.8125</v>
      </c>
      <c r="J36" s="1">
        <v>45726</v>
      </c>
      <c r="K36" s="12">
        <v>0.35416666666666669</v>
      </c>
      <c r="L36" s="1">
        <v>45726</v>
      </c>
      <c r="M36" s="12">
        <v>0.37046296296296294</v>
      </c>
      <c r="N36" t="s">
        <v>174</v>
      </c>
      <c r="Q36" t="s">
        <v>470</v>
      </c>
      <c r="R36" t="s">
        <v>191</v>
      </c>
      <c r="S36">
        <v>7</v>
      </c>
      <c r="T36" t="s">
        <v>471</v>
      </c>
      <c r="W36" t="s">
        <v>472</v>
      </c>
      <c r="X36" t="s">
        <v>473</v>
      </c>
      <c r="Y36" t="s">
        <v>474</v>
      </c>
      <c r="Z36" t="s">
        <v>161</v>
      </c>
      <c r="AE36" t="s">
        <v>950</v>
      </c>
      <c r="AF36" t="s">
        <v>931</v>
      </c>
      <c r="AG36" t="s">
        <v>475</v>
      </c>
      <c r="AH36" t="s">
        <v>211</v>
      </c>
      <c r="AI36" t="s">
        <v>275</v>
      </c>
      <c r="AJ36" t="s">
        <v>166</v>
      </c>
      <c r="AK36" t="s">
        <v>182</v>
      </c>
      <c r="AL36" s="87">
        <v>9</v>
      </c>
      <c r="AM36" s="63">
        <v>45725</v>
      </c>
      <c r="AN36" s="86">
        <v>0.8125</v>
      </c>
      <c r="AO36" s="12">
        <v>0.79166666666666663</v>
      </c>
      <c r="AP36" t="s">
        <v>266</v>
      </c>
      <c r="AQ36" t="s">
        <v>476</v>
      </c>
      <c r="AR36" t="s">
        <v>174</v>
      </c>
      <c r="AS36" t="s">
        <v>169</v>
      </c>
      <c r="AT36" t="s">
        <v>266</v>
      </c>
      <c r="AU36" t="s">
        <v>311</v>
      </c>
      <c r="AV36" t="s">
        <v>445</v>
      </c>
      <c r="AW36">
        <v>2025</v>
      </c>
      <c r="AX36">
        <v>11</v>
      </c>
      <c r="AY36">
        <v>9</v>
      </c>
      <c r="AZ36" t="s">
        <v>476</v>
      </c>
    </row>
    <row r="37" spans="1:52" hidden="1" x14ac:dyDescent="0.25">
      <c r="A37" t="s">
        <v>1243</v>
      </c>
      <c r="B37" t="s">
        <v>971</v>
      </c>
      <c r="C37" s="88">
        <v>45860.556130439814</v>
      </c>
      <c r="D37" s="88">
        <v>45860.554155092592</v>
      </c>
      <c r="E37" s="88">
        <v>45860.456824490742</v>
      </c>
      <c r="F37" t="s">
        <v>1132</v>
      </c>
      <c r="G37" t="s">
        <v>477</v>
      </c>
      <c r="H37" s="63">
        <v>45726</v>
      </c>
      <c r="I37" s="86">
        <v>4.6527777777777724E-2</v>
      </c>
      <c r="J37" s="1">
        <v>45726</v>
      </c>
      <c r="K37" s="12">
        <v>0.16180555555555556</v>
      </c>
      <c r="L37" s="1">
        <v>45727</v>
      </c>
      <c r="M37" s="12">
        <v>0.44234953703703705</v>
      </c>
      <c r="N37" t="s">
        <v>242</v>
      </c>
      <c r="Q37" t="s">
        <v>478</v>
      </c>
      <c r="R37" t="s">
        <v>358</v>
      </c>
      <c r="S37">
        <v>8</v>
      </c>
      <c r="T37" t="s">
        <v>479</v>
      </c>
      <c r="AE37" t="s">
        <v>946</v>
      </c>
      <c r="AF37" t="s">
        <v>931</v>
      </c>
      <c r="AG37" t="s">
        <v>163</v>
      </c>
      <c r="AH37" t="s">
        <v>328</v>
      </c>
      <c r="AI37" t="s">
        <v>310</v>
      </c>
      <c r="AJ37" t="s">
        <v>364</v>
      </c>
      <c r="AK37" t="s">
        <v>246</v>
      </c>
      <c r="AL37" s="87">
        <v>9</v>
      </c>
      <c r="AM37" s="63">
        <v>45726</v>
      </c>
      <c r="AN37" s="86">
        <v>4.6527777777777779E-2</v>
      </c>
      <c r="AO37" s="12">
        <v>4.1666666666666664E-2</v>
      </c>
      <c r="AP37" t="s">
        <v>343</v>
      </c>
      <c r="AQ37" t="s">
        <v>481</v>
      </c>
      <c r="AR37" t="s">
        <v>242</v>
      </c>
      <c r="AS37" t="s">
        <v>169</v>
      </c>
      <c r="AT37" t="s">
        <v>343</v>
      </c>
      <c r="AU37" t="s">
        <v>183</v>
      </c>
      <c r="AV37" t="s">
        <v>445</v>
      </c>
      <c r="AW37">
        <v>2025</v>
      </c>
      <c r="AX37">
        <v>11</v>
      </c>
      <c r="AY37">
        <v>10</v>
      </c>
      <c r="AZ37" t="s">
        <v>481</v>
      </c>
    </row>
    <row r="38" spans="1:52" hidden="1" x14ac:dyDescent="0.25">
      <c r="A38" t="s">
        <v>1243</v>
      </c>
      <c r="B38" t="s">
        <v>971</v>
      </c>
      <c r="C38" s="88">
        <v>45860.556130439814</v>
      </c>
      <c r="D38" s="88">
        <v>45860.554155092592</v>
      </c>
      <c r="E38" s="88">
        <v>45860.456824490742</v>
      </c>
      <c r="F38" t="s">
        <v>1132</v>
      </c>
      <c r="G38" t="s">
        <v>482</v>
      </c>
      <c r="H38" s="63">
        <v>45727</v>
      </c>
      <c r="I38" s="86">
        <v>0.60416666666666674</v>
      </c>
      <c r="J38" s="1"/>
      <c r="K38" s="12"/>
      <c r="L38" s="1">
        <v>45727</v>
      </c>
      <c r="M38" s="12">
        <v>0.69039351851851849</v>
      </c>
      <c r="N38" t="s">
        <v>174</v>
      </c>
      <c r="Q38" t="s">
        <v>483</v>
      </c>
      <c r="R38" t="s">
        <v>208</v>
      </c>
      <c r="S38">
        <v>8</v>
      </c>
      <c r="T38" t="s">
        <v>484</v>
      </c>
      <c r="W38" t="s">
        <v>485</v>
      </c>
      <c r="X38" t="s">
        <v>961</v>
      </c>
      <c r="Y38" t="s">
        <v>487</v>
      </c>
      <c r="Z38" t="s">
        <v>161</v>
      </c>
      <c r="AE38" t="s">
        <v>932</v>
      </c>
      <c r="AF38" t="s">
        <v>931</v>
      </c>
      <c r="AG38" t="s">
        <v>327</v>
      </c>
      <c r="AH38" t="s">
        <v>328</v>
      </c>
      <c r="AI38" t="s">
        <v>488</v>
      </c>
      <c r="AJ38" t="s">
        <v>166</v>
      </c>
      <c r="AK38" t="s">
        <v>182</v>
      </c>
      <c r="AL38" s="87">
        <v>9</v>
      </c>
      <c r="AM38" s="63">
        <v>45727</v>
      </c>
      <c r="AN38" s="86">
        <v>0.60416666666666663</v>
      </c>
      <c r="AO38" s="12">
        <v>0.58333333333333337</v>
      </c>
      <c r="AP38" t="s">
        <v>146</v>
      </c>
      <c r="AQ38" t="s">
        <v>489</v>
      </c>
      <c r="AR38" t="s">
        <v>174</v>
      </c>
      <c r="AS38" t="s">
        <v>169</v>
      </c>
      <c r="AT38" t="s">
        <v>146</v>
      </c>
      <c r="AU38" t="s">
        <v>148</v>
      </c>
      <c r="AV38" t="s">
        <v>445</v>
      </c>
      <c r="AW38">
        <v>2025</v>
      </c>
      <c r="AX38">
        <v>11</v>
      </c>
      <c r="AY38">
        <v>11</v>
      </c>
      <c r="AZ38" t="s">
        <v>489</v>
      </c>
    </row>
    <row r="39" spans="1:52" hidden="1" x14ac:dyDescent="0.25">
      <c r="A39" t="s">
        <v>1243</v>
      </c>
      <c r="B39" t="s">
        <v>971</v>
      </c>
      <c r="C39" s="88">
        <v>45860.556130439814</v>
      </c>
      <c r="D39" s="88">
        <v>45860.554155092592</v>
      </c>
      <c r="E39" s="88">
        <v>45860.456824490742</v>
      </c>
      <c r="F39" t="s">
        <v>1132</v>
      </c>
      <c r="G39" t="s">
        <v>490</v>
      </c>
      <c r="J39" s="1">
        <v>45734</v>
      </c>
      <c r="K39" s="12">
        <v>0.22916666666666666</v>
      </c>
      <c r="L39" s="1">
        <v>45734</v>
      </c>
      <c r="M39" s="12">
        <v>0.27405092592592595</v>
      </c>
      <c r="N39" t="s">
        <v>387</v>
      </c>
      <c r="O39" t="s">
        <v>242</v>
      </c>
      <c r="Q39" t="s">
        <v>491</v>
      </c>
      <c r="R39" t="s">
        <v>221</v>
      </c>
      <c r="S39">
        <v>9</v>
      </c>
      <c r="T39" t="s">
        <v>492</v>
      </c>
      <c r="W39" t="s">
        <v>989</v>
      </c>
      <c r="X39" t="s">
        <v>494</v>
      </c>
      <c r="Y39" t="s">
        <v>495</v>
      </c>
      <c r="Z39" t="s">
        <v>161</v>
      </c>
      <c r="AF39" t="s">
        <v>931</v>
      </c>
      <c r="AG39" t="s">
        <v>496</v>
      </c>
      <c r="AH39" t="s">
        <v>497</v>
      </c>
      <c r="AL39" s="87">
        <v>9</v>
      </c>
      <c r="AM39" s="63">
        <v>45734</v>
      </c>
      <c r="AN39" s="86">
        <v>0.22916666666666666</v>
      </c>
      <c r="AO39" s="12">
        <v>0.20833333333333334</v>
      </c>
      <c r="AP39" t="s">
        <v>385</v>
      </c>
      <c r="AQ39" t="s">
        <v>230</v>
      </c>
      <c r="AR39" t="s">
        <v>498</v>
      </c>
      <c r="AS39" t="s">
        <v>169</v>
      </c>
      <c r="AT39" t="s">
        <v>385</v>
      </c>
      <c r="AU39" t="s">
        <v>148</v>
      </c>
      <c r="AV39" t="s">
        <v>445</v>
      </c>
      <c r="AW39">
        <v>2025</v>
      </c>
      <c r="AX39">
        <v>12</v>
      </c>
      <c r="AY39">
        <v>18</v>
      </c>
      <c r="AZ39" t="s">
        <v>230</v>
      </c>
    </row>
    <row r="40" spans="1:52" hidden="1" x14ac:dyDescent="0.25">
      <c r="A40" t="s">
        <v>1243</v>
      </c>
      <c r="B40" t="s">
        <v>971</v>
      </c>
      <c r="C40" s="88">
        <v>45860.556130439814</v>
      </c>
      <c r="D40" s="88">
        <v>45860.554155092592</v>
      </c>
      <c r="E40" s="88">
        <v>45860.456824490742</v>
      </c>
      <c r="F40" t="s">
        <v>1132</v>
      </c>
      <c r="G40" t="s">
        <v>499</v>
      </c>
      <c r="H40" s="63">
        <v>45737</v>
      </c>
      <c r="I40" s="86">
        <v>0.32499999999999996</v>
      </c>
      <c r="J40" s="1"/>
      <c r="K40" s="12"/>
      <c r="L40" s="1">
        <v>45737</v>
      </c>
      <c r="M40" s="12">
        <v>0.59714120370370372</v>
      </c>
      <c r="N40" t="s">
        <v>154</v>
      </c>
      <c r="Q40" t="s">
        <v>500</v>
      </c>
      <c r="R40" t="s">
        <v>315</v>
      </c>
      <c r="S40">
        <v>6</v>
      </c>
      <c r="T40" t="s">
        <v>501</v>
      </c>
      <c r="W40" t="s">
        <v>502</v>
      </c>
      <c r="X40" t="s">
        <v>990</v>
      </c>
      <c r="Z40" t="s">
        <v>161</v>
      </c>
      <c r="AE40" t="s">
        <v>988</v>
      </c>
      <c r="AF40" t="s">
        <v>931</v>
      </c>
      <c r="AG40" t="s">
        <v>291</v>
      </c>
      <c r="AH40" t="s">
        <v>256</v>
      </c>
      <c r="AI40" t="s">
        <v>372</v>
      </c>
      <c r="AJ40" t="s">
        <v>320</v>
      </c>
      <c r="AK40" t="s">
        <v>167</v>
      </c>
      <c r="AL40" s="87">
        <v>9</v>
      </c>
      <c r="AM40" s="63">
        <v>45737</v>
      </c>
      <c r="AN40" s="86">
        <v>0.32500000000000001</v>
      </c>
      <c r="AO40" s="12">
        <v>0.29166666666666669</v>
      </c>
      <c r="AP40" t="s">
        <v>385</v>
      </c>
      <c r="AQ40" t="s">
        <v>504</v>
      </c>
      <c r="AR40" t="s">
        <v>154</v>
      </c>
      <c r="AS40" t="s">
        <v>169</v>
      </c>
      <c r="AT40" t="s">
        <v>385</v>
      </c>
      <c r="AU40" t="s">
        <v>170</v>
      </c>
      <c r="AV40" t="s">
        <v>445</v>
      </c>
      <c r="AW40">
        <v>2025</v>
      </c>
      <c r="AX40">
        <v>12</v>
      </c>
      <c r="AY40">
        <v>21</v>
      </c>
      <c r="AZ40" t="s">
        <v>504</v>
      </c>
    </row>
    <row r="41" spans="1:52" hidden="1" x14ac:dyDescent="0.25">
      <c r="A41" t="s">
        <v>1243</v>
      </c>
      <c r="B41" t="s">
        <v>971</v>
      </c>
      <c r="C41" s="88">
        <v>45860.556130439814</v>
      </c>
      <c r="D41" s="88">
        <v>45860.554155092592</v>
      </c>
      <c r="E41" s="88">
        <v>45860.456824490742</v>
      </c>
      <c r="F41" t="s">
        <v>1132</v>
      </c>
      <c r="G41" t="s">
        <v>505</v>
      </c>
      <c r="H41" s="63">
        <v>45739</v>
      </c>
      <c r="I41" s="86">
        <v>0.17361111111111116</v>
      </c>
      <c r="J41" s="1">
        <v>45739</v>
      </c>
      <c r="K41" s="12">
        <v>0.18055555555555555</v>
      </c>
      <c r="L41" s="1">
        <v>45739</v>
      </c>
      <c r="M41" s="12">
        <v>0.20511574074074074</v>
      </c>
      <c r="N41" t="s">
        <v>174</v>
      </c>
      <c r="O41" t="s">
        <v>506</v>
      </c>
      <c r="Q41" t="s">
        <v>507</v>
      </c>
      <c r="R41" t="s">
        <v>270</v>
      </c>
      <c r="S41">
        <v>5</v>
      </c>
      <c r="T41" t="s">
        <v>508</v>
      </c>
      <c r="W41" t="s">
        <v>991</v>
      </c>
      <c r="X41" t="s">
        <v>980</v>
      </c>
      <c r="Y41" t="s">
        <v>510</v>
      </c>
      <c r="Z41" t="s">
        <v>161</v>
      </c>
      <c r="AE41" t="s">
        <v>992</v>
      </c>
      <c r="AF41" t="s">
        <v>931</v>
      </c>
      <c r="AG41" t="s">
        <v>309</v>
      </c>
      <c r="AH41" t="s">
        <v>142</v>
      </c>
      <c r="AI41" t="s">
        <v>275</v>
      </c>
      <c r="AJ41" t="s">
        <v>166</v>
      </c>
      <c r="AK41" t="s">
        <v>182</v>
      </c>
      <c r="AL41" s="87">
        <v>9</v>
      </c>
      <c r="AM41" s="63">
        <v>45739</v>
      </c>
      <c r="AN41" s="86">
        <v>0.1736111111111111</v>
      </c>
      <c r="AO41" s="12">
        <v>0.16666666666666666</v>
      </c>
      <c r="AP41" t="s">
        <v>385</v>
      </c>
      <c r="AQ41" t="s">
        <v>513</v>
      </c>
      <c r="AR41" t="s">
        <v>512</v>
      </c>
      <c r="AS41" t="s">
        <v>169</v>
      </c>
      <c r="AT41" t="s">
        <v>385</v>
      </c>
      <c r="AU41" t="s">
        <v>311</v>
      </c>
      <c r="AV41" t="s">
        <v>445</v>
      </c>
      <c r="AW41">
        <v>2025</v>
      </c>
      <c r="AX41">
        <v>13</v>
      </c>
      <c r="AY41">
        <v>23</v>
      </c>
      <c r="AZ41" t="s">
        <v>513</v>
      </c>
    </row>
    <row r="42" spans="1:52" hidden="1" x14ac:dyDescent="0.25">
      <c r="A42" t="s">
        <v>1243</v>
      </c>
      <c r="B42" t="s">
        <v>971</v>
      </c>
      <c r="C42" s="88">
        <v>45860.556130439814</v>
      </c>
      <c r="D42" s="88">
        <v>45860.554155092592</v>
      </c>
      <c r="E42" s="88">
        <v>45860.456824490742</v>
      </c>
      <c r="F42" t="s">
        <v>1132</v>
      </c>
      <c r="G42" t="s">
        <v>514</v>
      </c>
      <c r="H42" s="63">
        <v>45739</v>
      </c>
      <c r="I42" s="86">
        <v>0.6201388888888888</v>
      </c>
      <c r="J42" s="1">
        <v>45739</v>
      </c>
      <c r="K42" s="12">
        <v>0.64166666666666672</v>
      </c>
      <c r="L42" s="1">
        <v>45761</v>
      </c>
      <c r="M42" s="12">
        <v>0.49540509259259258</v>
      </c>
      <c r="N42" t="s">
        <v>188</v>
      </c>
      <c r="Q42" t="s">
        <v>515</v>
      </c>
      <c r="R42" t="s">
        <v>516</v>
      </c>
      <c r="S42">
        <v>9</v>
      </c>
      <c r="T42" t="s">
        <v>517</v>
      </c>
      <c r="AE42" t="s">
        <v>936</v>
      </c>
      <c r="AF42" t="s">
        <v>931</v>
      </c>
      <c r="AG42" t="s">
        <v>443</v>
      </c>
      <c r="AH42" t="s">
        <v>142</v>
      </c>
      <c r="AI42" t="s">
        <v>275</v>
      </c>
      <c r="AJ42" t="s">
        <v>166</v>
      </c>
      <c r="AK42" t="s">
        <v>197</v>
      </c>
      <c r="AL42" s="87">
        <v>9</v>
      </c>
      <c r="AM42" s="63">
        <v>45739</v>
      </c>
      <c r="AN42" s="86">
        <v>0.62013888888888891</v>
      </c>
      <c r="AO42" s="12">
        <v>0.58333333333333337</v>
      </c>
      <c r="AP42" t="s">
        <v>146</v>
      </c>
      <c r="AQ42" t="s">
        <v>519</v>
      </c>
      <c r="AR42" t="s">
        <v>188</v>
      </c>
      <c r="AS42" t="s">
        <v>169</v>
      </c>
      <c r="AT42" t="s">
        <v>146</v>
      </c>
      <c r="AU42" t="s">
        <v>311</v>
      </c>
      <c r="AV42" t="s">
        <v>445</v>
      </c>
      <c r="AW42">
        <v>2025</v>
      </c>
      <c r="AX42">
        <v>13</v>
      </c>
      <c r="AY42">
        <v>23</v>
      </c>
      <c r="AZ42" t="s">
        <v>519</v>
      </c>
    </row>
    <row r="43" spans="1:52" hidden="1" x14ac:dyDescent="0.25">
      <c r="A43" t="s">
        <v>1243</v>
      </c>
      <c r="B43" t="s">
        <v>971</v>
      </c>
      <c r="C43" s="88">
        <v>45860.556130439814</v>
      </c>
      <c r="D43" s="88">
        <v>45860.554155092592</v>
      </c>
      <c r="E43" s="88">
        <v>45860.456824490742</v>
      </c>
      <c r="F43" t="s">
        <v>1132</v>
      </c>
      <c r="G43" t="s">
        <v>520</v>
      </c>
      <c r="H43" s="63">
        <v>45741</v>
      </c>
      <c r="I43" s="86">
        <v>0.48402777777777772</v>
      </c>
      <c r="J43" s="1"/>
      <c r="K43" s="12"/>
      <c r="L43" s="1">
        <v>45741</v>
      </c>
      <c r="M43" s="12">
        <v>0.50343749999999998</v>
      </c>
      <c r="N43" t="s">
        <v>206</v>
      </c>
      <c r="O43" t="s">
        <v>295</v>
      </c>
      <c r="P43" t="s">
        <v>521</v>
      </c>
      <c r="Q43" t="s">
        <v>220</v>
      </c>
      <c r="R43" t="s">
        <v>221</v>
      </c>
      <c r="S43">
        <v>9</v>
      </c>
      <c r="T43" t="s">
        <v>522</v>
      </c>
      <c r="W43" t="s">
        <v>523</v>
      </c>
      <c r="X43" t="s">
        <v>961</v>
      </c>
      <c r="Y43" t="s">
        <v>524</v>
      </c>
      <c r="Z43" t="s">
        <v>161</v>
      </c>
      <c r="AE43" t="s">
        <v>962</v>
      </c>
      <c r="AF43" t="s">
        <v>931</v>
      </c>
      <c r="AG43" t="s">
        <v>525</v>
      </c>
      <c r="AH43" t="s">
        <v>211</v>
      </c>
      <c r="AI43" t="s">
        <v>228</v>
      </c>
      <c r="AJ43" t="s">
        <v>166</v>
      </c>
      <c r="AK43" t="s">
        <v>213</v>
      </c>
      <c r="AL43" s="87">
        <v>9</v>
      </c>
      <c r="AM43" s="63">
        <v>45741</v>
      </c>
      <c r="AN43" s="86">
        <v>0.48402777777777778</v>
      </c>
      <c r="AO43" s="12">
        <v>0.45833333333333331</v>
      </c>
      <c r="AP43" t="s">
        <v>276</v>
      </c>
      <c r="AQ43" t="s">
        <v>230</v>
      </c>
      <c r="AR43" t="s">
        <v>526</v>
      </c>
      <c r="AS43" t="s">
        <v>169</v>
      </c>
      <c r="AT43" t="s">
        <v>276</v>
      </c>
      <c r="AU43" t="s">
        <v>148</v>
      </c>
      <c r="AV43" t="s">
        <v>445</v>
      </c>
      <c r="AW43">
        <v>2025</v>
      </c>
      <c r="AX43">
        <v>13</v>
      </c>
      <c r="AY43">
        <v>25</v>
      </c>
      <c r="AZ43" t="s">
        <v>230</v>
      </c>
    </row>
    <row r="44" spans="1:52" hidden="1" x14ac:dyDescent="0.25">
      <c r="A44" t="s">
        <v>1243</v>
      </c>
      <c r="B44" t="s">
        <v>971</v>
      </c>
      <c r="C44" s="88">
        <v>45860.556130439814</v>
      </c>
      <c r="D44" s="88">
        <v>45860.554155092592</v>
      </c>
      <c r="E44" s="88">
        <v>45860.456824490742</v>
      </c>
      <c r="F44" t="s">
        <v>1132</v>
      </c>
      <c r="G44" t="s">
        <v>527</v>
      </c>
      <c r="H44" s="63">
        <v>45743</v>
      </c>
      <c r="I44" s="86">
        <v>0.94666666666666677</v>
      </c>
      <c r="J44" s="1"/>
      <c r="K44" s="12"/>
      <c r="L44" s="1">
        <v>45743</v>
      </c>
      <c r="M44" s="12">
        <v>0.94666666666666666</v>
      </c>
      <c r="N44" t="s">
        <v>367</v>
      </c>
      <c r="O44" t="s">
        <v>528</v>
      </c>
      <c r="P44" t="s">
        <v>218</v>
      </c>
      <c r="Q44" t="s">
        <v>529</v>
      </c>
      <c r="R44" t="s">
        <v>315</v>
      </c>
      <c r="S44">
        <v>6</v>
      </c>
      <c r="T44" t="s">
        <v>13</v>
      </c>
      <c r="AE44" t="s">
        <v>932</v>
      </c>
      <c r="AF44" t="s">
        <v>931</v>
      </c>
      <c r="AG44" t="s">
        <v>530</v>
      </c>
      <c r="AH44" t="s">
        <v>384</v>
      </c>
      <c r="AI44" t="s">
        <v>257</v>
      </c>
      <c r="AJ44" t="s">
        <v>144</v>
      </c>
      <c r="AK44" t="s">
        <v>246</v>
      </c>
      <c r="AL44" s="87">
        <v>9</v>
      </c>
      <c r="AM44" s="63">
        <v>45743</v>
      </c>
      <c r="AN44" s="86">
        <v>0.94666666666666666</v>
      </c>
      <c r="AO44" s="12">
        <v>0.91666666666666663</v>
      </c>
      <c r="AP44" t="s">
        <v>168</v>
      </c>
      <c r="AQ44" t="s">
        <v>461</v>
      </c>
      <c r="AR44" t="s">
        <v>531</v>
      </c>
      <c r="AS44" t="s">
        <v>169</v>
      </c>
      <c r="AT44" t="s">
        <v>168</v>
      </c>
      <c r="AU44" t="s">
        <v>247</v>
      </c>
      <c r="AV44" t="s">
        <v>445</v>
      </c>
      <c r="AW44">
        <v>2025</v>
      </c>
      <c r="AX44">
        <v>13</v>
      </c>
      <c r="AY44">
        <v>27</v>
      </c>
      <c r="AZ44" t="s">
        <v>461</v>
      </c>
    </row>
    <row r="45" spans="1:52" hidden="1" x14ac:dyDescent="0.25">
      <c r="A45" t="s">
        <v>1243</v>
      </c>
      <c r="B45" t="s">
        <v>971</v>
      </c>
      <c r="C45" s="88">
        <v>45860.556130439814</v>
      </c>
      <c r="D45" s="88">
        <v>45860.554155092592</v>
      </c>
      <c r="E45" s="88">
        <v>45860.456824490742</v>
      </c>
      <c r="F45" t="s">
        <v>1132</v>
      </c>
      <c r="G45" t="s">
        <v>532</v>
      </c>
      <c r="H45" s="63">
        <v>45743</v>
      </c>
      <c r="I45" s="86">
        <v>0.97916666666666674</v>
      </c>
      <c r="J45" s="1">
        <v>45744</v>
      </c>
      <c r="K45" s="12">
        <v>2.5000000000000001E-2</v>
      </c>
      <c r="L45" s="1">
        <v>45744</v>
      </c>
      <c r="M45" s="12">
        <v>0.46781250000000002</v>
      </c>
      <c r="N45" t="s">
        <v>242</v>
      </c>
      <c r="Q45" t="s">
        <v>533</v>
      </c>
      <c r="R45" t="s">
        <v>358</v>
      </c>
      <c r="S45">
        <v>8</v>
      </c>
      <c r="T45" t="s">
        <v>17</v>
      </c>
      <c r="U45">
        <v>50300</v>
      </c>
      <c r="AE45" t="s">
        <v>935</v>
      </c>
      <c r="AF45" t="s">
        <v>931</v>
      </c>
      <c r="AG45" t="s">
        <v>475</v>
      </c>
      <c r="AH45" t="s">
        <v>211</v>
      </c>
      <c r="AI45" t="s">
        <v>534</v>
      </c>
      <c r="AJ45" t="s">
        <v>166</v>
      </c>
      <c r="AK45" t="s">
        <v>246</v>
      </c>
      <c r="AL45" s="87">
        <v>9</v>
      </c>
      <c r="AM45" s="63">
        <v>45743</v>
      </c>
      <c r="AN45" s="86">
        <v>0.97916666666666663</v>
      </c>
      <c r="AO45" s="12">
        <v>0.95833333333333337</v>
      </c>
      <c r="AP45" t="s">
        <v>168</v>
      </c>
      <c r="AQ45" t="s">
        <v>481</v>
      </c>
      <c r="AR45" t="s">
        <v>242</v>
      </c>
      <c r="AS45" t="s">
        <v>169</v>
      </c>
      <c r="AT45" t="s">
        <v>168</v>
      </c>
      <c r="AU45" t="s">
        <v>247</v>
      </c>
      <c r="AV45" t="s">
        <v>445</v>
      </c>
      <c r="AW45">
        <v>2025</v>
      </c>
      <c r="AX45">
        <v>13</v>
      </c>
      <c r="AY45">
        <v>27</v>
      </c>
      <c r="AZ45" t="s">
        <v>481</v>
      </c>
    </row>
    <row r="46" spans="1:52" hidden="1" x14ac:dyDescent="0.25">
      <c r="A46" t="s">
        <v>1243</v>
      </c>
      <c r="B46" t="s">
        <v>971</v>
      </c>
      <c r="C46" s="88">
        <v>45860.556130439814</v>
      </c>
      <c r="D46" s="88">
        <v>45860.554155092592</v>
      </c>
      <c r="E46" s="88">
        <v>45860.456824490742</v>
      </c>
      <c r="F46" t="s">
        <v>1132</v>
      </c>
      <c r="G46" t="s">
        <v>535</v>
      </c>
      <c r="H46" s="63">
        <v>45744</v>
      </c>
      <c r="I46" s="86">
        <v>0.85416666666666674</v>
      </c>
      <c r="J46" s="1">
        <v>45745</v>
      </c>
      <c r="K46" s="12">
        <v>0.41666666666666669</v>
      </c>
      <c r="L46" s="1">
        <v>45745</v>
      </c>
      <c r="M46" s="12">
        <v>0.42986111111111114</v>
      </c>
      <c r="N46" t="s">
        <v>154</v>
      </c>
      <c r="Q46" t="s">
        <v>536</v>
      </c>
      <c r="R46" t="s">
        <v>425</v>
      </c>
      <c r="S46">
        <v>8</v>
      </c>
      <c r="T46" t="s">
        <v>537</v>
      </c>
      <c r="W46" t="s">
        <v>538</v>
      </c>
      <c r="X46" t="s">
        <v>993</v>
      </c>
      <c r="Y46" t="s">
        <v>540</v>
      </c>
      <c r="Z46" t="s">
        <v>161</v>
      </c>
      <c r="AE46" t="s">
        <v>992</v>
      </c>
      <c r="AF46" t="s">
        <v>931</v>
      </c>
      <c r="AG46" t="s">
        <v>541</v>
      </c>
      <c r="AH46" t="s">
        <v>542</v>
      </c>
      <c r="AI46" t="s">
        <v>228</v>
      </c>
      <c r="AJ46" t="s">
        <v>166</v>
      </c>
      <c r="AK46" t="s">
        <v>167</v>
      </c>
      <c r="AL46" s="87">
        <v>9</v>
      </c>
      <c r="AM46" s="63">
        <v>45744</v>
      </c>
      <c r="AN46" s="86">
        <v>0.85416666666666663</v>
      </c>
      <c r="AO46" s="12">
        <v>0.83333333333333337</v>
      </c>
      <c r="AP46" t="s">
        <v>168</v>
      </c>
      <c r="AQ46" t="s">
        <v>543</v>
      </c>
      <c r="AR46" t="s">
        <v>154</v>
      </c>
      <c r="AS46" t="s">
        <v>169</v>
      </c>
      <c r="AT46" t="s">
        <v>168</v>
      </c>
      <c r="AU46" t="s">
        <v>170</v>
      </c>
      <c r="AV46" t="s">
        <v>445</v>
      </c>
      <c r="AW46">
        <v>2025</v>
      </c>
      <c r="AX46">
        <v>13</v>
      </c>
      <c r="AY46">
        <v>28</v>
      </c>
      <c r="AZ46" t="s">
        <v>543</v>
      </c>
    </row>
    <row r="47" spans="1:52" hidden="1" x14ac:dyDescent="0.25">
      <c r="A47" t="s">
        <v>1243</v>
      </c>
      <c r="B47" t="s">
        <v>971</v>
      </c>
      <c r="C47" s="88">
        <v>45860.556130439814</v>
      </c>
      <c r="D47" s="88">
        <v>45860.554155092592</v>
      </c>
      <c r="E47" s="88">
        <v>45860.456824490742</v>
      </c>
      <c r="F47" t="s">
        <v>1132</v>
      </c>
      <c r="G47" t="s">
        <v>544</v>
      </c>
      <c r="H47" s="63">
        <v>45745</v>
      </c>
      <c r="I47" s="86">
        <v>0.20515046296296302</v>
      </c>
      <c r="J47" s="1"/>
      <c r="K47" s="12"/>
      <c r="L47" s="1">
        <v>45745</v>
      </c>
      <c r="M47" s="12">
        <v>0.20931712962962962</v>
      </c>
      <c r="N47" t="s">
        <v>347</v>
      </c>
      <c r="O47" t="s">
        <v>545</v>
      </c>
      <c r="Q47" t="s">
        <v>546</v>
      </c>
      <c r="R47" t="s">
        <v>338</v>
      </c>
      <c r="S47">
        <v>6</v>
      </c>
      <c r="T47" t="s">
        <v>547</v>
      </c>
      <c r="W47" t="s">
        <v>548</v>
      </c>
      <c r="X47" t="s">
        <v>993</v>
      </c>
      <c r="Y47" t="s">
        <v>540</v>
      </c>
      <c r="Z47" t="s">
        <v>161</v>
      </c>
      <c r="AE47" t="s">
        <v>992</v>
      </c>
      <c r="AF47" t="s">
        <v>931</v>
      </c>
      <c r="AG47" t="s">
        <v>530</v>
      </c>
      <c r="AH47" t="s">
        <v>384</v>
      </c>
      <c r="AI47" t="s">
        <v>488</v>
      </c>
      <c r="AJ47" t="s">
        <v>166</v>
      </c>
      <c r="AL47" s="87">
        <v>9</v>
      </c>
      <c r="AM47" s="63">
        <v>45745</v>
      </c>
      <c r="AN47" s="86">
        <v>0.20515046296296297</v>
      </c>
      <c r="AO47" s="12">
        <v>0.16666666666666666</v>
      </c>
      <c r="AP47" t="s">
        <v>385</v>
      </c>
      <c r="AQ47" t="s">
        <v>550</v>
      </c>
      <c r="AR47" t="s">
        <v>549</v>
      </c>
      <c r="AS47" t="s">
        <v>169</v>
      </c>
      <c r="AT47" t="s">
        <v>385</v>
      </c>
      <c r="AU47" t="s">
        <v>292</v>
      </c>
      <c r="AV47" t="s">
        <v>445</v>
      </c>
      <c r="AW47">
        <v>2025</v>
      </c>
      <c r="AX47">
        <v>13</v>
      </c>
      <c r="AY47">
        <v>29</v>
      </c>
      <c r="AZ47" t="s">
        <v>550</v>
      </c>
    </row>
    <row r="48" spans="1:52" hidden="1" x14ac:dyDescent="0.25">
      <c r="A48" t="s">
        <v>1243</v>
      </c>
      <c r="B48" t="s">
        <v>971</v>
      </c>
      <c r="C48" s="88">
        <v>45860.556130439814</v>
      </c>
      <c r="D48" s="88">
        <v>45860.554155092592</v>
      </c>
      <c r="E48" s="88">
        <v>45860.456824490742</v>
      </c>
      <c r="F48" t="s">
        <v>1132</v>
      </c>
      <c r="G48" t="s">
        <v>551</v>
      </c>
      <c r="H48" s="63">
        <v>45747</v>
      </c>
      <c r="I48" s="86">
        <v>0.5</v>
      </c>
      <c r="J48" s="1"/>
      <c r="K48" s="12"/>
      <c r="L48" s="1">
        <v>45747</v>
      </c>
      <c r="M48" s="12">
        <v>0.54355324074074074</v>
      </c>
      <c r="N48" t="s">
        <v>242</v>
      </c>
      <c r="Q48" t="s">
        <v>552</v>
      </c>
      <c r="R48" t="s">
        <v>553</v>
      </c>
      <c r="S48">
        <v>7</v>
      </c>
      <c r="T48" t="s">
        <v>23</v>
      </c>
      <c r="AE48" t="s">
        <v>992</v>
      </c>
      <c r="AF48" t="s">
        <v>931</v>
      </c>
      <c r="AG48" t="s">
        <v>554</v>
      </c>
      <c r="AH48" t="s">
        <v>256</v>
      </c>
      <c r="AI48" t="s">
        <v>350</v>
      </c>
      <c r="AJ48" t="s">
        <v>301</v>
      </c>
      <c r="AK48" t="s">
        <v>246</v>
      </c>
      <c r="AL48" s="87">
        <v>9</v>
      </c>
      <c r="AM48" s="63">
        <v>45747</v>
      </c>
      <c r="AN48" s="86">
        <v>0.5</v>
      </c>
      <c r="AO48" s="12">
        <v>0.5</v>
      </c>
      <c r="AP48" t="s">
        <v>146</v>
      </c>
      <c r="AQ48" t="s">
        <v>322</v>
      </c>
      <c r="AR48" t="s">
        <v>242</v>
      </c>
      <c r="AS48" t="s">
        <v>169</v>
      </c>
      <c r="AT48" t="s">
        <v>146</v>
      </c>
      <c r="AU48" t="s">
        <v>183</v>
      </c>
      <c r="AV48" t="s">
        <v>445</v>
      </c>
      <c r="AW48">
        <v>2025</v>
      </c>
      <c r="AX48">
        <v>14</v>
      </c>
      <c r="AY48">
        <v>31</v>
      </c>
      <c r="AZ48" t="s">
        <v>322</v>
      </c>
    </row>
    <row r="49" spans="1:52" hidden="1" x14ac:dyDescent="0.25">
      <c r="A49" t="s">
        <v>1243</v>
      </c>
      <c r="B49" t="s">
        <v>971</v>
      </c>
      <c r="C49" s="88">
        <v>45860.556130439814</v>
      </c>
      <c r="D49" s="88">
        <v>45860.554155092592</v>
      </c>
      <c r="E49" s="88">
        <v>45860.456824490742</v>
      </c>
      <c r="F49" t="s">
        <v>1132</v>
      </c>
      <c r="G49" t="s">
        <v>555</v>
      </c>
      <c r="H49" s="63">
        <v>45747</v>
      </c>
      <c r="I49" s="86">
        <v>0.77777777777777768</v>
      </c>
      <c r="J49" s="1">
        <v>45747</v>
      </c>
      <c r="K49" s="12">
        <v>0.91666666666666663</v>
      </c>
      <c r="L49" s="1">
        <v>45747</v>
      </c>
      <c r="M49" s="12">
        <v>0.93032407407407403</v>
      </c>
      <c r="N49" t="s">
        <v>174</v>
      </c>
      <c r="O49" t="s">
        <v>295</v>
      </c>
      <c r="P49" t="s">
        <v>556</v>
      </c>
      <c r="Q49" t="s">
        <v>557</v>
      </c>
      <c r="R49" t="s">
        <v>191</v>
      </c>
      <c r="S49">
        <v>7</v>
      </c>
      <c r="T49" t="s">
        <v>558</v>
      </c>
      <c r="W49" t="s">
        <v>559</v>
      </c>
      <c r="X49" t="s">
        <v>994</v>
      </c>
      <c r="Y49" t="s">
        <v>561</v>
      </c>
      <c r="Z49" t="s">
        <v>161</v>
      </c>
      <c r="AE49" t="s">
        <v>988</v>
      </c>
      <c r="AF49" t="s">
        <v>931</v>
      </c>
      <c r="AG49" t="s">
        <v>562</v>
      </c>
      <c r="AH49" t="s">
        <v>256</v>
      </c>
      <c r="AI49" t="s">
        <v>228</v>
      </c>
      <c r="AJ49" t="s">
        <v>166</v>
      </c>
      <c r="AK49" t="s">
        <v>563</v>
      </c>
      <c r="AL49" s="87">
        <v>9</v>
      </c>
      <c r="AM49" s="63">
        <v>45747</v>
      </c>
      <c r="AN49" s="86">
        <v>0.77777777777777779</v>
      </c>
      <c r="AO49" s="12">
        <v>0.75</v>
      </c>
      <c r="AP49" t="s">
        <v>266</v>
      </c>
      <c r="AQ49" t="s">
        <v>565</v>
      </c>
      <c r="AR49" t="s">
        <v>564</v>
      </c>
      <c r="AS49" t="s">
        <v>169</v>
      </c>
      <c r="AT49" t="s">
        <v>266</v>
      </c>
      <c r="AU49" t="s">
        <v>183</v>
      </c>
      <c r="AV49" t="s">
        <v>445</v>
      </c>
      <c r="AW49">
        <v>2025</v>
      </c>
      <c r="AX49">
        <v>14</v>
      </c>
      <c r="AY49">
        <v>31</v>
      </c>
      <c r="AZ49" t="s">
        <v>565</v>
      </c>
    </row>
    <row r="50" spans="1:52" hidden="1" x14ac:dyDescent="0.25">
      <c r="A50" t="s">
        <v>1243</v>
      </c>
      <c r="B50" t="s">
        <v>971</v>
      </c>
      <c r="C50" s="88">
        <v>45860.556130439814</v>
      </c>
      <c r="D50" s="88">
        <v>45860.554155092592</v>
      </c>
      <c r="E50" s="88">
        <v>45860.456824490742</v>
      </c>
      <c r="F50" t="s">
        <v>1132</v>
      </c>
      <c r="G50" t="s">
        <v>566</v>
      </c>
      <c r="H50" s="63">
        <v>45747</v>
      </c>
      <c r="I50" s="86">
        <v>0.75</v>
      </c>
      <c r="J50" s="1"/>
      <c r="K50" s="12"/>
      <c r="L50" s="1">
        <v>45748</v>
      </c>
      <c r="M50" s="12">
        <v>3.6863425925925924E-2</v>
      </c>
      <c r="N50" t="s">
        <v>174</v>
      </c>
      <c r="Q50" t="s">
        <v>567</v>
      </c>
      <c r="R50" t="s">
        <v>156</v>
      </c>
      <c r="T50" t="s">
        <v>568</v>
      </c>
      <c r="U50">
        <v>2</v>
      </c>
      <c r="V50">
        <v>0</v>
      </c>
      <c r="W50" t="s">
        <v>995</v>
      </c>
      <c r="X50" t="s">
        <v>947</v>
      </c>
      <c r="Y50" t="s">
        <v>996</v>
      </c>
      <c r="Z50" t="s">
        <v>975</v>
      </c>
      <c r="AE50" t="s">
        <v>988</v>
      </c>
      <c r="AF50" t="s">
        <v>931</v>
      </c>
      <c r="AG50" t="s">
        <v>571</v>
      </c>
      <c r="AH50" t="s">
        <v>444</v>
      </c>
      <c r="AI50" t="s">
        <v>228</v>
      </c>
      <c r="AJ50" t="s">
        <v>364</v>
      </c>
      <c r="AK50" t="s">
        <v>563</v>
      </c>
      <c r="AL50" s="87">
        <v>9</v>
      </c>
      <c r="AM50" s="63">
        <v>45747</v>
      </c>
      <c r="AN50" s="86">
        <v>0.75</v>
      </c>
      <c r="AO50" s="12">
        <v>0.75</v>
      </c>
      <c r="AP50" t="s">
        <v>266</v>
      </c>
      <c r="AQ50" t="s">
        <v>172</v>
      </c>
      <c r="AR50" t="s">
        <v>174</v>
      </c>
      <c r="AS50" t="s">
        <v>169</v>
      </c>
      <c r="AT50" t="s">
        <v>266</v>
      </c>
      <c r="AU50" t="s">
        <v>183</v>
      </c>
      <c r="AV50" t="s">
        <v>445</v>
      </c>
      <c r="AW50">
        <v>2025</v>
      </c>
      <c r="AX50">
        <v>14</v>
      </c>
      <c r="AY50">
        <v>31</v>
      </c>
      <c r="AZ50" t="s">
        <v>172</v>
      </c>
    </row>
    <row r="51" spans="1:52" hidden="1" x14ac:dyDescent="0.25">
      <c r="A51" t="s">
        <v>1243</v>
      </c>
      <c r="B51" t="s">
        <v>971</v>
      </c>
      <c r="C51" s="88">
        <v>45860.556130439814</v>
      </c>
      <c r="D51" s="88">
        <v>45860.554155092592</v>
      </c>
      <c r="E51" s="88">
        <v>45860.456824490742</v>
      </c>
      <c r="F51" t="s">
        <v>1132</v>
      </c>
      <c r="G51" t="s">
        <v>572</v>
      </c>
      <c r="H51" s="63">
        <v>45747</v>
      </c>
      <c r="I51" s="86">
        <v>0.83333333333333326</v>
      </c>
      <c r="J51" s="1"/>
      <c r="K51" s="12"/>
      <c r="L51" s="1">
        <v>45747</v>
      </c>
      <c r="M51" s="12">
        <v>0.99899305555555551</v>
      </c>
      <c r="N51" t="s">
        <v>174</v>
      </c>
      <c r="Q51" t="s">
        <v>567</v>
      </c>
      <c r="R51" t="s">
        <v>156</v>
      </c>
      <c r="S51">
        <v>9</v>
      </c>
      <c r="T51" t="s">
        <v>573</v>
      </c>
      <c r="U51">
        <v>5</v>
      </c>
      <c r="V51">
        <v>0</v>
      </c>
      <c r="W51" t="s">
        <v>997</v>
      </c>
      <c r="X51" t="s">
        <v>947</v>
      </c>
      <c r="Y51" t="s">
        <v>575</v>
      </c>
      <c r="Z51" t="s">
        <v>161</v>
      </c>
      <c r="AE51" t="s">
        <v>988</v>
      </c>
      <c r="AF51" t="s">
        <v>931</v>
      </c>
      <c r="AG51" t="s">
        <v>571</v>
      </c>
      <c r="AH51" t="s">
        <v>444</v>
      </c>
      <c r="AI51" t="s">
        <v>228</v>
      </c>
      <c r="AJ51" t="s">
        <v>364</v>
      </c>
      <c r="AK51" t="s">
        <v>563</v>
      </c>
      <c r="AL51" s="87">
        <v>9</v>
      </c>
      <c r="AM51" s="63">
        <v>45747</v>
      </c>
      <c r="AN51" s="86">
        <v>0.83333333333333337</v>
      </c>
      <c r="AO51" s="12">
        <v>0.83333333333333337</v>
      </c>
      <c r="AP51" t="s">
        <v>168</v>
      </c>
      <c r="AQ51" t="s">
        <v>172</v>
      </c>
      <c r="AR51" t="s">
        <v>174</v>
      </c>
      <c r="AS51" t="s">
        <v>169</v>
      </c>
      <c r="AT51" t="s">
        <v>168</v>
      </c>
      <c r="AU51" t="s">
        <v>183</v>
      </c>
      <c r="AV51" t="s">
        <v>445</v>
      </c>
      <c r="AW51">
        <v>2025</v>
      </c>
      <c r="AX51">
        <v>14</v>
      </c>
      <c r="AY51">
        <v>31</v>
      </c>
      <c r="AZ51" t="s">
        <v>172</v>
      </c>
    </row>
    <row r="52" spans="1:52" hidden="1" x14ac:dyDescent="0.25">
      <c r="A52" t="s">
        <v>1243</v>
      </c>
      <c r="B52" t="s">
        <v>971</v>
      </c>
      <c r="C52" s="88">
        <v>45860.556130439814</v>
      </c>
      <c r="D52" s="88">
        <v>45860.554155092592</v>
      </c>
      <c r="E52" s="88">
        <v>45860.456824490742</v>
      </c>
      <c r="F52" t="s">
        <v>1132</v>
      </c>
      <c r="G52" t="s">
        <v>576</v>
      </c>
      <c r="H52" s="63">
        <v>45748</v>
      </c>
      <c r="I52" s="86">
        <v>0.85324074074074074</v>
      </c>
      <c r="J52" s="1"/>
      <c r="K52" s="12"/>
      <c r="L52" s="1">
        <v>45748</v>
      </c>
      <c r="M52" s="12">
        <v>0.85324074074074074</v>
      </c>
      <c r="N52" t="s">
        <v>174</v>
      </c>
      <c r="Q52" t="s">
        <v>577</v>
      </c>
      <c r="R52" t="s">
        <v>414</v>
      </c>
      <c r="S52">
        <v>7</v>
      </c>
      <c r="T52" t="s">
        <v>578</v>
      </c>
      <c r="W52" t="s">
        <v>579</v>
      </c>
      <c r="X52" t="s">
        <v>998</v>
      </c>
      <c r="Y52" t="s">
        <v>581</v>
      </c>
      <c r="Z52" t="s">
        <v>161</v>
      </c>
      <c r="AE52" t="s">
        <v>934</v>
      </c>
      <c r="AF52" t="s">
        <v>931</v>
      </c>
      <c r="AG52" t="s">
        <v>417</v>
      </c>
      <c r="AH52" t="s">
        <v>142</v>
      </c>
      <c r="AI52" t="s">
        <v>228</v>
      </c>
      <c r="AJ52" t="s">
        <v>166</v>
      </c>
      <c r="AK52" t="s">
        <v>182</v>
      </c>
      <c r="AL52" s="87">
        <v>9</v>
      </c>
      <c r="AM52" s="63">
        <v>45748</v>
      </c>
      <c r="AN52" s="86">
        <v>0.85324074074074074</v>
      </c>
      <c r="AO52" s="12">
        <v>0.83333333333333337</v>
      </c>
      <c r="AP52" t="s">
        <v>168</v>
      </c>
      <c r="AQ52" t="s">
        <v>184</v>
      </c>
      <c r="AR52" t="s">
        <v>174</v>
      </c>
      <c r="AS52" t="s">
        <v>169</v>
      </c>
      <c r="AT52" t="s">
        <v>168</v>
      </c>
      <c r="AU52" t="s">
        <v>148</v>
      </c>
      <c r="AV52" t="s">
        <v>582</v>
      </c>
      <c r="AW52">
        <v>2025</v>
      </c>
      <c r="AX52">
        <v>14</v>
      </c>
      <c r="AY52">
        <v>1</v>
      </c>
      <c r="AZ52" t="s">
        <v>184</v>
      </c>
    </row>
    <row r="53" spans="1:52" hidden="1" x14ac:dyDescent="0.25">
      <c r="A53" t="s">
        <v>1243</v>
      </c>
      <c r="B53" t="s">
        <v>971</v>
      </c>
      <c r="C53" s="88">
        <v>45860.556130439814</v>
      </c>
      <c r="D53" s="88">
        <v>45860.554155092592</v>
      </c>
      <c r="E53" s="88">
        <v>45860.456824490742</v>
      </c>
      <c r="F53" t="s">
        <v>1132</v>
      </c>
      <c r="G53" t="s">
        <v>583</v>
      </c>
      <c r="H53" s="63">
        <v>45748</v>
      </c>
      <c r="I53" s="86">
        <v>0.5</v>
      </c>
      <c r="J53" s="1">
        <v>45751</v>
      </c>
      <c r="K53" s="12">
        <v>0.52083333333333337</v>
      </c>
      <c r="L53" s="1">
        <v>45751</v>
      </c>
      <c r="M53" s="12">
        <v>0.54546296296296293</v>
      </c>
      <c r="N53" t="s">
        <v>242</v>
      </c>
      <c r="Q53" t="s">
        <v>584</v>
      </c>
      <c r="R53" t="s">
        <v>288</v>
      </c>
      <c r="S53">
        <v>5</v>
      </c>
      <c r="T53" t="s">
        <v>26</v>
      </c>
      <c r="AE53" t="s">
        <v>950</v>
      </c>
      <c r="AF53" t="s">
        <v>931</v>
      </c>
      <c r="AG53" t="s">
        <v>585</v>
      </c>
      <c r="AH53" t="s">
        <v>164</v>
      </c>
      <c r="AI53" t="s">
        <v>488</v>
      </c>
      <c r="AJ53" t="s">
        <v>166</v>
      </c>
      <c r="AK53" t="s">
        <v>246</v>
      </c>
      <c r="AL53" s="87">
        <v>9</v>
      </c>
      <c r="AM53" s="63">
        <v>45748</v>
      </c>
      <c r="AN53" s="86">
        <v>0.5</v>
      </c>
      <c r="AO53" s="12">
        <v>0.5</v>
      </c>
      <c r="AP53" t="s">
        <v>146</v>
      </c>
      <c r="AQ53" t="s">
        <v>586</v>
      </c>
      <c r="AR53" t="s">
        <v>242</v>
      </c>
      <c r="AS53" t="s">
        <v>169</v>
      </c>
      <c r="AT53" t="s">
        <v>146</v>
      </c>
      <c r="AU53" t="s">
        <v>148</v>
      </c>
      <c r="AV53" t="s">
        <v>582</v>
      </c>
      <c r="AW53">
        <v>2025</v>
      </c>
      <c r="AX53">
        <v>14</v>
      </c>
      <c r="AY53">
        <v>1</v>
      </c>
      <c r="AZ53" t="s">
        <v>586</v>
      </c>
    </row>
    <row r="54" spans="1:52" hidden="1" x14ac:dyDescent="0.25">
      <c r="A54" t="s">
        <v>1243</v>
      </c>
      <c r="B54" t="s">
        <v>971</v>
      </c>
      <c r="C54" s="88">
        <v>45860.556130439814</v>
      </c>
      <c r="D54" s="88">
        <v>45860.554155092592</v>
      </c>
      <c r="E54" s="88">
        <v>45860.456824490742</v>
      </c>
      <c r="F54" t="s">
        <v>1132</v>
      </c>
      <c r="G54" t="s">
        <v>587</v>
      </c>
      <c r="H54" s="63">
        <v>45749</v>
      </c>
      <c r="I54" s="86">
        <v>0.89930555555555558</v>
      </c>
      <c r="J54" s="1"/>
      <c r="K54" s="12"/>
      <c r="L54" s="1">
        <v>45749</v>
      </c>
      <c r="M54" s="12">
        <v>0.90325231481481483</v>
      </c>
      <c r="N54" t="s">
        <v>588</v>
      </c>
      <c r="O54" t="s">
        <v>136</v>
      </c>
      <c r="P54" t="s">
        <v>189</v>
      </c>
      <c r="Q54" t="s">
        <v>589</v>
      </c>
      <c r="R54" t="s">
        <v>138</v>
      </c>
      <c r="S54">
        <v>8</v>
      </c>
      <c r="T54" t="s">
        <v>590</v>
      </c>
      <c r="AE54" t="s">
        <v>935</v>
      </c>
      <c r="AF54" t="s">
        <v>931</v>
      </c>
      <c r="AG54" t="s">
        <v>525</v>
      </c>
      <c r="AH54" t="s">
        <v>211</v>
      </c>
      <c r="AI54" t="s">
        <v>143</v>
      </c>
      <c r="AJ54" t="s">
        <v>283</v>
      </c>
      <c r="AL54" s="87">
        <v>9</v>
      </c>
      <c r="AM54" s="63">
        <v>45749</v>
      </c>
      <c r="AN54" s="86">
        <v>0.89930555555555558</v>
      </c>
      <c r="AO54" s="12">
        <v>0.875</v>
      </c>
      <c r="AP54" t="s">
        <v>168</v>
      </c>
      <c r="AQ54" t="s">
        <v>592</v>
      </c>
      <c r="AR54" t="s">
        <v>591</v>
      </c>
      <c r="AS54" t="s">
        <v>169</v>
      </c>
      <c r="AT54" t="s">
        <v>168</v>
      </c>
      <c r="AU54" t="s">
        <v>239</v>
      </c>
      <c r="AV54" t="s">
        <v>582</v>
      </c>
      <c r="AW54">
        <v>2025</v>
      </c>
      <c r="AX54">
        <v>14</v>
      </c>
      <c r="AY54">
        <v>2</v>
      </c>
      <c r="AZ54" t="s">
        <v>592</v>
      </c>
    </row>
    <row r="55" spans="1:52" hidden="1" x14ac:dyDescent="0.25">
      <c r="A55" t="s">
        <v>1243</v>
      </c>
      <c r="B55" t="s">
        <v>971</v>
      </c>
      <c r="C55" s="88">
        <v>45860.556130439814</v>
      </c>
      <c r="D55" s="88">
        <v>45860.554155092592</v>
      </c>
      <c r="E55" s="88">
        <v>45860.456824490742</v>
      </c>
      <c r="F55" t="s">
        <v>1132</v>
      </c>
      <c r="G55" t="s">
        <v>593</v>
      </c>
      <c r="H55" s="63">
        <v>45755</v>
      </c>
      <c r="I55" s="86">
        <v>3.2638888888888884E-2</v>
      </c>
      <c r="J55" s="1"/>
      <c r="K55" s="12"/>
      <c r="L55" s="1">
        <v>45755</v>
      </c>
      <c r="M55" s="12">
        <v>3.6493055555555556E-2</v>
      </c>
      <c r="N55" t="s">
        <v>174</v>
      </c>
      <c r="O55" t="s">
        <v>219</v>
      </c>
      <c r="P55" t="s">
        <v>594</v>
      </c>
      <c r="Q55" t="s">
        <v>595</v>
      </c>
      <c r="R55" t="s">
        <v>553</v>
      </c>
      <c r="S55">
        <v>7</v>
      </c>
      <c r="T55" t="s">
        <v>596</v>
      </c>
      <c r="W55" t="s">
        <v>999</v>
      </c>
      <c r="X55" t="s">
        <v>452</v>
      </c>
      <c r="Y55" t="s">
        <v>598</v>
      </c>
      <c r="Z55" t="s">
        <v>161</v>
      </c>
      <c r="AE55" t="s">
        <v>1000</v>
      </c>
      <c r="AF55" t="s">
        <v>931</v>
      </c>
      <c r="AG55" t="s">
        <v>255</v>
      </c>
      <c r="AH55" t="s">
        <v>256</v>
      </c>
      <c r="AI55" t="s">
        <v>310</v>
      </c>
      <c r="AJ55" t="s">
        <v>166</v>
      </c>
      <c r="AK55" t="s">
        <v>182</v>
      </c>
      <c r="AL55" s="87">
        <v>9</v>
      </c>
      <c r="AM55" s="63">
        <v>45755</v>
      </c>
      <c r="AN55" s="86">
        <v>3.2638888888888891E-2</v>
      </c>
      <c r="AO55" s="12">
        <v>0</v>
      </c>
      <c r="AP55" t="s">
        <v>343</v>
      </c>
      <c r="AQ55" t="s">
        <v>601</v>
      </c>
      <c r="AR55" t="s">
        <v>600</v>
      </c>
      <c r="AS55" t="s">
        <v>169</v>
      </c>
      <c r="AT55" t="s">
        <v>343</v>
      </c>
      <c r="AU55" t="s">
        <v>148</v>
      </c>
      <c r="AV55" t="s">
        <v>582</v>
      </c>
      <c r="AW55">
        <v>2025</v>
      </c>
      <c r="AX55">
        <v>15</v>
      </c>
      <c r="AY55">
        <v>8</v>
      </c>
      <c r="AZ55" t="s">
        <v>601</v>
      </c>
    </row>
    <row r="56" spans="1:52" hidden="1" x14ac:dyDescent="0.25">
      <c r="A56" t="s">
        <v>1243</v>
      </c>
      <c r="B56" t="s">
        <v>971</v>
      </c>
      <c r="C56" s="88">
        <v>45860.556130439814</v>
      </c>
      <c r="D56" s="88">
        <v>45860.554155092592</v>
      </c>
      <c r="E56" s="88">
        <v>45860.456824490742</v>
      </c>
      <c r="F56" t="s">
        <v>1132</v>
      </c>
      <c r="G56" t="s">
        <v>602</v>
      </c>
      <c r="H56" s="63">
        <v>45755</v>
      </c>
      <c r="I56" s="86">
        <v>0.5</v>
      </c>
      <c r="J56" s="1">
        <v>45759</v>
      </c>
      <c r="K56" s="12">
        <v>0.5</v>
      </c>
      <c r="L56" s="1">
        <v>45759</v>
      </c>
      <c r="M56" s="12">
        <v>0.5269907407407407</v>
      </c>
      <c r="N56" t="s">
        <v>242</v>
      </c>
      <c r="Q56" t="s">
        <v>603</v>
      </c>
      <c r="R56" t="s">
        <v>288</v>
      </c>
      <c r="S56">
        <v>5</v>
      </c>
      <c r="T56" t="s">
        <v>29</v>
      </c>
      <c r="AE56" t="s">
        <v>932</v>
      </c>
      <c r="AF56" t="s">
        <v>931</v>
      </c>
      <c r="AG56" t="s">
        <v>530</v>
      </c>
      <c r="AH56" t="s">
        <v>384</v>
      </c>
      <c r="AI56" t="s">
        <v>310</v>
      </c>
      <c r="AJ56" t="s">
        <v>166</v>
      </c>
      <c r="AK56" t="s">
        <v>246</v>
      </c>
      <c r="AL56" s="87">
        <v>9</v>
      </c>
      <c r="AM56" s="63">
        <v>45755</v>
      </c>
      <c r="AN56" s="86">
        <v>0.5</v>
      </c>
      <c r="AO56" s="12">
        <v>0.5</v>
      </c>
      <c r="AP56" t="s">
        <v>146</v>
      </c>
      <c r="AQ56" t="s">
        <v>352</v>
      </c>
      <c r="AR56" t="s">
        <v>242</v>
      </c>
      <c r="AS56" t="s">
        <v>169</v>
      </c>
      <c r="AT56" t="s">
        <v>146</v>
      </c>
      <c r="AU56" t="s">
        <v>148</v>
      </c>
      <c r="AV56" t="s">
        <v>582</v>
      </c>
      <c r="AW56">
        <v>2025</v>
      </c>
      <c r="AX56">
        <v>15</v>
      </c>
      <c r="AY56">
        <v>8</v>
      </c>
      <c r="AZ56" t="s">
        <v>352</v>
      </c>
    </row>
    <row r="57" spans="1:52" hidden="1" x14ac:dyDescent="0.25">
      <c r="A57" t="s">
        <v>1243</v>
      </c>
      <c r="B57" t="s">
        <v>971</v>
      </c>
      <c r="C57" s="88">
        <v>45860.556130439814</v>
      </c>
      <c r="D57" s="88">
        <v>45860.554155092592</v>
      </c>
      <c r="E57" s="88">
        <v>45860.456824490742</v>
      </c>
      <c r="F57" t="s">
        <v>1132</v>
      </c>
      <c r="G57" t="s">
        <v>604</v>
      </c>
      <c r="H57" s="63">
        <v>45755</v>
      </c>
      <c r="I57" s="86">
        <v>0.20833333333333326</v>
      </c>
      <c r="J57" s="1">
        <v>45757</v>
      </c>
      <c r="K57" s="12">
        <v>0.375</v>
      </c>
      <c r="L57" s="1">
        <v>45768</v>
      </c>
      <c r="M57" s="12">
        <v>0.53252314814814816</v>
      </c>
      <c r="N57" t="s">
        <v>174</v>
      </c>
      <c r="Q57" t="s">
        <v>605</v>
      </c>
      <c r="R57" t="s">
        <v>270</v>
      </c>
      <c r="S57">
        <v>5</v>
      </c>
      <c r="T57" t="s">
        <v>606</v>
      </c>
      <c r="W57" t="s">
        <v>607</v>
      </c>
      <c r="X57" t="s">
        <v>608</v>
      </c>
      <c r="Y57" t="s">
        <v>609</v>
      </c>
      <c r="Z57" t="s">
        <v>161</v>
      </c>
      <c r="AE57" t="s">
        <v>1006</v>
      </c>
      <c r="AF57" t="s">
        <v>931</v>
      </c>
      <c r="AG57" t="s">
        <v>585</v>
      </c>
      <c r="AH57" t="s">
        <v>164</v>
      </c>
      <c r="AI57" t="s">
        <v>180</v>
      </c>
      <c r="AJ57" t="s">
        <v>166</v>
      </c>
      <c r="AK57" t="s">
        <v>182</v>
      </c>
      <c r="AL57" s="87">
        <v>9</v>
      </c>
      <c r="AM57" s="63">
        <v>45755</v>
      </c>
      <c r="AN57" s="86">
        <v>0.20833333333333334</v>
      </c>
      <c r="AO57" s="12">
        <v>0.20833333333333334</v>
      </c>
      <c r="AP57" t="s">
        <v>385</v>
      </c>
      <c r="AQ57" t="s">
        <v>611</v>
      </c>
      <c r="AR57" t="s">
        <v>174</v>
      </c>
      <c r="AS57" t="s">
        <v>169</v>
      </c>
      <c r="AT57" t="s">
        <v>385</v>
      </c>
      <c r="AU57" t="s">
        <v>148</v>
      </c>
      <c r="AV57" t="s">
        <v>582</v>
      </c>
      <c r="AW57">
        <v>2025</v>
      </c>
      <c r="AX57">
        <v>15</v>
      </c>
      <c r="AY57">
        <v>8</v>
      </c>
      <c r="AZ57" t="s">
        <v>611</v>
      </c>
    </row>
    <row r="58" spans="1:52" hidden="1" x14ac:dyDescent="0.25">
      <c r="A58" t="s">
        <v>1243</v>
      </c>
      <c r="B58" t="s">
        <v>971</v>
      </c>
      <c r="C58" s="88">
        <v>45860.556130439814</v>
      </c>
      <c r="D58" s="88">
        <v>45860.554155092592</v>
      </c>
      <c r="E58" s="88">
        <v>45860.456824490742</v>
      </c>
      <c r="F58" t="s">
        <v>1132</v>
      </c>
      <c r="G58" t="s">
        <v>612</v>
      </c>
      <c r="H58" s="63">
        <v>45756</v>
      </c>
      <c r="I58" s="86">
        <v>0.96527777777777768</v>
      </c>
      <c r="J58" s="1">
        <v>45756</v>
      </c>
      <c r="K58" s="12">
        <v>0.96597222222222223</v>
      </c>
      <c r="L58" s="1">
        <v>45757</v>
      </c>
      <c r="M58" s="12">
        <v>0.57611111111111113</v>
      </c>
      <c r="N58" t="s">
        <v>174</v>
      </c>
      <c r="Q58" t="s">
        <v>613</v>
      </c>
      <c r="R58" t="s">
        <v>325</v>
      </c>
      <c r="S58">
        <v>8</v>
      </c>
      <c r="T58" t="s">
        <v>614</v>
      </c>
      <c r="W58" t="s">
        <v>615</v>
      </c>
      <c r="X58" t="s">
        <v>990</v>
      </c>
      <c r="Y58" t="s">
        <v>616</v>
      </c>
      <c r="Z58" t="s">
        <v>161</v>
      </c>
      <c r="AE58" t="s">
        <v>932</v>
      </c>
      <c r="AF58" t="s">
        <v>931</v>
      </c>
      <c r="AG58" t="s">
        <v>265</v>
      </c>
      <c r="AH58" t="s">
        <v>164</v>
      </c>
      <c r="AI58" t="s">
        <v>488</v>
      </c>
      <c r="AJ58" t="s">
        <v>166</v>
      </c>
      <c r="AK58" t="s">
        <v>182</v>
      </c>
      <c r="AL58" s="87">
        <v>9</v>
      </c>
      <c r="AM58" s="63">
        <v>45756</v>
      </c>
      <c r="AN58" s="86">
        <v>0.96527777777777779</v>
      </c>
      <c r="AO58" s="12">
        <v>0.95833333333333337</v>
      </c>
      <c r="AP58" t="s">
        <v>168</v>
      </c>
      <c r="AQ58" t="s">
        <v>617</v>
      </c>
      <c r="AR58" t="s">
        <v>174</v>
      </c>
      <c r="AS58" t="s">
        <v>169</v>
      </c>
      <c r="AT58" t="s">
        <v>168</v>
      </c>
      <c r="AU58" t="s">
        <v>239</v>
      </c>
      <c r="AV58" t="s">
        <v>582</v>
      </c>
      <c r="AW58">
        <v>2025</v>
      </c>
      <c r="AX58">
        <v>15</v>
      </c>
      <c r="AY58">
        <v>9</v>
      </c>
      <c r="AZ58" t="s">
        <v>617</v>
      </c>
    </row>
    <row r="59" spans="1:52" hidden="1" x14ac:dyDescent="0.25">
      <c r="A59" t="s">
        <v>1243</v>
      </c>
      <c r="B59" t="s">
        <v>971</v>
      </c>
      <c r="C59" s="88">
        <v>45860.556130439814</v>
      </c>
      <c r="D59" s="88">
        <v>45860.554155092592</v>
      </c>
      <c r="E59" s="88">
        <v>45860.456824490742</v>
      </c>
      <c r="F59" t="s">
        <v>1132</v>
      </c>
      <c r="G59" t="s">
        <v>618</v>
      </c>
      <c r="J59" s="1">
        <v>45760</v>
      </c>
      <c r="K59" s="12">
        <v>0.6875</v>
      </c>
      <c r="L59" s="1">
        <v>45760</v>
      </c>
      <c r="M59" s="12">
        <v>0.69084490740740745</v>
      </c>
      <c r="N59" t="s">
        <v>174</v>
      </c>
      <c r="O59" t="s">
        <v>619</v>
      </c>
      <c r="Q59" t="s">
        <v>620</v>
      </c>
      <c r="R59" t="s">
        <v>191</v>
      </c>
      <c r="S59">
        <v>7</v>
      </c>
      <c r="T59" t="s">
        <v>621</v>
      </c>
      <c r="W59" t="s">
        <v>1001</v>
      </c>
      <c r="X59" t="s">
        <v>942</v>
      </c>
      <c r="Y59" t="s">
        <v>160</v>
      </c>
      <c r="Z59" t="s">
        <v>161</v>
      </c>
      <c r="AA59" t="s">
        <v>1002</v>
      </c>
      <c r="AB59" t="s">
        <v>161</v>
      </c>
      <c r="AC59" t="s">
        <v>980</v>
      </c>
      <c r="AD59" t="s">
        <v>624</v>
      </c>
      <c r="AE59" t="s">
        <v>950</v>
      </c>
      <c r="AF59" t="s">
        <v>931</v>
      </c>
      <c r="AG59" t="s">
        <v>625</v>
      </c>
      <c r="AH59" t="s">
        <v>328</v>
      </c>
      <c r="AI59" t="s">
        <v>228</v>
      </c>
      <c r="AJ59" t="s">
        <v>144</v>
      </c>
      <c r="AK59" t="s">
        <v>182</v>
      </c>
      <c r="AL59" s="87">
        <v>9</v>
      </c>
      <c r="AM59" s="63">
        <v>45760</v>
      </c>
      <c r="AN59" s="86">
        <v>0.6875</v>
      </c>
      <c r="AO59" s="12">
        <v>0.66666666666666663</v>
      </c>
      <c r="AP59" t="s">
        <v>266</v>
      </c>
      <c r="AQ59" t="s">
        <v>627</v>
      </c>
      <c r="AR59" t="s">
        <v>626</v>
      </c>
      <c r="AS59" t="s">
        <v>169</v>
      </c>
      <c r="AT59" t="s">
        <v>266</v>
      </c>
      <c r="AU59" t="s">
        <v>311</v>
      </c>
      <c r="AV59" t="s">
        <v>582</v>
      </c>
      <c r="AW59">
        <v>2025</v>
      </c>
      <c r="AX59">
        <v>16</v>
      </c>
      <c r="AY59">
        <v>13</v>
      </c>
      <c r="AZ59" t="s">
        <v>627</v>
      </c>
    </row>
    <row r="60" spans="1:52" hidden="1" x14ac:dyDescent="0.25">
      <c r="A60" t="s">
        <v>1243</v>
      </c>
      <c r="B60" t="s">
        <v>971</v>
      </c>
      <c r="C60" s="88">
        <v>45860.556130439814</v>
      </c>
      <c r="D60" s="88">
        <v>45860.554155092592</v>
      </c>
      <c r="E60" s="88">
        <v>45860.456824490742</v>
      </c>
      <c r="F60" t="s">
        <v>1132</v>
      </c>
      <c r="G60" t="s">
        <v>628</v>
      </c>
      <c r="H60" s="63">
        <v>45760</v>
      </c>
      <c r="I60" s="86">
        <v>0.78115740740740747</v>
      </c>
      <c r="J60" s="1"/>
      <c r="K60" s="12"/>
      <c r="L60" s="1">
        <v>45760</v>
      </c>
      <c r="M60" s="12">
        <v>0.78115740740740736</v>
      </c>
      <c r="N60" t="s">
        <v>242</v>
      </c>
      <c r="O60" t="s">
        <v>629</v>
      </c>
      <c r="P60" t="s">
        <v>556</v>
      </c>
      <c r="Q60" t="s">
        <v>630</v>
      </c>
      <c r="R60" t="s">
        <v>414</v>
      </c>
      <c r="S60">
        <v>7</v>
      </c>
      <c r="T60" t="s">
        <v>34</v>
      </c>
      <c r="AE60" t="s">
        <v>950</v>
      </c>
      <c r="AF60" t="s">
        <v>931</v>
      </c>
      <c r="AG60" t="s">
        <v>291</v>
      </c>
      <c r="AH60" t="s">
        <v>256</v>
      </c>
      <c r="AI60" t="s">
        <v>228</v>
      </c>
      <c r="AJ60" t="s">
        <v>144</v>
      </c>
      <c r="AK60" t="s">
        <v>246</v>
      </c>
      <c r="AL60" s="87">
        <v>9</v>
      </c>
      <c r="AM60" s="63">
        <v>45760</v>
      </c>
      <c r="AN60" s="86">
        <v>0.78115740740740736</v>
      </c>
      <c r="AO60" s="12">
        <v>0.75</v>
      </c>
      <c r="AP60" t="s">
        <v>266</v>
      </c>
      <c r="AQ60" t="s">
        <v>184</v>
      </c>
      <c r="AR60" t="s">
        <v>631</v>
      </c>
      <c r="AS60" t="s">
        <v>169</v>
      </c>
      <c r="AT60" t="s">
        <v>266</v>
      </c>
      <c r="AU60" t="s">
        <v>311</v>
      </c>
      <c r="AV60" t="s">
        <v>582</v>
      </c>
      <c r="AW60">
        <v>2025</v>
      </c>
      <c r="AX60">
        <v>16</v>
      </c>
      <c r="AY60">
        <v>13</v>
      </c>
      <c r="AZ60" t="s">
        <v>184</v>
      </c>
    </row>
    <row r="61" spans="1:52" hidden="1" x14ac:dyDescent="0.25">
      <c r="A61" t="s">
        <v>1243</v>
      </c>
      <c r="B61" t="s">
        <v>971</v>
      </c>
      <c r="C61" s="88">
        <v>45860.556130439814</v>
      </c>
      <c r="D61" s="88">
        <v>45860.554155092592</v>
      </c>
      <c r="E61" s="88">
        <v>45860.456824490742</v>
      </c>
      <c r="F61" t="s">
        <v>1132</v>
      </c>
      <c r="G61" t="s">
        <v>632</v>
      </c>
      <c r="H61" s="63">
        <v>45761</v>
      </c>
      <c r="I61" s="86">
        <v>0.95833333333333326</v>
      </c>
      <c r="J61" s="1">
        <v>45762</v>
      </c>
      <c r="K61" s="12">
        <v>0.77083333333333337</v>
      </c>
      <c r="L61" s="1">
        <v>45762</v>
      </c>
      <c r="M61" s="12">
        <v>0.77781250000000002</v>
      </c>
      <c r="N61" t="s">
        <v>242</v>
      </c>
      <c r="O61" t="s">
        <v>295</v>
      </c>
      <c r="P61" t="s">
        <v>556</v>
      </c>
      <c r="Q61" t="s">
        <v>633</v>
      </c>
      <c r="R61" t="s">
        <v>138</v>
      </c>
      <c r="S61">
        <v>8</v>
      </c>
      <c r="T61" t="s">
        <v>634</v>
      </c>
      <c r="AE61" t="s">
        <v>1000</v>
      </c>
      <c r="AF61" t="s">
        <v>931</v>
      </c>
      <c r="AG61" t="s">
        <v>635</v>
      </c>
      <c r="AH61" t="s">
        <v>542</v>
      </c>
      <c r="AI61" t="s">
        <v>228</v>
      </c>
      <c r="AJ61" t="s">
        <v>320</v>
      </c>
      <c r="AK61" t="s">
        <v>246</v>
      </c>
      <c r="AL61" s="87">
        <v>9</v>
      </c>
      <c r="AM61" s="63">
        <v>45761</v>
      </c>
      <c r="AN61" s="86">
        <v>0.95833333333333337</v>
      </c>
      <c r="AO61" s="12">
        <v>0.95833333333333337</v>
      </c>
      <c r="AP61" t="s">
        <v>168</v>
      </c>
      <c r="AQ61" t="s">
        <v>150</v>
      </c>
      <c r="AR61" t="s">
        <v>636</v>
      </c>
      <c r="AS61" t="s">
        <v>169</v>
      </c>
      <c r="AT61" t="s">
        <v>168</v>
      </c>
      <c r="AU61" t="s">
        <v>183</v>
      </c>
      <c r="AV61" t="s">
        <v>582</v>
      </c>
      <c r="AW61">
        <v>2025</v>
      </c>
      <c r="AX61">
        <v>16</v>
      </c>
      <c r="AY61">
        <v>14</v>
      </c>
      <c r="AZ61" t="s">
        <v>150</v>
      </c>
    </row>
    <row r="62" spans="1:52" hidden="1" x14ac:dyDescent="0.25">
      <c r="A62" t="s">
        <v>1243</v>
      </c>
      <c r="B62" t="s">
        <v>971</v>
      </c>
      <c r="C62" s="88">
        <v>45860.556130439814</v>
      </c>
      <c r="D62" s="88">
        <v>45860.554155092592</v>
      </c>
      <c r="E62" s="88">
        <v>45860.456824490742</v>
      </c>
      <c r="F62" t="s">
        <v>1132</v>
      </c>
      <c r="G62" t="s">
        <v>637</v>
      </c>
      <c r="H62" s="63">
        <v>45763</v>
      </c>
      <c r="I62" s="86">
        <v>0.25</v>
      </c>
      <c r="J62" s="1">
        <v>45765</v>
      </c>
      <c r="K62" s="12"/>
      <c r="L62" s="1">
        <v>45765</v>
      </c>
      <c r="M62" s="12">
        <v>0.9226388888888889</v>
      </c>
      <c r="N62" t="s">
        <v>242</v>
      </c>
      <c r="Q62" t="s">
        <v>638</v>
      </c>
      <c r="R62" t="s">
        <v>414</v>
      </c>
      <c r="S62">
        <v>7</v>
      </c>
      <c r="T62" t="s">
        <v>639</v>
      </c>
      <c r="AE62" t="s">
        <v>946</v>
      </c>
      <c r="AF62" t="s">
        <v>931</v>
      </c>
      <c r="AG62" t="s">
        <v>327</v>
      </c>
      <c r="AH62" t="s">
        <v>328</v>
      </c>
      <c r="AI62" t="s">
        <v>275</v>
      </c>
      <c r="AJ62" t="s">
        <v>166</v>
      </c>
      <c r="AK62" t="s">
        <v>246</v>
      </c>
      <c r="AL62" s="87">
        <v>9</v>
      </c>
      <c r="AM62" s="63">
        <v>45763</v>
      </c>
      <c r="AN62" s="86">
        <v>0.25</v>
      </c>
      <c r="AO62" s="12">
        <v>0.25</v>
      </c>
      <c r="AP62" t="s">
        <v>385</v>
      </c>
      <c r="AQ62" t="s">
        <v>640</v>
      </c>
      <c r="AR62" t="s">
        <v>242</v>
      </c>
      <c r="AS62" t="s">
        <v>169</v>
      </c>
      <c r="AT62" t="s">
        <v>385</v>
      </c>
      <c r="AU62" t="s">
        <v>239</v>
      </c>
      <c r="AV62" t="s">
        <v>582</v>
      </c>
      <c r="AW62">
        <v>2025</v>
      </c>
      <c r="AX62">
        <v>16</v>
      </c>
      <c r="AY62">
        <v>16</v>
      </c>
      <c r="AZ62" t="s">
        <v>640</v>
      </c>
    </row>
    <row r="63" spans="1:52" hidden="1" x14ac:dyDescent="0.25">
      <c r="A63" t="s">
        <v>1243</v>
      </c>
      <c r="B63" t="s">
        <v>971</v>
      </c>
      <c r="C63" s="88">
        <v>45860.556130439814</v>
      </c>
      <c r="D63" s="88">
        <v>45860.554155092592</v>
      </c>
      <c r="E63" s="88">
        <v>45860.456824490742</v>
      </c>
      <c r="F63" t="s">
        <v>1132</v>
      </c>
      <c r="G63" t="s">
        <v>641</v>
      </c>
      <c r="H63" s="63">
        <v>45765</v>
      </c>
      <c r="I63" s="86">
        <v>0.85416666666666674</v>
      </c>
      <c r="J63" s="1"/>
      <c r="K63" s="12"/>
      <c r="L63" s="1">
        <v>45765</v>
      </c>
      <c r="M63" s="12">
        <v>0.97768518518518521</v>
      </c>
      <c r="N63" t="s">
        <v>206</v>
      </c>
      <c r="O63" t="s">
        <v>642</v>
      </c>
      <c r="P63" t="s">
        <v>387</v>
      </c>
      <c r="Q63" t="s">
        <v>643</v>
      </c>
      <c r="R63" t="s">
        <v>644</v>
      </c>
      <c r="S63">
        <v>7</v>
      </c>
      <c r="T63" t="s">
        <v>645</v>
      </c>
      <c r="AE63" t="s">
        <v>946</v>
      </c>
      <c r="AF63" t="s">
        <v>931</v>
      </c>
      <c r="AG63" t="s">
        <v>646</v>
      </c>
      <c r="AH63" t="s">
        <v>328</v>
      </c>
      <c r="AI63" t="s">
        <v>534</v>
      </c>
      <c r="AJ63" t="s">
        <v>301</v>
      </c>
      <c r="AK63" t="s">
        <v>213</v>
      </c>
      <c r="AL63" s="87">
        <v>9</v>
      </c>
      <c r="AM63" s="63">
        <v>45765</v>
      </c>
      <c r="AN63" s="86">
        <v>0.85416666666666663</v>
      </c>
      <c r="AO63" s="12">
        <v>0.83333333333333337</v>
      </c>
      <c r="AP63" t="s">
        <v>168</v>
      </c>
      <c r="AQ63" t="s">
        <v>648</v>
      </c>
      <c r="AR63" t="s">
        <v>647</v>
      </c>
      <c r="AS63" t="s">
        <v>169</v>
      </c>
      <c r="AT63" t="s">
        <v>168</v>
      </c>
      <c r="AU63" t="s">
        <v>170</v>
      </c>
      <c r="AV63" t="s">
        <v>582</v>
      </c>
      <c r="AW63">
        <v>2025</v>
      </c>
      <c r="AX63">
        <v>16</v>
      </c>
      <c r="AY63">
        <v>18</v>
      </c>
      <c r="AZ63" t="s">
        <v>648</v>
      </c>
    </row>
    <row r="64" spans="1:52" hidden="1" x14ac:dyDescent="0.25">
      <c r="A64" t="s">
        <v>1243</v>
      </c>
      <c r="B64" t="s">
        <v>971</v>
      </c>
      <c r="C64" s="88">
        <v>45860.556130439814</v>
      </c>
      <c r="D64" s="88">
        <v>45860.554155092592</v>
      </c>
      <c r="E64" s="88">
        <v>45860.456824490742</v>
      </c>
      <c r="F64" t="s">
        <v>1132</v>
      </c>
      <c r="G64" t="s">
        <v>649</v>
      </c>
      <c r="H64" s="63">
        <v>45766</v>
      </c>
      <c r="I64" s="86">
        <v>0.58333333333333326</v>
      </c>
      <c r="J64" s="1">
        <v>45766</v>
      </c>
      <c r="K64" s="12">
        <v>0.625</v>
      </c>
      <c r="L64" s="1">
        <v>45766</v>
      </c>
      <c r="M64" s="12">
        <v>0.63688657407407412</v>
      </c>
      <c r="N64" t="s">
        <v>174</v>
      </c>
      <c r="O64" t="s">
        <v>295</v>
      </c>
      <c r="Q64" t="s">
        <v>650</v>
      </c>
      <c r="R64" t="s">
        <v>358</v>
      </c>
      <c r="S64">
        <v>8</v>
      </c>
      <c r="T64" t="s">
        <v>651</v>
      </c>
      <c r="W64" t="s">
        <v>1003</v>
      </c>
      <c r="X64" t="s">
        <v>980</v>
      </c>
      <c r="Y64" t="s">
        <v>653</v>
      </c>
      <c r="Z64" t="s">
        <v>161</v>
      </c>
      <c r="AA64" t="s">
        <v>1004</v>
      </c>
      <c r="AB64" t="s">
        <v>161</v>
      </c>
      <c r="AC64" t="s">
        <v>655</v>
      </c>
      <c r="AD64" t="s">
        <v>656</v>
      </c>
      <c r="AE64" t="s">
        <v>1005</v>
      </c>
      <c r="AF64" t="s">
        <v>931</v>
      </c>
      <c r="AG64" t="s">
        <v>530</v>
      </c>
      <c r="AH64" t="s">
        <v>384</v>
      </c>
      <c r="AI64" t="s">
        <v>488</v>
      </c>
      <c r="AJ64" t="s">
        <v>166</v>
      </c>
      <c r="AK64" t="s">
        <v>182</v>
      </c>
      <c r="AL64" s="87">
        <v>9</v>
      </c>
      <c r="AM64" s="63">
        <v>45766</v>
      </c>
      <c r="AN64" s="86">
        <v>0.58333333333333337</v>
      </c>
      <c r="AO64" s="12">
        <v>0.58333333333333337</v>
      </c>
      <c r="AP64" t="s">
        <v>146</v>
      </c>
      <c r="AQ64" t="s">
        <v>658</v>
      </c>
      <c r="AR64" t="s">
        <v>302</v>
      </c>
      <c r="AS64" t="s">
        <v>169</v>
      </c>
      <c r="AT64" t="s">
        <v>146</v>
      </c>
      <c r="AU64" t="s">
        <v>292</v>
      </c>
      <c r="AV64" t="s">
        <v>582</v>
      </c>
      <c r="AW64">
        <v>2025</v>
      </c>
      <c r="AX64">
        <v>16</v>
      </c>
      <c r="AY64">
        <v>19</v>
      </c>
      <c r="AZ64" t="s">
        <v>658</v>
      </c>
    </row>
    <row r="65" spans="1:52" hidden="1" x14ac:dyDescent="0.25">
      <c r="A65" t="s">
        <v>1243</v>
      </c>
      <c r="B65" t="s">
        <v>971</v>
      </c>
      <c r="C65" s="88">
        <v>45860.556130439814</v>
      </c>
      <c r="D65" s="88">
        <v>45860.554155092592</v>
      </c>
      <c r="E65" s="88">
        <v>45860.456824490742</v>
      </c>
      <c r="F65" t="s">
        <v>1132</v>
      </c>
      <c r="G65" t="s">
        <v>659</v>
      </c>
      <c r="H65" s="63">
        <v>45767</v>
      </c>
      <c r="I65" s="86">
        <v>0.14861111111111103</v>
      </c>
      <c r="J65" s="1">
        <v>45768</v>
      </c>
      <c r="K65" s="12">
        <v>0.33333333333333331</v>
      </c>
      <c r="L65" s="1">
        <v>45768</v>
      </c>
      <c r="M65" s="12">
        <v>0.33649305555555553</v>
      </c>
      <c r="N65" t="s">
        <v>367</v>
      </c>
      <c r="Q65" t="s">
        <v>660</v>
      </c>
      <c r="R65" t="s">
        <v>516</v>
      </c>
      <c r="S65">
        <v>9</v>
      </c>
      <c r="T65" t="s">
        <v>661</v>
      </c>
      <c r="AE65" t="s">
        <v>1006</v>
      </c>
      <c r="AF65" t="s">
        <v>931</v>
      </c>
      <c r="AG65" t="s">
        <v>530</v>
      </c>
      <c r="AH65" t="s">
        <v>384</v>
      </c>
      <c r="AI65" t="s">
        <v>310</v>
      </c>
      <c r="AJ65" t="s">
        <v>166</v>
      </c>
      <c r="AK65" t="s">
        <v>246</v>
      </c>
      <c r="AL65" s="87">
        <v>9</v>
      </c>
      <c r="AM65" s="63">
        <v>45767</v>
      </c>
      <c r="AN65" s="86">
        <v>0.14861111111111111</v>
      </c>
      <c r="AO65" s="12">
        <v>0.125</v>
      </c>
      <c r="AP65" t="s">
        <v>343</v>
      </c>
      <c r="AQ65" t="s">
        <v>662</v>
      </c>
      <c r="AR65" t="s">
        <v>367</v>
      </c>
      <c r="AS65" t="s">
        <v>169</v>
      </c>
      <c r="AT65" t="s">
        <v>343</v>
      </c>
      <c r="AU65" t="s">
        <v>311</v>
      </c>
      <c r="AV65" t="s">
        <v>582</v>
      </c>
      <c r="AW65">
        <v>2025</v>
      </c>
      <c r="AX65">
        <v>17</v>
      </c>
      <c r="AY65">
        <v>20</v>
      </c>
      <c r="AZ65" t="s">
        <v>662</v>
      </c>
    </row>
    <row r="66" spans="1:52" hidden="1" x14ac:dyDescent="0.25">
      <c r="A66" t="s">
        <v>1243</v>
      </c>
      <c r="B66" t="s">
        <v>971</v>
      </c>
      <c r="C66" s="88">
        <v>45860.556130439814</v>
      </c>
      <c r="D66" s="88">
        <v>45860.554155092592</v>
      </c>
      <c r="E66" s="88">
        <v>45860.456824490742</v>
      </c>
      <c r="F66" t="s">
        <v>1132</v>
      </c>
      <c r="G66" t="s">
        <v>663</v>
      </c>
      <c r="J66" s="1"/>
      <c r="K66" s="12"/>
      <c r="L66" s="1">
        <v>45768</v>
      </c>
      <c r="M66" s="12">
        <v>0.40254629629629629</v>
      </c>
      <c r="N66" t="s">
        <v>242</v>
      </c>
      <c r="Q66" t="s">
        <v>664</v>
      </c>
      <c r="R66" t="s">
        <v>414</v>
      </c>
      <c r="S66">
        <v>7</v>
      </c>
      <c r="T66" t="s">
        <v>665</v>
      </c>
      <c r="AE66" t="s">
        <v>1006</v>
      </c>
      <c r="AF66" t="s">
        <v>931</v>
      </c>
      <c r="AG66" t="s">
        <v>585</v>
      </c>
      <c r="AH66" t="s">
        <v>164</v>
      </c>
      <c r="AI66" t="s">
        <v>534</v>
      </c>
      <c r="AJ66" t="s">
        <v>301</v>
      </c>
      <c r="AK66" t="s">
        <v>246</v>
      </c>
      <c r="AL66" s="87">
        <v>9</v>
      </c>
      <c r="AM66" s="63">
        <v>45768</v>
      </c>
      <c r="AN66" s="86">
        <v>0.40254629629629629</v>
      </c>
      <c r="AO66" s="12">
        <v>0.375</v>
      </c>
      <c r="AP66" t="s">
        <v>276</v>
      </c>
      <c r="AQ66" t="s">
        <v>666</v>
      </c>
      <c r="AR66" t="s">
        <v>242</v>
      </c>
      <c r="AS66" t="s">
        <v>169</v>
      </c>
      <c r="AT66" t="s">
        <v>276</v>
      </c>
      <c r="AU66" t="s">
        <v>183</v>
      </c>
      <c r="AV66" t="s">
        <v>582</v>
      </c>
      <c r="AW66">
        <v>2025</v>
      </c>
      <c r="AX66">
        <v>17</v>
      </c>
      <c r="AY66">
        <v>21</v>
      </c>
      <c r="AZ66" t="s">
        <v>666</v>
      </c>
    </row>
    <row r="67" spans="1:52" hidden="1" x14ac:dyDescent="0.25">
      <c r="A67" t="s">
        <v>1243</v>
      </c>
      <c r="B67" t="s">
        <v>971</v>
      </c>
      <c r="C67" s="88">
        <v>45860.556130439814</v>
      </c>
      <c r="D67" s="88">
        <v>45860.554155092592</v>
      </c>
      <c r="E67" s="88">
        <v>45860.456824490742</v>
      </c>
      <c r="F67" t="s">
        <v>1132</v>
      </c>
      <c r="G67" t="s">
        <v>667</v>
      </c>
      <c r="H67" s="63">
        <v>45771</v>
      </c>
      <c r="I67" s="86">
        <v>0.45277777777777772</v>
      </c>
      <c r="J67" s="1"/>
      <c r="K67" s="12"/>
      <c r="L67" s="1">
        <v>45771</v>
      </c>
      <c r="M67" s="12">
        <v>0.63624999999999998</v>
      </c>
      <c r="N67" t="s">
        <v>423</v>
      </c>
      <c r="O67" t="s">
        <v>188</v>
      </c>
      <c r="P67" t="s">
        <v>189</v>
      </c>
      <c r="Q67" t="s">
        <v>190</v>
      </c>
      <c r="R67" t="s">
        <v>191</v>
      </c>
      <c r="S67">
        <v>7</v>
      </c>
      <c r="T67" t="s">
        <v>668</v>
      </c>
      <c r="AE67" t="s">
        <v>193</v>
      </c>
      <c r="AF67" t="s">
        <v>931</v>
      </c>
      <c r="AG67" t="s">
        <v>194</v>
      </c>
      <c r="AH67" t="s">
        <v>195</v>
      </c>
      <c r="AI67" t="s">
        <v>194</v>
      </c>
      <c r="AJ67" t="s">
        <v>320</v>
      </c>
      <c r="AK67" t="s">
        <v>197</v>
      </c>
      <c r="AL67" s="87">
        <v>9</v>
      </c>
      <c r="AM67" s="63">
        <v>45771</v>
      </c>
      <c r="AN67" s="86">
        <v>0.45277777777777778</v>
      </c>
      <c r="AO67" s="12">
        <v>0.41666666666666669</v>
      </c>
      <c r="AP67" t="s">
        <v>276</v>
      </c>
      <c r="AQ67" t="s">
        <v>199</v>
      </c>
      <c r="AR67" t="s">
        <v>669</v>
      </c>
      <c r="AS67" t="s">
        <v>169</v>
      </c>
      <c r="AT67" t="s">
        <v>276</v>
      </c>
      <c r="AU67" t="s">
        <v>247</v>
      </c>
      <c r="AV67" t="s">
        <v>582</v>
      </c>
      <c r="AW67">
        <v>2025</v>
      </c>
      <c r="AX67">
        <v>17</v>
      </c>
      <c r="AY67">
        <v>24</v>
      </c>
      <c r="AZ67" t="s">
        <v>199</v>
      </c>
    </row>
    <row r="68" spans="1:52" hidden="1" x14ac:dyDescent="0.25">
      <c r="A68" t="s">
        <v>1243</v>
      </c>
      <c r="B68" t="s">
        <v>971</v>
      </c>
      <c r="C68" s="88">
        <v>45860.556130439814</v>
      </c>
      <c r="D68" s="88">
        <v>45860.554155092592</v>
      </c>
      <c r="E68" s="88">
        <v>45860.456824490742</v>
      </c>
      <c r="F68" t="s">
        <v>1132</v>
      </c>
      <c r="G68" t="s">
        <v>670</v>
      </c>
      <c r="H68" s="63">
        <v>45772</v>
      </c>
      <c r="I68" s="86">
        <v>0.5</v>
      </c>
      <c r="J68" s="1">
        <v>45775</v>
      </c>
      <c r="K68" s="12">
        <v>0.625</v>
      </c>
      <c r="L68" s="1">
        <v>45775</v>
      </c>
      <c r="M68" s="12">
        <v>0.66496527777777781</v>
      </c>
      <c r="N68" t="s">
        <v>154</v>
      </c>
      <c r="Q68" t="s">
        <v>671</v>
      </c>
      <c r="R68" t="s">
        <v>156</v>
      </c>
      <c r="S68">
        <v>9</v>
      </c>
      <c r="T68" t="s">
        <v>672</v>
      </c>
      <c r="W68" t="s">
        <v>673</v>
      </c>
      <c r="X68" t="s">
        <v>1007</v>
      </c>
      <c r="Y68" t="s">
        <v>675</v>
      </c>
      <c r="Z68" t="s">
        <v>161</v>
      </c>
      <c r="AE68" t="s">
        <v>935</v>
      </c>
      <c r="AF68" t="s">
        <v>931</v>
      </c>
      <c r="AG68" t="s">
        <v>530</v>
      </c>
      <c r="AH68" t="s">
        <v>384</v>
      </c>
      <c r="AI68" t="s">
        <v>350</v>
      </c>
      <c r="AJ68" t="s">
        <v>320</v>
      </c>
      <c r="AK68" t="s">
        <v>167</v>
      </c>
      <c r="AL68" s="87">
        <v>9</v>
      </c>
      <c r="AM68" s="63">
        <v>45772</v>
      </c>
      <c r="AN68" s="86">
        <v>0.5</v>
      </c>
      <c r="AO68" s="12">
        <v>0.5</v>
      </c>
      <c r="AP68" t="s">
        <v>146</v>
      </c>
      <c r="AQ68" t="s">
        <v>676</v>
      </c>
      <c r="AR68" t="s">
        <v>154</v>
      </c>
      <c r="AS68" t="s">
        <v>169</v>
      </c>
      <c r="AT68" t="s">
        <v>146</v>
      </c>
      <c r="AU68" t="s">
        <v>170</v>
      </c>
      <c r="AV68" t="s">
        <v>582</v>
      </c>
      <c r="AW68">
        <v>2025</v>
      </c>
      <c r="AX68">
        <v>17</v>
      </c>
      <c r="AY68">
        <v>25</v>
      </c>
      <c r="AZ68" t="s">
        <v>676</v>
      </c>
    </row>
    <row r="69" spans="1:52" hidden="1" x14ac:dyDescent="0.25">
      <c r="A69" t="s">
        <v>1243</v>
      </c>
      <c r="B69" t="s">
        <v>971</v>
      </c>
      <c r="C69" s="88">
        <v>45860.556130439814</v>
      </c>
      <c r="D69" s="88">
        <v>45860.554155092592</v>
      </c>
      <c r="E69" s="88">
        <v>45860.456824490742</v>
      </c>
      <c r="F69" t="s">
        <v>1132</v>
      </c>
      <c r="G69" t="s">
        <v>677</v>
      </c>
      <c r="H69" s="63">
        <v>45774</v>
      </c>
      <c r="I69" s="86">
        <v>0.77083333333333326</v>
      </c>
      <c r="J69" s="1"/>
      <c r="K69" s="12"/>
      <c r="L69" s="1">
        <v>45776</v>
      </c>
      <c r="M69" s="12">
        <v>0.35416666666666669</v>
      </c>
      <c r="N69" t="s">
        <v>206</v>
      </c>
      <c r="O69" t="s">
        <v>388</v>
      </c>
      <c r="Q69" t="s">
        <v>678</v>
      </c>
      <c r="R69" t="s">
        <v>400</v>
      </c>
      <c r="S69">
        <v>6</v>
      </c>
      <c r="T69" t="s">
        <v>679</v>
      </c>
      <c r="W69" t="s">
        <v>937</v>
      </c>
      <c r="X69" t="s">
        <v>452</v>
      </c>
      <c r="AA69" t="s">
        <v>938</v>
      </c>
      <c r="AC69" t="s">
        <v>939</v>
      </c>
      <c r="AE69" t="s">
        <v>682</v>
      </c>
      <c r="AF69" t="s">
        <v>931</v>
      </c>
      <c r="AG69" t="s">
        <v>683</v>
      </c>
      <c r="AH69" t="s">
        <v>684</v>
      </c>
      <c r="AL69" s="87">
        <v>9</v>
      </c>
      <c r="AM69" s="63">
        <v>45774</v>
      </c>
      <c r="AN69" s="86">
        <v>0.77083333333333337</v>
      </c>
      <c r="AO69" s="12">
        <v>0.75</v>
      </c>
      <c r="AP69" t="s">
        <v>266</v>
      </c>
      <c r="AQ69" t="s">
        <v>686</v>
      </c>
      <c r="AR69" t="s">
        <v>685</v>
      </c>
      <c r="AS69" t="s">
        <v>169</v>
      </c>
      <c r="AT69" t="s">
        <v>266</v>
      </c>
      <c r="AU69" t="s">
        <v>311</v>
      </c>
      <c r="AV69" t="s">
        <v>582</v>
      </c>
      <c r="AW69">
        <v>2025</v>
      </c>
      <c r="AX69">
        <v>18</v>
      </c>
      <c r="AY69">
        <v>27</v>
      </c>
      <c r="AZ69" t="s">
        <v>686</v>
      </c>
    </row>
    <row r="70" spans="1:52" hidden="1" x14ac:dyDescent="0.25">
      <c r="A70" t="s">
        <v>1243</v>
      </c>
      <c r="B70" t="s">
        <v>971</v>
      </c>
      <c r="C70" s="88">
        <v>45860.556130439814</v>
      </c>
      <c r="D70" s="88">
        <v>45860.554155092592</v>
      </c>
      <c r="E70" s="88">
        <v>45860.456824490742</v>
      </c>
      <c r="F70" t="s">
        <v>1132</v>
      </c>
      <c r="G70" t="s">
        <v>687</v>
      </c>
      <c r="H70" s="63">
        <v>45774</v>
      </c>
      <c r="I70" s="86">
        <v>0.79166666666666674</v>
      </c>
      <c r="J70" s="1">
        <v>45802</v>
      </c>
      <c r="K70" s="12"/>
      <c r="L70" s="1">
        <v>45802</v>
      </c>
      <c r="M70" s="12">
        <v>0.80763888888888891</v>
      </c>
      <c r="N70" t="s">
        <v>242</v>
      </c>
      <c r="Q70" t="s">
        <v>287</v>
      </c>
      <c r="R70" t="s">
        <v>288</v>
      </c>
      <c r="S70">
        <v>5</v>
      </c>
      <c r="T70" t="s">
        <v>688</v>
      </c>
      <c r="AE70" t="s">
        <v>936</v>
      </c>
      <c r="AF70" t="s">
        <v>931</v>
      </c>
      <c r="AG70" t="s">
        <v>689</v>
      </c>
      <c r="AH70" t="s">
        <v>211</v>
      </c>
      <c r="AI70" t="s">
        <v>488</v>
      </c>
      <c r="AJ70" t="s">
        <v>166</v>
      </c>
      <c r="AK70" t="s">
        <v>246</v>
      </c>
      <c r="AL70" s="87">
        <v>9</v>
      </c>
      <c r="AM70" s="63">
        <v>45774</v>
      </c>
      <c r="AN70" s="86">
        <v>0.79166666666666663</v>
      </c>
      <c r="AO70" s="12">
        <v>0.79166666666666663</v>
      </c>
      <c r="AP70" t="s">
        <v>266</v>
      </c>
      <c r="AQ70" t="s">
        <v>293</v>
      </c>
      <c r="AR70" t="s">
        <v>242</v>
      </c>
      <c r="AS70" t="s">
        <v>169</v>
      </c>
      <c r="AT70" t="s">
        <v>266</v>
      </c>
      <c r="AU70" t="s">
        <v>311</v>
      </c>
      <c r="AV70" t="s">
        <v>582</v>
      </c>
      <c r="AW70">
        <v>2025</v>
      </c>
      <c r="AX70">
        <v>18</v>
      </c>
      <c r="AY70">
        <v>27</v>
      </c>
      <c r="AZ70" t="s">
        <v>293</v>
      </c>
    </row>
    <row r="71" spans="1:52" hidden="1" x14ac:dyDescent="0.25">
      <c r="A71" t="s">
        <v>1243</v>
      </c>
      <c r="B71" t="s">
        <v>971</v>
      </c>
      <c r="C71" s="88">
        <v>45860.556130439814</v>
      </c>
      <c r="D71" s="88">
        <v>45860.554155092592</v>
      </c>
      <c r="E71" s="88">
        <v>45860.456824490742</v>
      </c>
      <c r="F71" t="s">
        <v>1132</v>
      </c>
      <c r="G71" t="s">
        <v>690</v>
      </c>
      <c r="H71" s="63">
        <v>45776</v>
      </c>
      <c r="I71" s="86">
        <v>0.5625</v>
      </c>
      <c r="J71" s="1"/>
      <c r="K71" s="12"/>
      <c r="L71" s="1">
        <v>45776</v>
      </c>
      <c r="M71" s="12">
        <v>0.61762731481481481</v>
      </c>
      <c r="N71" t="s">
        <v>154</v>
      </c>
      <c r="Q71" t="s">
        <v>691</v>
      </c>
      <c r="R71" t="s">
        <v>425</v>
      </c>
      <c r="S71">
        <v>8</v>
      </c>
      <c r="T71" t="s">
        <v>692</v>
      </c>
      <c r="W71" t="s">
        <v>693</v>
      </c>
      <c r="X71" t="s">
        <v>955</v>
      </c>
      <c r="Y71" t="s">
        <v>694</v>
      </c>
      <c r="Z71" t="s">
        <v>161</v>
      </c>
      <c r="AE71" t="s">
        <v>1005</v>
      </c>
      <c r="AF71" t="s">
        <v>931</v>
      </c>
      <c r="AG71" t="s">
        <v>585</v>
      </c>
      <c r="AH71" t="s">
        <v>164</v>
      </c>
      <c r="AI71" t="s">
        <v>228</v>
      </c>
      <c r="AJ71" t="s">
        <v>435</v>
      </c>
      <c r="AK71" t="s">
        <v>167</v>
      </c>
      <c r="AL71" s="87">
        <v>9</v>
      </c>
      <c r="AM71" s="63">
        <v>45776</v>
      </c>
      <c r="AN71" s="86">
        <v>0.5625</v>
      </c>
      <c r="AO71" s="12">
        <v>0.54166666666666663</v>
      </c>
      <c r="AP71" t="s">
        <v>146</v>
      </c>
      <c r="AQ71" t="s">
        <v>428</v>
      </c>
      <c r="AR71" t="s">
        <v>154</v>
      </c>
      <c r="AS71" t="s">
        <v>169</v>
      </c>
      <c r="AT71" t="s">
        <v>146</v>
      </c>
      <c r="AU71" t="s">
        <v>148</v>
      </c>
      <c r="AV71" t="s">
        <v>582</v>
      </c>
      <c r="AW71">
        <v>2025</v>
      </c>
      <c r="AX71">
        <v>18</v>
      </c>
      <c r="AY71">
        <v>29</v>
      </c>
      <c r="AZ71" t="s">
        <v>428</v>
      </c>
    </row>
    <row r="72" spans="1:52" hidden="1" x14ac:dyDescent="0.25">
      <c r="A72" t="s">
        <v>1243</v>
      </c>
      <c r="B72" t="s">
        <v>971</v>
      </c>
      <c r="C72" s="88">
        <v>45860.556130439814</v>
      </c>
      <c r="D72" s="88">
        <v>45860.554155092592</v>
      </c>
      <c r="E72" s="88">
        <v>45860.456824490742</v>
      </c>
      <c r="F72" t="s">
        <v>1132</v>
      </c>
      <c r="G72" t="s">
        <v>695</v>
      </c>
      <c r="H72" s="63">
        <v>45777</v>
      </c>
      <c r="I72" s="86">
        <v>0.68012731481481481</v>
      </c>
      <c r="J72" s="1"/>
      <c r="K72" s="12"/>
      <c r="L72" s="1">
        <v>45777</v>
      </c>
      <c r="M72" s="12">
        <v>0.68012731481481481</v>
      </c>
      <c r="N72" t="s">
        <v>206</v>
      </c>
      <c r="Q72" t="s">
        <v>696</v>
      </c>
      <c r="T72" t="s">
        <v>697</v>
      </c>
      <c r="AE72" t="s">
        <v>958</v>
      </c>
      <c r="AF72" t="s">
        <v>931</v>
      </c>
      <c r="AG72" t="s">
        <v>141</v>
      </c>
      <c r="AH72" t="s">
        <v>142</v>
      </c>
      <c r="AI72" t="s">
        <v>698</v>
      </c>
      <c r="AJ72" t="s">
        <v>320</v>
      </c>
      <c r="AK72" t="s">
        <v>213</v>
      </c>
      <c r="AL72" s="87">
        <v>9</v>
      </c>
      <c r="AM72" s="63">
        <v>45777</v>
      </c>
      <c r="AN72" s="86">
        <v>0.68012731481481481</v>
      </c>
      <c r="AO72" s="12">
        <v>0.66666666666666663</v>
      </c>
      <c r="AP72" t="s">
        <v>266</v>
      </c>
      <c r="AQ72" t="s">
        <v>699</v>
      </c>
      <c r="AR72" t="s">
        <v>206</v>
      </c>
      <c r="AS72" t="s">
        <v>169</v>
      </c>
      <c r="AT72" t="s">
        <v>266</v>
      </c>
      <c r="AU72" t="s">
        <v>239</v>
      </c>
      <c r="AV72" t="s">
        <v>582</v>
      </c>
      <c r="AW72">
        <v>2025</v>
      </c>
      <c r="AX72">
        <v>18</v>
      </c>
      <c r="AY72">
        <v>30</v>
      </c>
      <c r="AZ72" t="s">
        <v>699</v>
      </c>
    </row>
    <row r="73" spans="1:52" hidden="1" x14ac:dyDescent="0.25">
      <c r="A73" t="s">
        <v>1243</v>
      </c>
      <c r="B73" t="s">
        <v>971</v>
      </c>
      <c r="C73" s="88">
        <v>45860.556130439814</v>
      </c>
      <c r="D73" s="88">
        <v>45860.554155092592</v>
      </c>
      <c r="E73" s="88">
        <v>45860.456824490742</v>
      </c>
      <c r="F73" t="s">
        <v>1132</v>
      </c>
      <c r="G73" t="s">
        <v>700</v>
      </c>
      <c r="H73" s="63">
        <v>45778</v>
      </c>
      <c r="I73" s="86">
        <v>0.93593750000000009</v>
      </c>
      <c r="J73" s="1"/>
      <c r="K73" s="12"/>
      <c r="L73" s="1">
        <v>45778</v>
      </c>
      <c r="M73" s="12">
        <v>0.93593749999999998</v>
      </c>
      <c r="N73" t="s">
        <v>242</v>
      </c>
      <c r="O73" t="s">
        <v>295</v>
      </c>
      <c r="P73" t="s">
        <v>701</v>
      </c>
      <c r="Q73" t="s">
        <v>702</v>
      </c>
      <c r="R73" t="s">
        <v>191</v>
      </c>
      <c r="S73">
        <v>7</v>
      </c>
      <c r="T73" t="s">
        <v>703</v>
      </c>
      <c r="AE73" t="s">
        <v>958</v>
      </c>
      <c r="AF73" t="s">
        <v>931</v>
      </c>
      <c r="AG73" t="s">
        <v>635</v>
      </c>
      <c r="AH73" t="s">
        <v>256</v>
      </c>
      <c r="AI73" t="s">
        <v>228</v>
      </c>
      <c r="AJ73" t="s">
        <v>166</v>
      </c>
      <c r="AK73" t="s">
        <v>246</v>
      </c>
      <c r="AL73" s="87">
        <v>9</v>
      </c>
      <c r="AM73" s="63">
        <v>45778</v>
      </c>
      <c r="AN73" s="86">
        <v>0.93593749999999998</v>
      </c>
      <c r="AO73" s="12">
        <v>0.91666666666666663</v>
      </c>
      <c r="AP73" t="s">
        <v>168</v>
      </c>
      <c r="AQ73" t="s">
        <v>627</v>
      </c>
      <c r="AR73" t="s">
        <v>704</v>
      </c>
      <c r="AS73" t="s">
        <v>169</v>
      </c>
      <c r="AT73" t="s">
        <v>168</v>
      </c>
      <c r="AU73" t="s">
        <v>247</v>
      </c>
      <c r="AV73" t="s">
        <v>705</v>
      </c>
      <c r="AW73">
        <v>2025</v>
      </c>
      <c r="AX73">
        <v>18</v>
      </c>
      <c r="AY73">
        <v>1</v>
      </c>
      <c r="AZ73" t="s">
        <v>627</v>
      </c>
    </row>
    <row r="74" spans="1:52" hidden="1" x14ac:dyDescent="0.25">
      <c r="A74" t="s">
        <v>1243</v>
      </c>
      <c r="B74" t="s">
        <v>971</v>
      </c>
      <c r="C74" s="88">
        <v>45860.556130439814</v>
      </c>
      <c r="D74" s="88">
        <v>45860.554155092592</v>
      </c>
      <c r="E74" s="88">
        <v>45860.456824490742</v>
      </c>
      <c r="F74" t="s">
        <v>1132</v>
      </c>
      <c r="G74" t="s">
        <v>706</v>
      </c>
      <c r="H74" s="63">
        <v>45781</v>
      </c>
      <c r="I74" s="86">
        <v>0.54166666666666674</v>
      </c>
      <c r="J74" s="1"/>
      <c r="K74" s="12"/>
      <c r="L74" s="1">
        <v>45789</v>
      </c>
      <c r="M74" s="12">
        <v>0.55585648148148148</v>
      </c>
      <c r="N74" t="s">
        <v>242</v>
      </c>
      <c r="Q74" t="s">
        <v>707</v>
      </c>
      <c r="R74" t="s">
        <v>138</v>
      </c>
      <c r="S74">
        <v>8</v>
      </c>
      <c r="T74" t="s">
        <v>708</v>
      </c>
      <c r="AE74" t="s">
        <v>943</v>
      </c>
      <c r="AF74" t="s">
        <v>931</v>
      </c>
      <c r="AG74" t="s">
        <v>475</v>
      </c>
      <c r="AH74" t="s">
        <v>211</v>
      </c>
      <c r="AI74" t="s">
        <v>350</v>
      </c>
      <c r="AJ74" t="s">
        <v>301</v>
      </c>
      <c r="AK74" t="s">
        <v>246</v>
      </c>
      <c r="AL74" s="87">
        <v>9</v>
      </c>
      <c r="AM74" s="63">
        <v>45781</v>
      </c>
      <c r="AN74" s="86">
        <v>0.54166666666666663</v>
      </c>
      <c r="AO74" s="12">
        <v>0.54166666666666663</v>
      </c>
      <c r="AP74" t="s">
        <v>146</v>
      </c>
      <c r="AQ74" t="s">
        <v>710</v>
      </c>
      <c r="AR74" t="s">
        <v>242</v>
      </c>
      <c r="AS74" t="s">
        <v>169</v>
      </c>
      <c r="AT74" t="s">
        <v>146</v>
      </c>
      <c r="AU74" t="s">
        <v>311</v>
      </c>
      <c r="AV74" t="s">
        <v>705</v>
      </c>
      <c r="AW74">
        <v>2025</v>
      </c>
      <c r="AX74">
        <v>19</v>
      </c>
      <c r="AY74">
        <v>4</v>
      </c>
      <c r="AZ74" t="s">
        <v>710</v>
      </c>
    </row>
    <row r="75" spans="1:52" hidden="1" x14ac:dyDescent="0.25">
      <c r="A75" t="s">
        <v>1243</v>
      </c>
      <c r="B75" t="s">
        <v>971</v>
      </c>
      <c r="C75" s="88">
        <v>45860.556130439814</v>
      </c>
      <c r="D75" s="88">
        <v>45860.554155092592</v>
      </c>
      <c r="E75" s="88">
        <v>45860.456824490742</v>
      </c>
      <c r="F75" t="s">
        <v>1132</v>
      </c>
      <c r="G75" t="s">
        <v>711</v>
      </c>
      <c r="H75" s="63">
        <v>45782</v>
      </c>
      <c r="I75" s="86">
        <v>0.625</v>
      </c>
      <c r="J75" s="1"/>
      <c r="K75" s="12"/>
      <c r="L75" s="1">
        <v>45782</v>
      </c>
      <c r="M75" s="12">
        <v>0.75549768518518523</v>
      </c>
      <c r="N75" t="s">
        <v>154</v>
      </c>
      <c r="O75" t="s">
        <v>712</v>
      </c>
      <c r="Q75" t="s">
        <v>713</v>
      </c>
      <c r="R75" t="s">
        <v>516</v>
      </c>
      <c r="S75">
        <v>9</v>
      </c>
      <c r="T75" t="s">
        <v>714</v>
      </c>
      <c r="W75" t="s">
        <v>1009</v>
      </c>
      <c r="X75" t="s">
        <v>952</v>
      </c>
      <c r="Y75" t="s">
        <v>716</v>
      </c>
      <c r="Z75" t="s">
        <v>975</v>
      </c>
      <c r="AE75" t="s">
        <v>1000</v>
      </c>
      <c r="AF75" t="s">
        <v>931</v>
      </c>
      <c r="AG75" t="s">
        <v>393</v>
      </c>
      <c r="AH75" t="s">
        <v>384</v>
      </c>
      <c r="AL75" s="87">
        <v>9</v>
      </c>
      <c r="AM75" s="63">
        <v>45782</v>
      </c>
      <c r="AN75" s="86">
        <v>0.625</v>
      </c>
      <c r="AO75" s="12">
        <v>0.625</v>
      </c>
      <c r="AP75" t="s">
        <v>146</v>
      </c>
      <c r="AQ75" t="s">
        <v>718</v>
      </c>
      <c r="AR75" t="s">
        <v>717</v>
      </c>
      <c r="AS75" t="s">
        <v>169</v>
      </c>
      <c r="AT75" t="s">
        <v>146</v>
      </c>
      <c r="AU75" t="s">
        <v>183</v>
      </c>
      <c r="AV75" t="s">
        <v>705</v>
      </c>
      <c r="AW75">
        <v>2025</v>
      </c>
      <c r="AX75">
        <v>19</v>
      </c>
      <c r="AY75">
        <v>5</v>
      </c>
      <c r="AZ75" t="s">
        <v>718</v>
      </c>
    </row>
    <row r="76" spans="1:52" hidden="1" x14ac:dyDescent="0.25">
      <c r="A76" t="s">
        <v>1243</v>
      </c>
      <c r="B76" t="s">
        <v>971</v>
      </c>
      <c r="C76" s="88">
        <v>45860.556130439814</v>
      </c>
      <c r="D76" s="88">
        <v>45860.554155092592</v>
      </c>
      <c r="E76" s="88">
        <v>45860.456824490742</v>
      </c>
      <c r="F76" t="s">
        <v>1132</v>
      </c>
      <c r="G76" t="s">
        <v>719</v>
      </c>
      <c r="H76" s="63">
        <v>45782</v>
      </c>
      <c r="I76" s="86">
        <v>0.74097222222222214</v>
      </c>
      <c r="J76" s="1"/>
      <c r="K76" s="12"/>
      <c r="L76" s="1">
        <v>45791</v>
      </c>
      <c r="M76" s="12">
        <v>0.64642361111111113</v>
      </c>
      <c r="N76" t="s">
        <v>154</v>
      </c>
      <c r="O76" t="s">
        <v>347</v>
      </c>
      <c r="Q76" t="s">
        <v>720</v>
      </c>
      <c r="R76" t="s">
        <v>251</v>
      </c>
      <c r="S76">
        <v>9</v>
      </c>
      <c r="T76" t="s">
        <v>721</v>
      </c>
      <c r="X76" t="s">
        <v>980</v>
      </c>
      <c r="Y76" t="s">
        <v>722</v>
      </c>
      <c r="AE76" t="s">
        <v>950</v>
      </c>
      <c r="AF76" t="s">
        <v>931</v>
      </c>
      <c r="AG76" t="s">
        <v>646</v>
      </c>
      <c r="AH76" t="s">
        <v>328</v>
      </c>
      <c r="AI76" t="s">
        <v>350</v>
      </c>
      <c r="AJ76" t="s">
        <v>181</v>
      </c>
      <c r="AK76" t="s">
        <v>167</v>
      </c>
      <c r="AL76" s="87">
        <v>9</v>
      </c>
      <c r="AM76" s="63">
        <v>45782</v>
      </c>
      <c r="AN76" s="86">
        <v>0.74097222222222225</v>
      </c>
      <c r="AO76" s="12">
        <v>0.70833333333333337</v>
      </c>
      <c r="AP76" t="s">
        <v>266</v>
      </c>
      <c r="AQ76" t="s">
        <v>724</v>
      </c>
      <c r="AR76" t="s">
        <v>723</v>
      </c>
      <c r="AS76" t="s">
        <v>169</v>
      </c>
      <c r="AT76" t="s">
        <v>266</v>
      </c>
      <c r="AU76" t="s">
        <v>183</v>
      </c>
      <c r="AV76" t="s">
        <v>705</v>
      </c>
      <c r="AW76">
        <v>2025</v>
      </c>
      <c r="AX76">
        <v>19</v>
      </c>
      <c r="AY76">
        <v>5</v>
      </c>
      <c r="AZ76" t="s">
        <v>724</v>
      </c>
    </row>
    <row r="77" spans="1:52" hidden="1" x14ac:dyDescent="0.25">
      <c r="A77" t="s">
        <v>1243</v>
      </c>
      <c r="B77" t="s">
        <v>971</v>
      </c>
      <c r="C77" s="88">
        <v>45860.556130439814</v>
      </c>
      <c r="D77" s="88">
        <v>45860.554155092592</v>
      </c>
      <c r="E77" s="88">
        <v>45860.456824490742</v>
      </c>
      <c r="F77" t="s">
        <v>1132</v>
      </c>
      <c r="G77" t="s">
        <v>725</v>
      </c>
      <c r="H77" s="63">
        <v>45786</v>
      </c>
      <c r="I77" s="86">
        <v>0.60416666666666674</v>
      </c>
      <c r="J77" s="1"/>
      <c r="K77" s="12"/>
      <c r="L77" s="1">
        <v>45786</v>
      </c>
      <c r="M77" s="12">
        <v>0.60798611111111112</v>
      </c>
      <c r="N77" t="s">
        <v>206</v>
      </c>
      <c r="O77" t="s">
        <v>726</v>
      </c>
      <c r="Q77" t="s">
        <v>727</v>
      </c>
      <c r="R77" t="s">
        <v>270</v>
      </c>
      <c r="S77">
        <v>5</v>
      </c>
      <c r="T77" t="s">
        <v>728</v>
      </c>
      <c r="AE77" t="s">
        <v>936</v>
      </c>
      <c r="AF77" t="s">
        <v>931</v>
      </c>
      <c r="AG77" t="s">
        <v>729</v>
      </c>
      <c r="AH77" t="s">
        <v>256</v>
      </c>
      <c r="AI77" t="s">
        <v>310</v>
      </c>
      <c r="AJ77" t="s">
        <v>144</v>
      </c>
      <c r="AK77" t="s">
        <v>213</v>
      </c>
      <c r="AL77" s="87">
        <v>9</v>
      </c>
      <c r="AM77" s="63">
        <v>45786</v>
      </c>
      <c r="AN77" s="86">
        <v>0.60416666666666663</v>
      </c>
      <c r="AO77" s="12">
        <v>0.58333333333333337</v>
      </c>
      <c r="AP77" t="s">
        <v>146</v>
      </c>
      <c r="AQ77" t="s">
        <v>731</v>
      </c>
      <c r="AR77" t="s">
        <v>730</v>
      </c>
      <c r="AS77" t="s">
        <v>169</v>
      </c>
      <c r="AT77" t="s">
        <v>146</v>
      </c>
      <c r="AU77" t="s">
        <v>170</v>
      </c>
      <c r="AV77" t="s">
        <v>705</v>
      </c>
      <c r="AW77">
        <v>2025</v>
      </c>
      <c r="AX77">
        <v>19</v>
      </c>
      <c r="AY77">
        <v>9</v>
      </c>
      <c r="AZ77" t="s">
        <v>731</v>
      </c>
    </row>
    <row r="78" spans="1:52" hidden="1" x14ac:dyDescent="0.25">
      <c r="A78" t="s">
        <v>1243</v>
      </c>
      <c r="B78" t="s">
        <v>971</v>
      </c>
      <c r="C78" s="88">
        <v>45860.556130439814</v>
      </c>
      <c r="D78" s="88">
        <v>45860.554155092592</v>
      </c>
      <c r="E78" s="88">
        <v>45860.456824490742</v>
      </c>
      <c r="F78" t="s">
        <v>1132</v>
      </c>
      <c r="G78" t="s">
        <v>732</v>
      </c>
      <c r="H78" s="63">
        <v>45788</v>
      </c>
      <c r="I78" s="86">
        <v>79.166666666666671</v>
      </c>
      <c r="J78" s="1">
        <v>45789</v>
      </c>
      <c r="K78" s="12">
        <v>0.13958333333333334</v>
      </c>
      <c r="L78" s="1">
        <v>45789</v>
      </c>
      <c r="M78" s="12">
        <v>0.28483796296296299</v>
      </c>
      <c r="N78" t="s">
        <v>174</v>
      </c>
      <c r="Q78" t="s">
        <v>733</v>
      </c>
      <c r="R78" t="s">
        <v>270</v>
      </c>
      <c r="S78">
        <v>5</v>
      </c>
      <c r="T78" t="s">
        <v>734</v>
      </c>
      <c r="W78" t="s">
        <v>735</v>
      </c>
      <c r="X78" t="s">
        <v>994</v>
      </c>
      <c r="Y78" t="s">
        <v>736</v>
      </c>
      <c r="Z78" t="s">
        <v>161</v>
      </c>
      <c r="AE78" t="s">
        <v>946</v>
      </c>
      <c r="AF78" t="s">
        <v>931</v>
      </c>
      <c r="AG78" t="s">
        <v>210</v>
      </c>
      <c r="AH78" t="s">
        <v>211</v>
      </c>
      <c r="AI78" t="s">
        <v>228</v>
      </c>
      <c r="AJ78" t="s">
        <v>166</v>
      </c>
      <c r="AK78" t="s">
        <v>182</v>
      </c>
      <c r="AL78" s="87">
        <v>9</v>
      </c>
      <c r="AM78" s="63">
        <v>45788</v>
      </c>
      <c r="AN78" s="86">
        <v>0.16666666666666666</v>
      </c>
      <c r="AO78" s="12">
        <v>0.16666666666666666</v>
      </c>
      <c r="AP78" t="s">
        <v>385</v>
      </c>
      <c r="AQ78" t="s">
        <v>737</v>
      </c>
      <c r="AR78" t="s">
        <v>174</v>
      </c>
      <c r="AS78" t="s">
        <v>169</v>
      </c>
      <c r="AT78" t="s">
        <v>385</v>
      </c>
      <c r="AU78" t="s">
        <v>311</v>
      </c>
      <c r="AV78" t="s">
        <v>705</v>
      </c>
      <c r="AW78">
        <v>2025</v>
      </c>
      <c r="AX78">
        <v>20</v>
      </c>
      <c r="AY78">
        <v>11</v>
      </c>
      <c r="AZ78" t="s">
        <v>737</v>
      </c>
    </row>
    <row r="79" spans="1:52" hidden="1" x14ac:dyDescent="0.25">
      <c r="A79" t="s">
        <v>1243</v>
      </c>
      <c r="B79" t="s">
        <v>971</v>
      </c>
      <c r="C79" s="88">
        <v>45860.556130439814</v>
      </c>
      <c r="D79" s="88">
        <v>45860.554155092592</v>
      </c>
      <c r="E79" s="88">
        <v>45860.456824490742</v>
      </c>
      <c r="F79" t="s">
        <v>1132</v>
      </c>
      <c r="G79" t="s">
        <v>738</v>
      </c>
      <c r="H79" s="63">
        <v>45788</v>
      </c>
      <c r="J79" s="1"/>
      <c r="K79" s="12"/>
      <c r="L79" s="1">
        <v>45790</v>
      </c>
      <c r="M79" s="12">
        <v>0.63552083333333331</v>
      </c>
      <c r="N79" t="s">
        <v>136</v>
      </c>
      <c r="O79" t="s">
        <v>189</v>
      </c>
      <c r="Q79" t="s">
        <v>190</v>
      </c>
      <c r="R79" t="s">
        <v>191</v>
      </c>
      <c r="T79" t="s">
        <v>739</v>
      </c>
      <c r="AE79" t="s">
        <v>945</v>
      </c>
      <c r="AF79" t="s">
        <v>931</v>
      </c>
      <c r="AG79" t="s">
        <v>194</v>
      </c>
      <c r="AH79" t="s">
        <v>444</v>
      </c>
      <c r="AI79" t="s">
        <v>194</v>
      </c>
      <c r="AJ79" t="s">
        <v>166</v>
      </c>
      <c r="AK79" t="s">
        <v>741</v>
      </c>
      <c r="AL79" s="87">
        <v>9</v>
      </c>
      <c r="AM79" s="63">
        <v>45788</v>
      </c>
      <c r="AN79" s="86">
        <v>0.63552083333333331</v>
      </c>
      <c r="AO79" s="12">
        <v>0.625</v>
      </c>
      <c r="AP79" t="s">
        <v>146</v>
      </c>
      <c r="AQ79" t="s">
        <v>199</v>
      </c>
      <c r="AR79" t="s">
        <v>284</v>
      </c>
      <c r="AS79" t="s">
        <v>169</v>
      </c>
      <c r="AT79" t="s">
        <v>146</v>
      </c>
      <c r="AU79" t="s">
        <v>311</v>
      </c>
      <c r="AV79" t="s">
        <v>705</v>
      </c>
      <c r="AW79">
        <v>2025</v>
      </c>
      <c r="AX79">
        <v>20</v>
      </c>
      <c r="AY79">
        <v>11</v>
      </c>
      <c r="AZ79" t="s">
        <v>199</v>
      </c>
    </row>
    <row r="80" spans="1:52" hidden="1" x14ac:dyDescent="0.25">
      <c r="A80" t="s">
        <v>1243</v>
      </c>
      <c r="B80" t="s">
        <v>971</v>
      </c>
      <c r="C80" s="88">
        <v>45860.556130439814</v>
      </c>
      <c r="D80" s="88">
        <v>45860.554155092592</v>
      </c>
      <c r="E80" s="88">
        <v>45860.456824490742</v>
      </c>
      <c r="F80" t="s">
        <v>1132</v>
      </c>
      <c r="G80" t="s">
        <v>742</v>
      </c>
      <c r="H80" s="63">
        <v>45789</v>
      </c>
      <c r="I80" s="86">
        <v>0.27222222222222214</v>
      </c>
      <c r="J80" s="1"/>
      <c r="K80" s="12"/>
      <c r="L80" s="1">
        <v>45789</v>
      </c>
      <c r="M80" s="12">
        <v>0.27627314814814813</v>
      </c>
      <c r="N80" t="s">
        <v>242</v>
      </c>
      <c r="O80" t="s">
        <v>388</v>
      </c>
      <c r="P80" t="s">
        <v>743</v>
      </c>
      <c r="Q80" t="s">
        <v>744</v>
      </c>
      <c r="R80" t="s">
        <v>390</v>
      </c>
      <c r="S80">
        <v>9</v>
      </c>
      <c r="T80" t="s">
        <v>745</v>
      </c>
      <c r="W80" t="s">
        <v>941</v>
      </c>
      <c r="X80" t="s">
        <v>942</v>
      </c>
      <c r="Y80" t="s">
        <v>178</v>
      </c>
      <c r="Z80" t="s">
        <v>161</v>
      </c>
      <c r="AE80" t="s">
        <v>943</v>
      </c>
      <c r="AF80" t="s">
        <v>931</v>
      </c>
      <c r="AG80" t="s">
        <v>163</v>
      </c>
      <c r="AH80" t="s">
        <v>328</v>
      </c>
      <c r="AI80" t="s">
        <v>350</v>
      </c>
      <c r="AJ80" t="s">
        <v>364</v>
      </c>
      <c r="AK80" t="s">
        <v>747</v>
      </c>
      <c r="AL80" s="87">
        <v>9</v>
      </c>
      <c r="AM80" s="63">
        <v>45789</v>
      </c>
      <c r="AN80" s="86">
        <v>0.2722222222222222</v>
      </c>
      <c r="AO80" s="12">
        <v>0.25</v>
      </c>
      <c r="AP80" t="s">
        <v>385</v>
      </c>
      <c r="AQ80" t="s">
        <v>749</v>
      </c>
      <c r="AR80" t="s">
        <v>748</v>
      </c>
      <c r="AS80" t="s">
        <v>169</v>
      </c>
      <c r="AT80" t="s">
        <v>385</v>
      </c>
      <c r="AU80" t="s">
        <v>183</v>
      </c>
      <c r="AV80" t="s">
        <v>705</v>
      </c>
      <c r="AW80">
        <v>2025</v>
      </c>
      <c r="AX80">
        <v>20</v>
      </c>
      <c r="AY80">
        <v>12</v>
      </c>
      <c r="AZ80" t="s">
        <v>749</v>
      </c>
    </row>
    <row r="81" spans="1:52" hidden="1" x14ac:dyDescent="0.25">
      <c r="A81" t="s">
        <v>1243</v>
      </c>
      <c r="B81" t="s">
        <v>971</v>
      </c>
      <c r="C81" s="88">
        <v>45860.556130439814</v>
      </c>
      <c r="D81" s="88">
        <v>45860.554155092592</v>
      </c>
      <c r="E81" s="88">
        <v>45860.456824490742</v>
      </c>
      <c r="F81" t="s">
        <v>1132</v>
      </c>
      <c r="G81" t="s">
        <v>750</v>
      </c>
      <c r="H81" s="63">
        <v>45789</v>
      </c>
      <c r="I81" s="86">
        <v>0.8125</v>
      </c>
      <c r="J81" s="1">
        <v>45789</v>
      </c>
      <c r="K81" s="12">
        <v>0.85069444444444442</v>
      </c>
      <c r="L81" s="1">
        <v>45792</v>
      </c>
      <c r="M81" s="12">
        <v>0.34418981481481481</v>
      </c>
      <c r="N81" t="s">
        <v>154</v>
      </c>
      <c r="Q81" t="s">
        <v>751</v>
      </c>
      <c r="R81" t="s">
        <v>553</v>
      </c>
      <c r="T81" t="s">
        <v>752</v>
      </c>
      <c r="W81" t="s">
        <v>753</v>
      </c>
      <c r="X81" t="s">
        <v>754</v>
      </c>
      <c r="Y81" t="s">
        <v>755</v>
      </c>
      <c r="Z81" t="s">
        <v>161</v>
      </c>
      <c r="AE81" t="s">
        <v>943</v>
      </c>
      <c r="AF81" t="s">
        <v>931</v>
      </c>
      <c r="AG81" t="s">
        <v>525</v>
      </c>
      <c r="AH81" t="s">
        <v>211</v>
      </c>
      <c r="AI81" t="s">
        <v>488</v>
      </c>
      <c r="AJ81" t="s">
        <v>166</v>
      </c>
      <c r="AK81" t="s">
        <v>167</v>
      </c>
      <c r="AL81" s="87">
        <v>9</v>
      </c>
      <c r="AM81" s="63">
        <v>45789</v>
      </c>
      <c r="AN81" s="86">
        <v>0.8125</v>
      </c>
      <c r="AO81" s="12">
        <v>0.79166666666666663</v>
      </c>
      <c r="AP81" t="s">
        <v>266</v>
      </c>
      <c r="AQ81" t="s">
        <v>756</v>
      </c>
      <c r="AR81" t="s">
        <v>154</v>
      </c>
      <c r="AS81" t="s">
        <v>169</v>
      </c>
      <c r="AT81" t="s">
        <v>266</v>
      </c>
      <c r="AU81" t="s">
        <v>183</v>
      </c>
      <c r="AV81" t="s">
        <v>705</v>
      </c>
      <c r="AW81">
        <v>2025</v>
      </c>
      <c r="AX81">
        <v>20</v>
      </c>
      <c r="AY81">
        <v>12</v>
      </c>
      <c r="AZ81" t="s">
        <v>756</v>
      </c>
    </row>
    <row r="82" spans="1:52" hidden="1" x14ac:dyDescent="0.25">
      <c r="A82" t="s">
        <v>1243</v>
      </c>
      <c r="B82" t="s">
        <v>971</v>
      </c>
      <c r="C82" s="88">
        <v>45860.556130439814</v>
      </c>
      <c r="D82" s="88">
        <v>45860.554155092592</v>
      </c>
      <c r="E82" s="88">
        <v>45860.456824490742</v>
      </c>
      <c r="F82" t="s">
        <v>1132</v>
      </c>
      <c r="G82" t="s">
        <v>757</v>
      </c>
      <c r="H82" s="63">
        <v>45789</v>
      </c>
      <c r="I82" s="86">
        <v>0.33333333333333326</v>
      </c>
      <c r="J82" s="1">
        <v>45793</v>
      </c>
      <c r="K82" s="12"/>
      <c r="L82" s="1">
        <v>45793</v>
      </c>
      <c r="M82" s="12">
        <v>0.55564814814814811</v>
      </c>
      <c r="N82" t="s">
        <v>242</v>
      </c>
      <c r="Q82" t="s">
        <v>758</v>
      </c>
      <c r="R82" t="s">
        <v>270</v>
      </c>
      <c r="S82">
        <v>5</v>
      </c>
      <c r="T82" t="s">
        <v>759</v>
      </c>
      <c r="AE82" t="s">
        <v>958</v>
      </c>
      <c r="AF82" t="s">
        <v>931</v>
      </c>
      <c r="AG82" t="s">
        <v>635</v>
      </c>
      <c r="AH82" t="s">
        <v>256</v>
      </c>
      <c r="AI82" t="s">
        <v>350</v>
      </c>
      <c r="AJ82" t="s">
        <v>301</v>
      </c>
      <c r="AK82" t="s">
        <v>246</v>
      </c>
      <c r="AL82" s="87">
        <v>9</v>
      </c>
      <c r="AM82" s="63">
        <v>45789</v>
      </c>
      <c r="AN82" s="86">
        <v>0.33333333333333331</v>
      </c>
      <c r="AO82" s="12">
        <v>0.33333333333333331</v>
      </c>
      <c r="AP82" t="s">
        <v>276</v>
      </c>
      <c r="AQ82" t="s">
        <v>760</v>
      </c>
      <c r="AR82" t="s">
        <v>242</v>
      </c>
      <c r="AS82" t="s">
        <v>169</v>
      </c>
      <c r="AT82" t="s">
        <v>276</v>
      </c>
      <c r="AU82" t="s">
        <v>183</v>
      </c>
      <c r="AV82" t="s">
        <v>705</v>
      </c>
      <c r="AW82">
        <v>2025</v>
      </c>
      <c r="AX82">
        <v>20</v>
      </c>
      <c r="AY82">
        <v>12</v>
      </c>
      <c r="AZ82" t="s">
        <v>760</v>
      </c>
    </row>
    <row r="83" spans="1:52" hidden="1" x14ac:dyDescent="0.25">
      <c r="A83" t="s">
        <v>1243</v>
      </c>
      <c r="B83" t="s">
        <v>971</v>
      </c>
      <c r="C83" s="88">
        <v>45860.556130439814</v>
      </c>
      <c r="D83" s="88">
        <v>45860.554155092592</v>
      </c>
      <c r="E83" s="88">
        <v>45860.456824490742</v>
      </c>
      <c r="F83" t="s">
        <v>1132</v>
      </c>
      <c r="G83" t="s">
        <v>761</v>
      </c>
      <c r="H83" s="63">
        <v>45790</v>
      </c>
      <c r="I83" s="86">
        <v>0.64583333333333326</v>
      </c>
      <c r="J83" s="1"/>
      <c r="K83" s="12"/>
      <c r="L83" s="1">
        <v>45798</v>
      </c>
      <c r="M83" s="12">
        <v>0.58729166666666666</v>
      </c>
      <c r="N83" t="s">
        <v>188</v>
      </c>
      <c r="Q83" t="s">
        <v>762</v>
      </c>
      <c r="R83" t="s">
        <v>251</v>
      </c>
      <c r="S83">
        <v>9</v>
      </c>
      <c r="T83" t="s">
        <v>763</v>
      </c>
      <c r="AE83" t="s">
        <v>946</v>
      </c>
      <c r="AF83" t="s">
        <v>931</v>
      </c>
      <c r="AG83" t="s">
        <v>334</v>
      </c>
      <c r="AH83" t="s">
        <v>164</v>
      </c>
      <c r="AI83" t="s">
        <v>257</v>
      </c>
      <c r="AJ83" t="s">
        <v>320</v>
      </c>
      <c r="AK83" t="s">
        <v>197</v>
      </c>
      <c r="AL83" s="87">
        <v>9</v>
      </c>
      <c r="AM83" s="63">
        <v>45790</v>
      </c>
      <c r="AN83" s="86">
        <v>0.64583333333333337</v>
      </c>
      <c r="AO83" s="12">
        <v>0.625</v>
      </c>
      <c r="AP83" t="s">
        <v>146</v>
      </c>
      <c r="AQ83" t="s">
        <v>764</v>
      </c>
      <c r="AR83" t="s">
        <v>188</v>
      </c>
      <c r="AS83" t="s">
        <v>169</v>
      </c>
      <c r="AT83" t="s">
        <v>146</v>
      </c>
      <c r="AU83" t="s">
        <v>148</v>
      </c>
      <c r="AV83" t="s">
        <v>705</v>
      </c>
      <c r="AW83">
        <v>2025</v>
      </c>
      <c r="AX83">
        <v>20</v>
      </c>
      <c r="AY83">
        <v>13</v>
      </c>
      <c r="AZ83" t="s">
        <v>764</v>
      </c>
    </row>
    <row r="84" spans="1:52" hidden="1" x14ac:dyDescent="0.25">
      <c r="A84" t="s">
        <v>1243</v>
      </c>
      <c r="B84" t="s">
        <v>971</v>
      </c>
      <c r="C84" s="88">
        <v>45860.556130439814</v>
      </c>
      <c r="D84" s="88">
        <v>45860.554155092592</v>
      </c>
      <c r="E84" s="88">
        <v>45860.456824490742</v>
      </c>
      <c r="F84" t="s">
        <v>1132</v>
      </c>
      <c r="G84" t="s">
        <v>765</v>
      </c>
      <c r="H84" s="63">
        <v>45791</v>
      </c>
      <c r="I84" s="86">
        <v>0.46875</v>
      </c>
      <c r="J84" s="1"/>
      <c r="K84" s="12"/>
      <c r="L84" s="1">
        <v>45797</v>
      </c>
      <c r="M84" s="12">
        <v>0.56267361111111114</v>
      </c>
      <c r="N84" t="s">
        <v>174</v>
      </c>
      <c r="O84" t="s">
        <v>295</v>
      </c>
      <c r="Q84" t="s">
        <v>766</v>
      </c>
      <c r="R84" t="s">
        <v>325</v>
      </c>
      <c r="S84">
        <v>8</v>
      </c>
      <c r="T84" t="s">
        <v>767</v>
      </c>
      <c r="W84" t="s">
        <v>768</v>
      </c>
      <c r="AE84" t="s">
        <v>946</v>
      </c>
      <c r="AF84" t="s">
        <v>931</v>
      </c>
      <c r="AG84" t="s">
        <v>334</v>
      </c>
      <c r="AH84" t="s">
        <v>164</v>
      </c>
      <c r="AI84" t="s">
        <v>310</v>
      </c>
      <c r="AJ84" t="s">
        <v>166</v>
      </c>
      <c r="AK84" t="s">
        <v>182</v>
      </c>
      <c r="AL84" s="87">
        <v>9</v>
      </c>
      <c r="AM84" s="63">
        <v>45791</v>
      </c>
      <c r="AN84" s="86">
        <v>0.46875</v>
      </c>
      <c r="AO84" s="12">
        <v>0.45833333333333331</v>
      </c>
      <c r="AP84" t="s">
        <v>276</v>
      </c>
      <c r="AQ84" t="s">
        <v>374</v>
      </c>
      <c r="AR84" t="s">
        <v>302</v>
      </c>
      <c r="AS84" t="s">
        <v>169</v>
      </c>
      <c r="AT84" t="s">
        <v>276</v>
      </c>
      <c r="AU84" t="s">
        <v>239</v>
      </c>
      <c r="AV84" t="s">
        <v>705</v>
      </c>
      <c r="AW84">
        <v>2025</v>
      </c>
      <c r="AX84">
        <v>20</v>
      </c>
      <c r="AY84">
        <v>14</v>
      </c>
      <c r="AZ84" t="s">
        <v>374</v>
      </c>
    </row>
    <row r="85" spans="1:52" hidden="1" x14ac:dyDescent="0.25">
      <c r="A85" t="s">
        <v>1243</v>
      </c>
      <c r="B85" t="s">
        <v>971</v>
      </c>
      <c r="C85" s="88">
        <v>45860.556130439814</v>
      </c>
      <c r="D85" s="88">
        <v>45860.554155092592</v>
      </c>
      <c r="E85" s="88">
        <v>45860.456824490742</v>
      </c>
      <c r="F85" t="s">
        <v>1132</v>
      </c>
      <c r="G85" t="s">
        <v>769</v>
      </c>
      <c r="H85" s="63">
        <v>45795</v>
      </c>
      <c r="I85" s="86">
        <v>0.8125</v>
      </c>
      <c r="J85" s="1"/>
      <c r="K85" s="12"/>
      <c r="L85" s="1">
        <v>45796</v>
      </c>
      <c r="M85" s="12">
        <v>0.81428240740740743</v>
      </c>
      <c r="N85" t="s">
        <v>154</v>
      </c>
      <c r="Q85" t="s">
        <v>770</v>
      </c>
      <c r="R85" t="s">
        <v>251</v>
      </c>
      <c r="S85">
        <v>9</v>
      </c>
      <c r="T85" t="s">
        <v>771</v>
      </c>
      <c r="W85" t="s">
        <v>772</v>
      </c>
      <c r="X85" t="s">
        <v>980</v>
      </c>
      <c r="Y85" t="s">
        <v>773</v>
      </c>
      <c r="Z85" t="s">
        <v>161</v>
      </c>
      <c r="AE85" t="s">
        <v>1006</v>
      </c>
      <c r="AF85" t="s">
        <v>931</v>
      </c>
      <c r="AG85" t="s">
        <v>245</v>
      </c>
      <c r="AH85" t="s">
        <v>142</v>
      </c>
      <c r="AI85" t="s">
        <v>350</v>
      </c>
      <c r="AJ85" t="s">
        <v>181</v>
      </c>
      <c r="AK85" t="s">
        <v>167</v>
      </c>
      <c r="AL85" s="87">
        <v>9</v>
      </c>
      <c r="AM85" s="63">
        <v>45795</v>
      </c>
      <c r="AN85" s="86">
        <v>0.8125</v>
      </c>
      <c r="AO85" s="12">
        <v>0.79166666666666663</v>
      </c>
      <c r="AP85" t="s">
        <v>266</v>
      </c>
      <c r="AQ85" t="s">
        <v>774</v>
      </c>
      <c r="AR85" t="s">
        <v>154</v>
      </c>
      <c r="AS85" t="s">
        <v>169</v>
      </c>
      <c r="AT85" t="s">
        <v>266</v>
      </c>
      <c r="AU85" t="s">
        <v>311</v>
      </c>
      <c r="AV85" t="s">
        <v>705</v>
      </c>
      <c r="AW85">
        <v>2025</v>
      </c>
      <c r="AX85">
        <v>21</v>
      </c>
      <c r="AY85">
        <v>18</v>
      </c>
      <c r="AZ85" t="s">
        <v>774</v>
      </c>
    </row>
    <row r="86" spans="1:52" hidden="1" x14ac:dyDescent="0.25">
      <c r="A86" t="s">
        <v>1243</v>
      </c>
      <c r="B86" t="s">
        <v>971</v>
      </c>
      <c r="C86" s="88">
        <v>45860.556130439814</v>
      </c>
      <c r="D86" s="88">
        <v>45860.554155092592</v>
      </c>
      <c r="E86" s="88">
        <v>45860.456824490742</v>
      </c>
      <c r="F86" t="s">
        <v>1132</v>
      </c>
      <c r="G86" t="s">
        <v>775</v>
      </c>
      <c r="H86" s="63">
        <v>45800</v>
      </c>
      <c r="I86" s="86">
        <v>0.33333333333333326</v>
      </c>
      <c r="J86" s="1">
        <v>45800</v>
      </c>
      <c r="K86" s="12">
        <v>0.66666666666666663</v>
      </c>
      <c r="L86" s="1">
        <v>45805</v>
      </c>
      <c r="M86" s="12">
        <v>0.70393518518518516</v>
      </c>
      <c r="N86" t="s">
        <v>242</v>
      </c>
      <c r="Q86" t="s">
        <v>776</v>
      </c>
      <c r="T86" t="s">
        <v>777</v>
      </c>
      <c r="AE86" t="s">
        <v>946</v>
      </c>
      <c r="AF86" t="s">
        <v>931</v>
      </c>
      <c r="AG86" t="s">
        <v>646</v>
      </c>
      <c r="AH86" t="s">
        <v>328</v>
      </c>
      <c r="AI86" t="s">
        <v>310</v>
      </c>
      <c r="AJ86" t="s">
        <v>166</v>
      </c>
      <c r="AK86" t="s">
        <v>246</v>
      </c>
      <c r="AL86" s="87">
        <v>9</v>
      </c>
      <c r="AM86" s="63">
        <v>45800</v>
      </c>
      <c r="AN86" s="86">
        <v>0.33333333333333331</v>
      </c>
      <c r="AO86" s="12">
        <v>0.33333333333333331</v>
      </c>
      <c r="AP86" t="s">
        <v>276</v>
      </c>
      <c r="AQ86" t="s">
        <v>648</v>
      </c>
      <c r="AR86" t="s">
        <v>242</v>
      </c>
      <c r="AS86" t="s">
        <v>169</v>
      </c>
      <c r="AT86" t="s">
        <v>276</v>
      </c>
      <c r="AU86" t="s">
        <v>170</v>
      </c>
      <c r="AV86" t="s">
        <v>705</v>
      </c>
      <c r="AW86">
        <v>2025</v>
      </c>
      <c r="AX86">
        <v>21</v>
      </c>
      <c r="AY86">
        <v>23</v>
      </c>
      <c r="AZ86" t="s">
        <v>648</v>
      </c>
    </row>
    <row r="87" spans="1:52" hidden="1" x14ac:dyDescent="0.25">
      <c r="A87" t="s">
        <v>1243</v>
      </c>
      <c r="B87" t="s">
        <v>971</v>
      </c>
      <c r="C87" s="88">
        <v>45860.556130439814</v>
      </c>
      <c r="D87" s="88">
        <v>45860.554155092592</v>
      </c>
      <c r="E87" s="88">
        <v>45860.456824490742</v>
      </c>
      <c r="F87" t="s">
        <v>1132</v>
      </c>
      <c r="G87" t="s">
        <v>778</v>
      </c>
      <c r="H87" s="63">
        <v>45801</v>
      </c>
      <c r="I87" s="86">
        <v>0.93333333333333335</v>
      </c>
      <c r="J87" s="1"/>
      <c r="K87" s="12"/>
      <c r="L87" s="1">
        <v>45801</v>
      </c>
      <c r="M87" s="12">
        <v>0.94206018518518519</v>
      </c>
      <c r="N87" t="s">
        <v>242</v>
      </c>
      <c r="O87" t="s">
        <v>556</v>
      </c>
      <c r="P87" t="s">
        <v>779</v>
      </c>
      <c r="Q87" t="s">
        <v>780</v>
      </c>
      <c r="R87" t="s">
        <v>378</v>
      </c>
      <c r="S87">
        <v>5</v>
      </c>
      <c r="T87" t="s">
        <v>781</v>
      </c>
      <c r="AE87" t="s">
        <v>936</v>
      </c>
      <c r="AF87" t="s">
        <v>931</v>
      </c>
      <c r="AG87" t="s">
        <v>562</v>
      </c>
      <c r="AH87" t="s">
        <v>444</v>
      </c>
      <c r="AI87" t="s">
        <v>228</v>
      </c>
      <c r="AJ87" t="s">
        <v>166</v>
      </c>
      <c r="AK87" t="s">
        <v>246</v>
      </c>
      <c r="AL87" s="87">
        <v>9</v>
      </c>
      <c r="AM87" s="63">
        <v>45801</v>
      </c>
      <c r="AN87" s="86">
        <v>0.93333333333333335</v>
      </c>
      <c r="AO87" s="12">
        <v>0.91666666666666663</v>
      </c>
      <c r="AP87" t="s">
        <v>168</v>
      </c>
      <c r="AQ87" t="s">
        <v>783</v>
      </c>
      <c r="AR87" t="s">
        <v>782</v>
      </c>
      <c r="AS87" t="s">
        <v>169</v>
      </c>
      <c r="AT87" t="s">
        <v>168</v>
      </c>
      <c r="AU87" t="s">
        <v>292</v>
      </c>
      <c r="AV87" t="s">
        <v>705</v>
      </c>
      <c r="AW87">
        <v>2025</v>
      </c>
      <c r="AX87">
        <v>21</v>
      </c>
      <c r="AY87">
        <v>24</v>
      </c>
      <c r="AZ87" t="s">
        <v>783</v>
      </c>
    </row>
    <row r="88" spans="1:52" hidden="1" x14ac:dyDescent="0.25">
      <c r="A88" t="s">
        <v>1243</v>
      </c>
      <c r="B88" t="s">
        <v>971</v>
      </c>
      <c r="C88" s="88">
        <v>45860.556130439814</v>
      </c>
      <c r="D88" s="88">
        <v>45860.554155092592</v>
      </c>
      <c r="E88" s="88">
        <v>45860.456824490742</v>
      </c>
      <c r="F88" t="s">
        <v>1132</v>
      </c>
      <c r="G88" t="s">
        <v>784</v>
      </c>
      <c r="H88" s="63">
        <v>45802</v>
      </c>
      <c r="I88" s="86">
        <v>0.23958333333333326</v>
      </c>
      <c r="J88" s="1"/>
      <c r="K88" s="12">
        <v>0.29166666666666669</v>
      </c>
      <c r="L88" s="1">
        <v>45802</v>
      </c>
      <c r="M88" s="12">
        <v>0.36920138888888887</v>
      </c>
      <c r="N88" t="s">
        <v>367</v>
      </c>
      <c r="Q88" t="s">
        <v>785</v>
      </c>
      <c r="R88" t="s">
        <v>414</v>
      </c>
      <c r="S88">
        <v>7</v>
      </c>
      <c r="T88" t="s">
        <v>786</v>
      </c>
      <c r="AE88" t="s">
        <v>1000</v>
      </c>
      <c r="AF88" t="s">
        <v>931</v>
      </c>
      <c r="AG88" t="s">
        <v>787</v>
      </c>
      <c r="AH88" t="s">
        <v>542</v>
      </c>
      <c r="AI88" t="s">
        <v>350</v>
      </c>
      <c r="AJ88" t="s">
        <v>320</v>
      </c>
      <c r="AK88" t="s">
        <v>246</v>
      </c>
      <c r="AL88" s="87">
        <v>9</v>
      </c>
      <c r="AM88" s="63">
        <v>45802</v>
      </c>
      <c r="AN88" s="86">
        <v>0.23958333333333334</v>
      </c>
      <c r="AO88" s="12">
        <v>0.20833333333333334</v>
      </c>
      <c r="AP88" t="s">
        <v>385</v>
      </c>
      <c r="AQ88" t="s">
        <v>184</v>
      </c>
      <c r="AR88" t="s">
        <v>367</v>
      </c>
      <c r="AS88" t="s">
        <v>169</v>
      </c>
      <c r="AT88" t="s">
        <v>385</v>
      </c>
      <c r="AU88" t="s">
        <v>311</v>
      </c>
      <c r="AV88" t="s">
        <v>705</v>
      </c>
      <c r="AW88">
        <v>2025</v>
      </c>
      <c r="AX88">
        <v>22</v>
      </c>
      <c r="AY88">
        <v>25</v>
      </c>
      <c r="AZ88" t="s">
        <v>184</v>
      </c>
    </row>
    <row r="89" spans="1:52" hidden="1" x14ac:dyDescent="0.25">
      <c r="A89" t="s">
        <v>1243</v>
      </c>
      <c r="B89" t="s">
        <v>971</v>
      </c>
      <c r="C89" s="88">
        <v>45860.556130439814</v>
      </c>
      <c r="D89" s="88">
        <v>45860.554155092592</v>
      </c>
      <c r="E89" s="88">
        <v>45860.456824490742</v>
      </c>
      <c r="F89" t="s">
        <v>1132</v>
      </c>
      <c r="G89" t="s">
        <v>788</v>
      </c>
      <c r="H89" s="63">
        <v>45802</v>
      </c>
      <c r="I89" s="86">
        <v>0.76041666666666674</v>
      </c>
      <c r="J89" s="1"/>
      <c r="K89" s="12"/>
      <c r="L89" s="1">
        <v>45802</v>
      </c>
      <c r="M89" s="12">
        <v>0.76521990740740742</v>
      </c>
      <c r="N89" t="s">
        <v>242</v>
      </c>
      <c r="O89" t="s">
        <v>219</v>
      </c>
      <c r="P89" t="s">
        <v>347</v>
      </c>
      <c r="Q89" t="s">
        <v>789</v>
      </c>
      <c r="R89" t="s">
        <v>378</v>
      </c>
      <c r="S89">
        <v>5</v>
      </c>
      <c r="T89" t="s">
        <v>790</v>
      </c>
      <c r="AE89" t="s">
        <v>936</v>
      </c>
      <c r="AF89" t="s">
        <v>931</v>
      </c>
      <c r="AG89" t="s">
        <v>309</v>
      </c>
      <c r="AH89" t="s">
        <v>444</v>
      </c>
      <c r="AI89" t="s">
        <v>228</v>
      </c>
      <c r="AJ89" t="s">
        <v>166</v>
      </c>
      <c r="AK89" t="s">
        <v>246</v>
      </c>
      <c r="AL89" s="87">
        <v>9</v>
      </c>
      <c r="AM89" s="63">
        <v>45802</v>
      </c>
      <c r="AN89" s="86">
        <v>0.76041666666666663</v>
      </c>
      <c r="AO89" s="12">
        <v>0.75</v>
      </c>
      <c r="AP89" t="s">
        <v>266</v>
      </c>
      <c r="AQ89" t="s">
        <v>792</v>
      </c>
      <c r="AR89" t="s">
        <v>791</v>
      </c>
      <c r="AS89" t="s">
        <v>169</v>
      </c>
      <c r="AT89" t="s">
        <v>266</v>
      </c>
      <c r="AU89" t="s">
        <v>311</v>
      </c>
      <c r="AV89" t="s">
        <v>705</v>
      </c>
      <c r="AW89">
        <v>2025</v>
      </c>
      <c r="AX89">
        <v>22</v>
      </c>
      <c r="AY89">
        <v>25</v>
      </c>
      <c r="AZ89" t="s">
        <v>792</v>
      </c>
    </row>
    <row r="90" spans="1:52" hidden="1" x14ac:dyDescent="0.25">
      <c r="A90" t="s">
        <v>1243</v>
      </c>
      <c r="B90" t="s">
        <v>971</v>
      </c>
      <c r="C90" s="88">
        <v>45860.556130439814</v>
      </c>
      <c r="D90" s="88">
        <v>45860.554155092592</v>
      </c>
      <c r="E90" s="88">
        <v>45860.456824490742</v>
      </c>
      <c r="F90" t="s">
        <v>1132</v>
      </c>
      <c r="G90" t="s">
        <v>793</v>
      </c>
      <c r="H90" s="63">
        <v>45804</v>
      </c>
      <c r="I90" s="86">
        <v>0.9770833333333333</v>
      </c>
      <c r="J90" s="1"/>
      <c r="K90" s="12"/>
      <c r="L90" s="1">
        <v>45803</v>
      </c>
      <c r="M90" s="12">
        <v>0.98570601851851847</v>
      </c>
      <c r="N90" t="s">
        <v>206</v>
      </c>
      <c r="O90" t="s">
        <v>779</v>
      </c>
      <c r="P90" t="s">
        <v>794</v>
      </c>
      <c r="Q90" t="s">
        <v>795</v>
      </c>
      <c r="R90" t="s">
        <v>270</v>
      </c>
      <c r="S90">
        <v>5</v>
      </c>
      <c r="T90" t="s">
        <v>796</v>
      </c>
      <c r="AE90" t="s">
        <v>930</v>
      </c>
      <c r="AF90" t="s">
        <v>931</v>
      </c>
      <c r="AG90" t="s">
        <v>443</v>
      </c>
      <c r="AH90" t="s">
        <v>444</v>
      </c>
      <c r="AI90" t="s">
        <v>275</v>
      </c>
      <c r="AJ90" t="s">
        <v>166</v>
      </c>
      <c r="AK90" t="s">
        <v>213</v>
      </c>
      <c r="AL90" s="87">
        <v>9</v>
      </c>
      <c r="AM90" s="63">
        <v>45804</v>
      </c>
      <c r="AN90" s="86">
        <v>0.9770833333333333</v>
      </c>
      <c r="AO90" s="12">
        <v>0.95833333333333337</v>
      </c>
      <c r="AP90" t="s">
        <v>168</v>
      </c>
      <c r="AQ90" t="s">
        <v>731</v>
      </c>
      <c r="AR90" t="s">
        <v>797</v>
      </c>
      <c r="AS90" t="s">
        <v>169</v>
      </c>
      <c r="AT90" t="s">
        <v>168</v>
      </c>
      <c r="AU90" t="s">
        <v>148</v>
      </c>
      <c r="AV90" t="s">
        <v>705</v>
      </c>
      <c r="AW90">
        <v>2025</v>
      </c>
      <c r="AX90">
        <v>22</v>
      </c>
      <c r="AY90">
        <v>27</v>
      </c>
      <c r="AZ90" t="s">
        <v>731</v>
      </c>
    </row>
    <row r="91" spans="1:52" hidden="1" x14ac:dyDescent="0.25">
      <c r="A91" t="s">
        <v>1243</v>
      </c>
      <c r="B91" t="s">
        <v>971</v>
      </c>
      <c r="C91" s="88">
        <v>45860.556130439814</v>
      </c>
      <c r="D91" s="88">
        <v>45860.554155092592</v>
      </c>
      <c r="E91" s="88">
        <v>45860.456824490742</v>
      </c>
      <c r="F91" t="s">
        <v>1132</v>
      </c>
      <c r="G91" t="s">
        <v>798</v>
      </c>
      <c r="H91" s="63">
        <v>45806</v>
      </c>
      <c r="I91" s="86">
        <v>0.15972222222222232</v>
      </c>
      <c r="J91" s="1"/>
      <c r="K91" s="12"/>
      <c r="L91" s="1">
        <v>45806</v>
      </c>
      <c r="M91" s="12">
        <v>0.16469907407407408</v>
      </c>
      <c r="N91" t="s">
        <v>206</v>
      </c>
      <c r="Q91" t="s">
        <v>799</v>
      </c>
      <c r="R91" t="s">
        <v>138</v>
      </c>
      <c r="S91">
        <v>8</v>
      </c>
      <c r="T91" t="s">
        <v>800</v>
      </c>
      <c r="AE91" t="s">
        <v>964</v>
      </c>
      <c r="AF91" t="s">
        <v>931</v>
      </c>
      <c r="AG91" t="s">
        <v>801</v>
      </c>
      <c r="AH91" t="s">
        <v>164</v>
      </c>
      <c r="AI91" t="s">
        <v>350</v>
      </c>
      <c r="AJ91" t="s">
        <v>301</v>
      </c>
      <c r="AK91" t="s">
        <v>213</v>
      </c>
      <c r="AL91" s="87">
        <v>9</v>
      </c>
      <c r="AM91" s="63">
        <v>45806</v>
      </c>
      <c r="AN91" s="86">
        <v>0.15972222222222221</v>
      </c>
      <c r="AO91" s="12">
        <v>0.125</v>
      </c>
      <c r="AP91" t="s">
        <v>343</v>
      </c>
      <c r="AQ91" t="s">
        <v>802</v>
      </c>
      <c r="AR91" t="s">
        <v>206</v>
      </c>
      <c r="AS91" t="s">
        <v>169</v>
      </c>
      <c r="AT91" t="s">
        <v>343</v>
      </c>
      <c r="AU91" t="s">
        <v>247</v>
      </c>
      <c r="AV91" t="s">
        <v>705</v>
      </c>
      <c r="AW91">
        <v>2025</v>
      </c>
      <c r="AX91">
        <v>22</v>
      </c>
      <c r="AY91">
        <v>29</v>
      </c>
      <c r="AZ91" t="s">
        <v>802</v>
      </c>
    </row>
    <row r="92" spans="1:52" hidden="1" x14ac:dyDescent="0.25">
      <c r="A92" t="s">
        <v>1243</v>
      </c>
      <c r="B92" t="s">
        <v>971</v>
      </c>
      <c r="C92" s="88">
        <v>45860.556130439814</v>
      </c>
      <c r="D92" s="88">
        <v>45860.554155092592</v>
      </c>
      <c r="E92" s="88">
        <v>45860.456824490742</v>
      </c>
      <c r="F92" t="s">
        <v>1132</v>
      </c>
      <c r="G92" t="s">
        <v>803</v>
      </c>
      <c r="H92" s="63">
        <v>45809</v>
      </c>
      <c r="I92" s="86">
        <v>0.5</v>
      </c>
      <c r="J92" s="1"/>
      <c r="K92" s="12"/>
      <c r="L92" s="1">
        <v>45812</v>
      </c>
      <c r="M92" s="12">
        <v>0.3739351851851852</v>
      </c>
      <c r="N92" t="s">
        <v>136</v>
      </c>
      <c r="O92" t="s">
        <v>804</v>
      </c>
      <c r="P92" t="s">
        <v>166</v>
      </c>
      <c r="Q92" t="s">
        <v>805</v>
      </c>
      <c r="R92" t="s">
        <v>191</v>
      </c>
      <c r="S92">
        <v>7</v>
      </c>
      <c r="T92" t="s">
        <v>806</v>
      </c>
      <c r="AE92" t="s">
        <v>932</v>
      </c>
      <c r="AF92" t="s">
        <v>931</v>
      </c>
      <c r="AG92" t="s">
        <v>228</v>
      </c>
      <c r="AH92" t="s">
        <v>282</v>
      </c>
      <c r="AI92" t="s">
        <v>228</v>
      </c>
      <c r="AJ92" t="s">
        <v>166</v>
      </c>
      <c r="AK92" t="s">
        <v>807</v>
      </c>
      <c r="AL92" s="87">
        <v>9</v>
      </c>
      <c r="AM92" s="63">
        <v>45809</v>
      </c>
      <c r="AN92" s="86">
        <v>0.5</v>
      </c>
      <c r="AO92" s="12">
        <v>0.5</v>
      </c>
      <c r="AP92" t="s">
        <v>146</v>
      </c>
      <c r="AQ92" t="s">
        <v>627</v>
      </c>
      <c r="AR92" t="s">
        <v>808</v>
      </c>
      <c r="AS92" t="s">
        <v>169</v>
      </c>
      <c r="AT92" t="s">
        <v>146</v>
      </c>
      <c r="AU92" t="s">
        <v>311</v>
      </c>
      <c r="AV92" t="s">
        <v>149</v>
      </c>
      <c r="AW92">
        <v>2025</v>
      </c>
      <c r="AX92">
        <v>23</v>
      </c>
      <c r="AY92">
        <v>1</v>
      </c>
      <c r="AZ92" t="s">
        <v>627</v>
      </c>
    </row>
    <row r="93" spans="1:52" hidden="1" x14ac:dyDescent="0.25">
      <c r="A93" t="s">
        <v>1243</v>
      </c>
      <c r="B93" t="s">
        <v>971</v>
      </c>
      <c r="C93" s="88">
        <v>45860.556130439814</v>
      </c>
      <c r="D93" s="88">
        <v>45860.554155092592</v>
      </c>
      <c r="E93" s="88">
        <v>45860.456824490742</v>
      </c>
      <c r="F93" t="s">
        <v>1132</v>
      </c>
      <c r="G93" t="s">
        <v>810</v>
      </c>
      <c r="H93" s="63">
        <v>45810</v>
      </c>
      <c r="I93" s="86">
        <v>0.56944444444444442</v>
      </c>
      <c r="J93" s="1">
        <v>45811</v>
      </c>
      <c r="K93" s="12">
        <v>0.25</v>
      </c>
      <c r="L93" s="1">
        <v>45811</v>
      </c>
      <c r="M93" s="12">
        <v>0.25730324074074074</v>
      </c>
      <c r="N93" t="s">
        <v>154</v>
      </c>
      <c r="Q93" t="s">
        <v>811</v>
      </c>
      <c r="R93" t="s">
        <v>812</v>
      </c>
      <c r="S93">
        <v>9</v>
      </c>
      <c r="T93" t="s">
        <v>813</v>
      </c>
      <c r="W93" t="s">
        <v>814</v>
      </c>
      <c r="X93" t="s">
        <v>980</v>
      </c>
      <c r="Y93" t="s">
        <v>815</v>
      </c>
      <c r="Z93" t="s">
        <v>161</v>
      </c>
      <c r="AE93" t="s">
        <v>988</v>
      </c>
      <c r="AF93" t="s">
        <v>931</v>
      </c>
      <c r="AG93" t="s">
        <v>141</v>
      </c>
      <c r="AH93" t="s">
        <v>142</v>
      </c>
      <c r="AI93" t="s">
        <v>488</v>
      </c>
      <c r="AJ93" t="s">
        <v>166</v>
      </c>
      <c r="AK93" t="s">
        <v>167</v>
      </c>
      <c r="AL93" s="87">
        <v>9</v>
      </c>
      <c r="AM93" s="63">
        <v>45810</v>
      </c>
      <c r="AN93" s="86">
        <v>0.56944444444444442</v>
      </c>
      <c r="AO93" s="12">
        <v>0.54166666666666663</v>
      </c>
      <c r="AP93" t="s">
        <v>146</v>
      </c>
      <c r="AQ93" t="s">
        <v>816</v>
      </c>
      <c r="AR93" t="s">
        <v>154</v>
      </c>
      <c r="AS93" t="s">
        <v>169</v>
      </c>
      <c r="AT93" t="s">
        <v>146</v>
      </c>
      <c r="AU93" t="s">
        <v>183</v>
      </c>
      <c r="AV93" t="s">
        <v>149</v>
      </c>
      <c r="AW93">
        <v>2025</v>
      </c>
      <c r="AX93">
        <v>23</v>
      </c>
      <c r="AY93">
        <v>2</v>
      </c>
      <c r="AZ93" t="s">
        <v>816</v>
      </c>
    </row>
    <row r="94" spans="1:52" hidden="1" x14ac:dyDescent="0.25">
      <c r="A94" t="s">
        <v>1243</v>
      </c>
      <c r="B94" t="s">
        <v>971</v>
      </c>
      <c r="C94" s="88">
        <v>45860.556130439814</v>
      </c>
      <c r="D94" s="88">
        <v>45860.554155092592</v>
      </c>
      <c r="E94" s="88">
        <v>45860.456824490742</v>
      </c>
      <c r="F94" t="s">
        <v>1132</v>
      </c>
      <c r="G94" t="s">
        <v>817</v>
      </c>
      <c r="H94" s="63">
        <v>45811</v>
      </c>
      <c r="I94" s="86">
        <v>0.81298611111111119</v>
      </c>
      <c r="J94" s="1"/>
      <c r="K94" s="12"/>
      <c r="L94" s="1">
        <v>45811</v>
      </c>
      <c r="M94" s="12">
        <v>0.81298611111111108</v>
      </c>
      <c r="N94" t="s">
        <v>154</v>
      </c>
      <c r="Q94" t="s">
        <v>818</v>
      </c>
      <c r="R94" t="s">
        <v>414</v>
      </c>
      <c r="S94">
        <v>7</v>
      </c>
      <c r="T94" t="s">
        <v>819</v>
      </c>
      <c r="W94" t="s">
        <v>820</v>
      </c>
      <c r="X94" t="s">
        <v>821</v>
      </c>
      <c r="Y94" t="s">
        <v>822</v>
      </c>
      <c r="Z94" t="s">
        <v>161</v>
      </c>
      <c r="AE94" t="s">
        <v>992</v>
      </c>
      <c r="AF94" t="s">
        <v>931</v>
      </c>
      <c r="AG94" t="s">
        <v>554</v>
      </c>
      <c r="AH94" t="s">
        <v>256</v>
      </c>
      <c r="AI94" t="s">
        <v>257</v>
      </c>
      <c r="AJ94" t="s">
        <v>166</v>
      </c>
      <c r="AK94" t="s">
        <v>167</v>
      </c>
      <c r="AL94" s="87">
        <v>9</v>
      </c>
      <c r="AM94" s="63">
        <v>45811</v>
      </c>
      <c r="AN94" s="86">
        <v>0.81298611111111108</v>
      </c>
      <c r="AO94" s="12">
        <v>0.79166666666666663</v>
      </c>
      <c r="AP94" t="s">
        <v>266</v>
      </c>
      <c r="AQ94" t="s">
        <v>666</v>
      </c>
      <c r="AR94" t="s">
        <v>154</v>
      </c>
      <c r="AS94" t="s">
        <v>169</v>
      </c>
      <c r="AT94" t="s">
        <v>266</v>
      </c>
      <c r="AU94" t="s">
        <v>148</v>
      </c>
      <c r="AV94" t="s">
        <v>149</v>
      </c>
      <c r="AW94">
        <v>2025</v>
      </c>
      <c r="AX94">
        <v>23</v>
      </c>
      <c r="AY94">
        <v>3</v>
      </c>
      <c r="AZ94" t="s">
        <v>666</v>
      </c>
    </row>
    <row r="95" spans="1:52" hidden="1" x14ac:dyDescent="0.25">
      <c r="A95" t="s">
        <v>1243</v>
      </c>
      <c r="B95" t="s">
        <v>971</v>
      </c>
      <c r="C95" s="88">
        <v>45860.556130439814</v>
      </c>
      <c r="D95" s="88">
        <v>45860.554155092592</v>
      </c>
      <c r="E95" s="88">
        <v>45860.456824490742</v>
      </c>
      <c r="F95" t="s">
        <v>1132</v>
      </c>
      <c r="G95" t="s">
        <v>823</v>
      </c>
      <c r="H95" s="63">
        <v>45813</v>
      </c>
      <c r="I95" s="86">
        <v>0.28472222222222232</v>
      </c>
      <c r="J95" s="1"/>
      <c r="K95" s="12"/>
      <c r="L95" s="1">
        <v>45813</v>
      </c>
      <c r="M95" s="12">
        <v>0.28687499999999999</v>
      </c>
      <c r="N95" t="s">
        <v>174</v>
      </c>
      <c r="O95" t="s">
        <v>556</v>
      </c>
      <c r="Q95" t="s">
        <v>824</v>
      </c>
      <c r="R95" t="s">
        <v>338</v>
      </c>
      <c r="S95">
        <v>6</v>
      </c>
      <c r="T95" t="s">
        <v>825</v>
      </c>
      <c r="W95" t="s">
        <v>826</v>
      </c>
      <c r="X95" t="s">
        <v>1010</v>
      </c>
      <c r="Y95" t="s">
        <v>828</v>
      </c>
      <c r="Z95" t="s">
        <v>161</v>
      </c>
      <c r="AE95" t="s">
        <v>930</v>
      </c>
      <c r="AF95" t="s">
        <v>931</v>
      </c>
      <c r="AG95" t="s">
        <v>393</v>
      </c>
      <c r="AH95" t="s">
        <v>384</v>
      </c>
      <c r="AI95" t="s">
        <v>228</v>
      </c>
      <c r="AJ95" t="s">
        <v>166</v>
      </c>
      <c r="AK95" t="s">
        <v>182</v>
      </c>
      <c r="AL95" s="87">
        <v>9</v>
      </c>
      <c r="AM95" s="63">
        <v>45813</v>
      </c>
      <c r="AN95" s="86">
        <v>0.28472222222222221</v>
      </c>
      <c r="AO95" s="12">
        <v>0.25</v>
      </c>
      <c r="AP95" t="s">
        <v>385</v>
      </c>
      <c r="AQ95" t="s">
        <v>830</v>
      </c>
      <c r="AR95" t="s">
        <v>829</v>
      </c>
      <c r="AS95" t="s">
        <v>169</v>
      </c>
      <c r="AT95" t="s">
        <v>385</v>
      </c>
      <c r="AU95" t="s">
        <v>247</v>
      </c>
      <c r="AV95" t="s">
        <v>149</v>
      </c>
      <c r="AW95">
        <v>2025</v>
      </c>
      <c r="AX95">
        <v>23</v>
      </c>
      <c r="AY95">
        <v>5</v>
      </c>
      <c r="AZ95" t="s">
        <v>830</v>
      </c>
    </row>
    <row r="96" spans="1:52" hidden="1" x14ac:dyDescent="0.25">
      <c r="A96" t="s">
        <v>1243</v>
      </c>
      <c r="B96" t="s">
        <v>971</v>
      </c>
      <c r="C96" s="88">
        <v>45860.556130439814</v>
      </c>
      <c r="D96" s="88">
        <v>45860.554155092592</v>
      </c>
      <c r="E96" s="88">
        <v>45860.456824490742</v>
      </c>
      <c r="F96" t="s">
        <v>1132</v>
      </c>
      <c r="G96" t="s">
        <v>831</v>
      </c>
      <c r="H96" s="63">
        <v>45813</v>
      </c>
      <c r="I96" s="86">
        <v>0.28194444444444455</v>
      </c>
      <c r="J96" s="1"/>
      <c r="K96" s="12"/>
      <c r="L96" s="1">
        <v>45813</v>
      </c>
      <c r="M96" s="12">
        <v>0.28289351851851852</v>
      </c>
      <c r="N96" t="s">
        <v>174</v>
      </c>
      <c r="O96" t="s">
        <v>556</v>
      </c>
      <c r="Q96" t="s">
        <v>832</v>
      </c>
      <c r="R96" t="s">
        <v>553</v>
      </c>
      <c r="S96">
        <v>7</v>
      </c>
      <c r="T96" t="s">
        <v>833</v>
      </c>
      <c r="W96" t="s">
        <v>834</v>
      </c>
      <c r="X96" t="s">
        <v>1010</v>
      </c>
      <c r="Y96" t="s">
        <v>828</v>
      </c>
      <c r="Z96" t="s">
        <v>835</v>
      </c>
      <c r="AE96" t="s">
        <v>930</v>
      </c>
      <c r="AF96" t="s">
        <v>931</v>
      </c>
      <c r="AG96" t="s">
        <v>265</v>
      </c>
      <c r="AH96" t="s">
        <v>164</v>
      </c>
      <c r="AI96" t="s">
        <v>228</v>
      </c>
      <c r="AJ96" t="s">
        <v>166</v>
      </c>
      <c r="AK96" t="s">
        <v>167</v>
      </c>
      <c r="AL96" s="87">
        <v>9</v>
      </c>
      <c r="AM96" s="63">
        <v>45813</v>
      </c>
      <c r="AN96" s="86">
        <v>0.28194444444444444</v>
      </c>
      <c r="AO96" s="12">
        <v>0.25</v>
      </c>
      <c r="AP96" t="s">
        <v>385</v>
      </c>
      <c r="AQ96" t="s">
        <v>836</v>
      </c>
      <c r="AR96" t="s">
        <v>829</v>
      </c>
      <c r="AS96" t="s">
        <v>169</v>
      </c>
      <c r="AT96" t="s">
        <v>385</v>
      </c>
      <c r="AU96" t="s">
        <v>247</v>
      </c>
      <c r="AV96" t="s">
        <v>149</v>
      </c>
      <c r="AW96">
        <v>2025</v>
      </c>
      <c r="AX96">
        <v>23</v>
      </c>
      <c r="AY96">
        <v>5</v>
      </c>
      <c r="AZ96" t="s">
        <v>836</v>
      </c>
    </row>
    <row r="97" spans="1:52" hidden="1" x14ac:dyDescent="0.25">
      <c r="A97" t="s">
        <v>1243</v>
      </c>
      <c r="B97" t="s">
        <v>971</v>
      </c>
      <c r="C97" s="88">
        <v>45860.556130439814</v>
      </c>
      <c r="D97" s="88">
        <v>45860.554155092592</v>
      </c>
      <c r="E97" s="88">
        <v>45860.456824490742</v>
      </c>
      <c r="F97" t="s">
        <v>1132</v>
      </c>
      <c r="G97" t="s">
        <v>837</v>
      </c>
      <c r="H97" s="63">
        <v>45815</v>
      </c>
      <c r="I97" s="86">
        <v>0.35416666666666674</v>
      </c>
      <c r="J97" s="1">
        <v>45815</v>
      </c>
      <c r="K97" s="12">
        <v>0.71458333333333335</v>
      </c>
      <c r="L97" s="1">
        <v>45815</v>
      </c>
      <c r="M97" s="12">
        <v>0.71855324074074078</v>
      </c>
      <c r="N97" t="s">
        <v>174</v>
      </c>
      <c r="O97" t="s">
        <v>556</v>
      </c>
      <c r="Q97" t="s">
        <v>491</v>
      </c>
      <c r="R97" t="s">
        <v>221</v>
      </c>
      <c r="S97">
        <v>9</v>
      </c>
      <c r="T97" t="s">
        <v>838</v>
      </c>
      <c r="W97" t="s">
        <v>839</v>
      </c>
      <c r="X97" t="s">
        <v>961</v>
      </c>
      <c r="Y97" t="s">
        <v>840</v>
      </c>
      <c r="Z97" t="s">
        <v>161</v>
      </c>
      <c r="AE97" t="s">
        <v>946</v>
      </c>
      <c r="AF97" t="s">
        <v>931</v>
      </c>
      <c r="AG97" t="s">
        <v>841</v>
      </c>
      <c r="AH97" t="s">
        <v>384</v>
      </c>
      <c r="AI97" t="s">
        <v>310</v>
      </c>
      <c r="AJ97" t="s">
        <v>166</v>
      </c>
      <c r="AK97" t="s">
        <v>182</v>
      </c>
      <c r="AL97" s="87">
        <v>9</v>
      </c>
      <c r="AM97" s="63">
        <v>45815</v>
      </c>
      <c r="AN97" s="86">
        <v>0.35416666666666669</v>
      </c>
      <c r="AO97" s="12">
        <v>0.33333333333333331</v>
      </c>
      <c r="AP97" t="s">
        <v>276</v>
      </c>
      <c r="AQ97" t="s">
        <v>230</v>
      </c>
      <c r="AR97" t="s">
        <v>829</v>
      </c>
      <c r="AS97" t="s">
        <v>169</v>
      </c>
      <c r="AT97" t="s">
        <v>276</v>
      </c>
      <c r="AU97" t="s">
        <v>292</v>
      </c>
      <c r="AV97" t="s">
        <v>149</v>
      </c>
      <c r="AW97">
        <v>2025</v>
      </c>
      <c r="AX97">
        <v>23</v>
      </c>
      <c r="AY97">
        <v>7</v>
      </c>
      <c r="AZ97" t="s">
        <v>230</v>
      </c>
    </row>
    <row r="98" spans="1:52" hidden="1" x14ac:dyDescent="0.25">
      <c r="A98" t="s">
        <v>1243</v>
      </c>
      <c r="B98" t="s">
        <v>971</v>
      </c>
      <c r="C98" s="88">
        <v>45860.556130439814</v>
      </c>
      <c r="D98" s="88">
        <v>45860.554155092592</v>
      </c>
      <c r="E98" s="88">
        <v>45860.456824490742</v>
      </c>
      <c r="F98" t="s">
        <v>1132</v>
      </c>
      <c r="G98" t="s">
        <v>842</v>
      </c>
      <c r="H98" s="63">
        <v>45816</v>
      </c>
      <c r="I98" s="86">
        <v>6.25E-2</v>
      </c>
      <c r="J98" s="1"/>
      <c r="K98" s="12"/>
      <c r="L98" s="1">
        <v>45816</v>
      </c>
      <c r="M98" s="12">
        <v>0.42436342592592591</v>
      </c>
      <c r="N98" t="s">
        <v>174</v>
      </c>
      <c r="Q98" t="s">
        <v>470</v>
      </c>
      <c r="R98" t="s">
        <v>191</v>
      </c>
      <c r="S98">
        <v>7</v>
      </c>
      <c r="T98" t="s">
        <v>843</v>
      </c>
      <c r="W98" t="s">
        <v>1011</v>
      </c>
      <c r="Y98" t="s">
        <v>773</v>
      </c>
      <c r="Z98" t="s">
        <v>161</v>
      </c>
      <c r="AE98" t="s">
        <v>930</v>
      </c>
      <c r="AF98" t="s">
        <v>931</v>
      </c>
      <c r="AG98" t="s">
        <v>265</v>
      </c>
      <c r="AH98" t="s">
        <v>164</v>
      </c>
      <c r="AI98" t="s">
        <v>228</v>
      </c>
      <c r="AJ98" t="s">
        <v>181</v>
      </c>
      <c r="AK98" t="s">
        <v>182</v>
      </c>
      <c r="AL98" s="87">
        <v>9</v>
      </c>
      <c r="AM98" s="63">
        <v>45816</v>
      </c>
      <c r="AN98" s="86">
        <v>6.25E-2</v>
      </c>
      <c r="AO98" s="12">
        <v>4.1666666666666664E-2</v>
      </c>
      <c r="AP98" t="s">
        <v>343</v>
      </c>
      <c r="AQ98" t="s">
        <v>476</v>
      </c>
      <c r="AR98" t="s">
        <v>174</v>
      </c>
      <c r="AS98" t="s">
        <v>169</v>
      </c>
      <c r="AT98" t="s">
        <v>343</v>
      </c>
      <c r="AU98" t="s">
        <v>311</v>
      </c>
      <c r="AV98" t="s">
        <v>149</v>
      </c>
      <c r="AW98">
        <v>2025</v>
      </c>
      <c r="AX98">
        <v>24</v>
      </c>
      <c r="AY98">
        <v>8</v>
      </c>
      <c r="AZ98" t="s">
        <v>476</v>
      </c>
    </row>
    <row r="99" spans="1:52" hidden="1" x14ac:dyDescent="0.25">
      <c r="A99" t="s">
        <v>1243</v>
      </c>
      <c r="B99" t="s">
        <v>971</v>
      </c>
      <c r="C99" s="88">
        <v>45860.556130439814</v>
      </c>
      <c r="D99" s="88">
        <v>45860.554155092592</v>
      </c>
      <c r="E99" s="88">
        <v>45860.456824490742</v>
      </c>
      <c r="F99" t="s">
        <v>1132</v>
      </c>
      <c r="G99" t="s">
        <v>845</v>
      </c>
      <c r="H99" s="63">
        <v>45816</v>
      </c>
      <c r="I99" s="86">
        <v>0.98263888888888884</v>
      </c>
      <c r="J99" s="1"/>
      <c r="K99" s="12"/>
      <c r="L99" s="1">
        <v>45816</v>
      </c>
      <c r="M99" s="12">
        <v>0.98579861111111111</v>
      </c>
      <c r="N99" t="s">
        <v>206</v>
      </c>
      <c r="Q99" t="s">
        <v>846</v>
      </c>
      <c r="R99" t="s">
        <v>644</v>
      </c>
      <c r="S99">
        <v>7</v>
      </c>
      <c r="T99" t="s">
        <v>847</v>
      </c>
      <c r="AE99" t="s">
        <v>946</v>
      </c>
      <c r="AF99" t="s">
        <v>931</v>
      </c>
      <c r="AG99" t="s">
        <v>848</v>
      </c>
      <c r="AH99" t="s">
        <v>211</v>
      </c>
      <c r="AI99" t="s">
        <v>257</v>
      </c>
      <c r="AJ99" t="s">
        <v>181</v>
      </c>
      <c r="AK99" t="s">
        <v>213</v>
      </c>
      <c r="AL99" s="87">
        <v>9</v>
      </c>
      <c r="AM99" s="63">
        <v>45816</v>
      </c>
      <c r="AN99" s="86">
        <v>0.98263888888888884</v>
      </c>
      <c r="AO99" s="12">
        <v>0.95833333333333337</v>
      </c>
      <c r="AP99" t="s">
        <v>168</v>
      </c>
      <c r="AQ99" t="s">
        <v>648</v>
      </c>
      <c r="AR99" t="s">
        <v>206</v>
      </c>
      <c r="AS99" t="s">
        <v>169</v>
      </c>
      <c r="AT99" t="s">
        <v>168</v>
      </c>
      <c r="AU99" t="s">
        <v>311</v>
      </c>
      <c r="AV99" t="s">
        <v>149</v>
      </c>
      <c r="AW99">
        <v>2025</v>
      </c>
      <c r="AX99">
        <v>24</v>
      </c>
      <c r="AY99">
        <v>8</v>
      </c>
      <c r="AZ99" t="s">
        <v>648</v>
      </c>
    </row>
    <row r="100" spans="1:52" hidden="1" x14ac:dyDescent="0.25">
      <c r="A100" t="s">
        <v>1243</v>
      </c>
      <c r="B100" t="s">
        <v>971</v>
      </c>
      <c r="C100" s="88">
        <v>45860.556130439814</v>
      </c>
      <c r="D100" s="88">
        <v>45860.554155092592</v>
      </c>
      <c r="E100" s="88">
        <v>45860.456824490742</v>
      </c>
      <c r="F100" t="s">
        <v>1132</v>
      </c>
      <c r="G100" t="s">
        <v>849</v>
      </c>
      <c r="H100" s="63">
        <v>45819</v>
      </c>
      <c r="I100" s="86">
        <v>0.18819444444444455</v>
      </c>
      <c r="J100" s="1">
        <v>45819</v>
      </c>
      <c r="K100" s="12">
        <v>0.18888888888888888</v>
      </c>
      <c r="L100" s="1">
        <v>45819</v>
      </c>
      <c r="M100" s="12">
        <v>0.19038194444444445</v>
      </c>
      <c r="N100" t="s">
        <v>154</v>
      </c>
      <c r="Q100" t="s">
        <v>850</v>
      </c>
      <c r="T100" t="s">
        <v>851</v>
      </c>
      <c r="W100" t="s">
        <v>1012</v>
      </c>
      <c r="X100" t="s">
        <v>994</v>
      </c>
      <c r="Y100" t="s">
        <v>853</v>
      </c>
      <c r="Z100" t="s">
        <v>161</v>
      </c>
      <c r="AE100" t="s">
        <v>943</v>
      </c>
      <c r="AF100" t="s">
        <v>931</v>
      </c>
      <c r="AG100" t="s">
        <v>255</v>
      </c>
      <c r="AH100" t="s">
        <v>256</v>
      </c>
      <c r="AI100" t="s">
        <v>310</v>
      </c>
      <c r="AJ100" t="s">
        <v>364</v>
      </c>
      <c r="AK100" t="s">
        <v>167</v>
      </c>
      <c r="AL100" s="87">
        <v>9</v>
      </c>
      <c r="AM100" s="63">
        <v>45819</v>
      </c>
      <c r="AN100" s="86">
        <v>0.18819444444444444</v>
      </c>
      <c r="AO100" s="12">
        <v>0.16666666666666666</v>
      </c>
      <c r="AP100" t="s">
        <v>385</v>
      </c>
      <c r="AQ100" t="s">
        <v>854</v>
      </c>
      <c r="AR100" t="s">
        <v>154</v>
      </c>
      <c r="AS100" t="s">
        <v>169</v>
      </c>
      <c r="AT100" t="s">
        <v>385</v>
      </c>
      <c r="AU100" t="s">
        <v>239</v>
      </c>
      <c r="AV100" t="s">
        <v>149</v>
      </c>
      <c r="AW100">
        <v>2025</v>
      </c>
      <c r="AX100">
        <v>24</v>
      </c>
      <c r="AY100">
        <v>11</v>
      </c>
      <c r="AZ100" t="s">
        <v>854</v>
      </c>
    </row>
    <row r="101" spans="1:52" hidden="1" x14ac:dyDescent="0.25">
      <c r="A101" t="s">
        <v>1243</v>
      </c>
      <c r="B101" t="s">
        <v>971</v>
      </c>
      <c r="C101" s="88">
        <v>45860.556130439814</v>
      </c>
      <c r="D101" s="88">
        <v>45860.554155092592</v>
      </c>
      <c r="E101" s="88">
        <v>45860.456824490742</v>
      </c>
      <c r="F101" t="s">
        <v>1132</v>
      </c>
      <c r="G101" t="s">
        <v>855</v>
      </c>
      <c r="H101" s="63">
        <v>45826</v>
      </c>
      <c r="I101" s="86">
        <v>0.38541666666666674</v>
      </c>
      <c r="J101" s="1">
        <v>45826</v>
      </c>
      <c r="K101" s="12">
        <v>0.41666666666666669</v>
      </c>
      <c r="L101" s="1">
        <v>45826</v>
      </c>
      <c r="M101" s="12">
        <v>0.46486111111111111</v>
      </c>
      <c r="N101" t="s">
        <v>242</v>
      </c>
      <c r="Q101" t="s">
        <v>856</v>
      </c>
      <c r="R101" t="s">
        <v>138</v>
      </c>
      <c r="S101">
        <v>8</v>
      </c>
      <c r="T101" t="s">
        <v>857</v>
      </c>
      <c r="AE101" t="s">
        <v>943</v>
      </c>
      <c r="AF101" t="s">
        <v>931</v>
      </c>
      <c r="AG101" t="s">
        <v>309</v>
      </c>
      <c r="AH101" t="s">
        <v>444</v>
      </c>
      <c r="AI101" t="s">
        <v>310</v>
      </c>
      <c r="AJ101" t="s">
        <v>435</v>
      </c>
      <c r="AK101" t="s">
        <v>246</v>
      </c>
      <c r="AL101" s="87">
        <v>9</v>
      </c>
      <c r="AM101" s="63">
        <v>45826</v>
      </c>
      <c r="AN101" s="86">
        <v>0.38541666666666669</v>
      </c>
      <c r="AO101" s="12">
        <v>0.375</v>
      </c>
      <c r="AP101" t="s">
        <v>276</v>
      </c>
      <c r="AQ101" t="s">
        <v>858</v>
      </c>
      <c r="AR101" t="s">
        <v>242</v>
      </c>
      <c r="AS101" t="s">
        <v>169</v>
      </c>
      <c r="AT101" t="s">
        <v>276</v>
      </c>
      <c r="AU101" t="s">
        <v>239</v>
      </c>
      <c r="AV101" t="s">
        <v>149</v>
      </c>
      <c r="AW101">
        <v>2025</v>
      </c>
      <c r="AX101">
        <v>25</v>
      </c>
      <c r="AY101">
        <v>18</v>
      </c>
      <c r="AZ101" t="s">
        <v>858</v>
      </c>
    </row>
    <row r="102" spans="1:52" hidden="1" x14ac:dyDescent="0.25">
      <c r="A102" t="s">
        <v>1243</v>
      </c>
      <c r="B102" t="s">
        <v>971</v>
      </c>
      <c r="C102" s="88">
        <v>45860.556130439814</v>
      </c>
      <c r="D102" s="88">
        <v>45860.554155092592</v>
      </c>
      <c r="E102" s="88">
        <v>45860.456824490742</v>
      </c>
      <c r="F102" t="s">
        <v>1132</v>
      </c>
      <c r="G102" t="s">
        <v>859</v>
      </c>
      <c r="H102" s="63">
        <v>45827</v>
      </c>
      <c r="I102" s="86">
        <v>0.48124999999999996</v>
      </c>
      <c r="J102" s="1">
        <v>45827</v>
      </c>
      <c r="K102" s="12">
        <v>0.5</v>
      </c>
      <c r="L102" s="1">
        <v>45827</v>
      </c>
      <c r="M102" s="12">
        <v>0.50292824074074072</v>
      </c>
      <c r="N102" t="s">
        <v>206</v>
      </c>
      <c r="O102" t="s">
        <v>726</v>
      </c>
      <c r="P102" t="s">
        <v>388</v>
      </c>
      <c r="Q102" t="s">
        <v>727</v>
      </c>
      <c r="R102" t="s">
        <v>270</v>
      </c>
      <c r="S102">
        <v>5</v>
      </c>
      <c r="T102" t="s">
        <v>860</v>
      </c>
      <c r="W102" t="s">
        <v>861</v>
      </c>
      <c r="X102" t="s">
        <v>947</v>
      </c>
      <c r="Z102" t="s">
        <v>862</v>
      </c>
      <c r="AE102" t="s">
        <v>943</v>
      </c>
      <c r="AF102" t="s">
        <v>931</v>
      </c>
      <c r="AG102" t="s">
        <v>245</v>
      </c>
      <c r="AH102" t="s">
        <v>142</v>
      </c>
      <c r="AI102" t="s">
        <v>534</v>
      </c>
      <c r="AJ102" t="s">
        <v>301</v>
      </c>
      <c r="AK102" t="s">
        <v>213</v>
      </c>
      <c r="AL102" s="87">
        <v>9</v>
      </c>
      <c r="AM102" s="63">
        <v>45827</v>
      </c>
      <c r="AN102" s="86">
        <v>0.48125000000000001</v>
      </c>
      <c r="AO102" s="12">
        <v>0.45833333333333331</v>
      </c>
      <c r="AP102" t="s">
        <v>276</v>
      </c>
      <c r="AQ102" t="s">
        <v>731</v>
      </c>
      <c r="AR102" t="s">
        <v>863</v>
      </c>
      <c r="AS102" t="s">
        <v>169</v>
      </c>
      <c r="AT102" t="s">
        <v>276</v>
      </c>
      <c r="AU102" t="s">
        <v>247</v>
      </c>
      <c r="AV102" t="s">
        <v>149</v>
      </c>
      <c r="AW102">
        <v>2025</v>
      </c>
      <c r="AX102">
        <v>25</v>
      </c>
      <c r="AY102">
        <v>19</v>
      </c>
      <c r="AZ102" t="s">
        <v>731</v>
      </c>
    </row>
    <row r="103" spans="1:52" hidden="1" x14ac:dyDescent="0.25">
      <c r="A103" t="s">
        <v>1243</v>
      </c>
      <c r="B103" t="s">
        <v>971</v>
      </c>
      <c r="C103" s="88">
        <v>45860.556130439814</v>
      </c>
      <c r="D103" s="88">
        <v>45860.554155092592</v>
      </c>
      <c r="E103" s="88">
        <v>45860.456824490742</v>
      </c>
      <c r="F103" t="s">
        <v>1132</v>
      </c>
      <c r="G103" t="s">
        <v>864</v>
      </c>
      <c r="H103" s="63">
        <v>45828</v>
      </c>
      <c r="I103" s="86">
        <v>0.97916666666666674</v>
      </c>
      <c r="J103" s="1">
        <v>45828</v>
      </c>
      <c r="K103" s="12">
        <v>0.375</v>
      </c>
      <c r="L103" s="1">
        <v>45829</v>
      </c>
      <c r="M103" s="12">
        <v>0.39340277777777777</v>
      </c>
      <c r="N103" t="s">
        <v>174</v>
      </c>
      <c r="O103" t="s">
        <v>205</v>
      </c>
      <c r="P103" t="s">
        <v>154</v>
      </c>
      <c r="Q103" t="s">
        <v>865</v>
      </c>
      <c r="R103" t="s">
        <v>138</v>
      </c>
      <c r="S103">
        <v>8</v>
      </c>
      <c r="T103" t="s">
        <v>866</v>
      </c>
      <c r="W103" t="s">
        <v>867</v>
      </c>
      <c r="X103" t="s">
        <v>955</v>
      </c>
      <c r="Y103" t="s">
        <v>868</v>
      </c>
      <c r="Z103" t="s">
        <v>161</v>
      </c>
      <c r="AE103" t="s">
        <v>930</v>
      </c>
      <c r="AF103" t="s">
        <v>931</v>
      </c>
      <c r="AG103" t="s">
        <v>585</v>
      </c>
      <c r="AH103" t="s">
        <v>164</v>
      </c>
      <c r="AI103" t="s">
        <v>228</v>
      </c>
      <c r="AJ103" t="s">
        <v>181</v>
      </c>
      <c r="AK103" t="s">
        <v>167</v>
      </c>
      <c r="AL103" s="87">
        <v>9</v>
      </c>
      <c r="AM103" s="63">
        <v>45828</v>
      </c>
      <c r="AN103" s="86">
        <v>0.97916666666666663</v>
      </c>
      <c r="AO103" s="12">
        <v>0.95833333333333337</v>
      </c>
      <c r="AP103" t="s">
        <v>168</v>
      </c>
      <c r="AQ103" t="s">
        <v>870</v>
      </c>
      <c r="AR103" t="s">
        <v>869</v>
      </c>
      <c r="AS103" t="s">
        <v>169</v>
      </c>
      <c r="AT103" t="s">
        <v>168</v>
      </c>
      <c r="AU103" t="s">
        <v>170</v>
      </c>
      <c r="AV103" t="s">
        <v>149</v>
      </c>
      <c r="AW103">
        <v>2025</v>
      </c>
      <c r="AX103">
        <v>25</v>
      </c>
      <c r="AY103">
        <v>20</v>
      </c>
      <c r="AZ103" t="s">
        <v>870</v>
      </c>
    </row>
    <row r="104" spans="1:52" hidden="1" x14ac:dyDescent="0.25">
      <c r="A104" t="s">
        <v>1243</v>
      </c>
      <c r="B104" t="s">
        <v>971</v>
      </c>
      <c r="C104" s="88">
        <v>45860.556130439814</v>
      </c>
      <c r="D104" s="88">
        <v>45860.554155092592</v>
      </c>
      <c r="E104" s="88">
        <v>45860.456824490742</v>
      </c>
      <c r="F104" t="s">
        <v>1132</v>
      </c>
      <c r="G104" t="s">
        <v>871</v>
      </c>
      <c r="H104" s="63">
        <v>45829</v>
      </c>
      <c r="I104" s="86">
        <v>0.1532986111111112</v>
      </c>
      <c r="J104" s="1"/>
      <c r="K104" s="12"/>
      <c r="L104" s="1">
        <v>45829</v>
      </c>
      <c r="M104" s="12">
        <v>0.15677083333333333</v>
      </c>
      <c r="N104" t="s">
        <v>154</v>
      </c>
      <c r="O104" t="s">
        <v>872</v>
      </c>
      <c r="Q104" t="s">
        <v>873</v>
      </c>
      <c r="T104" t="s">
        <v>874</v>
      </c>
      <c r="W104" t="s">
        <v>1013</v>
      </c>
      <c r="X104" t="s">
        <v>494</v>
      </c>
      <c r="Y104" t="s">
        <v>876</v>
      </c>
      <c r="Z104" t="s">
        <v>161</v>
      </c>
      <c r="AE104" t="s">
        <v>930</v>
      </c>
      <c r="AF104" t="s">
        <v>931</v>
      </c>
      <c r="AG104" t="s">
        <v>787</v>
      </c>
      <c r="AH104" t="s">
        <v>542</v>
      </c>
      <c r="AI104" t="s">
        <v>228</v>
      </c>
      <c r="AJ104" t="s">
        <v>166</v>
      </c>
      <c r="AK104" t="s">
        <v>167</v>
      </c>
      <c r="AL104" s="87">
        <v>9</v>
      </c>
      <c r="AM104" s="63">
        <v>45829</v>
      </c>
      <c r="AN104" s="86">
        <v>0.15329861111111112</v>
      </c>
      <c r="AO104" s="12">
        <v>0.125</v>
      </c>
      <c r="AP104" t="s">
        <v>343</v>
      </c>
      <c r="AQ104" t="s">
        <v>878</v>
      </c>
      <c r="AR104" t="s">
        <v>877</v>
      </c>
      <c r="AS104" t="s">
        <v>169</v>
      </c>
      <c r="AT104" t="s">
        <v>343</v>
      </c>
      <c r="AU104" t="s">
        <v>292</v>
      </c>
      <c r="AV104" t="s">
        <v>149</v>
      </c>
      <c r="AW104">
        <v>2025</v>
      </c>
      <c r="AX104">
        <v>25</v>
      </c>
      <c r="AY104">
        <v>21</v>
      </c>
      <c r="AZ104" t="s">
        <v>878</v>
      </c>
    </row>
    <row r="105" spans="1:52" hidden="1" x14ac:dyDescent="0.25">
      <c r="A105" t="s">
        <v>1243</v>
      </c>
      <c r="B105" t="s">
        <v>971</v>
      </c>
      <c r="C105" s="88">
        <v>45860.556130439814</v>
      </c>
      <c r="D105" s="88">
        <v>45860.554155092592</v>
      </c>
      <c r="E105" s="88">
        <v>45860.456824490742</v>
      </c>
      <c r="F105" t="s">
        <v>1132</v>
      </c>
      <c r="G105" t="s">
        <v>880</v>
      </c>
      <c r="H105" s="63">
        <v>45829</v>
      </c>
      <c r="I105" s="86">
        <v>0.45486111111111116</v>
      </c>
      <c r="J105" s="1"/>
      <c r="K105" s="12"/>
      <c r="L105" s="1">
        <v>45829</v>
      </c>
      <c r="M105" s="12">
        <v>0.46056712962962965</v>
      </c>
      <c r="N105" t="s">
        <v>154</v>
      </c>
      <c r="Q105" t="s">
        <v>881</v>
      </c>
      <c r="R105" t="s">
        <v>358</v>
      </c>
      <c r="S105">
        <v>8</v>
      </c>
      <c r="T105" t="s">
        <v>882</v>
      </c>
      <c r="W105" t="s">
        <v>883</v>
      </c>
      <c r="X105" t="s">
        <v>994</v>
      </c>
      <c r="Y105" t="s">
        <v>884</v>
      </c>
      <c r="Z105" t="s">
        <v>161</v>
      </c>
      <c r="AE105" t="s">
        <v>930</v>
      </c>
      <c r="AF105" t="s">
        <v>931</v>
      </c>
      <c r="AG105" t="s">
        <v>393</v>
      </c>
      <c r="AH105" t="s">
        <v>384</v>
      </c>
      <c r="AI105" t="s">
        <v>275</v>
      </c>
      <c r="AJ105" t="s">
        <v>166</v>
      </c>
      <c r="AK105" t="s">
        <v>167</v>
      </c>
      <c r="AL105" s="87">
        <v>9</v>
      </c>
      <c r="AM105" s="63">
        <v>45829</v>
      </c>
      <c r="AN105" s="86">
        <v>0.4548611111111111</v>
      </c>
      <c r="AO105" s="12">
        <v>0.41666666666666669</v>
      </c>
      <c r="AP105" t="s">
        <v>276</v>
      </c>
      <c r="AQ105" t="s">
        <v>885</v>
      </c>
      <c r="AR105" t="s">
        <v>154</v>
      </c>
      <c r="AS105" t="s">
        <v>169</v>
      </c>
      <c r="AT105" t="s">
        <v>276</v>
      </c>
      <c r="AU105" t="s">
        <v>292</v>
      </c>
      <c r="AV105" t="s">
        <v>149</v>
      </c>
      <c r="AW105">
        <v>2025</v>
      </c>
      <c r="AX105">
        <v>25</v>
      </c>
      <c r="AY105">
        <v>21</v>
      </c>
      <c r="AZ105" t="s">
        <v>885</v>
      </c>
    </row>
    <row r="106" spans="1:52" hidden="1" x14ac:dyDescent="0.25">
      <c r="A106" t="s">
        <v>1243</v>
      </c>
      <c r="B106" t="s">
        <v>971</v>
      </c>
      <c r="C106" s="88">
        <v>45860.556130439814</v>
      </c>
      <c r="D106" s="88">
        <v>45860.554155092592</v>
      </c>
      <c r="E106" s="88">
        <v>45860.456824490742</v>
      </c>
      <c r="F106" t="s">
        <v>1132</v>
      </c>
      <c r="G106" t="s">
        <v>886</v>
      </c>
      <c r="H106" s="63">
        <v>45829</v>
      </c>
      <c r="I106" s="86">
        <v>0.79166666666666674</v>
      </c>
      <c r="J106" s="1">
        <v>45830</v>
      </c>
      <c r="K106" s="12">
        <v>0.45833333333333331</v>
      </c>
      <c r="L106" s="1">
        <v>45830</v>
      </c>
      <c r="M106" s="12">
        <v>0.47619212962962965</v>
      </c>
      <c r="N106" t="s">
        <v>154</v>
      </c>
      <c r="Q106" t="s">
        <v>887</v>
      </c>
      <c r="R106" t="s">
        <v>888</v>
      </c>
      <c r="S106">
        <v>7</v>
      </c>
      <c r="T106" t="s">
        <v>889</v>
      </c>
      <c r="W106" t="s">
        <v>890</v>
      </c>
      <c r="X106" t="s">
        <v>994</v>
      </c>
      <c r="Y106" t="s">
        <v>891</v>
      </c>
      <c r="Z106" t="s">
        <v>892</v>
      </c>
      <c r="AE106" t="s">
        <v>930</v>
      </c>
      <c r="AF106" t="s">
        <v>931</v>
      </c>
      <c r="AG106" t="s">
        <v>801</v>
      </c>
      <c r="AH106" t="s">
        <v>164</v>
      </c>
      <c r="AI106" t="s">
        <v>275</v>
      </c>
      <c r="AJ106" t="s">
        <v>364</v>
      </c>
      <c r="AK106" t="s">
        <v>167</v>
      </c>
      <c r="AL106" s="87">
        <v>9</v>
      </c>
      <c r="AM106" s="63">
        <v>45829</v>
      </c>
      <c r="AN106" s="86">
        <v>0.79166666666666663</v>
      </c>
      <c r="AO106" s="12">
        <v>0.79166666666666663</v>
      </c>
      <c r="AP106" t="s">
        <v>266</v>
      </c>
      <c r="AQ106" t="s">
        <v>893</v>
      </c>
      <c r="AR106" t="s">
        <v>154</v>
      </c>
      <c r="AS106" t="s">
        <v>169</v>
      </c>
      <c r="AT106" t="s">
        <v>266</v>
      </c>
      <c r="AU106" t="s">
        <v>292</v>
      </c>
      <c r="AV106" t="s">
        <v>149</v>
      </c>
      <c r="AW106">
        <v>2025</v>
      </c>
      <c r="AX106">
        <v>25</v>
      </c>
      <c r="AY106">
        <v>21</v>
      </c>
      <c r="AZ106" t="s">
        <v>893</v>
      </c>
    </row>
    <row r="107" spans="1:52" hidden="1" x14ac:dyDescent="0.25">
      <c r="A107" t="s">
        <v>1243</v>
      </c>
      <c r="B107" t="s">
        <v>971</v>
      </c>
      <c r="C107" s="88">
        <v>45860.556130439814</v>
      </c>
      <c r="D107" s="88">
        <v>45860.554155092592</v>
      </c>
      <c r="E107" s="88">
        <v>45860.456824490742</v>
      </c>
      <c r="F107" t="s">
        <v>1132</v>
      </c>
      <c r="G107" t="s">
        <v>894</v>
      </c>
      <c r="H107" s="63">
        <v>45831</v>
      </c>
      <c r="I107" s="86">
        <v>0.33333333333333326</v>
      </c>
      <c r="J107" s="1">
        <v>45834</v>
      </c>
      <c r="K107" s="12">
        <v>0.79166666666666663</v>
      </c>
      <c r="L107" s="1">
        <v>45834</v>
      </c>
      <c r="M107" s="12">
        <v>0.87291666666666667</v>
      </c>
      <c r="N107" t="s">
        <v>242</v>
      </c>
      <c r="O107" t="s">
        <v>295</v>
      </c>
      <c r="Q107" t="s">
        <v>895</v>
      </c>
      <c r="R107" t="s">
        <v>358</v>
      </c>
      <c r="S107">
        <v>8</v>
      </c>
      <c r="T107" t="s">
        <v>896</v>
      </c>
      <c r="AE107" t="s">
        <v>930</v>
      </c>
      <c r="AF107" t="s">
        <v>931</v>
      </c>
      <c r="AG107" t="s">
        <v>635</v>
      </c>
      <c r="AH107" t="s">
        <v>256</v>
      </c>
      <c r="AI107" t="s">
        <v>310</v>
      </c>
      <c r="AJ107" t="s">
        <v>166</v>
      </c>
      <c r="AK107" t="s">
        <v>246</v>
      </c>
      <c r="AL107" s="87">
        <v>9</v>
      </c>
      <c r="AM107" s="63">
        <v>45831</v>
      </c>
      <c r="AN107" s="86">
        <v>0.33333333333333331</v>
      </c>
      <c r="AO107" s="12">
        <v>0.33333333333333331</v>
      </c>
      <c r="AP107" t="s">
        <v>276</v>
      </c>
      <c r="AQ107" t="s">
        <v>885</v>
      </c>
      <c r="AR107" t="s">
        <v>897</v>
      </c>
      <c r="AS107" t="s">
        <v>169</v>
      </c>
      <c r="AT107" t="s">
        <v>276</v>
      </c>
      <c r="AU107" t="s">
        <v>183</v>
      </c>
      <c r="AV107" t="s">
        <v>149</v>
      </c>
      <c r="AW107">
        <v>2025</v>
      </c>
      <c r="AX107">
        <v>26</v>
      </c>
      <c r="AY107">
        <v>23</v>
      </c>
      <c r="AZ107" t="s">
        <v>885</v>
      </c>
    </row>
    <row r="108" spans="1:52" hidden="1" x14ac:dyDescent="0.25">
      <c r="A108" t="s">
        <v>1243</v>
      </c>
      <c r="B108" t="s">
        <v>971</v>
      </c>
      <c r="C108" s="88">
        <v>45860.556130439814</v>
      </c>
      <c r="D108" s="88">
        <v>45860.554155092592</v>
      </c>
      <c r="E108" s="88">
        <v>45860.456824490742</v>
      </c>
      <c r="F108" t="s">
        <v>1132</v>
      </c>
      <c r="G108" t="s">
        <v>898</v>
      </c>
      <c r="H108" s="63">
        <v>45833</v>
      </c>
      <c r="I108" s="86">
        <v>0.54166666666666674</v>
      </c>
      <c r="J108" s="1"/>
      <c r="K108" s="12"/>
      <c r="L108" s="1">
        <v>45833</v>
      </c>
      <c r="M108" s="12">
        <v>0.57819444444444446</v>
      </c>
      <c r="N108" t="s">
        <v>174</v>
      </c>
      <c r="Q108" t="s">
        <v>899</v>
      </c>
      <c r="R108" t="s">
        <v>400</v>
      </c>
      <c r="S108">
        <v>6</v>
      </c>
      <c r="T108" t="s">
        <v>900</v>
      </c>
      <c r="W108" t="s">
        <v>901</v>
      </c>
      <c r="X108" t="s">
        <v>961</v>
      </c>
      <c r="Y108" t="s">
        <v>342</v>
      </c>
      <c r="Z108" t="s">
        <v>161</v>
      </c>
      <c r="AE108" t="s">
        <v>988</v>
      </c>
      <c r="AF108" t="s">
        <v>931</v>
      </c>
      <c r="AG108" t="s">
        <v>417</v>
      </c>
      <c r="AH108" t="s">
        <v>142</v>
      </c>
      <c r="AI108" t="s">
        <v>350</v>
      </c>
      <c r="AJ108" t="s">
        <v>301</v>
      </c>
      <c r="AK108" t="s">
        <v>182</v>
      </c>
      <c r="AL108" s="87">
        <v>9</v>
      </c>
      <c r="AM108" s="63">
        <v>45833</v>
      </c>
      <c r="AN108" s="86">
        <v>0.54166666666666663</v>
      </c>
      <c r="AO108" s="12">
        <v>0.54166666666666663</v>
      </c>
      <c r="AP108" t="s">
        <v>146</v>
      </c>
      <c r="AQ108" t="s">
        <v>902</v>
      </c>
      <c r="AR108" t="s">
        <v>174</v>
      </c>
      <c r="AS108" t="s">
        <v>948</v>
      </c>
      <c r="AT108" t="s">
        <v>146</v>
      </c>
      <c r="AU108" t="s">
        <v>239</v>
      </c>
      <c r="AV108" t="s">
        <v>149</v>
      </c>
      <c r="AW108">
        <v>2025</v>
      </c>
      <c r="AX108">
        <v>26</v>
      </c>
      <c r="AY108">
        <v>25</v>
      </c>
      <c r="AZ108" t="s">
        <v>902</v>
      </c>
    </row>
    <row r="109" spans="1:52" hidden="1" x14ac:dyDescent="0.25">
      <c r="A109" t="s">
        <v>1243</v>
      </c>
      <c r="B109" t="s">
        <v>971</v>
      </c>
      <c r="C109" s="88">
        <v>45860.556130439814</v>
      </c>
      <c r="D109" s="88">
        <v>45860.554155092592</v>
      </c>
      <c r="E109" s="88">
        <v>45860.456824490742</v>
      </c>
      <c r="F109" t="s">
        <v>1132</v>
      </c>
      <c r="G109" t="s">
        <v>903</v>
      </c>
      <c r="H109" s="63">
        <v>45835</v>
      </c>
      <c r="I109" s="86">
        <v>0.59593750000000001</v>
      </c>
      <c r="J109" s="1"/>
      <c r="K109" s="12"/>
      <c r="L109" s="1">
        <v>45835</v>
      </c>
      <c r="M109" s="12">
        <v>0.59593750000000001</v>
      </c>
      <c r="N109" t="s">
        <v>242</v>
      </c>
      <c r="Q109" t="s">
        <v>577</v>
      </c>
      <c r="R109" t="s">
        <v>414</v>
      </c>
      <c r="S109">
        <v>7</v>
      </c>
      <c r="T109" t="s">
        <v>904</v>
      </c>
      <c r="AE109" t="s">
        <v>1006</v>
      </c>
      <c r="AF109" t="s">
        <v>931</v>
      </c>
      <c r="AG109" t="s">
        <v>141</v>
      </c>
      <c r="AH109" t="s">
        <v>142</v>
      </c>
      <c r="AI109" t="s">
        <v>534</v>
      </c>
      <c r="AJ109" t="s">
        <v>435</v>
      </c>
      <c r="AK109" t="s">
        <v>246</v>
      </c>
      <c r="AL109" s="87">
        <v>9</v>
      </c>
      <c r="AM109" s="63">
        <v>45835</v>
      </c>
      <c r="AN109" s="86">
        <v>0.59593750000000001</v>
      </c>
      <c r="AO109" s="12">
        <v>0.58333333333333337</v>
      </c>
      <c r="AP109" t="s">
        <v>146</v>
      </c>
      <c r="AQ109" t="s">
        <v>184</v>
      </c>
      <c r="AR109" t="s">
        <v>242</v>
      </c>
      <c r="AS109" t="s">
        <v>948</v>
      </c>
      <c r="AT109" t="s">
        <v>146</v>
      </c>
      <c r="AU109" t="s">
        <v>170</v>
      </c>
      <c r="AV109" t="s">
        <v>149</v>
      </c>
      <c r="AW109">
        <v>2025</v>
      </c>
      <c r="AX109">
        <v>26</v>
      </c>
      <c r="AY109">
        <v>27</v>
      </c>
      <c r="AZ109" t="s">
        <v>184</v>
      </c>
    </row>
    <row r="110" spans="1:52" hidden="1" x14ac:dyDescent="0.25">
      <c r="A110" t="s">
        <v>1243</v>
      </c>
      <c r="B110" t="s">
        <v>971</v>
      </c>
      <c r="C110" s="88">
        <v>45860.556130439814</v>
      </c>
      <c r="D110" s="88">
        <v>45860.554155092592</v>
      </c>
      <c r="E110" s="88">
        <v>45860.456824490742</v>
      </c>
      <c r="F110" t="s">
        <v>1132</v>
      </c>
      <c r="G110" t="s">
        <v>1143</v>
      </c>
      <c r="H110" s="63">
        <v>45835</v>
      </c>
      <c r="I110" s="86">
        <v>0.39583333333333326</v>
      </c>
      <c r="J110" s="1">
        <v>45839</v>
      </c>
      <c r="K110" s="12">
        <v>0.75</v>
      </c>
      <c r="L110" s="1">
        <v>45841</v>
      </c>
      <c r="M110" s="12">
        <v>0.43170138888888887</v>
      </c>
      <c r="N110" t="s">
        <v>367</v>
      </c>
      <c r="O110" t="s">
        <v>295</v>
      </c>
      <c r="Q110" t="s">
        <v>1144</v>
      </c>
      <c r="R110" t="s">
        <v>221</v>
      </c>
      <c r="S110">
        <v>9</v>
      </c>
      <c r="T110" t="s">
        <v>1145</v>
      </c>
      <c r="AE110" t="s">
        <v>943</v>
      </c>
      <c r="AF110" t="s">
        <v>931</v>
      </c>
      <c r="AG110" t="s">
        <v>787</v>
      </c>
      <c r="AH110" t="s">
        <v>542</v>
      </c>
      <c r="AI110" t="s">
        <v>275</v>
      </c>
      <c r="AJ110" t="s">
        <v>181</v>
      </c>
      <c r="AL110" s="87">
        <v>9</v>
      </c>
      <c r="AM110" s="63">
        <v>45835</v>
      </c>
      <c r="AN110" s="86">
        <v>0.39583333333333331</v>
      </c>
      <c r="AO110" s="12">
        <v>0.375</v>
      </c>
      <c r="AP110" t="s">
        <v>276</v>
      </c>
      <c r="AQ110" t="s">
        <v>230</v>
      </c>
      <c r="AR110" t="s">
        <v>1146</v>
      </c>
      <c r="AS110" t="s">
        <v>948</v>
      </c>
      <c r="AT110" t="s">
        <v>276</v>
      </c>
      <c r="AU110" t="s">
        <v>170</v>
      </c>
      <c r="AV110" t="s">
        <v>149</v>
      </c>
      <c r="AW110">
        <v>2025</v>
      </c>
      <c r="AX110">
        <v>26</v>
      </c>
      <c r="AY110">
        <v>27</v>
      </c>
      <c r="AZ110" t="s">
        <v>230</v>
      </c>
    </row>
    <row r="111" spans="1:52" hidden="1" x14ac:dyDescent="0.25">
      <c r="A111" t="s">
        <v>1243</v>
      </c>
      <c r="B111" t="s">
        <v>971</v>
      </c>
      <c r="C111" s="88">
        <v>45860.556130439814</v>
      </c>
      <c r="D111" s="88">
        <v>45860.554155092592</v>
      </c>
      <c r="E111" s="88">
        <v>45860.456824490742</v>
      </c>
      <c r="F111" t="s">
        <v>1132</v>
      </c>
      <c r="G111" t="s">
        <v>906</v>
      </c>
      <c r="H111" s="63">
        <v>45837</v>
      </c>
      <c r="I111" s="86">
        <v>0.625</v>
      </c>
      <c r="J111" s="1">
        <v>45838</v>
      </c>
      <c r="K111" s="12">
        <v>0.31458333333333333</v>
      </c>
      <c r="L111" s="1">
        <v>45838</v>
      </c>
      <c r="M111" s="12">
        <v>0.31462962962962965</v>
      </c>
      <c r="N111" t="s">
        <v>174</v>
      </c>
      <c r="O111" t="s">
        <v>295</v>
      </c>
      <c r="Q111" t="s">
        <v>907</v>
      </c>
      <c r="R111" t="s">
        <v>378</v>
      </c>
      <c r="S111">
        <v>5</v>
      </c>
      <c r="T111" t="s">
        <v>908</v>
      </c>
      <c r="W111" t="s">
        <v>909</v>
      </c>
      <c r="X111" t="s">
        <v>980</v>
      </c>
      <c r="Y111" t="s">
        <v>510</v>
      </c>
      <c r="Z111" t="s">
        <v>161</v>
      </c>
      <c r="AE111" t="s">
        <v>930</v>
      </c>
      <c r="AF111" t="s">
        <v>931</v>
      </c>
      <c r="AG111" t="s">
        <v>530</v>
      </c>
      <c r="AH111" t="s">
        <v>384</v>
      </c>
      <c r="AI111" t="s">
        <v>257</v>
      </c>
      <c r="AJ111" t="s">
        <v>181</v>
      </c>
      <c r="AK111" t="s">
        <v>182</v>
      </c>
      <c r="AL111" s="87">
        <v>9</v>
      </c>
      <c r="AM111" s="63">
        <v>45837</v>
      </c>
      <c r="AN111" s="86">
        <v>0.625</v>
      </c>
      <c r="AO111" s="12">
        <v>0.625</v>
      </c>
      <c r="AP111" t="s">
        <v>146</v>
      </c>
      <c r="AQ111" t="s">
        <v>910</v>
      </c>
      <c r="AR111" t="s">
        <v>302</v>
      </c>
      <c r="AS111" t="s">
        <v>948</v>
      </c>
      <c r="AT111" t="s">
        <v>146</v>
      </c>
      <c r="AU111" t="s">
        <v>311</v>
      </c>
      <c r="AV111" t="s">
        <v>149</v>
      </c>
      <c r="AW111">
        <v>2025</v>
      </c>
      <c r="AX111">
        <v>27</v>
      </c>
      <c r="AY111">
        <v>29</v>
      </c>
      <c r="AZ111" t="s">
        <v>910</v>
      </c>
    </row>
    <row r="112" spans="1:52" hidden="1" x14ac:dyDescent="0.25">
      <c r="A112" t="s">
        <v>1243</v>
      </c>
      <c r="B112" t="s">
        <v>971</v>
      </c>
      <c r="C112" s="88">
        <v>45860.556130439814</v>
      </c>
      <c r="D112" s="88">
        <v>45860.554155092592</v>
      </c>
      <c r="E112" s="88">
        <v>45860.456824490742</v>
      </c>
      <c r="F112" t="s">
        <v>1132</v>
      </c>
      <c r="G112" t="s">
        <v>1133</v>
      </c>
      <c r="H112" s="63">
        <v>45838</v>
      </c>
      <c r="I112" s="86">
        <v>0.46982638888888895</v>
      </c>
      <c r="J112" s="1"/>
      <c r="K112" s="12"/>
      <c r="L112" s="1">
        <v>45838</v>
      </c>
      <c r="M112" s="12">
        <v>0.46982638888888889</v>
      </c>
      <c r="N112" t="s">
        <v>242</v>
      </c>
      <c r="Q112" t="s">
        <v>552</v>
      </c>
      <c r="R112" t="s">
        <v>553</v>
      </c>
      <c r="S112">
        <v>7</v>
      </c>
      <c r="T112" t="s">
        <v>1134</v>
      </c>
      <c r="AE112" t="s">
        <v>964</v>
      </c>
      <c r="AF112" t="s">
        <v>931</v>
      </c>
      <c r="AG112" t="s">
        <v>1135</v>
      </c>
      <c r="AH112" t="s">
        <v>164</v>
      </c>
      <c r="AI112" t="s">
        <v>310</v>
      </c>
      <c r="AJ112" t="s">
        <v>181</v>
      </c>
      <c r="AK112" t="s">
        <v>246</v>
      </c>
      <c r="AL112" s="87">
        <v>9</v>
      </c>
      <c r="AM112" s="63">
        <v>45838</v>
      </c>
      <c r="AN112" s="86">
        <v>0.46982638888888889</v>
      </c>
      <c r="AO112" s="12">
        <v>0.45833333333333331</v>
      </c>
      <c r="AP112" t="s">
        <v>276</v>
      </c>
      <c r="AQ112" t="s">
        <v>322</v>
      </c>
      <c r="AR112" t="s">
        <v>242</v>
      </c>
      <c r="AS112" t="s">
        <v>948</v>
      </c>
      <c r="AT112" t="s">
        <v>276</v>
      </c>
      <c r="AU112" t="s">
        <v>183</v>
      </c>
      <c r="AV112" t="s">
        <v>149</v>
      </c>
      <c r="AW112">
        <v>2025</v>
      </c>
      <c r="AX112">
        <v>27</v>
      </c>
      <c r="AY112">
        <v>30</v>
      </c>
      <c r="AZ112" t="s">
        <v>322</v>
      </c>
    </row>
    <row r="113" spans="1:52" hidden="1" x14ac:dyDescent="0.25">
      <c r="A113" t="s">
        <v>1243</v>
      </c>
      <c r="B113" t="s">
        <v>971</v>
      </c>
      <c r="C113" s="88">
        <v>45860.556130439814</v>
      </c>
      <c r="D113" s="88">
        <v>45860.554155092592</v>
      </c>
      <c r="E113" s="88">
        <v>45860.456824490742</v>
      </c>
      <c r="F113" t="s">
        <v>1132</v>
      </c>
      <c r="G113" t="s">
        <v>1136</v>
      </c>
      <c r="H113" s="63">
        <v>45839</v>
      </c>
      <c r="I113" s="86">
        <v>0.53263888888888888</v>
      </c>
      <c r="J113" s="1"/>
      <c r="K113" s="12"/>
      <c r="L113" s="1">
        <v>45839</v>
      </c>
      <c r="M113" s="12">
        <v>0.53378472222222217</v>
      </c>
      <c r="N113" t="s">
        <v>206</v>
      </c>
      <c r="O113" t="s">
        <v>726</v>
      </c>
      <c r="Q113" t="s">
        <v>727</v>
      </c>
      <c r="R113" t="s">
        <v>270</v>
      </c>
      <c r="S113">
        <v>5</v>
      </c>
      <c r="T113" t="s">
        <v>1137</v>
      </c>
      <c r="AE113" t="s">
        <v>950</v>
      </c>
      <c r="AF113" t="s">
        <v>931</v>
      </c>
      <c r="AG113" t="s">
        <v>265</v>
      </c>
      <c r="AH113" t="s">
        <v>164</v>
      </c>
      <c r="AI113" t="s">
        <v>534</v>
      </c>
      <c r="AJ113" t="s">
        <v>301</v>
      </c>
      <c r="AK113" t="s">
        <v>213</v>
      </c>
      <c r="AL113" s="87">
        <v>9</v>
      </c>
      <c r="AM113" s="63">
        <v>45839</v>
      </c>
      <c r="AN113" s="86">
        <v>0.53263888888888888</v>
      </c>
      <c r="AO113" s="12">
        <v>0.5</v>
      </c>
      <c r="AP113" t="s">
        <v>146</v>
      </c>
      <c r="AQ113" t="s">
        <v>731</v>
      </c>
      <c r="AR113" t="s">
        <v>730</v>
      </c>
      <c r="AS113" t="s">
        <v>948</v>
      </c>
      <c r="AT113" t="s">
        <v>146</v>
      </c>
      <c r="AU113" t="s">
        <v>148</v>
      </c>
      <c r="AV113" t="s">
        <v>1138</v>
      </c>
      <c r="AW113">
        <v>2025</v>
      </c>
      <c r="AX113">
        <v>27</v>
      </c>
      <c r="AY113">
        <v>1</v>
      </c>
      <c r="AZ113" t="s">
        <v>731</v>
      </c>
    </row>
    <row r="114" spans="1:52" hidden="1" x14ac:dyDescent="0.25">
      <c r="A114" t="s">
        <v>1243</v>
      </c>
      <c r="B114" t="s">
        <v>971</v>
      </c>
      <c r="C114" s="88">
        <v>45860.556130439814</v>
      </c>
      <c r="D114" s="88">
        <v>45860.554155092592</v>
      </c>
      <c r="E114" s="88">
        <v>45860.456824490742</v>
      </c>
      <c r="F114" t="s">
        <v>1132</v>
      </c>
      <c r="G114" t="s">
        <v>1139</v>
      </c>
      <c r="H114" s="63">
        <v>45840</v>
      </c>
      <c r="I114" s="86">
        <v>0.48958333333333326</v>
      </c>
      <c r="J114" s="1">
        <v>45840</v>
      </c>
      <c r="K114" s="12">
        <v>0.58333333333333337</v>
      </c>
      <c r="L114" s="1">
        <v>45840</v>
      </c>
      <c r="M114" s="12">
        <v>0.819849537037037</v>
      </c>
      <c r="N114" t="s">
        <v>242</v>
      </c>
      <c r="Q114" t="s">
        <v>1140</v>
      </c>
      <c r="R114" t="s">
        <v>208</v>
      </c>
      <c r="S114">
        <v>8</v>
      </c>
      <c r="T114" t="s">
        <v>1141</v>
      </c>
      <c r="AE114" t="s">
        <v>946</v>
      </c>
      <c r="AF114" t="s">
        <v>931</v>
      </c>
      <c r="AG114" t="s">
        <v>210</v>
      </c>
      <c r="AH114" t="s">
        <v>211</v>
      </c>
      <c r="AI114" t="s">
        <v>350</v>
      </c>
      <c r="AJ114" t="s">
        <v>166</v>
      </c>
      <c r="AL114" s="87">
        <v>9</v>
      </c>
      <c r="AM114" s="63">
        <v>45840</v>
      </c>
      <c r="AN114" s="86">
        <v>0.48958333333333331</v>
      </c>
      <c r="AO114" s="12">
        <v>0.45833333333333331</v>
      </c>
      <c r="AP114" t="s">
        <v>276</v>
      </c>
      <c r="AQ114" t="s">
        <v>1142</v>
      </c>
      <c r="AR114" t="s">
        <v>242</v>
      </c>
      <c r="AS114" t="s">
        <v>948</v>
      </c>
      <c r="AT114" t="s">
        <v>276</v>
      </c>
      <c r="AU114" t="s">
        <v>239</v>
      </c>
      <c r="AV114" t="s">
        <v>1138</v>
      </c>
      <c r="AW114">
        <v>2025</v>
      </c>
      <c r="AX114">
        <v>27</v>
      </c>
      <c r="AY114">
        <v>2</v>
      </c>
      <c r="AZ114" t="s">
        <v>1142</v>
      </c>
    </row>
    <row r="115" spans="1:52" hidden="1" x14ac:dyDescent="0.25">
      <c r="A115" t="s">
        <v>1243</v>
      </c>
      <c r="B115" t="s">
        <v>971</v>
      </c>
      <c r="C115" s="88">
        <v>45860.556130439814</v>
      </c>
      <c r="D115" s="88">
        <v>45860.554155092592</v>
      </c>
      <c r="E115" s="88">
        <v>45860.456824490742</v>
      </c>
      <c r="F115" t="s">
        <v>1132</v>
      </c>
      <c r="G115" t="s">
        <v>1147</v>
      </c>
      <c r="H115" s="63">
        <v>45841</v>
      </c>
      <c r="I115" s="86">
        <v>0.625</v>
      </c>
      <c r="J115" s="1">
        <v>45841</v>
      </c>
      <c r="K115" s="12">
        <v>0.6875</v>
      </c>
      <c r="L115" s="1">
        <v>45841</v>
      </c>
      <c r="M115" s="12">
        <v>0.8992013888888889</v>
      </c>
      <c r="N115" t="s">
        <v>136</v>
      </c>
      <c r="O115" t="s">
        <v>189</v>
      </c>
      <c r="Q115" t="s">
        <v>1148</v>
      </c>
      <c r="R115" t="s">
        <v>414</v>
      </c>
      <c r="S115">
        <v>7</v>
      </c>
      <c r="T115" t="s">
        <v>1149</v>
      </c>
      <c r="AE115" t="s">
        <v>988</v>
      </c>
      <c r="AF115" t="s">
        <v>931</v>
      </c>
      <c r="AG115" t="s">
        <v>1150</v>
      </c>
      <c r="AH115" t="s">
        <v>142</v>
      </c>
      <c r="AI115" t="s">
        <v>194</v>
      </c>
      <c r="AJ115" t="s">
        <v>283</v>
      </c>
      <c r="AL115" s="87">
        <v>9</v>
      </c>
      <c r="AM115" s="63">
        <v>45841</v>
      </c>
      <c r="AN115" s="86">
        <v>0.625</v>
      </c>
      <c r="AO115" s="12">
        <v>0.625</v>
      </c>
      <c r="AP115" t="s">
        <v>146</v>
      </c>
      <c r="AQ115" t="s">
        <v>1151</v>
      </c>
      <c r="AR115" t="s">
        <v>284</v>
      </c>
      <c r="AS115" t="s">
        <v>948</v>
      </c>
      <c r="AT115" t="s">
        <v>146</v>
      </c>
      <c r="AU115" t="s">
        <v>247</v>
      </c>
      <c r="AV115" t="s">
        <v>1138</v>
      </c>
      <c r="AW115">
        <v>2025</v>
      </c>
      <c r="AX115">
        <v>27</v>
      </c>
      <c r="AY115">
        <v>3</v>
      </c>
      <c r="AZ115" t="s">
        <v>1151</v>
      </c>
    </row>
    <row r="116" spans="1:52" hidden="1" x14ac:dyDescent="0.25">
      <c r="A116" t="s">
        <v>1243</v>
      </c>
      <c r="B116" t="s">
        <v>971</v>
      </c>
      <c r="C116" s="88">
        <v>45860.556130439814</v>
      </c>
      <c r="D116" s="88">
        <v>45860.554155092592</v>
      </c>
      <c r="E116" s="88">
        <v>45860.456824490742</v>
      </c>
      <c r="F116" t="s">
        <v>1132</v>
      </c>
      <c r="G116" t="s">
        <v>1152</v>
      </c>
      <c r="H116" s="63">
        <v>45845</v>
      </c>
      <c r="I116" s="86">
        <v>0.60763888888888884</v>
      </c>
      <c r="J116" s="1"/>
      <c r="K116" s="12"/>
      <c r="L116" s="1">
        <v>45845</v>
      </c>
      <c r="M116" s="12">
        <v>0.61127314814814815</v>
      </c>
      <c r="N116" t="s">
        <v>701</v>
      </c>
      <c r="O116" t="s">
        <v>206</v>
      </c>
      <c r="P116" t="s">
        <v>619</v>
      </c>
      <c r="Q116" t="s">
        <v>1153</v>
      </c>
      <c r="R116" t="s">
        <v>288</v>
      </c>
      <c r="S116">
        <v>5</v>
      </c>
      <c r="T116" t="s">
        <v>1154</v>
      </c>
      <c r="AE116" t="s">
        <v>930</v>
      </c>
      <c r="AF116" t="s">
        <v>931</v>
      </c>
      <c r="AG116" t="s">
        <v>454</v>
      </c>
      <c r="AH116" t="s">
        <v>328</v>
      </c>
      <c r="AI116" t="s">
        <v>228</v>
      </c>
      <c r="AJ116" t="s">
        <v>320</v>
      </c>
      <c r="AL116" s="87">
        <v>9</v>
      </c>
      <c r="AM116" s="63">
        <v>45845</v>
      </c>
      <c r="AN116" s="86">
        <v>0.60763888888888884</v>
      </c>
      <c r="AO116" s="12">
        <v>0.58333333333333337</v>
      </c>
      <c r="AP116" t="s">
        <v>146</v>
      </c>
      <c r="AQ116" t="s">
        <v>1155</v>
      </c>
      <c r="AR116" t="s">
        <v>1156</v>
      </c>
      <c r="AS116" t="s">
        <v>948</v>
      </c>
      <c r="AT116" t="s">
        <v>146</v>
      </c>
      <c r="AU116" t="s">
        <v>183</v>
      </c>
      <c r="AV116" t="s">
        <v>1138</v>
      </c>
      <c r="AW116">
        <v>2025</v>
      </c>
      <c r="AX116">
        <v>28</v>
      </c>
      <c r="AY116">
        <v>7</v>
      </c>
      <c r="AZ116" t="s">
        <v>1155</v>
      </c>
    </row>
    <row r="117" spans="1:52" hidden="1" x14ac:dyDescent="0.25">
      <c r="A117" t="s">
        <v>1243</v>
      </c>
      <c r="B117" t="s">
        <v>971</v>
      </c>
      <c r="C117" s="88">
        <v>45860.556130439814</v>
      </c>
      <c r="D117" s="88">
        <v>45860.554155092592</v>
      </c>
      <c r="E117" s="88">
        <v>45860.456824490742</v>
      </c>
      <c r="F117" t="s">
        <v>1132</v>
      </c>
      <c r="G117" t="s">
        <v>1157</v>
      </c>
      <c r="H117" s="63">
        <v>45846</v>
      </c>
      <c r="I117" s="86">
        <v>0.82291666666666674</v>
      </c>
      <c r="J117" s="1"/>
      <c r="K117" s="12"/>
      <c r="L117" s="1">
        <v>45847</v>
      </c>
      <c r="M117" s="12">
        <v>0.50694444444444442</v>
      </c>
      <c r="N117" t="s">
        <v>242</v>
      </c>
      <c r="Q117" t="s">
        <v>1158</v>
      </c>
      <c r="R117" t="s">
        <v>208</v>
      </c>
      <c r="S117">
        <v>8</v>
      </c>
      <c r="T117" t="s">
        <v>1159</v>
      </c>
      <c r="AE117" t="s">
        <v>930</v>
      </c>
      <c r="AF117" t="s">
        <v>931</v>
      </c>
      <c r="AG117" t="s">
        <v>393</v>
      </c>
      <c r="AH117" t="s">
        <v>384</v>
      </c>
      <c r="AI117" t="s">
        <v>257</v>
      </c>
      <c r="AJ117" t="s">
        <v>181</v>
      </c>
      <c r="AL117" s="87">
        <v>9</v>
      </c>
      <c r="AM117" s="63">
        <v>45846</v>
      </c>
      <c r="AN117" s="86">
        <v>0.82291666666666663</v>
      </c>
      <c r="AO117" s="12">
        <v>0.79166666666666663</v>
      </c>
      <c r="AP117" t="s">
        <v>266</v>
      </c>
      <c r="AQ117" t="s">
        <v>240</v>
      </c>
      <c r="AR117" t="s">
        <v>242</v>
      </c>
      <c r="AS117" t="s">
        <v>948</v>
      </c>
      <c r="AT117" t="s">
        <v>266</v>
      </c>
      <c r="AU117" t="s">
        <v>148</v>
      </c>
      <c r="AV117" t="s">
        <v>1138</v>
      </c>
      <c r="AW117">
        <v>2025</v>
      </c>
      <c r="AX117">
        <v>28</v>
      </c>
      <c r="AY117">
        <v>8</v>
      </c>
      <c r="AZ117" t="s">
        <v>240</v>
      </c>
    </row>
    <row r="118" spans="1:52" hidden="1" x14ac:dyDescent="0.25">
      <c r="A118" t="s">
        <v>1243</v>
      </c>
      <c r="B118" t="s">
        <v>971</v>
      </c>
      <c r="C118" s="88">
        <v>45860.556130439814</v>
      </c>
      <c r="D118" s="88">
        <v>45860.554155092592</v>
      </c>
      <c r="E118" s="88">
        <v>45860.456824490742</v>
      </c>
      <c r="F118" t="s">
        <v>1132</v>
      </c>
      <c r="G118" t="s">
        <v>1160</v>
      </c>
      <c r="H118" s="63">
        <v>45848</v>
      </c>
      <c r="I118" s="86">
        <v>9.8611111111111205E-2</v>
      </c>
      <c r="J118" s="1"/>
      <c r="K118" s="12"/>
      <c r="L118" s="1">
        <v>45848</v>
      </c>
      <c r="M118" s="12">
        <v>0.1055787037037037</v>
      </c>
      <c r="N118" t="s">
        <v>206</v>
      </c>
      <c r="O118" t="s">
        <v>388</v>
      </c>
      <c r="P118" t="s">
        <v>629</v>
      </c>
      <c r="Q118" t="s">
        <v>1161</v>
      </c>
      <c r="R118" t="s">
        <v>644</v>
      </c>
      <c r="S118">
        <v>7</v>
      </c>
      <c r="T118" t="s">
        <v>1162</v>
      </c>
      <c r="AE118" t="s">
        <v>1163</v>
      </c>
      <c r="AF118" t="s">
        <v>931</v>
      </c>
      <c r="AG118" t="s">
        <v>585</v>
      </c>
      <c r="AH118" t="s">
        <v>164</v>
      </c>
      <c r="AI118" t="s">
        <v>488</v>
      </c>
      <c r="AJ118" t="s">
        <v>181</v>
      </c>
      <c r="AL118" s="87">
        <v>9</v>
      </c>
      <c r="AM118" s="63">
        <v>45848</v>
      </c>
      <c r="AN118" s="86">
        <v>9.8611111111111108E-2</v>
      </c>
      <c r="AO118" s="12">
        <v>8.3333333333333329E-2</v>
      </c>
      <c r="AP118" t="s">
        <v>343</v>
      </c>
      <c r="AQ118" t="s">
        <v>1164</v>
      </c>
      <c r="AR118" t="s">
        <v>1165</v>
      </c>
      <c r="AS118" t="s">
        <v>948</v>
      </c>
      <c r="AT118" t="s">
        <v>343</v>
      </c>
      <c r="AU118" t="s">
        <v>247</v>
      </c>
      <c r="AV118" t="s">
        <v>1138</v>
      </c>
      <c r="AW118">
        <v>2025</v>
      </c>
      <c r="AX118">
        <v>28</v>
      </c>
      <c r="AY118">
        <v>10</v>
      </c>
      <c r="AZ118" t="s">
        <v>1164</v>
      </c>
    </row>
    <row r="119" spans="1:52" hidden="1" x14ac:dyDescent="0.25">
      <c r="A119" t="s">
        <v>1243</v>
      </c>
      <c r="B119" t="s">
        <v>971</v>
      </c>
      <c r="C119" s="88">
        <v>45860.556130439814</v>
      </c>
      <c r="D119" s="88">
        <v>45860.554155092592</v>
      </c>
      <c r="E119" s="88">
        <v>45860.456824490742</v>
      </c>
      <c r="F119" t="s">
        <v>1132</v>
      </c>
      <c r="G119" t="s">
        <v>1166</v>
      </c>
      <c r="H119" s="63">
        <v>45849</v>
      </c>
      <c r="I119" s="86">
        <v>4.8946759259259176E-2</v>
      </c>
      <c r="J119" s="1"/>
      <c r="K119" s="12"/>
      <c r="L119" s="1">
        <v>45849</v>
      </c>
      <c r="M119" s="12">
        <v>4.8946759259259259E-2</v>
      </c>
      <c r="N119" t="s">
        <v>779</v>
      </c>
      <c r="O119" t="s">
        <v>206</v>
      </c>
      <c r="P119" t="s">
        <v>556</v>
      </c>
      <c r="Q119" t="s">
        <v>1167</v>
      </c>
      <c r="R119" t="s">
        <v>315</v>
      </c>
      <c r="S119">
        <v>6</v>
      </c>
      <c r="T119" t="s">
        <v>1168</v>
      </c>
      <c r="AE119" t="s">
        <v>933</v>
      </c>
      <c r="AF119" t="s">
        <v>931</v>
      </c>
      <c r="AG119" t="s">
        <v>1135</v>
      </c>
      <c r="AH119" t="s">
        <v>542</v>
      </c>
      <c r="AL119" s="87">
        <v>9</v>
      </c>
      <c r="AM119" s="63">
        <v>45849</v>
      </c>
      <c r="AN119" s="86">
        <v>4.8946759259259259E-2</v>
      </c>
      <c r="AO119" s="12">
        <v>4.1666666666666664E-2</v>
      </c>
      <c r="AP119" t="s">
        <v>343</v>
      </c>
      <c r="AQ119" t="s">
        <v>1169</v>
      </c>
      <c r="AR119" t="s">
        <v>1170</v>
      </c>
      <c r="AS119" t="s">
        <v>948</v>
      </c>
      <c r="AT119" t="s">
        <v>343</v>
      </c>
      <c r="AU119" t="s">
        <v>170</v>
      </c>
      <c r="AV119" t="s">
        <v>1138</v>
      </c>
      <c r="AW119">
        <v>2025</v>
      </c>
      <c r="AX119">
        <v>28</v>
      </c>
      <c r="AY119">
        <v>11</v>
      </c>
      <c r="AZ119" t="s">
        <v>1169</v>
      </c>
    </row>
    <row r="120" spans="1:52" hidden="1" x14ac:dyDescent="0.25">
      <c r="A120" t="s">
        <v>1243</v>
      </c>
      <c r="B120" t="s">
        <v>971</v>
      </c>
      <c r="C120" s="88">
        <v>45860.556130439814</v>
      </c>
      <c r="D120" s="88">
        <v>45860.554155092592</v>
      </c>
      <c r="E120" s="88">
        <v>45860.456824490742</v>
      </c>
      <c r="F120" t="s">
        <v>1132</v>
      </c>
      <c r="G120" t="s">
        <v>1171</v>
      </c>
      <c r="H120" s="63">
        <v>45851</v>
      </c>
      <c r="I120" s="86">
        <v>0.11250000000000004</v>
      </c>
      <c r="J120" s="1"/>
      <c r="K120" s="12"/>
      <c r="L120" s="1">
        <v>45851</v>
      </c>
      <c r="M120" s="12">
        <v>0.11651620370370371</v>
      </c>
      <c r="N120" t="s">
        <v>136</v>
      </c>
      <c r="Q120" t="s">
        <v>1172</v>
      </c>
      <c r="R120" t="s">
        <v>315</v>
      </c>
      <c r="T120" t="s">
        <v>1173</v>
      </c>
      <c r="AE120" t="s">
        <v>943</v>
      </c>
      <c r="AF120" t="s">
        <v>931</v>
      </c>
      <c r="AG120" t="s">
        <v>443</v>
      </c>
      <c r="AH120" t="s">
        <v>444</v>
      </c>
      <c r="AI120" t="s">
        <v>534</v>
      </c>
      <c r="AJ120" t="s">
        <v>301</v>
      </c>
      <c r="AL120" s="87">
        <v>9</v>
      </c>
      <c r="AM120" s="63">
        <v>45851</v>
      </c>
      <c r="AN120" s="86">
        <v>0.1125</v>
      </c>
      <c r="AO120" s="12">
        <v>8.3333333333333329E-2</v>
      </c>
      <c r="AP120" t="s">
        <v>343</v>
      </c>
      <c r="AQ120" t="s">
        <v>699</v>
      </c>
      <c r="AR120" t="s">
        <v>136</v>
      </c>
      <c r="AS120" t="s">
        <v>948</v>
      </c>
      <c r="AT120" t="s">
        <v>343</v>
      </c>
      <c r="AU120" t="s">
        <v>311</v>
      </c>
      <c r="AV120" t="s">
        <v>1138</v>
      </c>
      <c r="AW120">
        <v>2025</v>
      </c>
      <c r="AX120">
        <v>29</v>
      </c>
      <c r="AY120">
        <v>13</v>
      </c>
      <c r="AZ120" t="s">
        <v>699</v>
      </c>
    </row>
    <row r="121" spans="1:52" hidden="1" x14ac:dyDescent="0.25">
      <c r="A121" t="s">
        <v>1243</v>
      </c>
      <c r="B121" t="s">
        <v>971</v>
      </c>
      <c r="C121" s="88">
        <v>45860.556130439814</v>
      </c>
      <c r="D121" s="88">
        <v>45860.554155092592</v>
      </c>
      <c r="E121" s="88">
        <v>45860.456824490742</v>
      </c>
      <c r="F121" t="s">
        <v>1132</v>
      </c>
      <c r="G121" t="s">
        <v>1174</v>
      </c>
      <c r="H121" s="63">
        <v>45851</v>
      </c>
      <c r="I121" s="86">
        <v>0.5543865740740741</v>
      </c>
      <c r="J121" s="1"/>
      <c r="K121" s="12"/>
      <c r="L121" s="1">
        <v>45851</v>
      </c>
      <c r="M121" s="12">
        <v>0.5543865740740741</v>
      </c>
      <c r="N121" t="s">
        <v>242</v>
      </c>
      <c r="Q121" t="s">
        <v>1175</v>
      </c>
      <c r="R121" t="s">
        <v>358</v>
      </c>
      <c r="S121">
        <v>8</v>
      </c>
      <c r="T121" t="s">
        <v>1176</v>
      </c>
      <c r="U121">
        <v>1200</v>
      </c>
      <c r="AE121" t="s">
        <v>943</v>
      </c>
      <c r="AF121" t="s">
        <v>931</v>
      </c>
      <c r="AG121" t="s">
        <v>1177</v>
      </c>
      <c r="AH121" t="s">
        <v>542</v>
      </c>
      <c r="AI121" t="s">
        <v>488</v>
      </c>
      <c r="AJ121" t="s">
        <v>181</v>
      </c>
      <c r="AL121" s="87">
        <v>9</v>
      </c>
      <c r="AM121" s="63">
        <v>45851</v>
      </c>
      <c r="AN121" s="86">
        <v>0.5543865740740741</v>
      </c>
      <c r="AO121" s="12">
        <v>0.54166666666666663</v>
      </c>
      <c r="AP121" t="s">
        <v>146</v>
      </c>
      <c r="AQ121" t="s">
        <v>885</v>
      </c>
      <c r="AR121" t="s">
        <v>242</v>
      </c>
      <c r="AS121" t="s">
        <v>948</v>
      </c>
      <c r="AT121" t="s">
        <v>146</v>
      </c>
      <c r="AU121" t="s">
        <v>311</v>
      </c>
      <c r="AV121" t="s">
        <v>1138</v>
      </c>
      <c r="AW121">
        <v>2025</v>
      </c>
      <c r="AX121">
        <v>29</v>
      </c>
      <c r="AY121">
        <v>13</v>
      </c>
      <c r="AZ121" t="s">
        <v>885</v>
      </c>
    </row>
    <row r="122" spans="1:52" hidden="1" x14ac:dyDescent="0.25">
      <c r="A122" t="s">
        <v>1243</v>
      </c>
      <c r="B122" t="s">
        <v>971</v>
      </c>
      <c r="C122" s="88">
        <v>45860.556130439814</v>
      </c>
      <c r="D122" s="88">
        <v>45860.554155092592</v>
      </c>
      <c r="E122" s="88">
        <v>45860.456824490742</v>
      </c>
      <c r="F122" t="s">
        <v>1132</v>
      </c>
      <c r="G122" t="s">
        <v>1178</v>
      </c>
      <c r="H122" s="63">
        <v>45851</v>
      </c>
      <c r="I122" s="86">
        <v>0.52083333333333326</v>
      </c>
      <c r="J122" s="1"/>
      <c r="K122" s="12">
        <v>0.5625</v>
      </c>
      <c r="L122" s="1">
        <v>45851</v>
      </c>
      <c r="M122" s="12">
        <v>0.65861111111111115</v>
      </c>
      <c r="N122" t="s">
        <v>242</v>
      </c>
      <c r="Q122" t="s">
        <v>1175</v>
      </c>
      <c r="R122" t="s">
        <v>358</v>
      </c>
      <c r="S122">
        <v>8</v>
      </c>
      <c r="T122" t="s">
        <v>1179</v>
      </c>
      <c r="AE122" t="s">
        <v>943</v>
      </c>
      <c r="AF122" t="s">
        <v>931</v>
      </c>
      <c r="AG122" t="s">
        <v>787</v>
      </c>
      <c r="AH122" t="s">
        <v>542</v>
      </c>
      <c r="AI122" t="s">
        <v>488</v>
      </c>
      <c r="AJ122" t="s">
        <v>181</v>
      </c>
      <c r="AL122" s="87">
        <v>9</v>
      </c>
      <c r="AM122" s="63">
        <v>45851</v>
      </c>
      <c r="AN122" s="86">
        <v>0.52083333333333337</v>
      </c>
      <c r="AO122" s="12">
        <v>0.5</v>
      </c>
      <c r="AP122" t="s">
        <v>146</v>
      </c>
      <c r="AQ122" t="s">
        <v>885</v>
      </c>
      <c r="AR122" t="s">
        <v>242</v>
      </c>
      <c r="AS122" t="s">
        <v>948</v>
      </c>
      <c r="AT122" t="s">
        <v>146</v>
      </c>
      <c r="AU122" t="s">
        <v>311</v>
      </c>
      <c r="AV122" t="s">
        <v>1138</v>
      </c>
      <c r="AW122">
        <v>2025</v>
      </c>
      <c r="AX122">
        <v>29</v>
      </c>
      <c r="AY122">
        <v>13</v>
      </c>
      <c r="AZ122" t="s">
        <v>885</v>
      </c>
    </row>
    <row r="123" spans="1:52" x14ac:dyDescent="0.25">
      <c r="A123" t="s">
        <v>1243</v>
      </c>
      <c r="B123" t="s">
        <v>971</v>
      </c>
      <c r="C123" s="88">
        <v>45860.556130439814</v>
      </c>
      <c r="D123" s="88">
        <v>45860.554155092592</v>
      </c>
      <c r="E123" s="88">
        <v>45860.456824490742</v>
      </c>
      <c r="F123" t="s">
        <v>1132</v>
      </c>
      <c r="G123" t="s">
        <v>1180</v>
      </c>
      <c r="H123" s="63">
        <v>45853</v>
      </c>
      <c r="I123" s="86">
        <v>0.83333333333333326</v>
      </c>
      <c r="J123" s="1">
        <v>45854</v>
      </c>
      <c r="K123" s="12">
        <v>0.20833333333333334</v>
      </c>
      <c r="L123" s="1">
        <v>45854</v>
      </c>
      <c r="M123" s="12">
        <v>0.20819444444444443</v>
      </c>
      <c r="N123" t="s">
        <v>174</v>
      </c>
      <c r="Q123" t="s">
        <v>1181</v>
      </c>
      <c r="R123" t="s">
        <v>378</v>
      </c>
      <c r="S123">
        <v>6</v>
      </c>
      <c r="T123" t="s">
        <v>1182</v>
      </c>
      <c r="W123" t="s">
        <v>1183</v>
      </c>
      <c r="X123" t="s">
        <v>984</v>
      </c>
      <c r="Y123" t="s">
        <v>1184</v>
      </c>
      <c r="Z123" t="s">
        <v>161</v>
      </c>
      <c r="AE123" t="s">
        <v>950</v>
      </c>
      <c r="AF123" t="s">
        <v>931</v>
      </c>
      <c r="AG123" t="s">
        <v>530</v>
      </c>
      <c r="AH123" t="s">
        <v>384</v>
      </c>
      <c r="AI123" t="s">
        <v>257</v>
      </c>
      <c r="AJ123" t="s">
        <v>320</v>
      </c>
      <c r="AL123" s="87">
        <v>9</v>
      </c>
      <c r="AM123" s="63">
        <v>45853</v>
      </c>
      <c r="AN123" s="86">
        <v>0.83333333333333337</v>
      </c>
      <c r="AO123" s="12">
        <v>0.83333333333333337</v>
      </c>
      <c r="AP123" t="s">
        <v>168</v>
      </c>
      <c r="AQ123" t="s">
        <v>783</v>
      </c>
      <c r="AR123" t="s">
        <v>174</v>
      </c>
      <c r="AS123" t="s">
        <v>1014</v>
      </c>
      <c r="AT123" t="s">
        <v>168</v>
      </c>
      <c r="AU123" t="s">
        <v>148</v>
      </c>
      <c r="AV123" t="s">
        <v>1138</v>
      </c>
      <c r="AW123">
        <v>2025</v>
      </c>
      <c r="AX123">
        <v>29</v>
      </c>
      <c r="AY123">
        <v>15</v>
      </c>
      <c r="AZ123" t="s">
        <v>783</v>
      </c>
    </row>
    <row r="124" spans="1:52" x14ac:dyDescent="0.25">
      <c r="A124" t="s">
        <v>1243</v>
      </c>
      <c r="B124" t="s">
        <v>971</v>
      </c>
      <c r="C124" s="88">
        <v>45860.556130439814</v>
      </c>
      <c r="D124" s="88">
        <v>45860.554155092592</v>
      </c>
      <c r="E124" s="88">
        <v>45860.456824490742</v>
      </c>
      <c r="F124" t="s">
        <v>1132</v>
      </c>
      <c r="G124" t="s">
        <v>1185</v>
      </c>
      <c r="H124" s="63">
        <v>45855</v>
      </c>
      <c r="I124" s="86">
        <v>0.95909722222222227</v>
      </c>
      <c r="J124" s="1"/>
      <c r="K124" s="12"/>
      <c r="L124" s="1">
        <v>45855</v>
      </c>
      <c r="M124" s="12">
        <v>0.95979166666666671</v>
      </c>
      <c r="N124" t="s">
        <v>136</v>
      </c>
      <c r="O124" t="s">
        <v>189</v>
      </c>
      <c r="P124" t="s">
        <v>204</v>
      </c>
      <c r="Q124" t="s">
        <v>1186</v>
      </c>
      <c r="R124" t="s">
        <v>378</v>
      </c>
      <c r="S124">
        <v>5</v>
      </c>
      <c r="T124" t="s">
        <v>1187</v>
      </c>
      <c r="AE124" t="s">
        <v>930</v>
      </c>
      <c r="AF124" t="s">
        <v>931</v>
      </c>
      <c r="AG124" t="s">
        <v>265</v>
      </c>
      <c r="AH124" t="s">
        <v>164</v>
      </c>
      <c r="AI124" t="s">
        <v>1188</v>
      </c>
      <c r="AJ124" t="s">
        <v>181</v>
      </c>
      <c r="AL124" s="87">
        <v>9</v>
      </c>
      <c r="AM124" s="63">
        <v>45855</v>
      </c>
      <c r="AN124" s="86">
        <v>0.95909722222222227</v>
      </c>
      <c r="AO124" s="12">
        <v>0.95833333333333337</v>
      </c>
      <c r="AP124" t="s">
        <v>168</v>
      </c>
      <c r="AQ124" t="s">
        <v>1189</v>
      </c>
      <c r="AR124" t="s">
        <v>1190</v>
      </c>
      <c r="AS124" t="s">
        <v>1014</v>
      </c>
      <c r="AT124" t="s">
        <v>168</v>
      </c>
      <c r="AU124" t="s">
        <v>247</v>
      </c>
      <c r="AV124" t="s">
        <v>1138</v>
      </c>
      <c r="AW124">
        <v>2025</v>
      </c>
      <c r="AX124">
        <v>29</v>
      </c>
      <c r="AY124">
        <v>17</v>
      </c>
      <c r="AZ124" t="s">
        <v>1189</v>
      </c>
    </row>
    <row r="125" spans="1:52" x14ac:dyDescent="0.25">
      <c r="A125" t="s">
        <v>1243</v>
      </c>
      <c r="B125" t="s">
        <v>971</v>
      </c>
      <c r="C125" s="88">
        <v>45860.556130439814</v>
      </c>
      <c r="D125" s="88">
        <v>45860.554155092592</v>
      </c>
      <c r="E125" s="88">
        <v>45860.456824490742</v>
      </c>
      <c r="F125" t="s">
        <v>1132</v>
      </c>
      <c r="G125" t="s">
        <v>1191</v>
      </c>
      <c r="H125" s="63">
        <v>45855</v>
      </c>
      <c r="I125" s="86">
        <v>0.6875</v>
      </c>
      <c r="J125" s="1"/>
      <c r="K125" s="12">
        <v>0.70833333333333337</v>
      </c>
      <c r="L125" s="1">
        <v>45856</v>
      </c>
      <c r="M125" s="12">
        <v>0.66093749999999996</v>
      </c>
      <c r="N125" t="s">
        <v>206</v>
      </c>
      <c r="Q125" t="s">
        <v>1153</v>
      </c>
      <c r="R125" t="s">
        <v>288</v>
      </c>
      <c r="S125">
        <v>5</v>
      </c>
      <c r="T125" t="s">
        <v>1192</v>
      </c>
      <c r="AE125" t="s">
        <v>930</v>
      </c>
      <c r="AF125" t="s">
        <v>931</v>
      </c>
      <c r="AG125" t="s">
        <v>1193</v>
      </c>
      <c r="AI125" t="s">
        <v>180</v>
      </c>
      <c r="AJ125" t="s">
        <v>181</v>
      </c>
      <c r="AL125" s="87">
        <v>9</v>
      </c>
      <c r="AM125" s="63">
        <v>45855</v>
      </c>
      <c r="AN125" s="86">
        <v>0.6875</v>
      </c>
      <c r="AO125" s="12">
        <v>0.66666666666666663</v>
      </c>
      <c r="AP125" t="s">
        <v>266</v>
      </c>
      <c r="AQ125" t="s">
        <v>1155</v>
      </c>
      <c r="AR125" t="s">
        <v>206</v>
      </c>
      <c r="AS125" t="s">
        <v>1014</v>
      </c>
      <c r="AT125" t="s">
        <v>266</v>
      </c>
      <c r="AU125" t="s">
        <v>247</v>
      </c>
      <c r="AV125" t="s">
        <v>1138</v>
      </c>
      <c r="AW125">
        <v>2025</v>
      </c>
      <c r="AX125">
        <v>29</v>
      </c>
      <c r="AY125">
        <v>17</v>
      </c>
      <c r="AZ125" t="s">
        <v>1155</v>
      </c>
    </row>
    <row r="126" spans="1:52" x14ac:dyDescent="0.25">
      <c r="A126" t="s">
        <v>1243</v>
      </c>
      <c r="B126" t="s">
        <v>971</v>
      </c>
      <c r="C126" s="88">
        <v>45860.556130439814</v>
      </c>
      <c r="D126" s="88">
        <v>45860.554155092592</v>
      </c>
      <c r="E126" s="88">
        <v>45860.456824490742</v>
      </c>
      <c r="F126" t="s">
        <v>1132</v>
      </c>
      <c r="G126" t="s">
        <v>1194</v>
      </c>
      <c r="H126" s="63">
        <v>45856</v>
      </c>
      <c r="I126" s="86">
        <v>0.97986111111111107</v>
      </c>
      <c r="J126" s="1"/>
      <c r="K126" s="12"/>
      <c r="L126" s="1">
        <v>45856</v>
      </c>
      <c r="M126" s="12">
        <v>0.98076388888888888</v>
      </c>
      <c r="N126" t="s">
        <v>174</v>
      </c>
      <c r="O126" t="s">
        <v>295</v>
      </c>
      <c r="Q126" t="s">
        <v>1195</v>
      </c>
      <c r="R126" t="s">
        <v>325</v>
      </c>
      <c r="S126">
        <v>8</v>
      </c>
      <c r="T126" t="s">
        <v>1196</v>
      </c>
      <c r="W126" t="s">
        <v>1197</v>
      </c>
      <c r="X126" t="s">
        <v>1198</v>
      </c>
      <c r="Y126" t="s">
        <v>1199</v>
      </c>
      <c r="Z126" t="s">
        <v>161</v>
      </c>
      <c r="AE126" t="s">
        <v>930</v>
      </c>
      <c r="AF126" t="s">
        <v>931</v>
      </c>
      <c r="AG126" t="s">
        <v>265</v>
      </c>
      <c r="AH126" t="s">
        <v>164</v>
      </c>
      <c r="AI126" t="s">
        <v>310</v>
      </c>
      <c r="AJ126" t="s">
        <v>181</v>
      </c>
      <c r="AL126" s="87">
        <v>9</v>
      </c>
      <c r="AM126" s="63">
        <v>45856</v>
      </c>
      <c r="AN126" s="86">
        <v>0.97986111111111107</v>
      </c>
      <c r="AO126" s="12">
        <v>0.95833333333333337</v>
      </c>
      <c r="AP126" t="s">
        <v>168</v>
      </c>
      <c r="AQ126" t="s">
        <v>1200</v>
      </c>
      <c r="AR126" t="s">
        <v>302</v>
      </c>
      <c r="AS126" t="s">
        <v>1014</v>
      </c>
      <c r="AT126" t="s">
        <v>168</v>
      </c>
      <c r="AU126" t="s">
        <v>170</v>
      </c>
      <c r="AV126" t="s">
        <v>1138</v>
      </c>
      <c r="AW126">
        <v>2025</v>
      </c>
      <c r="AX126">
        <v>29</v>
      </c>
      <c r="AY126">
        <v>18</v>
      </c>
      <c r="AZ126" t="s">
        <v>1200</v>
      </c>
    </row>
    <row r="127" spans="1:52" x14ac:dyDescent="0.25">
      <c r="A127" t="s">
        <v>1243</v>
      </c>
      <c r="B127" t="s">
        <v>971</v>
      </c>
      <c r="C127" s="88">
        <v>45860.556130439814</v>
      </c>
      <c r="D127" s="88">
        <v>45860.554155092592</v>
      </c>
      <c r="E127" s="88">
        <v>45860.456824490742</v>
      </c>
      <c r="F127" t="s">
        <v>1132</v>
      </c>
      <c r="G127" t="s">
        <v>1201</v>
      </c>
      <c r="H127" s="63">
        <v>45856</v>
      </c>
      <c r="I127" s="86">
        <v>0.85416666666666674</v>
      </c>
      <c r="J127" s="1">
        <v>45857</v>
      </c>
      <c r="K127" s="12">
        <v>0.59027777777777779</v>
      </c>
      <c r="L127" s="1">
        <v>45857</v>
      </c>
      <c r="M127" s="12">
        <v>0.60416666666666663</v>
      </c>
      <c r="N127" t="s">
        <v>174</v>
      </c>
      <c r="Q127" t="s">
        <v>1202</v>
      </c>
      <c r="R127" t="s">
        <v>325</v>
      </c>
      <c r="T127" t="s">
        <v>1203</v>
      </c>
      <c r="W127" t="s">
        <v>1204</v>
      </c>
      <c r="X127" t="s">
        <v>159</v>
      </c>
      <c r="Y127" t="s">
        <v>1205</v>
      </c>
      <c r="Z127" t="s">
        <v>835</v>
      </c>
      <c r="AE127" t="s">
        <v>943</v>
      </c>
      <c r="AF127" t="s">
        <v>931</v>
      </c>
      <c r="AG127" t="s">
        <v>1206</v>
      </c>
      <c r="AH127" t="s">
        <v>256</v>
      </c>
      <c r="AI127" t="s">
        <v>310</v>
      </c>
      <c r="AJ127" t="s">
        <v>181</v>
      </c>
      <c r="AL127" s="87">
        <v>9</v>
      </c>
      <c r="AM127" s="63">
        <v>45856</v>
      </c>
      <c r="AN127" s="86">
        <v>0.85416666666666663</v>
      </c>
      <c r="AO127" s="12">
        <v>0.83333333333333337</v>
      </c>
      <c r="AP127" t="s">
        <v>168</v>
      </c>
      <c r="AQ127" t="s">
        <v>1207</v>
      </c>
      <c r="AR127" t="s">
        <v>174</v>
      </c>
      <c r="AS127" t="s">
        <v>1014</v>
      </c>
      <c r="AT127" t="s">
        <v>168</v>
      </c>
      <c r="AU127" t="s">
        <v>170</v>
      </c>
      <c r="AV127" t="s">
        <v>1138</v>
      </c>
      <c r="AW127">
        <v>2025</v>
      </c>
      <c r="AX127">
        <v>29</v>
      </c>
      <c r="AY127">
        <v>18</v>
      </c>
      <c r="AZ127" t="s">
        <v>1207</v>
      </c>
    </row>
    <row r="128" spans="1:52" x14ac:dyDescent="0.25">
      <c r="A128" t="s">
        <v>1243</v>
      </c>
      <c r="B128" t="s">
        <v>971</v>
      </c>
      <c r="C128" s="88">
        <v>45860.556130439814</v>
      </c>
      <c r="D128" s="88">
        <v>45860.554155092592</v>
      </c>
      <c r="E128" s="88">
        <v>45860.456824490742</v>
      </c>
      <c r="F128" t="s">
        <v>1132</v>
      </c>
      <c r="G128" t="s">
        <v>1208</v>
      </c>
      <c r="H128" s="63">
        <v>45856</v>
      </c>
      <c r="I128" s="86">
        <v>0.85416666666666674</v>
      </c>
      <c r="J128" s="1">
        <v>45857</v>
      </c>
      <c r="K128" s="12">
        <v>0.59027777777777779</v>
      </c>
      <c r="L128" s="1">
        <v>45857</v>
      </c>
      <c r="M128" s="12">
        <v>0.60416666666666663</v>
      </c>
      <c r="N128" t="s">
        <v>174</v>
      </c>
      <c r="Q128" t="s">
        <v>1202</v>
      </c>
      <c r="T128" t="s">
        <v>1203</v>
      </c>
      <c r="W128" t="s">
        <v>1209</v>
      </c>
      <c r="X128" t="s">
        <v>942</v>
      </c>
      <c r="Y128" t="s">
        <v>299</v>
      </c>
      <c r="Z128" t="s">
        <v>835</v>
      </c>
      <c r="AE128" t="s">
        <v>943</v>
      </c>
      <c r="AF128" t="s">
        <v>931</v>
      </c>
      <c r="AG128" t="s">
        <v>1206</v>
      </c>
      <c r="AH128" t="s">
        <v>256</v>
      </c>
      <c r="AI128" t="s">
        <v>310</v>
      </c>
      <c r="AJ128" t="s">
        <v>181</v>
      </c>
      <c r="AL128" s="87">
        <v>9</v>
      </c>
      <c r="AM128" s="63">
        <v>45856</v>
      </c>
      <c r="AN128" s="86">
        <v>0.85416666666666663</v>
      </c>
      <c r="AO128" s="12">
        <v>0.83333333333333337</v>
      </c>
      <c r="AP128" t="s">
        <v>168</v>
      </c>
      <c r="AQ128" t="s">
        <v>1207</v>
      </c>
      <c r="AR128" t="s">
        <v>174</v>
      </c>
      <c r="AS128" t="s">
        <v>1014</v>
      </c>
      <c r="AT128" t="s">
        <v>168</v>
      </c>
      <c r="AU128" t="s">
        <v>170</v>
      </c>
      <c r="AV128" t="s">
        <v>1138</v>
      </c>
      <c r="AW128">
        <v>2025</v>
      </c>
      <c r="AX128">
        <v>29</v>
      </c>
      <c r="AY128">
        <v>18</v>
      </c>
      <c r="AZ128" t="s">
        <v>1207</v>
      </c>
    </row>
    <row r="129" spans="1:52" x14ac:dyDescent="0.25">
      <c r="A129" t="s">
        <v>1243</v>
      </c>
      <c r="B129" t="s">
        <v>971</v>
      </c>
      <c r="C129" s="88">
        <v>45860.556130439814</v>
      </c>
      <c r="D129" s="88">
        <v>45860.554155092592</v>
      </c>
      <c r="E129" s="88">
        <v>45860.456824490742</v>
      </c>
      <c r="F129" t="s">
        <v>1132</v>
      </c>
      <c r="G129" t="s">
        <v>1210</v>
      </c>
      <c r="H129" s="63">
        <v>45856</v>
      </c>
      <c r="I129" s="86">
        <v>0.85416666666666674</v>
      </c>
      <c r="J129" s="1">
        <v>45857</v>
      </c>
      <c r="K129" s="12">
        <v>0.58333333333333337</v>
      </c>
      <c r="L129" s="1">
        <v>45857</v>
      </c>
      <c r="M129" s="12">
        <v>0.60420138888888886</v>
      </c>
      <c r="N129" t="s">
        <v>174</v>
      </c>
      <c r="Q129" t="s">
        <v>1202</v>
      </c>
      <c r="R129" t="s">
        <v>325</v>
      </c>
      <c r="S129">
        <v>8</v>
      </c>
      <c r="T129" t="s">
        <v>1211</v>
      </c>
      <c r="W129" t="s">
        <v>1212</v>
      </c>
      <c r="X129" t="s">
        <v>947</v>
      </c>
      <c r="Y129" t="s">
        <v>1213</v>
      </c>
      <c r="Z129" t="s">
        <v>161</v>
      </c>
      <c r="AE129" t="s">
        <v>943</v>
      </c>
      <c r="AF129" t="s">
        <v>931</v>
      </c>
      <c r="AG129" t="s">
        <v>1206</v>
      </c>
      <c r="AH129" t="s">
        <v>256</v>
      </c>
      <c r="AI129" t="s">
        <v>310</v>
      </c>
      <c r="AJ129" t="s">
        <v>181</v>
      </c>
      <c r="AL129" s="87">
        <v>9</v>
      </c>
      <c r="AM129" s="63">
        <v>45856</v>
      </c>
      <c r="AN129" s="86">
        <v>0.85416666666666663</v>
      </c>
      <c r="AO129" s="12">
        <v>0.83333333333333337</v>
      </c>
      <c r="AP129" t="s">
        <v>168</v>
      </c>
      <c r="AQ129" t="s">
        <v>1207</v>
      </c>
      <c r="AR129" t="s">
        <v>174</v>
      </c>
      <c r="AS129" t="s">
        <v>1014</v>
      </c>
      <c r="AT129" t="s">
        <v>168</v>
      </c>
      <c r="AU129" t="s">
        <v>170</v>
      </c>
      <c r="AV129" t="s">
        <v>1138</v>
      </c>
      <c r="AW129">
        <v>2025</v>
      </c>
      <c r="AX129">
        <v>29</v>
      </c>
      <c r="AY129">
        <v>18</v>
      </c>
      <c r="AZ129" t="s">
        <v>1207</v>
      </c>
    </row>
    <row r="130" spans="1:52" x14ac:dyDescent="0.25">
      <c r="A130" t="s">
        <v>1243</v>
      </c>
      <c r="B130" t="s">
        <v>971</v>
      </c>
      <c r="C130" s="88">
        <v>45860.556130439814</v>
      </c>
      <c r="D130" s="88">
        <v>45860.554155092592</v>
      </c>
      <c r="E130" s="88">
        <v>45860.456824490742</v>
      </c>
      <c r="F130" t="s">
        <v>1132</v>
      </c>
      <c r="G130" t="s">
        <v>1214</v>
      </c>
      <c r="H130" s="63">
        <v>45859</v>
      </c>
      <c r="I130" s="86">
        <v>0.53125</v>
      </c>
      <c r="J130" s="1">
        <v>45859</v>
      </c>
      <c r="K130" s="12">
        <v>0.68263888888888891</v>
      </c>
      <c r="L130" s="1">
        <v>45859</v>
      </c>
      <c r="M130" s="12">
        <v>0.7746643518518519</v>
      </c>
      <c r="N130" t="s">
        <v>242</v>
      </c>
      <c r="O130" t="s">
        <v>154</v>
      </c>
      <c r="P130" t="s">
        <v>556</v>
      </c>
      <c r="Q130" t="s">
        <v>1215</v>
      </c>
      <c r="R130" t="s">
        <v>516</v>
      </c>
      <c r="S130">
        <v>9</v>
      </c>
      <c r="T130" t="s">
        <v>1244</v>
      </c>
      <c r="W130" t="s">
        <v>1217</v>
      </c>
      <c r="X130" t="s">
        <v>1233</v>
      </c>
      <c r="Y130" t="s">
        <v>1234</v>
      </c>
      <c r="Z130" t="s">
        <v>161</v>
      </c>
      <c r="AA130" t="s">
        <v>1235</v>
      </c>
      <c r="AB130" t="s">
        <v>161</v>
      </c>
      <c r="AC130" t="s">
        <v>1236</v>
      </c>
      <c r="AD130" t="s">
        <v>1237</v>
      </c>
      <c r="AE130" t="s">
        <v>934</v>
      </c>
      <c r="AF130" t="s">
        <v>931</v>
      </c>
      <c r="AG130" t="s">
        <v>443</v>
      </c>
      <c r="AH130" t="s">
        <v>444</v>
      </c>
      <c r="AL130" s="87">
        <v>9</v>
      </c>
      <c r="AM130" s="63">
        <v>45859</v>
      </c>
      <c r="AN130" s="86">
        <v>0.53125</v>
      </c>
      <c r="AO130" s="12">
        <v>0.5</v>
      </c>
      <c r="AP130" t="s">
        <v>146</v>
      </c>
      <c r="AQ130" t="s">
        <v>1221</v>
      </c>
      <c r="AR130" t="s">
        <v>1238</v>
      </c>
      <c r="AS130" t="s">
        <v>1014</v>
      </c>
      <c r="AT130" t="s">
        <v>146</v>
      </c>
      <c r="AU130" t="s">
        <v>183</v>
      </c>
      <c r="AV130" t="s">
        <v>1138</v>
      </c>
      <c r="AW130">
        <v>2025</v>
      </c>
      <c r="AX130">
        <v>30</v>
      </c>
      <c r="AY130">
        <v>21</v>
      </c>
      <c r="AZ130" t="s">
        <v>1221</v>
      </c>
    </row>
  </sheetData>
  <conditionalFormatting sqref="A2:AZ130">
    <cfRule type="expression" dxfId="593" priority="1" stopIfTrue="1">
      <formula>$AS2="7-Day"</formula>
    </cfRule>
    <cfRule type="expression" dxfId="592" priority="2" stopIfTrue="1">
      <formula>$AS2="28-Day"</formula>
    </cfRule>
    <cfRule type="expression" dxfId="591" priority="3" stopIfTrue="1">
      <formula>$AS2="YTD"</formula>
    </cfRule>
    <cfRule type="expression" dxfId="590" priority="4" stopIfTrue="1">
      <formula>$AS2="Historical"</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ED34-6AC5-4566-8422-6A47C3FCEA5A}">
  <sheetPr codeName="Sheet37">
    <tabColor rgb="FFFFC000"/>
  </sheetPr>
  <dimension ref="A1:BJ13"/>
  <sheetViews>
    <sheetView workbookViewId="0">
      <selection activeCell="L7" sqref="L7"/>
    </sheetView>
  </sheetViews>
  <sheetFormatPr defaultRowHeight="15" x14ac:dyDescent="0.25"/>
  <cols>
    <col min="1" max="1" width="15.140625" bestFit="1" customWidth="1"/>
    <col min="2" max="2" width="14.7109375" style="1" bestFit="1" customWidth="1"/>
    <col min="3" max="3" width="15.5703125" style="68" bestFit="1" customWidth="1"/>
    <col min="4" max="4" width="24.5703125" bestFit="1" customWidth="1"/>
    <col min="5" max="5" width="24.85546875" bestFit="1" customWidth="1"/>
    <col min="6" max="6" width="13.85546875" bestFit="1" customWidth="1"/>
    <col min="7" max="7" width="14.140625" bestFit="1" customWidth="1"/>
    <col min="8" max="8" width="41.140625" bestFit="1" customWidth="1"/>
    <col min="9" max="9" width="7.140625" bestFit="1" customWidth="1"/>
    <col min="10" max="10" width="7.7109375" bestFit="1" customWidth="1"/>
    <col min="11" max="11" width="81.140625" bestFit="1" customWidth="1"/>
    <col min="12" max="12" width="19.7109375" bestFit="1" customWidth="1"/>
    <col min="13" max="13" width="21.140625" bestFit="1" customWidth="1"/>
    <col min="14" max="14" width="15.5703125" bestFit="1" customWidth="1"/>
    <col min="15" max="15" width="9.28515625" bestFit="1" customWidth="1"/>
    <col min="16" max="16" width="10.140625" bestFit="1" customWidth="1"/>
    <col min="17" max="17" width="13" bestFit="1" customWidth="1"/>
    <col min="18" max="18" width="15.5703125" bestFit="1" customWidth="1"/>
    <col min="19" max="19" width="13" bestFit="1" customWidth="1"/>
    <col min="20" max="20" width="9.28515625" bestFit="1" customWidth="1"/>
    <col min="21" max="21" width="10.140625" bestFit="1" customWidth="1"/>
    <col min="22" max="22" width="14.7109375" bestFit="1" customWidth="1"/>
    <col min="23" max="23" width="15.7109375" bestFit="1" customWidth="1"/>
    <col min="24" max="24" width="27.42578125" bestFit="1" customWidth="1"/>
    <col min="25" max="25" width="8.7109375" bestFit="1" customWidth="1"/>
    <col min="26" max="26" width="27.42578125" bestFit="1" customWidth="1"/>
    <col min="27" max="27" width="29.140625" bestFit="1" customWidth="1"/>
    <col min="28" max="28" width="20" bestFit="1" customWidth="1"/>
    <col min="29" max="29" width="25.140625" bestFit="1" customWidth="1"/>
    <col min="30" max="30" width="15.140625" bestFit="1" customWidth="1"/>
    <col min="31" max="31" width="11.5703125" bestFit="1" customWidth="1"/>
    <col min="32" max="32" width="13.85546875" bestFit="1" customWidth="1"/>
    <col min="33" max="33" width="25.7109375" bestFit="1" customWidth="1"/>
    <col min="34" max="34" width="26" bestFit="1" customWidth="1"/>
    <col min="35" max="36" width="81.140625" bestFit="1" customWidth="1"/>
    <col min="37" max="37" width="11.85546875" bestFit="1" customWidth="1"/>
    <col min="38" max="38" width="12" bestFit="1" customWidth="1"/>
    <col min="39" max="39" width="14.42578125" bestFit="1" customWidth="1"/>
    <col min="40" max="40" width="22.7109375" bestFit="1" customWidth="1"/>
    <col min="41" max="41" width="25.7109375" bestFit="1" customWidth="1"/>
    <col min="42" max="42" width="12.28515625" bestFit="1" customWidth="1"/>
    <col min="43" max="43" width="15" bestFit="1" customWidth="1"/>
    <col min="44" max="44" width="7.28515625" bestFit="1" customWidth="1"/>
    <col min="45" max="45" width="15.42578125" bestFit="1" customWidth="1"/>
    <col min="46" max="46" width="17.42578125" bestFit="1" customWidth="1"/>
    <col min="47" max="47" width="6.5703125" bestFit="1" customWidth="1"/>
    <col min="48" max="48" width="13.28515625" bestFit="1" customWidth="1"/>
    <col min="49" max="49" width="26" bestFit="1" customWidth="1"/>
    <col min="50" max="50" width="41.140625" bestFit="1" customWidth="1"/>
    <col min="51" max="51" width="6" bestFit="1" customWidth="1"/>
    <col min="52" max="52" width="8.5703125" bestFit="1" customWidth="1"/>
    <col min="53" max="53" width="10.42578125" bestFit="1" customWidth="1"/>
    <col min="54" max="54" width="10.140625" bestFit="1" customWidth="1"/>
    <col min="55" max="55" width="26.42578125" bestFit="1" customWidth="1"/>
    <col min="56" max="56" width="16.5703125" bestFit="1" customWidth="1"/>
    <col min="57" max="58" width="25.7109375" bestFit="1" customWidth="1"/>
    <col min="59" max="59" width="9.140625" bestFit="1" customWidth="1"/>
    <col min="60" max="60" width="17.5703125" bestFit="1" customWidth="1"/>
    <col min="61" max="61" width="15.140625" bestFit="1" customWidth="1"/>
    <col min="62" max="62" width="31.5703125" customWidth="1"/>
    <col min="63" max="63" width="16.140625" bestFit="1" customWidth="1"/>
    <col min="64" max="65" width="24.28515625" bestFit="1" customWidth="1"/>
    <col min="66" max="66" width="25.7109375" bestFit="1" customWidth="1"/>
    <col min="67" max="67" width="12" bestFit="1" customWidth="1"/>
    <col min="68" max="68" width="25.7109375" bestFit="1" customWidth="1"/>
    <col min="69" max="69" width="67.7109375" bestFit="1" customWidth="1"/>
  </cols>
  <sheetData>
    <row r="1" spans="1:62" x14ac:dyDescent="0.25">
      <c r="A1" t="s">
        <v>93</v>
      </c>
      <c r="B1" s="1" t="s">
        <v>94</v>
      </c>
      <c r="C1" s="68" t="s">
        <v>95</v>
      </c>
      <c r="D1" t="s">
        <v>911</v>
      </c>
      <c r="E1" t="s">
        <v>912</v>
      </c>
      <c r="F1" t="s">
        <v>913</v>
      </c>
      <c r="G1" t="s">
        <v>914</v>
      </c>
      <c r="H1" t="s">
        <v>99</v>
      </c>
      <c r="I1" t="s">
        <v>100</v>
      </c>
      <c r="J1" t="s">
        <v>101</v>
      </c>
      <c r="K1" t="s">
        <v>102</v>
      </c>
      <c r="L1" t="s">
        <v>103</v>
      </c>
      <c r="M1" t="s">
        <v>104</v>
      </c>
      <c r="N1" t="s">
        <v>105</v>
      </c>
      <c r="O1" t="s">
        <v>106</v>
      </c>
      <c r="P1" t="s">
        <v>107</v>
      </c>
      <c r="Q1" t="s">
        <v>108</v>
      </c>
      <c r="R1" t="s">
        <v>109</v>
      </c>
      <c r="S1" t="s">
        <v>110</v>
      </c>
      <c r="T1" t="s">
        <v>111</v>
      </c>
      <c r="U1" t="s">
        <v>112</v>
      </c>
      <c r="V1" t="s">
        <v>113</v>
      </c>
      <c r="W1" t="s">
        <v>915</v>
      </c>
      <c r="X1" t="s">
        <v>114</v>
      </c>
      <c r="Y1" t="s">
        <v>115</v>
      </c>
      <c r="Z1" t="s">
        <v>116</v>
      </c>
      <c r="AA1" t="s">
        <v>117</v>
      </c>
      <c r="AB1" t="s">
        <v>118</v>
      </c>
      <c r="AC1" t="s">
        <v>916</v>
      </c>
      <c r="AD1" t="s">
        <v>2</v>
      </c>
      <c r="AE1" t="s">
        <v>120</v>
      </c>
      <c r="AF1" t="s">
        <v>121</v>
      </c>
      <c r="AG1" t="s">
        <v>122</v>
      </c>
      <c r="AH1" t="s">
        <v>1</v>
      </c>
      <c r="AI1" t="s">
        <v>917</v>
      </c>
      <c r="AJ1" t="s">
        <v>123</v>
      </c>
      <c r="AK1" t="s">
        <v>125</v>
      </c>
      <c r="AL1" t="s">
        <v>126</v>
      </c>
      <c r="AM1" t="s">
        <v>918</v>
      </c>
      <c r="AN1" t="s">
        <v>919</v>
      </c>
      <c r="AO1" t="s">
        <v>920</v>
      </c>
      <c r="AP1" t="s">
        <v>128</v>
      </c>
      <c r="AQ1" t="s">
        <v>129</v>
      </c>
      <c r="AR1" t="s">
        <v>130</v>
      </c>
      <c r="AS1" t="s">
        <v>131</v>
      </c>
      <c r="AT1" t="s">
        <v>921</v>
      </c>
      <c r="AU1" t="s">
        <v>132</v>
      </c>
      <c r="AV1" t="s">
        <v>922</v>
      </c>
      <c r="AW1" t="s">
        <v>923</v>
      </c>
      <c r="AX1" t="s">
        <v>924</v>
      </c>
      <c r="AY1" t="s">
        <v>925</v>
      </c>
      <c r="AZ1" t="s">
        <v>7</v>
      </c>
      <c r="BA1" t="s">
        <v>926</v>
      </c>
      <c r="BB1" t="s">
        <v>5</v>
      </c>
      <c r="BC1" t="s">
        <v>927</v>
      </c>
      <c r="BD1" t="s">
        <v>928</v>
      </c>
      <c r="BE1" t="s">
        <v>929</v>
      </c>
      <c r="BF1" t="s">
        <v>127</v>
      </c>
      <c r="BG1" t="s">
        <v>124</v>
      </c>
      <c r="BH1" t="s">
        <v>134</v>
      </c>
      <c r="BI1" t="s">
        <v>1240</v>
      </c>
      <c r="BJ1" t="s">
        <v>1241</v>
      </c>
    </row>
    <row r="2" spans="1:62" x14ac:dyDescent="0.25">
      <c r="A2" t="s">
        <v>187</v>
      </c>
      <c r="B2" s="1">
        <v>45664</v>
      </c>
      <c r="C2" s="88">
        <v>0.58333333333333326</v>
      </c>
      <c r="D2" s="1"/>
      <c r="E2" s="12"/>
      <c r="F2" s="1">
        <v>45667</v>
      </c>
      <c r="G2" s="12">
        <v>0.59781249999999997</v>
      </c>
      <c r="H2" t="s">
        <v>190</v>
      </c>
      <c r="I2" t="s">
        <v>191</v>
      </c>
      <c r="J2">
        <v>7</v>
      </c>
      <c r="K2" t="s">
        <v>192</v>
      </c>
      <c r="V2" t="s">
        <v>930</v>
      </c>
      <c r="W2" t="s">
        <v>931</v>
      </c>
      <c r="X2" t="s">
        <v>194</v>
      </c>
      <c r="Y2" t="s">
        <v>195</v>
      </c>
      <c r="Z2" t="s">
        <v>196</v>
      </c>
      <c r="AA2" t="s">
        <v>166</v>
      </c>
      <c r="AB2" t="s">
        <v>197</v>
      </c>
      <c r="AC2">
        <v>9</v>
      </c>
      <c r="AD2" s="1">
        <v>45664</v>
      </c>
      <c r="AE2" s="12">
        <v>0.58333333333333337</v>
      </c>
      <c r="AF2" s="12">
        <v>0.58333333333333337</v>
      </c>
      <c r="AG2" t="s">
        <v>146</v>
      </c>
      <c r="AH2" t="s">
        <v>199</v>
      </c>
      <c r="AI2" t="s">
        <v>198</v>
      </c>
      <c r="AJ2" t="s">
        <v>198</v>
      </c>
      <c r="AK2" s="12">
        <v>0.58333333333333337</v>
      </c>
      <c r="AL2" s="1">
        <v>45664</v>
      </c>
      <c r="AM2" s="12">
        <v>0.58333333333333337</v>
      </c>
      <c r="AN2" s="88"/>
      <c r="AO2" t="s">
        <v>146</v>
      </c>
      <c r="AP2" t="s">
        <v>148</v>
      </c>
      <c r="AQ2" t="s">
        <v>171</v>
      </c>
      <c r="AR2">
        <v>2025</v>
      </c>
      <c r="AS2">
        <v>2</v>
      </c>
      <c r="AT2">
        <v>2</v>
      </c>
      <c r="AU2">
        <v>7</v>
      </c>
      <c r="AV2">
        <v>7</v>
      </c>
      <c r="AW2" t="s">
        <v>199</v>
      </c>
      <c r="AX2" t="s">
        <v>190</v>
      </c>
      <c r="BE2" t="s">
        <v>146</v>
      </c>
      <c r="BF2" t="s">
        <v>146</v>
      </c>
      <c r="BG2" t="s">
        <v>169</v>
      </c>
      <c r="BH2" t="s">
        <v>1242</v>
      </c>
      <c r="BI2" t="s">
        <v>96</v>
      </c>
      <c r="BJ2" t="s">
        <v>188</v>
      </c>
    </row>
    <row r="3" spans="1:62" x14ac:dyDescent="0.25">
      <c r="A3" t="s">
        <v>278</v>
      </c>
      <c r="B3" s="1">
        <v>45680</v>
      </c>
      <c r="C3" s="88">
        <v>0.625</v>
      </c>
      <c r="D3" s="1"/>
      <c r="E3" s="12"/>
      <c r="F3" s="1">
        <v>45680</v>
      </c>
      <c r="G3" s="12">
        <v>0.66545138888888888</v>
      </c>
      <c r="H3" t="s">
        <v>279</v>
      </c>
      <c r="I3" t="s">
        <v>208</v>
      </c>
      <c r="J3">
        <v>8</v>
      </c>
      <c r="K3" t="s">
        <v>280</v>
      </c>
      <c r="V3" t="s">
        <v>932</v>
      </c>
      <c r="W3" t="s">
        <v>931</v>
      </c>
      <c r="X3" t="s">
        <v>143</v>
      </c>
      <c r="Y3" t="s">
        <v>282</v>
      </c>
      <c r="Z3" t="s">
        <v>196</v>
      </c>
      <c r="AA3" t="s">
        <v>283</v>
      </c>
      <c r="AC3">
        <v>9</v>
      </c>
      <c r="AD3" s="1">
        <v>45680</v>
      </c>
      <c r="AE3" s="12">
        <v>0.625</v>
      </c>
      <c r="AF3" s="12">
        <v>0.625</v>
      </c>
      <c r="AG3" t="s">
        <v>146</v>
      </c>
      <c r="AH3" t="s">
        <v>285</v>
      </c>
      <c r="AI3" t="s">
        <v>284</v>
      </c>
      <c r="AJ3" t="s">
        <v>284</v>
      </c>
      <c r="AK3" s="12">
        <v>0.625</v>
      </c>
      <c r="AL3" s="1">
        <v>45680</v>
      </c>
      <c r="AM3" s="12">
        <v>0.625</v>
      </c>
      <c r="AN3" s="88"/>
      <c r="AO3" t="s">
        <v>146</v>
      </c>
      <c r="AP3" t="s">
        <v>247</v>
      </c>
      <c r="AQ3" t="s">
        <v>171</v>
      </c>
      <c r="AR3">
        <v>2025</v>
      </c>
      <c r="AS3">
        <v>4</v>
      </c>
      <c r="AT3">
        <v>4</v>
      </c>
      <c r="AU3">
        <v>23</v>
      </c>
      <c r="AV3">
        <v>23</v>
      </c>
      <c r="AW3" t="s">
        <v>285</v>
      </c>
      <c r="AX3" t="s">
        <v>279</v>
      </c>
      <c r="BE3" t="s">
        <v>146</v>
      </c>
      <c r="BF3" t="s">
        <v>146</v>
      </c>
      <c r="BG3" t="s">
        <v>169</v>
      </c>
      <c r="BH3" t="s">
        <v>1242</v>
      </c>
      <c r="BI3" t="s">
        <v>96</v>
      </c>
      <c r="BJ3" t="s">
        <v>136</v>
      </c>
    </row>
    <row r="4" spans="1:62" x14ac:dyDescent="0.25">
      <c r="A4" t="s">
        <v>422</v>
      </c>
      <c r="B4" s="1">
        <v>45705</v>
      </c>
      <c r="C4" s="88">
        <v>0.83333333333333326</v>
      </c>
      <c r="D4" s="1">
        <v>45705</v>
      </c>
      <c r="E4" s="12">
        <v>0.98958333333333337</v>
      </c>
      <c r="F4" s="1">
        <v>45706</v>
      </c>
      <c r="G4" s="12">
        <v>0.73564814814814816</v>
      </c>
      <c r="H4" t="s">
        <v>424</v>
      </c>
      <c r="I4" t="s">
        <v>425</v>
      </c>
      <c r="J4">
        <v>8</v>
      </c>
      <c r="K4" t="s">
        <v>426</v>
      </c>
      <c r="V4" t="s">
        <v>932</v>
      </c>
      <c r="W4" t="s">
        <v>931</v>
      </c>
      <c r="X4" t="s">
        <v>310</v>
      </c>
      <c r="Y4" t="s">
        <v>282</v>
      </c>
      <c r="Z4" t="s">
        <v>310</v>
      </c>
      <c r="AA4" t="s">
        <v>320</v>
      </c>
      <c r="AC4">
        <v>9</v>
      </c>
      <c r="AD4" s="1">
        <v>45705</v>
      </c>
      <c r="AE4" s="12">
        <v>0.83333333333333337</v>
      </c>
      <c r="AF4" s="12">
        <v>0.83333333333333337</v>
      </c>
      <c r="AG4" t="s">
        <v>168</v>
      </c>
      <c r="AH4" t="s">
        <v>428</v>
      </c>
      <c r="AI4" t="s">
        <v>427</v>
      </c>
      <c r="AJ4" t="s">
        <v>427</v>
      </c>
      <c r="AK4" s="12">
        <v>0.83333333333333337</v>
      </c>
      <c r="AL4" s="1">
        <v>45705</v>
      </c>
      <c r="AM4" s="12">
        <v>0.83333333333333337</v>
      </c>
      <c r="AN4" s="88"/>
      <c r="AO4" t="s">
        <v>168</v>
      </c>
      <c r="AP4" t="s">
        <v>183</v>
      </c>
      <c r="AQ4" t="s">
        <v>344</v>
      </c>
      <c r="AR4">
        <v>2025</v>
      </c>
      <c r="AS4">
        <v>8</v>
      </c>
      <c r="AT4">
        <v>4</v>
      </c>
      <c r="AU4">
        <v>17</v>
      </c>
      <c r="AV4">
        <v>48</v>
      </c>
      <c r="AW4" t="s">
        <v>428</v>
      </c>
      <c r="AX4" t="s">
        <v>424</v>
      </c>
      <c r="BE4" t="s">
        <v>168</v>
      </c>
      <c r="BF4" t="s">
        <v>168</v>
      </c>
      <c r="BG4" t="s">
        <v>169</v>
      </c>
      <c r="BH4" t="s">
        <v>1242</v>
      </c>
      <c r="BI4" t="s">
        <v>97</v>
      </c>
      <c r="BJ4" t="s">
        <v>136</v>
      </c>
    </row>
    <row r="5" spans="1:62" x14ac:dyDescent="0.25">
      <c r="A5" t="s">
        <v>587</v>
      </c>
      <c r="B5" s="1">
        <v>45749</v>
      </c>
      <c r="C5" s="88">
        <v>0.89930555555555558</v>
      </c>
      <c r="D5" s="1"/>
      <c r="E5" s="12"/>
      <c r="F5" s="1">
        <v>45749</v>
      </c>
      <c r="G5" s="12">
        <v>0.90325231481481483</v>
      </c>
      <c r="H5" t="s">
        <v>589</v>
      </c>
      <c r="I5" t="s">
        <v>138</v>
      </c>
      <c r="J5">
        <v>8</v>
      </c>
      <c r="K5" t="s">
        <v>590</v>
      </c>
      <c r="V5" t="s">
        <v>935</v>
      </c>
      <c r="W5" t="s">
        <v>931</v>
      </c>
      <c r="X5" t="s">
        <v>525</v>
      </c>
      <c r="Y5" t="s">
        <v>211</v>
      </c>
      <c r="Z5" t="s">
        <v>143</v>
      </c>
      <c r="AA5" t="s">
        <v>283</v>
      </c>
      <c r="AC5">
        <v>9</v>
      </c>
      <c r="AD5" s="1">
        <v>45749</v>
      </c>
      <c r="AE5" s="12">
        <v>0.89930555555555558</v>
      </c>
      <c r="AF5" s="12">
        <v>0.875</v>
      </c>
      <c r="AG5" t="s">
        <v>168</v>
      </c>
      <c r="AH5" t="s">
        <v>592</v>
      </c>
      <c r="AI5" t="s">
        <v>591</v>
      </c>
      <c r="AJ5" t="s">
        <v>591</v>
      </c>
      <c r="AK5" s="12">
        <v>0.89930555555555558</v>
      </c>
      <c r="AL5" s="1">
        <v>45749</v>
      </c>
      <c r="AM5" s="12">
        <v>0.875</v>
      </c>
      <c r="AN5" s="88"/>
      <c r="AO5" t="s">
        <v>168</v>
      </c>
      <c r="AP5" t="s">
        <v>239</v>
      </c>
      <c r="AQ5" t="s">
        <v>582</v>
      </c>
      <c r="AR5">
        <v>2025</v>
      </c>
      <c r="AS5">
        <v>14</v>
      </c>
      <c r="AT5">
        <v>1</v>
      </c>
      <c r="AU5">
        <v>2</v>
      </c>
      <c r="AV5">
        <v>92</v>
      </c>
      <c r="AW5" t="s">
        <v>592</v>
      </c>
      <c r="AX5" t="s">
        <v>589</v>
      </c>
      <c r="BE5" t="s">
        <v>168</v>
      </c>
      <c r="BF5" t="s">
        <v>168</v>
      </c>
      <c r="BG5" t="s">
        <v>169</v>
      </c>
      <c r="BH5" t="s">
        <v>1242</v>
      </c>
      <c r="BI5" t="s">
        <v>97</v>
      </c>
      <c r="BJ5" t="s">
        <v>136</v>
      </c>
    </row>
    <row r="6" spans="1:62" x14ac:dyDescent="0.25">
      <c r="A6" t="s">
        <v>514</v>
      </c>
      <c r="B6" s="1">
        <v>45739</v>
      </c>
      <c r="C6" s="88">
        <v>0.6201388888888888</v>
      </c>
      <c r="D6" s="1">
        <v>45739</v>
      </c>
      <c r="E6" s="12">
        <v>0.64166666666666672</v>
      </c>
      <c r="F6" s="1">
        <v>45761</v>
      </c>
      <c r="G6" s="12">
        <v>0.49540509259259258</v>
      </c>
      <c r="H6" t="s">
        <v>515</v>
      </c>
      <c r="I6" t="s">
        <v>516</v>
      </c>
      <c r="J6">
        <v>9</v>
      </c>
      <c r="K6" t="s">
        <v>517</v>
      </c>
      <c r="V6" t="s">
        <v>936</v>
      </c>
      <c r="W6" t="s">
        <v>931</v>
      </c>
      <c r="X6" t="s">
        <v>443</v>
      </c>
      <c r="Y6" t="s">
        <v>142</v>
      </c>
      <c r="Z6" t="s">
        <v>275</v>
      </c>
      <c r="AA6" t="s">
        <v>166</v>
      </c>
      <c r="AB6" t="s">
        <v>197</v>
      </c>
      <c r="AC6">
        <v>9</v>
      </c>
      <c r="AD6" s="1">
        <v>45739</v>
      </c>
      <c r="AE6" s="12">
        <v>0.62013888888888891</v>
      </c>
      <c r="AF6" s="12">
        <v>0.58333333333333337</v>
      </c>
      <c r="AG6" t="s">
        <v>146</v>
      </c>
      <c r="AH6" t="s">
        <v>519</v>
      </c>
      <c r="AI6" t="s">
        <v>188</v>
      </c>
      <c r="AJ6" t="s">
        <v>188</v>
      </c>
      <c r="AK6" s="12">
        <v>0.62013888888888891</v>
      </c>
      <c r="AL6" s="1">
        <v>45739</v>
      </c>
      <c r="AM6" s="12">
        <v>0.58333333333333337</v>
      </c>
      <c r="AN6" s="88"/>
      <c r="AO6" t="s">
        <v>146</v>
      </c>
      <c r="AP6" t="s">
        <v>311</v>
      </c>
      <c r="AQ6" t="s">
        <v>445</v>
      </c>
      <c r="AR6">
        <v>2025</v>
      </c>
      <c r="AS6">
        <v>13</v>
      </c>
      <c r="AT6">
        <v>5</v>
      </c>
      <c r="AU6">
        <v>23</v>
      </c>
      <c r="AV6">
        <v>82</v>
      </c>
      <c r="AW6" t="s">
        <v>519</v>
      </c>
      <c r="AX6" t="s">
        <v>515</v>
      </c>
      <c r="BE6" t="s">
        <v>146</v>
      </c>
      <c r="BF6" t="s">
        <v>146</v>
      </c>
      <c r="BG6" t="s">
        <v>169</v>
      </c>
      <c r="BH6" t="s">
        <v>1242</v>
      </c>
      <c r="BI6" t="s">
        <v>96</v>
      </c>
      <c r="BJ6" t="s">
        <v>188</v>
      </c>
    </row>
    <row r="7" spans="1:62" x14ac:dyDescent="0.25">
      <c r="A7" t="s">
        <v>667</v>
      </c>
      <c r="B7" s="1">
        <v>45771</v>
      </c>
      <c r="C7" s="88">
        <v>0.45277777777777772</v>
      </c>
      <c r="D7" s="1"/>
      <c r="E7" s="12"/>
      <c r="F7" s="1">
        <v>45771</v>
      </c>
      <c r="G7" s="12">
        <v>0.63624999999999998</v>
      </c>
      <c r="H7" t="s">
        <v>190</v>
      </c>
      <c r="I7" t="s">
        <v>191</v>
      </c>
      <c r="J7">
        <v>7</v>
      </c>
      <c r="K7" t="s">
        <v>668</v>
      </c>
      <c r="V7" t="s">
        <v>193</v>
      </c>
      <c r="W7" t="s">
        <v>931</v>
      </c>
      <c r="X7" t="s">
        <v>194</v>
      </c>
      <c r="Y7" t="s">
        <v>195</v>
      </c>
      <c r="Z7" t="s">
        <v>194</v>
      </c>
      <c r="AA7" t="s">
        <v>320</v>
      </c>
      <c r="AB7" t="s">
        <v>197</v>
      </c>
      <c r="AC7">
        <v>9</v>
      </c>
      <c r="AD7" s="1">
        <v>45771</v>
      </c>
      <c r="AE7" s="12">
        <v>0.45277777777777778</v>
      </c>
      <c r="AF7" s="12">
        <v>0.41666666666666669</v>
      </c>
      <c r="AG7" t="s">
        <v>276</v>
      </c>
      <c r="AH7" t="s">
        <v>199</v>
      </c>
      <c r="AI7" t="s">
        <v>669</v>
      </c>
      <c r="AJ7" t="s">
        <v>669</v>
      </c>
      <c r="AK7" s="12">
        <v>0.45277777777777778</v>
      </c>
      <c r="AL7" s="1">
        <v>45771</v>
      </c>
      <c r="AM7" s="12">
        <v>0.41666666666666669</v>
      </c>
      <c r="AN7" s="88"/>
      <c r="AO7" t="s">
        <v>276</v>
      </c>
      <c r="AP7" t="s">
        <v>247</v>
      </c>
      <c r="AQ7" t="s">
        <v>582</v>
      </c>
      <c r="AR7">
        <v>2025</v>
      </c>
      <c r="AS7">
        <v>17</v>
      </c>
      <c r="AT7">
        <v>4</v>
      </c>
      <c r="AU7">
        <v>24</v>
      </c>
      <c r="AV7">
        <v>114</v>
      </c>
      <c r="AW7" t="s">
        <v>199</v>
      </c>
      <c r="AX7" t="s">
        <v>190</v>
      </c>
      <c r="BE7" t="s">
        <v>276</v>
      </c>
      <c r="BF7" t="s">
        <v>276</v>
      </c>
      <c r="BG7" t="s">
        <v>169</v>
      </c>
      <c r="BH7" t="s">
        <v>1242</v>
      </c>
      <c r="BI7" t="s">
        <v>97</v>
      </c>
      <c r="BJ7" t="s">
        <v>188</v>
      </c>
    </row>
    <row r="8" spans="1:62" x14ac:dyDescent="0.25">
      <c r="A8" t="s">
        <v>738</v>
      </c>
      <c r="B8" s="1">
        <v>45788</v>
      </c>
      <c r="C8" s="88"/>
      <c r="D8" s="1"/>
      <c r="E8" s="12"/>
      <c r="F8" s="1">
        <v>45790</v>
      </c>
      <c r="G8" s="12">
        <v>0.63552083333333331</v>
      </c>
      <c r="H8" t="s">
        <v>190</v>
      </c>
      <c r="I8" t="s">
        <v>191</v>
      </c>
      <c r="K8" t="s">
        <v>739</v>
      </c>
      <c r="V8" t="s">
        <v>945</v>
      </c>
      <c r="W8" t="s">
        <v>931</v>
      </c>
      <c r="X8" t="s">
        <v>194</v>
      </c>
      <c r="Y8" t="s">
        <v>444</v>
      </c>
      <c r="Z8" t="s">
        <v>194</v>
      </c>
      <c r="AA8" t="s">
        <v>166</v>
      </c>
      <c r="AB8" t="s">
        <v>741</v>
      </c>
      <c r="AC8">
        <v>9</v>
      </c>
      <c r="AD8" s="1">
        <v>45788</v>
      </c>
      <c r="AE8" s="12">
        <v>0.63552083333333331</v>
      </c>
      <c r="AF8" s="12">
        <v>0.625</v>
      </c>
      <c r="AG8" t="s">
        <v>146</v>
      </c>
      <c r="AH8" t="s">
        <v>199</v>
      </c>
      <c r="AI8" t="s">
        <v>284</v>
      </c>
      <c r="AJ8" t="s">
        <v>284</v>
      </c>
      <c r="AK8" s="12">
        <v>0.63552083333333331</v>
      </c>
      <c r="AL8" s="1">
        <v>45788</v>
      </c>
      <c r="AM8" s="12">
        <v>0.625</v>
      </c>
      <c r="AN8" s="88"/>
      <c r="AO8" t="s">
        <v>146</v>
      </c>
      <c r="AP8" t="s">
        <v>311</v>
      </c>
      <c r="AQ8" t="s">
        <v>705</v>
      </c>
      <c r="AR8">
        <v>2025</v>
      </c>
      <c r="AS8">
        <v>20</v>
      </c>
      <c r="AT8">
        <v>3</v>
      </c>
      <c r="AU8">
        <v>11</v>
      </c>
      <c r="AV8">
        <v>131</v>
      </c>
      <c r="AW8" t="s">
        <v>199</v>
      </c>
      <c r="AX8" t="s">
        <v>190</v>
      </c>
      <c r="BE8" t="s">
        <v>146</v>
      </c>
      <c r="BF8" t="s">
        <v>146</v>
      </c>
      <c r="BG8" t="s">
        <v>169</v>
      </c>
      <c r="BH8" t="s">
        <v>1242</v>
      </c>
      <c r="BI8" t="s">
        <v>96</v>
      </c>
      <c r="BJ8" t="s">
        <v>136</v>
      </c>
    </row>
    <row r="9" spans="1:62" x14ac:dyDescent="0.25">
      <c r="A9" t="s">
        <v>761</v>
      </c>
      <c r="B9" s="1">
        <v>45790</v>
      </c>
      <c r="C9" s="88">
        <v>0.64583333333333326</v>
      </c>
      <c r="D9" s="1"/>
      <c r="E9" s="12"/>
      <c r="F9" s="1">
        <v>45798</v>
      </c>
      <c r="G9" s="12">
        <v>0.58729166666666666</v>
      </c>
      <c r="H9" t="s">
        <v>762</v>
      </c>
      <c r="I9" t="s">
        <v>251</v>
      </c>
      <c r="J9">
        <v>9</v>
      </c>
      <c r="K9" t="s">
        <v>763</v>
      </c>
      <c r="V9" t="s">
        <v>946</v>
      </c>
      <c r="W9" t="s">
        <v>931</v>
      </c>
      <c r="X9" t="s">
        <v>334</v>
      </c>
      <c r="Y9" t="s">
        <v>164</v>
      </c>
      <c r="Z9" t="s">
        <v>257</v>
      </c>
      <c r="AA9" t="s">
        <v>320</v>
      </c>
      <c r="AB9" t="s">
        <v>197</v>
      </c>
      <c r="AC9">
        <v>9</v>
      </c>
      <c r="AD9" s="1">
        <v>45790</v>
      </c>
      <c r="AE9" s="12">
        <v>0.64583333333333337</v>
      </c>
      <c r="AF9" s="12">
        <v>0.625</v>
      </c>
      <c r="AG9" t="s">
        <v>146</v>
      </c>
      <c r="AH9" t="s">
        <v>764</v>
      </c>
      <c r="AI9" t="s">
        <v>188</v>
      </c>
      <c r="AJ9" t="s">
        <v>188</v>
      </c>
      <c r="AK9" s="12">
        <v>0.64583333333333337</v>
      </c>
      <c r="AL9" s="1">
        <v>45790</v>
      </c>
      <c r="AM9" s="12">
        <v>0.625</v>
      </c>
      <c r="AN9" s="88"/>
      <c r="AO9" t="s">
        <v>146</v>
      </c>
      <c r="AP9" t="s">
        <v>148</v>
      </c>
      <c r="AQ9" t="s">
        <v>705</v>
      </c>
      <c r="AR9">
        <v>2025</v>
      </c>
      <c r="AS9">
        <v>20</v>
      </c>
      <c r="AT9">
        <v>3</v>
      </c>
      <c r="AU9">
        <v>13</v>
      </c>
      <c r="AV9">
        <v>133</v>
      </c>
      <c r="AW9" t="s">
        <v>764</v>
      </c>
      <c r="AX9" t="s">
        <v>762</v>
      </c>
      <c r="BE9" t="s">
        <v>146</v>
      </c>
      <c r="BF9" t="s">
        <v>146</v>
      </c>
      <c r="BG9" t="s">
        <v>169</v>
      </c>
      <c r="BH9" t="s">
        <v>1242</v>
      </c>
      <c r="BI9" t="s">
        <v>96</v>
      </c>
      <c r="BJ9" t="s">
        <v>188</v>
      </c>
    </row>
    <row r="10" spans="1:62" x14ac:dyDescent="0.25">
      <c r="A10" t="s">
        <v>803</v>
      </c>
      <c r="B10" s="1">
        <v>45809</v>
      </c>
      <c r="C10" s="88">
        <v>0.5</v>
      </c>
      <c r="D10" s="1"/>
      <c r="E10" s="12"/>
      <c r="F10" s="1">
        <v>45812</v>
      </c>
      <c r="G10" s="12">
        <v>0.3739351851851852</v>
      </c>
      <c r="H10" t="s">
        <v>805</v>
      </c>
      <c r="I10" t="s">
        <v>191</v>
      </c>
      <c r="J10">
        <v>7</v>
      </c>
      <c r="K10" t="s">
        <v>806</v>
      </c>
      <c r="V10" t="s">
        <v>932</v>
      </c>
      <c r="W10" t="s">
        <v>931</v>
      </c>
      <c r="X10" t="s">
        <v>228</v>
      </c>
      <c r="Y10" t="s">
        <v>282</v>
      </c>
      <c r="Z10" t="s">
        <v>228</v>
      </c>
      <c r="AA10" t="s">
        <v>166</v>
      </c>
      <c r="AB10" t="s">
        <v>807</v>
      </c>
      <c r="AC10">
        <v>9</v>
      </c>
      <c r="AD10" s="1">
        <v>45809</v>
      </c>
      <c r="AE10" s="12">
        <v>0.5</v>
      </c>
      <c r="AF10" s="12">
        <v>0.5</v>
      </c>
      <c r="AG10" t="s">
        <v>146</v>
      </c>
      <c r="AH10" t="s">
        <v>627</v>
      </c>
      <c r="AI10" t="s">
        <v>808</v>
      </c>
      <c r="AJ10" t="s">
        <v>808</v>
      </c>
      <c r="AK10" s="12">
        <v>0.5</v>
      </c>
      <c r="AL10" s="1">
        <v>45809</v>
      </c>
      <c r="AM10" s="12">
        <v>0.5</v>
      </c>
      <c r="AN10" s="88"/>
      <c r="AO10" t="s">
        <v>146</v>
      </c>
      <c r="AP10" t="s">
        <v>311</v>
      </c>
      <c r="AQ10" t="s">
        <v>149</v>
      </c>
      <c r="AR10">
        <v>2025</v>
      </c>
      <c r="AS10">
        <v>23</v>
      </c>
      <c r="AT10">
        <v>1</v>
      </c>
      <c r="AU10">
        <v>1</v>
      </c>
      <c r="AV10">
        <v>152</v>
      </c>
      <c r="AW10" t="s">
        <v>627</v>
      </c>
      <c r="AX10" t="s">
        <v>805</v>
      </c>
      <c r="BE10" t="s">
        <v>146</v>
      </c>
      <c r="BF10" t="s">
        <v>146</v>
      </c>
      <c r="BG10" t="s">
        <v>169</v>
      </c>
      <c r="BH10" t="s">
        <v>1242</v>
      </c>
      <c r="BI10" t="s">
        <v>96</v>
      </c>
      <c r="BJ10" t="s">
        <v>136</v>
      </c>
    </row>
    <row r="11" spans="1:62" x14ac:dyDescent="0.25">
      <c r="A11" t="s">
        <v>1147</v>
      </c>
      <c r="B11" s="1">
        <v>45841</v>
      </c>
      <c r="C11" s="88">
        <v>0.625</v>
      </c>
      <c r="D11" s="1">
        <v>45841</v>
      </c>
      <c r="E11" s="12">
        <v>0.6875</v>
      </c>
      <c r="F11" s="1">
        <v>45841</v>
      </c>
      <c r="G11" s="12">
        <v>0.8992013888888889</v>
      </c>
      <c r="H11" t="s">
        <v>1148</v>
      </c>
      <c r="I11" t="s">
        <v>414</v>
      </c>
      <c r="J11">
        <v>7</v>
      </c>
      <c r="K11" t="s">
        <v>1149</v>
      </c>
      <c r="V11" t="s">
        <v>988</v>
      </c>
      <c r="W11" t="s">
        <v>931</v>
      </c>
      <c r="X11" t="s">
        <v>1150</v>
      </c>
      <c r="Y11" t="s">
        <v>142</v>
      </c>
      <c r="Z11" t="s">
        <v>194</v>
      </c>
      <c r="AA11" t="s">
        <v>283</v>
      </c>
      <c r="AC11">
        <v>9</v>
      </c>
      <c r="AD11" s="1">
        <v>45841</v>
      </c>
      <c r="AE11" s="12">
        <v>0.625</v>
      </c>
      <c r="AF11" s="12">
        <v>0.625</v>
      </c>
      <c r="AG11" t="s">
        <v>146</v>
      </c>
      <c r="AH11" t="s">
        <v>1151</v>
      </c>
      <c r="AI11" t="s">
        <v>284</v>
      </c>
      <c r="AJ11" t="s">
        <v>284</v>
      </c>
      <c r="AK11" s="12">
        <v>0.625</v>
      </c>
      <c r="AL11" s="1">
        <v>45841</v>
      </c>
      <c r="AM11" s="12">
        <v>0.625</v>
      </c>
      <c r="AN11" s="88"/>
      <c r="AO11" t="s">
        <v>146</v>
      </c>
      <c r="AP11" t="s">
        <v>247</v>
      </c>
      <c r="AQ11" t="s">
        <v>1138</v>
      </c>
      <c r="AR11">
        <v>2025</v>
      </c>
      <c r="AS11">
        <v>27</v>
      </c>
      <c r="AT11">
        <v>1</v>
      </c>
      <c r="AU11">
        <v>3</v>
      </c>
      <c r="AV11">
        <v>184</v>
      </c>
      <c r="AW11" t="s">
        <v>1151</v>
      </c>
      <c r="AX11" t="s">
        <v>1148</v>
      </c>
      <c r="BE11" t="s">
        <v>146</v>
      </c>
      <c r="BF11" t="s">
        <v>146</v>
      </c>
      <c r="BG11" t="s">
        <v>948</v>
      </c>
      <c r="BH11" t="s">
        <v>1242</v>
      </c>
      <c r="BI11" t="s">
        <v>96</v>
      </c>
      <c r="BJ11" t="s">
        <v>136</v>
      </c>
    </row>
    <row r="12" spans="1:62" x14ac:dyDescent="0.25">
      <c r="A12" t="s">
        <v>1171</v>
      </c>
      <c r="B12" s="1">
        <v>45851</v>
      </c>
      <c r="C12" s="88">
        <v>0.11250000000000004</v>
      </c>
      <c r="D12" s="1"/>
      <c r="E12" s="12"/>
      <c r="F12" s="1">
        <v>45851</v>
      </c>
      <c r="G12" s="12">
        <v>0.11651620370370371</v>
      </c>
      <c r="H12" t="s">
        <v>1172</v>
      </c>
      <c r="I12" t="s">
        <v>315</v>
      </c>
      <c r="K12" t="s">
        <v>1173</v>
      </c>
      <c r="V12" t="s">
        <v>943</v>
      </c>
      <c r="W12" t="s">
        <v>931</v>
      </c>
      <c r="X12" t="s">
        <v>443</v>
      </c>
      <c r="Y12" t="s">
        <v>444</v>
      </c>
      <c r="Z12" t="s">
        <v>534</v>
      </c>
      <c r="AA12" t="s">
        <v>301</v>
      </c>
      <c r="AC12">
        <v>9</v>
      </c>
      <c r="AD12" s="1">
        <v>45851</v>
      </c>
      <c r="AE12" s="12">
        <v>0.1125</v>
      </c>
      <c r="AF12" s="12">
        <v>8.3333333333333329E-2</v>
      </c>
      <c r="AG12" t="s">
        <v>343</v>
      </c>
      <c r="AH12" t="s">
        <v>699</v>
      </c>
      <c r="AI12" t="s">
        <v>136</v>
      </c>
      <c r="AJ12" t="s">
        <v>136</v>
      </c>
      <c r="AK12" s="12">
        <v>0.1125</v>
      </c>
      <c r="AL12" s="1">
        <v>45851</v>
      </c>
      <c r="AM12" s="12">
        <v>8.3333333333333329E-2</v>
      </c>
      <c r="AN12" s="88"/>
      <c r="AO12" t="s">
        <v>343</v>
      </c>
      <c r="AP12" t="s">
        <v>311</v>
      </c>
      <c r="AQ12" t="s">
        <v>1138</v>
      </c>
      <c r="AR12">
        <v>2025</v>
      </c>
      <c r="AS12">
        <v>29</v>
      </c>
      <c r="AT12">
        <v>3</v>
      </c>
      <c r="AU12">
        <v>13</v>
      </c>
      <c r="AV12">
        <v>194</v>
      </c>
      <c r="AW12" t="s">
        <v>699</v>
      </c>
      <c r="AX12" t="s">
        <v>1172</v>
      </c>
      <c r="BE12" t="s">
        <v>343</v>
      </c>
      <c r="BF12" t="s">
        <v>343</v>
      </c>
      <c r="BG12" t="s">
        <v>1014</v>
      </c>
      <c r="BH12" t="s">
        <v>1242</v>
      </c>
      <c r="BI12" t="s">
        <v>96</v>
      </c>
      <c r="BJ12" t="s">
        <v>136</v>
      </c>
    </row>
    <row r="13" spans="1:62" x14ac:dyDescent="0.25">
      <c r="A13" t="s">
        <v>1185</v>
      </c>
      <c r="B13" s="1">
        <v>45855</v>
      </c>
      <c r="C13" s="88">
        <v>0.95909722222222227</v>
      </c>
      <c r="D13" s="1"/>
      <c r="E13" s="12"/>
      <c r="F13" s="1">
        <v>45855</v>
      </c>
      <c r="G13" s="12">
        <v>0.95979166666666671</v>
      </c>
      <c r="H13" t="s">
        <v>1186</v>
      </c>
      <c r="I13" t="s">
        <v>378</v>
      </c>
      <c r="J13">
        <v>5</v>
      </c>
      <c r="K13" t="s">
        <v>1187</v>
      </c>
      <c r="V13" t="s">
        <v>930</v>
      </c>
      <c r="W13" t="s">
        <v>931</v>
      </c>
      <c r="X13" t="s">
        <v>265</v>
      </c>
      <c r="Y13" t="s">
        <v>164</v>
      </c>
      <c r="Z13" t="s">
        <v>1188</v>
      </c>
      <c r="AA13" t="s">
        <v>181</v>
      </c>
      <c r="AC13">
        <v>9</v>
      </c>
      <c r="AD13" s="1">
        <v>45855</v>
      </c>
      <c r="AE13" s="12">
        <v>0.95909722222222227</v>
      </c>
      <c r="AF13" s="12">
        <v>0.95833333333333337</v>
      </c>
      <c r="AG13" t="s">
        <v>168</v>
      </c>
      <c r="AH13" t="s">
        <v>1189</v>
      </c>
      <c r="AI13" t="s">
        <v>1190</v>
      </c>
      <c r="AJ13" t="s">
        <v>1190</v>
      </c>
      <c r="AK13" s="12">
        <v>0.95909722222222227</v>
      </c>
      <c r="AL13" s="1">
        <v>45855</v>
      </c>
      <c r="AM13" s="12">
        <v>0.95833333333333337</v>
      </c>
      <c r="AN13" s="88"/>
      <c r="AO13" t="s">
        <v>168</v>
      </c>
      <c r="AP13" t="s">
        <v>247</v>
      </c>
      <c r="AQ13" t="s">
        <v>1138</v>
      </c>
      <c r="AR13">
        <v>2025</v>
      </c>
      <c r="AS13">
        <v>29</v>
      </c>
      <c r="AT13">
        <v>3</v>
      </c>
      <c r="AU13">
        <v>17</v>
      </c>
      <c r="AV13">
        <v>198</v>
      </c>
      <c r="AW13" t="s">
        <v>1189</v>
      </c>
      <c r="AX13" t="s">
        <v>1186</v>
      </c>
      <c r="BE13" t="s">
        <v>168</v>
      </c>
      <c r="BF13" t="s">
        <v>168</v>
      </c>
      <c r="BG13" t="s">
        <v>169</v>
      </c>
      <c r="BH13" t="s">
        <v>1242</v>
      </c>
      <c r="BI13" t="s">
        <v>96</v>
      </c>
      <c r="BJ13" t="s">
        <v>136</v>
      </c>
    </row>
  </sheetData>
  <phoneticPr fontId="9" type="noConversion"/>
  <conditionalFormatting sqref="A2:BH13">
    <cfRule type="expression" dxfId="534" priority="117" stopIfTrue="1">
      <formula>$BG2="7-Day"</formula>
    </cfRule>
    <cfRule type="expression" dxfId="533" priority="118" stopIfTrue="1">
      <formula>$BG2="28-Day"</formula>
    </cfRule>
    <cfRule type="expression" dxfId="532" priority="119" stopIfTrue="1">
      <formula>$BG2="YTD"</formula>
    </cfRule>
    <cfRule type="expression" dxfId="531" priority="120" stopIfTrue="1">
      <formula>$BG2="Historical"</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54C4-B4D6-43E8-9C4B-A8EBC0903D63}">
  <sheetPr codeName="Sheet38">
    <tabColor rgb="FFFFC000"/>
  </sheetPr>
  <dimension ref="A1:BJ23"/>
  <sheetViews>
    <sheetView workbookViewId="0">
      <selection activeCell="H23" sqref="H2:H23"/>
    </sheetView>
  </sheetViews>
  <sheetFormatPr defaultRowHeight="15" x14ac:dyDescent="0.25"/>
  <cols>
    <col min="1" max="1" width="14.42578125" bestFit="1" customWidth="1"/>
    <col min="2" max="2" width="14" style="1" bestFit="1" customWidth="1"/>
    <col min="3" max="3" width="14.7109375" bestFit="1" customWidth="1"/>
    <col min="4" max="4" width="23" bestFit="1" customWidth="1"/>
    <col min="5" max="5" width="23.28515625" bestFit="1" customWidth="1"/>
    <col min="6" max="6" width="13.28515625" bestFit="1" customWidth="1"/>
    <col min="7" max="7" width="13.42578125" bestFit="1" customWidth="1"/>
    <col min="8" max="8" width="21.7109375" bestFit="1" customWidth="1"/>
    <col min="9" max="9" width="32.42578125" bestFit="1" customWidth="1"/>
    <col min="10" max="10" width="33.85546875" bestFit="1" customWidth="1"/>
    <col min="11" max="11" width="65.42578125" bestFit="1" customWidth="1"/>
    <col min="12" max="12" width="6.7109375" bestFit="1" customWidth="1"/>
    <col min="13" max="13" width="7.42578125" bestFit="1" customWidth="1"/>
    <col min="14" max="14" width="80.85546875" bestFit="1" customWidth="1"/>
    <col min="15" max="15" width="18.5703125" bestFit="1" customWidth="1"/>
    <col min="16" max="16" width="20.140625" bestFit="1" customWidth="1"/>
    <col min="17" max="17" width="14.7109375" bestFit="1" customWidth="1"/>
    <col min="18" max="18" width="9" bestFit="1" customWidth="1"/>
    <col min="19" max="19" width="9.7109375" bestFit="1" customWidth="1"/>
    <col min="20" max="20" width="12.5703125" bestFit="1" customWidth="1"/>
    <col min="21" max="21" width="14.7109375" bestFit="1" customWidth="1"/>
    <col min="22" max="22" width="12.5703125" bestFit="1" customWidth="1"/>
    <col min="23" max="23" width="9" bestFit="1" customWidth="1"/>
    <col min="24" max="24" width="9.7109375" bestFit="1" customWidth="1"/>
    <col min="25" max="25" width="13.85546875" bestFit="1" customWidth="1"/>
    <col min="26" max="26" width="14.7109375" bestFit="1" customWidth="1"/>
    <col min="27" max="27" width="26.140625" bestFit="1" customWidth="1"/>
    <col min="28" max="28" width="8.5703125" bestFit="1" customWidth="1"/>
    <col min="29" max="29" width="25" bestFit="1" customWidth="1"/>
    <col min="30" max="30" width="26.140625" bestFit="1" customWidth="1"/>
    <col min="31" max="31" width="18.5703125" bestFit="1" customWidth="1"/>
    <col min="32" max="32" width="24.28515625" bestFit="1" customWidth="1"/>
    <col min="33" max="33" width="14.42578125" bestFit="1" customWidth="1"/>
    <col min="34" max="34" width="9.85546875" bestFit="1" customWidth="1"/>
    <col min="35" max="35" width="13.28515625" bestFit="1" customWidth="1"/>
    <col min="36" max="36" width="24.28515625" bestFit="1" customWidth="1"/>
    <col min="37" max="37" width="44" bestFit="1" customWidth="1"/>
    <col min="38" max="38" width="67.28515625" bestFit="1" customWidth="1"/>
    <col min="39" max="39" width="8.7109375" bestFit="1" customWidth="1"/>
    <col min="40" max="40" width="67.28515625" bestFit="1" customWidth="1"/>
    <col min="41" max="41" width="11.5703125" style="69" bestFit="1" customWidth="1"/>
    <col min="42" max="42" width="11.7109375" style="1" bestFit="1" customWidth="1"/>
    <col min="43" max="43" width="14" style="69" bestFit="1" customWidth="1"/>
    <col min="44" max="44" width="22" bestFit="1" customWidth="1"/>
    <col min="45" max="45" width="24.28515625" bestFit="1" customWidth="1"/>
    <col min="46" max="46" width="11.85546875" bestFit="1" customWidth="1"/>
    <col min="47" max="47" width="14.42578125" bestFit="1" customWidth="1"/>
    <col min="48" max="48" width="6.85546875" bestFit="1" customWidth="1"/>
    <col min="49" max="49" width="14.28515625" bestFit="1" customWidth="1"/>
    <col min="50" max="50" width="16.5703125" bestFit="1" customWidth="1"/>
    <col min="51" max="51" width="6.42578125" bestFit="1" customWidth="1"/>
    <col min="52" max="52" width="12.7109375" bestFit="1" customWidth="1"/>
    <col min="53" max="53" width="44" bestFit="1" customWidth="1"/>
    <col min="54" max="54" width="65.42578125" bestFit="1" customWidth="1"/>
    <col min="55" max="55" width="5.85546875" bestFit="1" customWidth="1"/>
    <col min="56" max="56" width="8.140625" bestFit="1" customWidth="1"/>
    <col min="57" max="57" width="13.7109375" bestFit="1" customWidth="1"/>
    <col min="58" max="58" width="9.7109375" bestFit="1" customWidth="1"/>
    <col min="59" max="59" width="25.5703125" bestFit="1" customWidth="1"/>
    <col min="60" max="60" width="16.140625" bestFit="1" customWidth="1"/>
    <col min="61" max="62" width="24.28515625" bestFit="1" customWidth="1"/>
    <col min="63" max="63" width="25.7109375" bestFit="1" customWidth="1"/>
    <col min="64" max="64" width="12" bestFit="1" customWidth="1"/>
    <col min="65" max="65" width="25.7109375" bestFit="1" customWidth="1"/>
    <col min="66" max="66" width="66.5703125" bestFit="1" customWidth="1"/>
  </cols>
  <sheetData>
    <row r="1" spans="1:62"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917</v>
      </c>
      <c r="AM1" t="s">
        <v>124</v>
      </c>
      <c r="AN1" t="s">
        <v>123</v>
      </c>
      <c r="AO1" s="69" t="s">
        <v>125</v>
      </c>
      <c r="AP1" s="1" t="s">
        <v>126</v>
      </c>
      <c r="AQ1" s="69" t="s">
        <v>918</v>
      </c>
      <c r="AR1" t="s">
        <v>919</v>
      </c>
      <c r="AS1" t="s">
        <v>920</v>
      </c>
      <c r="AT1" t="s">
        <v>128</v>
      </c>
      <c r="AU1" t="s">
        <v>129</v>
      </c>
      <c r="AV1" t="s">
        <v>130</v>
      </c>
      <c r="AW1" t="s">
        <v>131</v>
      </c>
      <c r="AX1" t="s">
        <v>921</v>
      </c>
      <c r="AY1" t="s">
        <v>132</v>
      </c>
      <c r="AZ1" t="s">
        <v>922</v>
      </c>
      <c r="BA1" t="s">
        <v>923</v>
      </c>
      <c r="BB1" t="s">
        <v>924</v>
      </c>
      <c r="BC1" t="s">
        <v>925</v>
      </c>
      <c r="BD1" t="s">
        <v>7</v>
      </c>
      <c r="BE1" t="s">
        <v>926</v>
      </c>
      <c r="BF1" t="s">
        <v>5</v>
      </c>
      <c r="BG1" t="s">
        <v>927</v>
      </c>
      <c r="BH1" t="s">
        <v>928</v>
      </c>
      <c r="BI1" t="s">
        <v>929</v>
      </c>
      <c r="BJ1" t="s">
        <v>127</v>
      </c>
    </row>
    <row r="2" spans="1:62" x14ac:dyDescent="0.25">
      <c r="A2" t="s">
        <v>203</v>
      </c>
      <c r="B2" s="1">
        <v>45670</v>
      </c>
      <c r="C2" s="12">
        <v>0.50347222222222221</v>
      </c>
      <c r="D2" s="1"/>
      <c r="E2" s="12"/>
      <c r="F2" s="1">
        <v>45670</v>
      </c>
      <c r="G2" s="12">
        <v>0.50537037037037036</v>
      </c>
      <c r="H2" t="s">
        <v>204</v>
      </c>
      <c r="I2" t="s">
        <v>205</v>
      </c>
      <c r="J2" t="s">
        <v>206</v>
      </c>
      <c r="K2" t="s">
        <v>207</v>
      </c>
      <c r="L2" t="s">
        <v>208</v>
      </c>
      <c r="M2">
        <v>8</v>
      </c>
      <c r="N2" t="s">
        <v>209</v>
      </c>
      <c r="Y2" t="s">
        <v>950</v>
      </c>
      <c r="Z2" t="s">
        <v>931</v>
      </c>
      <c r="AA2" t="s">
        <v>210</v>
      </c>
      <c r="AB2" t="s">
        <v>211</v>
      </c>
      <c r="AC2" t="s">
        <v>143</v>
      </c>
      <c r="AD2" t="s">
        <v>212</v>
      </c>
      <c r="AE2" t="s">
        <v>213</v>
      </c>
      <c r="AF2">
        <v>9</v>
      </c>
      <c r="AG2" s="1">
        <v>45670</v>
      </c>
      <c r="AH2" s="12">
        <v>0.50347222222222221</v>
      </c>
      <c r="AI2" s="12">
        <v>0.5</v>
      </c>
      <c r="AJ2" t="s">
        <v>146</v>
      </c>
      <c r="AK2" t="s">
        <v>215</v>
      </c>
      <c r="AL2" t="s">
        <v>214</v>
      </c>
      <c r="AM2" t="s">
        <v>169</v>
      </c>
      <c r="AN2" t="s">
        <v>214</v>
      </c>
      <c r="AO2" s="69">
        <v>0.50347222222222221</v>
      </c>
      <c r="AP2" s="1">
        <v>45670</v>
      </c>
      <c r="AQ2" s="69">
        <v>0.5</v>
      </c>
      <c r="AR2" s="88"/>
      <c r="AS2" t="s">
        <v>146</v>
      </c>
      <c r="AT2" t="s">
        <v>183</v>
      </c>
      <c r="AU2" t="s">
        <v>171</v>
      </c>
      <c r="AV2">
        <v>2025</v>
      </c>
      <c r="AW2">
        <v>3</v>
      </c>
      <c r="AX2">
        <v>3</v>
      </c>
      <c r="AY2">
        <v>13</v>
      </c>
      <c r="AZ2">
        <v>13</v>
      </c>
      <c r="BA2" t="s">
        <v>215</v>
      </c>
      <c r="BB2" t="s">
        <v>207</v>
      </c>
      <c r="BI2" t="s">
        <v>146</v>
      </c>
      <c r="BJ2" t="s">
        <v>146</v>
      </c>
    </row>
    <row r="3" spans="1:62" x14ac:dyDescent="0.25">
      <c r="A3" t="s">
        <v>217</v>
      </c>
      <c r="B3" s="1">
        <v>45671</v>
      </c>
      <c r="C3" s="12">
        <v>0.64067129629629627</v>
      </c>
      <c r="D3" s="1"/>
      <c r="E3" s="12"/>
      <c r="F3" s="1">
        <v>45671</v>
      </c>
      <c r="G3" s="12">
        <v>0.64067129629629627</v>
      </c>
      <c r="H3" t="s">
        <v>206</v>
      </c>
      <c r="I3" t="s">
        <v>218</v>
      </c>
      <c r="J3" t="s">
        <v>219</v>
      </c>
      <c r="K3" t="s">
        <v>220</v>
      </c>
      <c r="L3" t="s">
        <v>221</v>
      </c>
      <c r="M3">
        <v>9</v>
      </c>
      <c r="N3" t="s">
        <v>222</v>
      </c>
      <c r="Q3" t="s">
        <v>951</v>
      </c>
      <c r="R3" t="s">
        <v>952</v>
      </c>
      <c r="S3" t="s">
        <v>225</v>
      </c>
      <c r="T3" t="s">
        <v>161</v>
      </c>
      <c r="Y3" t="s">
        <v>953</v>
      </c>
      <c r="Z3" t="s">
        <v>931</v>
      </c>
      <c r="AA3" t="s">
        <v>163</v>
      </c>
      <c r="AB3" t="s">
        <v>227</v>
      </c>
      <c r="AC3" t="s">
        <v>228</v>
      </c>
      <c r="AD3" t="s">
        <v>166</v>
      </c>
      <c r="AE3" t="s">
        <v>213</v>
      </c>
      <c r="AF3">
        <v>9</v>
      </c>
      <c r="AG3" s="1">
        <v>45671</v>
      </c>
      <c r="AH3" s="12">
        <v>0.64067129629629627</v>
      </c>
      <c r="AI3" s="12">
        <v>0.625</v>
      </c>
      <c r="AJ3" t="s">
        <v>146</v>
      </c>
      <c r="AK3" t="s">
        <v>230</v>
      </c>
      <c r="AL3" t="s">
        <v>229</v>
      </c>
      <c r="AM3" t="s">
        <v>169</v>
      </c>
      <c r="AN3" t="s">
        <v>229</v>
      </c>
      <c r="AO3" s="69">
        <v>0.64067129629629627</v>
      </c>
      <c r="AP3" s="1">
        <v>45671</v>
      </c>
      <c r="AQ3" s="69">
        <v>0.625</v>
      </c>
      <c r="AR3" s="88"/>
      <c r="AS3" t="s">
        <v>146</v>
      </c>
      <c r="AT3" t="s">
        <v>148</v>
      </c>
      <c r="AU3" t="s">
        <v>171</v>
      </c>
      <c r="AV3">
        <v>2025</v>
      </c>
      <c r="AW3">
        <v>3</v>
      </c>
      <c r="AX3">
        <v>3</v>
      </c>
      <c r="AY3">
        <v>14</v>
      </c>
      <c r="AZ3">
        <v>14</v>
      </c>
      <c r="BA3" t="s">
        <v>230</v>
      </c>
      <c r="BB3" t="s">
        <v>220</v>
      </c>
      <c r="BE3" t="s">
        <v>954</v>
      </c>
      <c r="BI3" t="s">
        <v>146</v>
      </c>
      <c r="BJ3" t="s">
        <v>146</v>
      </c>
    </row>
    <row r="4" spans="1:62" x14ac:dyDescent="0.25">
      <c r="A4" t="s">
        <v>249</v>
      </c>
      <c r="B4" s="1">
        <v>45673</v>
      </c>
      <c r="C4" s="12">
        <v>0.87708333333333333</v>
      </c>
      <c r="D4" s="1">
        <v>45673</v>
      </c>
      <c r="E4" s="12">
        <v>0.88611111111111107</v>
      </c>
      <c r="F4" s="1">
        <v>45674</v>
      </c>
      <c r="G4" s="12">
        <v>0.51179398148148147</v>
      </c>
      <c r="H4" t="s">
        <v>206</v>
      </c>
      <c r="K4" t="s">
        <v>250</v>
      </c>
      <c r="L4" t="s">
        <v>251</v>
      </c>
      <c r="M4">
        <v>9</v>
      </c>
      <c r="N4" t="s">
        <v>252</v>
      </c>
      <c r="R4" t="s">
        <v>955</v>
      </c>
      <c r="S4" t="s">
        <v>956</v>
      </c>
      <c r="Y4" t="s">
        <v>934</v>
      </c>
      <c r="Z4" t="s">
        <v>931</v>
      </c>
      <c r="AA4" t="s">
        <v>255</v>
      </c>
      <c r="AB4" t="s">
        <v>256</v>
      </c>
      <c r="AC4" t="s">
        <v>257</v>
      </c>
      <c r="AD4" t="s">
        <v>144</v>
      </c>
      <c r="AE4" t="s">
        <v>213</v>
      </c>
      <c r="AF4">
        <v>9</v>
      </c>
      <c r="AG4" s="1">
        <v>45673</v>
      </c>
      <c r="AH4" s="12">
        <v>0.87708333333333333</v>
      </c>
      <c r="AI4" s="12">
        <v>0.875</v>
      </c>
      <c r="AJ4" t="s">
        <v>168</v>
      </c>
      <c r="AK4" t="s">
        <v>258</v>
      </c>
      <c r="AL4" t="s">
        <v>206</v>
      </c>
      <c r="AM4" t="s">
        <v>169</v>
      </c>
      <c r="AN4" t="s">
        <v>206</v>
      </c>
      <c r="AO4" s="69">
        <v>0.87708333333333333</v>
      </c>
      <c r="AP4" s="1">
        <v>45673</v>
      </c>
      <c r="AQ4" s="69">
        <v>0.875</v>
      </c>
      <c r="AR4" s="88"/>
      <c r="AS4" t="s">
        <v>168</v>
      </c>
      <c r="AT4" t="s">
        <v>247</v>
      </c>
      <c r="AU4" t="s">
        <v>171</v>
      </c>
      <c r="AV4">
        <v>2025</v>
      </c>
      <c r="AW4">
        <v>3</v>
      </c>
      <c r="AX4">
        <v>3</v>
      </c>
      <c r="AY4">
        <v>16</v>
      </c>
      <c r="AZ4">
        <v>16</v>
      </c>
      <c r="BA4" t="s">
        <v>258</v>
      </c>
      <c r="BB4" t="s">
        <v>250</v>
      </c>
      <c r="BE4" t="s">
        <v>957</v>
      </c>
      <c r="BI4" t="s">
        <v>168</v>
      </c>
      <c r="BJ4" t="s">
        <v>168</v>
      </c>
    </row>
    <row r="5" spans="1:62" x14ac:dyDescent="0.25">
      <c r="A5" t="s">
        <v>346</v>
      </c>
      <c r="B5" s="1">
        <v>45690</v>
      </c>
      <c r="C5" s="12">
        <v>0.72569444444444442</v>
      </c>
      <c r="D5" s="1">
        <v>45690</v>
      </c>
      <c r="E5" s="12">
        <v>0.75</v>
      </c>
      <c r="F5" s="1">
        <v>45691</v>
      </c>
      <c r="G5" s="12">
        <v>0.50143518518518515</v>
      </c>
      <c r="H5" t="s">
        <v>347</v>
      </c>
      <c r="I5" t="s">
        <v>206</v>
      </c>
      <c r="K5" t="s">
        <v>348</v>
      </c>
      <c r="L5" t="s">
        <v>288</v>
      </c>
      <c r="M5">
        <v>5</v>
      </c>
      <c r="N5" t="s">
        <v>349</v>
      </c>
      <c r="Y5" t="s">
        <v>934</v>
      </c>
      <c r="Z5" t="s">
        <v>931</v>
      </c>
      <c r="AA5" t="s">
        <v>309</v>
      </c>
      <c r="AB5" t="s">
        <v>142</v>
      </c>
      <c r="AC5" t="s">
        <v>350</v>
      </c>
      <c r="AD5" t="s">
        <v>301</v>
      </c>
      <c r="AF5">
        <v>9</v>
      </c>
      <c r="AG5" s="1">
        <v>45690</v>
      </c>
      <c r="AH5" s="12">
        <v>0.72569444444444442</v>
      </c>
      <c r="AI5" s="12">
        <v>0.70833333333333337</v>
      </c>
      <c r="AJ5" t="s">
        <v>266</v>
      </c>
      <c r="AK5" t="s">
        <v>352</v>
      </c>
      <c r="AL5" t="s">
        <v>351</v>
      </c>
      <c r="AM5" t="s">
        <v>169</v>
      </c>
      <c r="AN5" t="s">
        <v>351</v>
      </c>
      <c r="AO5" s="69">
        <v>0.72569444444444442</v>
      </c>
      <c r="AP5" s="1">
        <v>45690</v>
      </c>
      <c r="AQ5" s="69">
        <v>0.70833333333333337</v>
      </c>
      <c r="AR5" s="88"/>
      <c r="AS5" t="s">
        <v>266</v>
      </c>
      <c r="AT5" t="s">
        <v>311</v>
      </c>
      <c r="AU5" t="s">
        <v>344</v>
      </c>
      <c r="AV5">
        <v>2025</v>
      </c>
      <c r="AW5">
        <v>6</v>
      </c>
      <c r="AX5">
        <v>2</v>
      </c>
      <c r="AY5">
        <v>2</v>
      </c>
      <c r="AZ5">
        <v>33</v>
      </c>
      <c r="BA5" t="s">
        <v>352</v>
      </c>
      <c r="BB5" t="s">
        <v>348</v>
      </c>
      <c r="BI5" t="s">
        <v>266</v>
      </c>
      <c r="BJ5" t="s">
        <v>266</v>
      </c>
    </row>
    <row r="6" spans="1:62" x14ac:dyDescent="0.25">
      <c r="A6" t="s">
        <v>353</v>
      </c>
      <c r="C6" s="12"/>
      <c r="D6" s="1"/>
      <c r="E6" s="12"/>
      <c r="F6" s="1">
        <v>45691</v>
      </c>
      <c r="G6" s="12">
        <v>0.694849537037037</v>
      </c>
      <c r="H6" t="s">
        <v>206</v>
      </c>
      <c r="K6" t="s">
        <v>354</v>
      </c>
      <c r="L6" t="s">
        <v>221</v>
      </c>
      <c r="M6">
        <v>9</v>
      </c>
      <c r="N6" t="s">
        <v>355</v>
      </c>
      <c r="Y6" t="s">
        <v>958</v>
      </c>
      <c r="Z6" t="s">
        <v>931</v>
      </c>
      <c r="AA6" t="s">
        <v>245</v>
      </c>
      <c r="AB6" t="s">
        <v>142</v>
      </c>
      <c r="AC6" t="s">
        <v>310</v>
      </c>
      <c r="AD6" t="s">
        <v>166</v>
      </c>
      <c r="AE6" t="s">
        <v>213</v>
      </c>
      <c r="AF6">
        <v>9</v>
      </c>
      <c r="AG6" s="1">
        <v>45691</v>
      </c>
      <c r="AH6" s="12">
        <v>0.694849537037037</v>
      </c>
      <c r="AI6" s="12">
        <v>0.66666666666666663</v>
      </c>
      <c r="AJ6" t="s">
        <v>266</v>
      </c>
      <c r="AK6" t="s">
        <v>230</v>
      </c>
      <c r="AL6" t="s">
        <v>206</v>
      </c>
      <c r="AM6" t="s">
        <v>169</v>
      </c>
      <c r="AN6" t="s">
        <v>206</v>
      </c>
      <c r="AO6" s="69">
        <v>0.694849537037037</v>
      </c>
      <c r="AP6" s="1">
        <v>45691</v>
      </c>
      <c r="AQ6" s="69">
        <v>0.66666666666666663</v>
      </c>
      <c r="AR6" s="88"/>
      <c r="AS6" t="s">
        <v>266</v>
      </c>
      <c r="AT6" t="s">
        <v>183</v>
      </c>
      <c r="AU6" t="s">
        <v>344</v>
      </c>
      <c r="AV6">
        <v>2025</v>
      </c>
      <c r="AW6">
        <v>6</v>
      </c>
      <c r="AX6">
        <v>2</v>
      </c>
      <c r="AY6">
        <v>3</v>
      </c>
      <c r="AZ6">
        <v>34</v>
      </c>
      <c r="BA6" t="s">
        <v>230</v>
      </c>
      <c r="BB6" t="s">
        <v>354</v>
      </c>
      <c r="BI6" t="s">
        <v>266</v>
      </c>
      <c r="BJ6" t="s">
        <v>266</v>
      </c>
    </row>
    <row r="7" spans="1:62" x14ac:dyDescent="0.25">
      <c r="A7" t="s">
        <v>386</v>
      </c>
      <c r="B7" s="1">
        <v>45701</v>
      </c>
      <c r="C7" s="12">
        <v>8.3333333333333329E-2</v>
      </c>
      <c r="D7" s="1"/>
      <c r="E7" s="12"/>
      <c r="F7" s="1">
        <v>45701</v>
      </c>
      <c r="G7" s="12">
        <v>0.51225694444444447</v>
      </c>
      <c r="H7" t="s">
        <v>387</v>
      </c>
      <c r="I7" t="s">
        <v>388</v>
      </c>
      <c r="J7" t="s">
        <v>206</v>
      </c>
      <c r="K7" t="s">
        <v>389</v>
      </c>
      <c r="L7" t="s">
        <v>390</v>
      </c>
      <c r="M7">
        <v>9</v>
      </c>
      <c r="N7" t="s">
        <v>391</v>
      </c>
      <c r="Y7" t="s">
        <v>933</v>
      </c>
      <c r="Z7" t="s">
        <v>931</v>
      </c>
      <c r="AA7" t="s">
        <v>393</v>
      </c>
      <c r="AB7" t="s">
        <v>384</v>
      </c>
      <c r="AC7" t="s">
        <v>257</v>
      </c>
      <c r="AD7" t="s">
        <v>394</v>
      </c>
      <c r="AF7">
        <v>9</v>
      </c>
      <c r="AG7" s="1">
        <v>45701</v>
      </c>
      <c r="AH7" s="12">
        <v>8.3333333333333329E-2</v>
      </c>
      <c r="AI7" s="12">
        <v>8.3333333333333329E-2</v>
      </c>
      <c r="AJ7" t="s">
        <v>343</v>
      </c>
      <c r="AK7" t="s">
        <v>396</v>
      </c>
      <c r="AL7" t="s">
        <v>395</v>
      </c>
      <c r="AM7" t="s">
        <v>169</v>
      </c>
      <c r="AN7" t="s">
        <v>395</v>
      </c>
      <c r="AO7" s="69">
        <v>8.3333333333333329E-2</v>
      </c>
      <c r="AP7" s="1">
        <v>45701</v>
      </c>
      <c r="AQ7" s="69">
        <v>8.3333333333333329E-2</v>
      </c>
      <c r="AR7" s="88"/>
      <c r="AS7" t="s">
        <v>343</v>
      </c>
      <c r="AT7" t="s">
        <v>247</v>
      </c>
      <c r="AU7" t="s">
        <v>344</v>
      </c>
      <c r="AV7">
        <v>2025</v>
      </c>
      <c r="AW7">
        <v>7</v>
      </c>
      <c r="AX7">
        <v>3</v>
      </c>
      <c r="AY7">
        <v>13</v>
      </c>
      <c r="AZ7">
        <v>44</v>
      </c>
      <c r="BA7" t="s">
        <v>396</v>
      </c>
      <c r="BB7" t="s">
        <v>389</v>
      </c>
      <c r="BI7" t="s">
        <v>343</v>
      </c>
      <c r="BJ7" t="s">
        <v>343</v>
      </c>
    </row>
    <row r="8" spans="1:62" x14ac:dyDescent="0.25">
      <c r="A8" t="s">
        <v>447</v>
      </c>
      <c r="B8" s="1">
        <v>45720</v>
      </c>
      <c r="C8" s="12">
        <v>0.64097222222222228</v>
      </c>
      <c r="D8" s="1"/>
      <c r="E8" s="12"/>
      <c r="F8" s="1">
        <v>45720</v>
      </c>
      <c r="G8" s="12">
        <v>0.64444444444444449</v>
      </c>
      <c r="H8" t="s">
        <v>206</v>
      </c>
      <c r="I8" t="s">
        <v>448</v>
      </c>
      <c r="J8" t="s">
        <v>204</v>
      </c>
      <c r="K8" t="s">
        <v>449</v>
      </c>
      <c r="L8" t="s">
        <v>208</v>
      </c>
      <c r="M8">
        <v>8</v>
      </c>
      <c r="N8" t="s">
        <v>450</v>
      </c>
      <c r="Q8" t="s">
        <v>451</v>
      </c>
      <c r="R8" t="s">
        <v>452</v>
      </c>
      <c r="S8" t="s">
        <v>453</v>
      </c>
      <c r="T8" t="s">
        <v>161</v>
      </c>
      <c r="Y8" t="s">
        <v>959</v>
      </c>
      <c r="Z8" t="s">
        <v>931</v>
      </c>
      <c r="AA8" t="s">
        <v>454</v>
      </c>
      <c r="AB8" t="s">
        <v>328</v>
      </c>
      <c r="AC8" t="s">
        <v>257</v>
      </c>
      <c r="AD8" t="s">
        <v>364</v>
      </c>
      <c r="AE8" t="s">
        <v>213</v>
      </c>
      <c r="AF8">
        <v>9</v>
      </c>
      <c r="AG8" s="1">
        <v>45720</v>
      </c>
      <c r="AH8" s="12">
        <v>0.64097222222222228</v>
      </c>
      <c r="AI8" s="12">
        <v>0.625</v>
      </c>
      <c r="AJ8" t="s">
        <v>146</v>
      </c>
      <c r="AK8" t="s">
        <v>456</v>
      </c>
      <c r="AL8" t="s">
        <v>455</v>
      </c>
      <c r="AM8" t="s">
        <v>169</v>
      </c>
      <c r="AN8" t="s">
        <v>455</v>
      </c>
      <c r="AO8" s="69">
        <v>0.64097222222222228</v>
      </c>
      <c r="AP8" s="1">
        <v>45720</v>
      </c>
      <c r="AQ8" s="69">
        <v>0.625</v>
      </c>
      <c r="AR8" s="88"/>
      <c r="AS8" t="s">
        <v>146</v>
      </c>
      <c r="AT8" t="s">
        <v>148</v>
      </c>
      <c r="AU8" t="s">
        <v>445</v>
      </c>
      <c r="AV8">
        <v>2025</v>
      </c>
      <c r="AW8">
        <v>10</v>
      </c>
      <c r="AX8">
        <v>2</v>
      </c>
      <c r="AY8">
        <v>4</v>
      </c>
      <c r="AZ8">
        <v>63</v>
      </c>
      <c r="BA8" t="s">
        <v>456</v>
      </c>
      <c r="BB8" t="s">
        <v>449</v>
      </c>
      <c r="BE8" t="s">
        <v>960</v>
      </c>
      <c r="BI8" t="s">
        <v>146</v>
      </c>
      <c r="BJ8" t="s">
        <v>146</v>
      </c>
    </row>
    <row r="9" spans="1:62" x14ac:dyDescent="0.25">
      <c r="A9" t="s">
        <v>457</v>
      </c>
      <c r="B9" s="1">
        <v>45720</v>
      </c>
      <c r="C9" s="12">
        <v>0.79126157407407405</v>
      </c>
      <c r="D9" s="1"/>
      <c r="E9" s="12"/>
      <c r="F9" s="1">
        <v>45720</v>
      </c>
      <c r="G9" s="12">
        <v>0.79126157407407405</v>
      </c>
      <c r="H9" t="s">
        <v>206</v>
      </c>
      <c r="K9" t="s">
        <v>458</v>
      </c>
      <c r="L9" t="s">
        <v>315</v>
      </c>
      <c r="M9">
        <v>6</v>
      </c>
      <c r="N9" t="s">
        <v>459</v>
      </c>
      <c r="Y9" t="s">
        <v>959</v>
      </c>
      <c r="Z9" t="s">
        <v>931</v>
      </c>
      <c r="AA9" t="s">
        <v>460</v>
      </c>
      <c r="AB9" t="s">
        <v>164</v>
      </c>
      <c r="AC9" t="s">
        <v>180</v>
      </c>
      <c r="AD9" t="s">
        <v>364</v>
      </c>
      <c r="AE9" t="s">
        <v>213</v>
      </c>
      <c r="AF9">
        <v>9</v>
      </c>
      <c r="AG9" s="1">
        <v>45720</v>
      </c>
      <c r="AH9" s="12">
        <v>0.79126157407407405</v>
      </c>
      <c r="AI9" s="12">
        <v>0.75</v>
      </c>
      <c r="AJ9" t="s">
        <v>266</v>
      </c>
      <c r="AK9" t="s">
        <v>461</v>
      </c>
      <c r="AL9" t="s">
        <v>206</v>
      </c>
      <c r="AM9" t="s">
        <v>169</v>
      </c>
      <c r="AN9" t="s">
        <v>206</v>
      </c>
      <c r="AO9" s="69">
        <v>0.79126157407407405</v>
      </c>
      <c r="AP9" s="1">
        <v>45720</v>
      </c>
      <c r="AQ9" s="69">
        <v>0.75</v>
      </c>
      <c r="AR9" s="88"/>
      <c r="AS9" t="s">
        <v>266</v>
      </c>
      <c r="AT9" t="s">
        <v>148</v>
      </c>
      <c r="AU9" t="s">
        <v>445</v>
      </c>
      <c r="AV9">
        <v>2025</v>
      </c>
      <c r="AW9">
        <v>10</v>
      </c>
      <c r="AX9">
        <v>2</v>
      </c>
      <c r="AY9">
        <v>4</v>
      </c>
      <c r="AZ9">
        <v>63</v>
      </c>
      <c r="BA9" t="s">
        <v>461</v>
      </c>
      <c r="BB9" t="s">
        <v>458</v>
      </c>
      <c r="BI9" t="s">
        <v>266</v>
      </c>
      <c r="BJ9" t="s">
        <v>266</v>
      </c>
    </row>
    <row r="10" spans="1:62" x14ac:dyDescent="0.25">
      <c r="A10" t="s">
        <v>520</v>
      </c>
      <c r="B10" s="1">
        <v>45741</v>
      </c>
      <c r="C10" s="12">
        <v>0.48402777777777778</v>
      </c>
      <c r="D10" s="1"/>
      <c r="E10" s="12"/>
      <c r="F10" s="1">
        <v>45741</v>
      </c>
      <c r="G10" s="12">
        <v>0.50343749999999998</v>
      </c>
      <c r="H10" t="s">
        <v>206</v>
      </c>
      <c r="I10" t="s">
        <v>295</v>
      </c>
      <c r="J10" t="s">
        <v>521</v>
      </c>
      <c r="K10" t="s">
        <v>220</v>
      </c>
      <c r="L10" t="s">
        <v>221</v>
      </c>
      <c r="M10">
        <v>9</v>
      </c>
      <c r="N10" t="s">
        <v>522</v>
      </c>
      <c r="Q10" t="s">
        <v>523</v>
      </c>
      <c r="R10" t="s">
        <v>961</v>
      </c>
      <c r="S10" t="s">
        <v>524</v>
      </c>
      <c r="T10" t="s">
        <v>161</v>
      </c>
      <c r="Y10" t="s">
        <v>962</v>
      </c>
      <c r="Z10" t="s">
        <v>931</v>
      </c>
      <c r="AA10" t="s">
        <v>525</v>
      </c>
      <c r="AB10" t="s">
        <v>211</v>
      </c>
      <c r="AC10" t="s">
        <v>228</v>
      </c>
      <c r="AD10" t="s">
        <v>166</v>
      </c>
      <c r="AE10" t="s">
        <v>213</v>
      </c>
      <c r="AF10">
        <v>9</v>
      </c>
      <c r="AG10" s="1">
        <v>45741</v>
      </c>
      <c r="AH10" s="12">
        <v>0.48402777777777778</v>
      </c>
      <c r="AI10" s="12">
        <v>0.45833333333333331</v>
      </c>
      <c r="AJ10" t="s">
        <v>276</v>
      </c>
      <c r="AK10" t="s">
        <v>230</v>
      </c>
      <c r="AL10" t="s">
        <v>526</v>
      </c>
      <c r="AM10" t="s">
        <v>169</v>
      </c>
      <c r="AN10" t="s">
        <v>526</v>
      </c>
      <c r="AO10" s="69">
        <v>0.48402777777777778</v>
      </c>
      <c r="AP10" s="1">
        <v>45741</v>
      </c>
      <c r="AQ10" s="69">
        <v>0.45833333333333331</v>
      </c>
      <c r="AR10" s="88"/>
      <c r="AS10" t="s">
        <v>276</v>
      </c>
      <c r="AT10" t="s">
        <v>148</v>
      </c>
      <c r="AU10" t="s">
        <v>445</v>
      </c>
      <c r="AV10">
        <v>2025</v>
      </c>
      <c r="AW10">
        <v>13</v>
      </c>
      <c r="AX10">
        <v>5</v>
      </c>
      <c r="AY10">
        <v>25</v>
      </c>
      <c r="AZ10">
        <v>84</v>
      </c>
      <c r="BA10" t="s">
        <v>230</v>
      </c>
      <c r="BB10" t="s">
        <v>220</v>
      </c>
      <c r="BE10" t="s">
        <v>963</v>
      </c>
      <c r="BI10" t="s">
        <v>276</v>
      </c>
      <c r="BJ10" t="s">
        <v>276</v>
      </c>
    </row>
    <row r="11" spans="1:62" x14ac:dyDescent="0.25">
      <c r="A11" t="s">
        <v>641</v>
      </c>
      <c r="B11" s="1">
        <v>45765</v>
      </c>
      <c r="C11" s="12">
        <v>0.85416666666666663</v>
      </c>
      <c r="D11" s="1"/>
      <c r="E11" s="12"/>
      <c r="F11" s="1">
        <v>45765</v>
      </c>
      <c r="G11" s="12">
        <v>0.97768518518518521</v>
      </c>
      <c r="H11" t="s">
        <v>206</v>
      </c>
      <c r="I11" t="s">
        <v>642</v>
      </c>
      <c r="J11" t="s">
        <v>387</v>
      </c>
      <c r="K11" t="s">
        <v>643</v>
      </c>
      <c r="L11" t="s">
        <v>644</v>
      </c>
      <c r="M11">
        <v>7</v>
      </c>
      <c r="N11" t="s">
        <v>645</v>
      </c>
      <c r="Y11" t="s">
        <v>946</v>
      </c>
      <c r="Z11" t="s">
        <v>931</v>
      </c>
      <c r="AA11" t="s">
        <v>646</v>
      </c>
      <c r="AB11" t="s">
        <v>328</v>
      </c>
      <c r="AC11" t="s">
        <v>534</v>
      </c>
      <c r="AD11" t="s">
        <v>301</v>
      </c>
      <c r="AE11" t="s">
        <v>213</v>
      </c>
      <c r="AF11">
        <v>9</v>
      </c>
      <c r="AG11" s="1">
        <v>45765</v>
      </c>
      <c r="AH11" s="12">
        <v>0.85416666666666663</v>
      </c>
      <c r="AI11" s="12">
        <v>0.83333333333333337</v>
      </c>
      <c r="AJ11" t="s">
        <v>168</v>
      </c>
      <c r="AK11" t="s">
        <v>648</v>
      </c>
      <c r="AL11" t="s">
        <v>647</v>
      </c>
      <c r="AM11" t="s">
        <v>169</v>
      </c>
      <c r="AN11" t="s">
        <v>647</v>
      </c>
      <c r="AO11" s="69">
        <v>0.85416666666666663</v>
      </c>
      <c r="AP11" s="1">
        <v>45765</v>
      </c>
      <c r="AQ11" s="69">
        <v>0.83333333333333337</v>
      </c>
      <c r="AR11" s="88"/>
      <c r="AS11" t="s">
        <v>168</v>
      </c>
      <c r="AT11" t="s">
        <v>170</v>
      </c>
      <c r="AU11" t="s">
        <v>582</v>
      </c>
      <c r="AV11">
        <v>2025</v>
      </c>
      <c r="AW11">
        <v>16</v>
      </c>
      <c r="AX11">
        <v>3</v>
      </c>
      <c r="AY11">
        <v>18</v>
      </c>
      <c r="AZ11">
        <v>108</v>
      </c>
      <c r="BA11" t="s">
        <v>648</v>
      </c>
      <c r="BB11" t="s">
        <v>643</v>
      </c>
      <c r="BI11" t="s">
        <v>168</v>
      </c>
      <c r="BJ11" t="s">
        <v>168</v>
      </c>
    </row>
    <row r="12" spans="1:62" x14ac:dyDescent="0.25">
      <c r="A12" t="s">
        <v>677</v>
      </c>
      <c r="B12" s="1">
        <v>45774</v>
      </c>
      <c r="C12" s="12">
        <v>0.77083333333333337</v>
      </c>
      <c r="D12" s="1"/>
      <c r="E12" s="12"/>
      <c r="F12" s="1">
        <v>45776</v>
      </c>
      <c r="G12" s="12">
        <v>0.35416666666666669</v>
      </c>
      <c r="H12" t="s">
        <v>206</v>
      </c>
      <c r="I12" t="s">
        <v>388</v>
      </c>
      <c r="K12" t="s">
        <v>678</v>
      </c>
      <c r="L12" t="s">
        <v>400</v>
      </c>
      <c r="M12">
        <v>6</v>
      </c>
      <c r="N12" t="s">
        <v>679</v>
      </c>
      <c r="Q12" t="s">
        <v>937</v>
      </c>
      <c r="R12" t="s">
        <v>452</v>
      </c>
      <c r="U12" t="s">
        <v>938</v>
      </c>
      <c r="W12" t="s">
        <v>939</v>
      </c>
      <c r="Y12" t="s">
        <v>682</v>
      </c>
      <c r="Z12" t="s">
        <v>931</v>
      </c>
      <c r="AA12" t="s">
        <v>683</v>
      </c>
      <c r="AB12" t="s">
        <v>684</v>
      </c>
      <c r="AF12">
        <v>9</v>
      </c>
      <c r="AG12" s="1">
        <v>45774</v>
      </c>
      <c r="AH12" s="12">
        <v>0.77083333333333337</v>
      </c>
      <c r="AI12" s="12">
        <v>0.75</v>
      </c>
      <c r="AJ12" t="s">
        <v>266</v>
      </c>
      <c r="AK12" t="s">
        <v>686</v>
      </c>
      <c r="AL12" t="s">
        <v>685</v>
      </c>
      <c r="AM12" t="s">
        <v>169</v>
      </c>
      <c r="AN12" t="s">
        <v>685</v>
      </c>
      <c r="AO12" s="69">
        <v>0.77083333333333337</v>
      </c>
      <c r="AP12" s="1">
        <v>45774</v>
      </c>
      <c r="AQ12" s="69">
        <v>0.75</v>
      </c>
      <c r="AR12" s="88"/>
      <c r="AS12" t="s">
        <v>266</v>
      </c>
      <c r="AT12" t="s">
        <v>311</v>
      </c>
      <c r="AU12" t="s">
        <v>582</v>
      </c>
      <c r="AV12">
        <v>2025</v>
      </c>
      <c r="AW12">
        <v>18</v>
      </c>
      <c r="AX12">
        <v>5</v>
      </c>
      <c r="AY12">
        <v>27</v>
      </c>
      <c r="AZ12">
        <v>117</v>
      </c>
      <c r="BA12" t="s">
        <v>686</v>
      </c>
      <c r="BB12" t="s">
        <v>678</v>
      </c>
      <c r="BE12" t="s">
        <v>940</v>
      </c>
      <c r="BI12" t="s">
        <v>266</v>
      </c>
      <c r="BJ12" t="s">
        <v>266</v>
      </c>
    </row>
    <row r="13" spans="1:62" x14ac:dyDescent="0.25">
      <c r="A13" t="s">
        <v>695</v>
      </c>
      <c r="B13" s="1">
        <v>45777</v>
      </c>
      <c r="C13" s="12">
        <v>0.68012731481481481</v>
      </c>
      <c r="D13" s="1"/>
      <c r="E13" s="12"/>
      <c r="F13" s="1">
        <v>45777</v>
      </c>
      <c r="G13" s="12">
        <v>0.68012731481481481</v>
      </c>
      <c r="H13" t="s">
        <v>206</v>
      </c>
      <c r="K13" t="s">
        <v>696</v>
      </c>
      <c r="N13" t="s">
        <v>697</v>
      </c>
      <c r="Y13" t="s">
        <v>958</v>
      </c>
      <c r="Z13" t="s">
        <v>931</v>
      </c>
      <c r="AA13" t="s">
        <v>141</v>
      </c>
      <c r="AB13" t="s">
        <v>142</v>
      </c>
      <c r="AC13" t="s">
        <v>698</v>
      </c>
      <c r="AD13" t="s">
        <v>320</v>
      </c>
      <c r="AE13" t="s">
        <v>213</v>
      </c>
      <c r="AF13">
        <v>9</v>
      </c>
      <c r="AG13" s="1">
        <v>45777</v>
      </c>
      <c r="AH13" s="12">
        <v>0.68012731481481481</v>
      </c>
      <c r="AI13" s="12">
        <v>0.66666666666666663</v>
      </c>
      <c r="AJ13" t="s">
        <v>266</v>
      </c>
      <c r="AK13" t="s">
        <v>699</v>
      </c>
      <c r="AL13" t="s">
        <v>206</v>
      </c>
      <c r="AM13" t="s">
        <v>169</v>
      </c>
      <c r="AN13" t="s">
        <v>206</v>
      </c>
      <c r="AO13" s="69">
        <v>0.68012731481481481</v>
      </c>
      <c r="AP13" s="1">
        <v>45777</v>
      </c>
      <c r="AQ13" s="69">
        <v>0.66666666666666663</v>
      </c>
      <c r="AR13" s="88"/>
      <c r="AS13" t="s">
        <v>266</v>
      </c>
      <c r="AT13" t="s">
        <v>239</v>
      </c>
      <c r="AU13" t="s">
        <v>582</v>
      </c>
      <c r="AV13">
        <v>2025</v>
      </c>
      <c r="AW13">
        <v>18</v>
      </c>
      <c r="AX13">
        <v>5</v>
      </c>
      <c r="AY13">
        <v>30</v>
      </c>
      <c r="AZ13">
        <v>120</v>
      </c>
      <c r="BA13" t="s">
        <v>699</v>
      </c>
      <c r="BB13" t="s">
        <v>696</v>
      </c>
      <c r="BI13" t="s">
        <v>266</v>
      </c>
      <c r="BJ13" t="s">
        <v>266</v>
      </c>
    </row>
    <row r="14" spans="1:62" x14ac:dyDescent="0.25">
      <c r="A14" t="s">
        <v>725</v>
      </c>
      <c r="B14" s="1">
        <v>45786</v>
      </c>
      <c r="C14" s="12">
        <v>0.60416666666666663</v>
      </c>
      <c r="D14" s="1"/>
      <c r="E14" s="12"/>
      <c r="F14" s="1">
        <v>45786</v>
      </c>
      <c r="G14" s="12">
        <v>0.60798611111111112</v>
      </c>
      <c r="H14" t="s">
        <v>206</v>
      </c>
      <c r="I14" t="s">
        <v>726</v>
      </c>
      <c r="K14" t="s">
        <v>727</v>
      </c>
      <c r="L14" t="s">
        <v>270</v>
      </c>
      <c r="M14">
        <v>5</v>
      </c>
      <c r="N14" t="s">
        <v>728</v>
      </c>
      <c r="Y14" t="s">
        <v>936</v>
      </c>
      <c r="Z14" t="s">
        <v>931</v>
      </c>
      <c r="AA14" t="s">
        <v>729</v>
      </c>
      <c r="AB14" t="s">
        <v>256</v>
      </c>
      <c r="AC14" t="s">
        <v>310</v>
      </c>
      <c r="AD14" t="s">
        <v>144</v>
      </c>
      <c r="AE14" t="s">
        <v>213</v>
      </c>
      <c r="AF14">
        <v>9</v>
      </c>
      <c r="AG14" s="1">
        <v>45786</v>
      </c>
      <c r="AH14" s="12">
        <v>0.60416666666666663</v>
      </c>
      <c r="AI14" s="12">
        <v>0.58333333333333337</v>
      </c>
      <c r="AJ14" t="s">
        <v>146</v>
      </c>
      <c r="AK14" t="s">
        <v>731</v>
      </c>
      <c r="AL14" t="s">
        <v>730</v>
      </c>
      <c r="AM14" t="s">
        <v>169</v>
      </c>
      <c r="AN14" t="s">
        <v>730</v>
      </c>
      <c r="AO14" s="69">
        <v>0.60416666666666663</v>
      </c>
      <c r="AP14" s="1">
        <v>45786</v>
      </c>
      <c r="AQ14" s="69">
        <v>0.58333333333333337</v>
      </c>
      <c r="AR14" s="88"/>
      <c r="AS14" t="s">
        <v>146</v>
      </c>
      <c r="AT14" t="s">
        <v>170</v>
      </c>
      <c r="AU14" t="s">
        <v>705</v>
      </c>
      <c r="AV14">
        <v>2025</v>
      </c>
      <c r="AW14">
        <v>19</v>
      </c>
      <c r="AX14">
        <v>2</v>
      </c>
      <c r="AY14">
        <v>9</v>
      </c>
      <c r="AZ14">
        <v>129</v>
      </c>
      <c r="BA14" t="s">
        <v>731</v>
      </c>
      <c r="BB14" t="s">
        <v>727</v>
      </c>
      <c r="BI14" t="s">
        <v>146</v>
      </c>
      <c r="BJ14" t="s">
        <v>146</v>
      </c>
    </row>
    <row r="15" spans="1:62" x14ac:dyDescent="0.25">
      <c r="A15" t="s">
        <v>793</v>
      </c>
      <c r="B15" s="1">
        <v>45804</v>
      </c>
      <c r="C15" s="12">
        <v>0.9770833333333333</v>
      </c>
      <c r="D15" s="1"/>
      <c r="E15" s="12"/>
      <c r="F15" s="1">
        <v>45803</v>
      </c>
      <c r="G15" s="12">
        <v>0.98570601851851847</v>
      </c>
      <c r="H15" t="s">
        <v>206</v>
      </c>
      <c r="I15" t="s">
        <v>779</v>
      </c>
      <c r="J15" t="s">
        <v>794</v>
      </c>
      <c r="K15" t="s">
        <v>795</v>
      </c>
      <c r="L15" t="s">
        <v>270</v>
      </c>
      <c r="M15">
        <v>5</v>
      </c>
      <c r="N15" t="s">
        <v>796</v>
      </c>
      <c r="Y15" t="s">
        <v>930</v>
      </c>
      <c r="Z15" t="s">
        <v>931</v>
      </c>
      <c r="AA15" t="s">
        <v>443</v>
      </c>
      <c r="AB15" t="s">
        <v>444</v>
      </c>
      <c r="AC15" t="s">
        <v>275</v>
      </c>
      <c r="AD15" t="s">
        <v>166</v>
      </c>
      <c r="AE15" t="s">
        <v>213</v>
      </c>
      <c r="AF15">
        <v>9</v>
      </c>
      <c r="AG15" s="1">
        <v>45804</v>
      </c>
      <c r="AH15" s="12">
        <v>0.9770833333333333</v>
      </c>
      <c r="AI15" s="12">
        <v>0.95833333333333337</v>
      </c>
      <c r="AJ15" t="s">
        <v>168</v>
      </c>
      <c r="AK15" t="s">
        <v>731</v>
      </c>
      <c r="AL15" t="s">
        <v>797</v>
      </c>
      <c r="AM15" t="s">
        <v>169</v>
      </c>
      <c r="AN15" t="s">
        <v>797</v>
      </c>
      <c r="AO15" s="69">
        <v>0.9770833333333333</v>
      </c>
      <c r="AP15" s="1">
        <v>45804</v>
      </c>
      <c r="AQ15" s="69">
        <v>0.95833333333333337</v>
      </c>
      <c r="AR15" s="88"/>
      <c r="AS15" t="s">
        <v>168</v>
      </c>
      <c r="AT15" t="s">
        <v>148</v>
      </c>
      <c r="AU15" t="s">
        <v>705</v>
      </c>
      <c r="AV15">
        <v>2025</v>
      </c>
      <c r="AW15">
        <v>22</v>
      </c>
      <c r="AX15">
        <v>5</v>
      </c>
      <c r="AY15">
        <v>27</v>
      </c>
      <c r="AZ15">
        <v>147</v>
      </c>
      <c r="BA15" t="s">
        <v>731</v>
      </c>
      <c r="BB15" t="s">
        <v>795</v>
      </c>
      <c r="BI15" t="s">
        <v>168</v>
      </c>
      <c r="BJ15" t="s">
        <v>168</v>
      </c>
    </row>
    <row r="16" spans="1:62" x14ac:dyDescent="0.25">
      <c r="A16" t="s">
        <v>798</v>
      </c>
      <c r="B16" s="1">
        <v>45806</v>
      </c>
      <c r="C16" s="12">
        <v>0.15972222222222221</v>
      </c>
      <c r="D16" s="1"/>
      <c r="E16" s="12"/>
      <c r="F16" s="1">
        <v>45806</v>
      </c>
      <c r="G16" s="12">
        <v>0.16469907407407408</v>
      </c>
      <c r="H16" t="s">
        <v>206</v>
      </c>
      <c r="K16" t="s">
        <v>799</v>
      </c>
      <c r="L16" t="s">
        <v>138</v>
      </c>
      <c r="M16">
        <v>8</v>
      </c>
      <c r="N16" t="s">
        <v>800</v>
      </c>
      <c r="Y16" t="s">
        <v>964</v>
      </c>
      <c r="Z16" t="s">
        <v>931</v>
      </c>
      <c r="AA16" t="s">
        <v>801</v>
      </c>
      <c r="AB16" t="s">
        <v>164</v>
      </c>
      <c r="AC16" t="s">
        <v>350</v>
      </c>
      <c r="AD16" t="s">
        <v>301</v>
      </c>
      <c r="AE16" t="s">
        <v>213</v>
      </c>
      <c r="AF16">
        <v>9</v>
      </c>
      <c r="AG16" s="1">
        <v>45806</v>
      </c>
      <c r="AH16" s="12">
        <v>0.15972222222222221</v>
      </c>
      <c r="AI16" s="12">
        <v>0.125</v>
      </c>
      <c r="AJ16" t="s">
        <v>343</v>
      </c>
      <c r="AK16" t="s">
        <v>802</v>
      </c>
      <c r="AL16" t="s">
        <v>206</v>
      </c>
      <c r="AM16" t="s">
        <v>169</v>
      </c>
      <c r="AN16" t="s">
        <v>206</v>
      </c>
      <c r="AO16" s="69">
        <v>0.15972222222222221</v>
      </c>
      <c r="AP16" s="1">
        <v>45806</v>
      </c>
      <c r="AQ16" s="69">
        <v>0.125</v>
      </c>
      <c r="AR16" s="88"/>
      <c r="AS16" t="s">
        <v>343</v>
      </c>
      <c r="AT16" t="s">
        <v>247</v>
      </c>
      <c r="AU16" t="s">
        <v>705</v>
      </c>
      <c r="AV16">
        <v>2025</v>
      </c>
      <c r="AW16">
        <v>22</v>
      </c>
      <c r="AX16">
        <v>5</v>
      </c>
      <c r="AY16">
        <v>29</v>
      </c>
      <c r="AZ16">
        <v>149</v>
      </c>
      <c r="BA16" t="s">
        <v>802</v>
      </c>
      <c r="BB16" t="s">
        <v>799</v>
      </c>
      <c r="BI16" t="s">
        <v>343</v>
      </c>
      <c r="BJ16" t="s">
        <v>343</v>
      </c>
    </row>
    <row r="17" spans="1:62" x14ac:dyDescent="0.25">
      <c r="A17" t="s">
        <v>845</v>
      </c>
      <c r="B17" s="1">
        <v>45816</v>
      </c>
      <c r="C17" s="12">
        <v>0.98263888888888884</v>
      </c>
      <c r="D17" s="1"/>
      <c r="E17" s="12"/>
      <c r="F17" s="1">
        <v>45816</v>
      </c>
      <c r="G17" s="12">
        <v>0.98579861111111111</v>
      </c>
      <c r="H17" t="s">
        <v>206</v>
      </c>
      <c r="K17" t="s">
        <v>846</v>
      </c>
      <c r="L17" t="s">
        <v>644</v>
      </c>
      <c r="M17">
        <v>7</v>
      </c>
      <c r="N17" t="s">
        <v>847</v>
      </c>
      <c r="Y17" t="s">
        <v>946</v>
      </c>
      <c r="Z17" t="s">
        <v>931</v>
      </c>
      <c r="AA17" t="s">
        <v>848</v>
      </c>
      <c r="AB17" t="s">
        <v>211</v>
      </c>
      <c r="AC17" t="s">
        <v>257</v>
      </c>
      <c r="AD17" t="s">
        <v>181</v>
      </c>
      <c r="AE17" t="s">
        <v>213</v>
      </c>
      <c r="AF17">
        <v>9</v>
      </c>
      <c r="AG17" s="1">
        <v>45816</v>
      </c>
      <c r="AH17" s="12">
        <v>0.98263888888888884</v>
      </c>
      <c r="AI17" s="12">
        <v>0.95833333333333337</v>
      </c>
      <c r="AJ17" t="s">
        <v>168</v>
      </c>
      <c r="AK17" t="s">
        <v>648</v>
      </c>
      <c r="AL17" t="s">
        <v>206</v>
      </c>
      <c r="AM17" t="s">
        <v>169</v>
      </c>
      <c r="AN17" t="s">
        <v>206</v>
      </c>
      <c r="AO17" s="69">
        <v>0.98263888888888884</v>
      </c>
      <c r="AP17" s="1">
        <v>45816</v>
      </c>
      <c r="AQ17" s="69">
        <v>0.95833333333333337</v>
      </c>
      <c r="AR17" s="88"/>
      <c r="AS17" t="s">
        <v>168</v>
      </c>
      <c r="AT17" t="s">
        <v>311</v>
      </c>
      <c r="AU17" t="s">
        <v>149</v>
      </c>
      <c r="AV17">
        <v>2025</v>
      </c>
      <c r="AW17">
        <v>24</v>
      </c>
      <c r="AX17">
        <v>2</v>
      </c>
      <c r="AY17">
        <v>8</v>
      </c>
      <c r="AZ17">
        <v>159</v>
      </c>
      <c r="BA17" t="s">
        <v>648</v>
      </c>
      <c r="BB17" t="s">
        <v>846</v>
      </c>
      <c r="BI17" t="s">
        <v>168</v>
      </c>
      <c r="BJ17" t="s">
        <v>168</v>
      </c>
    </row>
    <row r="18" spans="1:62" x14ac:dyDescent="0.25">
      <c r="A18" t="s">
        <v>859</v>
      </c>
      <c r="B18" s="1">
        <v>45827</v>
      </c>
      <c r="C18" s="12">
        <v>0.48125000000000001</v>
      </c>
      <c r="D18" s="1">
        <v>45827</v>
      </c>
      <c r="E18" s="12">
        <v>0.5</v>
      </c>
      <c r="F18" s="1">
        <v>45827</v>
      </c>
      <c r="G18" s="12">
        <v>0.50292824074074072</v>
      </c>
      <c r="H18" t="s">
        <v>206</v>
      </c>
      <c r="I18" t="s">
        <v>726</v>
      </c>
      <c r="J18" t="s">
        <v>388</v>
      </c>
      <c r="K18" t="s">
        <v>727</v>
      </c>
      <c r="L18" t="s">
        <v>270</v>
      </c>
      <c r="M18">
        <v>5</v>
      </c>
      <c r="N18" t="s">
        <v>860</v>
      </c>
      <c r="Q18" t="s">
        <v>861</v>
      </c>
      <c r="R18" t="s">
        <v>947</v>
      </c>
      <c r="T18" t="s">
        <v>862</v>
      </c>
      <c r="Y18" t="s">
        <v>943</v>
      </c>
      <c r="Z18" t="s">
        <v>931</v>
      </c>
      <c r="AA18" t="s">
        <v>245</v>
      </c>
      <c r="AB18" t="s">
        <v>142</v>
      </c>
      <c r="AC18" t="s">
        <v>534</v>
      </c>
      <c r="AD18" t="s">
        <v>301</v>
      </c>
      <c r="AE18" t="s">
        <v>213</v>
      </c>
      <c r="AF18">
        <v>9</v>
      </c>
      <c r="AG18" s="1">
        <v>45827</v>
      </c>
      <c r="AH18" s="12">
        <v>0.48125000000000001</v>
      </c>
      <c r="AI18" s="12">
        <v>0.45833333333333331</v>
      </c>
      <c r="AJ18" t="s">
        <v>276</v>
      </c>
      <c r="AK18" t="s">
        <v>731</v>
      </c>
      <c r="AL18" t="s">
        <v>863</v>
      </c>
      <c r="AM18" t="s">
        <v>169</v>
      </c>
      <c r="AN18" t="s">
        <v>863</v>
      </c>
      <c r="AO18" s="69">
        <v>0.48125000000000001</v>
      </c>
      <c r="AP18" s="1">
        <v>45827</v>
      </c>
      <c r="AQ18" s="69">
        <v>0.45833333333333331</v>
      </c>
      <c r="AR18" s="88"/>
      <c r="AS18" t="s">
        <v>276</v>
      </c>
      <c r="AT18" t="s">
        <v>247</v>
      </c>
      <c r="AU18" t="s">
        <v>149</v>
      </c>
      <c r="AV18">
        <v>2025</v>
      </c>
      <c r="AW18">
        <v>25</v>
      </c>
      <c r="AX18">
        <v>3</v>
      </c>
      <c r="AY18">
        <v>19</v>
      </c>
      <c r="AZ18">
        <v>170</v>
      </c>
      <c r="BA18" t="s">
        <v>731</v>
      </c>
      <c r="BB18" t="s">
        <v>727</v>
      </c>
      <c r="BE18" t="s">
        <v>949</v>
      </c>
      <c r="BI18" t="s">
        <v>276</v>
      </c>
      <c r="BJ18" t="s">
        <v>276</v>
      </c>
    </row>
    <row r="19" spans="1:62" x14ac:dyDescent="0.25">
      <c r="A19" t="s">
        <v>1136</v>
      </c>
      <c r="B19" s="1">
        <v>45839</v>
      </c>
      <c r="C19" s="12">
        <v>0.53263888888888888</v>
      </c>
      <c r="D19" s="1"/>
      <c r="E19" s="12"/>
      <c r="F19" s="1">
        <v>45839</v>
      </c>
      <c r="G19" s="12">
        <v>0.53378472222222217</v>
      </c>
      <c r="H19" t="s">
        <v>206</v>
      </c>
      <c r="I19" t="s">
        <v>726</v>
      </c>
      <c r="K19" t="s">
        <v>727</v>
      </c>
      <c r="L19" t="s">
        <v>270</v>
      </c>
      <c r="M19">
        <v>5</v>
      </c>
      <c r="N19" t="s">
        <v>1137</v>
      </c>
      <c r="Y19" t="s">
        <v>950</v>
      </c>
      <c r="Z19" t="s">
        <v>931</v>
      </c>
      <c r="AA19" t="s">
        <v>265</v>
      </c>
      <c r="AB19" t="s">
        <v>164</v>
      </c>
      <c r="AC19" t="s">
        <v>534</v>
      </c>
      <c r="AD19" t="s">
        <v>301</v>
      </c>
      <c r="AE19" t="s">
        <v>213</v>
      </c>
      <c r="AF19">
        <v>9</v>
      </c>
      <c r="AG19" s="1">
        <v>45839</v>
      </c>
      <c r="AH19" s="12">
        <v>0.53263888888888888</v>
      </c>
      <c r="AI19" s="12">
        <v>0.5</v>
      </c>
      <c r="AJ19" t="s">
        <v>146</v>
      </c>
      <c r="AK19" t="s">
        <v>731</v>
      </c>
      <c r="AL19" t="s">
        <v>730</v>
      </c>
      <c r="AM19" t="s">
        <v>948</v>
      </c>
      <c r="AN19" t="s">
        <v>730</v>
      </c>
      <c r="AO19" s="69">
        <v>0.53263888888888888</v>
      </c>
      <c r="AP19" s="1">
        <v>45839</v>
      </c>
      <c r="AQ19" s="69">
        <v>0.5</v>
      </c>
      <c r="AR19" s="88"/>
      <c r="AS19" t="s">
        <v>146</v>
      </c>
      <c r="AT19" t="s">
        <v>148</v>
      </c>
      <c r="AU19" t="s">
        <v>1138</v>
      </c>
      <c r="AV19">
        <v>2025</v>
      </c>
      <c r="AW19">
        <v>27</v>
      </c>
      <c r="AX19">
        <v>1</v>
      </c>
      <c r="AY19">
        <v>1</v>
      </c>
      <c r="AZ19">
        <v>182</v>
      </c>
      <c r="BA19" t="s">
        <v>731</v>
      </c>
      <c r="BB19" t="s">
        <v>727</v>
      </c>
      <c r="BI19" t="s">
        <v>146</v>
      </c>
      <c r="BJ19" t="s">
        <v>146</v>
      </c>
    </row>
    <row r="20" spans="1:62" x14ac:dyDescent="0.25">
      <c r="A20" t="s">
        <v>1152</v>
      </c>
      <c r="B20" s="1">
        <v>45845</v>
      </c>
      <c r="C20" s="12">
        <v>0.60763888888888884</v>
      </c>
      <c r="D20" s="1"/>
      <c r="E20" s="12"/>
      <c r="F20" s="1">
        <v>45845</v>
      </c>
      <c r="G20" s="12">
        <v>0.61127314814814815</v>
      </c>
      <c r="H20" t="s">
        <v>701</v>
      </c>
      <c r="I20" t="s">
        <v>206</v>
      </c>
      <c r="J20" t="s">
        <v>619</v>
      </c>
      <c r="K20" t="s">
        <v>1153</v>
      </c>
      <c r="L20" t="s">
        <v>288</v>
      </c>
      <c r="M20">
        <v>5</v>
      </c>
      <c r="N20" t="s">
        <v>1154</v>
      </c>
      <c r="Y20" t="s">
        <v>930</v>
      </c>
      <c r="Z20" t="s">
        <v>931</v>
      </c>
      <c r="AA20" t="s">
        <v>454</v>
      </c>
      <c r="AB20" t="s">
        <v>328</v>
      </c>
      <c r="AC20" t="s">
        <v>228</v>
      </c>
      <c r="AD20" t="s">
        <v>320</v>
      </c>
      <c r="AF20">
        <v>9</v>
      </c>
      <c r="AG20" s="1">
        <v>45845</v>
      </c>
      <c r="AH20" s="12">
        <v>0.60763888888888884</v>
      </c>
      <c r="AI20" s="12">
        <v>0.58333333333333337</v>
      </c>
      <c r="AJ20" t="s">
        <v>146</v>
      </c>
      <c r="AK20" t="s">
        <v>1155</v>
      </c>
      <c r="AL20" t="s">
        <v>1156</v>
      </c>
      <c r="AM20" t="s">
        <v>948</v>
      </c>
      <c r="AN20" t="s">
        <v>1156</v>
      </c>
      <c r="AO20" s="69">
        <v>0.60763888888888884</v>
      </c>
      <c r="AP20" s="1">
        <v>45845</v>
      </c>
      <c r="AQ20" s="69">
        <v>0.58333333333333337</v>
      </c>
      <c r="AR20" s="88"/>
      <c r="AS20" t="s">
        <v>146</v>
      </c>
      <c r="AT20" t="s">
        <v>183</v>
      </c>
      <c r="AU20" t="s">
        <v>1138</v>
      </c>
      <c r="AV20">
        <v>2025</v>
      </c>
      <c r="AW20">
        <v>28</v>
      </c>
      <c r="AX20">
        <v>2</v>
      </c>
      <c r="AY20">
        <v>7</v>
      </c>
      <c r="AZ20">
        <v>188</v>
      </c>
      <c r="BA20" t="s">
        <v>1155</v>
      </c>
      <c r="BB20" t="s">
        <v>1153</v>
      </c>
      <c r="BI20" t="s">
        <v>146</v>
      </c>
      <c r="BJ20" t="s">
        <v>146</v>
      </c>
    </row>
    <row r="21" spans="1:62" x14ac:dyDescent="0.25">
      <c r="A21" t="s">
        <v>1160</v>
      </c>
      <c r="B21" s="1">
        <v>45848</v>
      </c>
      <c r="C21" s="12">
        <v>9.8611111111111108E-2</v>
      </c>
      <c r="D21" s="1"/>
      <c r="E21" s="12"/>
      <c r="F21" s="1">
        <v>45848</v>
      </c>
      <c r="G21" s="12">
        <v>0.1055787037037037</v>
      </c>
      <c r="H21" t="s">
        <v>206</v>
      </c>
      <c r="I21" t="s">
        <v>388</v>
      </c>
      <c r="J21" t="s">
        <v>629</v>
      </c>
      <c r="K21" t="s">
        <v>1161</v>
      </c>
      <c r="L21" t="s">
        <v>644</v>
      </c>
      <c r="M21">
        <v>7</v>
      </c>
      <c r="N21" t="s">
        <v>1162</v>
      </c>
      <c r="Y21" t="s">
        <v>1163</v>
      </c>
      <c r="Z21" t="s">
        <v>931</v>
      </c>
      <c r="AA21" t="s">
        <v>585</v>
      </c>
      <c r="AB21" t="s">
        <v>164</v>
      </c>
      <c r="AC21" t="s">
        <v>488</v>
      </c>
      <c r="AD21" t="s">
        <v>181</v>
      </c>
      <c r="AF21">
        <v>9</v>
      </c>
      <c r="AG21" s="1">
        <v>45848</v>
      </c>
      <c r="AH21" s="12">
        <v>9.8611111111111108E-2</v>
      </c>
      <c r="AI21" s="12">
        <v>8.3333333333333329E-2</v>
      </c>
      <c r="AJ21" t="s">
        <v>343</v>
      </c>
      <c r="AK21" t="s">
        <v>1164</v>
      </c>
      <c r="AL21" t="s">
        <v>1165</v>
      </c>
      <c r="AM21" t="s">
        <v>948</v>
      </c>
      <c r="AN21" t="s">
        <v>1165</v>
      </c>
      <c r="AO21" s="69">
        <v>9.8611111111111108E-2</v>
      </c>
      <c r="AP21" s="1">
        <v>45848</v>
      </c>
      <c r="AQ21" s="69">
        <v>8.3333333333333329E-2</v>
      </c>
      <c r="AR21" s="88"/>
      <c r="AS21" t="s">
        <v>343</v>
      </c>
      <c r="AT21" t="s">
        <v>247</v>
      </c>
      <c r="AU21" t="s">
        <v>1138</v>
      </c>
      <c r="AV21">
        <v>2025</v>
      </c>
      <c r="AW21">
        <v>28</v>
      </c>
      <c r="AX21">
        <v>2</v>
      </c>
      <c r="AY21">
        <v>10</v>
      </c>
      <c r="AZ21">
        <v>191</v>
      </c>
      <c r="BA21" t="s">
        <v>1164</v>
      </c>
      <c r="BB21" t="s">
        <v>1161</v>
      </c>
      <c r="BI21" t="s">
        <v>343</v>
      </c>
      <c r="BJ21" t="s">
        <v>343</v>
      </c>
    </row>
    <row r="22" spans="1:62" x14ac:dyDescent="0.25">
      <c r="A22" t="s">
        <v>1166</v>
      </c>
      <c r="B22" s="1">
        <v>45849</v>
      </c>
      <c r="C22" s="12">
        <v>4.8946759259259259E-2</v>
      </c>
      <c r="D22" s="1"/>
      <c r="E22" s="12"/>
      <c r="F22" s="1">
        <v>45849</v>
      </c>
      <c r="G22" s="12">
        <v>4.8946759259259259E-2</v>
      </c>
      <c r="H22" t="s">
        <v>779</v>
      </c>
      <c r="I22" t="s">
        <v>206</v>
      </c>
      <c r="J22" t="s">
        <v>556</v>
      </c>
      <c r="K22" t="s">
        <v>1167</v>
      </c>
      <c r="L22" t="s">
        <v>315</v>
      </c>
      <c r="M22">
        <v>6</v>
      </c>
      <c r="N22" t="s">
        <v>1168</v>
      </c>
      <c r="Y22" t="s">
        <v>933</v>
      </c>
      <c r="Z22" t="s">
        <v>931</v>
      </c>
      <c r="AA22" t="s">
        <v>1135</v>
      </c>
      <c r="AB22" t="s">
        <v>542</v>
      </c>
      <c r="AF22">
        <v>9</v>
      </c>
      <c r="AG22" s="1">
        <v>45849</v>
      </c>
      <c r="AH22" s="12">
        <v>4.8946759259259259E-2</v>
      </c>
      <c r="AI22" s="12">
        <v>4.1666666666666664E-2</v>
      </c>
      <c r="AJ22" t="s">
        <v>343</v>
      </c>
      <c r="AK22" t="s">
        <v>1169</v>
      </c>
      <c r="AL22" t="s">
        <v>1170</v>
      </c>
      <c r="AM22" t="s">
        <v>948</v>
      </c>
      <c r="AN22" t="s">
        <v>1170</v>
      </c>
      <c r="AO22" s="69">
        <v>4.8946759259259259E-2</v>
      </c>
      <c r="AP22" s="1">
        <v>45849</v>
      </c>
      <c r="AQ22" s="69">
        <v>4.1666666666666664E-2</v>
      </c>
      <c r="AR22" s="88"/>
      <c r="AS22" t="s">
        <v>343</v>
      </c>
      <c r="AT22" t="s">
        <v>170</v>
      </c>
      <c r="AU22" t="s">
        <v>1138</v>
      </c>
      <c r="AV22">
        <v>2025</v>
      </c>
      <c r="AW22">
        <v>28</v>
      </c>
      <c r="AX22">
        <v>2</v>
      </c>
      <c r="AY22">
        <v>11</v>
      </c>
      <c r="AZ22">
        <v>192</v>
      </c>
      <c r="BA22" t="s">
        <v>1169</v>
      </c>
      <c r="BB22" t="s">
        <v>1167</v>
      </c>
      <c r="BI22" t="s">
        <v>343</v>
      </c>
      <c r="BJ22" t="s">
        <v>343</v>
      </c>
    </row>
    <row r="23" spans="1:62" x14ac:dyDescent="0.25">
      <c r="A23" t="s">
        <v>1191</v>
      </c>
      <c r="B23" s="1">
        <v>45855</v>
      </c>
      <c r="C23" s="12">
        <v>0.6875</v>
      </c>
      <c r="D23" s="1"/>
      <c r="E23" s="12">
        <v>0.70833333333333337</v>
      </c>
      <c r="F23" s="1">
        <v>45856</v>
      </c>
      <c r="G23" s="12">
        <v>0.66093749999999996</v>
      </c>
      <c r="H23" t="s">
        <v>206</v>
      </c>
      <c r="K23" t="s">
        <v>1153</v>
      </c>
      <c r="L23" t="s">
        <v>288</v>
      </c>
      <c r="M23">
        <v>5</v>
      </c>
      <c r="N23" t="s">
        <v>1192</v>
      </c>
      <c r="Y23" t="s">
        <v>930</v>
      </c>
      <c r="Z23" t="s">
        <v>931</v>
      </c>
      <c r="AA23" t="s">
        <v>1193</v>
      </c>
      <c r="AC23" t="s">
        <v>180</v>
      </c>
      <c r="AD23" t="s">
        <v>181</v>
      </c>
      <c r="AF23">
        <v>9</v>
      </c>
      <c r="AG23" s="1">
        <v>45855</v>
      </c>
      <c r="AH23" s="12">
        <v>0.6875</v>
      </c>
      <c r="AI23" s="12">
        <v>0.66666666666666663</v>
      </c>
      <c r="AJ23" t="s">
        <v>266</v>
      </c>
      <c r="AK23" t="s">
        <v>1155</v>
      </c>
      <c r="AL23" t="s">
        <v>206</v>
      </c>
      <c r="AM23" t="s">
        <v>1014</v>
      </c>
      <c r="AN23" t="s">
        <v>206</v>
      </c>
      <c r="AO23" s="69">
        <v>0.6875</v>
      </c>
      <c r="AP23" s="1">
        <v>45855</v>
      </c>
      <c r="AQ23" s="69">
        <v>0.66666666666666663</v>
      </c>
      <c r="AR23" s="88"/>
      <c r="AS23" t="s">
        <v>266</v>
      </c>
      <c r="AT23" t="s">
        <v>247</v>
      </c>
      <c r="AU23" t="s">
        <v>1138</v>
      </c>
      <c r="AV23">
        <v>2025</v>
      </c>
      <c r="AW23">
        <v>29</v>
      </c>
      <c r="AX23">
        <v>3</v>
      </c>
      <c r="AY23">
        <v>17</v>
      </c>
      <c r="AZ23">
        <v>198</v>
      </c>
      <c r="BA23" t="s">
        <v>1155</v>
      </c>
      <c r="BB23" t="s">
        <v>1153</v>
      </c>
      <c r="BI23" t="s">
        <v>266</v>
      </c>
      <c r="BJ23" t="s">
        <v>266</v>
      </c>
    </row>
  </sheetData>
  <phoneticPr fontId="9" type="noConversion"/>
  <conditionalFormatting sqref="A2:BJ23">
    <cfRule type="expression" dxfId="468" priority="1" stopIfTrue="1">
      <formula>$AM2="7-Day"</formula>
    </cfRule>
    <cfRule type="expression" dxfId="467" priority="2" stopIfTrue="1">
      <formula>$AM2="28-Day"</formula>
    </cfRule>
    <cfRule type="expression" dxfId="466" priority="3" stopIfTrue="1">
      <formula>$AM2="YTD"</formula>
    </cfRule>
    <cfRule type="expression" dxfId="465" priority="4" stopIfTrue="1">
      <formula>$AM2="Historical"</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7A332-BEDD-4000-B012-BC83C88CBDEF}">
  <sheetPr codeName="Sheet39">
    <tabColor rgb="FFFFC000"/>
  </sheetPr>
  <dimension ref="A1:AM30"/>
  <sheetViews>
    <sheetView workbookViewId="0">
      <selection activeCell="L2" sqref="L2:L30"/>
    </sheetView>
  </sheetViews>
  <sheetFormatPr defaultRowHeight="15" x14ac:dyDescent="0.25"/>
  <cols>
    <col min="1" max="1" width="14.42578125" bestFit="1" customWidth="1"/>
    <col min="2" max="2" width="14" style="1" bestFit="1" customWidth="1"/>
    <col min="3" max="3" width="14.7109375" bestFit="1" customWidth="1"/>
    <col min="4" max="4" width="23" bestFit="1" customWidth="1"/>
    <col min="5" max="5" width="23.28515625" bestFit="1" customWidth="1"/>
    <col min="6" max="6" width="13.28515625" bestFit="1" customWidth="1"/>
    <col min="7" max="7" width="13.42578125" bestFit="1" customWidth="1"/>
    <col min="8" max="8" width="25.7109375" bestFit="1" customWidth="1"/>
    <col min="9" max="9" width="31.7109375" bestFit="1" customWidth="1"/>
    <col min="10" max="10" width="25.7109375" bestFit="1" customWidth="1"/>
    <col min="11" max="11" width="53.42578125" bestFit="1" customWidth="1"/>
    <col min="12" max="12" width="6.7109375" bestFit="1" customWidth="1"/>
    <col min="13" max="13" width="7.42578125" bestFit="1" customWidth="1"/>
    <col min="14" max="14" width="80.85546875" bestFit="1" customWidth="1"/>
    <col min="15" max="15" width="18.5703125" bestFit="1" customWidth="1"/>
    <col min="16" max="16" width="20.140625" bestFit="1" customWidth="1"/>
    <col min="17" max="17" width="14.7109375" bestFit="1" customWidth="1"/>
    <col min="18" max="18" width="9" bestFit="1" customWidth="1"/>
    <col min="19" max="19" width="9.7109375" bestFit="1" customWidth="1"/>
    <col min="20" max="20" width="12.5703125" bestFit="1" customWidth="1"/>
    <col min="21" max="21" width="14.7109375" bestFit="1" customWidth="1"/>
    <col min="22" max="22" width="12.5703125" bestFit="1" customWidth="1"/>
    <col min="23" max="23" width="9" bestFit="1" customWidth="1"/>
    <col min="24" max="24" width="9.7109375" bestFit="1" customWidth="1"/>
    <col min="25" max="25" width="13.85546875" bestFit="1" customWidth="1"/>
    <col min="26" max="26" width="14.7109375" bestFit="1" customWidth="1"/>
    <col min="27" max="27" width="26" bestFit="1" customWidth="1"/>
    <col min="28" max="28" width="8.5703125" bestFit="1" customWidth="1"/>
    <col min="29" max="29" width="25" bestFit="1" customWidth="1"/>
    <col min="30" max="30" width="26.140625" bestFit="1" customWidth="1"/>
    <col min="31" max="31" width="24.7109375" bestFit="1" customWidth="1"/>
    <col min="32" max="32" width="20" bestFit="1" customWidth="1"/>
    <col min="33" max="33" width="14.42578125" bestFit="1" customWidth="1"/>
    <col min="34" max="34" width="9.85546875" bestFit="1" customWidth="1"/>
    <col min="35" max="35" width="13.28515625" bestFit="1" customWidth="1"/>
    <col min="36" max="36" width="24.28515625" bestFit="1" customWidth="1"/>
    <col min="37" max="37" width="42.42578125" bestFit="1" customWidth="1"/>
    <col min="38" max="38" width="70.7109375" bestFit="1" customWidth="1"/>
    <col min="39" max="39" width="8.710937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31.85546875" bestFit="1" customWidth="1"/>
    <col min="53" max="53" width="48"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2" width="25.7109375" bestFit="1" customWidth="1"/>
    <col min="63" max="63" width="12" bestFit="1" customWidth="1"/>
    <col min="64" max="64" width="25.7109375" bestFit="1" customWidth="1"/>
    <col min="65" max="65" width="52.42578125" bestFit="1" customWidth="1"/>
  </cols>
  <sheetData>
    <row r="1" spans="1:39"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1015</v>
      </c>
      <c r="AG1" t="s">
        <v>2</v>
      </c>
      <c r="AH1" t="s">
        <v>120</v>
      </c>
      <c r="AI1" t="s">
        <v>121</v>
      </c>
      <c r="AJ1" t="s">
        <v>122</v>
      </c>
      <c r="AK1" t="s">
        <v>1</v>
      </c>
      <c r="AL1" t="s">
        <v>123</v>
      </c>
      <c r="AM1" t="s">
        <v>124</v>
      </c>
    </row>
    <row r="2" spans="1:39" x14ac:dyDescent="0.25">
      <c r="A2" t="s">
        <v>153</v>
      </c>
      <c r="B2" s="1">
        <v>45660</v>
      </c>
      <c r="C2" s="12">
        <v>0.89583333333333337</v>
      </c>
      <c r="D2" s="1">
        <v>45661</v>
      </c>
      <c r="E2" s="12">
        <v>0.2673611111111111</v>
      </c>
      <c r="F2" s="1">
        <v>45661</v>
      </c>
      <c r="G2" s="12">
        <v>0.45774305555555556</v>
      </c>
      <c r="H2" t="s">
        <v>154</v>
      </c>
      <c r="K2" t="s">
        <v>155</v>
      </c>
      <c r="L2" t="s">
        <v>156</v>
      </c>
      <c r="M2">
        <v>9</v>
      </c>
      <c r="N2" t="s">
        <v>157</v>
      </c>
      <c r="Q2" t="s">
        <v>972</v>
      </c>
      <c r="R2" t="s">
        <v>942</v>
      </c>
      <c r="S2" t="s">
        <v>160</v>
      </c>
      <c r="T2" t="s">
        <v>161</v>
      </c>
      <c r="Y2" t="s">
        <v>950</v>
      </c>
      <c r="Z2" t="s">
        <v>931</v>
      </c>
      <c r="AA2" t="s">
        <v>163</v>
      </c>
      <c r="AB2" t="s">
        <v>164</v>
      </c>
      <c r="AC2" t="s">
        <v>165</v>
      </c>
      <c r="AD2" t="s">
        <v>166</v>
      </c>
      <c r="AE2" t="s">
        <v>167</v>
      </c>
      <c r="AF2">
        <v>9</v>
      </c>
      <c r="AG2" s="1">
        <v>45660</v>
      </c>
      <c r="AH2" s="12">
        <v>0.89583333333333337</v>
      </c>
      <c r="AI2" s="12">
        <v>0.875</v>
      </c>
      <c r="AJ2" t="s">
        <v>168</v>
      </c>
      <c r="AK2" t="s">
        <v>172</v>
      </c>
      <c r="AL2" t="s">
        <v>154</v>
      </c>
      <c r="AM2" t="s">
        <v>169</v>
      </c>
    </row>
    <row r="3" spans="1:39" x14ac:dyDescent="0.25">
      <c r="A3" t="s">
        <v>232</v>
      </c>
      <c r="B3" s="1">
        <v>45672</v>
      </c>
      <c r="C3" s="12">
        <v>0.53988425925925931</v>
      </c>
      <c r="D3" s="1"/>
      <c r="E3" s="12"/>
      <c r="F3" s="1">
        <v>45672</v>
      </c>
      <c r="G3" s="12">
        <v>0.53988425925925931</v>
      </c>
      <c r="H3" t="s">
        <v>154</v>
      </c>
      <c r="K3" t="s">
        <v>233</v>
      </c>
      <c r="L3" t="s">
        <v>208</v>
      </c>
      <c r="M3">
        <v>8</v>
      </c>
      <c r="N3" t="s">
        <v>234</v>
      </c>
      <c r="Q3" t="s">
        <v>235</v>
      </c>
      <c r="R3" t="s">
        <v>942</v>
      </c>
      <c r="S3" t="s">
        <v>236</v>
      </c>
      <c r="T3" t="s">
        <v>161</v>
      </c>
      <c r="Y3" t="s">
        <v>953</v>
      </c>
      <c r="Z3" t="s">
        <v>931</v>
      </c>
      <c r="AA3" t="s">
        <v>237</v>
      </c>
      <c r="AB3" t="s">
        <v>238</v>
      </c>
      <c r="AC3" t="s">
        <v>180</v>
      </c>
      <c r="AD3" t="s">
        <v>166</v>
      </c>
      <c r="AE3" t="s">
        <v>167</v>
      </c>
      <c r="AF3">
        <v>9</v>
      </c>
      <c r="AG3" s="1">
        <v>45672</v>
      </c>
      <c r="AH3" s="12">
        <v>0.53988425925925931</v>
      </c>
      <c r="AI3" s="12">
        <v>0.5</v>
      </c>
      <c r="AJ3" t="s">
        <v>146</v>
      </c>
      <c r="AK3" t="s">
        <v>240</v>
      </c>
      <c r="AL3" t="s">
        <v>154</v>
      </c>
      <c r="AM3" t="s">
        <v>169</v>
      </c>
    </row>
    <row r="4" spans="1:39" x14ac:dyDescent="0.25">
      <c r="A4" t="s">
        <v>259</v>
      </c>
      <c r="B4" s="1">
        <v>45678</v>
      </c>
      <c r="C4" s="12">
        <v>0.79166666666666663</v>
      </c>
      <c r="D4" s="1">
        <v>45679</v>
      </c>
      <c r="E4" s="12">
        <v>0.13125000000000001</v>
      </c>
      <c r="F4" s="1">
        <v>45679</v>
      </c>
      <c r="G4" s="12">
        <v>0.13255787037037037</v>
      </c>
      <c r="H4" t="s">
        <v>154</v>
      </c>
      <c r="K4" t="s">
        <v>260</v>
      </c>
      <c r="L4" t="s">
        <v>251</v>
      </c>
      <c r="M4">
        <v>9</v>
      </c>
      <c r="N4" t="s">
        <v>261</v>
      </c>
      <c r="Q4" t="s">
        <v>262</v>
      </c>
      <c r="R4" t="s">
        <v>159</v>
      </c>
      <c r="S4" t="s">
        <v>263</v>
      </c>
      <c r="T4" t="s">
        <v>161</v>
      </c>
      <c r="Y4" t="s">
        <v>964</v>
      </c>
      <c r="Z4" t="s">
        <v>931</v>
      </c>
      <c r="AA4" t="s">
        <v>265</v>
      </c>
      <c r="AB4" t="s">
        <v>164</v>
      </c>
      <c r="AC4" t="s">
        <v>228</v>
      </c>
      <c r="AD4" t="s">
        <v>166</v>
      </c>
      <c r="AE4" t="s">
        <v>167</v>
      </c>
      <c r="AF4">
        <v>9</v>
      </c>
      <c r="AG4" s="1">
        <v>45678</v>
      </c>
      <c r="AH4" s="12">
        <v>0.79166666666666663</v>
      </c>
      <c r="AI4" s="12">
        <v>0.79166666666666663</v>
      </c>
      <c r="AJ4" t="s">
        <v>266</v>
      </c>
      <c r="AK4" t="s">
        <v>267</v>
      </c>
      <c r="AL4" t="s">
        <v>154</v>
      </c>
      <c r="AM4" t="s">
        <v>169</v>
      </c>
    </row>
    <row r="5" spans="1:39" x14ac:dyDescent="0.25">
      <c r="A5" t="s">
        <v>268</v>
      </c>
      <c r="B5" s="1">
        <v>45679</v>
      </c>
      <c r="C5" s="12">
        <v>0.33333333333333331</v>
      </c>
      <c r="D5" s="1">
        <v>45679</v>
      </c>
      <c r="E5" s="12">
        <v>0.80069444444444449</v>
      </c>
      <c r="F5" s="1">
        <v>45679</v>
      </c>
      <c r="G5" s="12">
        <v>0.80203703703703699</v>
      </c>
      <c r="H5" t="s">
        <v>154</v>
      </c>
      <c r="K5" t="s">
        <v>269</v>
      </c>
      <c r="L5" t="s">
        <v>270</v>
      </c>
      <c r="M5">
        <v>5</v>
      </c>
      <c r="N5" t="s">
        <v>271</v>
      </c>
      <c r="Q5" t="s">
        <v>272</v>
      </c>
      <c r="R5" t="s">
        <v>947</v>
      </c>
      <c r="S5" t="s">
        <v>274</v>
      </c>
      <c r="T5" t="s">
        <v>161</v>
      </c>
      <c r="Y5" t="s">
        <v>953</v>
      </c>
      <c r="Z5" t="s">
        <v>931</v>
      </c>
      <c r="AA5" t="s">
        <v>265</v>
      </c>
      <c r="AB5" t="s">
        <v>164</v>
      </c>
      <c r="AC5" t="s">
        <v>275</v>
      </c>
      <c r="AD5" t="s">
        <v>166</v>
      </c>
      <c r="AE5" t="s">
        <v>167</v>
      </c>
      <c r="AF5">
        <v>9</v>
      </c>
      <c r="AG5" s="1">
        <v>45679</v>
      </c>
      <c r="AH5" s="12">
        <v>0.33333333333333331</v>
      </c>
      <c r="AI5" s="12">
        <v>0.33333333333333331</v>
      </c>
      <c r="AJ5" t="s">
        <v>276</v>
      </c>
      <c r="AK5" t="s">
        <v>277</v>
      </c>
      <c r="AL5" t="s">
        <v>154</v>
      </c>
      <c r="AM5" t="s">
        <v>169</v>
      </c>
    </row>
    <row r="6" spans="1:39" x14ac:dyDescent="0.25">
      <c r="A6" t="s">
        <v>313</v>
      </c>
      <c r="B6" s="1">
        <v>45685</v>
      </c>
      <c r="C6" s="12">
        <v>0.625</v>
      </c>
      <c r="D6" s="1">
        <v>45686</v>
      </c>
      <c r="E6" s="12">
        <v>0.91736111111111107</v>
      </c>
      <c r="F6" s="1">
        <v>45686</v>
      </c>
      <c r="G6" s="12">
        <v>0.91833333333333333</v>
      </c>
      <c r="H6" t="s">
        <v>154</v>
      </c>
      <c r="I6" t="s">
        <v>295</v>
      </c>
      <c r="K6" t="s">
        <v>314</v>
      </c>
      <c r="L6" t="s">
        <v>315</v>
      </c>
      <c r="M6">
        <v>6</v>
      </c>
      <c r="N6" t="s">
        <v>316</v>
      </c>
      <c r="Q6" t="s">
        <v>976</v>
      </c>
      <c r="R6" t="s">
        <v>977</v>
      </c>
      <c r="S6" t="s">
        <v>319</v>
      </c>
      <c r="T6" t="s">
        <v>161</v>
      </c>
      <c r="Y6" t="s">
        <v>978</v>
      </c>
      <c r="Z6" t="s">
        <v>931</v>
      </c>
      <c r="AA6" t="s">
        <v>265</v>
      </c>
      <c r="AB6" t="s">
        <v>164</v>
      </c>
      <c r="AC6" t="s">
        <v>180</v>
      </c>
      <c r="AD6" t="s">
        <v>320</v>
      </c>
      <c r="AE6" t="s">
        <v>167</v>
      </c>
      <c r="AF6">
        <v>9</v>
      </c>
      <c r="AG6" s="1">
        <v>45685</v>
      </c>
      <c r="AH6" s="12">
        <v>0.625</v>
      </c>
      <c r="AI6" s="12">
        <v>0.625</v>
      </c>
      <c r="AJ6" t="s">
        <v>146</v>
      </c>
      <c r="AK6" t="s">
        <v>322</v>
      </c>
      <c r="AL6" t="s">
        <v>321</v>
      </c>
      <c r="AM6" t="s">
        <v>169</v>
      </c>
    </row>
    <row r="7" spans="1:39" x14ac:dyDescent="0.25">
      <c r="A7" t="s">
        <v>336</v>
      </c>
      <c r="B7" s="1">
        <v>45689</v>
      </c>
      <c r="C7" s="12">
        <v>4.1666666666666664E-2</v>
      </c>
      <c r="D7" s="1"/>
      <c r="E7" s="12">
        <v>0.10416666666666667</v>
      </c>
      <c r="F7" s="1">
        <v>45689</v>
      </c>
      <c r="G7" s="12">
        <v>0.11982638888888889</v>
      </c>
      <c r="H7" t="s">
        <v>154</v>
      </c>
      <c r="K7" t="s">
        <v>337</v>
      </c>
      <c r="L7" t="s">
        <v>338</v>
      </c>
      <c r="M7">
        <v>6</v>
      </c>
      <c r="N7" t="s">
        <v>339</v>
      </c>
      <c r="Q7" t="s">
        <v>979</v>
      </c>
      <c r="R7" t="s">
        <v>980</v>
      </c>
      <c r="S7" t="s">
        <v>342</v>
      </c>
      <c r="T7" t="s">
        <v>161</v>
      </c>
      <c r="Y7" t="s">
        <v>953</v>
      </c>
      <c r="Z7" t="s">
        <v>931</v>
      </c>
      <c r="AA7" t="s">
        <v>265</v>
      </c>
      <c r="AB7" t="s">
        <v>164</v>
      </c>
      <c r="AC7" t="s">
        <v>275</v>
      </c>
      <c r="AD7" t="s">
        <v>166</v>
      </c>
      <c r="AE7" t="s">
        <v>167</v>
      </c>
      <c r="AF7">
        <v>9</v>
      </c>
      <c r="AG7" s="1">
        <v>45689</v>
      </c>
      <c r="AH7" s="12">
        <v>4.1666666666666664E-2</v>
      </c>
      <c r="AI7" s="12">
        <v>4.1666666666666664E-2</v>
      </c>
      <c r="AJ7" t="s">
        <v>343</v>
      </c>
      <c r="AK7" t="s">
        <v>345</v>
      </c>
      <c r="AL7" t="s">
        <v>154</v>
      </c>
      <c r="AM7" t="s">
        <v>169</v>
      </c>
    </row>
    <row r="8" spans="1:39" x14ac:dyDescent="0.25">
      <c r="A8" t="s">
        <v>356</v>
      </c>
      <c r="B8" s="1">
        <v>45691</v>
      </c>
      <c r="C8" s="12">
        <v>0.77083333333333337</v>
      </c>
      <c r="D8" s="1">
        <v>45692</v>
      </c>
      <c r="E8" s="12">
        <v>0.79166666666666663</v>
      </c>
      <c r="F8" s="1">
        <v>45692</v>
      </c>
      <c r="G8" s="12">
        <v>0.53023148148148147</v>
      </c>
      <c r="H8" t="s">
        <v>154</v>
      </c>
      <c r="K8" t="s">
        <v>357</v>
      </c>
      <c r="L8" t="s">
        <v>358</v>
      </c>
      <c r="M8">
        <v>8</v>
      </c>
      <c r="N8" t="s">
        <v>359</v>
      </c>
      <c r="Q8" t="s">
        <v>981</v>
      </c>
      <c r="R8" t="s">
        <v>361</v>
      </c>
      <c r="S8" t="s">
        <v>982</v>
      </c>
      <c r="T8" t="s">
        <v>363</v>
      </c>
      <c r="Y8" t="s">
        <v>934</v>
      </c>
      <c r="Z8" t="s">
        <v>931</v>
      </c>
      <c r="AA8" t="s">
        <v>309</v>
      </c>
      <c r="AB8" t="s">
        <v>142</v>
      </c>
      <c r="AC8" t="s">
        <v>180</v>
      </c>
      <c r="AD8" t="s">
        <v>364</v>
      </c>
      <c r="AE8" t="s">
        <v>167</v>
      </c>
      <c r="AF8">
        <v>9</v>
      </c>
      <c r="AG8" s="1">
        <v>45691</v>
      </c>
      <c r="AH8" s="12">
        <v>0.77083333333333337</v>
      </c>
      <c r="AI8" s="12">
        <v>0.75</v>
      </c>
      <c r="AJ8" t="s">
        <v>266</v>
      </c>
      <c r="AK8" t="s">
        <v>365</v>
      </c>
      <c r="AL8" t="s">
        <v>154</v>
      </c>
      <c r="AM8" t="s">
        <v>169</v>
      </c>
    </row>
    <row r="9" spans="1:39" x14ac:dyDescent="0.25">
      <c r="A9" t="s">
        <v>376</v>
      </c>
      <c r="B9" s="1">
        <v>45695</v>
      </c>
      <c r="C9" s="12">
        <v>0.27430555555555558</v>
      </c>
      <c r="D9" s="1">
        <v>45695</v>
      </c>
      <c r="E9" s="12">
        <v>0.28472222222222221</v>
      </c>
      <c r="F9" s="1">
        <v>45695</v>
      </c>
      <c r="G9" s="12">
        <v>0.30738425925925927</v>
      </c>
      <c r="H9" t="s">
        <v>154</v>
      </c>
      <c r="K9" t="s">
        <v>377</v>
      </c>
      <c r="L9" t="s">
        <v>378</v>
      </c>
      <c r="M9">
        <v>5</v>
      </c>
      <c r="N9" t="s">
        <v>379</v>
      </c>
      <c r="Q9" t="s">
        <v>983</v>
      </c>
      <c r="R9" t="s">
        <v>984</v>
      </c>
      <c r="S9" t="s">
        <v>382</v>
      </c>
      <c r="T9" t="s">
        <v>161</v>
      </c>
      <c r="Y9" t="s">
        <v>953</v>
      </c>
      <c r="Z9" t="s">
        <v>931</v>
      </c>
      <c r="AA9" t="s">
        <v>383</v>
      </c>
      <c r="AB9" t="s">
        <v>384</v>
      </c>
      <c r="AC9" t="s">
        <v>350</v>
      </c>
      <c r="AD9" t="s">
        <v>301</v>
      </c>
      <c r="AE9" t="s">
        <v>167</v>
      </c>
      <c r="AF9">
        <v>9</v>
      </c>
      <c r="AG9" s="1">
        <v>45695</v>
      </c>
      <c r="AH9" s="12">
        <v>0.27430555555555558</v>
      </c>
      <c r="AI9" s="12">
        <v>0.25</v>
      </c>
      <c r="AJ9" t="s">
        <v>385</v>
      </c>
      <c r="AK9" t="s">
        <v>352</v>
      </c>
      <c r="AL9" t="s">
        <v>154</v>
      </c>
      <c r="AM9" t="s">
        <v>169</v>
      </c>
    </row>
    <row r="10" spans="1:39" x14ac:dyDescent="0.25">
      <c r="A10" t="s">
        <v>330</v>
      </c>
      <c r="B10" s="1">
        <v>45688</v>
      </c>
      <c r="C10" s="12">
        <v>0.5</v>
      </c>
      <c r="D10" s="1">
        <v>45695</v>
      </c>
      <c r="E10" s="12">
        <v>0.54166666666666663</v>
      </c>
      <c r="F10" s="1">
        <v>45696</v>
      </c>
      <c r="G10" s="12">
        <v>0.3903240740740741</v>
      </c>
      <c r="H10" t="s">
        <v>154</v>
      </c>
      <c r="K10" t="s">
        <v>331</v>
      </c>
      <c r="L10" t="s">
        <v>270</v>
      </c>
      <c r="M10">
        <v>5</v>
      </c>
      <c r="N10" t="s">
        <v>332</v>
      </c>
      <c r="Q10" t="s">
        <v>985</v>
      </c>
      <c r="S10" t="s">
        <v>236</v>
      </c>
      <c r="T10" t="s">
        <v>975</v>
      </c>
      <c r="Y10" t="s">
        <v>953</v>
      </c>
      <c r="Z10" t="s">
        <v>931</v>
      </c>
      <c r="AA10" t="s">
        <v>334</v>
      </c>
      <c r="AB10" t="s">
        <v>164</v>
      </c>
      <c r="AC10" t="s">
        <v>310</v>
      </c>
      <c r="AD10" t="s">
        <v>166</v>
      </c>
      <c r="AE10" t="s">
        <v>167</v>
      </c>
      <c r="AF10">
        <v>9</v>
      </c>
      <c r="AG10" s="1">
        <v>45688</v>
      </c>
      <c r="AH10" s="12">
        <v>0.5</v>
      </c>
      <c r="AI10" s="12">
        <v>0.5</v>
      </c>
      <c r="AJ10" t="s">
        <v>146</v>
      </c>
      <c r="AK10" t="s">
        <v>335</v>
      </c>
      <c r="AL10" t="s">
        <v>154</v>
      </c>
      <c r="AM10" t="s">
        <v>169</v>
      </c>
    </row>
    <row r="11" spans="1:39" x14ac:dyDescent="0.25">
      <c r="A11" t="s">
        <v>405</v>
      </c>
      <c r="B11" s="1">
        <v>45705</v>
      </c>
      <c r="C11" s="12">
        <v>0.34877314814814814</v>
      </c>
      <c r="D11" s="1"/>
      <c r="E11" s="12"/>
      <c r="F11" s="1">
        <v>45705</v>
      </c>
      <c r="G11" s="12">
        <v>0.34877314814814814</v>
      </c>
      <c r="H11" t="s">
        <v>154</v>
      </c>
      <c r="I11" t="s">
        <v>406</v>
      </c>
      <c r="K11" t="s">
        <v>407</v>
      </c>
      <c r="L11" t="s">
        <v>191</v>
      </c>
      <c r="M11">
        <v>7</v>
      </c>
      <c r="N11" t="s">
        <v>408</v>
      </c>
      <c r="Q11" t="s">
        <v>986</v>
      </c>
      <c r="R11" t="s">
        <v>942</v>
      </c>
      <c r="S11" t="s">
        <v>160</v>
      </c>
      <c r="T11" t="s">
        <v>161</v>
      </c>
      <c r="Y11" t="s">
        <v>934</v>
      </c>
      <c r="Z11" t="s">
        <v>931</v>
      </c>
      <c r="AA11" t="s">
        <v>179</v>
      </c>
      <c r="AB11" t="s">
        <v>142</v>
      </c>
      <c r="AC11" t="s">
        <v>275</v>
      </c>
      <c r="AD11" t="s">
        <v>166</v>
      </c>
      <c r="AE11" t="s">
        <v>167</v>
      </c>
      <c r="AF11">
        <v>9</v>
      </c>
      <c r="AG11" s="1">
        <v>45705</v>
      </c>
      <c r="AH11" s="12">
        <v>0.34877314814814814</v>
      </c>
      <c r="AI11" s="12">
        <v>0.33333333333333331</v>
      </c>
      <c r="AJ11" t="s">
        <v>276</v>
      </c>
      <c r="AK11" t="s">
        <v>411</v>
      </c>
      <c r="AL11" t="s">
        <v>410</v>
      </c>
      <c r="AM11" t="s">
        <v>169</v>
      </c>
    </row>
    <row r="12" spans="1:39" x14ac:dyDescent="0.25">
      <c r="A12" t="s">
        <v>412</v>
      </c>
      <c r="B12" s="1">
        <v>45705</v>
      </c>
      <c r="C12" s="12">
        <v>0.39716435185185184</v>
      </c>
      <c r="D12" s="1"/>
      <c r="E12" s="12"/>
      <c r="F12" s="1">
        <v>45705</v>
      </c>
      <c r="G12" s="12">
        <v>0.39716435185185184</v>
      </c>
      <c r="H12" t="s">
        <v>154</v>
      </c>
      <c r="K12" t="s">
        <v>413</v>
      </c>
      <c r="L12" t="s">
        <v>414</v>
      </c>
      <c r="M12">
        <v>7</v>
      </c>
      <c r="N12" t="s">
        <v>415</v>
      </c>
      <c r="Q12" t="s">
        <v>987</v>
      </c>
      <c r="R12" t="s">
        <v>942</v>
      </c>
      <c r="S12" t="s">
        <v>160</v>
      </c>
      <c r="T12" t="s">
        <v>975</v>
      </c>
      <c r="Y12" t="s">
        <v>934</v>
      </c>
      <c r="Z12" t="s">
        <v>931</v>
      </c>
      <c r="AA12" t="s">
        <v>417</v>
      </c>
      <c r="AB12" t="s">
        <v>142</v>
      </c>
      <c r="AC12" t="s">
        <v>275</v>
      </c>
      <c r="AD12" t="s">
        <v>166</v>
      </c>
      <c r="AE12" t="s">
        <v>167</v>
      </c>
      <c r="AF12">
        <v>9</v>
      </c>
      <c r="AG12" s="1">
        <v>45705</v>
      </c>
      <c r="AH12" s="12">
        <v>0.39716435185185184</v>
      </c>
      <c r="AI12" s="12">
        <v>0.375</v>
      </c>
      <c r="AJ12" t="s">
        <v>276</v>
      </c>
      <c r="AK12" t="s">
        <v>184</v>
      </c>
      <c r="AL12" t="s">
        <v>154</v>
      </c>
      <c r="AM12" t="s">
        <v>169</v>
      </c>
    </row>
    <row r="13" spans="1:39" x14ac:dyDescent="0.25">
      <c r="A13" t="s">
        <v>429</v>
      </c>
      <c r="B13" s="1">
        <v>45713</v>
      </c>
      <c r="C13" s="12">
        <v>0.41666666666666669</v>
      </c>
      <c r="D13" s="1">
        <v>45713</v>
      </c>
      <c r="E13" s="12">
        <v>0.95833333333333337</v>
      </c>
      <c r="F13" s="1">
        <v>45712</v>
      </c>
      <c r="G13" s="12">
        <v>0.99136574074074069</v>
      </c>
      <c r="H13" t="s">
        <v>154</v>
      </c>
      <c r="K13" t="s">
        <v>430</v>
      </c>
      <c r="L13" t="s">
        <v>270</v>
      </c>
      <c r="M13">
        <v>5</v>
      </c>
      <c r="N13" t="s">
        <v>431</v>
      </c>
      <c r="Q13" t="s">
        <v>432</v>
      </c>
      <c r="R13" t="s">
        <v>942</v>
      </c>
      <c r="S13" t="s">
        <v>433</v>
      </c>
      <c r="T13" t="s">
        <v>434</v>
      </c>
      <c r="Y13" t="s">
        <v>950</v>
      </c>
      <c r="Z13" t="s">
        <v>931</v>
      </c>
      <c r="AA13" t="s">
        <v>327</v>
      </c>
      <c r="AB13" t="s">
        <v>328</v>
      </c>
      <c r="AC13" t="s">
        <v>228</v>
      </c>
      <c r="AD13" t="s">
        <v>435</v>
      </c>
      <c r="AE13" t="s">
        <v>167</v>
      </c>
      <c r="AF13">
        <v>9</v>
      </c>
      <c r="AG13" s="1">
        <v>45713</v>
      </c>
      <c r="AH13" s="12">
        <v>0.41666666666666669</v>
      </c>
      <c r="AI13" s="12">
        <v>0.41666666666666669</v>
      </c>
      <c r="AJ13" t="s">
        <v>276</v>
      </c>
      <c r="AK13" t="s">
        <v>436</v>
      </c>
      <c r="AL13" t="s">
        <v>154</v>
      </c>
      <c r="AM13" t="s">
        <v>169</v>
      </c>
    </row>
    <row r="14" spans="1:39" x14ac:dyDescent="0.25">
      <c r="A14" t="s">
        <v>499</v>
      </c>
      <c r="B14" s="1">
        <v>45737</v>
      </c>
      <c r="C14" s="12">
        <v>0.32500000000000001</v>
      </c>
      <c r="D14" s="1"/>
      <c r="E14" s="12"/>
      <c r="F14" s="1">
        <v>45737</v>
      </c>
      <c r="G14" s="12">
        <v>0.59714120370370372</v>
      </c>
      <c r="H14" t="s">
        <v>154</v>
      </c>
      <c r="K14" t="s">
        <v>500</v>
      </c>
      <c r="L14" t="s">
        <v>315</v>
      </c>
      <c r="M14">
        <v>6</v>
      </c>
      <c r="N14" t="s">
        <v>501</v>
      </c>
      <c r="Q14" t="s">
        <v>502</v>
      </c>
      <c r="R14" t="s">
        <v>990</v>
      </c>
      <c r="T14" t="s">
        <v>161</v>
      </c>
      <c r="Y14" t="s">
        <v>988</v>
      </c>
      <c r="Z14" t="s">
        <v>931</v>
      </c>
      <c r="AA14" t="s">
        <v>291</v>
      </c>
      <c r="AB14" t="s">
        <v>256</v>
      </c>
      <c r="AC14" t="s">
        <v>372</v>
      </c>
      <c r="AD14" t="s">
        <v>320</v>
      </c>
      <c r="AE14" t="s">
        <v>167</v>
      </c>
      <c r="AF14">
        <v>9</v>
      </c>
      <c r="AG14" s="1">
        <v>45737</v>
      </c>
      <c r="AH14" s="12">
        <v>0.32500000000000001</v>
      </c>
      <c r="AI14" s="12">
        <v>0.29166666666666669</v>
      </c>
      <c r="AJ14" t="s">
        <v>385</v>
      </c>
      <c r="AK14" t="s">
        <v>504</v>
      </c>
      <c r="AL14" t="s">
        <v>154</v>
      </c>
      <c r="AM14" t="s">
        <v>169</v>
      </c>
    </row>
    <row r="15" spans="1:39" x14ac:dyDescent="0.25">
      <c r="A15" t="s">
        <v>535</v>
      </c>
      <c r="B15" s="1">
        <v>45744</v>
      </c>
      <c r="C15" s="12">
        <v>0.85416666666666663</v>
      </c>
      <c r="D15" s="1">
        <v>45745</v>
      </c>
      <c r="E15" s="12">
        <v>0.41666666666666669</v>
      </c>
      <c r="F15" s="1">
        <v>45745</v>
      </c>
      <c r="G15" s="12">
        <v>0.42986111111111114</v>
      </c>
      <c r="H15" t="s">
        <v>154</v>
      </c>
      <c r="K15" t="s">
        <v>536</v>
      </c>
      <c r="L15" t="s">
        <v>425</v>
      </c>
      <c r="M15">
        <v>8</v>
      </c>
      <c r="N15" t="s">
        <v>537</v>
      </c>
      <c r="Q15" t="s">
        <v>538</v>
      </c>
      <c r="R15" t="s">
        <v>993</v>
      </c>
      <c r="S15" t="s">
        <v>540</v>
      </c>
      <c r="T15" t="s">
        <v>161</v>
      </c>
      <c r="Y15" t="s">
        <v>992</v>
      </c>
      <c r="Z15" t="s">
        <v>931</v>
      </c>
      <c r="AA15" t="s">
        <v>541</v>
      </c>
      <c r="AB15" t="s">
        <v>542</v>
      </c>
      <c r="AC15" t="s">
        <v>228</v>
      </c>
      <c r="AD15" t="s">
        <v>166</v>
      </c>
      <c r="AE15" t="s">
        <v>167</v>
      </c>
      <c r="AF15">
        <v>9</v>
      </c>
      <c r="AG15" s="1">
        <v>45744</v>
      </c>
      <c r="AH15" s="12">
        <v>0.85416666666666663</v>
      </c>
      <c r="AI15" s="12">
        <v>0.83333333333333337</v>
      </c>
      <c r="AJ15" t="s">
        <v>168</v>
      </c>
      <c r="AK15" t="s">
        <v>543</v>
      </c>
      <c r="AL15" t="s">
        <v>154</v>
      </c>
      <c r="AM15" t="s">
        <v>169</v>
      </c>
    </row>
    <row r="16" spans="1:39" x14ac:dyDescent="0.25">
      <c r="A16" t="s">
        <v>670</v>
      </c>
      <c r="B16" s="1">
        <v>45772</v>
      </c>
      <c r="C16" s="12">
        <v>0.5</v>
      </c>
      <c r="D16" s="1">
        <v>45775</v>
      </c>
      <c r="E16" s="12">
        <v>0.625</v>
      </c>
      <c r="F16" s="1">
        <v>45775</v>
      </c>
      <c r="G16" s="12">
        <v>0.66496527777777781</v>
      </c>
      <c r="H16" t="s">
        <v>154</v>
      </c>
      <c r="K16" t="s">
        <v>671</v>
      </c>
      <c r="L16" t="s">
        <v>156</v>
      </c>
      <c r="M16">
        <v>9</v>
      </c>
      <c r="N16" t="s">
        <v>672</v>
      </c>
      <c r="Q16" t="s">
        <v>673</v>
      </c>
      <c r="R16" t="s">
        <v>1007</v>
      </c>
      <c r="S16" t="s">
        <v>675</v>
      </c>
      <c r="T16" t="s">
        <v>161</v>
      </c>
      <c r="Y16" t="s">
        <v>935</v>
      </c>
      <c r="Z16" t="s">
        <v>931</v>
      </c>
      <c r="AA16" t="s">
        <v>530</v>
      </c>
      <c r="AB16" t="s">
        <v>384</v>
      </c>
      <c r="AC16" t="s">
        <v>350</v>
      </c>
      <c r="AD16" t="s">
        <v>320</v>
      </c>
      <c r="AE16" t="s">
        <v>167</v>
      </c>
      <c r="AF16">
        <v>9</v>
      </c>
      <c r="AG16" s="1">
        <v>45772</v>
      </c>
      <c r="AH16" s="12">
        <v>0.5</v>
      </c>
      <c r="AI16" s="12">
        <v>0.5</v>
      </c>
      <c r="AJ16" t="s">
        <v>146</v>
      </c>
      <c r="AK16" t="s">
        <v>676</v>
      </c>
      <c r="AL16" t="s">
        <v>154</v>
      </c>
      <c r="AM16" t="s">
        <v>169</v>
      </c>
    </row>
    <row r="17" spans="1:39" x14ac:dyDescent="0.25">
      <c r="A17" t="s">
        <v>690</v>
      </c>
      <c r="B17" s="1">
        <v>45776</v>
      </c>
      <c r="C17" s="12">
        <v>0.5625</v>
      </c>
      <c r="D17" s="1"/>
      <c r="E17" s="12"/>
      <c r="F17" s="1">
        <v>45776</v>
      </c>
      <c r="G17" s="12">
        <v>0.61762731481481481</v>
      </c>
      <c r="H17" t="s">
        <v>154</v>
      </c>
      <c r="K17" t="s">
        <v>691</v>
      </c>
      <c r="L17" t="s">
        <v>425</v>
      </c>
      <c r="M17">
        <v>8</v>
      </c>
      <c r="N17" t="s">
        <v>692</v>
      </c>
      <c r="Q17" t="s">
        <v>693</v>
      </c>
      <c r="R17" t="s">
        <v>955</v>
      </c>
      <c r="S17" t="s">
        <v>694</v>
      </c>
      <c r="T17" t="s">
        <v>161</v>
      </c>
      <c r="Y17" t="s">
        <v>1005</v>
      </c>
      <c r="Z17" t="s">
        <v>931</v>
      </c>
      <c r="AA17" t="s">
        <v>585</v>
      </c>
      <c r="AB17" t="s">
        <v>164</v>
      </c>
      <c r="AC17" t="s">
        <v>228</v>
      </c>
      <c r="AD17" t="s">
        <v>435</v>
      </c>
      <c r="AE17" t="s">
        <v>167</v>
      </c>
      <c r="AF17">
        <v>9</v>
      </c>
      <c r="AG17" s="1">
        <v>45776</v>
      </c>
      <c r="AH17" s="12">
        <v>0.5625</v>
      </c>
      <c r="AI17" s="12">
        <v>0.54166666666666663</v>
      </c>
      <c r="AJ17" t="s">
        <v>146</v>
      </c>
      <c r="AK17" t="s">
        <v>428</v>
      </c>
      <c r="AL17" t="s">
        <v>154</v>
      </c>
      <c r="AM17" t="s">
        <v>169</v>
      </c>
    </row>
    <row r="18" spans="1:39" x14ac:dyDescent="0.25">
      <c r="A18" t="s">
        <v>437</v>
      </c>
      <c r="B18" s="1">
        <v>45717</v>
      </c>
      <c r="C18" s="12">
        <v>0.25</v>
      </c>
      <c r="D18" s="1">
        <v>45780</v>
      </c>
      <c r="E18" s="12">
        <v>0.49583333333333335</v>
      </c>
      <c r="F18" s="1">
        <v>45780</v>
      </c>
      <c r="G18" s="12">
        <v>0.49972222222222223</v>
      </c>
      <c r="H18" t="s">
        <v>154</v>
      </c>
      <c r="K18" t="s">
        <v>438</v>
      </c>
      <c r="L18" t="s">
        <v>425</v>
      </c>
      <c r="M18">
        <v>8</v>
      </c>
      <c r="N18" t="s">
        <v>439</v>
      </c>
      <c r="Q18" t="s">
        <v>440</v>
      </c>
      <c r="R18" t="s">
        <v>1008</v>
      </c>
      <c r="S18" t="s">
        <v>442</v>
      </c>
      <c r="T18" t="s">
        <v>161</v>
      </c>
      <c r="Y18" t="s">
        <v>950</v>
      </c>
      <c r="Z18" t="s">
        <v>931</v>
      </c>
      <c r="AA18" t="s">
        <v>443</v>
      </c>
      <c r="AB18" t="s">
        <v>444</v>
      </c>
      <c r="AC18" t="s">
        <v>310</v>
      </c>
      <c r="AD18" t="s">
        <v>166</v>
      </c>
      <c r="AE18" t="s">
        <v>167</v>
      </c>
      <c r="AF18">
        <v>9</v>
      </c>
      <c r="AG18" s="1">
        <v>45717</v>
      </c>
      <c r="AH18" s="12">
        <v>0.25</v>
      </c>
      <c r="AI18" s="12">
        <v>0.25</v>
      </c>
      <c r="AJ18" t="s">
        <v>385</v>
      </c>
      <c r="AK18" t="s">
        <v>446</v>
      </c>
      <c r="AL18" t="s">
        <v>154</v>
      </c>
      <c r="AM18" t="s">
        <v>169</v>
      </c>
    </row>
    <row r="19" spans="1:39" x14ac:dyDescent="0.25">
      <c r="A19" t="s">
        <v>711</v>
      </c>
      <c r="B19" s="1">
        <v>45782</v>
      </c>
      <c r="C19" s="12">
        <v>0.625</v>
      </c>
      <c r="D19" s="1"/>
      <c r="E19" s="12"/>
      <c r="F19" s="1">
        <v>45782</v>
      </c>
      <c r="G19" s="12">
        <v>0.75549768518518523</v>
      </c>
      <c r="H19" t="s">
        <v>154</v>
      </c>
      <c r="I19" t="s">
        <v>712</v>
      </c>
      <c r="K19" t="s">
        <v>713</v>
      </c>
      <c r="L19" t="s">
        <v>516</v>
      </c>
      <c r="M19">
        <v>9</v>
      </c>
      <c r="N19" t="s">
        <v>714</v>
      </c>
      <c r="Q19" t="s">
        <v>1009</v>
      </c>
      <c r="R19" t="s">
        <v>952</v>
      </c>
      <c r="S19" t="s">
        <v>716</v>
      </c>
      <c r="T19" t="s">
        <v>975</v>
      </c>
      <c r="Y19" t="s">
        <v>1000</v>
      </c>
      <c r="Z19" t="s">
        <v>931</v>
      </c>
      <c r="AA19" t="s">
        <v>393</v>
      </c>
      <c r="AB19" t="s">
        <v>384</v>
      </c>
      <c r="AF19">
        <v>9</v>
      </c>
      <c r="AG19" s="1">
        <v>45782</v>
      </c>
      <c r="AH19" s="12">
        <v>0.625</v>
      </c>
      <c r="AI19" s="12">
        <v>0.625</v>
      </c>
      <c r="AJ19" t="s">
        <v>146</v>
      </c>
      <c r="AK19" t="s">
        <v>718</v>
      </c>
      <c r="AL19" t="s">
        <v>717</v>
      </c>
      <c r="AM19" t="s">
        <v>169</v>
      </c>
    </row>
    <row r="20" spans="1:39" x14ac:dyDescent="0.25">
      <c r="A20" t="s">
        <v>719</v>
      </c>
      <c r="B20" s="1">
        <v>45782</v>
      </c>
      <c r="C20" s="12">
        <v>0.74097222222222225</v>
      </c>
      <c r="D20" s="1"/>
      <c r="E20" s="12"/>
      <c r="F20" s="1">
        <v>45791</v>
      </c>
      <c r="G20" s="12">
        <v>0.64642361111111113</v>
      </c>
      <c r="H20" t="s">
        <v>154</v>
      </c>
      <c r="I20" t="s">
        <v>347</v>
      </c>
      <c r="K20" t="s">
        <v>720</v>
      </c>
      <c r="L20" t="s">
        <v>251</v>
      </c>
      <c r="M20">
        <v>9</v>
      </c>
      <c r="N20" t="s">
        <v>721</v>
      </c>
      <c r="R20" t="s">
        <v>980</v>
      </c>
      <c r="S20" t="s">
        <v>722</v>
      </c>
      <c r="Y20" t="s">
        <v>950</v>
      </c>
      <c r="Z20" t="s">
        <v>931</v>
      </c>
      <c r="AA20" t="s">
        <v>646</v>
      </c>
      <c r="AB20" t="s">
        <v>328</v>
      </c>
      <c r="AC20" t="s">
        <v>350</v>
      </c>
      <c r="AD20" t="s">
        <v>181</v>
      </c>
      <c r="AE20" t="s">
        <v>167</v>
      </c>
      <c r="AF20">
        <v>9</v>
      </c>
      <c r="AG20" s="1">
        <v>45782</v>
      </c>
      <c r="AH20" s="12">
        <v>0.74097222222222225</v>
      </c>
      <c r="AI20" s="12">
        <v>0.70833333333333337</v>
      </c>
      <c r="AJ20" t="s">
        <v>266</v>
      </c>
      <c r="AK20" t="s">
        <v>724</v>
      </c>
      <c r="AL20" t="s">
        <v>723</v>
      </c>
      <c r="AM20" t="s">
        <v>169</v>
      </c>
    </row>
    <row r="21" spans="1:39" x14ac:dyDescent="0.25">
      <c r="A21" t="s">
        <v>750</v>
      </c>
      <c r="B21" s="1">
        <v>45789</v>
      </c>
      <c r="C21" s="12">
        <v>0.8125</v>
      </c>
      <c r="D21" s="1">
        <v>45789</v>
      </c>
      <c r="E21" s="12">
        <v>0.85069444444444442</v>
      </c>
      <c r="F21" s="1">
        <v>45792</v>
      </c>
      <c r="G21" s="12">
        <v>0.34418981481481481</v>
      </c>
      <c r="H21" t="s">
        <v>154</v>
      </c>
      <c r="K21" t="s">
        <v>751</v>
      </c>
      <c r="L21" t="s">
        <v>553</v>
      </c>
      <c r="N21" t="s">
        <v>752</v>
      </c>
      <c r="Q21" t="s">
        <v>753</v>
      </c>
      <c r="R21" t="s">
        <v>754</v>
      </c>
      <c r="S21" t="s">
        <v>755</v>
      </c>
      <c r="T21" t="s">
        <v>161</v>
      </c>
      <c r="Y21" t="s">
        <v>943</v>
      </c>
      <c r="Z21" t="s">
        <v>931</v>
      </c>
      <c r="AA21" t="s">
        <v>525</v>
      </c>
      <c r="AB21" t="s">
        <v>211</v>
      </c>
      <c r="AC21" t="s">
        <v>488</v>
      </c>
      <c r="AD21" t="s">
        <v>166</v>
      </c>
      <c r="AE21" t="s">
        <v>167</v>
      </c>
      <c r="AF21">
        <v>9</v>
      </c>
      <c r="AG21" s="1">
        <v>45789</v>
      </c>
      <c r="AH21" s="12">
        <v>0.8125</v>
      </c>
      <c r="AI21" s="12">
        <v>0.79166666666666663</v>
      </c>
      <c r="AJ21" t="s">
        <v>266</v>
      </c>
      <c r="AK21" t="s">
        <v>756</v>
      </c>
      <c r="AL21" t="s">
        <v>154</v>
      </c>
      <c r="AM21" t="s">
        <v>169</v>
      </c>
    </row>
    <row r="22" spans="1:39" x14ac:dyDescent="0.25">
      <c r="A22" t="s">
        <v>769</v>
      </c>
      <c r="B22" s="1">
        <v>45795</v>
      </c>
      <c r="C22" s="12">
        <v>0.8125</v>
      </c>
      <c r="D22" s="1"/>
      <c r="E22" s="12"/>
      <c r="F22" s="1">
        <v>45796</v>
      </c>
      <c r="G22" s="12">
        <v>0.81428240740740743</v>
      </c>
      <c r="H22" t="s">
        <v>154</v>
      </c>
      <c r="K22" t="s">
        <v>770</v>
      </c>
      <c r="L22" t="s">
        <v>251</v>
      </c>
      <c r="M22">
        <v>9</v>
      </c>
      <c r="N22" t="s">
        <v>771</v>
      </c>
      <c r="Q22" t="s">
        <v>772</v>
      </c>
      <c r="R22" t="s">
        <v>980</v>
      </c>
      <c r="S22" t="s">
        <v>773</v>
      </c>
      <c r="T22" t="s">
        <v>161</v>
      </c>
      <c r="Y22" t="s">
        <v>1006</v>
      </c>
      <c r="Z22" t="s">
        <v>931</v>
      </c>
      <c r="AA22" t="s">
        <v>245</v>
      </c>
      <c r="AB22" t="s">
        <v>142</v>
      </c>
      <c r="AC22" t="s">
        <v>350</v>
      </c>
      <c r="AD22" t="s">
        <v>181</v>
      </c>
      <c r="AE22" t="s">
        <v>167</v>
      </c>
      <c r="AF22">
        <v>9</v>
      </c>
      <c r="AG22" s="1">
        <v>45795</v>
      </c>
      <c r="AH22" s="12">
        <v>0.8125</v>
      </c>
      <c r="AI22" s="12">
        <v>0.79166666666666663</v>
      </c>
      <c r="AJ22" t="s">
        <v>266</v>
      </c>
      <c r="AK22" t="s">
        <v>774</v>
      </c>
      <c r="AL22" t="s">
        <v>154</v>
      </c>
      <c r="AM22" t="s">
        <v>169</v>
      </c>
    </row>
    <row r="23" spans="1:39" x14ac:dyDescent="0.25">
      <c r="A23" t="s">
        <v>810</v>
      </c>
      <c r="B23" s="1">
        <v>45810</v>
      </c>
      <c r="C23" s="12">
        <v>0.56944444444444442</v>
      </c>
      <c r="D23" s="1">
        <v>45811</v>
      </c>
      <c r="E23" s="12">
        <v>0.25</v>
      </c>
      <c r="F23" s="1">
        <v>45811</v>
      </c>
      <c r="G23" s="12">
        <v>0.25730324074074074</v>
      </c>
      <c r="H23" t="s">
        <v>154</v>
      </c>
      <c r="K23" t="s">
        <v>811</v>
      </c>
      <c r="L23" t="s">
        <v>812</v>
      </c>
      <c r="M23">
        <v>9</v>
      </c>
      <c r="N23" t="s">
        <v>813</v>
      </c>
      <c r="Q23" t="s">
        <v>814</v>
      </c>
      <c r="R23" t="s">
        <v>980</v>
      </c>
      <c r="S23" t="s">
        <v>815</v>
      </c>
      <c r="T23" t="s">
        <v>161</v>
      </c>
      <c r="Y23" t="s">
        <v>988</v>
      </c>
      <c r="Z23" t="s">
        <v>931</v>
      </c>
      <c r="AA23" t="s">
        <v>141</v>
      </c>
      <c r="AB23" t="s">
        <v>142</v>
      </c>
      <c r="AC23" t="s">
        <v>488</v>
      </c>
      <c r="AD23" t="s">
        <v>166</v>
      </c>
      <c r="AE23" t="s">
        <v>167</v>
      </c>
      <c r="AF23">
        <v>9</v>
      </c>
      <c r="AG23" s="1">
        <v>45810</v>
      </c>
      <c r="AH23" s="12">
        <v>0.56944444444444442</v>
      </c>
      <c r="AI23" s="12">
        <v>0.54166666666666663</v>
      </c>
      <c r="AJ23" t="s">
        <v>146</v>
      </c>
      <c r="AK23" t="s">
        <v>816</v>
      </c>
      <c r="AL23" t="s">
        <v>154</v>
      </c>
      <c r="AM23" t="s">
        <v>169</v>
      </c>
    </row>
    <row r="24" spans="1:39" x14ac:dyDescent="0.25">
      <c r="A24" t="s">
        <v>817</v>
      </c>
      <c r="B24" s="1">
        <v>45811</v>
      </c>
      <c r="C24" s="12">
        <v>0.81298611111111108</v>
      </c>
      <c r="D24" s="1"/>
      <c r="E24" s="12"/>
      <c r="F24" s="1">
        <v>45811</v>
      </c>
      <c r="G24" s="12">
        <v>0.81298611111111108</v>
      </c>
      <c r="H24" t="s">
        <v>154</v>
      </c>
      <c r="K24" t="s">
        <v>818</v>
      </c>
      <c r="L24" t="s">
        <v>414</v>
      </c>
      <c r="M24">
        <v>7</v>
      </c>
      <c r="N24" t="s">
        <v>819</v>
      </c>
      <c r="Q24" t="s">
        <v>820</v>
      </c>
      <c r="R24" t="s">
        <v>821</v>
      </c>
      <c r="S24" t="s">
        <v>822</v>
      </c>
      <c r="T24" t="s">
        <v>161</v>
      </c>
      <c r="Y24" t="s">
        <v>992</v>
      </c>
      <c r="Z24" t="s">
        <v>931</v>
      </c>
      <c r="AA24" t="s">
        <v>554</v>
      </c>
      <c r="AB24" t="s">
        <v>256</v>
      </c>
      <c r="AC24" t="s">
        <v>257</v>
      </c>
      <c r="AD24" t="s">
        <v>166</v>
      </c>
      <c r="AE24" t="s">
        <v>167</v>
      </c>
      <c r="AF24">
        <v>9</v>
      </c>
      <c r="AG24" s="1">
        <v>45811</v>
      </c>
      <c r="AH24" s="12">
        <v>0.81298611111111108</v>
      </c>
      <c r="AI24" s="12">
        <v>0.79166666666666663</v>
      </c>
      <c r="AJ24" t="s">
        <v>266</v>
      </c>
      <c r="AK24" t="s">
        <v>666</v>
      </c>
      <c r="AL24" t="s">
        <v>154</v>
      </c>
      <c r="AM24" t="s">
        <v>169</v>
      </c>
    </row>
    <row r="25" spans="1:39" x14ac:dyDescent="0.25">
      <c r="A25" t="s">
        <v>849</v>
      </c>
      <c r="B25" s="1">
        <v>45819</v>
      </c>
      <c r="C25" s="12">
        <v>0.18819444444444444</v>
      </c>
      <c r="D25" s="1">
        <v>45819</v>
      </c>
      <c r="E25" s="12">
        <v>0.18888888888888888</v>
      </c>
      <c r="F25" s="1">
        <v>45819</v>
      </c>
      <c r="G25" s="12">
        <v>0.19038194444444445</v>
      </c>
      <c r="H25" t="s">
        <v>154</v>
      </c>
      <c r="K25" t="s">
        <v>850</v>
      </c>
      <c r="N25" t="s">
        <v>851</v>
      </c>
      <c r="Q25" t="s">
        <v>1012</v>
      </c>
      <c r="R25" t="s">
        <v>994</v>
      </c>
      <c r="S25" t="s">
        <v>853</v>
      </c>
      <c r="T25" t="s">
        <v>161</v>
      </c>
      <c r="Y25" t="s">
        <v>943</v>
      </c>
      <c r="Z25" t="s">
        <v>931</v>
      </c>
      <c r="AA25" t="s">
        <v>255</v>
      </c>
      <c r="AB25" t="s">
        <v>256</v>
      </c>
      <c r="AC25" t="s">
        <v>310</v>
      </c>
      <c r="AD25" t="s">
        <v>364</v>
      </c>
      <c r="AE25" t="s">
        <v>167</v>
      </c>
      <c r="AF25">
        <v>9</v>
      </c>
      <c r="AG25" s="1">
        <v>45819</v>
      </c>
      <c r="AH25" s="12">
        <v>0.18819444444444444</v>
      </c>
      <c r="AI25" s="12">
        <v>0.16666666666666666</v>
      </c>
      <c r="AJ25" t="s">
        <v>385</v>
      </c>
      <c r="AK25" t="s">
        <v>854</v>
      </c>
      <c r="AL25" t="s">
        <v>154</v>
      </c>
      <c r="AM25" t="s">
        <v>169</v>
      </c>
    </row>
    <row r="26" spans="1:39" x14ac:dyDescent="0.25">
      <c r="A26" t="s">
        <v>871</v>
      </c>
      <c r="B26" s="1">
        <v>45829</v>
      </c>
      <c r="C26" s="12">
        <v>0.15329861111111112</v>
      </c>
      <c r="D26" s="1"/>
      <c r="E26" s="12"/>
      <c r="F26" s="1">
        <v>45829</v>
      </c>
      <c r="G26" s="12">
        <v>0.15677083333333333</v>
      </c>
      <c r="H26" t="s">
        <v>154</v>
      </c>
      <c r="I26" t="s">
        <v>872</v>
      </c>
      <c r="K26" t="s">
        <v>873</v>
      </c>
      <c r="N26" t="s">
        <v>874</v>
      </c>
      <c r="Q26" t="s">
        <v>1013</v>
      </c>
      <c r="R26" t="s">
        <v>494</v>
      </c>
      <c r="S26" t="s">
        <v>876</v>
      </c>
      <c r="T26" t="s">
        <v>161</v>
      </c>
      <c r="Y26" t="s">
        <v>930</v>
      </c>
      <c r="Z26" t="s">
        <v>931</v>
      </c>
      <c r="AA26" t="s">
        <v>787</v>
      </c>
      <c r="AB26" t="s">
        <v>542</v>
      </c>
      <c r="AC26" t="s">
        <v>228</v>
      </c>
      <c r="AD26" t="s">
        <v>166</v>
      </c>
      <c r="AE26" t="s">
        <v>167</v>
      </c>
      <c r="AF26">
        <v>9</v>
      </c>
      <c r="AG26" s="1">
        <v>45829</v>
      </c>
      <c r="AH26" s="12">
        <v>0.15329861111111112</v>
      </c>
      <c r="AI26" s="12">
        <v>0.125</v>
      </c>
      <c r="AJ26" t="s">
        <v>343</v>
      </c>
      <c r="AK26" t="s">
        <v>878</v>
      </c>
      <c r="AL26" t="s">
        <v>877</v>
      </c>
      <c r="AM26" t="s">
        <v>169</v>
      </c>
    </row>
    <row r="27" spans="1:39" x14ac:dyDescent="0.25">
      <c r="A27" t="s">
        <v>864</v>
      </c>
      <c r="B27" s="1">
        <v>45828</v>
      </c>
      <c r="C27" s="12">
        <v>0.97916666666666663</v>
      </c>
      <c r="D27" s="1">
        <v>45828</v>
      </c>
      <c r="E27" s="12">
        <v>0.375</v>
      </c>
      <c r="F27" s="1">
        <v>45829</v>
      </c>
      <c r="G27" s="12">
        <v>0.39340277777777777</v>
      </c>
      <c r="H27" t="s">
        <v>174</v>
      </c>
      <c r="I27" t="s">
        <v>205</v>
      </c>
      <c r="J27" t="s">
        <v>154</v>
      </c>
      <c r="K27" t="s">
        <v>865</v>
      </c>
      <c r="L27" t="s">
        <v>138</v>
      </c>
      <c r="M27">
        <v>8</v>
      </c>
      <c r="N27" t="s">
        <v>866</v>
      </c>
      <c r="Q27" t="s">
        <v>867</v>
      </c>
      <c r="R27" t="s">
        <v>955</v>
      </c>
      <c r="S27" t="s">
        <v>868</v>
      </c>
      <c r="T27" t="s">
        <v>161</v>
      </c>
      <c r="Y27" t="s">
        <v>930</v>
      </c>
      <c r="Z27" t="s">
        <v>931</v>
      </c>
      <c r="AA27" t="s">
        <v>585</v>
      </c>
      <c r="AB27" t="s">
        <v>164</v>
      </c>
      <c r="AC27" t="s">
        <v>228</v>
      </c>
      <c r="AD27" t="s">
        <v>181</v>
      </c>
      <c r="AE27" t="s">
        <v>167</v>
      </c>
      <c r="AF27">
        <v>9</v>
      </c>
      <c r="AG27" s="1">
        <v>45828</v>
      </c>
      <c r="AH27" s="12">
        <v>0.97916666666666663</v>
      </c>
      <c r="AI27" s="12">
        <v>0.95833333333333337</v>
      </c>
      <c r="AJ27" t="s">
        <v>168</v>
      </c>
      <c r="AK27" t="s">
        <v>870</v>
      </c>
      <c r="AL27" t="s">
        <v>869</v>
      </c>
      <c r="AM27" t="s">
        <v>169</v>
      </c>
    </row>
    <row r="28" spans="1:39" x14ac:dyDescent="0.25">
      <c r="A28" t="s">
        <v>880</v>
      </c>
      <c r="B28" s="1">
        <v>45829</v>
      </c>
      <c r="C28" s="12">
        <v>0.4548611111111111</v>
      </c>
      <c r="D28" s="1"/>
      <c r="E28" s="12"/>
      <c r="F28" s="1">
        <v>45829</v>
      </c>
      <c r="G28" s="12">
        <v>0.46056712962962965</v>
      </c>
      <c r="H28" t="s">
        <v>154</v>
      </c>
      <c r="K28" t="s">
        <v>881</v>
      </c>
      <c r="L28" t="s">
        <v>358</v>
      </c>
      <c r="M28">
        <v>8</v>
      </c>
      <c r="N28" t="s">
        <v>882</v>
      </c>
      <c r="Q28" t="s">
        <v>883</v>
      </c>
      <c r="R28" t="s">
        <v>994</v>
      </c>
      <c r="S28" t="s">
        <v>884</v>
      </c>
      <c r="T28" t="s">
        <v>161</v>
      </c>
      <c r="Y28" t="s">
        <v>930</v>
      </c>
      <c r="Z28" t="s">
        <v>931</v>
      </c>
      <c r="AA28" t="s">
        <v>393</v>
      </c>
      <c r="AB28" t="s">
        <v>384</v>
      </c>
      <c r="AC28" t="s">
        <v>275</v>
      </c>
      <c r="AD28" t="s">
        <v>166</v>
      </c>
      <c r="AE28" t="s">
        <v>167</v>
      </c>
      <c r="AF28">
        <v>9</v>
      </c>
      <c r="AG28" s="1">
        <v>45829</v>
      </c>
      <c r="AH28" s="12">
        <v>0.4548611111111111</v>
      </c>
      <c r="AI28" s="12">
        <v>0.41666666666666669</v>
      </c>
      <c r="AJ28" t="s">
        <v>276</v>
      </c>
      <c r="AK28" t="s">
        <v>885</v>
      </c>
      <c r="AL28" t="s">
        <v>154</v>
      </c>
      <c r="AM28" t="s">
        <v>169</v>
      </c>
    </row>
    <row r="29" spans="1:39" x14ac:dyDescent="0.25">
      <c r="A29" t="s">
        <v>886</v>
      </c>
      <c r="B29" s="1">
        <v>45829</v>
      </c>
      <c r="C29" s="12">
        <v>0.79166666666666663</v>
      </c>
      <c r="D29" s="1">
        <v>45830</v>
      </c>
      <c r="E29" s="12">
        <v>0.45833333333333331</v>
      </c>
      <c r="F29" s="1">
        <v>45830</v>
      </c>
      <c r="G29" s="12">
        <v>0.47619212962962965</v>
      </c>
      <c r="H29" t="s">
        <v>154</v>
      </c>
      <c r="K29" t="s">
        <v>887</v>
      </c>
      <c r="L29" t="s">
        <v>888</v>
      </c>
      <c r="M29">
        <v>7</v>
      </c>
      <c r="N29" t="s">
        <v>889</v>
      </c>
      <c r="Q29" t="s">
        <v>890</v>
      </c>
      <c r="R29" t="s">
        <v>994</v>
      </c>
      <c r="S29" t="s">
        <v>891</v>
      </c>
      <c r="T29" t="s">
        <v>892</v>
      </c>
      <c r="Y29" t="s">
        <v>930</v>
      </c>
      <c r="Z29" t="s">
        <v>931</v>
      </c>
      <c r="AA29" t="s">
        <v>801</v>
      </c>
      <c r="AB29" t="s">
        <v>164</v>
      </c>
      <c r="AC29" t="s">
        <v>275</v>
      </c>
      <c r="AD29" t="s">
        <v>364</v>
      </c>
      <c r="AE29" t="s">
        <v>167</v>
      </c>
      <c r="AF29">
        <v>9</v>
      </c>
      <c r="AG29" s="1">
        <v>45829</v>
      </c>
      <c r="AH29" s="12">
        <v>0.79166666666666663</v>
      </c>
      <c r="AI29" s="12">
        <v>0.79166666666666663</v>
      </c>
      <c r="AJ29" t="s">
        <v>266</v>
      </c>
      <c r="AK29" t="s">
        <v>893</v>
      </c>
      <c r="AL29" t="s">
        <v>154</v>
      </c>
      <c r="AM29" t="s">
        <v>169</v>
      </c>
    </row>
    <row r="30" spans="1:39" x14ac:dyDescent="0.25">
      <c r="A30" t="s">
        <v>1214</v>
      </c>
      <c r="C30" s="12"/>
      <c r="D30" s="1"/>
      <c r="E30" s="12"/>
      <c r="F30" s="1">
        <v>45859</v>
      </c>
      <c r="G30" s="12">
        <v>0.7746643518518519</v>
      </c>
      <c r="H30" t="s">
        <v>242</v>
      </c>
      <c r="J30" t="s">
        <v>154</v>
      </c>
      <c r="K30" t="s">
        <v>1215</v>
      </c>
      <c r="L30" t="s">
        <v>516</v>
      </c>
      <c r="M30">
        <v>9</v>
      </c>
      <c r="N30" t="s">
        <v>1216</v>
      </c>
      <c r="Q30" t="s">
        <v>1217</v>
      </c>
      <c r="R30" t="s">
        <v>1218</v>
      </c>
      <c r="S30" t="s">
        <v>1219</v>
      </c>
      <c r="T30" t="s">
        <v>161</v>
      </c>
      <c r="Z30" t="s">
        <v>1220</v>
      </c>
      <c r="AA30" t="s">
        <v>443</v>
      </c>
      <c r="AB30" t="s">
        <v>444</v>
      </c>
      <c r="AF30">
        <v>9</v>
      </c>
      <c r="AG30" s="1">
        <v>45859</v>
      </c>
      <c r="AH30" s="12">
        <v>0.7746643518518519</v>
      </c>
      <c r="AI30" s="12">
        <v>0.75</v>
      </c>
      <c r="AJ30" t="s">
        <v>266</v>
      </c>
      <c r="AK30" t="s">
        <v>1221</v>
      </c>
      <c r="AL30" t="s">
        <v>1222</v>
      </c>
      <c r="AM30" t="s">
        <v>1014</v>
      </c>
    </row>
  </sheetData>
  <phoneticPr fontId="9" type="noConversion"/>
  <conditionalFormatting sqref="AN2:AP28">
    <cfRule type="expression" dxfId="400" priority="1" stopIfTrue="1">
      <formula>$D2="7-Day"</formula>
    </cfRule>
    <cfRule type="expression" dxfId="399" priority="2" stopIfTrue="1">
      <formula>$D2="28-Day"</formula>
    </cfRule>
    <cfRule type="expression" dxfId="398" priority="3" stopIfTrue="1">
      <formula>$D2="YTD"</formula>
    </cfRule>
    <cfRule type="expression" dxfId="397" priority="4" stopIfTrue="1">
      <formula>$D2="Historical"</formula>
    </cfRule>
  </conditionalFormatting>
  <conditionalFormatting sqref="A2:AM30">
    <cfRule type="expression" dxfId="396" priority="5" stopIfTrue="1">
      <formula>$AM2="7-Day"</formula>
    </cfRule>
    <cfRule type="expression" dxfId="395" priority="6" stopIfTrue="1">
      <formula>$AM2="28-Day"</formula>
    </cfRule>
    <cfRule type="expression" dxfId="394" priority="7" stopIfTrue="1">
      <formula>$AM2="YTD"</formula>
    </cfRule>
    <cfRule type="expression" dxfId="393" priority="8" stopIfTrue="1">
      <formula>$AM2="Historical"</formula>
    </cfRule>
  </conditionalFormatting>
  <conditionalFormatting sqref="AN29:AP29">
    <cfRule type="expression" dxfId="392" priority="13" stopIfTrue="1">
      <formula>$D30="7-Day"</formula>
    </cfRule>
    <cfRule type="expression" dxfId="391" priority="14" stopIfTrue="1">
      <formula>$D30="28-Day"</formula>
    </cfRule>
    <cfRule type="expression" dxfId="390" priority="15" stopIfTrue="1">
      <formula>$D30="YTD"</formula>
    </cfRule>
    <cfRule type="expression" dxfId="389" priority="16" stopIfTrue="1">
      <formula>$D30="Historical"</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7ECCB-3D99-4AB8-84DA-F400DD1D22B9}">
  <sheetPr codeName="Sheet40">
    <tabColor rgb="FFFFC000"/>
  </sheetPr>
  <dimension ref="A1:BI60"/>
  <sheetViews>
    <sheetView topLeftCell="AR53" workbookViewId="0">
      <selection activeCell="AZ11" sqref="AZ11:AZ54"/>
    </sheetView>
  </sheetViews>
  <sheetFormatPr defaultRowHeight="15" x14ac:dyDescent="0.25"/>
  <cols>
    <col min="1" max="1" width="14.42578125" bestFit="1" customWidth="1"/>
    <col min="2" max="2" width="14" bestFit="1" customWidth="1"/>
    <col min="3" max="3" width="14.7109375" bestFit="1" customWidth="1"/>
    <col min="4" max="4" width="23" bestFit="1" customWidth="1"/>
    <col min="5" max="5" width="23.28515625" bestFit="1" customWidth="1"/>
    <col min="6" max="6" width="13.28515625" bestFit="1" customWidth="1"/>
    <col min="7" max="7" width="13.42578125" bestFit="1" customWidth="1"/>
    <col min="8" max="8" width="25.7109375" bestFit="1" customWidth="1"/>
    <col min="9" max="9" width="33.85546875" bestFit="1" customWidth="1"/>
    <col min="10" max="10" width="25.7109375" bestFit="1" customWidth="1"/>
    <col min="11" max="11" width="53.42578125" bestFit="1" customWidth="1"/>
    <col min="12" max="12" width="6.7109375" bestFit="1" customWidth="1"/>
    <col min="13" max="13" width="7.42578125" bestFit="1" customWidth="1"/>
    <col min="14" max="14" width="80.85546875" bestFit="1" customWidth="1"/>
    <col min="15" max="15" width="18.5703125" bestFit="1" customWidth="1"/>
    <col min="16" max="16" width="20.140625" bestFit="1" customWidth="1"/>
    <col min="17" max="17" width="14.7109375" bestFit="1" customWidth="1"/>
    <col min="18" max="18" width="9" bestFit="1" customWidth="1"/>
    <col min="19" max="19" width="9.7109375" bestFit="1" customWidth="1"/>
    <col min="20" max="20" width="12.5703125" bestFit="1" customWidth="1"/>
    <col min="21" max="21" width="14.7109375" bestFit="1" customWidth="1"/>
    <col min="22" max="22" width="12.5703125" bestFit="1" customWidth="1"/>
    <col min="23" max="23" width="9" bestFit="1" customWidth="1"/>
    <col min="24" max="24" width="9.7109375" bestFit="1" customWidth="1"/>
    <col min="25" max="25" width="13.85546875" bestFit="1" customWidth="1"/>
    <col min="26" max="26" width="14.7109375" bestFit="1" customWidth="1"/>
    <col min="27" max="27" width="27.28515625" bestFit="1" customWidth="1"/>
    <col min="28" max="28" width="8.5703125" bestFit="1" customWidth="1"/>
    <col min="29" max="29" width="25" bestFit="1" customWidth="1"/>
    <col min="30" max="30" width="26.140625" bestFit="1" customWidth="1"/>
    <col min="31" max="31" width="42.42578125" bestFit="1" customWidth="1"/>
    <col min="32" max="32" width="24.28515625" bestFit="1" customWidth="1"/>
    <col min="33" max="33" width="14.42578125" bestFit="1" customWidth="1"/>
    <col min="34" max="34" width="9.85546875" bestFit="1" customWidth="1"/>
    <col min="35" max="35" width="13.28515625" bestFit="1" customWidth="1"/>
    <col min="36" max="36" width="24.28515625" bestFit="1" customWidth="1"/>
    <col min="37" max="37" width="43.5703125" bestFit="1" customWidth="1"/>
    <col min="38" max="38" width="70.7109375" bestFit="1" customWidth="1"/>
    <col min="39" max="39" width="8.7109375" bestFit="1" customWidth="1"/>
    <col min="40" max="40" width="11.5703125" bestFit="1" customWidth="1"/>
    <col min="41" max="41" width="11.7109375" bestFit="1" customWidth="1"/>
    <col min="42" max="42" width="14" bestFit="1" customWidth="1"/>
    <col min="43" max="43" width="22" bestFit="1" customWidth="1"/>
    <col min="44" max="44" width="24.28515625" bestFit="1" customWidth="1"/>
    <col min="45" max="45" width="11.85546875" bestFit="1" customWidth="1"/>
    <col min="46" max="46" width="14.42578125" bestFit="1" customWidth="1"/>
    <col min="47" max="47" width="6.85546875" bestFit="1" customWidth="1"/>
    <col min="48" max="48" width="14.28515625" bestFit="1" customWidth="1"/>
    <col min="49" max="49" width="16.5703125" bestFit="1" customWidth="1"/>
    <col min="50" max="50" width="6.42578125" bestFit="1" customWidth="1"/>
    <col min="51" max="51" width="12.7109375" bestFit="1" customWidth="1"/>
    <col min="52" max="52" width="43.5703125" bestFit="1" customWidth="1"/>
    <col min="53" max="53" width="53.42578125" bestFit="1" customWidth="1"/>
    <col min="54" max="54" width="5.85546875" bestFit="1" customWidth="1"/>
    <col min="55" max="55" width="8.140625" bestFit="1" customWidth="1"/>
    <col min="56" max="56" width="14.7109375" bestFit="1" customWidth="1"/>
    <col min="57" max="57" width="9.7109375" bestFit="1" customWidth="1"/>
    <col min="58" max="58" width="25.5703125" bestFit="1" customWidth="1"/>
    <col min="59" max="59" width="16.140625" bestFit="1" customWidth="1"/>
    <col min="60" max="61" width="24.28515625" bestFit="1" customWidth="1"/>
    <col min="62" max="62" width="12.28515625" bestFit="1" customWidth="1"/>
    <col min="63" max="63" width="12" bestFit="1" customWidth="1"/>
    <col min="64" max="64" width="13.140625" bestFit="1" customWidth="1"/>
    <col min="65" max="65" width="16.85546875" bestFit="1" customWidth="1"/>
  </cols>
  <sheetData>
    <row r="1" spans="1:61" x14ac:dyDescent="0.25">
      <c r="A1" t="s">
        <v>93</v>
      </c>
      <c r="B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123</v>
      </c>
      <c r="AM1" t="s">
        <v>124</v>
      </c>
      <c r="AN1" t="s">
        <v>125</v>
      </c>
      <c r="AO1" t="s">
        <v>126</v>
      </c>
      <c r="AP1" t="s">
        <v>918</v>
      </c>
      <c r="AQ1" t="s">
        <v>919</v>
      </c>
      <c r="AR1" t="s">
        <v>920</v>
      </c>
      <c r="AS1" t="s">
        <v>128</v>
      </c>
      <c r="AT1" t="s">
        <v>129</v>
      </c>
      <c r="AU1" t="s">
        <v>130</v>
      </c>
      <c r="AV1" t="s">
        <v>131</v>
      </c>
      <c r="AW1" t="s">
        <v>921</v>
      </c>
      <c r="AX1" t="s">
        <v>132</v>
      </c>
      <c r="AY1" t="s">
        <v>922</v>
      </c>
      <c r="AZ1" t="s">
        <v>923</v>
      </c>
      <c r="BA1" t="s">
        <v>924</v>
      </c>
      <c r="BB1" t="s">
        <v>925</v>
      </c>
      <c r="BC1" t="s">
        <v>7</v>
      </c>
      <c r="BD1" t="s">
        <v>926</v>
      </c>
      <c r="BE1" t="s">
        <v>5</v>
      </c>
      <c r="BF1" t="s">
        <v>927</v>
      </c>
      <c r="BG1" t="s">
        <v>928</v>
      </c>
      <c r="BH1" t="s">
        <v>929</v>
      </c>
      <c r="BI1" t="s">
        <v>127</v>
      </c>
    </row>
    <row r="2" spans="1:61" x14ac:dyDescent="0.25">
      <c r="A2" t="s">
        <v>153</v>
      </c>
      <c r="B2">
        <v>45660</v>
      </c>
      <c r="C2" s="88">
        <v>0.89583333333333326</v>
      </c>
      <c r="D2" s="1">
        <v>45661</v>
      </c>
      <c r="E2" s="12">
        <v>0.2673611111111111</v>
      </c>
      <c r="F2" s="1">
        <v>45661</v>
      </c>
      <c r="G2" s="12">
        <v>0.45774305555555556</v>
      </c>
      <c r="H2" t="s">
        <v>154</v>
      </c>
      <c r="K2" t="s">
        <v>155</v>
      </c>
      <c r="L2" t="s">
        <v>156</v>
      </c>
      <c r="M2">
        <v>9</v>
      </c>
      <c r="N2" t="s">
        <v>157</v>
      </c>
      <c r="Q2" t="s">
        <v>972</v>
      </c>
      <c r="R2" t="s">
        <v>942</v>
      </c>
      <c r="S2" t="s">
        <v>160</v>
      </c>
      <c r="T2" t="s">
        <v>161</v>
      </c>
      <c r="Y2" t="s">
        <v>950</v>
      </c>
      <c r="Z2" t="s">
        <v>931</v>
      </c>
      <c r="AA2" t="s">
        <v>163</v>
      </c>
      <c r="AB2" t="s">
        <v>164</v>
      </c>
      <c r="AC2" t="s">
        <v>165</v>
      </c>
      <c r="AD2" t="s">
        <v>166</v>
      </c>
      <c r="AE2" t="s">
        <v>167</v>
      </c>
      <c r="AF2">
        <v>9</v>
      </c>
      <c r="AG2" s="1">
        <v>45660</v>
      </c>
      <c r="AH2" s="12">
        <v>0.89583333333333337</v>
      </c>
      <c r="AI2" s="12">
        <v>0.875</v>
      </c>
      <c r="AJ2" t="s">
        <v>168</v>
      </c>
      <c r="AK2" t="s">
        <v>172</v>
      </c>
      <c r="AL2" t="s">
        <v>154</v>
      </c>
      <c r="AM2" t="s">
        <v>169</v>
      </c>
      <c r="AN2" s="12">
        <v>0.89583333333333337</v>
      </c>
      <c r="AO2" s="1">
        <v>45660</v>
      </c>
      <c r="AP2" s="12">
        <v>0.875</v>
      </c>
      <c r="AQ2" s="88"/>
      <c r="AR2" t="s">
        <v>168</v>
      </c>
      <c r="AS2" t="s">
        <v>170</v>
      </c>
      <c r="AT2" t="s">
        <v>171</v>
      </c>
      <c r="AU2">
        <v>2025</v>
      </c>
      <c r="AV2">
        <v>1</v>
      </c>
      <c r="AW2">
        <v>1</v>
      </c>
      <c r="AX2">
        <v>3</v>
      </c>
      <c r="AY2">
        <v>3</v>
      </c>
      <c r="AZ2" t="s">
        <v>172</v>
      </c>
      <c r="BA2" t="s">
        <v>155</v>
      </c>
      <c r="BD2" t="s">
        <v>1016</v>
      </c>
      <c r="BG2" t="s">
        <v>1017</v>
      </c>
      <c r="BH2" t="s">
        <v>168</v>
      </c>
      <c r="BI2" t="s">
        <v>168</v>
      </c>
    </row>
    <row r="3" spans="1:61" x14ac:dyDescent="0.25">
      <c r="A3" t="s">
        <v>173</v>
      </c>
      <c r="B3">
        <v>45663</v>
      </c>
      <c r="C3" s="88">
        <v>0.64583333333333326</v>
      </c>
      <c r="D3" s="1">
        <v>45667</v>
      </c>
      <c r="E3" s="12"/>
      <c r="F3" s="1">
        <v>45667</v>
      </c>
      <c r="G3" s="12">
        <v>0.82629629629629631</v>
      </c>
      <c r="H3" t="s">
        <v>174</v>
      </c>
      <c r="K3" t="s">
        <v>175</v>
      </c>
      <c r="M3">
        <v>7</v>
      </c>
      <c r="N3" t="s">
        <v>176</v>
      </c>
      <c r="Q3" t="s">
        <v>177</v>
      </c>
      <c r="R3" t="s">
        <v>942</v>
      </c>
      <c r="S3" t="s">
        <v>178</v>
      </c>
      <c r="T3" t="s">
        <v>161</v>
      </c>
      <c r="Y3" t="s">
        <v>934</v>
      </c>
      <c r="Z3" t="s">
        <v>931</v>
      </c>
      <c r="AA3" t="s">
        <v>179</v>
      </c>
      <c r="AB3" t="s">
        <v>142</v>
      </c>
      <c r="AC3" t="s">
        <v>180</v>
      </c>
      <c r="AD3" t="s">
        <v>181</v>
      </c>
      <c r="AE3" t="s">
        <v>182</v>
      </c>
      <c r="AF3">
        <v>9</v>
      </c>
      <c r="AG3" s="1">
        <v>45663</v>
      </c>
      <c r="AH3" s="12">
        <v>0.64583333333333337</v>
      </c>
      <c r="AI3" s="12">
        <v>0.625</v>
      </c>
      <c r="AJ3" t="s">
        <v>146</v>
      </c>
      <c r="AK3" t="s">
        <v>184</v>
      </c>
      <c r="AL3" t="s">
        <v>174</v>
      </c>
      <c r="AM3" t="s">
        <v>169</v>
      </c>
      <c r="AN3" s="12">
        <v>0.64583333333333337</v>
      </c>
      <c r="AO3" s="1">
        <v>45663</v>
      </c>
      <c r="AP3" s="12">
        <v>0.625</v>
      </c>
      <c r="AQ3" s="88"/>
      <c r="AR3" t="s">
        <v>146</v>
      </c>
      <c r="AS3" t="s">
        <v>183</v>
      </c>
      <c r="AT3" t="s">
        <v>171</v>
      </c>
      <c r="AU3">
        <v>2025</v>
      </c>
      <c r="AV3">
        <v>2</v>
      </c>
      <c r="AW3">
        <v>2</v>
      </c>
      <c r="AX3">
        <v>6</v>
      </c>
      <c r="AY3">
        <v>6</v>
      </c>
      <c r="AZ3" t="s">
        <v>184</v>
      </c>
      <c r="BA3" t="s">
        <v>175</v>
      </c>
      <c r="BD3" t="s">
        <v>944</v>
      </c>
      <c r="BG3" t="s">
        <v>1018</v>
      </c>
      <c r="BH3" t="s">
        <v>146</v>
      </c>
      <c r="BI3" t="s">
        <v>146</v>
      </c>
    </row>
    <row r="4" spans="1:61" x14ac:dyDescent="0.25">
      <c r="A4" t="s">
        <v>232</v>
      </c>
      <c r="B4">
        <v>45672</v>
      </c>
      <c r="C4" s="88">
        <v>0.5398842592592592</v>
      </c>
      <c r="D4" s="1"/>
      <c r="E4" s="12"/>
      <c r="F4" s="1">
        <v>45672</v>
      </c>
      <c r="G4" s="12">
        <v>0.53988425925925931</v>
      </c>
      <c r="H4" t="s">
        <v>154</v>
      </c>
      <c r="K4" t="s">
        <v>233</v>
      </c>
      <c r="L4" t="s">
        <v>208</v>
      </c>
      <c r="M4">
        <v>8</v>
      </c>
      <c r="N4" t="s">
        <v>234</v>
      </c>
      <c r="Q4" t="s">
        <v>235</v>
      </c>
      <c r="R4" t="s">
        <v>942</v>
      </c>
      <c r="S4" t="s">
        <v>236</v>
      </c>
      <c r="T4" t="s">
        <v>161</v>
      </c>
      <c r="Y4" t="s">
        <v>953</v>
      </c>
      <c r="Z4" t="s">
        <v>931</v>
      </c>
      <c r="AA4" t="s">
        <v>237</v>
      </c>
      <c r="AB4" t="s">
        <v>238</v>
      </c>
      <c r="AC4" t="s">
        <v>180</v>
      </c>
      <c r="AD4" t="s">
        <v>166</v>
      </c>
      <c r="AE4" t="s">
        <v>167</v>
      </c>
      <c r="AF4">
        <v>9</v>
      </c>
      <c r="AG4" s="1">
        <v>45672</v>
      </c>
      <c r="AH4" s="12">
        <v>0.53988425925925931</v>
      </c>
      <c r="AI4" s="12">
        <v>0.5</v>
      </c>
      <c r="AJ4" t="s">
        <v>146</v>
      </c>
      <c r="AK4" t="s">
        <v>240</v>
      </c>
      <c r="AL4" t="s">
        <v>154</v>
      </c>
      <c r="AM4" t="s">
        <v>169</v>
      </c>
      <c r="AN4" s="12">
        <v>0.53988425925925931</v>
      </c>
      <c r="AO4" s="1">
        <v>45672</v>
      </c>
      <c r="AP4" s="12">
        <v>0.5</v>
      </c>
      <c r="AQ4" s="88"/>
      <c r="AR4" t="s">
        <v>146</v>
      </c>
      <c r="AS4" t="s">
        <v>239</v>
      </c>
      <c r="AT4" t="s">
        <v>171</v>
      </c>
      <c r="AU4">
        <v>2025</v>
      </c>
      <c r="AV4">
        <v>3</v>
      </c>
      <c r="AW4">
        <v>3</v>
      </c>
      <c r="AX4">
        <v>15</v>
      </c>
      <c r="AY4">
        <v>15</v>
      </c>
      <c r="AZ4" t="s">
        <v>240</v>
      </c>
      <c r="BA4" t="s">
        <v>233</v>
      </c>
      <c r="BD4" t="s">
        <v>1019</v>
      </c>
      <c r="BG4" t="s">
        <v>1020</v>
      </c>
      <c r="BH4" t="s">
        <v>146</v>
      </c>
      <c r="BI4" t="s">
        <v>146</v>
      </c>
    </row>
    <row r="5" spans="1:61" x14ac:dyDescent="0.25">
      <c r="A5" t="s">
        <v>259</v>
      </c>
      <c r="B5">
        <v>45678</v>
      </c>
      <c r="C5" s="88">
        <v>0.79166666666666674</v>
      </c>
      <c r="D5" s="1">
        <v>45679</v>
      </c>
      <c r="E5" s="12">
        <v>0.13125000000000001</v>
      </c>
      <c r="F5" s="1">
        <v>45679</v>
      </c>
      <c r="G5" s="12">
        <v>0.13255787037037037</v>
      </c>
      <c r="H5" t="s">
        <v>154</v>
      </c>
      <c r="K5" t="s">
        <v>260</v>
      </c>
      <c r="L5" t="s">
        <v>251</v>
      </c>
      <c r="M5">
        <v>9</v>
      </c>
      <c r="N5" t="s">
        <v>261</v>
      </c>
      <c r="Q5" t="s">
        <v>262</v>
      </c>
      <c r="R5" t="s">
        <v>159</v>
      </c>
      <c r="S5" t="s">
        <v>263</v>
      </c>
      <c r="T5" t="s">
        <v>161</v>
      </c>
      <c r="Y5" t="s">
        <v>964</v>
      </c>
      <c r="Z5" t="s">
        <v>931</v>
      </c>
      <c r="AA5" t="s">
        <v>265</v>
      </c>
      <c r="AB5" t="s">
        <v>164</v>
      </c>
      <c r="AC5" t="s">
        <v>228</v>
      </c>
      <c r="AD5" t="s">
        <v>166</v>
      </c>
      <c r="AE5" t="s">
        <v>167</v>
      </c>
      <c r="AF5">
        <v>9</v>
      </c>
      <c r="AG5" s="1">
        <v>45678</v>
      </c>
      <c r="AH5" s="12">
        <v>0.79166666666666663</v>
      </c>
      <c r="AI5" s="12">
        <v>0.79166666666666663</v>
      </c>
      <c r="AJ5" t="s">
        <v>266</v>
      </c>
      <c r="AK5" t="s">
        <v>267</v>
      </c>
      <c r="AL5" t="s">
        <v>154</v>
      </c>
      <c r="AM5" t="s">
        <v>169</v>
      </c>
      <c r="AN5" s="12">
        <v>0.79166666666666663</v>
      </c>
      <c r="AO5" s="1">
        <v>45678</v>
      </c>
      <c r="AP5" s="12">
        <v>0.79166666666666663</v>
      </c>
      <c r="AQ5" s="88"/>
      <c r="AR5" t="s">
        <v>266</v>
      </c>
      <c r="AS5" t="s">
        <v>148</v>
      </c>
      <c r="AT5" t="s">
        <v>171</v>
      </c>
      <c r="AU5">
        <v>2025</v>
      </c>
      <c r="AV5">
        <v>4</v>
      </c>
      <c r="AW5">
        <v>4</v>
      </c>
      <c r="AX5">
        <v>21</v>
      </c>
      <c r="AY5">
        <v>21</v>
      </c>
      <c r="AZ5" t="s">
        <v>267</v>
      </c>
      <c r="BA5" t="s">
        <v>260</v>
      </c>
      <c r="BD5" t="s">
        <v>1021</v>
      </c>
      <c r="BG5" t="s">
        <v>1017</v>
      </c>
      <c r="BH5" t="s">
        <v>266</v>
      </c>
      <c r="BI5" t="s">
        <v>266</v>
      </c>
    </row>
    <row r="6" spans="1:61" x14ac:dyDescent="0.25">
      <c r="A6" t="s">
        <v>268</v>
      </c>
      <c r="B6">
        <v>45679</v>
      </c>
      <c r="C6" s="88">
        <v>0.33333333333333326</v>
      </c>
      <c r="D6" s="1">
        <v>45679</v>
      </c>
      <c r="E6" s="12">
        <v>0.80069444444444449</v>
      </c>
      <c r="F6" s="1">
        <v>45679</v>
      </c>
      <c r="G6" s="12">
        <v>0.80203703703703699</v>
      </c>
      <c r="H6" t="s">
        <v>154</v>
      </c>
      <c r="K6" t="s">
        <v>269</v>
      </c>
      <c r="L6" t="s">
        <v>270</v>
      </c>
      <c r="M6">
        <v>5</v>
      </c>
      <c r="N6" t="s">
        <v>271</v>
      </c>
      <c r="Q6" t="s">
        <v>272</v>
      </c>
      <c r="R6" t="s">
        <v>947</v>
      </c>
      <c r="S6" t="s">
        <v>274</v>
      </c>
      <c r="T6" t="s">
        <v>161</v>
      </c>
      <c r="Y6" t="s">
        <v>953</v>
      </c>
      <c r="Z6" t="s">
        <v>931</v>
      </c>
      <c r="AA6" t="s">
        <v>265</v>
      </c>
      <c r="AB6" t="s">
        <v>164</v>
      </c>
      <c r="AC6" t="s">
        <v>275</v>
      </c>
      <c r="AD6" t="s">
        <v>166</v>
      </c>
      <c r="AE6" t="s">
        <v>167</v>
      </c>
      <c r="AF6">
        <v>9</v>
      </c>
      <c r="AG6" s="1">
        <v>45679</v>
      </c>
      <c r="AH6" s="12">
        <v>0.33333333333333331</v>
      </c>
      <c r="AI6" s="12">
        <v>0.33333333333333331</v>
      </c>
      <c r="AJ6" t="s">
        <v>276</v>
      </c>
      <c r="AK6" t="s">
        <v>277</v>
      </c>
      <c r="AL6" t="s">
        <v>154</v>
      </c>
      <c r="AM6" t="s">
        <v>169</v>
      </c>
      <c r="AN6" s="12">
        <v>0.33333333333333331</v>
      </c>
      <c r="AO6" s="1">
        <v>45679</v>
      </c>
      <c r="AP6" s="12">
        <v>0.33333333333333331</v>
      </c>
      <c r="AQ6" s="88"/>
      <c r="AR6" t="s">
        <v>276</v>
      </c>
      <c r="AS6" t="s">
        <v>239</v>
      </c>
      <c r="AT6" t="s">
        <v>171</v>
      </c>
      <c r="AU6">
        <v>2025</v>
      </c>
      <c r="AV6">
        <v>4</v>
      </c>
      <c r="AW6">
        <v>4</v>
      </c>
      <c r="AX6">
        <v>22</v>
      </c>
      <c r="AY6">
        <v>22</v>
      </c>
      <c r="AZ6" t="s">
        <v>277</v>
      </c>
      <c r="BA6" t="s">
        <v>269</v>
      </c>
      <c r="BD6" t="s">
        <v>1022</v>
      </c>
      <c r="BG6" t="s">
        <v>1020</v>
      </c>
      <c r="BH6" t="s">
        <v>276</v>
      </c>
      <c r="BI6" t="s">
        <v>276</v>
      </c>
    </row>
    <row r="7" spans="1:61" x14ac:dyDescent="0.25">
      <c r="A7" t="s">
        <v>294</v>
      </c>
      <c r="B7">
        <v>45682</v>
      </c>
      <c r="C7" s="88">
        <v>0.76875000000000004</v>
      </c>
      <c r="D7" s="1"/>
      <c r="E7" s="12"/>
      <c r="F7" s="1">
        <v>45683</v>
      </c>
      <c r="G7" s="12">
        <v>0.44056712962962963</v>
      </c>
      <c r="H7" t="s">
        <v>174</v>
      </c>
      <c r="I7" t="s">
        <v>295</v>
      </c>
      <c r="K7" t="s">
        <v>296</v>
      </c>
      <c r="L7" t="s">
        <v>208</v>
      </c>
      <c r="M7">
        <v>8</v>
      </c>
      <c r="N7" t="s">
        <v>297</v>
      </c>
      <c r="Q7" t="s">
        <v>973</v>
      </c>
      <c r="R7" t="s">
        <v>942</v>
      </c>
      <c r="S7" t="s">
        <v>299</v>
      </c>
      <c r="T7" t="s">
        <v>161</v>
      </c>
      <c r="Y7" t="s">
        <v>958</v>
      </c>
      <c r="Z7" t="s">
        <v>931</v>
      </c>
      <c r="AA7" t="s">
        <v>255</v>
      </c>
      <c r="AB7" t="s">
        <v>256</v>
      </c>
      <c r="AC7" t="s">
        <v>300</v>
      </c>
      <c r="AD7" t="s">
        <v>301</v>
      </c>
      <c r="AE7" t="s">
        <v>182</v>
      </c>
      <c r="AF7">
        <v>9</v>
      </c>
      <c r="AG7" s="1">
        <v>45682</v>
      </c>
      <c r="AH7" s="12">
        <v>0.76875000000000004</v>
      </c>
      <c r="AI7" s="12">
        <v>0.75</v>
      </c>
      <c r="AJ7" t="s">
        <v>266</v>
      </c>
      <c r="AK7" t="s">
        <v>303</v>
      </c>
      <c r="AL7" t="s">
        <v>302</v>
      </c>
      <c r="AM7" t="s">
        <v>169</v>
      </c>
      <c r="AN7" s="12">
        <v>0.76875000000000004</v>
      </c>
      <c r="AO7" s="1">
        <v>45682</v>
      </c>
      <c r="AP7" s="12">
        <v>0.75</v>
      </c>
      <c r="AQ7" s="88"/>
      <c r="AR7" t="s">
        <v>266</v>
      </c>
      <c r="AS7" t="s">
        <v>292</v>
      </c>
      <c r="AT7" t="s">
        <v>171</v>
      </c>
      <c r="AU7">
        <v>2025</v>
      </c>
      <c r="AV7">
        <v>4</v>
      </c>
      <c r="AW7">
        <v>4</v>
      </c>
      <c r="AX7">
        <v>25</v>
      </c>
      <c r="AY7">
        <v>25</v>
      </c>
      <c r="AZ7" t="s">
        <v>303</v>
      </c>
      <c r="BA7" t="s">
        <v>296</v>
      </c>
      <c r="BD7" t="s">
        <v>1023</v>
      </c>
      <c r="BG7" t="s">
        <v>1017</v>
      </c>
      <c r="BH7" t="s">
        <v>266</v>
      </c>
      <c r="BI7" t="s">
        <v>266</v>
      </c>
    </row>
    <row r="8" spans="1:61" x14ac:dyDescent="0.25">
      <c r="A8" t="s">
        <v>304</v>
      </c>
      <c r="B8">
        <v>45683</v>
      </c>
      <c r="C8" s="88">
        <v>0.84027777777777768</v>
      </c>
      <c r="D8" s="1">
        <v>45683</v>
      </c>
      <c r="E8" s="12">
        <v>0.84652777777777777</v>
      </c>
      <c r="F8" s="1">
        <v>45683</v>
      </c>
      <c r="G8" s="12">
        <v>0.85009259259259262</v>
      </c>
      <c r="H8" t="s">
        <v>174</v>
      </c>
      <c r="I8" t="s">
        <v>295</v>
      </c>
      <c r="K8" t="s">
        <v>305</v>
      </c>
      <c r="L8" t="s">
        <v>138</v>
      </c>
      <c r="M8">
        <v>9</v>
      </c>
      <c r="N8" t="s">
        <v>306</v>
      </c>
      <c r="Q8" t="s">
        <v>974</v>
      </c>
      <c r="R8" t="s">
        <v>942</v>
      </c>
      <c r="S8" t="s">
        <v>308</v>
      </c>
      <c r="T8" t="s">
        <v>975</v>
      </c>
      <c r="Y8" t="s">
        <v>934</v>
      </c>
      <c r="Z8" t="s">
        <v>931</v>
      </c>
      <c r="AA8" t="s">
        <v>309</v>
      </c>
      <c r="AB8" t="s">
        <v>142</v>
      </c>
      <c r="AC8" t="s">
        <v>310</v>
      </c>
      <c r="AD8" t="s">
        <v>166</v>
      </c>
      <c r="AE8" t="s">
        <v>182</v>
      </c>
      <c r="AF8">
        <v>9</v>
      </c>
      <c r="AG8" s="1">
        <v>45683</v>
      </c>
      <c r="AH8" s="12">
        <v>0.84027777777777779</v>
      </c>
      <c r="AI8" s="12">
        <v>0.83333333333333337</v>
      </c>
      <c r="AJ8" t="s">
        <v>168</v>
      </c>
      <c r="AK8" t="s">
        <v>312</v>
      </c>
      <c r="AL8" t="s">
        <v>302</v>
      </c>
      <c r="AM8" t="s">
        <v>169</v>
      </c>
      <c r="AN8" s="12">
        <v>0.84027777777777779</v>
      </c>
      <c r="AO8" s="1">
        <v>45683</v>
      </c>
      <c r="AP8" s="12">
        <v>0.83333333333333337</v>
      </c>
      <c r="AQ8" s="88"/>
      <c r="AR8" t="s">
        <v>168</v>
      </c>
      <c r="AS8" t="s">
        <v>311</v>
      </c>
      <c r="AT8" t="s">
        <v>171</v>
      </c>
      <c r="AU8">
        <v>2025</v>
      </c>
      <c r="AV8">
        <v>5</v>
      </c>
      <c r="AW8">
        <v>5</v>
      </c>
      <c r="AX8">
        <v>26</v>
      </c>
      <c r="AY8">
        <v>26</v>
      </c>
      <c r="AZ8" t="s">
        <v>312</v>
      </c>
      <c r="BA8" t="s">
        <v>305</v>
      </c>
      <c r="BD8" t="s">
        <v>1024</v>
      </c>
      <c r="BG8" t="s">
        <v>1020</v>
      </c>
      <c r="BH8" t="s">
        <v>168</v>
      </c>
      <c r="BI8" t="s">
        <v>168</v>
      </c>
    </row>
    <row r="9" spans="1:61" x14ac:dyDescent="0.25">
      <c r="A9" t="s">
        <v>313</v>
      </c>
      <c r="B9">
        <v>45685</v>
      </c>
      <c r="C9" s="88">
        <v>0.625</v>
      </c>
      <c r="D9" s="1">
        <v>45686</v>
      </c>
      <c r="E9" s="12">
        <v>0.91736111111111107</v>
      </c>
      <c r="F9" s="1">
        <v>45686</v>
      </c>
      <c r="G9" s="12">
        <v>0.91833333333333333</v>
      </c>
      <c r="H9" t="s">
        <v>154</v>
      </c>
      <c r="I9" t="s">
        <v>295</v>
      </c>
      <c r="K9" t="s">
        <v>314</v>
      </c>
      <c r="L9" t="s">
        <v>315</v>
      </c>
      <c r="M9">
        <v>6</v>
      </c>
      <c r="N9" t="s">
        <v>316</v>
      </c>
      <c r="Q9" t="s">
        <v>976</v>
      </c>
      <c r="R9" t="s">
        <v>977</v>
      </c>
      <c r="S9" t="s">
        <v>319</v>
      </c>
      <c r="T9" t="s">
        <v>161</v>
      </c>
      <c r="Y9" t="s">
        <v>978</v>
      </c>
      <c r="Z9" t="s">
        <v>931</v>
      </c>
      <c r="AA9" t="s">
        <v>265</v>
      </c>
      <c r="AB9" t="s">
        <v>164</v>
      </c>
      <c r="AC9" t="s">
        <v>180</v>
      </c>
      <c r="AD9" t="s">
        <v>320</v>
      </c>
      <c r="AE9" t="s">
        <v>167</v>
      </c>
      <c r="AF9">
        <v>9</v>
      </c>
      <c r="AG9" s="1">
        <v>45685</v>
      </c>
      <c r="AH9" s="12">
        <v>0.625</v>
      </c>
      <c r="AI9" s="12">
        <v>0.625</v>
      </c>
      <c r="AJ9" t="s">
        <v>146</v>
      </c>
      <c r="AK9" t="s">
        <v>322</v>
      </c>
      <c r="AL9" t="s">
        <v>321</v>
      </c>
      <c r="AM9" t="s">
        <v>169</v>
      </c>
      <c r="AN9" s="12">
        <v>0.625</v>
      </c>
      <c r="AO9" s="1">
        <v>45685</v>
      </c>
      <c r="AP9" s="12">
        <v>0.625</v>
      </c>
      <c r="AQ9" s="88"/>
      <c r="AR9" t="s">
        <v>146</v>
      </c>
      <c r="AS9" t="s">
        <v>148</v>
      </c>
      <c r="AT9" t="s">
        <v>171</v>
      </c>
      <c r="AU9">
        <v>2025</v>
      </c>
      <c r="AV9">
        <v>5</v>
      </c>
      <c r="AW9">
        <v>5</v>
      </c>
      <c r="AX9">
        <v>28</v>
      </c>
      <c r="AY9">
        <v>28</v>
      </c>
      <c r="AZ9" t="s">
        <v>322</v>
      </c>
      <c r="BA9" t="s">
        <v>314</v>
      </c>
      <c r="BD9" t="s">
        <v>1025</v>
      </c>
      <c r="BG9" t="s">
        <v>1017</v>
      </c>
      <c r="BH9" t="s">
        <v>146</v>
      </c>
      <c r="BI9" t="s">
        <v>146</v>
      </c>
    </row>
    <row r="10" spans="1:61" x14ac:dyDescent="0.25">
      <c r="A10" t="s">
        <v>336</v>
      </c>
      <c r="B10">
        <v>45689</v>
      </c>
      <c r="C10" s="88">
        <v>4.1666666666666741E-2</v>
      </c>
      <c r="D10" s="1"/>
      <c r="E10" s="12">
        <v>0.10416666666666667</v>
      </c>
      <c r="F10" s="1">
        <v>45689</v>
      </c>
      <c r="G10" s="12">
        <v>0.11982638888888889</v>
      </c>
      <c r="H10" t="s">
        <v>154</v>
      </c>
      <c r="K10" t="s">
        <v>337</v>
      </c>
      <c r="L10" t="s">
        <v>338</v>
      </c>
      <c r="M10">
        <v>6</v>
      </c>
      <c r="N10" t="s">
        <v>339</v>
      </c>
      <c r="Q10" t="s">
        <v>979</v>
      </c>
      <c r="R10" t="s">
        <v>980</v>
      </c>
      <c r="S10" t="s">
        <v>342</v>
      </c>
      <c r="T10" t="s">
        <v>161</v>
      </c>
      <c r="Y10" t="s">
        <v>953</v>
      </c>
      <c r="Z10" t="s">
        <v>931</v>
      </c>
      <c r="AA10" t="s">
        <v>265</v>
      </c>
      <c r="AB10" t="s">
        <v>164</v>
      </c>
      <c r="AC10" t="s">
        <v>275</v>
      </c>
      <c r="AD10" t="s">
        <v>166</v>
      </c>
      <c r="AE10" t="s">
        <v>167</v>
      </c>
      <c r="AF10">
        <v>9</v>
      </c>
      <c r="AG10" s="1">
        <v>45689</v>
      </c>
      <c r="AH10" s="12">
        <v>4.1666666666666664E-2</v>
      </c>
      <c r="AI10" s="12">
        <v>4.1666666666666664E-2</v>
      </c>
      <c r="AJ10" t="s">
        <v>343</v>
      </c>
      <c r="AK10" t="s">
        <v>345</v>
      </c>
      <c r="AL10" t="s">
        <v>154</v>
      </c>
      <c r="AM10" t="s">
        <v>169</v>
      </c>
      <c r="AN10" s="12">
        <v>4.1666666666666664E-2</v>
      </c>
      <c r="AO10" s="1">
        <v>45689</v>
      </c>
      <c r="AP10" s="12">
        <v>4.1666666666666664E-2</v>
      </c>
      <c r="AQ10" s="88"/>
      <c r="AR10" t="s">
        <v>343</v>
      </c>
      <c r="AS10" t="s">
        <v>292</v>
      </c>
      <c r="AT10" t="s">
        <v>344</v>
      </c>
      <c r="AU10">
        <v>2025</v>
      </c>
      <c r="AV10">
        <v>5</v>
      </c>
      <c r="AW10">
        <v>1</v>
      </c>
      <c r="AX10">
        <v>1</v>
      </c>
      <c r="AY10">
        <v>32</v>
      </c>
      <c r="AZ10" t="s">
        <v>345</v>
      </c>
      <c r="BA10" t="s">
        <v>337</v>
      </c>
      <c r="BD10" t="s">
        <v>1026</v>
      </c>
      <c r="BG10" t="s">
        <v>1020</v>
      </c>
      <c r="BH10" t="s">
        <v>343</v>
      </c>
      <c r="BI10" t="s">
        <v>343</v>
      </c>
    </row>
    <row r="11" spans="1:61" x14ac:dyDescent="0.25">
      <c r="A11" t="s">
        <v>356</v>
      </c>
      <c r="B11">
        <v>45691</v>
      </c>
      <c r="C11" s="88">
        <v>0.77083333333333326</v>
      </c>
      <c r="D11" s="1">
        <v>45692</v>
      </c>
      <c r="E11" s="12">
        <v>0.79166666666666663</v>
      </c>
      <c r="F11" s="1">
        <v>45692</v>
      </c>
      <c r="G11" s="12">
        <v>0.53023148148148147</v>
      </c>
      <c r="H11" t="s">
        <v>154</v>
      </c>
      <c r="K11" t="s">
        <v>357</v>
      </c>
      <c r="L11" t="s">
        <v>358</v>
      </c>
      <c r="M11">
        <v>8</v>
      </c>
      <c r="N11" t="s">
        <v>359</v>
      </c>
      <c r="Q11" t="s">
        <v>981</v>
      </c>
      <c r="R11" t="s">
        <v>361</v>
      </c>
      <c r="S11" t="s">
        <v>982</v>
      </c>
      <c r="T11" t="s">
        <v>363</v>
      </c>
      <c r="Y11" t="s">
        <v>934</v>
      </c>
      <c r="Z11" t="s">
        <v>931</v>
      </c>
      <c r="AA11" t="s">
        <v>309</v>
      </c>
      <c r="AB11" t="s">
        <v>142</v>
      </c>
      <c r="AC11" t="s">
        <v>180</v>
      </c>
      <c r="AD11" t="s">
        <v>364</v>
      </c>
      <c r="AE11" t="s">
        <v>167</v>
      </c>
      <c r="AF11">
        <v>9</v>
      </c>
      <c r="AG11" s="1">
        <v>45691</v>
      </c>
      <c r="AH11" s="12">
        <v>0.77083333333333337</v>
      </c>
      <c r="AI11" s="12">
        <v>0.75</v>
      </c>
      <c r="AJ11" t="s">
        <v>266</v>
      </c>
      <c r="AK11" t="s">
        <v>365</v>
      </c>
      <c r="AL11" t="s">
        <v>154</v>
      </c>
      <c r="AM11" t="s">
        <v>169</v>
      </c>
      <c r="AN11" s="12">
        <v>0.77083333333333337</v>
      </c>
      <c r="AO11" s="1">
        <v>45691</v>
      </c>
      <c r="AP11" s="12">
        <v>0.75</v>
      </c>
      <c r="AQ11" s="88"/>
      <c r="AR11" t="s">
        <v>266</v>
      </c>
      <c r="AS11" t="s">
        <v>183</v>
      </c>
      <c r="AT11" t="s">
        <v>344</v>
      </c>
      <c r="AU11">
        <v>2025</v>
      </c>
      <c r="AV11">
        <v>6</v>
      </c>
      <c r="AW11">
        <v>2</v>
      </c>
      <c r="AX11">
        <v>3</v>
      </c>
      <c r="AY11">
        <v>34</v>
      </c>
      <c r="AZ11" t="s">
        <v>365</v>
      </c>
      <c r="BA11" t="s">
        <v>357</v>
      </c>
      <c r="BD11" t="s">
        <v>1027</v>
      </c>
      <c r="BG11" t="s">
        <v>1017</v>
      </c>
      <c r="BH11" t="s">
        <v>266</v>
      </c>
      <c r="BI11" t="s">
        <v>266</v>
      </c>
    </row>
    <row r="12" spans="1:61" x14ac:dyDescent="0.25">
      <c r="A12" t="s">
        <v>376</v>
      </c>
      <c r="B12">
        <v>45695</v>
      </c>
      <c r="C12" s="88">
        <v>0.27430555555555558</v>
      </c>
      <c r="D12" s="1">
        <v>45695</v>
      </c>
      <c r="E12" s="12">
        <v>0.28472222222222221</v>
      </c>
      <c r="F12" s="1">
        <v>45695</v>
      </c>
      <c r="G12" s="12">
        <v>0.30738425925925927</v>
      </c>
      <c r="H12" t="s">
        <v>154</v>
      </c>
      <c r="K12" t="s">
        <v>377</v>
      </c>
      <c r="L12" t="s">
        <v>378</v>
      </c>
      <c r="M12">
        <v>5</v>
      </c>
      <c r="N12" t="s">
        <v>379</v>
      </c>
      <c r="Q12" t="s">
        <v>983</v>
      </c>
      <c r="R12" t="s">
        <v>984</v>
      </c>
      <c r="S12" t="s">
        <v>382</v>
      </c>
      <c r="T12" t="s">
        <v>161</v>
      </c>
      <c r="Y12" t="s">
        <v>953</v>
      </c>
      <c r="Z12" t="s">
        <v>931</v>
      </c>
      <c r="AA12" t="s">
        <v>383</v>
      </c>
      <c r="AB12" t="s">
        <v>384</v>
      </c>
      <c r="AC12" t="s">
        <v>350</v>
      </c>
      <c r="AD12" t="s">
        <v>301</v>
      </c>
      <c r="AE12" t="s">
        <v>167</v>
      </c>
      <c r="AF12">
        <v>9</v>
      </c>
      <c r="AG12" s="1">
        <v>45695</v>
      </c>
      <c r="AH12" s="12">
        <v>0.27430555555555558</v>
      </c>
      <c r="AI12" s="12">
        <v>0.25</v>
      </c>
      <c r="AJ12" t="s">
        <v>385</v>
      </c>
      <c r="AK12" t="s">
        <v>352</v>
      </c>
      <c r="AL12" t="s">
        <v>154</v>
      </c>
      <c r="AM12" t="s">
        <v>169</v>
      </c>
      <c r="AN12" s="12">
        <v>0.27430555555555558</v>
      </c>
      <c r="AO12" s="1">
        <v>45695</v>
      </c>
      <c r="AP12" s="12">
        <v>0.25</v>
      </c>
      <c r="AQ12" s="88"/>
      <c r="AR12" t="s">
        <v>385</v>
      </c>
      <c r="AS12" t="s">
        <v>170</v>
      </c>
      <c r="AT12" t="s">
        <v>344</v>
      </c>
      <c r="AU12">
        <v>2025</v>
      </c>
      <c r="AV12">
        <v>6</v>
      </c>
      <c r="AW12">
        <v>2</v>
      </c>
      <c r="AX12">
        <v>7</v>
      </c>
      <c r="AY12">
        <v>38</v>
      </c>
      <c r="AZ12" t="s">
        <v>352</v>
      </c>
      <c r="BA12" t="s">
        <v>377</v>
      </c>
      <c r="BD12" t="s">
        <v>1028</v>
      </c>
      <c r="BG12" t="s">
        <v>1020</v>
      </c>
      <c r="BH12" t="s">
        <v>385</v>
      </c>
      <c r="BI12" t="s">
        <v>385</v>
      </c>
    </row>
    <row r="13" spans="1:61" x14ac:dyDescent="0.25">
      <c r="A13" t="s">
        <v>330</v>
      </c>
      <c r="B13">
        <v>45688</v>
      </c>
      <c r="C13" s="88">
        <v>0.5</v>
      </c>
      <c r="D13" s="1">
        <v>45695</v>
      </c>
      <c r="E13" s="12">
        <v>0.54166666666666663</v>
      </c>
      <c r="F13" s="1">
        <v>45696</v>
      </c>
      <c r="G13" s="12">
        <v>0.3903240740740741</v>
      </c>
      <c r="H13" t="s">
        <v>154</v>
      </c>
      <c r="K13" t="s">
        <v>331</v>
      </c>
      <c r="L13" t="s">
        <v>270</v>
      </c>
      <c r="M13">
        <v>5</v>
      </c>
      <c r="N13" t="s">
        <v>332</v>
      </c>
      <c r="Q13" t="s">
        <v>985</v>
      </c>
      <c r="S13" t="s">
        <v>236</v>
      </c>
      <c r="T13" t="s">
        <v>975</v>
      </c>
      <c r="Y13" t="s">
        <v>953</v>
      </c>
      <c r="Z13" t="s">
        <v>931</v>
      </c>
      <c r="AA13" t="s">
        <v>334</v>
      </c>
      <c r="AB13" t="s">
        <v>164</v>
      </c>
      <c r="AC13" t="s">
        <v>310</v>
      </c>
      <c r="AD13" t="s">
        <v>166</v>
      </c>
      <c r="AE13" t="s">
        <v>167</v>
      </c>
      <c r="AF13">
        <v>9</v>
      </c>
      <c r="AG13" s="1">
        <v>45688</v>
      </c>
      <c r="AH13" s="12">
        <v>0.5</v>
      </c>
      <c r="AI13" s="12">
        <v>0.5</v>
      </c>
      <c r="AJ13" t="s">
        <v>146</v>
      </c>
      <c r="AK13" t="s">
        <v>335</v>
      </c>
      <c r="AL13" t="s">
        <v>154</v>
      </c>
      <c r="AM13" t="s">
        <v>169</v>
      </c>
      <c r="AN13" s="12">
        <v>0.5</v>
      </c>
      <c r="AO13" s="1">
        <v>45688</v>
      </c>
      <c r="AP13" s="12">
        <v>0.5</v>
      </c>
      <c r="AQ13" s="88"/>
      <c r="AR13" t="s">
        <v>146</v>
      </c>
      <c r="AS13" t="s">
        <v>170</v>
      </c>
      <c r="AT13" t="s">
        <v>171</v>
      </c>
      <c r="AU13">
        <v>2025</v>
      </c>
      <c r="AV13">
        <v>5</v>
      </c>
      <c r="AW13">
        <v>5</v>
      </c>
      <c r="AX13">
        <v>31</v>
      </c>
      <c r="AY13">
        <v>31</v>
      </c>
      <c r="AZ13" t="s">
        <v>335</v>
      </c>
      <c r="BA13" t="s">
        <v>331</v>
      </c>
      <c r="BG13" t="s">
        <v>1029</v>
      </c>
      <c r="BH13" t="s">
        <v>146</v>
      </c>
      <c r="BI13" t="s">
        <v>146</v>
      </c>
    </row>
    <row r="14" spans="1:61" x14ac:dyDescent="0.25">
      <c r="A14" t="s">
        <v>398</v>
      </c>
      <c r="B14">
        <v>45701</v>
      </c>
      <c r="C14" s="88">
        <v>0.66666666666666674</v>
      </c>
      <c r="D14" s="1"/>
      <c r="E14" s="12"/>
      <c r="F14" s="1">
        <v>45702</v>
      </c>
      <c r="G14" s="12">
        <v>0.29906250000000001</v>
      </c>
      <c r="H14" t="s">
        <v>174</v>
      </c>
      <c r="K14" t="s">
        <v>399</v>
      </c>
      <c r="L14" t="s">
        <v>400</v>
      </c>
      <c r="M14">
        <v>6</v>
      </c>
      <c r="N14" t="s">
        <v>401</v>
      </c>
      <c r="Q14" t="s">
        <v>402</v>
      </c>
      <c r="R14" t="s">
        <v>980</v>
      </c>
      <c r="S14" t="s">
        <v>403</v>
      </c>
      <c r="T14" t="s">
        <v>161</v>
      </c>
      <c r="Y14" t="s">
        <v>953</v>
      </c>
      <c r="Z14" t="s">
        <v>931</v>
      </c>
      <c r="AA14" t="s">
        <v>393</v>
      </c>
      <c r="AB14" t="s">
        <v>384</v>
      </c>
      <c r="AC14" t="s">
        <v>275</v>
      </c>
      <c r="AD14" t="s">
        <v>166</v>
      </c>
      <c r="AE14" t="s">
        <v>182</v>
      </c>
      <c r="AF14">
        <v>9</v>
      </c>
      <c r="AG14" s="1">
        <v>45701</v>
      </c>
      <c r="AH14" s="12">
        <v>0.66666666666666663</v>
      </c>
      <c r="AI14" s="12">
        <v>0.66666666666666663</v>
      </c>
      <c r="AJ14" t="s">
        <v>266</v>
      </c>
      <c r="AK14" t="s">
        <v>404</v>
      </c>
      <c r="AL14" t="s">
        <v>174</v>
      </c>
      <c r="AM14" t="s">
        <v>169</v>
      </c>
      <c r="AN14" s="12">
        <v>0.66666666666666663</v>
      </c>
      <c r="AO14" s="1">
        <v>45701</v>
      </c>
      <c r="AP14" s="12">
        <v>0.66666666666666663</v>
      </c>
      <c r="AQ14" s="88"/>
      <c r="AR14" t="s">
        <v>266</v>
      </c>
      <c r="AS14" t="s">
        <v>247</v>
      </c>
      <c r="AT14" t="s">
        <v>344</v>
      </c>
      <c r="AU14">
        <v>2025</v>
      </c>
      <c r="AV14">
        <v>7</v>
      </c>
      <c r="AW14">
        <v>3</v>
      </c>
      <c r="AX14">
        <v>13</v>
      </c>
      <c r="AY14">
        <v>44</v>
      </c>
      <c r="AZ14" t="s">
        <v>404</v>
      </c>
      <c r="BA14" t="s">
        <v>399</v>
      </c>
      <c r="BD14" t="s">
        <v>1030</v>
      </c>
      <c r="BG14" t="s">
        <v>1017</v>
      </c>
      <c r="BH14" t="s">
        <v>266</v>
      </c>
      <c r="BI14" t="s">
        <v>266</v>
      </c>
    </row>
    <row r="15" spans="1:61" x14ac:dyDescent="0.25">
      <c r="A15" t="s">
        <v>405</v>
      </c>
      <c r="B15">
        <v>45705</v>
      </c>
      <c r="C15" s="88">
        <v>0.34877314814814819</v>
      </c>
      <c r="D15" s="1"/>
      <c r="E15" s="12"/>
      <c r="F15" s="1">
        <v>45705</v>
      </c>
      <c r="G15" s="12">
        <v>0.34877314814814814</v>
      </c>
      <c r="H15" t="s">
        <v>154</v>
      </c>
      <c r="I15" t="s">
        <v>406</v>
      </c>
      <c r="K15" t="s">
        <v>407</v>
      </c>
      <c r="L15" t="s">
        <v>191</v>
      </c>
      <c r="M15">
        <v>7</v>
      </c>
      <c r="N15" t="s">
        <v>408</v>
      </c>
      <c r="Q15" t="s">
        <v>986</v>
      </c>
      <c r="R15" t="s">
        <v>942</v>
      </c>
      <c r="S15" t="s">
        <v>160</v>
      </c>
      <c r="T15" t="s">
        <v>161</v>
      </c>
      <c r="Y15" t="s">
        <v>934</v>
      </c>
      <c r="Z15" t="s">
        <v>931</v>
      </c>
      <c r="AA15" t="s">
        <v>179</v>
      </c>
      <c r="AB15" t="s">
        <v>142</v>
      </c>
      <c r="AC15" t="s">
        <v>275</v>
      </c>
      <c r="AD15" t="s">
        <v>166</v>
      </c>
      <c r="AE15" t="s">
        <v>167</v>
      </c>
      <c r="AF15">
        <v>9</v>
      </c>
      <c r="AG15" s="1">
        <v>45705</v>
      </c>
      <c r="AH15" s="12">
        <v>0.34877314814814814</v>
      </c>
      <c r="AI15" s="12">
        <v>0.33333333333333331</v>
      </c>
      <c r="AJ15" t="s">
        <v>276</v>
      </c>
      <c r="AK15" t="s">
        <v>411</v>
      </c>
      <c r="AL15" t="s">
        <v>410</v>
      </c>
      <c r="AM15" t="s">
        <v>169</v>
      </c>
      <c r="AN15" s="12">
        <v>0.34877314814814814</v>
      </c>
      <c r="AO15" s="1">
        <v>45705</v>
      </c>
      <c r="AP15" s="12">
        <v>0.33333333333333331</v>
      </c>
      <c r="AQ15" s="88"/>
      <c r="AR15" t="s">
        <v>276</v>
      </c>
      <c r="AS15" t="s">
        <v>183</v>
      </c>
      <c r="AT15" t="s">
        <v>344</v>
      </c>
      <c r="AU15">
        <v>2025</v>
      </c>
      <c r="AV15">
        <v>8</v>
      </c>
      <c r="AW15">
        <v>4</v>
      </c>
      <c r="AX15">
        <v>17</v>
      </c>
      <c r="AY15">
        <v>48</v>
      </c>
      <c r="AZ15" t="s">
        <v>411</v>
      </c>
      <c r="BA15" t="s">
        <v>407</v>
      </c>
      <c r="BD15" t="s">
        <v>1016</v>
      </c>
      <c r="BG15" t="s">
        <v>1020</v>
      </c>
      <c r="BH15" t="s">
        <v>276</v>
      </c>
      <c r="BI15" t="s">
        <v>276</v>
      </c>
    </row>
    <row r="16" spans="1:61" x14ac:dyDescent="0.25">
      <c r="A16" t="s">
        <v>412</v>
      </c>
      <c r="B16">
        <v>45705</v>
      </c>
      <c r="C16" s="88">
        <v>0.39716435185185195</v>
      </c>
      <c r="D16" s="1"/>
      <c r="E16" s="12"/>
      <c r="F16" s="1">
        <v>45705</v>
      </c>
      <c r="G16" s="12">
        <v>0.39716435185185184</v>
      </c>
      <c r="H16" t="s">
        <v>154</v>
      </c>
      <c r="K16" t="s">
        <v>413</v>
      </c>
      <c r="L16" t="s">
        <v>414</v>
      </c>
      <c r="M16">
        <v>7</v>
      </c>
      <c r="N16" t="s">
        <v>415</v>
      </c>
      <c r="Q16" t="s">
        <v>987</v>
      </c>
      <c r="R16" t="s">
        <v>942</v>
      </c>
      <c r="S16" t="s">
        <v>160</v>
      </c>
      <c r="T16" t="s">
        <v>975</v>
      </c>
      <c r="Y16" t="s">
        <v>934</v>
      </c>
      <c r="Z16" t="s">
        <v>931</v>
      </c>
      <c r="AA16" t="s">
        <v>417</v>
      </c>
      <c r="AB16" t="s">
        <v>142</v>
      </c>
      <c r="AC16" t="s">
        <v>275</v>
      </c>
      <c r="AD16" t="s">
        <v>166</v>
      </c>
      <c r="AE16" t="s">
        <v>167</v>
      </c>
      <c r="AF16">
        <v>9</v>
      </c>
      <c r="AG16" s="1">
        <v>45705</v>
      </c>
      <c r="AH16" s="12">
        <v>0.39716435185185184</v>
      </c>
      <c r="AI16" s="12">
        <v>0.375</v>
      </c>
      <c r="AJ16" t="s">
        <v>276</v>
      </c>
      <c r="AK16" t="s">
        <v>184</v>
      </c>
      <c r="AL16" t="s">
        <v>154</v>
      </c>
      <c r="AM16" t="s">
        <v>169</v>
      </c>
      <c r="AN16" s="12">
        <v>0.39716435185185184</v>
      </c>
      <c r="AO16" s="1">
        <v>45705</v>
      </c>
      <c r="AP16" s="12">
        <v>0.375</v>
      </c>
      <c r="AQ16" s="88"/>
      <c r="AR16" t="s">
        <v>276</v>
      </c>
      <c r="AS16" t="s">
        <v>183</v>
      </c>
      <c r="AT16" t="s">
        <v>344</v>
      </c>
      <c r="AU16">
        <v>2025</v>
      </c>
      <c r="AV16">
        <v>8</v>
      </c>
      <c r="AW16">
        <v>4</v>
      </c>
      <c r="AX16">
        <v>17</v>
      </c>
      <c r="AY16">
        <v>48</v>
      </c>
      <c r="AZ16" t="s">
        <v>184</v>
      </c>
      <c r="BA16" t="s">
        <v>413</v>
      </c>
      <c r="BD16" t="s">
        <v>1016</v>
      </c>
      <c r="BG16" t="s">
        <v>1020</v>
      </c>
      <c r="BH16" t="s">
        <v>276</v>
      </c>
      <c r="BI16" t="s">
        <v>276</v>
      </c>
    </row>
    <row r="17" spans="1:61" x14ac:dyDescent="0.25">
      <c r="A17" t="s">
        <v>429</v>
      </c>
      <c r="B17">
        <v>45713</v>
      </c>
      <c r="C17" s="88">
        <v>0.41666666666666674</v>
      </c>
      <c r="D17" s="1">
        <v>45713</v>
      </c>
      <c r="E17" s="12">
        <v>0.95833333333333337</v>
      </c>
      <c r="F17" s="1">
        <v>45712</v>
      </c>
      <c r="G17" s="12">
        <v>0.99136574074074069</v>
      </c>
      <c r="H17" t="s">
        <v>154</v>
      </c>
      <c r="K17" t="s">
        <v>430</v>
      </c>
      <c r="L17" t="s">
        <v>270</v>
      </c>
      <c r="M17">
        <v>5</v>
      </c>
      <c r="N17" t="s">
        <v>431</v>
      </c>
      <c r="Q17" t="s">
        <v>432</v>
      </c>
      <c r="R17" t="s">
        <v>942</v>
      </c>
      <c r="S17" t="s">
        <v>433</v>
      </c>
      <c r="T17" t="s">
        <v>434</v>
      </c>
      <c r="Y17" t="s">
        <v>950</v>
      </c>
      <c r="Z17" t="s">
        <v>931</v>
      </c>
      <c r="AA17" t="s">
        <v>327</v>
      </c>
      <c r="AB17" t="s">
        <v>328</v>
      </c>
      <c r="AC17" t="s">
        <v>228</v>
      </c>
      <c r="AD17" t="s">
        <v>435</v>
      </c>
      <c r="AE17" t="s">
        <v>167</v>
      </c>
      <c r="AF17">
        <v>9</v>
      </c>
      <c r="AG17" s="1">
        <v>45713</v>
      </c>
      <c r="AH17" s="12">
        <v>0.41666666666666669</v>
      </c>
      <c r="AI17" s="12">
        <v>0.41666666666666669</v>
      </c>
      <c r="AJ17" t="s">
        <v>276</v>
      </c>
      <c r="AK17" t="s">
        <v>436</v>
      </c>
      <c r="AL17" t="s">
        <v>154</v>
      </c>
      <c r="AM17" t="s">
        <v>169</v>
      </c>
      <c r="AN17" s="12">
        <v>0.41666666666666669</v>
      </c>
      <c r="AO17" s="1">
        <v>45713</v>
      </c>
      <c r="AP17" s="12">
        <v>0.41666666666666669</v>
      </c>
      <c r="AQ17" s="88"/>
      <c r="AR17" t="s">
        <v>276</v>
      </c>
      <c r="AS17" t="s">
        <v>148</v>
      </c>
      <c r="AT17" t="s">
        <v>344</v>
      </c>
      <c r="AU17">
        <v>2025</v>
      </c>
      <c r="AV17">
        <v>9</v>
      </c>
      <c r="AW17">
        <v>5</v>
      </c>
      <c r="AX17">
        <v>25</v>
      </c>
      <c r="AY17">
        <v>56</v>
      </c>
      <c r="AZ17" t="s">
        <v>436</v>
      </c>
      <c r="BA17" t="s">
        <v>430</v>
      </c>
      <c r="BD17" t="s">
        <v>1031</v>
      </c>
      <c r="BG17" t="s">
        <v>1018</v>
      </c>
      <c r="BH17" t="s">
        <v>276</v>
      </c>
      <c r="BI17" t="s">
        <v>276</v>
      </c>
    </row>
    <row r="18" spans="1:61" x14ac:dyDescent="0.25">
      <c r="A18" t="s">
        <v>462</v>
      </c>
      <c r="B18">
        <v>45722</v>
      </c>
      <c r="C18" s="88">
        <v>0.94149305555555562</v>
      </c>
      <c r="D18" s="1"/>
      <c r="E18" s="12"/>
      <c r="F18" s="1">
        <v>45722</v>
      </c>
      <c r="G18" s="12">
        <v>0.94149305555555551</v>
      </c>
      <c r="H18" t="s">
        <v>174</v>
      </c>
      <c r="K18" t="s">
        <v>463</v>
      </c>
      <c r="L18" t="s">
        <v>208</v>
      </c>
      <c r="M18">
        <v>8</v>
      </c>
      <c r="N18" t="s">
        <v>464</v>
      </c>
      <c r="Q18" t="s">
        <v>465</v>
      </c>
      <c r="R18" t="s">
        <v>980</v>
      </c>
      <c r="S18" t="s">
        <v>466</v>
      </c>
      <c r="T18" t="s">
        <v>161</v>
      </c>
      <c r="Y18" t="s">
        <v>988</v>
      </c>
      <c r="Z18" t="s">
        <v>931</v>
      </c>
      <c r="AA18" t="s">
        <v>179</v>
      </c>
      <c r="AB18" t="s">
        <v>142</v>
      </c>
      <c r="AC18" t="s">
        <v>228</v>
      </c>
      <c r="AD18" t="s">
        <v>166</v>
      </c>
      <c r="AE18" t="s">
        <v>182</v>
      </c>
      <c r="AF18">
        <v>9</v>
      </c>
      <c r="AG18" s="1">
        <v>45722</v>
      </c>
      <c r="AH18" s="12">
        <v>0.94149305555555551</v>
      </c>
      <c r="AI18" s="12">
        <v>0.91666666666666663</v>
      </c>
      <c r="AJ18" t="s">
        <v>168</v>
      </c>
      <c r="AK18" t="s">
        <v>468</v>
      </c>
      <c r="AL18" t="s">
        <v>174</v>
      </c>
      <c r="AM18" t="s">
        <v>169</v>
      </c>
      <c r="AN18" s="12">
        <v>0.94149305555555551</v>
      </c>
      <c r="AO18" s="1">
        <v>45722</v>
      </c>
      <c r="AP18" s="12">
        <v>0.91666666666666663</v>
      </c>
      <c r="AQ18" s="88"/>
      <c r="AR18" t="s">
        <v>168</v>
      </c>
      <c r="AS18" t="s">
        <v>247</v>
      </c>
      <c r="AT18" t="s">
        <v>445</v>
      </c>
      <c r="AU18">
        <v>2025</v>
      </c>
      <c r="AV18">
        <v>10</v>
      </c>
      <c r="AW18">
        <v>2</v>
      </c>
      <c r="AX18">
        <v>6</v>
      </c>
      <c r="AY18">
        <v>65</v>
      </c>
      <c r="AZ18" t="s">
        <v>468</v>
      </c>
      <c r="BA18" t="s">
        <v>463</v>
      </c>
      <c r="BD18" t="s">
        <v>1032</v>
      </c>
      <c r="BG18" t="s">
        <v>1020</v>
      </c>
      <c r="BH18" t="s">
        <v>168</v>
      </c>
      <c r="BI18" t="s">
        <v>168</v>
      </c>
    </row>
    <row r="19" spans="1:61" x14ac:dyDescent="0.25">
      <c r="A19" t="s">
        <v>469</v>
      </c>
      <c r="B19">
        <v>45725</v>
      </c>
      <c r="C19" s="88">
        <v>0.8125</v>
      </c>
      <c r="D19" s="1">
        <v>45726</v>
      </c>
      <c r="E19" s="12">
        <v>0.35416666666666669</v>
      </c>
      <c r="F19" s="1">
        <v>45726</v>
      </c>
      <c r="G19" s="12">
        <v>0.37046296296296294</v>
      </c>
      <c r="H19" t="s">
        <v>174</v>
      </c>
      <c r="K19" t="s">
        <v>470</v>
      </c>
      <c r="L19" t="s">
        <v>191</v>
      </c>
      <c r="M19">
        <v>7</v>
      </c>
      <c r="N19" t="s">
        <v>471</v>
      </c>
      <c r="Q19" t="s">
        <v>472</v>
      </c>
      <c r="R19" t="s">
        <v>473</v>
      </c>
      <c r="S19" t="s">
        <v>474</v>
      </c>
      <c r="T19" t="s">
        <v>161</v>
      </c>
      <c r="Y19" t="s">
        <v>950</v>
      </c>
      <c r="Z19" t="s">
        <v>931</v>
      </c>
      <c r="AA19" t="s">
        <v>475</v>
      </c>
      <c r="AB19" t="s">
        <v>211</v>
      </c>
      <c r="AC19" t="s">
        <v>275</v>
      </c>
      <c r="AD19" t="s">
        <v>166</v>
      </c>
      <c r="AE19" t="s">
        <v>182</v>
      </c>
      <c r="AF19">
        <v>9</v>
      </c>
      <c r="AG19" s="1">
        <v>45725</v>
      </c>
      <c r="AH19" s="12">
        <v>0.8125</v>
      </c>
      <c r="AI19" s="12">
        <v>0.79166666666666663</v>
      </c>
      <c r="AJ19" t="s">
        <v>266</v>
      </c>
      <c r="AK19" t="s">
        <v>476</v>
      </c>
      <c r="AL19" t="s">
        <v>174</v>
      </c>
      <c r="AM19" t="s">
        <v>169</v>
      </c>
      <c r="AN19" s="12">
        <v>0.8125</v>
      </c>
      <c r="AO19" s="1">
        <v>45725</v>
      </c>
      <c r="AP19" s="12">
        <v>0.79166666666666663</v>
      </c>
      <c r="AQ19" s="88"/>
      <c r="AR19" t="s">
        <v>266</v>
      </c>
      <c r="AS19" t="s">
        <v>311</v>
      </c>
      <c r="AT19" t="s">
        <v>445</v>
      </c>
      <c r="AU19">
        <v>2025</v>
      </c>
      <c r="AV19">
        <v>11</v>
      </c>
      <c r="AW19">
        <v>3</v>
      </c>
      <c r="AX19">
        <v>9</v>
      </c>
      <c r="AY19">
        <v>68</v>
      </c>
      <c r="AZ19" t="s">
        <v>476</v>
      </c>
      <c r="BA19" t="s">
        <v>470</v>
      </c>
      <c r="BD19" t="s">
        <v>1033</v>
      </c>
      <c r="BG19" t="s">
        <v>1017</v>
      </c>
      <c r="BH19" t="s">
        <v>266</v>
      </c>
      <c r="BI19" t="s">
        <v>266</v>
      </c>
    </row>
    <row r="20" spans="1:61" x14ac:dyDescent="0.25">
      <c r="A20" t="s">
        <v>482</v>
      </c>
      <c r="B20">
        <v>45727</v>
      </c>
      <c r="C20" s="88">
        <v>0.60416666666666674</v>
      </c>
      <c r="D20" s="1"/>
      <c r="E20" s="12"/>
      <c r="F20" s="1">
        <v>45727</v>
      </c>
      <c r="G20" s="12">
        <v>0.69039351851851849</v>
      </c>
      <c r="H20" t="s">
        <v>174</v>
      </c>
      <c r="K20" t="s">
        <v>483</v>
      </c>
      <c r="L20" t="s">
        <v>208</v>
      </c>
      <c r="M20">
        <v>8</v>
      </c>
      <c r="N20" t="s">
        <v>484</v>
      </c>
      <c r="Q20" t="s">
        <v>485</v>
      </c>
      <c r="R20" t="s">
        <v>961</v>
      </c>
      <c r="S20" t="s">
        <v>487</v>
      </c>
      <c r="T20" t="s">
        <v>161</v>
      </c>
      <c r="Y20" t="s">
        <v>932</v>
      </c>
      <c r="Z20" t="s">
        <v>931</v>
      </c>
      <c r="AA20" t="s">
        <v>327</v>
      </c>
      <c r="AB20" t="s">
        <v>328</v>
      </c>
      <c r="AC20" t="s">
        <v>488</v>
      </c>
      <c r="AD20" t="s">
        <v>166</v>
      </c>
      <c r="AE20" t="s">
        <v>182</v>
      </c>
      <c r="AF20">
        <v>9</v>
      </c>
      <c r="AG20" s="1">
        <v>45727</v>
      </c>
      <c r="AH20" s="12">
        <v>0.60416666666666663</v>
      </c>
      <c r="AI20" s="12">
        <v>0.58333333333333337</v>
      </c>
      <c r="AJ20" t="s">
        <v>146</v>
      </c>
      <c r="AK20" t="s">
        <v>489</v>
      </c>
      <c r="AL20" t="s">
        <v>174</v>
      </c>
      <c r="AM20" t="s">
        <v>169</v>
      </c>
      <c r="AN20" s="12">
        <v>0.60416666666666663</v>
      </c>
      <c r="AO20" s="1">
        <v>45727</v>
      </c>
      <c r="AP20" s="12">
        <v>0.58333333333333337</v>
      </c>
      <c r="AQ20" s="88"/>
      <c r="AR20" t="s">
        <v>146</v>
      </c>
      <c r="AS20" t="s">
        <v>148</v>
      </c>
      <c r="AT20" t="s">
        <v>445</v>
      </c>
      <c r="AU20">
        <v>2025</v>
      </c>
      <c r="AV20">
        <v>11</v>
      </c>
      <c r="AW20">
        <v>3</v>
      </c>
      <c r="AX20">
        <v>11</v>
      </c>
      <c r="AY20">
        <v>70</v>
      </c>
      <c r="AZ20" t="s">
        <v>489</v>
      </c>
      <c r="BA20" t="s">
        <v>483</v>
      </c>
      <c r="BD20" t="s">
        <v>1034</v>
      </c>
      <c r="BG20" t="s">
        <v>1020</v>
      </c>
      <c r="BH20" t="s">
        <v>146</v>
      </c>
      <c r="BI20" t="s">
        <v>146</v>
      </c>
    </row>
    <row r="21" spans="1:61" x14ac:dyDescent="0.25">
      <c r="A21" t="s">
        <v>499</v>
      </c>
      <c r="B21">
        <v>45737</v>
      </c>
      <c r="C21" s="88">
        <v>0.32499999999999996</v>
      </c>
      <c r="D21" s="1"/>
      <c r="E21" s="12"/>
      <c r="F21" s="1">
        <v>45737</v>
      </c>
      <c r="G21" s="12">
        <v>0.59714120370370372</v>
      </c>
      <c r="H21" t="s">
        <v>154</v>
      </c>
      <c r="K21" t="s">
        <v>500</v>
      </c>
      <c r="L21" t="s">
        <v>315</v>
      </c>
      <c r="M21">
        <v>6</v>
      </c>
      <c r="N21" t="s">
        <v>501</v>
      </c>
      <c r="Q21" t="s">
        <v>502</v>
      </c>
      <c r="R21" t="s">
        <v>990</v>
      </c>
      <c r="T21" t="s">
        <v>161</v>
      </c>
      <c r="Y21" t="s">
        <v>988</v>
      </c>
      <c r="Z21" t="s">
        <v>931</v>
      </c>
      <c r="AA21" t="s">
        <v>291</v>
      </c>
      <c r="AB21" t="s">
        <v>256</v>
      </c>
      <c r="AC21" t="s">
        <v>372</v>
      </c>
      <c r="AD21" t="s">
        <v>320</v>
      </c>
      <c r="AE21" t="s">
        <v>167</v>
      </c>
      <c r="AF21">
        <v>9</v>
      </c>
      <c r="AG21" s="1">
        <v>45737</v>
      </c>
      <c r="AH21" s="12">
        <v>0.32500000000000001</v>
      </c>
      <c r="AI21" s="12">
        <v>0.29166666666666669</v>
      </c>
      <c r="AJ21" t="s">
        <v>385</v>
      </c>
      <c r="AK21" t="s">
        <v>504</v>
      </c>
      <c r="AL21" t="s">
        <v>154</v>
      </c>
      <c r="AM21" t="s">
        <v>169</v>
      </c>
      <c r="AN21" s="12">
        <v>0.32500000000000001</v>
      </c>
      <c r="AO21" s="1">
        <v>45737</v>
      </c>
      <c r="AP21" s="12">
        <v>0.29166666666666669</v>
      </c>
      <c r="AQ21" s="88"/>
      <c r="AR21" t="s">
        <v>385</v>
      </c>
      <c r="AS21" t="s">
        <v>170</v>
      </c>
      <c r="AT21" t="s">
        <v>445</v>
      </c>
      <c r="AU21">
        <v>2025</v>
      </c>
      <c r="AV21">
        <v>12</v>
      </c>
      <c r="AW21">
        <v>4</v>
      </c>
      <c r="AX21">
        <v>21</v>
      </c>
      <c r="AY21">
        <v>80</v>
      </c>
      <c r="AZ21" t="s">
        <v>504</v>
      </c>
      <c r="BA21" t="s">
        <v>500</v>
      </c>
      <c r="BD21" t="s">
        <v>1035</v>
      </c>
      <c r="BG21" t="s">
        <v>1020</v>
      </c>
      <c r="BH21" t="s">
        <v>385</v>
      </c>
      <c r="BI21" t="s">
        <v>385</v>
      </c>
    </row>
    <row r="22" spans="1:61" x14ac:dyDescent="0.25">
      <c r="A22" t="s">
        <v>505</v>
      </c>
      <c r="B22">
        <v>45739</v>
      </c>
      <c r="C22" s="88">
        <v>0.17361111111111116</v>
      </c>
      <c r="D22" s="1">
        <v>45739</v>
      </c>
      <c r="E22" s="12">
        <v>0.18055555555555555</v>
      </c>
      <c r="F22" s="1">
        <v>45739</v>
      </c>
      <c r="G22" s="12">
        <v>0.20511574074074074</v>
      </c>
      <c r="H22" t="s">
        <v>174</v>
      </c>
      <c r="I22" t="s">
        <v>506</v>
      </c>
      <c r="K22" t="s">
        <v>507</v>
      </c>
      <c r="L22" t="s">
        <v>270</v>
      </c>
      <c r="M22">
        <v>5</v>
      </c>
      <c r="N22" t="s">
        <v>508</v>
      </c>
      <c r="Q22" t="s">
        <v>991</v>
      </c>
      <c r="R22" t="s">
        <v>980</v>
      </c>
      <c r="S22" t="s">
        <v>510</v>
      </c>
      <c r="T22" t="s">
        <v>161</v>
      </c>
      <c r="Y22" t="s">
        <v>992</v>
      </c>
      <c r="Z22" t="s">
        <v>931</v>
      </c>
      <c r="AA22" t="s">
        <v>309</v>
      </c>
      <c r="AB22" t="s">
        <v>142</v>
      </c>
      <c r="AC22" t="s">
        <v>275</v>
      </c>
      <c r="AD22" t="s">
        <v>166</v>
      </c>
      <c r="AE22" t="s">
        <v>182</v>
      </c>
      <c r="AF22">
        <v>9</v>
      </c>
      <c r="AG22" s="1">
        <v>45739</v>
      </c>
      <c r="AH22" s="12">
        <v>0.1736111111111111</v>
      </c>
      <c r="AI22" s="12">
        <v>0.16666666666666666</v>
      </c>
      <c r="AJ22" t="s">
        <v>385</v>
      </c>
      <c r="AK22" t="s">
        <v>513</v>
      </c>
      <c r="AL22" t="s">
        <v>512</v>
      </c>
      <c r="AM22" t="s">
        <v>169</v>
      </c>
      <c r="AN22" s="12">
        <v>0.1736111111111111</v>
      </c>
      <c r="AO22" s="1">
        <v>45739</v>
      </c>
      <c r="AP22" s="12">
        <v>0.16666666666666666</v>
      </c>
      <c r="AQ22" s="88"/>
      <c r="AR22" t="s">
        <v>385</v>
      </c>
      <c r="AS22" t="s">
        <v>311</v>
      </c>
      <c r="AT22" t="s">
        <v>445</v>
      </c>
      <c r="AU22">
        <v>2025</v>
      </c>
      <c r="AV22">
        <v>13</v>
      </c>
      <c r="AW22">
        <v>5</v>
      </c>
      <c r="AX22">
        <v>23</v>
      </c>
      <c r="AY22">
        <v>82</v>
      </c>
      <c r="AZ22" t="s">
        <v>513</v>
      </c>
      <c r="BA22" t="s">
        <v>507</v>
      </c>
      <c r="BD22" t="s">
        <v>1036</v>
      </c>
      <c r="BG22" t="s">
        <v>1020</v>
      </c>
      <c r="BH22" t="s">
        <v>385</v>
      </c>
      <c r="BI22" t="s">
        <v>385</v>
      </c>
    </row>
    <row r="23" spans="1:61" x14ac:dyDescent="0.25">
      <c r="A23" t="s">
        <v>535</v>
      </c>
      <c r="B23">
        <v>45744</v>
      </c>
      <c r="C23" s="88">
        <v>0.85416666666666674</v>
      </c>
      <c r="D23" s="1">
        <v>45745</v>
      </c>
      <c r="E23" s="12">
        <v>0.41666666666666669</v>
      </c>
      <c r="F23" s="1">
        <v>45745</v>
      </c>
      <c r="G23" s="12">
        <v>0.42986111111111114</v>
      </c>
      <c r="H23" t="s">
        <v>154</v>
      </c>
      <c r="K23" t="s">
        <v>536</v>
      </c>
      <c r="L23" t="s">
        <v>425</v>
      </c>
      <c r="M23">
        <v>8</v>
      </c>
      <c r="N23" t="s">
        <v>537</v>
      </c>
      <c r="Q23" t="s">
        <v>538</v>
      </c>
      <c r="R23" t="s">
        <v>993</v>
      </c>
      <c r="S23" t="s">
        <v>540</v>
      </c>
      <c r="T23" t="s">
        <v>161</v>
      </c>
      <c r="Y23" t="s">
        <v>992</v>
      </c>
      <c r="Z23" t="s">
        <v>931</v>
      </c>
      <c r="AA23" t="s">
        <v>541</v>
      </c>
      <c r="AB23" t="s">
        <v>542</v>
      </c>
      <c r="AC23" t="s">
        <v>228</v>
      </c>
      <c r="AD23" t="s">
        <v>166</v>
      </c>
      <c r="AE23" t="s">
        <v>167</v>
      </c>
      <c r="AF23">
        <v>9</v>
      </c>
      <c r="AG23" s="1">
        <v>45744</v>
      </c>
      <c r="AH23" s="12">
        <v>0.85416666666666663</v>
      </c>
      <c r="AI23" s="12">
        <v>0.83333333333333337</v>
      </c>
      <c r="AJ23" t="s">
        <v>168</v>
      </c>
      <c r="AK23" t="s">
        <v>543</v>
      </c>
      <c r="AL23" t="s">
        <v>154</v>
      </c>
      <c r="AM23" t="s">
        <v>169</v>
      </c>
      <c r="AN23" s="12">
        <v>0.85416666666666663</v>
      </c>
      <c r="AO23" s="1">
        <v>45744</v>
      </c>
      <c r="AP23" s="12">
        <v>0.83333333333333337</v>
      </c>
      <c r="AQ23" s="88"/>
      <c r="AR23" t="s">
        <v>168</v>
      </c>
      <c r="AS23" t="s">
        <v>170</v>
      </c>
      <c r="AT23" t="s">
        <v>445</v>
      </c>
      <c r="AU23">
        <v>2025</v>
      </c>
      <c r="AV23">
        <v>13</v>
      </c>
      <c r="AW23">
        <v>5</v>
      </c>
      <c r="AX23">
        <v>28</v>
      </c>
      <c r="AY23">
        <v>87</v>
      </c>
      <c r="AZ23" t="s">
        <v>543</v>
      </c>
      <c r="BA23" t="s">
        <v>536</v>
      </c>
      <c r="BD23" t="s">
        <v>1037</v>
      </c>
      <c r="BG23" t="s">
        <v>1017</v>
      </c>
      <c r="BH23" t="s">
        <v>168</v>
      </c>
      <c r="BI23" t="s">
        <v>168</v>
      </c>
    </row>
    <row r="24" spans="1:61" x14ac:dyDescent="0.25">
      <c r="A24" t="s">
        <v>555</v>
      </c>
      <c r="B24">
        <v>45747</v>
      </c>
      <c r="C24" s="88">
        <v>0.77777777777777768</v>
      </c>
      <c r="D24" s="1">
        <v>45747</v>
      </c>
      <c r="E24" s="12">
        <v>0.91666666666666663</v>
      </c>
      <c r="F24" s="1">
        <v>45747</v>
      </c>
      <c r="G24" s="12">
        <v>0.93032407407407403</v>
      </c>
      <c r="H24" t="s">
        <v>174</v>
      </c>
      <c r="I24" t="s">
        <v>295</v>
      </c>
      <c r="J24" t="s">
        <v>556</v>
      </c>
      <c r="K24" t="s">
        <v>557</v>
      </c>
      <c r="L24" t="s">
        <v>191</v>
      </c>
      <c r="M24">
        <v>7</v>
      </c>
      <c r="N24" t="s">
        <v>558</v>
      </c>
      <c r="Q24" t="s">
        <v>559</v>
      </c>
      <c r="R24" t="s">
        <v>994</v>
      </c>
      <c r="S24" t="s">
        <v>561</v>
      </c>
      <c r="T24" t="s">
        <v>161</v>
      </c>
      <c r="Y24" t="s">
        <v>988</v>
      </c>
      <c r="Z24" t="s">
        <v>931</v>
      </c>
      <c r="AA24" t="s">
        <v>562</v>
      </c>
      <c r="AB24" t="s">
        <v>256</v>
      </c>
      <c r="AC24" t="s">
        <v>228</v>
      </c>
      <c r="AD24" t="s">
        <v>166</v>
      </c>
      <c r="AE24" t="s">
        <v>563</v>
      </c>
      <c r="AF24">
        <v>9</v>
      </c>
      <c r="AG24" s="1">
        <v>45747</v>
      </c>
      <c r="AH24" s="12">
        <v>0.77777777777777779</v>
      </c>
      <c r="AI24" s="12">
        <v>0.75</v>
      </c>
      <c r="AJ24" t="s">
        <v>266</v>
      </c>
      <c r="AK24" t="s">
        <v>565</v>
      </c>
      <c r="AL24" t="s">
        <v>564</v>
      </c>
      <c r="AM24" t="s">
        <v>169</v>
      </c>
      <c r="AN24" s="12">
        <v>0.77777777777777779</v>
      </c>
      <c r="AO24" s="1">
        <v>45747</v>
      </c>
      <c r="AP24" s="12">
        <v>0.75</v>
      </c>
      <c r="AQ24" s="88"/>
      <c r="AR24" t="s">
        <v>266</v>
      </c>
      <c r="AS24" t="s">
        <v>183</v>
      </c>
      <c r="AT24" t="s">
        <v>445</v>
      </c>
      <c r="AU24">
        <v>2025</v>
      </c>
      <c r="AV24">
        <v>14</v>
      </c>
      <c r="AW24">
        <v>6</v>
      </c>
      <c r="AX24">
        <v>31</v>
      </c>
      <c r="AY24">
        <v>90</v>
      </c>
      <c r="AZ24" t="s">
        <v>565</v>
      </c>
      <c r="BA24" t="s">
        <v>557</v>
      </c>
      <c r="BD24" t="s">
        <v>1038</v>
      </c>
      <c r="BG24" t="s">
        <v>1020</v>
      </c>
      <c r="BH24" t="s">
        <v>266</v>
      </c>
      <c r="BI24" t="s">
        <v>266</v>
      </c>
    </row>
    <row r="25" spans="1:61" x14ac:dyDescent="0.25">
      <c r="A25" t="s">
        <v>566</v>
      </c>
      <c r="B25">
        <v>45747</v>
      </c>
      <c r="C25" s="88">
        <v>0.75</v>
      </c>
      <c r="D25" s="1"/>
      <c r="E25" s="12"/>
      <c r="F25" s="1">
        <v>45748</v>
      </c>
      <c r="G25" s="12">
        <v>3.6863425925925924E-2</v>
      </c>
      <c r="H25" t="s">
        <v>174</v>
      </c>
      <c r="K25" t="s">
        <v>567</v>
      </c>
      <c r="L25" t="s">
        <v>156</v>
      </c>
      <c r="N25" t="s">
        <v>568</v>
      </c>
      <c r="O25">
        <v>2</v>
      </c>
      <c r="P25">
        <v>0</v>
      </c>
      <c r="Q25" t="s">
        <v>995</v>
      </c>
      <c r="R25" t="s">
        <v>947</v>
      </c>
      <c r="S25" t="s">
        <v>996</v>
      </c>
      <c r="T25" t="s">
        <v>975</v>
      </c>
      <c r="Y25" t="s">
        <v>988</v>
      </c>
      <c r="Z25" t="s">
        <v>931</v>
      </c>
      <c r="AA25" t="s">
        <v>571</v>
      </c>
      <c r="AB25" t="s">
        <v>444</v>
      </c>
      <c r="AC25" t="s">
        <v>228</v>
      </c>
      <c r="AD25" t="s">
        <v>364</v>
      </c>
      <c r="AE25" t="s">
        <v>563</v>
      </c>
      <c r="AF25">
        <v>9</v>
      </c>
      <c r="AG25" s="1">
        <v>45747</v>
      </c>
      <c r="AH25" s="12">
        <v>0.75</v>
      </c>
      <c r="AI25" s="12">
        <v>0.75</v>
      </c>
      <c r="AJ25" t="s">
        <v>266</v>
      </c>
      <c r="AK25" t="s">
        <v>172</v>
      </c>
      <c r="AL25" t="s">
        <v>174</v>
      </c>
      <c r="AM25" t="s">
        <v>169</v>
      </c>
      <c r="AN25" s="12">
        <v>0.75</v>
      </c>
      <c r="AO25" s="1">
        <v>45747</v>
      </c>
      <c r="AP25" s="12">
        <v>0.75</v>
      </c>
      <c r="AQ25" s="88"/>
      <c r="AR25" t="s">
        <v>266</v>
      </c>
      <c r="AS25" t="s">
        <v>183</v>
      </c>
      <c r="AT25" t="s">
        <v>445</v>
      </c>
      <c r="AU25">
        <v>2025</v>
      </c>
      <c r="AV25">
        <v>14</v>
      </c>
      <c r="AW25">
        <v>6</v>
      </c>
      <c r="AX25">
        <v>31</v>
      </c>
      <c r="AY25">
        <v>90</v>
      </c>
      <c r="AZ25" t="s">
        <v>172</v>
      </c>
      <c r="BA25" t="s">
        <v>567</v>
      </c>
      <c r="BD25" t="s">
        <v>1039</v>
      </c>
      <c r="BF25">
        <v>2</v>
      </c>
      <c r="BG25" t="s">
        <v>1017</v>
      </c>
      <c r="BH25" t="s">
        <v>266</v>
      </c>
      <c r="BI25" t="s">
        <v>266</v>
      </c>
    </row>
    <row r="26" spans="1:61" x14ac:dyDescent="0.25">
      <c r="A26" t="s">
        <v>572</v>
      </c>
      <c r="B26">
        <v>45747</v>
      </c>
      <c r="C26" s="88">
        <v>0.83333333333333326</v>
      </c>
      <c r="D26" s="1"/>
      <c r="E26" s="12"/>
      <c r="F26" s="1">
        <v>45747</v>
      </c>
      <c r="G26" s="12">
        <v>0.99899305555555551</v>
      </c>
      <c r="H26" t="s">
        <v>174</v>
      </c>
      <c r="K26" t="s">
        <v>567</v>
      </c>
      <c r="L26" t="s">
        <v>156</v>
      </c>
      <c r="M26">
        <v>9</v>
      </c>
      <c r="N26" t="s">
        <v>573</v>
      </c>
      <c r="O26">
        <v>5</v>
      </c>
      <c r="P26">
        <v>0</v>
      </c>
      <c r="Q26" t="s">
        <v>997</v>
      </c>
      <c r="R26" t="s">
        <v>947</v>
      </c>
      <c r="S26" t="s">
        <v>575</v>
      </c>
      <c r="T26" t="s">
        <v>161</v>
      </c>
      <c r="Y26" t="s">
        <v>988</v>
      </c>
      <c r="Z26" t="s">
        <v>931</v>
      </c>
      <c r="AA26" t="s">
        <v>571</v>
      </c>
      <c r="AB26" t="s">
        <v>444</v>
      </c>
      <c r="AC26" t="s">
        <v>228</v>
      </c>
      <c r="AD26" t="s">
        <v>364</v>
      </c>
      <c r="AE26" t="s">
        <v>563</v>
      </c>
      <c r="AF26">
        <v>9</v>
      </c>
      <c r="AG26" s="1">
        <v>45747</v>
      </c>
      <c r="AH26" s="12">
        <v>0.83333333333333337</v>
      </c>
      <c r="AI26" s="12">
        <v>0.83333333333333337</v>
      </c>
      <c r="AJ26" t="s">
        <v>168</v>
      </c>
      <c r="AK26" t="s">
        <v>172</v>
      </c>
      <c r="AL26" t="s">
        <v>174</v>
      </c>
      <c r="AM26" t="s">
        <v>169</v>
      </c>
      <c r="AN26" s="12">
        <v>0.83333333333333337</v>
      </c>
      <c r="AO26" s="1">
        <v>45747</v>
      </c>
      <c r="AP26" s="12">
        <v>0.83333333333333337</v>
      </c>
      <c r="AQ26" s="88"/>
      <c r="AR26" t="s">
        <v>168</v>
      </c>
      <c r="AS26" t="s">
        <v>183</v>
      </c>
      <c r="AT26" t="s">
        <v>445</v>
      </c>
      <c r="AU26">
        <v>2025</v>
      </c>
      <c r="AV26">
        <v>14</v>
      </c>
      <c r="AW26">
        <v>6</v>
      </c>
      <c r="AX26">
        <v>31</v>
      </c>
      <c r="AY26">
        <v>90</v>
      </c>
      <c r="AZ26" t="s">
        <v>172</v>
      </c>
      <c r="BA26" t="s">
        <v>567</v>
      </c>
      <c r="BD26" t="s">
        <v>1040</v>
      </c>
      <c r="BF26">
        <v>5</v>
      </c>
      <c r="BG26" t="s">
        <v>1020</v>
      </c>
      <c r="BH26" t="s">
        <v>168</v>
      </c>
      <c r="BI26" t="s">
        <v>168</v>
      </c>
    </row>
    <row r="27" spans="1:61" x14ac:dyDescent="0.25">
      <c r="A27" t="s">
        <v>576</v>
      </c>
      <c r="B27">
        <v>45748</v>
      </c>
      <c r="C27" s="88">
        <v>0.85324074074074074</v>
      </c>
      <c r="D27" s="1"/>
      <c r="E27" s="12"/>
      <c r="F27" s="1">
        <v>45748</v>
      </c>
      <c r="G27" s="12">
        <v>0.85324074074074074</v>
      </c>
      <c r="H27" t="s">
        <v>174</v>
      </c>
      <c r="K27" t="s">
        <v>577</v>
      </c>
      <c r="L27" t="s">
        <v>414</v>
      </c>
      <c r="M27">
        <v>7</v>
      </c>
      <c r="N27" t="s">
        <v>578</v>
      </c>
      <c r="Q27" t="s">
        <v>579</v>
      </c>
      <c r="R27" t="s">
        <v>998</v>
      </c>
      <c r="S27" t="s">
        <v>581</v>
      </c>
      <c r="T27" t="s">
        <v>161</v>
      </c>
      <c r="Y27" t="s">
        <v>934</v>
      </c>
      <c r="Z27" t="s">
        <v>931</v>
      </c>
      <c r="AA27" t="s">
        <v>417</v>
      </c>
      <c r="AB27" t="s">
        <v>142</v>
      </c>
      <c r="AC27" t="s">
        <v>228</v>
      </c>
      <c r="AD27" t="s">
        <v>166</v>
      </c>
      <c r="AE27" t="s">
        <v>182</v>
      </c>
      <c r="AF27">
        <v>9</v>
      </c>
      <c r="AG27" s="1">
        <v>45748</v>
      </c>
      <c r="AH27" s="12">
        <v>0.85324074074074074</v>
      </c>
      <c r="AI27" s="12">
        <v>0.83333333333333337</v>
      </c>
      <c r="AJ27" t="s">
        <v>168</v>
      </c>
      <c r="AK27" t="s">
        <v>184</v>
      </c>
      <c r="AL27" t="s">
        <v>174</v>
      </c>
      <c r="AM27" t="s">
        <v>169</v>
      </c>
      <c r="AN27" s="12">
        <v>0.85324074074074074</v>
      </c>
      <c r="AO27" s="1">
        <v>45748</v>
      </c>
      <c r="AP27" s="12">
        <v>0.83333333333333337</v>
      </c>
      <c r="AQ27" s="88"/>
      <c r="AR27" t="s">
        <v>168</v>
      </c>
      <c r="AS27" t="s">
        <v>148</v>
      </c>
      <c r="AT27" t="s">
        <v>582</v>
      </c>
      <c r="AU27">
        <v>2025</v>
      </c>
      <c r="AV27">
        <v>14</v>
      </c>
      <c r="AW27">
        <v>1</v>
      </c>
      <c r="AX27">
        <v>1</v>
      </c>
      <c r="AY27">
        <v>91</v>
      </c>
      <c r="AZ27" t="s">
        <v>184</v>
      </c>
      <c r="BA27" t="s">
        <v>577</v>
      </c>
      <c r="BD27" t="s">
        <v>1041</v>
      </c>
      <c r="BG27" t="s">
        <v>1020</v>
      </c>
      <c r="BH27" t="s">
        <v>168</v>
      </c>
      <c r="BI27" t="s">
        <v>168</v>
      </c>
    </row>
    <row r="28" spans="1:61" x14ac:dyDescent="0.25">
      <c r="A28" t="s">
        <v>593</v>
      </c>
      <c r="B28">
        <v>45755</v>
      </c>
      <c r="C28" s="88">
        <v>3.2638888888888884E-2</v>
      </c>
      <c r="D28" s="1"/>
      <c r="E28" s="12"/>
      <c r="F28" s="1">
        <v>45755</v>
      </c>
      <c r="G28" s="12">
        <v>3.6493055555555556E-2</v>
      </c>
      <c r="H28" t="s">
        <v>174</v>
      </c>
      <c r="I28" t="s">
        <v>219</v>
      </c>
      <c r="J28" t="s">
        <v>594</v>
      </c>
      <c r="K28" t="s">
        <v>595</v>
      </c>
      <c r="L28" t="s">
        <v>553</v>
      </c>
      <c r="M28">
        <v>7</v>
      </c>
      <c r="N28" t="s">
        <v>596</v>
      </c>
      <c r="Q28" t="s">
        <v>999</v>
      </c>
      <c r="R28" t="s">
        <v>452</v>
      </c>
      <c r="S28" t="s">
        <v>598</v>
      </c>
      <c r="T28" t="s">
        <v>161</v>
      </c>
      <c r="Y28" t="s">
        <v>1000</v>
      </c>
      <c r="Z28" t="s">
        <v>931</v>
      </c>
      <c r="AA28" t="s">
        <v>255</v>
      </c>
      <c r="AB28" t="s">
        <v>256</v>
      </c>
      <c r="AC28" t="s">
        <v>310</v>
      </c>
      <c r="AD28" t="s">
        <v>166</v>
      </c>
      <c r="AE28" t="s">
        <v>182</v>
      </c>
      <c r="AF28">
        <v>9</v>
      </c>
      <c r="AG28" s="1">
        <v>45755</v>
      </c>
      <c r="AH28" s="12">
        <v>3.2638888888888891E-2</v>
      </c>
      <c r="AI28" s="12">
        <v>0</v>
      </c>
      <c r="AJ28" t="s">
        <v>343</v>
      </c>
      <c r="AK28" t="s">
        <v>601</v>
      </c>
      <c r="AL28" t="s">
        <v>600</v>
      </c>
      <c r="AM28" t="s">
        <v>169</v>
      </c>
      <c r="AN28" s="12">
        <v>3.2638888888888891E-2</v>
      </c>
      <c r="AO28" s="1">
        <v>45755</v>
      </c>
      <c r="AP28" s="12">
        <v>0</v>
      </c>
      <c r="AQ28" s="88"/>
      <c r="AR28" t="s">
        <v>343</v>
      </c>
      <c r="AS28" t="s">
        <v>148</v>
      </c>
      <c r="AT28" t="s">
        <v>582</v>
      </c>
      <c r="AU28">
        <v>2025</v>
      </c>
      <c r="AV28">
        <v>15</v>
      </c>
      <c r="AW28">
        <v>2</v>
      </c>
      <c r="AX28">
        <v>8</v>
      </c>
      <c r="AY28">
        <v>98</v>
      </c>
      <c r="AZ28" t="s">
        <v>601</v>
      </c>
      <c r="BA28" t="s">
        <v>595</v>
      </c>
      <c r="BD28" t="s">
        <v>1042</v>
      </c>
      <c r="BG28" t="s">
        <v>1020</v>
      </c>
      <c r="BH28" t="s">
        <v>343</v>
      </c>
      <c r="BI28" t="s">
        <v>343</v>
      </c>
    </row>
    <row r="29" spans="1:61" x14ac:dyDescent="0.25">
      <c r="A29" t="s">
        <v>612</v>
      </c>
      <c r="B29">
        <v>45756</v>
      </c>
      <c r="C29" s="88">
        <v>0.96527777777777768</v>
      </c>
      <c r="D29" s="1">
        <v>45756</v>
      </c>
      <c r="E29" s="12">
        <v>0.96597222222222223</v>
      </c>
      <c r="F29" s="1">
        <v>45757</v>
      </c>
      <c r="G29" s="12">
        <v>0.57611111111111113</v>
      </c>
      <c r="H29" t="s">
        <v>174</v>
      </c>
      <c r="K29" t="s">
        <v>613</v>
      </c>
      <c r="L29" t="s">
        <v>325</v>
      </c>
      <c r="M29">
        <v>8</v>
      </c>
      <c r="N29" t="s">
        <v>614</v>
      </c>
      <c r="Q29" t="s">
        <v>615</v>
      </c>
      <c r="R29" t="s">
        <v>990</v>
      </c>
      <c r="S29" t="s">
        <v>616</v>
      </c>
      <c r="T29" t="s">
        <v>161</v>
      </c>
      <c r="Y29" t="s">
        <v>932</v>
      </c>
      <c r="Z29" t="s">
        <v>931</v>
      </c>
      <c r="AA29" t="s">
        <v>265</v>
      </c>
      <c r="AB29" t="s">
        <v>164</v>
      </c>
      <c r="AC29" t="s">
        <v>488</v>
      </c>
      <c r="AD29" t="s">
        <v>166</v>
      </c>
      <c r="AE29" t="s">
        <v>182</v>
      </c>
      <c r="AF29">
        <v>9</v>
      </c>
      <c r="AG29" s="1">
        <v>45756</v>
      </c>
      <c r="AH29" s="12">
        <v>0.96527777777777779</v>
      </c>
      <c r="AI29" s="12">
        <v>0.95833333333333337</v>
      </c>
      <c r="AJ29" t="s">
        <v>168</v>
      </c>
      <c r="AK29" t="s">
        <v>617</v>
      </c>
      <c r="AL29" t="s">
        <v>174</v>
      </c>
      <c r="AM29" t="s">
        <v>169</v>
      </c>
      <c r="AN29" s="12">
        <v>0.96527777777777779</v>
      </c>
      <c r="AO29" s="1">
        <v>45756</v>
      </c>
      <c r="AP29" s="12">
        <v>0.95833333333333337</v>
      </c>
      <c r="AQ29" s="88"/>
      <c r="AR29" t="s">
        <v>168</v>
      </c>
      <c r="AS29" t="s">
        <v>239</v>
      </c>
      <c r="AT29" t="s">
        <v>582</v>
      </c>
      <c r="AU29">
        <v>2025</v>
      </c>
      <c r="AV29">
        <v>15</v>
      </c>
      <c r="AW29">
        <v>2</v>
      </c>
      <c r="AX29">
        <v>9</v>
      </c>
      <c r="AY29">
        <v>99</v>
      </c>
      <c r="AZ29" t="s">
        <v>617</v>
      </c>
      <c r="BA29" t="s">
        <v>613</v>
      </c>
      <c r="BD29" t="s">
        <v>1043</v>
      </c>
      <c r="BG29" t="s">
        <v>1017</v>
      </c>
      <c r="BH29" t="s">
        <v>168</v>
      </c>
      <c r="BI29" t="s">
        <v>168</v>
      </c>
    </row>
    <row r="30" spans="1:61" x14ac:dyDescent="0.25">
      <c r="A30" t="s">
        <v>618</v>
      </c>
      <c r="C30" s="88"/>
      <c r="D30" s="1">
        <v>45760</v>
      </c>
      <c r="E30" s="12">
        <v>0.6875</v>
      </c>
      <c r="F30" s="1">
        <v>45760</v>
      </c>
      <c r="G30" s="12">
        <v>0.69084490740740745</v>
      </c>
      <c r="H30" t="s">
        <v>174</v>
      </c>
      <c r="I30" t="s">
        <v>619</v>
      </c>
      <c r="K30" t="s">
        <v>620</v>
      </c>
      <c r="L30" t="s">
        <v>191</v>
      </c>
      <c r="M30">
        <v>7</v>
      </c>
      <c r="N30" t="s">
        <v>621</v>
      </c>
      <c r="Q30" t="s">
        <v>1001</v>
      </c>
      <c r="R30" t="s">
        <v>942</v>
      </c>
      <c r="S30" t="s">
        <v>160</v>
      </c>
      <c r="T30" t="s">
        <v>161</v>
      </c>
      <c r="U30" t="s">
        <v>1002</v>
      </c>
      <c r="V30" t="s">
        <v>161</v>
      </c>
      <c r="W30" t="s">
        <v>980</v>
      </c>
      <c r="X30" t="s">
        <v>624</v>
      </c>
      <c r="Y30" t="s">
        <v>950</v>
      </c>
      <c r="Z30" t="s">
        <v>931</v>
      </c>
      <c r="AA30" t="s">
        <v>625</v>
      </c>
      <c r="AB30" t="s">
        <v>328</v>
      </c>
      <c r="AC30" t="s">
        <v>228</v>
      </c>
      <c r="AD30" t="s">
        <v>144</v>
      </c>
      <c r="AE30" t="s">
        <v>182</v>
      </c>
      <c r="AF30">
        <v>9</v>
      </c>
      <c r="AG30" s="1">
        <v>45760</v>
      </c>
      <c r="AH30" s="12">
        <v>0.6875</v>
      </c>
      <c r="AI30" s="12">
        <v>0.66666666666666663</v>
      </c>
      <c r="AJ30" t="s">
        <v>266</v>
      </c>
      <c r="AK30" t="s">
        <v>627</v>
      </c>
      <c r="AL30" t="s">
        <v>626</v>
      </c>
      <c r="AM30" t="s">
        <v>169</v>
      </c>
      <c r="AN30" s="12">
        <v>0.6875</v>
      </c>
      <c r="AO30" s="1">
        <v>45760</v>
      </c>
      <c r="AP30" s="12">
        <v>0.66666666666666663</v>
      </c>
      <c r="AQ30" s="88"/>
      <c r="AR30" t="s">
        <v>266</v>
      </c>
      <c r="AS30" t="s">
        <v>311</v>
      </c>
      <c r="AT30" t="s">
        <v>582</v>
      </c>
      <c r="AU30">
        <v>2025</v>
      </c>
      <c r="AV30">
        <v>16</v>
      </c>
      <c r="AW30">
        <v>3</v>
      </c>
      <c r="AX30">
        <v>13</v>
      </c>
      <c r="AY30">
        <v>103</v>
      </c>
      <c r="AZ30" t="s">
        <v>627</v>
      </c>
      <c r="BA30" t="s">
        <v>620</v>
      </c>
      <c r="BD30" t="s">
        <v>1016</v>
      </c>
      <c r="BG30" t="s">
        <v>1020</v>
      </c>
      <c r="BH30" t="s">
        <v>266</v>
      </c>
      <c r="BI30" t="s">
        <v>266</v>
      </c>
    </row>
    <row r="31" spans="1:61" x14ac:dyDescent="0.25">
      <c r="A31" t="s">
        <v>649</v>
      </c>
      <c r="B31">
        <v>45766</v>
      </c>
      <c r="C31" s="88">
        <v>0.58333333333333326</v>
      </c>
      <c r="D31" s="1">
        <v>45766</v>
      </c>
      <c r="E31" s="12">
        <v>0.625</v>
      </c>
      <c r="F31" s="1">
        <v>45766</v>
      </c>
      <c r="G31" s="12">
        <v>0.63688657407407412</v>
      </c>
      <c r="H31" t="s">
        <v>174</v>
      </c>
      <c r="I31" t="s">
        <v>295</v>
      </c>
      <c r="K31" t="s">
        <v>650</v>
      </c>
      <c r="L31" t="s">
        <v>358</v>
      </c>
      <c r="M31">
        <v>8</v>
      </c>
      <c r="N31" t="s">
        <v>651</v>
      </c>
      <c r="Q31" t="s">
        <v>1003</v>
      </c>
      <c r="R31" t="s">
        <v>980</v>
      </c>
      <c r="S31" t="s">
        <v>653</v>
      </c>
      <c r="T31" t="s">
        <v>161</v>
      </c>
      <c r="U31" t="s">
        <v>1004</v>
      </c>
      <c r="V31" t="s">
        <v>161</v>
      </c>
      <c r="W31" t="s">
        <v>655</v>
      </c>
      <c r="X31" t="s">
        <v>656</v>
      </c>
      <c r="Y31" t="s">
        <v>1005</v>
      </c>
      <c r="Z31" t="s">
        <v>931</v>
      </c>
      <c r="AA31" t="s">
        <v>530</v>
      </c>
      <c r="AB31" t="s">
        <v>384</v>
      </c>
      <c r="AC31" t="s">
        <v>488</v>
      </c>
      <c r="AD31" t="s">
        <v>166</v>
      </c>
      <c r="AE31" t="s">
        <v>182</v>
      </c>
      <c r="AF31">
        <v>9</v>
      </c>
      <c r="AG31" s="1">
        <v>45766</v>
      </c>
      <c r="AH31" s="12">
        <v>0.58333333333333337</v>
      </c>
      <c r="AI31" s="12">
        <v>0.58333333333333337</v>
      </c>
      <c r="AJ31" t="s">
        <v>146</v>
      </c>
      <c r="AK31" t="s">
        <v>658</v>
      </c>
      <c r="AL31" t="s">
        <v>302</v>
      </c>
      <c r="AM31" t="s">
        <v>169</v>
      </c>
      <c r="AN31" s="12">
        <v>0.58333333333333337</v>
      </c>
      <c r="AO31" s="1">
        <v>45766</v>
      </c>
      <c r="AP31" s="12">
        <v>0.58333333333333337</v>
      </c>
      <c r="AQ31" s="88"/>
      <c r="AR31" t="s">
        <v>146</v>
      </c>
      <c r="AS31" t="s">
        <v>292</v>
      </c>
      <c r="AT31" t="s">
        <v>582</v>
      </c>
      <c r="AU31">
        <v>2025</v>
      </c>
      <c r="AV31">
        <v>16</v>
      </c>
      <c r="AW31">
        <v>3</v>
      </c>
      <c r="AX31">
        <v>19</v>
      </c>
      <c r="AY31">
        <v>109</v>
      </c>
      <c r="AZ31" t="s">
        <v>658</v>
      </c>
      <c r="BA31" t="s">
        <v>650</v>
      </c>
      <c r="BD31" t="s">
        <v>1044</v>
      </c>
      <c r="BG31" t="s">
        <v>1020</v>
      </c>
      <c r="BH31" t="s">
        <v>146</v>
      </c>
      <c r="BI31" t="s">
        <v>146</v>
      </c>
    </row>
    <row r="32" spans="1:61" x14ac:dyDescent="0.25">
      <c r="A32" t="s">
        <v>604</v>
      </c>
      <c r="B32">
        <v>45755</v>
      </c>
      <c r="C32" s="88">
        <v>0.20833333333333326</v>
      </c>
      <c r="D32" s="1">
        <v>45757</v>
      </c>
      <c r="E32" s="12">
        <v>0.375</v>
      </c>
      <c r="F32" s="1">
        <v>45768</v>
      </c>
      <c r="G32" s="12">
        <v>0.53252314814814816</v>
      </c>
      <c r="H32" t="s">
        <v>174</v>
      </c>
      <c r="K32" t="s">
        <v>605</v>
      </c>
      <c r="L32" t="s">
        <v>270</v>
      </c>
      <c r="M32">
        <v>5</v>
      </c>
      <c r="N32" t="s">
        <v>606</v>
      </c>
      <c r="Q32" t="s">
        <v>607</v>
      </c>
      <c r="R32" t="s">
        <v>608</v>
      </c>
      <c r="S32" t="s">
        <v>609</v>
      </c>
      <c r="T32" t="s">
        <v>161</v>
      </c>
      <c r="Y32" t="s">
        <v>1006</v>
      </c>
      <c r="Z32" t="s">
        <v>931</v>
      </c>
      <c r="AA32" t="s">
        <v>585</v>
      </c>
      <c r="AB32" t="s">
        <v>164</v>
      </c>
      <c r="AC32" t="s">
        <v>180</v>
      </c>
      <c r="AD32" t="s">
        <v>166</v>
      </c>
      <c r="AE32" t="s">
        <v>182</v>
      </c>
      <c r="AF32">
        <v>9</v>
      </c>
      <c r="AG32" s="1">
        <v>45755</v>
      </c>
      <c r="AH32" s="12">
        <v>0.20833333333333334</v>
      </c>
      <c r="AI32" s="12">
        <v>0.20833333333333334</v>
      </c>
      <c r="AJ32" t="s">
        <v>385</v>
      </c>
      <c r="AK32" t="s">
        <v>611</v>
      </c>
      <c r="AL32" t="s">
        <v>174</v>
      </c>
      <c r="AM32" t="s">
        <v>169</v>
      </c>
      <c r="AN32" s="12">
        <v>0.20833333333333334</v>
      </c>
      <c r="AO32" s="1">
        <v>45755</v>
      </c>
      <c r="AP32" s="12">
        <v>0.20833333333333334</v>
      </c>
      <c r="AQ32" s="88"/>
      <c r="AR32" t="s">
        <v>385</v>
      </c>
      <c r="AS32" t="s">
        <v>148</v>
      </c>
      <c r="AT32" t="s">
        <v>582</v>
      </c>
      <c r="AU32">
        <v>2025</v>
      </c>
      <c r="AV32">
        <v>15</v>
      </c>
      <c r="AW32">
        <v>2</v>
      </c>
      <c r="AX32">
        <v>8</v>
      </c>
      <c r="AY32">
        <v>98</v>
      </c>
      <c r="AZ32" t="s">
        <v>611</v>
      </c>
      <c r="BA32" t="s">
        <v>605</v>
      </c>
      <c r="BD32" t="s">
        <v>1045</v>
      </c>
      <c r="BG32" t="s">
        <v>1029</v>
      </c>
      <c r="BH32" t="s">
        <v>385</v>
      </c>
      <c r="BI32" t="s">
        <v>385</v>
      </c>
    </row>
    <row r="33" spans="1:61" x14ac:dyDescent="0.25">
      <c r="A33" t="s">
        <v>670</v>
      </c>
      <c r="B33">
        <v>45772</v>
      </c>
      <c r="C33" s="88">
        <v>0.5</v>
      </c>
      <c r="D33" s="1">
        <v>45775</v>
      </c>
      <c r="E33" s="12">
        <v>0.625</v>
      </c>
      <c r="F33" s="1">
        <v>45775</v>
      </c>
      <c r="G33" s="12">
        <v>0.66496527777777781</v>
      </c>
      <c r="H33" t="s">
        <v>154</v>
      </c>
      <c r="K33" t="s">
        <v>671</v>
      </c>
      <c r="L33" t="s">
        <v>156</v>
      </c>
      <c r="M33">
        <v>9</v>
      </c>
      <c r="N33" t="s">
        <v>672</v>
      </c>
      <c r="Q33" t="s">
        <v>673</v>
      </c>
      <c r="R33" t="s">
        <v>1007</v>
      </c>
      <c r="S33" t="s">
        <v>675</v>
      </c>
      <c r="T33" t="s">
        <v>161</v>
      </c>
      <c r="Y33" t="s">
        <v>935</v>
      </c>
      <c r="Z33" t="s">
        <v>931</v>
      </c>
      <c r="AA33" t="s">
        <v>530</v>
      </c>
      <c r="AB33" t="s">
        <v>384</v>
      </c>
      <c r="AC33" t="s">
        <v>350</v>
      </c>
      <c r="AD33" t="s">
        <v>320</v>
      </c>
      <c r="AE33" t="s">
        <v>167</v>
      </c>
      <c r="AF33">
        <v>9</v>
      </c>
      <c r="AG33" s="1">
        <v>45772</v>
      </c>
      <c r="AH33" s="12">
        <v>0.5</v>
      </c>
      <c r="AI33" s="12">
        <v>0.5</v>
      </c>
      <c r="AJ33" t="s">
        <v>146</v>
      </c>
      <c r="AK33" t="s">
        <v>676</v>
      </c>
      <c r="AL33" t="s">
        <v>154</v>
      </c>
      <c r="AM33" t="s">
        <v>169</v>
      </c>
      <c r="AN33" s="12">
        <v>0.5</v>
      </c>
      <c r="AO33" s="1">
        <v>45772</v>
      </c>
      <c r="AP33" s="12">
        <v>0.5</v>
      </c>
      <c r="AQ33" s="88"/>
      <c r="AR33" t="s">
        <v>146</v>
      </c>
      <c r="AS33" t="s">
        <v>170</v>
      </c>
      <c r="AT33" t="s">
        <v>582</v>
      </c>
      <c r="AU33">
        <v>2025</v>
      </c>
      <c r="AV33">
        <v>17</v>
      </c>
      <c r="AW33">
        <v>4</v>
      </c>
      <c r="AX33">
        <v>25</v>
      </c>
      <c r="AY33">
        <v>115</v>
      </c>
      <c r="AZ33" t="s">
        <v>676</v>
      </c>
      <c r="BA33" t="s">
        <v>671</v>
      </c>
      <c r="BD33" t="s">
        <v>1046</v>
      </c>
      <c r="BG33" t="s">
        <v>1018</v>
      </c>
      <c r="BH33" t="s">
        <v>146</v>
      </c>
      <c r="BI33" t="s">
        <v>146</v>
      </c>
    </row>
    <row r="34" spans="1:61" x14ac:dyDescent="0.25">
      <c r="A34" t="s">
        <v>690</v>
      </c>
      <c r="B34">
        <v>45776</v>
      </c>
      <c r="C34" s="88">
        <v>0.5625</v>
      </c>
      <c r="D34" s="1"/>
      <c r="E34" s="12"/>
      <c r="F34" s="1">
        <v>45776</v>
      </c>
      <c r="G34" s="12">
        <v>0.61762731481481481</v>
      </c>
      <c r="H34" t="s">
        <v>154</v>
      </c>
      <c r="K34" t="s">
        <v>691</v>
      </c>
      <c r="L34" t="s">
        <v>425</v>
      </c>
      <c r="M34">
        <v>8</v>
      </c>
      <c r="N34" t="s">
        <v>692</v>
      </c>
      <c r="Q34" t="s">
        <v>693</v>
      </c>
      <c r="R34" t="s">
        <v>955</v>
      </c>
      <c r="S34" t="s">
        <v>694</v>
      </c>
      <c r="T34" t="s">
        <v>161</v>
      </c>
      <c r="Y34" t="s">
        <v>1005</v>
      </c>
      <c r="Z34" t="s">
        <v>931</v>
      </c>
      <c r="AA34" t="s">
        <v>585</v>
      </c>
      <c r="AB34" t="s">
        <v>164</v>
      </c>
      <c r="AC34" t="s">
        <v>228</v>
      </c>
      <c r="AD34" t="s">
        <v>435</v>
      </c>
      <c r="AE34" t="s">
        <v>167</v>
      </c>
      <c r="AF34">
        <v>9</v>
      </c>
      <c r="AG34" s="1">
        <v>45776</v>
      </c>
      <c r="AH34" s="12">
        <v>0.5625</v>
      </c>
      <c r="AI34" s="12">
        <v>0.54166666666666663</v>
      </c>
      <c r="AJ34" t="s">
        <v>146</v>
      </c>
      <c r="AK34" t="s">
        <v>428</v>
      </c>
      <c r="AL34" t="s">
        <v>154</v>
      </c>
      <c r="AM34" t="s">
        <v>169</v>
      </c>
      <c r="AN34" s="12">
        <v>0.5625</v>
      </c>
      <c r="AO34" s="1">
        <v>45776</v>
      </c>
      <c r="AP34" s="12">
        <v>0.54166666666666663</v>
      </c>
      <c r="AQ34" s="88"/>
      <c r="AR34" t="s">
        <v>146</v>
      </c>
      <c r="AS34" t="s">
        <v>148</v>
      </c>
      <c r="AT34" t="s">
        <v>582</v>
      </c>
      <c r="AU34">
        <v>2025</v>
      </c>
      <c r="AV34">
        <v>18</v>
      </c>
      <c r="AW34">
        <v>5</v>
      </c>
      <c r="AX34">
        <v>29</v>
      </c>
      <c r="AY34">
        <v>119</v>
      </c>
      <c r="AZ34" t="s">
        <v>428</v>
      </c>
      <c r="BA34" t="s">
        <v>691</v>
      </c>
      <c r="BD34" t="s">
        <v>1047</v>
      </c>
      <c r="BG34" t="s">
        <v>1020</v>
      </c>
      <c r="BH34" t="s">
        <v>146</v>
      </c>
      <c r="BI34" t="s">
        <v>146</v>
      </c>
    </row>
    <row r="35" spans="1:61" x14ac:dyDescent="0.25">
      <c r="A35" t="s">
        <v>437</v>
      </c>
      <c r="B35">
        <v>45717</v>
      </c>
      <c r="C35" s="88">
        <v>0.25</v>
      </c>
      <c r="D35" s="1">
        <v>45780</v>
      </c>
      <c r="E35" s="12">
        <v>0.49583333333333335</v>
      </c>
      <c r="F35" s="1">
        <v>45780</v>
      </c>
      <c r="G35" s="12">
        <v>0.49972222222222223</v>
      </c>
      <c r="H35" t="s">
        <v>154</v>
      </c>
      <c r="K35" t="s">
        <v>438</v>
      </c>
      <c r="L35" t="s">
        <v>425</v>
      </c>
      <c r="M35">
        <v>8</v>
      </c>
      <c r="N35" t="s">
        <v>439</v>
      </c>
      <c r="Q35" t="s">
        <v>440</v>
      </c>
      <c r="R35" t="s">
        <v>1008</v>
      </c>
      <c r="S35" t="s">
        <v>442</v>
      </c>
      <c r="T35" t="s">
        <v>161</v>
      </c>
      <c r="Y35" t="s">
        <v>950</v>
      </c>
      <c r="Z35" t="s">
        <v>931</v>
      </c>
      <c r="AA35" t="s">
        <v>443</v>
      </c>
      <c r="AB35" t="s">
        <v>444</v>
      </c>
      <c r="AC35" t="s">
        <v>310</v>
      </c>
      <c r="AD35" t="s">
        <v>166</v>
      </c>
      <c r="AE35" t="s">
        <v>167</v>
      </c>
      <c r="AF35">
        <v>9</v>
      </c>
      <c r="AG35" s="1">
        <v>45717</v>
      </c>
      <c r="AH35" s="12">
        <v>0.25</v>
      </c>
      <c r="AI35" s="12">
        <v>0.25</v>
      </c>
      <c r="AJ35" t="s">
        <v>385</v>
      </c>
      <c r="AK35" t="s">
        <v>446</v>
      </c>
      <c r="AL35" t="s">
        <v>154</v>
      </c>
      <c r="AM35" t="s">
        <v>169</v>
      </c>
      <c r="AN35" s="12">
        <v>0.25</v>
      </c>
      <c r="AO35" s="1">
        <v>45717</v>
      </c>
      <c r="AP35" s="12">
        <v>0.25</v>
      </c>
      <c r="AQ35" s="88"/>
      <c r="AR35" t="s">
        <v>385</v>
      </c>
      <c r="AS35" t="s">
        <v>292</v>
      </c>
      <c r="AT35" t="s">
        <v>445</v>
      </c>
      <c r="AU35">
        <v>2025</v>
      </c>
      <c r="AV35">
        <v>9</v>
      </c>
      <c r="AW35">
        <v>1</v>
      </c>
      <c r="AX35">
        <v>1</v>
      </c>
      <c r="AY35">
        <v>60</v>
      </c>
      <c r="AZ35" t="s">
        <v>446</v>
      </c>
      <c r="BA35" t="s">
        <v>438</v>
      </c>
      <c r="BD35" t="s">
        <v>1048</v>
      </c>
      <c r="BG35" t="s">
        <v>1049</v>
      </c>
      <c r="BH35" t="s">
        <v>385</v>
      </c>
      <c r="BI35" t="s">
        <v>385</v>
      </c>
    </row>
    <row r="36" spans="1:61" x14ac:dyDescent="0.25">
      <c r="A36" t="s">
        <v>711</v>
      </c>
      <c r="B36">
        <v>45782</v>
      </c>
      <c r="C36" s="88">
        <v>0.625</v>
      </c>
      <c r="D36" s="1"/>
      <c r="E36" s="12"/>
      <c r="F36" s="1">
        <v>45782</v>
      </c>
      <c r="G36" s="12">
        <v>0.75549768518518523</v>
      </c>
      <c r="H36" t="s">
        <v>154</v>
      </c>
      <c r="I36" t="s">
        <v>712</v>
      </c>
      <c r="K36" t="s">
        <v>713</v>
      </c>
      <c r="L36" t="s">
        <v>516</v>
      </c>
      <c r="M36">
        <v>9</v>
      </c>
      <c r="N36" t="s">
        <v>714</v>
      </c>
      <c r="Q36" t="s">
        <v>1009</v>
      </c>
      <c r="R36" t="s">
        <v>952</v>
      </c>
      <c r="S36" t="s">
        <v>716</v>
      </c>
      <c r="T36" t="s">
        <v>975</v>
      </c>
      <c r="Y36" t="s">
        <v>1000</v>
      </c>
      <c r="Z36" t="s">
        <v>931</v>
      </c>
      <c r="AA36" t="s">
        <v>393</v>
      </c>
      <c r="AB36" t="s">
        <v>384</v>
      </c>
      <c r="AF36">
        <v>9</v>
      </c>
      <c r="AG36" s="1">
        <v>45782</v>
      </c>
      <c r="AH36" s="12">
        <v>0.625</v>
      </c>
      <c r="AI36" s="12">
        <v>0.625</v>
      </c>
      <c r="AJ36" t="s">
        <v>146</v>
      </c>
      <c r="AK36" t="s">
        <v>718</v>
      </c>
      <c r="AL36" t="s">
        <v>717</v>
      </c>
      <c r="AM36" t="s">
        <v>169</v>
      </c>
      <c r="AN36" s="12">
        <v>0.625</v>
      </c>
      <c r="AO36" s="1">
        <v>45782</v>
      </c>
      <c r="AP36" s="12">
        <v>0.625</v>
      </c>
      <c r="AQ36" s="88"/>
      <c r="AR36" t="s">
        <v>146</v>
      </c>
      <c r="AS36" t="s">
        <v>183</v>
      </c>
      <c r="AT36" t="s">
        <v>705</v>
      </c>
      <c r="AU36">
        <v>2025</v>
      </c>
      <c r="AV36">
        <v>19</v>
      </c>
      <c r="AW36">
        <v>2</v>
      </c>
      <c r="AX36">
        <v>5</v>
      </c>
      <c r="AY36">
        <v>125</v>
      </c>
      <c r="AZ36" t="s">
        <v>718</v>
      </c>
      <c r="BA36" t="s">
        <v>713</v>
      </c>
      <c r="BD36" t="s">
        <v>1050</v>
      </c>
      <c r="BG36" t="s">
        <v>1020</v>
      </c>
      <c r="BH36" t="s">
        <v>146</v>
      </c>
      <c r="BI36" t="s">
        <v>146</v>
      </c>
    </row>
    <row r="37" spans="1:61" x14ac:dyDescent="0.25">
      <c r="A37" t="s">
        <v>732</v>
      </c>
      <c r="B37">
        <v>45788</v>
      </c>
      <c r="C37" s="88">
        <v>79.166666666666671</v>
      </c>
      <c r="D37" s="1">
        <v>45789</v>
      </c>
      <c r="E37" s="12">
        <v>0.13958333333333334</v>
      </c>
      <c r="F37" s="1">
        <v>45789</v>
      </c>
      <c r="G37" s="12">
        <v>0.28483796296296299</v>
      </c>
      <c r="H37" t="s">
        <v>174</v>
      </c>
      <c r="K37" t="s">
        <v>733</v>
      </c>
      <c r="L37" t="s">
        <v>270</v>
      </c>
      <c r="M37">
        <v>5</v>
      </c>
      <c r="N37" t="s">
        <v>734</v>
      </c>
      <c r="Q37" t="s">
        <v>735</v>
      </c>
      <c r="R37" t="s">
        <v>994</v>
      </c>
      <c r="S37" t="s">
        <v>736</v>
      </c>
      <c r="T37" t="s">
        <v>161</v>
      </c>
      <c r="Y37" t="s">
        <v>946</v>
      </c>
      <c r="Z37" t="s">
        <v>931</v>
      </c>
      <c r="AA37" t="s">
        <v>210</v>
      </c>
      <c r="AB37" t="s">
        <v>211</v>
      </c>
      <c r="AC37" t="s">
        <v>228</v>
      </c>
      <c r="AD37" t="s">
        <v>166</v>
      </c>
      <c r="AE37" t="s">
        <v>182</v>
      </c>
      <c r="AF37">
        <v>9</v>
      </c>
      <c r="AG37" s="1">
        <v>45788</v>
      </c>
      <c r="AH37" s="12">
        <v>0.16666666666666666</v>
      </c>
      <c r="AI37" s="12">
        <v>0.16666666666666666</v>
      </c>
      <c r="AJ37" t="s">
        <v>385</v>
      </c>
      <c r="AK37" t="s">
        <v>737</v>
      </c>
      <c r="AL37" t="s">
        <v>174</v>
      </c>
      <c r="AM37" t="s">
        <v>169</v>
      </c>
      <c r="AN37" s="12">
        <v>0.16666666666666666</v>
      </c>
      <c r="AO37" s="1">
        <v>45788</v>
      </c>
      <c r="AP37" s="12">
        <v>0.16666666666666666</v>
      </c>
      <c r="AQ37" s="88"/>
      <c r="AR37" t="s">
        <v>385</v>
      </c>
      <c r="AS37" t="s">
        <v>311</v>
      </c>
      <c r="AT37" t="s">
        <v>705</v>
      </c>
      <c r="AU37">
        <v>2025</v>
      </c>
      <c r="AV37">
        <v>20</v>
      </c>
      <c r="AW37">
        <v>3</v>
      </c>
      <c r="AX37">
        <v>11</v>
      </c>
      <c r="AY37">
        <v>131</v>
      </c>
      <c r="AZ37" t="s">
        <v>737</v>
      </c>
      <c r="BA37" t="s">
        <v>733</v>
      </c>
      <c r="BD37" t="s">
        <v>1051</v>
      </c>
      <c r="BG37" t="s">
        <v>1017</v>
      </c>
      <c r="BH37" t="s">
        <v>385</v>
      </c>
      <c r="BI37" t="s">
        <v>385</v>
      </c>
    </row>
    <row r="38" spans="1:61" x14ac:dyDescent="0.25">
      <c r="A38" t="s">
        <v>719</v>
      </c>
      <c r="B38">
        <v>45782</v>
      </c>
      <c r="C38" s="88">
        <v>0.74097222222222214</v>
      </c>
      <c r="D38" s="1"/>
      <c r="E38" s="12"/>
      <c r="F38" s="1">
        <v>45791</v>
      </c>
      <c r="G38" s="12">
        <v>0.64642361111111113</v>
      </c>
      <c r="H38" t="s">
        <v>154</v>
      </c>
      <c r="I38" t="s">
        <v>347</v>
      </c>
      <c r="K38" t="s">
        <v>720</v>
      </c>
      <c r="L38" t="s">
        <v>251</v>
      </c>
      <c r="M38">
        <v>9</v>
      </c>
      <c r="N38" t="s">
        <v>721</v>
      </c>
      <c r="R38" t="s">
        <v>980</v>
      </c>
      <c r="S38" t="s">
        <v>722</v>
      </c>
      <c r="Y38" t="s">
        <v>950</v>
      </c>
      <c r="Z38" t="s">
        <v>931</v>
      </c>
      <c r="AA38" t="s">
        <v>646</v>
      </c>
      <c r="AB38" t="s">
        <v>328</v>
      </c>
      <c r="AC38" t="s">
        <v>350</v>
      </c>
      <c r="AD38" t="s">
        <v>181</v>
      </c>
      <c r="AE38" t="s">
        <v>167</v>
      </c>
      <c r="AF38">
        <v>9</v>
      </c>
      <c r="AG38" s="1">
        <v>45782</v>
      </c>
      <c r="AH38" s="12">
        <v>0.74097222222222225</v>
      </c>
      <c r="AI38" s="12">
        <v>0.70833333333333337</v>
      </c>
      <c r="AJ38" t="s">
        <v>266</v>
      </c>
      <c r="AK38" t="s">
        <v>724</v>
      </c>
      <c r="AL38" t="s">
        <v>723</v>
      </c>
      <c r="AM38" t="s">
        <v>169</v>
      </c>
      <c r="AN38" s="12">
        <v>0.74097222222222225</v>
      </c>
      <c r="AO38" s="1">
        <v>45782</v>
      </c>
      <c r="AP38" s="12">
        <v>0.70833333333333337</v>
      </c>
      <c r="AQ38" s="88"/>
      <c r="AR38" t="s">
        <v>266</v>
      </c>
      <c r="AS38" t="s">
        <v>183</v>
      </c>
      <c r="AT38" t="s">
        <v>705</v>
      </c>
      <c r="AU38">
        <v>2025</v>
      </c>
      <c r="AV38">
        <v>19</v>
      </c>
      <c r="AW38">
        <v>2</v>
      </c>
      <c r="AX38">
        <v>5</v>
      </c>
      <c r="AY38">
        <v>125</v>
      </c>
      <c r="AZ38" t="s">
        <v>724</v>
      </c>
      <c r="BA38" t="s">
        <v>720</v>
      </c>
      <c r="BD38" t="s">
        <v>1052</v>
      </c>
      <c r="BG38" t="s">
        <v>1029</v>
      </c>
      <c r="BH38" t="s">
        <v>266</v>
      </c>
      <c r="BI38" t="s">
        <v>266</v>
      </c>
    </row>
    <row r="39" spans="1:61" x14ac:dyDescent="0.25">
      <c r="A39" t="s">
        <v>750</v>
      </c>
      <c r="B39">
        <v>45789</v>
      </c>
      <c r="C39" s="88">
        <v>0.8125</v>
      </c>
      <c r="D39" s="1">
        <v>45789</v>
      </c>
      <c r="E39" s="12">
        <v>0.85069444444444442</v>
      </c>
      <c r="F39" s="1">
        <v>45792</v>
      </c>
      <c r="G39" s="12">
        <v>0.34418981481481481</v>
      </c>
      <c r="H39" t="s">
        <v>154</v>
      </c>
      <c r="K39" t="s">
        <v>751</v>
      </c>
      <c r="L39" t="s">
        <v>553</v>
      </c>
      <c r="N39" t="s">
        <v>752</v>
      </c>
      <c r="Q39" t="s">
        <v>753</v>
      </c>
      <c r="R39" t="s">
        <v>754</v>
      </c>
      <c r="S39" t="s">
        <v>755</v>
      </c>
      <c r="T39" t="s">
        <v>161</v>
      </c>
      <c r="Y39" t="s">
        <v>943</v>
      </c>
      <c r="Z39" t="s">
        <v>931</v>
      </c>
      <c r="AA39" t="s">
        <v>525</v>
      </c>
      <c r="AB39" t="s">
        <v>211</v>
      </c>
      <c r="AC39" t="s">
        <v>488</v>
      </c>
      <c r="AD39" t="s">
        <v>166</v>
      </c>
      <c r="AE39" t="s">
        <v>167</v>
      </c>
      <c r="AF39">
        <v>9</v>
      </c>
      <c r="AG39" s="1">
        <v>45789</v>
      </c>
      <c r="AH39" s="12">
        <v>0.8125</v>
      </c>
      <c r="AI39" s="12">
        <v>0.79166666666666663</v>
      </c>
      <c r="AJ39" t="s">
        <v>266</v>
      </c>
      <c r="AK39" t="s">
        <v>756</v>
      </c>
      <c r="AL39" t="s">
        <v>154</v>
      </c>
      <c r="AM39" t="s">
        <v>169</v>
      </c>
      <c r="AN39" s="12">
        <v>0.8125</v>
      </c>
      <c r="AO39" s="1">
        <v>45789</v>
      </c>
      <c r="AP39" s="12">
        <v>0.79166666666666663</v>
      </c>
      <c r="AQ39" s="88"/>
      <c r="AR39" t="s">
        <v>266</v>
      </c>
      <c r="AS39" t="s">
        <v>183</v>
      </c>
      <c r="AT39" t="s">
        <v>705</v>
      </c>
      <c r="AU39">
        <v>2025</v>
      </c>
      <c r="AV39">
        <v>20</v>
      </c>
      <c r="AW39">
        <v>3</v>
      </c>
      <c r="AX39">
        <v>12</v>
      </c>
      <c r="AY39">
        <v>132</v>
      </c>
      <c r="AZ39" t="s">
        <v>756</v>
      </c>
      <c r="BA39" t="s">
        <v>751</v>
      </c>
      <c r="BD39" t="s">
        <v>1053</v>
      </c>
      <c r="BG39" t="s">
        <v>1018</v>
      </c>
      <c r="BH39" t="s">
        <v>266</v>
      </c>
      <c r="BI39" t="s">
        <v>266</v>
      </c>
    </row>
    <row r="40" spans="1:61" x14ac:dyDescent="0.25">
      <c r="A40" t="s">
        <v>769</v>
      </c>
      <c r="B40">
        <v>45795</v>
      </c>
      <c r="C40" s="88">
        <v>0.8125</v>
      </c>
      <c r="D40" s="1"/>
      <c r="E40" s="12"/>
      <c r="F40" s="1">
        <v>45796</v>
      </c>
      <c r="G40" s="12">
        <v>0.81428240740740743</v>
      </c>
      <c r="H40" t="s">
        <v>154</v>
      </c>
      <c r="K40" t="s">
        <v>770</v>
      </c>
      <c r="L40" t="s">
        <v>251</v>
      </c>
      <c r="M40">
        <v>9</v>
      </c>
      <c r="N40" t="s">
        <v>771</v>
      </c>
      <c r="Q40" t="s">
        <v>772</v>
      </c>
      <c r="R40" t="s">
        <v>980</v>
      </c>
      <c r="S40" t="s">
        <v>773</v>
      </c>
      <c r="T40" t="s">
        <v>161</v>
      </c>
      <c r="Y40" t="s">
        <v>1006</v>
      </c>
      <c r="Z40" t="s">
        <v>931</v>
      </c>
      <c r="AA40" t="s">
        <v>245</v>
      </c>
      <c r="AB40" t="s">
        <v>142</v>
      </c>
      <c r="AC40" t="s">
        <v>350</v>
      </c>
      <c r="AD40" t="s">
        <v>181</v>
      </c>
      <c r="AE40" t="s">
        <v>167</v>
      </c>
      <c r="AF40">
        <v>9</v>
      </c>
      <c r="AG40" s="1">
        <v>45795</v>
      </c>
      <c r="AH40" s="12">
        <v>0.8125</v>
      </c>
      <c r="AI40" s="12">
        <v>0.79166666666666663</v>
      </c>
      <c r="AJ40" t="s">
        <v>266</v>
      </c>
      <c r="AK40" t="s">
        <v>774</v>
      </c>
      <c r="AL40" t="s">
        <v>154</v>
      </c>
      <c r="AM40" t="s">
        <v>169</v>
      </c>
      <c r="AN40" s="12">
        <v>0.8125</v>
      </c>
      <c r="AO40" s="1">
        <v>45795</v>
      </c>
      <c r="AP40" s="12">
        <v>0.79166666666666663</v>
      </c>
      <c r="AQ40" s="88"/>
      <c r="AR40" t="s">
        <v>266</v>
      </c>
      <c r="AS40" t="s">
        <v>311</v>
      </c>
      <c r="AT40" t="s">
        <v>705</v>
      </c>
      <c r="AU40">
        <v>2025</v>
      </c>
      <c r="AV40">
        <v>21</v>
      </c>
      <c r="AW40">
        <v>4</v>
      </c>
      <c r="AX40">
        <v>18</v>
      </c>
      <c r="AY40">
        <v>138</v>
      </c>
      <c r="AZ40" t="s">
        <v>774</v>
      </c>
      <c r="BA40" t="s">
        <v>770</v>
      </c>
      <c r="BD40" t="s">
        <v>1054</v>
      </c>
      <c r="BG40" t="s">
        <v>1017</v>
      </c>
      <c r="BH40" t="s">
        <v>266</v>
      </c>
      <c r="BI40" t="s">
        <v>266</v>
      </c>
    </row>
    <row r="41" spans="1:61" x14ac:dyDescent="0.25">
      <c r="A41" t="s">
        <v>765</v>
      </c>
      <c r="B41">
        <v>45791</v>
      </c>
      <c r="C41" s="88">
        <v>0.46875</v>
      </c>
      <c r="D41" s="1"/>
      <c r="E41" s="12"/>
      <c r="F41" s="1">
        <v>45797</v>
      </c>
      <c r="G41" s="12">
        <v>0.56267361111111114</v>
      </c>
      <c r="H41" t="s">
        <v>174</v>
      </c>
      <c r="I41" t="s">
        <v>295</v>
      </c>
      <c r="K41" t="s">
        <v>766</v>
      </c>
      <c r="L41" t="s">
        <v>325</v>
      </c>
      <c r="M41">
        <v>8</v>
      </c>
      <c r="N41" t="s">
        <v>767</v>
      </c>
      <c r="Q41" t="s">
        <v>768</v>
      </c>
      <c r="Y41" t="s">
        <v>946</v>
      </c>
      <c r="Z41" t="s">
        <v>931</v>
      </c>
      <c r="AA41" t="s">
        <v>334</v>
      </c>
      <c r="AB41" t="s">
        <v>164</v>
      </c>
      <c r="AC41" t="s">
        <v>310</v>
      </c>
      <c r="AD41" t="s">
        <v>166</v>
      </c>
      <c r="AE41" t="s">
        <v>182</v>
      </c>
      <c r="AF41">
        <v>9</v>
      </c>
      <c r="AG41" s="1">
        <v>45791</v>
      </c>
      <c r="AH41" s="12">
        <v>0.46875</v>
      </c>
      <c r="AI41" s="12">
        <v>0.45833333333333331</v>
      </c>
      <c r="AJ41" t="s">
        <v>276</v>
      </c>
      <c r="AK41" t="s">
        <v>374</v>
      </c>
      <c r="AL41" t="s">
        <v>302</v>
      </c>
      <c r="AM41" t="s">
        <v>169</v>
      </c>
      <c r="AN41" s="12">
        <v>0.46875</v>
      </c>
      <c r="AO41" s="1">
        <v>45791</v>
      </c>
      <c r="AP41" s="12">
        <v>0.45833333333333331</v>
      </c>
      <c r="AQ41" s="88"/>
      <c r="AR41" t="s">
        <v>276</v>
      </c>
      <c r="AS41" t="s">
        <v>239</v>
      </c>
      <c r="AT41" t="s">
        <v>705</v>
      </c>
      <c r="AU41">
        <v>2025</v>
      </c>
      <c r="AV41">
        <v>20</v>
      </c>
      <c r="AW41">
        <v>3</v>
      </c>
      <c r="AX41">
        <v>14</v>
      </c>
      <c r="AY41">
        <v>134</v>
      </c>
      <c r="AZ41" t="s">
        <v>374</v>
      </c>
      <c r="BA41" t="s">
        <v>766</v>
      </c>
      <c r="BG41" t="s">
        <v>1018</v>
      </c>
      <c r="BH41" t="s">
        <v>276</v>
      </c>
      <c r="BI41" t="s">
        <v>276</v>
      </c>
    </row>
    <row r="42" spans="1:61" x14ac:dyDescent="0.25">
      <c r="A42" t="s">
        <v>810</v>
      </c>
      <c r="B42">
        <v>45810</v>
      </c>
      <c r="C42" s="88">
        <v>0.56944444444444442</v>
      </c>
      <c r="D42" s="1">
        <v>45811</v>
      </c>
      <c r="E42" s="12">
        <v>0.25</v>
      </c>
      <c r="F42" s="1">
        <v>45811</v>
      </c>
      <c r="G42" s="12">
        <v>0.25730324074074074</v>
      </c>
      <c r="H42" t="s">
        <v>154</v>
      </c>
      <c r="K42" t="s">
        <v>811</v>
      </c>
      <c r="L42" t="s">
        <v>812</v>
      </c>
      <c r="M42">
        <v>9</v>
      </c>
      <c r="N42" t="s">
        <v>813</v>
      </c>
      <c r="Q42" t="s">
        <v>814</v>
      </c>
      <c r="R42" t="s">
        <v>980</v>
      </c>
      <c r="S42" t="s">
        <v>815</v>
      </c>
      <c r="T42" t="s">
        <v>161</v>
      </c>
      <c r="Y42" t="s">
        <v>988</v>
      </c>
      <c r="Z42" t="s">
        <v>931</v>
      </c>
      <c r="AA42" t="s">
        <v>141</v>
      </c>
      <c r="AB42" t="s">
        <v>142</v>
      </c>
      <c r="AC42" t="s">
        <v>488</v>
      </c>
      <c r="AD42" t="s">
        <v>166</v>
      </c>
      <c r="AE42" t="s">
        <v>167</v>
      </c>
      <c r="AF42">
        <v>9</v>
      </c>
      <c r="AG42" s="1">
        <v>45810</v>
      </c>
      <c r="AH42" s="12">
        <v>0.56944444444444442</v>
      </c>
      <c r="AI42" s="12">
        <v>0.54166666666666663</v>
      </c>
      <c r="AJ42" t="s">
        <v>146</v>
      </c>
      <c r="AK42" t="s">
        <v>816</v>
      </c>
      <c r="AL42" t="s">
        <v>154</v>
      </c>
      <c r="AM42" t="s">
        <v>169</v>
      </c>
      <c r="AN42" s="12">
        <v>0.56944444444444442</v>
      </c>
      <c r="AO42" s="1">
        <v>45810</v>
      </c>
      <c r="AP42" s="12">
        <v>0.54166666666666663</v>
      </c>
      <c r="AQ42" s="88"/>
      <c r="AR42" t="s">
        <v>146</v>
      </c>
      <c r="AS42" t="s">
        <v>183</v>
      </c>
      <c r="AT42" t="s">
        <v>149</v>
      </c>
      <c r="AU42">
        <v>2025</v>
      </c>
      <c r="AV42">
        <v>23</v>
      </c>
      <c r="AW42">
        <v>1</v>
      </c>
      <c r="AX42">
        <v>2</v>
      </c>
      <c r="AY42">
        <v>153</v>
      </c>
      <c r="AZ42" t="s">
        <v>816</v>
      </c>
      <c r="BA42" t="s">
        <v>811</v>
      </c>
      <c r="BD42" t="s">
        <v>1055</v>
      </c>
      <c r="BG42" t="s">
        <v>1017</v>
      </c>
      <c r="BH42" t="s">
        <v>146</v>
      </c>
      <c r="BI42" t="s">
        <v>146</v>
      </c>
    </row>
    <row r="43" spans="1:61" x14ac:dyDescent="0.25">
      <c r="A43" t="s">
        <v>817</v>
      </c>
      <c r="B43">
        <v>45811</v>
      </c>
      <c r="C43" s="88">
        <v>0.81298611111111119</v>
      </c>
      <c r="D43" s="1"/>
      <c r="E43" s="12"/>
      <c r="F43" s="1">
        <v>45811</v>
      </c>
      <c r="G43" s="12">
        <v>0.81298611111111108</v>
      </c>
      <c r="H43" t="s">
        <v>154</v>
      </c>
      <c r="K43" t="s">
        <v>818</v>
      </c>
      <c r="L43" t="s">
        <v>414</v>
      </c>
      <c r="M43">
        <v>7</v>
      </c>
      <c r="N43" t="s">
        <v>819</v>
      </c>
      <c r="Q43" t="s">
        <v>820</v>
      </c>
      <c r="R43" t="s">
        <v>821</v>
      </c>
      <c r="S43" t="s">
        <v>822</v>
      </c>
      <c r="T43" t="s">
        <v>161</v>
      </c>
      <c r="Y43" t="s">
        <v>992</v>
      </c>
      <c r="Z43" t="s">
        <v>931</v>
      </c>
      <c r="AA43" t="s">
        <v>554</v>
      </c>
      <c r="AB43" t="s">
        <v>256</v>
      </c>
      <c r="AC43" t="s">
        <v>257</v>
      </c>
      <c r="AD43" t="s">
        <v>166</v>
      </c>
      <c r="AE43" t="s">
        <v>167</v>
      </c>
      <c r="AF43">
        <v>9</v>
      </c>
      <c r="AG43" s="1">
        <v>45811</v>
      </c>
      <c r="AH43" s="12">
        <v>0.81298611111111108</v>
      </c>
      <c r="AI43" s="12">
        <v>0.79166666666666663</v>
      </c>
      <c r="AJ43" t="s">
        <v>266</v>
      </c>
      <c r="AK43" t="s">
        <v>666</v>
      </c>
      <c r="AL43" t="s">
        <v>154</v>
      </c>
      <c r="AM43" t="s">
        <v>169</v>
      </c>
      <c r="AN43" s="12">
        <v>0.81298611111111108</v>
      </c>
      <c r="AO43" s="1">
        <v>45811</v>
      </c>
      <c r="AP43" s="12">
        <v>0.79166666666666663</v>
      </c>
      <c r="AQ43" s="88"/>
      <c r="AR43" t="s">
        <v>266</v>
      </c>
      <c r="AS43" t="s">
        <v>148</v>
      </c>
      <c r="AT43" t="s">
        <v>149</v>
      </c>
      <c r="AU43">
        <v>2025</v>
      </c>
      <c r="AV43">
        <v>23</v>
      </c>
      <c r="AW43">
        <v>1</v>
      </c>
      <c r="AX43">
        <v>3</v>
      </c>
      <c r="AY43">
        <v>154</v>
      </c>
      <c r="AZ43" t="s">
        <v>666</v>
      </c>
      <c r="BA43" t="s">
        <v>818</v>
      </c>
      <c r="BD43" t="s">
        <v>1056</v>
      </c>
      <c r="BG43" t="s">
        <v>1020</v>
      </c>
      <c r="BH43" t="s">
        <v>266</v>
      </c>
      <c r="BI43" t="s">
        <v>266</v>
      </c>
    </row>
    <row r="44" spans="1:61" x14ac:dyDescent="0.25">
      <c r="A44" t="s">
        <v>823</v>
      </c>
      <c r="B44">
        <v>45813</v>
      </c>
      <c r="C44" s="88">
        <v>0.28472222222222232</v>
      </c>
      <c r="D44" s="1"/>
      <c r="E44" s="12"/>
      <c r="F44" s="1">
        <v>45813</v>
      </c>
      <c r="G44" s="12">
        <v>0.28687499999999999</v>
      </c>
      <c r="H44" t="s">
        <v>174</v>
      </c>
      <c r="I44" t="s">
        <v>556</v>
      </c>
      <c r="K44" t="s">
        <v>824</v>
      </c>
      <c r="L44" t="s">
        <v>338</v>
      </c>
      <c r="M44">
        <v>6</v>
      </c>
      <c r="N44" t="s">
        <v>825</v>
      </c>
      <c r="Q44" t="s">
        <v>826</v>
      </c>
      <c r="R44" t="s">
        <v>1010</v>
      </c>
      <c r="S44" t="s">
        <v>828</v>
      </c>
      <c r="T44" t="s">
        <v>161</v>
      </c>
      <c r="Y44" t="s">
        <v>930</v>
      </c>
      <c r="Z44" t="s">
        <v>931</v>
      </c>
      <c r="AA44" t="s">
        <v>393</v>
      </c>
      <c r="AB44" t="s">
        <v>384</v>
      </c>
      <c r="AC44" t="s">
        <v>228</v>
      </c>
      <c r="AD44" t="s">
        <v>166</v>
      </c>
      <c r="AE44" t="s">
        <v>182</v>
      </c>
      <c r="AF44">
        <v>9</v>
      </c>
      <c r="AG44" s="1">
        <v>45813</v>
      </c>
      <c r="AH44" s="12">
        <v>0.28472222222222221</v>
      </c>
      <c r="AI44" s="12">
        <v>0.25</v>
      </c>
      <c r="AJ44" t="s">
        <v>385</v>
      </c>
      <c r="AK44" t="s">
        <v>830</v>
      </c>
      <c r="AL44" t="s">
        <v>829</v>
      </c>
      <c r="AM44" t="s">
        <v>169</v>
      </c>
      <c r="AN44" s="12">
        <v>0.28472222222222221</v>
      </c>
      <c r="AO44" s="1">
        <v>45813</v>
      </c>
      <c r="AP44" s="12">
        <v>0.25</v>
      </c>
      <c r="AQ44" s="88"/>
      <c r="AR44" t="s">
        <v>385</v>
      </c>
      <c r="AS44" t="s">
        <v>247</v>
      </c>
      <c r="AT44" t="s">
        <v>149</v>
      </c>
      <c r="AU44">
        <v>2025</v>
      </c>
      <c r="AV44">
        <v>23</v>
      </c>
      <c r="AW44">
        <v>1</v>
      </c>
      <c r="AX44">
        <v>5</v>
      </c>
      <c r="AY44">
        <v>156</v>
      </c>
      <c r="AZ44" t="s">
        <v>830</v>
      </c>
      <c r="BA44" t="s">
        <v>824</v>
      </c>
      <c r="BD44" t="s">
        <v>1057</v>
      </c>
      <c r="BG44" t="s">
        <v>1020</v>
      </c>
      <c r="BH44" t="s">
        <v>385</v>
      </c>
      <c r="BI44" t="s">
        <v>385</v>
      </c>
    </row>
    <row r="45" spans="1:61" x14ac:dyDescent="0.25">
      <c r="A45" t="s">
        <v>831</v>
      </c>
      <c r="B45">
        <v>45813</v>
      </c>
      <c r="C45" s="88">
        <v>0.28194444444444455</v>
      </c>
      <c r="D45" s="1"/>
      <c r="E45" s="12"/>
      <c r="F45" s="1">
        <v>45813</v>
      </c>
      <c r="G45" s="12">
        <v>0.28289351851851852</v>
      </c>
      <c r="H45" t="s">
        <v>174</v>
      </c>
      <c r="I45" t="s">
        <v>556</v>
      </c>
      <c r="K45" t="s">
        <v>832</v>
      </c>
      <c r="L45" t="s">
        <v>553</v>
      </c>
      <c r="M45">
        <v>7</v>
      </c>
      <c r="N45" t="s">
        <v>833</v>
      </c>
      <c r="Q45" t="s">
        <v>834</v>
      </c>
      <c r="R45" t="s">
        <v>1010</v>
      </c>
      <c r="S45" t="s">
        <v>828</v>
      </c>
      <c r="T45" t="s">
        <v>835</v>
      </c>
      <c r="Y45" t="s">
        <v>930</v>
      </c>
      <c r="Z45" t="s">
        <v>931</v>
      </c>
      <c r="AA45" t="s">
        <v>265</v>
      </c>
      <c r="AB45" t="s">
        <v>164</v>
      </c>
      <c r="AC45" t="s">
        <v>228</v>
      </c>
      <c r="AD45" t="s">
        <v>166</v>
      </c>
      <c r="AE45" t="s">
        <v>167</v>
      </c>
      <c r="AF45">
        <v>9</v>
      </c>
      <c r="AG45" s="1">
        <v>45813</v>
      </c>
      <c r="AH45" s="12">
        <v>0.28194444444444444</v>
      </c>
      <c r="AI45" s="12">
        <v>0.25</v>
      </c>
      <c r="AJ45" t="s">
        <v>385</v>
      </c>
      <c r="AK45" t="s">
        <v>836</v>
      </c>
      <c r="AL45" t="s">
        <v>829</v>
      </c>
      <c r="AM45" t="s">
        <v>169</v>
      </c>
      <c r="AN45" s="12">
        <v>0.28194444444444444</v>
      </c>
      <c r="AO45" s="1">
        <v>45813</v>
      </c>
      <c r="AP45" s="12">
        <v>0.25</v>
      </c>
      <c r="AQ45" s="88"/>
      <c r="AR45" t="s">
        <v>385</v>
      </c>
      <c r="AS45" t="s">
        <v>247</v>
      </c>
      <c r="AT45" t="s">
        <v>149</v>
      </c>
      <c r="AU45">
        <v>2025</v>
      </c>
      <c r="AV45">
        <v>23</v>
      </c>
      <c r="AW45">
        <v>1</v>
      </c>
      <c r="AX45">
        <v>5</v>
      </c>
      <c r="AY45">
        <v>156</v>
      </c>
      <c r="AZ45" t="s">
        <v>836</v>
      </c>
      <c r="BA45" t="s">
        <v>832</v>
      </c>
      <c r="BD45" t="s">
        <v>1057</v>
      </c>
      <c r="BG45" t="s">
        <v>1020</v>
      </c>
      <c r="BH45" t="s">
        <v>385</v>
      </c>
      <c r="BI45" t="s">
        <v>385</v>
      </c>
    </row>
    <row r="46" spans="1:61" x14ac:dyDescent="0.25">
      <c r="A46" t="s">
        <v>837</v>
      </c>
      <c r="B46">
        <v>45815</v>
      </c>
      <c r="C46" s="88">
        <v>0.35416666666666674</v>
      </c>
      <c r="D46" s="1">
        <v>45815</v>
      </c>
      <c r="E46" s="12">
        <v>0.71458333333333335</v>
      </c>
      <c r="F46" s="1">
        <v>45815</v>
      </c>
      <c r="G46" s="12">
        <v>0.71855324074074078</v>
      </c>
      <c r="H46" t="s">
        <v>174</v>
      </c>
      <c r="I46" t="s">
        <v>556</v>
      </c>
      <c r="K46" t="s">
        <v>491</v>
      </c>
      <c r="L46" t="s">
        <v>221</v>
      </c>
      <c r="M46">
        <v>9</v>
      </c>
      <c r="N46" t="s">
        <v>838</v>
      </c>
      <c r="Q46" t="s">
        <v>839</v>
      </c>
      <c r="R46" t="s">
        <v>961</v>
      </c>
      <c r="S46" t="s">
        <v>840</v>
      </c>
      <c r="T46" t="s">
        <v>161</v>
      </c>
      <c r="Y46" t="s">
        <v>946</v>
      </c>
      <c r="Z46" t="s">
        <v>931</v>
      </c>
      <c r="AA46" t="s">
        <v>841</v>
      </c>
      <c r="AB46" t="s">
        <v>384</v>
      </c>
      <c r="AC46" t="s">
        <v>310</v>
      </c>
      <c r="AD46" t="s">
        <v>166</v>
      </c>
      <c r="AE46" t="s">
        <v>182</v>
      </c>
      <c r="AF46">
        <v>9</v>
      </c>
      <c r="AG46" s="1">
        <v>45815</v>
      </c>
      <c r="AH46" s="12">
        <v>0.35416666666666669</v>
      </c>
      <c r="AI46" s="12">
        <v>0.33333333333333331</v>
      </c>
      <c r="AJ46" t="s">
        <v>276</v>
      </c>
      <c r="AK46" t="s">
        <v>230</v>
      </c>
      <c r="AL46" t="s">
        <v>829</v>
      </c>
      <c r="AM46" t="s">
        <v>169</v>
      </c>
      <c r="AN46" s="12">
        <v>0.35416666666666669</v>
      </c>
      <c r="AO46" s="1">
        <v>45815</v>
      </c>
      <c r="AP46" s="12">
        <v>0.33333333333333331</v>
      </c>
      <c r="AQ46" s="88"/>
      <c r="AR46" t="s">
        <v>276</v>
      </c>
      <c r="AS46" t="s">
        <v>292</v>
      </c>
      <c r="AT46" t="s">
        <v>149</v>
      </c>
      <c r="AU46">
        <v>2025</v>
      </c>
      <c r="AV46">
        <v>23</v>
      </c>
      <c r="AW46">
        <v>1</v>
      </c>
      <c r="AX46">
        <v>7</v>
      </c>
      <c r="AY46">
        <v>158</v>
      </c>
      <c r="AZ46" t="s">
        <v>230</v>
      </c>
      <c r="BA46" t="s">
        <v>491</v>
      </c>
      <c r="BD46" t="s">
        <v>1058</v>
      </c>
      <c r="BG46" t="s">
        <v>1020</v>
      </c>
      <c r="BH46" t="s">
        <v>276</v>
      </c>
      <c r="BI46" t="s">
        <v>276</v>
      </c>
    </row>
    <row r="47" spans="1:61" x14ac:dyDescent="0.25">
      <c r="A47" t="s">
        <v>842</v>
      </c>
      <c r="B47">
        <v>45816</v>
      </c>
      <c r="C47" s="88">
        <v>6.25E-2</v>
      </c>
      <c r="D47" s="1"/>
      <c r="E47" s="12"/>
      <c r="F47" s="1">
        <v>45816</v>
      </c>
      <c r="G47" s="12">
        <v>0.42436342592592591</v>
      </c>
      <c r="H47" t="s">
        <v>174</v>
      </c>
      <c r="K47" t="s">
        <v>470</v>
      </c>
      <c r="L47" t="s">
        <v>191</v>
      </c>
      <c r="M47">
        <v>7</v>
      </c>
      <c r="N47" t="s">
        <v>843</v>
      </c>
      <c r="Q47" t="s">
        <v>1011</v>
      </c>
      <c r="S47" t="s">
        <v>773</v>
      </c>
      <c r="T47" t="s">
        <v>161</v>
      </c>
      <c r="Y47" t="s">
        <v>930</v>
      </c>
      <c r="Z47" t="s">
        <v>931</v>
      </c>
      <c r="AA47" t="s">
        <v>265</v>
      </c>
      <c r="AB47" t="s">
        <v>164</v>
      </c>
      <c r="AC47" t="s">
        <v>228</v>
      </c>
      <c r="AD47" t="s">
        <v>181</v>
      </c>
      <c r="AE47" t="s">
        <v>182</v>
      </c>
      <c r="AF47">
        <v>9</v>
      </c>
      <c r="AG47" s="1">
        <v>45816</v>
      </c>
      <c r="AH47" s="12">
        <v>6.25E-2</v>
      </c>
      <c r="AI47" s="12">
        <v>4.1666666666666664E-2</v>
      </c>
      <c r="AJ47" t="s">
        <v>343</v>
      </c>
      <c r="AK47" t="s">
        <v>476</v>
      </c>
      <c r="AL47" t="s">
        <v>174</v>
      </c>
      <c r="AM47" t="s">
        <v>169</v>
      </c>
      <c r="AN47" s="12">
        <v>6.25E-2</v>
      </c>
      <c r="AO47" s="1">
        <v>45816</v>
      </c>
      <c r="AP47" s="12">
        <v>4.1666666666666664E-2</v>
      </c>
      <c r="AQ47" s="88"/>
      <c r="AR47" t="s">
        <v>343</v>
      </c>
      <c r="AS47" t="s">
        <v>311</v>
      </c>
      <c r="AT47" t="s">
        <v>149</v>
      </c>
      <c r="AU47">
        <v>2025</v>
      </c>
      <c r="AV47">
        <v>24</v>
      </c>
      <c r="AW47">
        <v>2</v>
      </c>
      <c r="AX47">
        <v>8</v>
      </c>
      <c r="AY47">
        <v>159</v>
      </c>
      <c r="AZ47" t="s">
        <v>476</v>
      </c>
      <c r="BA47" t="s">
        <v>470</v>
      </c>
      <c r="BG47" t="s">
        <v>1020</v>
      </c>
      <c r="BH47" t="s">
        <v>343</v>
      </c>
      <c r="BI47" t="s">
        <v>343</v>
      </c>
    </row>
    <row r="48" spans="1:61" x14ac:dyDescent="0.25">
      <c r="A48" t="s">
        <v>849</v>
      </c>
      <c r="B48">
        <v>45819</v>
      </c>
      <c r="C48" s="88">
        <v>0.18819444444444455</v>
      </c>
      <c r="D48" s="1">
        <v>45819</v>
      </c>
      <c r="E48" s="12">
        <v>0.18888888888888888</v>
      </c>
      <c r="F48" s="1">
        <v>45819</v>
      </c>
      <c r="G48" s="12">
        <v>0.19038194444444445</v>
      </c>
      <c r="H48" t="s">
        <v>154</v>
      </c>
      <c r="K48" t="s">
        <v>850</v>
      </c>
      <c r="N48" t="s">
        <v>851</v>
      </c>
      <c r="Q48" t="s">
        <v>1012</v>
      </c>
      <c r="R48" t="s">
        <v>994</v>
      </c>
      <c r="S48" t="s">
        <v>853</v>
      </c>
      <c r="T48" t="s">
        <v>161</v>
      </c>
      <c r="Y48" t="s">
        <v>943</v>
      </c>
      <c r="Z48" t="s">
        <v>931</v>
      </c>
      <c r="AA48" t="s">
        <v>255</v>
      </c>
      <c r="AB48" t="s">
        <v>256</v>
      </c>
      <c r="AC48" t="s">
        <v>310</v>
      </c>
      <c r="AD48" t="s">
        <v>364</v>
      </c>
      <c r="AE48" t="s">
        <v>167</v>
      </c>
      <c r="AF48">
        <v>9</v>
      </c>
      <c r="AG48" s="1">
        <v>45819</v>
      </c>
      <c r="AH48" s="12">
        <v>0.18819444444444444</v>
      </c>
      <c r="AI48" s="12">
        <v>0.16666666666666666</v>
      </c>
      <c r="AJ48" t="s">
        <v>385</v>
      </c>
      <c r="AK48" t="s">
        <v>854</v>
      </c>
      <c r="AL48" t="s">
        <v>154</v>
      </c>
      <c r="AM48" t="s">
        <v>169</v>
      </c>
      <c r="AN48" s="12">
        <v>0.18819444444444444</v>
      </c>
      <c r="AO48" s="1">
        <v>45819</v>
      </c>
      <c r="AP48" s="12">
        <v>0.16666666666666666</v>
      </c>
      <c r="AQ48" s="88"/>
      <c r="AR48" t="s">
        <v>385</v>
      </c>
      <c r="AS48" t="s">
        <v>239</v>
      </c>
      <c r="AT48" t="s">
        <v>149</v>
      </c>
      <c r="AU48">
        <v>2025</v>
      </c>
      <c r="AV48">
        <v>24</v>
      </c>
      <c r="AW48">
        <v>2</v>
      </c>
      <c r="AX48">
        <v>11</v>
      </c>
      <c r="AY48">
        <v>162</v>
      </c>
      <c r="AZ48" t="s">
        <v>854</v>
      </c>
      <c r="BA48" t="s">
        <v>850</v>
      </c>
      <c r="BD48" t="s">
        <v>1059</v>
      </c>
      <c r="BG48" t="s">
        <v>1020</v>
      </c>
      <c r="BH48" t="s">
        <v>385</v>
      </c>
      <c r="BI48" t="s">
        <v>385</v>
      </c>
    </row>
    <row r="49" spans="1:61" x14ac:dyDescent="0.25">
      <c r="A49" t="s">
        <v>871</v>
      </c>
      <c r="B49">
        <v>45829</v>
      </c>
      <c r="C49" s="88">
        <v>0.1532986111111112</v>
      </c>
      <c r="D49" s="1"/>
      <c r="E49" s="12"/>
      <c r="F49" s="1">
        <v>45829</v>
      </c>
      <c r="G49" s="12">
        <v>0.15677083333333333</v>
      </c>
      <c r="H49" t="s">
        <v>154</v>
      </c>
      <c r="I49" t="s">
        <v>872</v>
      </c>
      <c r="K49" t="s">
        <v>873</v>
      </c>
      <c r="N49" t="s">
        <v>874</v>
      </c>
      <c r="Q49" t="s">
        <v>1013</v>
      </c>
      <c r="R49" t="s">
        <v>494</v>
      </c>
      <c r="S49" t="s">
        <v>876</v>
      </c>
      <c r="T49" t="s">
        <v>161</v>
      </c>
      <c r="Y49" t="s">
        <v>930</v>
      </c>
      <c r="Z49" t="s">
        <v>931</v>
      </c>
      <c r="AA49" t="s">
        <v>787</v>
      </c>
      <c r="AB49" t="s">
        <v>542</v>
      </c>
      <c r="AC49" t="s">
        <v>228</v>
      </c>
      <c r="AD49" t="s">
        <v>166</v>
      </c>
      <c r="AE49" t="s">
        <v>167</v>
      </c>
      <c r="AF49">
        <v>9</v>
      </c>
      <c r="AG49" s="1">
        <v>45829</v>
      </c>
      <c r="AH49" s="12">
        <v>0.15329861111111112</v>
      </c>
      <c r="AI49" s="12">
        <v>0.125</v>
      </c>
      <c r="AJ49" t="s">
        <v>343</v>
      </c>
      <c r="AK49" t="s">
        <v>878</v>
      </c>
      <c r="AL49" t="s">
        <v>877</v>
      </c>
      <c r="AM49" t="s">
        <v>169</v>
      </c>
      <c r="AN49" s="12">
        <v>0.15329861111111112</v>
      </c>
      <c r="AO49" s="1">
        <v>45829</v>
      </c>
      <c r="AP49" s="12">
        <v>0.125</v>
      </c>
      <c r="AQ49" s="88"/>
      <c r="AR49" t="s">
        <v>343</v>
      </c>
      <c r="AS49" t="s">
        <v>292</v>
      </c>
      <c r="AT49" t="s">
        <v>149</v>
      </c>
      <c r="AU49">
        <v>2025</v>
      </c>
      <c r="AV49">
        <v>25</v>
      </c>
      <c r="AW49">
        <v>3</v>
      </c>
      <c r="AX49">
        <v>21</v>
      </c>
      <c r="AY49">
        <v>172</v>
      </c>
      <c r="AZ49" t="s">
        <v>878</v>
      </c>
      <c r="BA49" t="s">
        <v>873</v>
      </c>
      <c r="BD49" t="s">
        <v>1060</v>
      </c>
      <c r="BG49" t="s">
        <v>1020</v>
      </c>
      <c r="BH49" t="s">
        <v>343</v>
      </c>
      <c r="BI49" t="s">
        <v>343</v>
      </c>
    </row>
    <row r="50" spans="1:61" x14ac:dyDescent="0.25">
      <c r="A50" t="s">
        <v>864</v>
      </c>
      <c r="B50">
        <v>45828</v>
      </c>
      <c r="C50" s="88">
        <v>0.97916666666666674</v>
      </c>
      <c r="D50" s="1">
        <v>45828</v>
      </c>
      <c r="E50" s="12">
        <v>0.375</v>
      </c>
      <c r="F50" s="1">
        <v>45829</v>
      </c>
      <c r="G50" s="12">
        <v>0.39340277777777777</v>
      </c>
      <c r="H50" t="s">
        <v>174</v>
      </c>
      <c r="I50" t="s">
        <v>205</v>
      </c>
      <c r="J50" t="s">
        <v>154</v>
      </c>
      <c r="K50" t="s">
        <v>865</v>
      </c>
      <c r="L50" t="s">
        <v>138</v>
      </c>
      <c r="M50">
        <v>8</v>
      </c>
      <c r="N50" t="s">
        <v>866</v>
      </c>
      <c r="Q50" t="s">
        <v>867</v>
      </c>
      <c r="R50" t="s">
        <v>955</v>
      </c>
      <c r="S50" t="s">
        <v>868</v>
      </c>
      <c r="T50" t="s">
        <v>161</v>
      </c>
      <c r="Y50" t="s">
        <v>930</v>
      </c>
      <c r="Z50" t="s">
        <v>931</v>
      </c>
      <c r="AA50" t="s">
        <v>585</v>
      </c>
      <c r="AB50" t="s">
        <v>164</v>
      </c>
      <c r="AC50" t="s">
        <v>228</v>
      </c>
      <c r="AD50" t="s">
        <v>181</v>
      </c>
      <c r="AE50" t="s">
        <v>167</v>
      </c>
      <c r="AF50">
        <v>9</v>
      </c>
      <c r="AG50" s="1">
        <v>45828</v>
      </c>
      <c r="AH50" s="12">
        <v>0.97916666666666663</v>
      </c>
      <c r="AI50" s="12">
        <v>0.95833333333333337</v>
      </c>
      <c r="AJ50" t="s">
        <v>168</v>
      </c>
      <c r="AK50" t="s">
        <v>870</v>
      </c>
      <c r="AL50" t="s">
        <v>869</v>
      </c>
      <c r="AM50" t="s">
        <v>169</v>
      </c>
      <c r="AN50" s="12">
        <v>0.97916666666666663</v>
      </c>
      <c r="AO50" s="1">
        <v>45828</v>
      </c>
      <c r="AP50" s="12">
        <v>0.95833333333333337</v>
      </c>
      <c r="AQ50" s="88"/>
      <c r="AR50" t="s">
        <v>168</v>
      </c>
      <c r="AS50" t="s">
        <v>170</v>
      </c>
      <c r="AT50" t="s">
        <v>149</v>
      </c>
      <c r="AU50">
        <v>2025</v>
      </c>
      <c r="AV50">
        <v>25</v>
      </c>
      <c r="AW50">
        <v>3</v>
      </c>
      <c r="AX50">
        <v>20</v>
      </c>
      <c r="AY50">
        <v>171</v>
      </c>
      <c r="AZ50" t="s">
        <v>870</v>
      </c>
      <c r="BA50" t="s">
        <v>865</v>
      </c>
      <c r="BD50" t="s">
        <v>1061</v>
      </c>
      <c r="BG50" t="s">
        <v>1017</v>
      </c>
      <c r="BH50" t="s">
        <v>168</v>
      </c>
      <c r="BI50" t="s">
        <v>168</v>
      </c>
    </row>
    <row r="51" spans="1:61" x14ac:dyDescent="0.25">
      <c r="A51" t="s">
        <v>880</v>
      </c>
      <c r="B51">
        <v>45829</v>
      </c>
      <c r="C51" s="88">
        <v>0.45486111111111116</v>
      </c>
      <c r="D51" s="1"/>
      <c r="E51" s="12"/>
      <c r="F51" s="1">
        <v>45829</v>
      </c>
      <c r="G51" s="12">
        <v>0.46056712962962965</v>
      </c>
      <c r="H51" t="s">
        <v>154</v>
      </c>
      <c r="K51" t="s">
        <v>881</v>
      </c>
      <c r="L51" t="s">
        <v>358</v>
      </c>
      <c r="M51">
        <v>8</v>
      </c>
      <c r="N51" t="s">
        <v>882</v>
      </c>
      <c r="Q51" t="s">
        <v>883</v>
      </c>
      <c r="R51" t="s">
        <v>994</v>
      </c>
      <c r="S51" t="s">
        <v>884</v>
      </c>
      <c r="T51" t="s">
        <v>161</v>
      </c>
      <c r="Y51" t="s">
        <v>930</v>
      </c>
      <c r="Z51" t="s">
        <v>931</v>
      </c>
      <c r="AA51" t="s">
        <v>393</v>
      </c>
      <c r="AB51" t="s">
        <v>384</v>
      </c>
      <c r="AC51" t="s">
        <v>275</v>
      </c>
      <c r="AD51" t="s">
        <v>166</v>
      </c>
      <c r="AE51" t="s">
        <v>167</v>
      </c>
      <c r="AF51">
        <v>9</v>
      </c>
      <c r="AG51" s="1">
        <v>45829</v>
      </c>
      <c r="AH51" s="12">
        <v>0.4548611111111111</v>
      </c>
      <c r="AI51" s="12">
        <v>0.41666666666666669</v>
      </c>
      <c r="AJ51" t="s">
        <v>276</v>
      </c>
      <c r="AK51" t="s">
        <v>885</v>
      </c>
      <c r="AL51" t="s">
        <v>154</v>
      </c>
      <c r="AM51" t="s">
        <v>169</v>
      </c>
      <c r="AN51" s="12">
        <v>0.4548611111111111</v>
      </c>
      <c r="AO51" s="1">
        <v>45829</v>
      </c>
      <c r="AP51" s="12">
        <v>0.41666666666666669</v>
      </c>
      <c r="AQ51" s="88"/>
      <c r="AR51" t="s">
        <v>276</v>
      </c>
      <c r="AS51" t="s">
        <v>292</v>
      </c>
      <c r="AT51" t="s">
        <v>149</v>
      </c>
      <c r="AU51">
        <v>2025</v>
      </c>
      <c r="AV51">
        <v>25</v>
      </c>
      <c r="AW51">
        <v>3</v>
      </c>
      <c r="AX51">
        <v>21</v>
      </c>
      <c r="AY51">
        <v>172</v>
      </c>
      <c r="AZ51" t="s">
        <v>885</v>
      </c>
      <c r="BA51" t="s">
        <v>881</v>
      </c>
      <c r="BD51" t="s">
        <v>1062</v>
      </c>
      <c r="BG51" t="s">
        <v>1020</v>
      </c>
      <c r="BH51" t="s">
        <v>276</v>
      </c>
      <c r="BI51" t="s">
        <v>276</v>
      </c>
    </row>
    <row r="52" spans="1:61" x14ac:dyDescent="0.25">
      <c r="A52" t="s">
        <v>886</v>
      </c>
      <c r="B52">
        <v>45829</v>
      </c>
      <c r="C52" s="88">
        <v>0.79166666666666674</v>
      </c>
      <c r="D52" s="1">
        <v>45830</v>
      </c>
      <c r="E52" s="12">
        <v>0.45833333333333331</v>
      </c>
      <c r="F52" s="1">
        <v>45830</v>
      </c>
      <c r="G52" s="12">
        <v>0.47619212962962965</v>
      </c>
      <c r="H52" t="s">
        <v>154</v>
      </c>
      <c r="K52" t="s">
        <v>887</v>
      </c>
      <c r="L52" t="s">
        <v>888</v>
      </c>
      <c r="M52">
        <v>7</v>
      </c>
      <c r="N52" t="s">
        <v>889</v>
      </c>
      <c r="Q52" t="s">
        <v>890</v>
      </c>
      <c r="R52" t="s">
        <v>994</v>
      </c>
      <c r="S52" t="s">
        <v>891</v>
      </c>
      <c r="T52" t="s">
        <v>892</v>
      </c>
      <c r="Y52" t="s">
        <v>930</v>
      </c>
      <c r="Z52" t="s">
        <v>931</v>
      </c>
      <c r="AA52" t="s">
        <v>801</v>
      </c>
      <c r="AB52" t="s">
        <v>164</v>
      </c>
      <c r="AC52" t="s">
        <v>275</v>
      </c>
      <c r="AD52" t="s">
        <v>364</v>
      </c>
      <c r="AE52" t="s">
        <v>167</v>
      </c>
      <c r="AF52">
        <v>9</v>
      </c>
      <c r="AG52" s="1">
        <v>45829</v>
      </c>
      <c r="AH52" s="12">
        <v>0.79166666666666663</v>
      </c>
      <c r="AI52" s="12">
        <v>0.79166666666666663</v>
      </c>
      <c r="AJ52" t="s">
        <v>266</v>
      </c>
      <c r="AK52" t="s">
        <v>893</v>
      </c>
      <c r="AL52" t="s">
        <v>154</v>
      </c>
      <c r="AM52" t="s">
        <v>169</v>
      </c>
      <c r="AN52" s="12">
        <v>0.79166666666666663</v>
      </c>
      <c r="AO52" s="1">
        <v>45829</v>
      </c>
      <c r="AP52" s="12">
        <v>0.79166666666666663</v>
      </c>
      <c r="AQ52" s="88"/>
      <c r="AR52" t="s">
        <v>266</v>
      </c>
      <c r="AS52" t="s">
        <v>292</v>
      </c>
      <c r="AT52" t="s">
        <v>149</v>
      </c>
      <c r="AU52">
        <v>2025</v>
      </c>
      <c r="AV52">
        <v>25</v>
      </c>
      <c r="AW52">
        <v>3</v>
      </c>
      <c r="AX52">
        <v>21</v>
      </c>
      <c r="AY52">
        <v>172</v>
      </c>
      <c r="AZ52" t="s">
        <v>893</v>
      </c>
      <c r="BA52" t="s">
        <v>887</v>
      </c>
      <c r="BD52" t="s">
        <v>1063</v>
      </c>
      <c r="BG52" t="s">
        <v>1017</v>
      </c>
      <c r="BH52" t="s">
        <v>266</v>
      </c>
      <c r="BI52" t="s">
        <v>266</v>
      </c>
    </row>
    <row r="53" spans="1:61" x14ac:dyDescent="0.25">
      <c r="A53" t="s">
        <v>898</v>
      </c>
      <c r="B53">
        <v>45833</v>
      </c>
      <c r="C53" s="88">
        <v>0.54166666666666674</v>
      </c>
      <c r="D53" s="1"/>
      <c r="E53" s="12"/>
      <c r="F53" s="1">
        <v>45833</v>
      </c>
      <c r="G53" s="12">
        <v>0.57819444444444446</v>
      </c>
      <c r="H53" t="s">
        <v>174</v>
      </c>
      <c r="K53" t="s">
        <v>899</v>
      </c>
      <c r="L53" t="s">
        <v>400</v>
      </c>
      <c r="M53">
        <v>6</v>
      </c>
      <c r="N53" t="s">
        <v>900</v>
      </c>
      <c r="Q53" t="s">
        <v>901</v>
      </c>
      <c r="R53" t="s">
        <v>961</v>
      </c>
      <c r="S53" t="s">
        <v>342</v>
      </c>
      <c r="T53" t="s">
        <v>161</v>
      </c>
      <c r="Y53" t="s">
        <v>988</v>
      </c>
      <c r="Z53" t="s">
        <v>931</v>
      </c>
      <c r="AA53" t="s">
        <v>417</v>
      </c>
      <c r="AB53" t="s">
        <v>142</v>
      </c>
      <c r="AC53" t="s">
        <v>350</v>
      </c>
      <c r="AD53" t="s">
        <v>301</v>
      </c>
      <c r="AE53" t="s">
        <v>182</v>
      </c>
      <c r="AF53">
        <v>9</v>
      </c>
      <c r="AG53" s="1">
        <v>45833</v>
      </c>
      <c r="AH53" s="12">
        <v>0.54166666666666663</v>
      </c>
      <c r="AI53" s="12">
        <v>0.54166666666666663</v>
      </c>
      <c r="AJ53" t="s">
        <v>146</v>
      </c>
      <c r="AK53" t="s">
        <v>902</v>
      </c>
      <c r="AL53" t="s">
        <v>174</v>
      </c>
      <c r="AM53" t="s">
        <v>948</v>
      </c>
      <c r="AN53" s="12">
        <v>0.54166666666666663</v>
      </c>
      <c r="AO53" s="1">
        <v>45833</v>
      </c>
      <c r="AP53" s="12">
        <v>0.54166666666666663</v>
      </c>
      <c r="AQ53" s="88"/>
      <c r="AR53" t="s">
        <v>146</v>
      </c>
      <c r="AS53" t="s">
        <v>239</v>
      </c>
      <c r="AT53" t="s">
        <v>149</v>
      </c>
      <c r="AU53">
        <v>2025</v>
      </c>
      <c r="AV53">
        <v>26</v>
      </c>
      <c r="AW53">
        <v>4</v>
      </c>
      <c r="AX53">
        <v>25</v>
      </c>
      <c r="AY53">
        <v>176</v>
      </c>
      <c r="AZ53" t="s">
        <v>902</v>
      </c>
      <c r="BA53" t="s">
        <v>899</v>
      </c>
      <c r="BD53" t="s">
        <v>1064</v>
      </c>
      <c r="BG53" t="s">
        <v>1020</v>
      </c>
      <c r="BH53" t="s">
        <v>146</v>
      </c>
      <c r="BI53" t="s">
        <v>146</v>
      </c>
    </row>
    <row r="54" spans="1:61" x14ac:dyDescent="0.25">
      <c r="A54" t="s">
        <v>906</v>
      </c>
      <c r="B54">
        <v>45837</v>
      </c>
      <c r="C54" s="88">
        <v>0.625</v>
      </c>
      <c r="D54" s="1">
        <v>45838</v>
      </c>
      <c r="E54" s="12">
        <v>0.31458333333333333</v>
      </c>
      <c r="F54" s="1">
        <v>45838</v>
      </c>
      <c r="G54" s="12">
        <v>0.31462962962962965</v>
      </c>
      <c r="H54" t="s">
        <v>174</v>
      </c>
      <c r="I54" t="s">
        <v>295</v>
      </c>
      <c r="K54" t="s">
        <v>907</v>
      </c>
      <c r="L54" t="s">
        <v>378</v>
      </c>
      <c r="M54">
        <v>5</v>
      </c>
      <c r="N54" t="s">
        <v>908</v>
      </c>
      <c r="Q54" t="s">
        <v>909</v>
      </c>
      <c r="R54" t="s">
        <v>980</v>
      </c>
      <c r="S54" t="s">
        <v>510</v>
      </c>
      <c r="T54" t="s">
        <v>161</v>
      </c>
      <c r="Y54" t="s">
        <v>930</v>
      </c>
      <c r="Z54" t="s">
        <v>931</v>
      </c>
      <c r="AA54" t="s">
        <v>530</v>
      </c>
      <c r="AB54" t="s">
        <v>384</v>
      </c>
      <c r="AC54" t="s">
        <v>257</v>
      </c>
      <c r="AD54" t="s">
        <v>181</v>
      </c>
      <c r="AE54" t="s">
        <v>182</v>
      </c>
      <c r="AF54">
        <v>9</v>
      </c>
      <c r="AG54" s="1">
        <v>45837</v>
      </c>
      <c r="AH54" s="12">
        <v>0.625</v>
      </c>
      <c r="AI54" s="12">
        <v>0.625</v>
      </c>
      <c r="AJ54" t="s">
        <v>146</v>
      </c>
      <c r="AK54" t="s">
        <v>910</v>
      </c>
      <c r="AL54" t="s">
        <v>302</v>
      </c>
      <c r="AM54" t="s">
        <v>948</v>
      </c>
      <c r="AN54" s="12">
        <v>0.625</v>
      </c>
      <c r="AO54" s="1">
        <v>45837</v>
      </c>
      <c r="AP54" s="12">
        <v>0.625</v>
      </c>
      <c r="AQ54" s="88"/>
      <c r="AR54" t="s">
        <v>146</v>
      </c>
      <c r="AS54" t="s">
        <v>311</v>
      </c>
      <c r="AT54" t="s">
        <v>149</v>
      </c>
      <c r="AU54">
        <v>2025</v>
      </c>
      <c r="AV54">
        <v>27</v>
      </c>
      <c r="AW54">
        <v>5</v>
      </c>
      <c r="AX54">
        <v>29</v>
      </c>
      <c r="AY54">
        <v>180</v>
      </c>
      <c r="AZ54" t="s">
        <v>910</v>
      </c>
      <c r="BA54" t="s">
        <v>907</v>
      </c>
      <c r="BD54" t="s">
        <v>1036</v>
      </c>
      <c r="BG54" t="s">
        <v>1017</v>
      </c>
      <c r="BH54" t="s">
        <v>146</v>
      </c>
      <c r="BI54" t="s">
        <v>146</v>
      </c>
    </row>
    <row r="55" spans="1:61" x14ac:dyDescent="0.25">
      <c r="A55" t="s">
        <v>1180</v>
      </c>
      <c r="B55">
        <v>45853</v>
      </c>
      <c r="C55" s="88">
        <v>0.83333333333333326</v>
      </c>
      <c r="D55" s="1">
        <v>45854</v>
      </c>
      <c r="E55" s="12">
        <v>0.20833333333333334</v>
      </c>
      <c r="F55" s="1">
        <v>45854</v>
      </c>
      <c r="G55" s="12">
        <v>0.20819444444444443</v>
      </c>
      <c r="H55" t="s">
        <v>174</v>
      </c>
      <c r="K55" t="s">
        <v>1181</v>
      </c>
      <c r="L55" t="s">
        <v>378</v>
      </c>
      <c r="M55">
        <v>6</v>
      </c>
      <c r="N55" t="s">
        <v>1182</v>
      </c>
      <c r="Q55" t="s">
        <v>1183</v>
      </c>
      <c r="R55" t="s">
        <v>984</v>
      </c>
      <c r="S55" t="s">
        <v>1184</v>
      </c>
      <c r="T55" t="s">
        <v>161</v>
      </c>
      <c r="Y55" t="s">
        <v>950</v>
      </c>
      <c r="Z55" t="s">
        <v>931</v>
      </c>
      <c r="AA55" t="s">
        <v>530</v>
      </c>
      <c r="AB55" t="s">
        <v>384</v>
      </c>
      <c r="AC55" t="s">
        <v>257</v>
      </c>
      <c r="AD55" t="s">
        <v>320</v>
      </c>
      <c r="AF55">
        <v>9</v>
      </c>
      <c r="AG55" s="1">
        <v>45853</v>
      </c>
      <c r="AH55" s="12">
        <v>0.83333333333333337</v>
      </c>
      <c r="AI55" s="12">
        <v>0.83333333333333337</v>
      </c>
      <c r="AJ55" t="s">
        <v>168</v>
      </c>
      <c r="AK55" t="s">
        <v>783</v>
      </c>
      <c r="AL55" t="s">
        <v>174</v>
      </c>
      <c r="AM55" t="s">
        <v>1014</v>
      </c>
      <c r="AN55" s="12">
        <v>0.83333333333333337</v>
      </c>
      <c r="AO55" s="1">
        <v>45853</v>
      </c>
      <c r="AP55" s="12">
        <v>0.83333333333333337</v>
      </c>
      <c r="AQ55" s="88"/>
      <c r="AR55" t="s">
        <v>168</v>
      </c>
      <c r="AS55" t="s">
        <v>148</v>
      </c>
      <c r="AT55" t="s">
        <v>1138</v>
      </c>
      <c r="AU55">
        <v>2025</v>
      </c>
      <c r="AV55">
        <v>29</v>
      </c>
      <c r="AW55">
        <v>3</v>
      </c>
      <c r="AX55">
        <v>15</v>
      </c>
      <c r="AY55">
        <v>196</v>
      </c>
      <c r="AZ55" t="s">
        <v>783</v>
      </c>
      <c r="BA55" t="s">
        <v>1181</v>
      </c>
      <c r="BD55" t="s">
        <v>1223</v>
      </c>
      <c r="BG55" t="s">
        <v>1017</v>
      </c>
      <c r="BH55" t="s">
        <v>168</v>
      </c>
      <c r="BI55" t="s">
        <v>168</v>
      </c>
    </row>
    <row r="56" spans="1:61" x14ac:dyDescent="0.25">
      <c r="A56" t="s">
        <v>1194</v>
      </c>
      <c r="B56">
        <v>45856</v>
      </c>
      <c r="C56" s="88">
        <v>0.97986111111111107</v>
      </c>
      <c r="D56" s="1"/>
      <c r="E56" s="12"/>
      <c r="F56" s="1">
        <v>45856</v>
      </c>
      <c r="G56" s="12">
        <v>0.98076388888888888</v>
      </c>
      <c r="H56" t="s">
        <v>174</v>
      </c>
      <c r="I56" t="s">
        <v>295</v>
      </c>
      <c r="K56" t="s">
        <v>1195</v>
      </c>
      <c r="L56" t="s">
        <v>325</v>
      </c>
      <c r="M56">
        <v>8</v>
      </c>
      <c r="N56" t="s">
        <v>1196</v>
      </c>
      <c r="Q56" t="s">
        <v>1197</v>
      </c>
      <c r="R56" t="s">
        <v>1198</v>
      </c>
      <c r="S56" t="s">
        <v>1199</v>
      </c>
      <c r="T56" t="s">
        <v>161</v>
      </c>
      <c r="Y56" t="s">
        <v>930</v>
      </c>
      <c r="Z56" t="s">
        <v>931</v>
      </c>
      <c r="AA56" t="s">
        <v>265</v>
      </c>
      <c r="AB56" t="s">
        <v>164</v>
      </c>
      <c r="AC56" t="s">
        <v>310</v>
      </c>
      <c r="AD56" t="s">
        <v>181</v>
      </c>
      <c r="AF56">
        <v>9</v>
      </c>
      <c r="AG56" s="1">
        <v>45856</v>
      </c>
      <c r="AH56" s="12">
        <v>0.97986111111111107</v>
      </c>
      <c r="AI56" s="12">
        <v>0.95833333333333337</v>
      </c>
      <c r="AJ56" t="s">
        <v>168</v>
      </c>
      <c r="AK56" t="s">
        <v>1200</v>
      </c>
      <c r="AL56" t="s">
        <v>302</v>
      </c>
      <c r="AM56" t="s">
        <v>1014</v>
      </c>
      <c r="AN56" s="12">
        <v>0.97986111111111107</v>
      </c>
      <c r="AO56" s="1">
        <v>45856</v>
      </c>
      <c r="AP56" s="12">
        <v>0.95833333333333337</v>
      </c>
      <c r="AQ56" s="88"/>
      <c r="AR56" t="s">
        <v>168</v>
      </c>
      <c r="AS56" t="s">
        <v>170</v>
      </c>
      <c r="AT56" t="s">
        <v>1138</v>
      </c>
      <c r="AU56">
        <v>2025</v>
      </c>
      <c r="AV56">
        <v>29</v>
      </c>
      <c r="AW56">
        <v>3</v>
      </c>
      <c r="AX56">
        <v>18</v>
      </c>
      <c r="AY56">
        <v>199</v>
      </c>
      <c r="AZ56" t="s">
        <v>1200</v>
      </c>
      <c r="BA56" t="s">
        <v>1195</v>
      </c>
      <c r="BD56" t="s">
        <v>1224</v>
      </c>
      <c r="BG56" t="s">
        <v>1020</v>
      </c>
      <c r="BH56" t="s">
        <v>168</v>
      </c>
      <c r="BI56" t="s">
        <v>168</v>
      </c>
    </row>
    <row r="57" spans="1:61" x14ac:dyDescent="0.25">
      <c r="A57" t="s">
        <v>1201</v>
      </c>
      <c r="B57">
        <v>45856</v>
      </c>
      <c r="C57" s="88">
        <v>0.85416666666666674</v>
      </c>
      <c r="D57" s="1">
        <v>45857</v>
      </c>
      <c r="E57" s="12">
        <v>0.59027777777777779</v>
      </c>
      <c r="F57" s="1">
        <v>45857</v>
      </c>
      <c r="G57" s="12">
        <v>0.60416666666666663</v>
      </c>
      <c r="H57" t="s">
        <v>174</v>
      </c>
      <c r="K57" t="s">
        <v>1202</v>
      </c>
      <c r="L57" t="s">
        <v>325</v>
      </c>
      <c r="N57" t="s">
        <v>1203</v>
      </c>
      <c r="Q57" t="s">
        <v>1204</v>
      </c>
      <c r="R57" t="s">
        <v>159</v>
      </c>
      <c r="S57" t="s">
        <v>1205</v>
      </c>
      <c r="T57" t="s">
        <v>835</v>
      </c>
      <c r="Y57" t="s">
        <v>943</v>
      </c>
      <c r="Z57" t="s">
        <v>931</v>
      </c>
      <c r="AA57" t="s">
        <v>1206</v>
      </c>
      <c r="AB57" t="s">
        <v>256</v>
      </c>
      <c r="AC57" t="s">
        <v>310</v>
      </c>
      <c r="AD57" t="s">
        <v>181</v>
      </c>
      <c r="AF57">
        <v>9</v>
      </c>
      <c r="AG57" s="1">
        <v>45856</v>
      </c>
      <c r="AH57" s="12">
        <v>0.85416666666666663</v>
      </c>
      <c r="AI57" s="12">
        <v>0.83333333333333337</v>
      </c>
      <c r="AJ57" t="s">
        <v>168</v>
      </c>
      <c r="AK57" t="s">
        <v>1207</v>
      </c>
      <c r="AL57" t="s">
        <v>174</v>
      </c>
      <c r="AM57" t="s">
        <v>1014</v>
      </c>
      <c r="AN57" s="12">
        <v>0.85416666666666663</v>
      </c>
      <c r="AO57" s="1">
        <v>45856</v>
      </c>
      <c r="AP57" s="12">
        <v>0.83333333333333337</v>
      </c>
      <c r="AQ57" s="88"/>
      <c r="AR57" t="s">
        <v>168</v>
      </c>
      <c r="AS57" t="s">
        <v>170</v>
      </c>
      <c r="AT57" t="s">
        <v>1138</v>
      </c>
      <c r="AU57">
        <v>2025</v>
      </c>
      <c r="AV57">
        <v>29</v>
      </c>
      <c r="AW57">
        <v>3</v>
      </c>
      <c r="AX57">
        <v>18</v>
      </c>
      <c r="AY57">
        <v>199</v>
      </c>
      <c r="AZ57" t="s">
        <v>1207</v>
      </c>
      <c r="BA57" t="s">
        <v>1202</v>
      </c>
      <c r="BD57" t="s">
        <v>1225</v>
      </c>
      <c r="BG57" t="s">
        <v>1017</v>
      </c>
      <c r="BH57" t="s">
        <v>168</v>
      </c>
      <c r="BI57" t="s">
        <v>168</v>
      </c>
    </row>
    <row r="58" spans="1:61" x14ac:dyDescent="0.25">
      <c r="A58" t="s">
        <v>1208</v>
      </c>
      <c r="B58">
        <v>45856</v>
      </c>
      <c r="C58" s="88">
        <v>0.85416666666666674</v>
      </c>
      <c r="D58" s="1">
        <v>45857</v>
      </c>
      <c r="E58" s="12">
        <v>0.59027777777777779</v>
      </c>
      <c r="F58" s="1">
        <v>45857</v>
      </c>
      <c r="G58" s="12">
        <v>0.60416666666666663</v>
      </c>
      <c r="H58" t="s">
        <v>174</v>
      </c>
      <c r="K58" t="s">
        <v>1202</v>
      </c>
      <c r="N58" t="s">
        <v>1203</v>
      </c>
      <c r="Q58" t="s">
        <v>1209</v>
      </c>
      <c r="R58" t="s">
        <v>942</v>
      </c>
      <c r="S58" t="s">
        <v>299</v>
      </c>
      <c r="T58" t="s">
        <v>835</v>
      </c>
      <c r="Y58" t="s">
        <v>943</v>
      </c>
      <c r="Z58" t="s">
        <v>931</v>
      </c>
      <c r="AA58" t="s">
        <v>1206</v>
      </c>
      <c r="AB58" t="s">
        <v>256</v>
      </c>
      <c r="AC58" t="s">
        <v>310</v>
      </c>
      <c r="AD58" t="s">
        <v>181</v>
      </c>
      <c r="AF58">
        <v>9</v>
      </c>
      <c r="AG58" s="1">
        <v>45856</v>
      </c>
      <c r="AH58" s="12">
        <v>0.85416666666666663</v>
      </c>
      <c r="AI58" s="12">
        <v>0.83333333333333337</v>
      </c>
      <c r="AJ58" t="s">
        <v>168</v>
      </c>
      <c r="AK58" t="s">
        <v>1207</v>
      </c>
      <c r="AL58" t="s">
        <v>174</v>
      </c>
      <c r="AM58" t="s">
        <v>1014</v>
      </c>
      <c r="AN58" s="12">
        <v>0.85416666666666663</v>
      </c>
      <c r="AO58" s="1">
        <v>45856</v>
      </c>
      <c r="AP58" s="12">
        <v>0.83333333333333337</v>
      </c>
      <c r="AQ58" s="88"/>
      <c r="AR58" t="s">
        <v>168</v>
      </c>
      <c r="AS58" t="s">
        <v>170</v>
      </c>
      <c r="AT58" t="s">
        <v>1138</v>
      </c>
      <c r="AU58">
        <v>2025</v>
      </c>
      <c r="AV58">
        <v>29</v>
      </c>
      <c r="AW58">
        <v>3</v>
      </c>
      <c r="AX58">
        <v>18</v>
      </c>
      <c r="AY58">
        <v>199</v>
      </c>
      <c r="AZ58" t="s">
        <v>1207</v>
      </c>
      <c r="BA58" t="s">
        <v>1202</v>
      </c>
      <c r="BD58" t="s">
        <v>1023</v>
      </c>
      <c r="BG58" t="s">
        <v>1017</v>
      </c>
      <c r="BH58" t="s">
        <v>168</v>
      </c>
      <c r="BI58" t="s">
        <v>168</v>
      </c>
    </row>
    <row r="59" spans="1:61" x14ac:dyDescent="0.25">
      <c r="A59" t="s">
        <v>1210</v>
      </c>
      <c r="B59">
        <v>45856</v>
      </c>
      <c r="C59" s="88">
        <v>0.85416666666666674</v>
      </c>
      <c r="D59" s="1">
        <v>45857</v>
      </c>
      <c r="E59" s="12">
        <v>0.58333333333333337</v>
      </c>
      <c r="F59" s="1">
        <v>45857</v>
      </c>
      <c r="G59" s="12">
        <v>0.60420138888888886</v>
      </c>
      <c r="H59" t="s">
        <v>174</v>
      </c>
      <c r="K59" t="s">
        <v>1202</v>
      </c>
      <c r="L59" t="s">
        <v>325</v>
      </c>
      <c r="M59">
        <v>8</v>
      </c>
      <c r="N59" t="s">
        <v>1211</v>
      </c>
      <c r="Q59" t="s">
        <v>1212</v>
      </c>
      <c r="R59" t="s">
        <v>947</v>
      </c>
      <c r="S59" t="s">
        <v>1213</v>
      </c>
      <c r="T59" t="s">
        <v>161</v>
      </c>
      <c r="Y59" t="s">
        <v>943</v>
      </c>
      <c r="Z59" t="s">
        <v>931</v>
      </c>
      <c r="AA59" t="s">
        <v>1206</v>
      </c>
      <c r="AB59" t="s">
        <v>256</v>
      </c>
      <c r="AC59" t="s">
        <v>310</v>
      </c>
      <c r="AD59" t="s">
        <v>181</v>
      </c>
      <c r="AF59">
        <v>9</v>
      </c>
      <c r="AG59" s="1">
        <v>45856</v>
      </c>
      <c r="AH59" s="12">
        <v>0.85416666666666663</v>
      </c>
      <c r="AI59" s="12">
        <v>0.83333333333333337</v>
      </c>
      <c r="AJ59" t="s">
        <v>168</v>
      </c>
      <c r="AK59" t="s">
        <v>1207</v>
      </c>
      <c r="AL59" t="s">
        <v>174</v>
      </c>
      <c r="AM59" t="s">
        <v>1014</v>
      </c>
      <c r="AN59" s="12">
        <v>0.85416666666666663</v>
      </c>
      <c r="AO59" s="1">
        <v>45856</v>
      </c>
      <c r="AP59" s="12">
        <v>0.83333333333333337</v>
      </c>
      <c r="AQ59" s="88"/>
      <c r="AR59" t="s">
        <v>168</v>
      </c>
      <c r="AS59" t="s">
        <v>170</v>
      </c>
      <c r="AT59" t="s">
        <v>1138</v>
      </c>
      <c r="AU59">
        <v>2025</v>
      </c>
      <c r="AV59">
        <v>29</v>
      </c>
      <c r="AW59">
        <v>3</v>
      </c>
      <c r="AX59">
        <v>18</v>
      </c>
      <c r="AY59">
        <v>199</v>
      </c>
      <c r="AZ59" t="s">
        <v>1207</v>
      </c>
      <c r="BA59" t="s">
        <v>1202</v>
      </c>
      <c r="BD59" t="s">
        <v>1226</v>
      </c>
      <c r="BG59" t="s">
        <v>1017</v>
      </c>
      <c r="BH59" t="s">
        <v>168</v>
      </c>
      <c r="BI59" t="s">
        <v>168</v>
      </c>
    </row>
    <row r="60" spans="1:61" x14ac:dyDescent="0.25">
      <c r="A60" t="s">
        <v>1214</v>
      </c>
      <c r="C60" s="88"/>
      <c r="D60" s="1"/>
      <c r="E60" s="12"/>
      <c r="F60" s="1">
        <v>45859</v>
      </c>
      <c r="G60" s="12">
        <v>0.7746643518518519</v>
      </c>
      <c r="H60" t="s">
        <v>242</v>
      </c>
      <c r="J60" t="s">
        <v>154</v>
      </c>
      <c r="K60" t="s">
        <v>1215</v>
      </c>
      <c r="L60" t="s">
        <v>516</v>
      </c>
      <c r="M60">
        <v>9</v>
      </c>
      <c r="N60" t="s">
        <v>1216</v>
      </c>
      <c r="Q60" t="s">
        <v>1217</v>
      </c>
      <c r="R60" t="s">
        <v>1218</v>
      </c>
      <c r="S60" t="s">
        <v>1219</v>
      </c>
      <c r="T60" t="s">
        <v>161</v>
      </c>
      <c r="Z60" t="s">
        <v>1220</v>
      </c>
      <c r="AA60" t="s">
        <v>443</v>
      </c>
      <c r="AB60" t="s">
        <v>444</v>
      </c>
      <c r="AF60">
        <v>9</v>
      </c>
      <c r="AG60" s="1">
        <v>45859</v>
      </c>
      <c r="AH60" s="12">
        <v>0.7746643518518519</v>
      </c>
      <c r="AI60" s="12">
        <v>0.75</v>
      </c>
      <c r="AJ60" t="s">
        <v>266</v>
      </c>
      <c r="AK60" t="s">
        <v>1221</v>
      </c>
      <c r="AL60" t="s">
        <v>1222</v>
      </c>
      <c r="AM60" t="s">
        <v>1014</v>
      </c>
      <c r="AN60" s="12">
        <v>0.7746643518518519</v>
      </c>
      <c r="AO60" s="1">
        <v>45859</v>
      </c>
      <c r="AP60" s="12">
        <v>0.75</v>
      </c>
      <c r="AQ60" s="88"/>
      <c r="AR60" t="s">
        <v>266</v>
      </c>
      <c r="AS60" t="s">
        <v>183</v>
      </c>
      <c r="AT60" t="s">
        <v>1138</v>
      </c>
      <c r="AU60">
        <v>2025</v>
      </c>
      <c r="AV60">
        <v>30</v>
      </c>
      <c r="AW60">
        <v>4</v>
      </c>
      <c r="AX60">
        <v>21</v>
      </c>
      <c r="AY60">
        <v>202</v>
      </c>
      <c r="AZ60" t="s">
        <v>1221</v>
      </c>
      <c r="BA60" t="s">
        <v>1215</v>
      </c>
      <c r="BD60" t="s">
        <v>1227</v>
      </c>
      <c r="BG60" t="s">
        <v>1020</v>
      </c>
      <c r="BH60" t="s">
        <v>266</v>
      </c>
      <c r="BI60" t="s">
        <v>266</v>
      </c>
    </row>
  </sheetData>
  <phoneticPr fontId="9" type="noConversion"/>
  <conditionalFormatting sqref="A2:BI60">
    <cfRule type="expression" dxfId="347" priority="1" stopIfTrue="1">
      <formula>$AM2="7-Day"</formula>
    </cfRule>
    <cfRule type="expression" dxfId="346" priority="2" stopIfTrue="1">
      <formula>$AM2="28-Day"</formula>
    </cfRule>
    <cfRule type="expression" dxfId="345" priority="3" stopIfTrue="1">
      <formula>$AM2="YTD"</formula>
    </cfRule>
    <cfRule type="expression" dxfId="344" priority="4" stopIfTrue="1">
      <formula>$AM2="Historical"</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956DD-F7A7-4C0C-B7E9-46A60212108B}">
  <sheetPr codeName="Sheet41">
    <tabColor rgb="FFFFC000"/>
  </sheetPr>
  <dimension ref="A1:BI36"/>
  <sheetViews>
    <sheetView topLeftCell="A10" workbookViewId="0">
      <selection activeCell="H2" sqref="H2:H36"/>
    </sheetView>
  </sheetViews>
  <sheetFormatPr defaultRowHeight="15" x14ac:dyDescent="0.25"/>
  <cols>
    <col min="1" max="1" width="14.42578125" bestFit="1" customWidth="1"/>
    <col min="2" max="2" width="14" style="1" bestFit="1" customWidth="1"/>
    <col min="3" max="3" width="14.7109375" bestFit="1" customWidth="1"/>
    <col min="4" max="4" width="23" bestFit="1" customWidth="1"/>
    <col min="5" max="5" width="23.28515625" bestFit="1" customWidth="1"/>
    <col min="6" max="6" width="13.28515625" bestFit="1" customWidth="1"/>
    <col min="7" max="7" width="13.42578125" bestFit="1" customWidth="1"/>
    <col min="8" max="8" width="27.28515625" bestFit="1" customWidth="1"/>
    <col min="9" max="9" width="28.5703125" bestFit="1" customWidth="1"/>
    <col min="10" max="10" width="28.28515625" bestFit="1" customWidth="1"/>
    <col min="11" max="11" width="40.85546875" bestFit="1" customWidth="1"/>
    <col min="12" max="12" width="6.7109375" bestFit="1" customWidth="1"/>
    <col min="13" max="13" width="7.42578125" bestFit="1" customWidth="1"/>
    <col min="14" max="14" width="80.85546875" bestFit="1" customWidth="1"/>
    <col min="15" max="15" width="18.5703125" bestFit="1" customWidth="1"/>
    <col min="16" max="16" width="20.140625" bestFit="1" customWidth="1"/>
    <col min="17" max="17" width="14.7109375" bestFit="1" customWidth="1"/>
    <col min="18" max="18" width="11" bestFit="1" customWidth="1"/>
    <col min="19" max="19" width="9.7109375" bestFit="1" customWidth="1"/>
    <col min="20" max="20" width="12.5703125" bestFit="1" customWidth="1"/>
    <col min="21" max="21" width="14.7109375" bestFit="1" customWidth="1"/>
    <col min="22" max="22" width="12.5703125" bestFit="1" customWidth="1"/>
    <col min="23" max="23" width="13.7109375" bestFit="1" customWidth="1"/>
    <col min="24" max="24" width="9.7109375" bestFit="1" customWidth="1"/>
    <col min="25" max="25" width="13.85546875" bestFit="1" customWidth="1"/>
    <col min="26" max="26" width="14.7109375" bestFit="1" customWidth="1"/>
    <col min="27" max="27" width="26" bestFit="1" customWidth="1"/>
    <col min="28" max="28" width="8.5703125" bestFit="1" customWidth="1"/>
    <col min="29" max="29" width="25" bestFit="1" customWidth="1"/>
    <col min="30" max="30" width="26.140625" bestFit="1" customWidth="1"/>
    <col min="31" max="31" width="29.7109375" bestFit="1" customWidth="1"/>
    <col min="32" max="32" width="24.28515625" bestFit="1" customWidth="1"/>
    <col min="33" max="33" width="14.42578125" bestFit="1" customWidth="1"/>
    <col min="34" max="34" width="9.85546875" bestFit="1" customWidth="1"/>
    <col min="35" max="35" width="13.28515625" bestFit="1" customWidth="1"/>
    <col min="36" max="36" width="24.28515625" bestFit="1" customWidth="1"/>
    <col min="37" max="37" width="26.28515625" bestFit="1" customWidth="1"/>
    <col min="38" max="38" width="80.85546875" bestFit="1" customWidth="1"/>
    <col min="39" max="39" width="8.7109375" bestFit="1" customWidth="1"/>
    <col min="40" max="40" width="11.5703125" bestFit="1" customWidth="1"/>
    <col min="41" max="41" width="11.7109375" bestFit="1" customWidth="1"/>
    <col min="42" max="42" width="14" bestFit="1" customWidth="1"/>
    <col min="43" max="43" width="22" bestFit="1" customWidth="1"/>
    <col min="44" max="44" width="24.28515625" bestFit="1" customWidth="1"/>
    <col min="45" max="45" width="11.85546875" bestFit="1" customWidth="1"/>
    <col min="46" max="46" width="14.42578125" bestFit="1" customWidth="1"/>
    <col min="47" max="47" width="6.85546875" bestFit="1" customWidth="1"/>
    <col min="48" max="48" width="14.28515625" bestFit="1" customWidth="1"/>
    <col min="49" max="49" width="16.5703125" bestFit="1" customWidth="1"/>
    <col min="50" max="50" width="6.42578125" bestFit="1" customWidth="1"/>
    <col min="51" max="51" width="12.7109375" bestFit="1" customWidth="1"/>
    <col min="52" max="52" width="26.28515625" bestFit="1" customWidth="1"/>
    <col min="53" max="53" width="40.85546875" bestFit="1" customWidth="1"/>
    <col min="54" max="54" width="5.85546875" bestFit="1" customWidth="1"/>
    <col min="55" max="55" width="8.140625" bestFit="1" customWidth="1"/>
    <col min="56" max="56" width="18.42578125" bestFit="1" customWidth="1"/>
    <col min="57" max="57" width="9.7109375" bestFit="1" customWidth="1"/>
    <col min="58" max="58" width="25.5703125" bestFit="1" customWidth="1"/>
    <col min="59" max="59" width="16.140625" bestFit="1" customWidth="1"/>
    <col min="60" max="61" width="24.28515625" bestFit="1" customWidth="1"/>
    <col min="62" max="62" width="25.7109375" customWidth="1"/>
    <col min="63" max="63" width="81.140625" bestFit="1" customWidth="1"/>
    <col min="64" max="64" width="25.7109375" bestFit="1" customWidth="1"/>
    <col min="65" max="65" width="11.85546875" bestFit="1" customWidth="1"/>
    <col min="66" max="66" width="12" bestFit="1" customWidth="1"/>
    <col min="67" max="67" width="14.42578125" bestFit="1" customWidth="1"/>
    <col min="68" max="68" width="22.7109375" bestFit="1" customWidth="1"/>
    <col min="69" max="69" width="25.7109375" bestFit="1" customWidth="1"/>
    <col min="70" max="70" width="12.28515625" bestFit="1" customWidth="1"/>
    <col min="71" max="71" width="15" bestFit="1" customWidth="1"/>
    <col min="72" max="72" width="7.28515625" bestFit="1" customWidth="1"/>
    <col min="73" max="73" width="15.42578125" bestFit="1" customWidth="1"/>
    <col min="74" max="74" width="17.42578125" bestFit="1" customWidth="1"/>
    <col min="75" max="75" width="6.5703125" bestFit="1" customWidth="1"/>
    <col min="76" max="76" width="13.28515625" bestFit="1" customWidth="1"/>
    <col min="77" max="77" width="12.5703125" bestFit="1" customWidth="1"/>
    <col min="78" max="78" width="41.140625" bestFit="1" customWidth="1"/>
    <col min="79" max="79" width="81.140625" bestFit="1" customWidth="1"/>
    <col min="80" max="80" width="25.140625" bestFit="1" customWidth="1"/>
    <col min="81" max="81" width="6" bestFit="1" customWidth="1"/>
    <col min="82" max="82" width="8.5703125" bestFit="1" customWidth="1"/>
    <col min="83" max="83" width="10.28515625" bestFit="1" customWidth="1"/>
    <col min="84" max="84" width="10.140625" bestFit="1" customWidth="1"/>
    <col min="85" max="85" width="26.42578125" bestFit="1" customWidth="1"/>
    <col min="86" max="86" width="16.5703125" bestFit="1" customWidth="1"/>
    <col min="87" max="87" width="25.7109375" bestFit="1" customWidth="1"/>
  </cols>
  <sheetData>
    <row r="1" spans="1:61"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123</v>
      </c>
      <c r="AM1" t="s">
        <v>124</v>
      </c>
      <c r="AN1" t="s">
        <v>125</v>
      </c>
      <c r="AO1" t="s">
        <v>126</v>
      </c>
      <c r="AP1" t="s">
        <v>918</v>
      </c>
      <c r="AQ1" t="s">
        <v>919</v>
      </c>
      <c r="AR1" t="s">
        <v>920</v>
      </c>
      <c r="AS1" t="s">
        <v>128</v>
      </c>
      <c r="AT1" t="s">
        <v>129</v>
      </c>
      <c r="AU1" t="s">
        <v>130</v>
      </c>
      <c r="AV1" t="s">
        <v>131</v>
      </c>
      <c r="AW1" t="s">
        <v>921</v>
      </c>
      <c r="AX1" t="s">
        <v>132</v>
      </c>
      <c r="AY1" t="s">
        <v>922</v>
      </c>
      <c r="AZ1" t="s">
        <v>923</v>
      </c>
      <c r="BA1" t="s">
        <v>924</v>
      </c>
      <c r="BB1" t="s">
        <v>925</v>
      </c>
      <c r="BC1" t="s">
        <v>7</v>
      </c>
      <c r="BD1" t="s">
        <v>926</v>
      </c>
      <c r="BE1" t="s">
        <v>5</v>
      </c>
      <c r="BF1" t="s">
        <v>927</v>
      </c>
      <c r="BG1" t="s">
        <v>928</v>
      </c>
      <c r="BH1" t="s">
        <v>929</v>
      </c>
      <c r="BI1" t="s">
        <v>127</v>
      </c>
    </row>
    <row r="2" spans="1:61" x14ac:dyDescent="0.25">
      <c r="A2" t="s">
        <v>241</v>
      </c>
      <c r="B2" s="1">
        <v>45673</v>
      </c>
      <c r="C2" s="88">
        <v>0.5</v>
      </c>
      <c r="D2" s="1">
        <v>45673</v>
      </c>
      <c r="E2" s="12">
        <v>0.75</v>
      </c>
      <c r="F2" s="1">
        <v>45673</v>
      </c>
      <c r="G2" s="12">
        <v>0.81587962962962968</v>
      </c>
      <c r="H2" t="s">
        <v>242</v>
      </c>
      <c r="K2" t="s">
        <v>243</v>
      </c>
      <c r="L2" t="s">
        <v>191</v>
      </c>
      <c r="M2">
        <v>7</v>
      </c>
      <c r="N2" t="s">
        <v>244</v>
      </c>
      <c r="Y2" t="s">
        <v>934</v>
      </c>
      <c r="Z2" t="s">
        <v>931</v>
      </c>
      <c r="AA2" t="s">
        <v>245</v>
      </c>
      <c r="AB2" t="s">
        <v>142</v>
      </c>
      <c r="AC2" t="s">
        <v>180</v>
      </c>
      <c r="AD2" t="s">
        <v>166</v>
      </c>
      <c r="AE2" t="s">
        <v>246</v>
      </c>
      <c r="AF2">
        <v>9</v>
      </c>
      <c r="AG2" s="1">
        <v>45673</v>
      </c>
      <c r="AH2" s="12">
        <v>0.5</v>
      </c>
      <c r="AI2" s="12">
        <v>0.5</v>
      </c>
      <c r="AJ2" t="s">
        <v>146</v>
      </c>
      <c r="AK2" t="s">
        <v>248</v>
      </c>
      <c r="AL2" t="s">
        <v>242</v>
      </c>
      <c r="AM2" t="s">
        <v>169</v>
      </c>
      <c r="AN2" s="12">
        <v>0.5</v>
      </c>
      <c r="AO2" s="1">
        <v>45673</v>
      </c>
      <c r="AP2" s="12">
        <v>0.5</v>
      </c>
      <c r="AQ2" s="88"/>
      <c r="AR2" t="s">
        <v>146</v>
      </c>
      <c r="AS2" t="s">
        <v>247</v>
      </c>
      <c r="AT2" t="s">
        <v>171</v>
      </c>
      <c r="AU2">
        <v>2025</v>
      </c>
      <c r="AV2">
        <v>3</v>
      </c>
      <c r="AW2">
        <v>3</v>
      </c>
      <c r="AX2">
        <v>16</v>
      </c>
      <c r="AY2">
        <v>16</v>
      </c>
      <c r="AZ2" t="s">
        <v>248</v>
      </c>
      <c r="BA2" t="s">
        <v>243</v>
      </c>
      <c r="BH2" t="s">
        <v>146</v>
      </c>
      <c r="BI2" t="s">
        <v>146</v>
      </c>
    </row>
    <row r="3" spans="1:61" x14ac:dyDescent="0.25">
      <c r="A3" t="s">
        <v>286</v>
      </c>
      <c r="B3" s="1">
        <v>45682</v>
      </c>
      <c r="C3" s="88">
        <v>0.45833333333333326</v>
      </c>
      <c r="D3" s="1">
        <v>45682</v>
      </c>
      <c r="E3" s="12">
        <v>0.58333333333333337</v>
      </c>
      <c r="F3" s="1">
        <v>45682</v>
      </c>
      <c r="G3" s="12">
        <v>0.58054398148148145</v>
      </c>
      <c r="H3" t="s">
        <v>242</v>
      </c>
      <c r="K3" t="s">
        <v>287</v>
      </c>
      <c r="L3" t="s">
        <v>288</v>
      </c>
      <c r="M3">
        <v>5</v>
      </c>
      <c r="N3" t="s">
        <v>289</v>
      </c>
      <c r="Y3" t="s">
        <v>958</v>
      </c>
      <c r="Z3" t="s">
        <v>931</v>
      </c>
      <c r="AA3" t="s">
        <v>291</v>
      </c>
      <c r="AB3" t="s">
        <v>256</v>
      </c>
      <c r="AC3" t="s">
        <v>180</v>
      </c>
      <c r="AD3" t="s">
        <v>166</v>
      </c>
      <c r="AE3" t="s">
        <v>246</v>
      </c>
      <c r="AF3">
        <v>9</v>
      </c>
      <c r="AG3" s="1">
        <v>45682</v>
      </c>
      <c r="AH3" s="12">
        <v>0.45833333333333331</v>
      </c>
      <c r="AI3" s="12">
        <v>0.45833333333333331</v>
      </c>
      <c r="AJ3" t="s">
        <v>276</v>
      </c>
      <c r="AK3" t="s">
        <v>293</v>
      </c>
      <c r="AL3" t="s">
        <v>242</v>
      </c>
      <c r="AM3" t="s">
        <v>169</v>
      </c>
      <c r="AN3" s="12">
        <v>0.45833333333333331</v>
      </c>
      <c r="AO3" s="1">
        <v>45682</v>
      </c>
      <c r="AP3" s="12">
        <v>0.45833333333333331</v>
      </c>
      <c r="AQ3" s="88"/>
      <c r="AR3" t="s">
        <v>276</v>
      </c>
      <c r="AS3" t="s">
        <v>292</v>
      </c>
      <c r="AT3" t="s">
        <v>171</v>
      </c>
      <c r="AU3">
        <v>2025</v>
      </c>
      <c r="AV3">
        <v>4</v>
      </c>
      <c r="AW3">
        <v>4</v>
      </c>
      <c r="AX3">
        <v>25</v>
      </c>
      <c r="AY3">
        <v>25</v>
      </c>
      <c r="AZ3" t="s">
        <v>293</v>
      </c>
      <c r="BA3" t="s">
        <v>287</v>
      </c>
      <c r="BH3" t="s">
        <v>276</v>
      </c>
      <c r="BI3" t="s">
        <v>276</v>
      </c>
    </row>
    <row r="4" spans="1:61" x14ac:dyDescent="0.25">
      <c r="A4" t="s">
        <v>323</v>
      </c>
      <c r="B4" s="1">
        <v>45688</v>
      </c>
      <c r="C4" s="88">
        <v>0.49988425925925917</v>
      </c>
      <c r="D4" s="1"/>
      <c r="E4" s="12"/>
      <c r="F4" s="1">
        <v>45688</v>
      </c>
      <c r="G4" s="12">
        <v>0.49988425925925928</v>
      </c>
      <c r="H4" t="s">
        <v>242</v>
      </c>
      <c r="K4" t="s">
        <v>324</v>
      </c>
      <c r="L4" t="s">
        <v>325</v>
      </c>
      <c r="M4">
        <v>8</v>
      </c>
      <c r="N4" t="s">
        <v>326</v>
      </c>
      <c r="Y4" t="s">
        <v>950</v>
      </c>
      <c r="Z4" t="s">
        <v>931</v>
      </c>
      <c r="AA4" t="s">
        <v>327</v>
      </c>
      <c r="AB4" t="s">
        <v>328</v>
      </c>
      <c r="AC4" t="s">
        <v>228</v>
      </c>
      <c r="AD4" t="s">
        <v>166</v>
      </c>
      <c r="AE4" t="s">
        <v>246</v>
      </c>
      <c r="AF4">
        <v>9</v>
      </c>
      <c r="AG4" s="1">
        <v>45688</v>
      </c>
      <c r="AH4" s="12">
        <v>0.49988425925925928</v>
      </c>
      <c r="AI4" s="12">
        <v>0.45833333333333331</v>
      </c>
      <c r="AJ4" t="s">
        <v>276</v>
      </c>
      <c r="AK4" t="s">
        <v>329</v>
      </c>
      <c r="AL4" t="s">
        <v>242</v>
      </c>
      <c r="AM4" t="s">
        <v>169</v>
      </c>
      <c r="AN4" s="12">
        <v>0.49988425925925928</v>
      </c>
      <c r="AO4" s="1">
        <v>45688</v>
      </c>
      <c r="AP4" s="12">
        <v>0.45833333333333331</v>
      </c>
      <c r="AQ4" s="88"/>
      <c r="AR4" t="s">
        <v>276</v>
      </c>
      <c r="AS4" t="s">
        <v>170</v>
      </c>
      <c r="AT4" t="s">
        <v>171</v>
      </c>
      <c r="AU4">
        <v>2025</v>
      </c>
      <c r="AV4">
        <v>5</v>
      </c>
      <c r="AW4">
        <v>5</v>
      </c>
      <c r="AX4">
        <v>31</v>
      </c>
      <c r="AY4">
        <v>31</v>
      </c>
      <c r="AZ4" t="s">
        <v>329</v>
      </c>
      <c r="BA4" t="s">
        <v>324</v>
      </c>
      <c r="BH4" t="s">
        <v>276</v>
      </c>
      <c r="BI4" t="s">
        <v>276</v>
      </c>
    </row>
    <row r="5" spans="1:61" x14ac:dyDescent="0.25">
      <c r="A5" t="s">
        <v>366</v>
      </c>
      <c r="B5" s="1">
        <v>45693</v>
      </c>
      <c r="C5" s="88">
        <v>0.12291666666666656</v>
      </c>
      <c r="D5" s="1"/>
      <c r="E5" s="12"/>
      <c r="F5" s="1">
        <v>45693</v>
      </c>
      <c r="G5" s="12">
        <v>0.1233912037037037</v>
      </c>
      <c r="H5" t="s">
        <v>367</v>
      </c>
      <c r="I5" t="s">
        <v>368</v>
      </c>
      <c r="K5" t="s">
        <v>369</v>
      </c>
      <c r="L5" t="s">
        <v>325</v>
      </c>
      <c r="M5">
        <v>8</v>
      </c>
      <c r="N5" t="s">
        <v>370</v>
      </c>
      <c r="Y5" t="s">
        <v>953</v>
      </c>
      <c r="Z5" t="s">
        <v>931</v>
      </c>
      <c r="AA5" t="s">
        <v>371</v>
      </c>
      <c r="AB5" t="s">
        <v>256</v>
      </c>
      <c r="AC5" t="s">
        <v>372</v>
      </c>
      <c r="AD5" t="s">
        <v>181</v>
      </c>
      <c r="AE5" t="s">
        <v>246</v>
      </c>
      <c r="AF5">
        <v>9</v>
      </c>
      <c r="AG5" s="1">
        <v>45693</v>
      </c>
      <c r="AH5" s="12">
        <v>0.12291666666666666</v>
      </c>
      <c r="AI5" s="12">
        <v>8.3333333333333329E-2</v>
      </c>
      <c r="AJ5" t="s">
        <v>343</v>
      </c>
      <c r="AK5" t="s">
        <v>374</v>
      </c>
      <c r="AL5" t="s">
        <v>373</v>
      </c>
      <c r="AM5" t="s">
        <v>169</v>
      </c>
      <c r="AN5" s="12">
        <v>0.12291666666666666</v>
      </c>
      <c r="AO5" s="1">
        <v>45693</v>
      </c>
      <c r="AP5" s="12">
        <v>8.3333333333333329E-2</v>
      </c>
      <c r="AQ5" s="88"/>
      <c r="AR5" t="s">
        <v>343</v>
      </c>
      <c r="AS5" t="s">
        <v>239</v>
      </c>
      <c r="AT5" t="s">
        <v>344</v>
      </c>
      <c r="AU5">
        <v>2025</v>
      </c>
      <c r="AV5">
        <v>6</v>
      </c>
      <c r="AW5">
        <v>2</v>
      </c>
      <c r="AX5">
        <v>5</v>
      </c>
      <c r="AY5">
        <v>36</v>
      </c>
      <c r="AZ5" t="s">
        <v>374</v>
      </c>
      <c r="BA5" t="s">
        <v>369</v>
      </c>
      <c r="BH5" t="s">
        <v>343</v>
      </c>
      <c r="BI5" t="s">
        <v>343</v>
      </c>
    </row>
    <row r="6" spans="1:61" x14ac:dyDescent="0.25">
      <c r="A6" t="s">
        <v>418</v>
      </c>
      <c r="B6" s="1">
        <v>45705</v>
      </c>
      <c r="C6" s="88">
        <v>0.52497685185185183</v>
      </c>
      <c r="D6" s="1"/>
      <c r="E6" s="12"/>
      <c r="F6" s="1">
        <v>45705</v>
      </c>
      <c r="G6" s="12">
        <v>0.52497685185185183</v>
      </c>
      <c r="H6" t="s">
        <v>367</v>
      </c>
      <c r="I6" t="s">
        <v>347</v>
      </c>
      <c r="K6" t="s">
        <v>419</v>
      </c>
      <c r="L6" t="s">
        <v>251</v>
      </c>
      <c r="M6">
        <v>9</v>
      </c>
      <c r="N6" t="s">
        <v>420</v>
      </c>
      <c r="Y6" t="s">
        <v>934</v>
      </c>
      <c r="Z6" t="s">
        <v>931</v>
      </c>
      <c r="AA6" t="s">
        <v>179</v>
      </c>
      <c r="AB6" t="s">
        <v>142</v>
      </c>
      <c r="AC6" t="s">
        <v>350</v>
      </c>
      <c r="AD6" t="s">
        <v>166</v>
      </c>
      <c r="AE6" t="s">
        <v>246</v>
      </c>
      <c r="AF6">
        <v>9</v>
      </c>
      <c r="AG6" s="1">
        <v>45705</v>
      </c>
      <c r="AH6" s="12">
        <v>0.52497685185185183</v>
      </c>
      <c r="AI6" s="12">
        <v>0.5</v>
      </c>
      <c r="AJ6" t="s">
        <v>146</v>
      </c>
      <c r="AK6" t="s">
        <v>312</v>
      </c>
      <c r="AL6" t="s">
        <v>421</v>
      </c>
      <c r="AM6" t="s">
        <v>169</v>
      </c>
      <c r="AN6" s="12">
        <v>0.52497685185185183</v>
      </c>
      <c r="AO6" s="1">
        <v>45705</v>
      </c>
      <c r="AP6" s="12">
        <v>0.5</v>
      </c>
      <c r="AQ6" s="88"/>
      <c r="AR6" t="s">
        <v>146</v>
      </c>
      <c r="AS6" t="s">
        <v>183</v>
      </c>
      <c r="AT6" t="s">
        <v>344</v>
      </c>
      <c r="AU6">
        <v>2025</v>
      </c>
      <c r="AV6">
        <v>8</v>
      </c>
      <c r="AW6">
        <v>4</v>
      </c>
      <c r="AX6">
        <v>17</v>
      </c>
      <c r="AY6">
        <v>48</v>
      </c>
      <c r="AZ6" t="s">
        <v>312</v>
      </c>
      <c r="BA6" t="s">
        <v>419</v>
      </c>
      <c r="BH6" t="s">
        <v>146</v>
      </c>
      <c r="BI6" t="s">
        <v>146</v>
      </c>
    </row>
    <row r="7" spans="1:61" x14ac:dyDescent="0.25">
      <c r="A7" t="s">
        <v>477</v>
      </c>
      <c r="B7" s="1">
        <v>45726</v>
      </c>
      <c r="C7" s="88">
        <v>4.6527777777777724E-2</v>
      </c>
      <c r="D7" s="1">
        <v>45726</v>
      </c>
      <c r="E7" s="12">
        <v>0.16180555555555556</v>
      </c>
      <c r="F7" s="1">
        <v>45727</v>
      </c>
      <c r="G7" s="12">
        <v>0.44234953703703705</v>
      </c>
      <c r="H7" t="s">
        <v>242</v>
      </c>
      <c r="K7" t="s">
        <v>478</v>
      </c>
      <c r="L7" t="s">
        <v>358</v>
      </c>
      <c r="M7">
        <v>8</v>
      </c>
      <c r="N7" t="s">
        <v>479</v>
      </c>
      <c r="Y7" t="s">
        <v>946</v>
      </c>
      <c r="Z7" t="s">
        <v>931</v>
      </c>
      <c r="AA7" t="s">
        <v>163</v>
      </c>
      <c r="AB7" t="s">
        <v>328</v>
      </c>
      <c r="AC7" t="s">
        <v>310</v>
      </c>
      <c r="AD7" t="s">
        <v>364</v>
      </c>
      <c r="AE7" t="s">
        <v>246</v>
      </c>
      <c r="AF7">
        <v>9</v>
      </c>
      <c r="AG7" s="1">
        <v>45726</v>
      </c>
      <c r="AH7" s="12">
        <v>4.6527777777777779E-2</v>
      </c>
      <c r="AI7" s="12">
        <v>4.1666666666666664E-2</v>
      </c>
      <c r="AJ7" t="s">
        <v>343</v>
      </c>
      <c r="AK7" t="s">
        <v>481</v>
      </c>
      <c r="AL7" t="s">
        <v>242</v>
      </c>
      <c r="AM7" t="s">
        <v>169</v>
      </c>
      <c r="AN7" s="12">
        <v>4.6527777777777779E-2</v>
      </c>
      <c r="AO7" s="1">
        <v>45726</v>
      </c>
      <c r="AP7" s="12">
        <v>4.1666666666666664E-2</v>
      </c>
      <c r="AQ7" s="88"/>
      <c r="AR7" t="s">
        <v>343</v>
      </c>
      <c r="AS7" t="s">
        <v>183</v>
      </c>
      <c r="AT7" t="s">
        <v>445</v>
      </c>
      <c r="AU7">
        <v>2025</v>
      </c>
      <c r="AV7">
        <v>11</v>
      </c>
      <c r="AW7">
        <v>3</v>
      </c>
      <c r="AX7">
        <v>10</v>
      </c>
      <c r="AY7">
        <v>69</v>
      </c>
      <c r="AZ7" t="s">
        <v>481</v>
      </c>
      <c r="BA7" t="s">
        <v>478</v>
      </c>
      <c r="BH7" t="s">
        <v>343</v>
      </c>
      <c r="BI7" t="s">
        <v>343</v>
      </c>
    </row>
    <row r="8" spans="1:61" x14ac:dyDescent="0.25">
      <c r="A8" t="s">
        <v>527</v>
      </c>
      <c r="B8" s="1">
        <v>45743</v>
      </c>
      <c r="C8" s="88">
        <v>0.94666666666666677</v>
      </c>
      <c r="D8" s="1"/>
      <c r="E8" s="12"/>
      <c r="F8" s="1">
        <v>45743</v>
      </c>
      <c r="G8" s="12">
        <v>0.94666666666666666</v>
      </c>
      <c r="H8" t="s">
        <v>367</v>
      </c>
      <c r="I8" t="s">
        <v>528</v>
      </c>
      <c r="J8" t="s">
        <v>218</v>
      </c>
      <c r="K8" t="s">
        <v>529</v>
      </c>
      <c r="L8" t="s">
        <v>315</v>
      </c>
      <c r="M8">
        <v>6</v>
      </c>
      <c r="N8" t="s">
        <v>13</v>
      </c>
      <c r="Y8" t="s">
        <v>932</v>
      </c>
      <c r="Z8" t="s">
        <v>931</v>
      </c>
      <c r="AA8" t="s">
        <v>530</v>
      </c>
      <c r="AB8" t="s">
        <v>384</v>
      </c>
      <c r="AC8" t="s">
        <v>257</v>
      </c>
      <c r="AD8" t="s">
        <v>144</v>
      </c>
      <c r="AE8" t="s">
        <v>246</v>
      </c>
      <c r="AF8">
        <v>9</v>
      </c>
      <c r="AG8" s="1">
        <v>45743</v>
      </c>
      <c r="AH8" s="12">
        <v>0.94666666666666666</v>
      </c>
      <c r="AI8" s="12">
        <v>0.91666666666666663</v>
      </c>
      <c r="AJ8" t="s">
        <v>168</v>
      </c>
      <c r="AK8" t="s">
        <v>461</v>
      </c>
      <c r="AL8" t="s">
        <v>531</v>
      </c>
      <c r="AM8" t="s">
        <v>169</v>
      </c>
      <c r="AN8" s="12">
        <v>0.94666666666666666</v>
      </c>
      <c r="AO8" s="1">
        <v>45743</v>
      </c>
      <c r="AP8" s="12">
        <v>0.91666666666666663</v>
      </c>
      <c r="AQ8" s="88"/>
      <c r="AR8" t="s">
        <v>168</v>
      </c>
      <c r="AS8" t="s">
        <v>247</v>
      </c>
      <c r="AT8" t="s">
        <v>445</v>
      </c>
      <c r="AU8">
        <v>2025</v>
      </c>
      <c r="AV8">
        <v>13</v>
      </c>
      <c r="AW8">
        <v>5</v>
      </c>
      <c r="AX8">
        <v>27</v>
      </c>
      <c r="AY8">
        <v>86</v>
      </c>
      <c r="AZ8" t="s">
        <v>461</v>
      </c>
      <c r="BA8" t="s">
        <v>529</v>
      </c>
      <c r="BH8" t="s">
        <v>168</v>
      </c>
      <c r="BI8" t="s">
        <v>168</v>
      </c>
    </row>
    <row r="9" spans="1:61" x14ac:dyDescent="0.25">
      <c r="A9" t="s">
        <v>532</v>
      </c>
      <c r="B9" s="1">
        <v>45743</v>
      </c>
      <c r="C9" s="88">
        <v>0.97916666666666674</v>
      </c>
      <c r="D9" s="1">
        <v>45744</v>
      </c>
      <c r="E9" s="12">
        <v>2.5000000000000001E-2</v>
      </c>
      <c r="F9" s="1">
        <v>45744</v>
      </c>
      <c r="G9" s="12">
        <v>0.46781250000000002</v>
      </c>
      <c r="H9" t="s">
        <v>242</v>
      </c>
      <c r="K9" t="s">
        <v>533</v>
      </c>
      <c r="L9" t="s">
        <v>358</v>
      </c>
      <c r="M9">
        <v>8</v>
      </c>
      <c r="N9" t="s">
        <v>17</v>
      </c>
      <c r="O9">
        <v>50300</v>
      </c>
      <c r="Y9" t="s">
        <v>935</v>
      </c>
      <c r="Z9" t="s">
        <v>931</v>
      </c>
      <c r="AA9" t="s">
        <v>475</v>
      </c>
      <c r="AB9" t="s">
        <v>211</v>
      </c>
      <c r="AC9" t="s">
        <v>534</v>
      </c>
      <c r="AD9" t="s">
        <v>166</v>
      </c>
      <c r="AE9" t="s">
        <v>246</v>
      </c>
      <c r="AF9">
        <v>9</v>
      </c>
      <c r="AG9" s="1">
        <v>45743</v>
      </c>
      <c r="AH9" s="12">
        <v>0.97916666666666663</v>
      </c>
      <c r="AI9" s="12">
        <v>0.95833333333333337</v>
      </c>
      <c r="AJ9" t="s">
        <v>168</v>
      </c>
      <c r="AK9" t="s">
        <v>481</v>
      </c>
      <c r="AL9" t="s">
        <v>242</v>
      </c>
      <c r="AM9" t="s">
        <v>169</v>
      </c>
      <c r="AN9" s="12">
        <v>0.97916666666666663</v>
      </c>
      <c r="AO9" s="1">
        <v>45743</v>
      </c>
      <c r="AP9" s="12">
        <v>0.95833333333333337</v>
      </c>
      <c r="AQ9" s="88"/>
      <c r="AR9" t="s">
        <v>168</v>
      </c>
      <c r="AS9" t="s">
        <v>247</v>
      </c>
      <c r="AT9" t="s">
        <v>445</v>
      </c>
      <c r="AU9">
        <v>2025</v>
      </c>
      <c r="AV9">
        <v>13</v>
      </c>
      <c r="AW9">
        <v>5</v>
      </c>
      <c r="AX9">
        <v>27</v>
      </c>
      <c r="AY9">
        <v>86</v>
      </c>
      <c r="AZ9" t="s">
        <v>481</v>
      </c>
      <c r="BA9" t="s">
        <v>533</v>
      </c>
      <c r="BF9">
        <v>50300</v>
      </c>
      <c r="BH9" t="s">
        <v>168</v>
      </c>
      <c r="BI9" t="s">
        <v>168</v>
      </c>
    </row>
    <row r="10" spans="1:61" x14ac:dyDescent="0.25">
      <c r="A10" t="s">
        <v>551</v>
      </c>
      <c r="B10" s="1">
        <v>45747</v>
      </c>
      <c r="C10" s="88">
        <v>0.5</v>
      </c>
      <c r="D10" s="1"/>
      <c r="E10" s="12"/>
      <c r="F10" s="1">
        <v>45747</v>
      </c>
      <c r="G10" s="12">
        <v>0.54355324074074074</v>
      </c>
      <c r="H10" t="s">
        <v>242</v>
      </c>
      <c r="K10" t="s">
        <v>552</v>
      </c>
      <c r="L10" t="s">
        <v>553</v>
      </c>
      <c r="M10">
        <v>7</v>
      </c>
      <c r="N10" t="s">
        <v>23</v>
      </c>
      <c r="Y10" t="s">
        <v>992</v>
      </c>
      <c r="Z10" t="s">
        <v>931</v>
      </c>
      <c r="AA10" t="s">
        <v>554</v>
      </c>
      <c r="AB10" t="s">
        <v>256</v>
      </c>
      <c r="AC10" t="s">
        <v>350</v>
      </c>
      <c r="AD10" t="s">
        <v>301</v>
      </c>
      <c r="AE10" t="s">
        <v>246</v>
      </c>
      <c r="AF10">
        <v>9</v>
      </c>
      <c r="AG10" s="1">
        <v>45747</v>
      </c>
      <c r="AH10" s="12">
        <v>0.5</v>
      </c>
      <c r="AI10" s="12">
        <v>0.5</v>
      </c>
      <c r="AJ10" t="s">
        <v>146</v>
      </c>
      <c r="AK10" t="s">
        <v>322</v>
      </c>
      <c r="AL10" t="s">
        <v>242</v>
      </c>
      <c r="AM10" t="s">
        <v>169</v>
      </c>
      <c r="AN10" s="12">
        <v>0.5</v>
      </c>
      <c r="AO10" s="1">
        <v>45747</v>
      </c>
      <c r="AP10" s="12">
        <v>0.5</v>
      </c>
      <c r="AQ10" s="88"/>
      <c r="AR10" t="s">
        <v>146</v>
      </c>
      <c r="AS10" t="s">
        <v>183</v>
      </c>
      <c r="AT10" t="s">
        <v>445</v>
      </c>
      <c r="AU10">
        <v>2025</v>
      </c>
      <c r="AV10">
        <v>14</v>
      </c>
      <c r="AW10">
        <v>6</v>
      </c>
      <c r="AX10">
        <v>31</v>
      </c>
      <c r="AY10">
        <v>90</v>
      </c>
      <c r="AZ10" t="s">
        <v>322</v>
      </c>
      <c r="BA10" t="s">
        <v>552</v>
      </c>
      <c r="BH10" t="s">
        <v>146</v>
      </c>
      <c r="BI10" t="s">
        <v>146</v>
      </c>
    </row>
    <row r="11" spans="1:61" x14ac:dyDescent="0.25">
      <c r="A11" t="s">
        <v>583</v>
      </c>
      <c r="B11" s="1">
        <v>45748</v>
      </c>
      <c r="C11" s="88">
        <v>0.5</v>
      </c>
      <c r="D11" s="1">
        <v>45751</v>
      </c>
      <c r="E11" s="12">
        <v>0.52083333333333337</v>
      </c>
      <c r="F11" s="1">
        <v>45751</v>
      </c>
      <c r="G11" s="12">
        <v>0.54546296296296293</v>
      </c>
      <c r="H11" t="s">
        <v>242</v>
      </c>
      <c r="K11" t="s">
        <v>584</v>
      </c>
      <c r="L11" t="s">
        <v>288</v>
      </c>
      <c r="M11">
        <v>5</v>
      </c>
      <c r="N11" t="s">
        <v>26</v>
      </c>
      <c r="Y11" t="s">
        <v>950</v>
      </c>
      <c r="Z11" t="s">
        <v>931</v>
      </c>
      <c r="AA11" t="s">
        <v>585</v>
      </c>
      <c r="AB11" t="s">
        <v>164</v>
      </c>
      <c r="AC11" t="s">
        <v>488</v>
      </c>
      <c r="AD11" t="s">
        <v>166</v>
      </c>
      <c r="AE11" t="s">
        <v>246</v>
      </c>
      <c r="AF11">
        <v>9</v>
      </c>
      <c r="AG11" s="1">
        <v>45748</v>
      </c>
      <c r="AH11" s="12">
        <v>0.5</v>
      </c>
      <c r="AI11" s="12">
        <v>0.5</v>
      </c>
      <c r="AJ11" t="s">
        <v>146</v>
      </c>
      <c r="AK11" t="s">
        <v>586</v>
      </c>
      <c r="AL11" t="s">
        <v>242</v>
      </c>
      <c r="AM11" t="s">
        <v>169</v>
      </c>
      <c r="AN11" s="12">
        <v>0.5</v>
      </c>
      <c r="AO11" s="1">
        <v>45748</v>
      </c>
      <c r="AP11" s="12">
        <v>0.5</v>
      </c>
      <c r="AQ11" s="88"/>
      <c r="AR11" t="s">
        <v>146</v>
      </c>
      <c r="AS11" t="s">
        <v>148</v>
      </c>
      <c r="AT11" t="s">
        <v>582</v>
      </c>
      <c r="AU11">
        <v>2025</v>
      </c>
      <c r="AV11">
        <v>14</v>
      </c>
      <c r="AW11">
        <v>1</v>
      </c>
      <c r="AX11">
        <v>1</v>
      </c>
      <c r="AY11">
        <v>91</v>
      </c>
      <c r="AZ11" t="s">
        <v>586</v>
      </c>
      <c r="BA11" t="s">
        <v>584</v>
      </c>
      <c r="BH11" t="s">
        <v>146</v>
      </c>
      <c r="BI11" t="s">
        <v>146</v>
      </c>
    </row>
    <row r="12" spans="1:61" x14ac:dyDescent="0.25">
      <c r="A12" t="s">
        <v>602</v>
      </c>
      <c r="B12" s="1">
        <v>45755</v>
      </c>
      <c r="C12" s="88">
        <v>0.5</v>
      </c>
      <c r="D12" s="1">
        <v>45759</v>
      </c>
      <c r="E12" s="12">
        <v>0.5</v>
      </c>
      <c r="F12" s="1">
        <v>45759</v>
      </c>
      <c r="G12" s="12">
        <v>0.5269907407407407</v>
      </c>
      <c r="H12" t="s">
        <v>242</v>
      </c>
      <c r="K12" t="s">
        <v>603</v>
      </c>
      <c r="L12" t="s">
        <v>288</v>
      </c>
      <c r="M12">
        <v>5</v>
      </c>
      <c r="N12" t="s">
        <v>29</v>
      </c>
      <c r="Y12" t="s">
        <v>932</v>
      </c>
      <c r="Z12" t="s">
        <v>931</v>
      </c>
      <c r="AA12" t="s">
        <v>530</v>
      </c>
      <c r="AB12" t="s">
        <v>384</v>
      </c>
      <c r="AC12" t="s">
        <v>310</v>
      </c>
      <c r="AD12" t="s">
        <v>166</v>
      </c>
      <c r="AE12" t="s">
        <v>246</v>
      </c>
      <c r="AF12">
        <v>9</v>
      </c>
      <c r="AG12" s="1">
        <v>45755</v>
      </c>
      <c r="AH12" s="12">
        <v>0.5</v>
      </c>
      <c r="AI12" s="12">
        <v>0.5</v>
      </c>
      <c r="AJ12" t="s">
        <v>146</v>
      </c>
      <c r="AK12" t="s">
        <v>352</v>
      </c>
      <c r="AL12" t="s">
        <v>242</v>
      </c>
      <c r="AM12" t="s">
        <v>169</v>
      </c>
      <c r="AN12" s="12">
        <v>0.5</v>
      </c>
      <c r="AO12" s="1">
        <v>45755</v>
      </c>
      <c r="AP12" s="12">
        <v>0.5</v>
      </c>
      <c r="AQ12" s="88"/>
      <c r="AR12" t="s">
        <v>146</v>
      </c>
      <c r="AS12" t="s">
        <v>148</v>
      </c>
      <c r="AT12" t="s">
        <v>582</v>
      </c>
      <c r="AU12">
        <v>2025</v>
      </c>
      <c r="AV12">
        <v>15</v>
      </c>
      <c r="AW12">
        <v>2</v>
      </c>
      <c r="AX12">
        <v>8</v>
      </c>
      <c r="AY12">
        <v>98</v>
      </c>
      <c r="AZ12" t="s">
        <v>352</v>
      </c>
      <c r="BA12" t="s">
        <v>603</v>
      </c>
      <c r="BH12" t="s">
        <v>146</v>
      </c>
      <c r="BI12" t="s">
        <v>146</v>
      </c>
    </row>
    <row r="13" spans="1:61" x14ac:dyDescent="0.25">
      <c r="A13" t="s">
        <v>628</v>
      </c>
      <c r="B13" s="1">
        <v>45760</v>
      </c>
      <c r="C13" s="88">
        <v>0.78115740740740747</v>
      </c>
      <c r="D13" s="1"/>
      <c r="E13" s="12"/>
      <c r="F13" s="1">
        <v>45760</v>
      </c>
      <c r="G13" s="12">
        <v>0.78115740740740736</v>
      </c>
      <c r="H13" t="s">
        <v>242</v>
      </c>
      <c r="I13" t="s">
        <v>629</v>
      </c>
      <c r="J13" t="s">
        <v>556</v>
      </c>
      <c r="K13" t="s">
        <v>630</v>
      </c>
      <c r="L13" t="s">
        <v>414</v>
      </c>
      <c r="M13">
        <v>7</v>
      </c>
      <c r="N13" t="s">
        <v>34</v>
      </c>
      <c r="Y13" t="s">
        <v>950</v>
      </c>
      <c r="Z13" t="s">
        <v>931</v>
      </c>
      <c r="AA13" t="s">
        <v>291</v>
      </c>
      <c r="AB13" t="s">
        <v>256</v>
      </c>
      <c r="AC13" t="s">
        <v>228</v>
      </c>
      <c r="AD13" t="s">
        <v>144</v>
      </c>
      <c r="AE13" t="s">
        <v>246</v>
      </c>
      <c r="AF13">
        <v>9</v>
      </c>
      <c r="AG13" s="1">
        <v>45760</v>
      </c>
      <c r="AH13" s="12">
        <v>0.78115740740740736</v>
      </c>
      <c r="AI13" s="12">
        <v>0.75</v>
      </c>
      <c r="AJ13" t="s">
        <v>266</v>
      </c>
      <c r="AK13" t="s">
        <v>184</v>
      </c>
      <c r="AL13" t="s">
        <v>631</v>
      </c>
      <c r="AM13" t="s">
        <v>169</v>
      </c>
      <c r="AN13" s="12">
        <v>0.78115740740740736</v>
      </c>
      <c r="AO13" s="1">
        <v>45760</v>
      </c>
      <c r="AP13" s="12">
        <v>0.75</v>
      </c>
      <c r="AQ13" s="88"/>
      <c r="AR13" t="s">
        <v>266</v>
      </c>
      <c r="AS13" t="s">
        <v>311</v>
      </c>
      <c r="AT13" t="s">
        <v>582</v>
      </c>
      <c r="AU13">
        <v>2025</v>
      </c>
      <c r="AV13">
        <v>16</v>
      </c>
      <c r="AW13">
        <v>3</v>
      </c>
      <c r="AX13">
        <v>13</v>
      </c>
      <c r="AY13">
        <v>103</v>
      </c>
      <c r="AZ13" t="s">
        <v>184</v>
      </c>
      <c r="BA13" t="s">
        <v>630</v>
      </c>
      <c r="BH13" t="s">
        <v>266</v>
      </c>
      <c r="BI13" t="s">
        <v>266</v>
      </c>
    </row>
    <row r="14" spans="1:61" x14ac:dyDescent="0.25">
      <c r="A14" t="s">
        <v>632</v>
      </c>
      <c r="B14" s="1">
        <v>45761</v>
      </c>
      <c r="C14" s="88">
        <v>0.95833333333333326</v>
      </c>
      <c r="D14" s="1">
        <v>45762</v>
      </c>
      <c r="E14" s="12">
        <v>0.77083333333333337</v>
      </c>
      <c r="F14" s="1">
        <v>45762</v>
      </c>
      <c r="G14" s="12">
        <v>0.77781250000000002</v>
      </c>
      <c r="H14" t="s">
        <v>242</v>
      </c>
      <c r="I14" t="s">
        <v>295</v>
      </c>
      <c r="J14" t="s">
        <v>556</v>
      </c>
      <c r="K14" t="s">
        <v>633</v>
      </c>
      <c r="L14" t="s">
        <v>138</v>
      </c>
      <c r="M14">
        <v>8</v>
      </c>
      <c r="N14" t="s">
        <v>634</v>
      </c>
      <c r="Y14" t="s">
        <v>1000</v>
      </c>
      <c r="Z14" t="s">
        <v>931</v>
      </c>
      <c r="AA14" t="s">
        <v>635</v>
      </c>
      <c r="AB14" t="s">
        <v>542</v>
      </c>
      <c r="AC14" t="s">
        <v>228</v>
      </c>
      <c r="AD14" t="s">
        <v>320</v>
      </c>
      <c r="AE14" t="s">
        <v>246</v>
      </c>
      <c r="AF14">
        <v>9</v>
      </c>
      <c r="AG14" s="1">
        <v>45761</v>
      </c>
      <c r="AH14" s="12">
        <v>0.95833333333333337</v>
      </c>
      <c r="AI14" s="12">
        <v>0.95833333333333337</v>
      </c>
      <c r="AJ14" t="s">
        <v>168</v>
      </c>
      <c r="AK14" t="s">
        <v>150</v>
      </c>
      <c r="AL14" t="s">
        <v>636</v>
      </c>
      <c r="AM14" t="s">
        <v>169</v>
      </c>
      <c r="AN14" s="12">
        <v>0.95833333333333337</v>
      </c>
      <c r="AO14" s="1">
        <v>45761</v>
      </c>
      <c r="AP14" s="12">
        <v>0.95833333333333337</v>
      </c>
      <c r="AQ14" s="88"/>
      <c r="AR14" t="s">
        <v>168</v>
      </c>
      <c r="AS14" t="s">
        <v>183</v>
      </c>
      <c r="AT14" t="s">
        <v>582</v>
      </c>
      <c r="AU14">
        <v>2025</v>
      </c>
      <c r="AV14">
        <v>16</v>
      </c>
      <c r="AW14">
        <v>3</v>
      </c>
      <c r="AX14">
        <v>14</v>
      </c>
      <c r="AY14">
        <v>104</v>
      </c>
      <c r="AZ14" t="s">
        <v>150</v>
      </c>
      <c r="BA14" t="s">
        <v>633</v>
      </c>
      <c r="BH14" t="s">
        <v>168</v>
      </c>
      <c r="BI14" t="s">
        <v>168</v>
      </c>
    </row>
    <row r="15" spans="1:61" x14ac:dyDescent="0.25">
      <c r="A15" t="s">
        <v>637</v>
      </c>
      <c r="B15" s="1">
        <v>45763</v>
      </c>
      <c r="C15" s="88">
        <v>0.25</v>
      </c>
      <c r="D15" s="1">
        <v>45765</v>
      </c>
      <c r="E15" s="12"/>
      <c r="F15" s="1">
        <v>45765</v>
      </c>
      <c r="G15" s="12">
        <v>0.9226388888888889</v>
      </c>
      <c r="H15" t="s">
        <v>242</v>
      </c>
      <c r="K15" t="s">
        <v>638</v>
      </c>
      <c r="L15" t="s">
        <v>414</v>
      </c>
      <c r="M15">
        <v>7</v>
      </c>
      <c r="N15" t="s">
        <v>639</v>
      </c>
      <c r="Y15" t="s">
        <v>946</v>
      </c>
      <c r="Z15" t="s">
        <v>931</v>
      </c>
      <c r="AA15" t="s">
        <v>327</v>
      </c>
      <c r="AB15" t="s">
        <v>328</v>
      </c>
      <c r="AC15" t="s">
        <v>275</v>
      </c>
      <c r="AD15" t="s">
        <v>166</v>
      </c>
      <c r="AE15" t="s">
        <v>246</v>
      </c>
      <c r="AF15">
        <v>9</v>
      </c>
      <c r="AG15" s="1">
        <v>45763</v>
      </c>
      <c r="AH15" s="12">
        <v>0.25</v>
      </c>
      <c r="AI15" s="12">
        <v>0.25</v>
      </c>
      <c r="AJ15" t="s">
        <v>385</v>
      </c>
      <c r="AK15" t="s">
        <v>640</v>
      </c>
      <c r="AL15" t="s">
        <v>242</v>
      </c>
      <c r="AM15" t="s">
        <v>169</v>
      </c>
      <c r="AN15" s="12">
        <v>0.25</v>
      </c>
      <c r="AO15" s="1">
        <v>45763</v>
      </c>
      <c r="AP15" s="12">
        <v>0.25</v>
      </c>
      <c r="AQ15" s="88"/>
      <c r="AR15" t="s">
        <v>385</v>
      </c>
      <c r="AS15" t="s">
        <v>239</v>
      </c>
      <c r="AT15" t="s">
        <v>582</v>
      </c>
      <c r="AU15">
        <v>2025</v>
      </c>
      <c r="AV15">
        <v>16</v>
      </c>
      <c r="AW15">
        <v>3</v>
      </c>
      <c r="AX15">
        <v>16</v>
      </c>
      <c r="AY15">
        <v>106</v>
      </c>
      <c r="AZ15" t="s">
        <v>640</v>
      </c>
      <c r="BA15" t="s">
        <v>638</v>
      </c>
      <c r="BH15" t="s">
        <v>385</v>
      </c>
      <c r="BI15" t="s">
        <v>385</v>
      </c>
    </row>
    <row r="16" spans="1:61" x14ac:dyDescent="0.25">
      <c r="A16" t="s">
        <v>663</v>
      </c>
      <c r="C16" s="88"/>
      <c r="D16" s="1"/>
      <c r="E16" s="12"/>
      <c r="F16" s="1">
        <v>45768</v>
      </c>
      <c r="G16" s="12">
        <v>0.40254629629629629</v>
      </c>
      <c r="H16" t="s">
        <v>242</v>
      </c>
      <c r="K16" t="s">
        <v>664</v>
      </c>
      <c r="L16" t="s">
        <v>414</v>
      </c>
      <c r="M16">
        <v>7</v>
      </c>
      <c r="N16" t="s">
        <v>665</v>
      </c>
      <c r="Y16" t="s">
        <v>1006</v>
      </c>
      <c r="Z16" t="s">
        <v>931</v>
      </c>
      <c r="AA16" t="s">
        <v>585</v>
      </c>
      <c r="AB16" t="s">
        <v>164</v>
      </c>
      <c r="AC16" t="s">
        <v>534</v>
      </c>
      <c r="AD16" t="s">
        <v>301</v>
      </c>
      <c r="AE16" t="s">
        <v>246</v>
      </c>
      <c r="AF16">
        <v>9</v>
      </c>
      <c r="AG16" s="1">
        <v>45768</v>
      </c>
      <c r="AH16" s="12">
        <v>0.40254629629629629</v>
      </c>
      <c r="AI16" s="12">
        <v>0.375</v>
      </c>
      <c r="AJ16" t="s">
        <v>276</v>
      </c>
      <c r="AK16" t="s">
        <v>666</v>
      </c>
      <c r="AL16" t="s">
        <v>242</v>
      </c>
      <c r="AM16" t="s">
        <v>169</v>
      </c>
      <c r="AN16" s="12">
        <v>0.40254629629629629</v>
      </c>
      <c r="AO16" s="1">
        <v>45768</v>
      </c>
      <c r="AP16" s="12">
        <v>0.375</v>
      </c>
      <c r="AQ16" s="88"/>
      <c r="AR16" t="s">
        <v>276</v>
      </c>
      <c r="AS16" t="s">
        <v>183</v>
      </c>
      <c r="AT16" t="s">
        <v>582</v>
      </c>
      <c r="AU16">
        <v>2025</v>
      </c>
      <c r="AV16">
        <v>17</v>
      </c>
      <c r="AW16">
        <v>4</v>
      </c>
      <c r="AX16">
        <v>21</v>
      </c>
      <c r="AY16">
        <v>111</v>
      </c>
      <c r="AZ16" t="s">
        <v>666</v>
      </c>
      <c r="BA16" t="s">
        <v>664</v>
      </c>
      <c r="BH16" t="s">
        <v>276</v>
      </c>
      <c r="BI16" t="s">
        <v>276</v>
      </c>
    </row>
    <row r="17" spans="1:61" x14ac:dyDescent="0.25">
      <c r="A17" t="s">
        <v>659</v>
      </c>
      <c r="B17" s="1">
        <v>45767</v>
      </c>
      <c r="C17" s="88">
        <v>0.14861111111111103</v>
      </c>
      <c r="D17" s="1">
        <v>45768</v>
      </c>
      <c r="E17" s="12">
        <v>0.33333333333333331</v>
      </c>
      <c r="F17" s="1">
        <v>45768</v>
      </c>
      <c r="G17" s="12">
        <v>0.33649305555555553</v>
      </c>
      <c r="H17" t="s">
        <v>367</v>
      </c>
      <c r="K17" t="s">
        <v>660</v>
      </c>
      <c r="L17" t="s">
        <v>516</v>
      </c>
      <c r="M17">
        <v>9</v>
      </c>
      <c r="N17" t="s">
        <v>661</v>
      </c>
      <c r="Y17" t="s">
        <v>1006</v>
      </c>
      <c r="Z17" t="s">
        <v>931</v>
      </c>
      <c r="AA17" t="s">
        <v>530</v>
      </c>
      <c r="AB17" t="s">
        <v>384</v>
      </c>
      <c r="AC17" t="s">
        <v>310</v>
      </c>
      <c r="AD17" t="s">
        <v>166</v>
      </c>
      <c r="AE17" t="s">
        <v>246</v>
      </c>
      <c r="AF17">
        <v>9</v>
      </c>
      <c r="AG17" s="1">
        <v>45767</v>
      </c>
      <c r="AH17" s="12">
        <v>0.14861111111111111</v>
      </c>
      <c r="AI17" s="12">
        <v>0.125</v>
      </c>
      <c r="AJ17" t="s">
        <v>343</v>
      </c>
      <c r="AK17" t="s">
        <v>662</v>
      </c>
      <c r="AL17" t="s">
        <v>367</v>
      </c>
      <c r="AM17" t="s">
        <v>169</v>
      </c>
      <c r="AN17" s="12">
        <v>0.14861111111111111</v>
      </c>
      <c r="AO17" s="1">
        <v>45767</v>
      </c>
      <c r="AP17" s="12">
        <v>0.125</v>
      </c>
      <c r="AQ17" s="88"/>
      <c r="AR17" t="s">
        <v>343</v>
      </c>
      <c r="AS17" t="s">
        <v>311</v>
      </c>
      <c r="AT17" t="s">
        <v>582</v>
      </c>
      <c r="AU17">
        <v>2025</v>
      </c>
      <c r="AV17">
        <v>17</v>
      </c>
      <c r="AW17">
        <v>4</v>
      </c>
      <c r="AX17">
        <v>20</v>
      </c>
      <c r="AY17">
        <v>110</v>
      </c>
      <c r="AZ17" t="s">
        <v>662</v>
      </c>
      <c r="BA17" t="s">
        <v>660</v>
      </c>
      <c r="BH17" t="s">
        <v>343</v>
      </c>
      <c r="BI17" t="s">
        <v>343</v>
      </c>
    </row>
    <row r="18" spans="1:61" x14ac:dyDescent="0.25">
      <c r="A18" t="s">
        <v>700</v>
      </c>
      <c r="B18" s="1">
        <v>45778</v>
      </c>
      <c r="C18" s="88">
        <v>0.93593750000000009</v>
      </c>
      <c r="D18" s="1"/>
      <c r="E18" s="12"/>
      <c r="F18" s="1">
        <v>45778</v>
      </c>
      <c r="G18" s="12">
        <v>0.93593749999999998</v>
      </c>
      <c r="H18" t="s">
        <v>242</v>
      </c>
      <c r="I18" t="s">
        <v>295</v>
      </c>
      <c r="J18" t="s">
        <v>701</v>
      </c>
      <c r="K18" t="s">
        <v>702</v>
      </c>
      <c r="L18" t="s">
        <v>191</v>
      </c>
      <c r="M18">
        <v>7</v>
      </c>
      <c r="N18" t="s">
        <v>703</v>
      </c>
      <c r="Y18" t="s">
        <v>958</v>
      </c>
      <c r="Z18" t="s">
        <v>931</v>
      </c>
      <c r="AA18" t="s">
        <v>635</v>
      </c>
      <c r="AB18" t="s">
        <v>256</v>
      </c>
      <c r="AC18" t="s">
        <v>228</v>
      </c>
      <c r="AD18" t="s">
        <v>166</v>
      </c>
      <c r="AE18" t="s">
        <v>246</v>
      </c>
      <c r="AF18">
        <v>9</v>
      </c>
      <c r="AG18" s="1">
        <v>45778</v>
      </c>
      <c r="AH18" s="12">
        <v>0.93593749999999998</v>
      </c>
      <c r="AI18" s="12">
        <v>0.91666666666666663</v>
      </c>
      <c r="AJ18" t="s">
        <v>168</v>
      </c>
      <c r="AK18" t="s">
        <v>627</v>
      </c>
      <c r="AL18" t="s">
        <v>704</v>
      </c>
      <c r="AM18" t="s">
        <v>169</v>
      </c>
      <c r="AN18" s="12">
        <v>0.93593749999999998</v>
      </c>
      <c r="AO18" s="1">
        <v>45778</v>
      </c>
      <c r="AP18" s="12">
        <v>0.91666666666666663</v>
      </c>
      <c r="AQ18" s="88"/>
      <c r="AR18" t="s">
        <v>168</v>
      </c>
      <c r="AS18" t="s">
        <v>247</v>
      </c>
      <c r="AT18" t="s">
        <v>705</v>
      </c>
      <c r="AU18">
        <v>2025</v>
      </c>
      <c r="AV18">
        <v>18</v>
      </c>
      <c r="AW18">
        <v>1</v>
      </c>
      <c r="AX18">
        <v>1</v>
      </c>
      <c r="AY18">
        <v>121</v>
      </c>
      <c r="AZ18" t="s">
        <v>627</v>
      </c>
      <c r="BA18" t="s">
        <v>702</v>
      </c>
      <c r="BH18" t="s">
        <v>168</v>
      </c>
      <c r="BI18" t="s">
        <v>168</v>
      </c>
    </row>
    <row r="19" spans="1:61" x14ac:dyDescent="0.25">
      <c r="A19" t="s">
        <v>742</v>
      </c>
      <c r="B19" s="1">
        <v>45789</v>
      </c>
      <c r="C19" s="88">
        <v>0.27222222222222214</v>
      </c>
      <c r="D19" s="1"/>
      <c r="E19" s="12"/>
      <c r="F19" s="1">
        <v>45789</v>
      </c>
      <c r="G19" s="12">
        <v>0.27627314814814813</v>
      </c>
      <c r="H19" t="s">
        <v>242</v>
      </c>
      <c r="I19" t="s">
        <v>388</v>
      </c>
      <c r="J19" t="s">
        <v>743</v>
      </c>
      <c r="K19" t="s">
        <v>744</v>
      </c>
      <c r="L19" t="s">
        <v>390</v>
      </c>
      <c r="M19">
        <v>9</v>
      </c>
      <c r="N19" t="s">
        <v>745</v>
      </c>
      <c r="Q19" t="s">
        <v>941</v>
      </c>
      <c r="R19" t="s">
        <v>942</v>
      </c>
      <c r="S19" t="s">
        <v>178</v>
      </c>
      <c r="T19" t="s">
        <v>161</v>
      </c>
      <c r="Y19" t="s">
        <v>943</v>
      </c>
      <c r="Z19" t="s">
        <v>931</v>
      </c>
      <c r="AA19" t="s">
        <v>163</v>
      </c>
      <c r="AB19" t="s">
        <v>328</v>
      </c>
      <c r="AC19" t="s">
        <v>350</v>
      </c>
      <c r="AD19" t="s">
        <v>364</v>
      </c>
      <c r="AE19" t="s">
        <v>747</v>
      </c>
      <c r="AF19">
        <v>9</v>
      </c>
      <c r="AG19" s="1">
        <v>45789</v>
      </c>
      <c r="AH19" s="12">
        <v>0.2722222222222222</v>
      </c>
      <c r="AI19" s="12">
        <v>0.25</v>
      </c>
      <c r="AJ19" t="s">
        <v>385</v>
      </c>
      <c r="AK19" t="s">
        <v>749</v>
      </c>
      <c r="AL19" t="s">
        <v>748</v>
      </c>
      <c r="AM19" t="s">
        <v>169</v>
      </c>
      <c r="AN19" s="12">
        <v>0.2722222222222222</v>
      </c>
      <c r="AO19" s="1">
        <v>45789</v>
      </c>
      <c r="AP19" s="12">
        <v>0.25</v>
      </c>
      <c r="AQ19" s="88"/>
      <c r="AR19" t="s">
        <v>385</v>
      </c>
      <c r="AS19" t="s">
        <v>183</v>
      </c>
      <c r="AT19" t="s">
        <v>705</v>
      </c>
      <c r="AU19">
        <v>2025</v>
      </c>
      <c r="AV19">
        <v>20</v>
      </c>
      <c r="AW19">
        <v>3</v>
      </c>
      <c r="AX19">
        <v>12</v>
      </c>
      <c r="AY19">
        <v>132</v>
      </c>
      <c r="AZ19" t="s">
        <v>749</v>
      </c>
      <c r="BA19" t="s">
        <v>744</v>
      </c>
      <c r="BD19" t="s">
        <v>944</v>
      </c>
      <c r="BH19" t="s">
        <v>385</v>
      </c>
      <c r="BI19" t="s">
        <v>385</v>
      </c>
    </row>
    <row r="20" spans="1:61" x14ac:dyDescent="0.25">
      <c r="A20" t="s">
        <v>706</v>
      </c>
      <c r="B20" s="1">
        <v>45781</v>
      </c>
      <c r="C20" s="88">
        <v>0.54166666666666674</v>
      </c>
      <c r="D20" s="1"/>
      <c r="E20" s="12"/>
      <c r="F20" s="1">
        <v>45789</v>
      </c>
      <c r="G20" s="12">
        <v>0.55585648148148148</v>
      </c>
      <c r="H20" t="s">
        <v>242</v>
      </c>
      <c r="K20" t="s">
        <v>707</v>
      </c>
      <c r="L20" t="s">
        <v>138</v>
      </c>
      <c r="M20">
        <v>8</v>
      </c>
      <c r="N20" t="s">
        <v>708</v>
      </c>
      <c r="Y20" t="s">
        <v>943</v>
      </c>
      <c r="Z20" t="s">
        <v>931</v>
      </c>
      <c r="AA20" t="s">
        <v>475</v>
      </c>
      <c r="AB20" t="s">
        <v>211</v>
      </c>
      <c r="AC20" t="s">
        <v>350</v>
      </c>
      <c r="AD20" t="s">
        <v>301</v>
      </c>
      <c r="AE20" t="s">
        <v>246</v>
      </c>
      <c r="AF20">
        <v>9</v>
      </c>
      <c r="AG20" s="1">
        <v>45781</v>
      </c>
      <c r="AH20" s="12">
        <v>0.54166666666666663</v>
      </c>
      <c r="AI20" s="12">
        <v>0.54166666666666663</v>
      </c>
      <c r="AJ20" t="s">
        <v>146</v>
      </c>
      <c r="AK20" t="s">
        <v>710</v>
      </c>
      <c r="AL20" t="s">
        <v>242</v>
      </c>
      <c r="AM20" t="s">
        <v>169</v>
      </c>
      <c r="AN20" s="12">
        <v>0.54166666666666663</v>
      </c>
      <c r="AO20" s="1">
        <v>45781</v>
      </c>
      <c r="AP20" s="12">
        <v>0.54166666666666663</v>
      </c>
      <c r="AQ20" s="88"/>
      <c r="AR20" t="s">
        <v>146</v>
      </c>
      <c r="AS20" t="s">
        <v>311</v>
      </c>
      <c r="AT20" t="s">
        <v>705</v>
      </c>
      <c r="AU20">
        <v>2025</v>
      </c>
      <c r="AV20">
        <v>19</v>
      </c>
      <c r="AW20">
        <v>2</v>
      </c>
      <c r="AX20">
        <v>4</v>
      </c>
      <c r="AY20">
        <v>124</v>
      </c>
      <c r="AZ20" t="s">
        <v>710</v>
      </c>
      <c r="BA20" t="s">
        <v>707</v>
      </c>
      <c r="BH20" t="s">
        <v>146</v>
      </c>
      <c r="BI20" t="s">
        <v>146</v>
      </c>
    </row>
    <row r="21" spans="1:61" x14ac:dyDescent="0.25">
      <c r="A21" t="s">
        <v>757</v>
      </c>
      <c r="B21" s="1">
        <v>45789</v>
      </c>
      <c r="C21" s="88">
        <v>0.33333333333333326</v>
      </c>
      <c r="D21" s="1">
        <v>45793</v>
      </c>
      <c r="E21" s="12"/>
      <c r="F21" s="1">
        <v>45793</v>
      </c>
      <c r="G21" s="12">
        <v>0.55564814814814811</v>
      </c>
      <c r="H21" t="s">
        <v>242</v>
      </c>
      <c r="K21" t="s">
        <v>758</v>
      </c>
      <c r="L21" t="s">
        <v>270</v>
      </c>
      <c r="M21">
        <v>5</v>
      </c>
      <c r="N21" t="s">
        <v>759</v>
      </c>
      <c r="Y21" t="s">
        <v>958</v>
      </c>
      <c r="Z21" t="s">
        <v>931</v>
      </c>
      <c r="AA21" t="s">
        <v>635</v>
      </c>
      <c r="AB21" t="s">
        <v>256</v>
      </c>
      <c r="AC21" t="s">
        <v>350</v>
      </c>
      <c r="AD21" t="s">
        <v>301</v>
      </c>
      <c r="AE21" t="s">
        <v>246</v>
      </c>
      <c r="AF21">
        <v>9</v>
      </c>
      <c r="AG21" s="1">
        <v>45789</v>
      </c>
      <c r="AH21" s="12">
        <v>0.33333333333333331</v>
      </c>
      <c r="AI21" s="12">
        <v>0.33333333333333331</v>
      </c>
      <c r="AJ21" t="s">
        <v>276</v>
      </c>
      <c r="AK21" t="s">
        <v>760</v>
      </c>
      <c r="AL21" t="s">
        <v>242</v>
      </c>
      <c r="AM21" t="s">
        <v>169</v>
      </c>
      <c r="AN21" s="12">
        <v>0.33333333333333331</v>
      </c>
      <c r="AO21" s="1">
        <v>45789</v>
      </c>
      <c r="AP21" s="12">
        <v>0.33333333333333331</v>
      </c>
      <c r="AQ21" s="88"/>
      <c r="AR21" t="s">
        <v>276</v>
      </c>
      <c r="AS21" t="s">
        <v>183</v>
      </c>
      <c r="AT21" t="s">
        <v>705</v>
      </c>
      <c r="AU21">
        <v>2025</v>
      </c>
      <c r="AV21">
        <v>20</v>
      </c>
      <c r="AW21">
        <v>3</v>
      </c>
      <c r="AX21">
        <v>12</v>
      </c>
      <c r="AY21">
        <v>132</v>
      </c>
      <c r="AZ21" t="s">
        <v>760</v>
      </c>
      <c r="BA21" t="s">
        <v>758</v>
      </c>
      <c r="BH21" t="s">
        <v>276</v>
      </c>
      <c r="BI21" t="s">
        <v>276</v>
      </c>
    </row>
    <row r="22" spans="1:61" x14ac:dyDescent="0.25">
      <c r="A22" t="s">
        <v>778</v>
      </c>
      <c r="B22" s="1">
        <v>45801</v>
      </c>
      <c r="C22" s="88">
        <v>0.93333333333333335</v>
      </c>
      <c r="D22" s="1"/>
      <c r="E22" s="12"/>
      <c r="F22" s="1">
        <v>45801</v>
      </c>
      <c r="G22" s="12">
        <v>0.94206018518518519</v>
      </c>
      <c r="H22" t="s">
        <v>242</v>
      </c>
      <c r="I22" t="s">
        <v>556</v>
      </c>
      <c r="J22" t="s">
        <v>779</v>
      </c>
      <c r="K22" t="s">
        <v>780</v>
      </c>
      <c r="L22" t="s">
        <v>378</v>
      </c>
      <c r="M22">
        <v>5</v>
      </c>
      <c r="N22" t="s">
        <v>781</v>
      </c>
      <c r="Y22" t="s">
        <v>936</v>
      </c>
      <c r="Z22" t="s">
        <v>931</v>
      </c>
      <c r="AA22" t="s">
        <v>562</v>
      </c>
      <c r="AB22" t="s">
        <v>444</v>
      </c>
      <c r="AC22" t="s">
        <v>228</v>
      </c>
      <c r="AD22" t="s">
        <v>166</v>
      </c>
      <c r="AE22" t="s">
        <v>246</v>
      </c>
      <c r="AF22">
        <v>9</v>
      </c>
      <c r="AG22" s="1">
        <v>45801</v>
      </c>
      <c r="AH22" s="12">
        <v>0.93333333333333335</v>
      </c>
      <c r="AI22" s="12">
        <v>0.91666666666666663</v>
      </c>
      <c r="AJ22" t="s">
        <v>168</v>
      </c>
      <c r="AK22" t="s">
        <v>783</v>
      </c>
      <c r="AL22" t="s">
        <v>782</v>
      </c>
      <c r="AM22" t="s">
        <v>169</v>
      </c>
      <c r="AN22" s="12">
        <v>0.93333333333333335</v>
      </c>
      <c r="AO22" s="1">
        <v>45801</v>
      </c>
      <c r="AP22" s="12">
        <v>0.91666666666666663</v>
      </c>
      <c r="AQ22" s="88"/>
      <c r="AR22" t="s">
        <v>168</v>
      </c>
      <c r="AS22" t="s">
        <v>292</v>
      </c>
      <c r="AT22" t="s">
        <v>705</v>
      </c>
      <c r="AU22">
        <v>2025</v>
      </c>
      <c r="AV22">
        <v>21</v>
      </c>
      <c r="AW22">
        <v>4</v>
      </c>
      <c r="AX22">
        <v>24</v>
      </c>
      <c r="AY22">
        <v>144</v>
      </c>
      <c r="AZ22" t="s">
        <v>783</v>
      </c>
      <c r="BA22" t="s">
        <v>780</v>
      </c>
      <c r="BH22" t="s">
        <v>168</v>
      </c>
      <c r="BI22" t="s">
        <v>168</v>
      </c>
    </row>
    <row r="23" spans="1:61" x14ac:dyDescent="0.25">
      <c r="A23" t="s">
        <v>784</v>
      </c>
      <c r="B23" s="1">
        <v>45802</v>
      </c>
      <c r="C23" s="88">
        <v>0.23958333333333326</v>
      </c>
      <c r="D23" s="1"/>
      <c r="E23" s="12">
        <v>0.29166666666666669</v>
      </c>
      <c r="F23" s="1">
        <v>45802</v>
      </c>
      <c r="G23" s="12">
        <v>0.36920138888888887</v>
      </c>
      <c r="H23" t="s">
        <v>367</v>
      </c>
      <c r="K23" t="s">
        <v>785</v>
      </c>
      <c r="L23" t="s">
        <v>414</v>
      </c>
      <c r="M23">
        <v>7</v>
      </c>
      <c r="N23" t="s">
        <v>786</v>
      </c>
      <c r="Y23" t="s">
        <v>1000</v>
      </c>
      <c r="Z23" t="s">
        <v>931</v>
      </c>
      <c r="AA23" t="s">
        <v>787</v>
      </c>
      <c r="AB23" t="s">
        <v>542</v>
      </c>
      <c r="AC23" t="s">
        <v>350</v>
      </c>
      <c r="AD23" t="s">
        <v>320</v>
      </c>
      <c r="AE23" t="s">
        <v>246</v>
      </c>
      <c r="AF23">
        <v>9</v>
      </c>
      <c r="AG23" s="1">
        <v>45802</v>
      </c>
      <c r="AH23" s="12">
        <v>0.23958333333333334</v>
      </c>
      <c r="AI23" s="12">
        <v>0.20833333333333334</v>
      </c>
      <c r="AJ23" t="s">
        <v>385</v>
      </c>
      <c r="AK23" t="s">
        <v>184</v>
      </c>
      <c r="AL23" t="s">
        <v>367</v>
      </c>
      <c r="AM23" t="s">
        <v>169</v>
      </c>
      <c r="AN23" s="12">
        <v>0.23958333333333334</v>
      </c>
      <c r="AO23" s="1">
        <v>45802</v>
      </c>
      <c r="AP23" s="12">
        <v>0.20833333333333334</v>
      </c>
      <c r="AQ23" s="88"/>
      <c r="AR23" t="s">
        <v>385</v>
      </c>
      <c r="AS23" t="s">
        <v>311</v>
      </c>
      <c r="AT23" t="s">
        <v>705</v>
      </c>
      <c r="AU23">
        <v>2025</v>
      </c>
      <c r="AV23">
        <v>22</v>
      </c>
      <c r="AW23">
        <v>5</v>
      </c>
      <c r="AX23">
        <v>25</v>
      </c>
      <c r="AY23">
        <v>145</v>
      </c>
      <c r="AZ23" t="s">
        <v>184</v>
      </c>
      <c r="BA23" t="s">
        <v>785</v>
      </c>
      <c r="BH23" t="s">
        <v>385</v>
      </c>
      <c r="BI23" t="s">
        <v>385</v>
      </c>
    </row>
    <row r="24" spans="1:61" x14ac:dyDescent="0.25">
      <c r="A24" t="s">
        <v>788</v>
      </c>
      <c r="B24" s="1">
        <v>45802</v>
      </c>
      <c r="C24" s="88">
        <v>0.76041666666666674</v>
      </c>
      <c r="D24" s="1"/>
      <c r="E24" s="12"/>
      <c r="F24" s="1">
        <v>45802</v>
      </c>
      <c r="G24" s="12">
        <v>0.76521990740740742</v>
      </c>
      <c r="H24" t="s">
        <v>242</v>
      </c>
      <c r="I24" t="s">
        <v>219</v>
      </c>
      <c r="J24" t="s">
        <v>347</v>
      </c>
      <c r="K24" t="s">
        <v>789</v>
      </c>
      <c r="L24" t="s">
        <v>378</v>
      </c>
      <c r="M24">
        <v>5</v>
      </c>
      <c r="N24" t="s">
        <v>790</v>
      </c>
      <c r="Y24" t="s">
        <v>936</v>
      </c>
      <c r="Z24" t="s">
        <v>931</v>
      </c>
      <c r="AA24" t="s">
        <v>309</v>
      </c>
      <c r="AB24" t="s">
        <v>444</v>
      </c>
      <c r="AC24" t="s">
        <v>228</v>
      </c>
      <c r="AD24" t="s">
        <v>166</v>
      </c>
      <c r="AE24" t="s">
        <v>246</v>
      </c>
      <c r="AF24">
        <v>9</v>
      </c>
      <c r="AG24" s="1">
        <v>45802</v>
      </c>
      <c r="AH24" s="12">
        <v>0.76041666666666663</v>
      </c>
      <c r="AI24" s="12">
        <v>0.75</v>
      </c>
      <c r="AJ24" t="s">
        <v>266</v>
      </c>
      <c r="AK24" t="s">
        <v>792</v>
      </c>
      <c r="AL24" t="s">
        <v>791</v>
      </c>
      <c r="AM24" t="s">
        <v>169</v>
      </c>
      <c r="AN24" s="12">
        <v>0.76041666666666663</v>
      </c>
      <c r="AO24" s="1">
        <v>45802</v>
      </c>
      <c r="AP24" s="12">
        <v>0.75</v>
      </c>
      <c r="AQ24" s="88"/>
      <c r="AR24" t="s">
        <v>266</v>
      </c>
      <c r="AS24" t="s">
        <v>311</v>
      </c>
      <c r="AT24" t="s">
        <v>705</v>
      </c>
      <c r="AU24">
        <v>2025</v>
      </c>
      <c r="AV24">
        <v>22</v>
      </c>
      <c r="AW24">
        <v>5</v>
      </c>
      <c r="AX24">
        <v>25</v>
      </c>
      <c r="AY24">
        <v>145</v>
      </c>
      <c r="AZ24" t="s">
        <v>792</v>
      </c>
      <c r="BA24" t="s">
        <v>789</v>
      </c>
      <c r="BH24" t="s">
        <v>266</v>
      </c>
      <c r="BI24" t="s">
        <v>266</v>
      </c>
    </row>
    <row r="25" spans="1:61" x14ac:dyDescent="0.25">
      <c r="A25" t="s">
        <v>687</v>
      </c>
      <c r="B25" s="1">
        <v>45774</v>
      </c>
      <c r="C25" s="88">
        <v>0.79166666666666674</v>
      </c>
      <c r="D25" s="1">
        <v>45802</v>
      </c>
      <c r="E25" s="12"/>
      <c r="F25" s="1">
        <v>45802</v>
      </c>
      <c r="G25" s="12">
        <v>0.80763888888888891</v>
      </c>
      <c r="H25" t="s">
        <v>242</v>
      </c>
      <c r="K25" t="s">
        <v>287</v>
      </c>
      <c r="L25" t="s">
        <v>288</v>
      </c>
      <c r="M25">
        <v>5</v>
      </c>
      <c r="N25" t="s">
        <v>688</v>
      </c>
      <c r="Y25" t="s">
        <v>936</v>
      </c>
      <c r="Z25" t="s">
        <v>931</v>
      </c>
      <c r="AA25" t="s">
        <v>689</v>
      </c>
      <c r="AB25" t="s">
        <v>211</v>
      </c>
      <c r="AC25" t="s">
        <v>488</v>
      </c>
      <c r="AD25" t="s">
        <v>166</v>
      </c>
      <c r="AE25" t="s">
        <v>246</v>
      </c>
      <c r="AF25">
        <v>9</v>
      </c>
      <c r="AG25" s="1">
        <v>45774</v>
      </c>
      <c r="AH25" s="12">
        <v>0.79166666666666663</v>
      </c>
      <c r="AI25" s="12">
        <v>0.79166666666666663</v>
      </c>
      <c r="AJ25" t="s">
        <v>266</v>
      </c>
      <c r="AK25" t="s">
        <v>293</v>
      </c>
      <c r="AL25" t="s">
        <v>242</v>
      </c>
      <c r="AM25" t="s">
        <v>169</v>
      </c>
      <c r="AN25" s="12">
        <v>0.79166666666666663</v>
      </c>
      <c r="AO25" s="1">
        <v>45774</v>
      </c>
      <c r="AP25" s="12">
        <v>0.79166666666666663</v>
      </c>
      <c r="AQ25" s="88"/>
      <c r="AR25" t="s">
        <v>266</v>
      </c>
      <c r="AS25" t="s">
        <v>311</v>
      </c>
      <c r="AT25" t="s">
        <v>582</v>
      </c>
      <c r="AU25">
        <v>2025</v>
      </c>
      <c r="AV25">
        <v>18</v>
      </c>
      <c r="AW25">
        <v>5</v>
      </c>
      <c r="AX25">
        <v>27</v>
      </c>
      <c r="AY25">
        <v>117</v>
      </c>
      <c r="AZ25" t="s">
        <v>293</v>
      </c>
      <c r="BA25" t="s">
        <v>287</v>
      </c>
      <c r="BH25" t="s">
        <v>266</v>
      </c>
      <c r="BI25" t="s">
        <v>266</v>
      </c>
    </row>
    <row r="26" spans="1:61" x14ac:dyDescent="0.25">
      <c r="A26" t="s">
        <v>775</v>
      </c>
      <c r="B26" s="1">
        <v>45800</v>
      </c>
      <c r="C26" s="88">
        <v>0.33333333333333326</v>
      </c>
      <c r="D26" s="1">
        <v>45800</v>
      </c>
      <c r="E26" s="12">
        <v>0.66666666666666663</v>
      </c>
      <c r="F26" s="1">
        <v>45805</v>
      </c>
      <c r="G26" s="12">
        <v>0.70393518518518516</v>
      </c>
      <c r="H26" t="s">
        <v>242</v>
      </c>
      <c r="K26" t="s">
        <v>776</v>
      </c>
      <c r="N26" t="s">
        <v>777</v>
      </c>
      <c r="Y26" t="s">
        <v>946</v>
      </c>
      <c r="Z26" t="s">
        <v>931</v>
      </c>
      <c r="AA26" t="s">
        <v>646</v>
      </c>
      <c r="AB26" t="s">
        <v>328</v>
      </c>
      <c r="AC26" t="s">
        <v>310</v>
      </c>
      <c r="AD26" t="s">
        <v>166</v>
      </c>
      <c r="AE26" t="s">
        <v>246</v>
      </c>
      <c r="AF26">
        <v>9</v>
      </c>
      <c r="AG26" s="1">
        <v>45800</v>
      </c>
      <c r="AH26" s="12">
        <v>0.33333333333333331</v>
      </c>
      <c r="AI26" s="12">
        <v>0.33333333333333331</v>
      </c>
      <c r="AJ26" t="s">
        <v>276</v>
      </c>
      <c r="AK26" t="s">
        <v>648</v>
      </c>
      <c r="AL26" t="s">
        <v>242</v>
      </c>
      <c r="AM26" t="s">
        <v>169</v>
      </c>
      <c r="AN26" s="12">
        <v>0.33333333333333331</v>
      </c>
      <c r="AO26" s="1">
        <v>45800</v>
      </c>
      <c r="AP26" s="12">
        <v>0.33333333333333331</v>
      </c>
      <c r="AQ26" s="88"/>
      <c r="AR26" t="s">
        <v>276</v>
      </c>
      <c r="AS26" t="s">
        <v>170</v>
      </c>
      <c r="AT26" t="s">
        <v>705</v>
      </c>
      <c r="AU26">
        <v>2025</v>
      </c>
      <c r="AV26">
        <v>21</v>
      </c>
      <c r="AW26">
        <v>4</v>
      </c>
      <c r="AX26">
        <v>23</v>
      </c>
      <c r="AY26">
        <v>143</v>
      </c>
      <c r="AZ26" t="s">
        <v>648</v>
      </c>
      <c r="BA26" t="s">
        <v>776</v>
      </c>
      <c r="BH26" t="s">
        <v>276</v>
      </c>
      <c r="BI26" t="s">
        <v>276</v>
      </c>
    </row>
    <row r="27" spans="1:61" x14ac:dyDescent="0.25">
      <c r="A27" t="s">
        <v>855</v>
      </c>
      <c r="B27" s="1">
        <v>45826</v>
      </c>
      <c r="C27" s="88">
        <v>0.38541666666666674</v>
      </c>
      <c r="D27" s="1">
        <v>45826</v>
      </c>
      <c r="E27" s="12">
        <v>0.41666666666666669</v>
      </c>
      <c r="F27" s="1">
        <v>45826</v>
      </c>
      <c r="G27" s="12">
        <v>0.46486111111111111</v>
      </c>
      <c r="H27" t="s">
        <v>242</v>
      </c>
      <c r="K27" t="s">
        <v>856</v>
      </c>
      <c r="L27" t="s">
        <v>138</v>
      </c>
      <c r="M27">
        <v>8</v>
      </c>
      <c r="N27" t="s">
        <v>857</v>
      </c>
      <c r="Y27" t="s">
        <v>943</v>
      </c>
      <c r="Z27" t="s">
        <v>931</v>
      </c>
      <c r="AA27" t="s">
        <v>309</v>
      </c>
      <c r="AB27" t="s">
        <v>444</v>
      </c>
      <c r="AC27" t="s">
        <v>310</v>
      </c>
      <c r="AD27" t="s">
        <v>435</v>
      </c>
      <c r="AE27" t="s">
        <v>246</v>
      </c>
      <c r="AF27">
        <v>9</v>
      </c>
      <c r="AG27" s="1">
        <v>45826</v>
      </c>
      <c r="AH27" s="12">
        <v>0.38541666666666669</v>
      </c>
      <c r="AI27" s="12">
        <v>0.375</v>
      </c>
      <c r="AJ27" t="s">
        <v>276</v>
      </c>
      <c r="AK27" t="s">
        <v>858</v>
      </c>
      <c r="AL27" t="s">
        <v>242</v>
      </c>
      <c r="AM27" t="s">
        <v>169</v>
      </c>
      <c r="AN27" s="12">
        <v>0.38541666666666669</v>
      </c>
      <c r="AO27" s="1">
        <v>45826</v>
      </c>
      <c r="AP27" s="12">
        <v>0.375</v>
      </c>
      <c r="AQ27" s="88"/>
      <c r="AR27" t="s">
        <v>276</v>
      </c>
      <c r="AS27" t="s">
        <v>239</v>
      </c>
      <c r="AT27" t="s">
        <v>149</v>
      </c>
      <c r="AU27">
        <v>2025</v>
      </c>
      <c r="AV27">
        <v>25</v>
      </c>
      <c r="AW27">
        <v>3</v>
      </c>
      <c r="AX27">
        <v>18</v>
      </c>
      <c r="AY27">
        <v>169</v>
      </c>
      <c r="AZ27" t="s">
        <v>858</v>
      </c>
      <c r="BA27" t="s">
        <v>856</v>
      </c>
      <c r="BH27" t="s">
        <v>276</v>
      </c>
      <c r="BI27" t="s">
        <v>276</v>
      </c>
    </row>
    <row r="28" spans="1:61" x14ac:dyDescent="0.25">
      <c r="A28" t="s">
        <v>894</v>
      </c>
      <c r="B28" s="1">
        <v>45831</v>
      </c>
      <c r="C28" s="88">
        <v>0.33333333333333326</v>
      </c>
      <c r="D28" s="1">
        <v>45834</v>
      </c>
      <c r="E28" s="12">
        <v>0.79166666666666663</v>
      </c>
      <c r="F28" s="1">
        <v>45834</v>
      </c>
      <c r="G28" s="12">
        <v>0.87291666666666667</v>
      </c>
      <c r="H28" t="s">
        <v>242</v>
      </c>
      <c r="I28" t="s">
        <v>295</v>
      </c>
      <c r="K28" t="s">
        <v>895</v>
      </c>
      <c r="L28" t="s">
        <v>358</v>
      </c>
      <c r="M28">
        <v>8</v>
      </c>
      <c r="N28" t="s">
        <v>896</v>
      </c>
      <c r="Y28" t="s">
        <v>930</v>
      </c>
      <c r="Z28" t="s">
        <v>931</v>
      </c>
      <c r="AA28" t="s">
        <v>635</v>
      </c>
      <c r="AB28" t="s">
        <v>256</v>
      </c>
      <c r="AC28" t="s">
        <v>310</v>
      </c>
      <c r="AD28" t="s">
        <v>166</v>
      </c>
      <c r="AE28" t="s">
        <v>246</v>
      </c>
      <c r="AF28">
        <v>9</v>
      </c>
      <c r="AG28" s="1">
        <v>45831</v>
      </c>
      <c r="AH28" s="12">
        <v>0.33333333333333331</v>
      </c>
      <c r="AI28" s="12">
        <v>0.33333333333333331</v>
      </c>
      <c r="AJ28" t="s">
        <v>276</v>
      </c>
      <c r="AK28" t="s">
        <v>885</v>
      </c>
      <c r="AL28" t="s">
        <v>897</v>
      </c>
      <c r="AM28" t="s">
        <v>169</v>
      </c>
      <c r="AN28" s="12">
        <v>0.33333333333333331</v>
      </c>
      <c r="AO28" s="1">
        <v>45831</v>
      </c>
      <c r="AP28" s="12">
        <v>0.33333333333333331</v>
      </c>
      <c r="AQ28" s="88"/>
      <c r="AR28" t="s">
        <v>276</v>
      </c>
      <c r="AS28" t="s">
        <v>183</v>
      </c>
      <c r="AT28" t="s">
        <v>149</v>
      </c>
      <c r="AU28">
        <v>2025</v>
      </c>
      <c r="AV28">
        <v>26</v>
      </c>
      <c r="AW28">
        <v>4</v>
      </c>
      <c r="AX28">
        <v>23</v>
      </c>
      <c r="AY28">
        <v>174</v>
      </c>
      <c r="AZ28" t="s">
        <v>885</v>
      </c>
      <c r="BA28" t="s">
        <v>895</v>
      </c>
      <c r="BH28" t="s">
        <v>276</v>
      </c>
      <c r="BI28" t="s">
        <v>276</v>
      </c>
    </row>
    <row r="29" spans="1:61" x14ac:dyDescent="0.25">
      <c r="A29" t="s">
        <v>903</v>
      </c>
      <c r="B29" s="1">
        <v>45835</v>
      </c>
      <c r="C29" s="88">
        <v>0.59593750000000001</v>
      </c>
      <c r="D29" s="1"/>
      <c r="E29" s="12"/>
      <c r="F29" s="1">
        <v>45835</v>
      </c>
      <c r="G29" s="12">
        <v>0.59593750000000001</v>
      </c>
      <c r="H29" t="s">
        <v>242</v>
      </c>
      <c r="K29" t="s">
        <v>577</v>
      </c>
      <c r="L29" t="s">
        <v>414</v>
      </c>
      <c r="M29">
        <v>7</v>
      </c>
      <c r="N29" t="s">
        <v>904</v>
      </c>
      <c r="Y29" t="s">
        <v>1006</v>
      </c>
      <c r="Z29" t="s">
        <v>931</v>
      </c>
      <c r="AA29" t="s">
        <v>141</v>
      </c>
      <c r="AB29" t="s">
        <v>142</v>
      </c>
      <c r="AC29" t="s">
        <v>534</v>
      </c>
      <c r="AD29" t="s">
        <v>435</v>
      </c>
      <c r="AE29" t="s">
        <v>246</v>
      </c>
      <c r="AF29">
        <v>9</v>
      </c>
      <c r="AG29" s="1">
        <v>45835</v>
      </c>
      <c r="AH29" s="12">
        <v>0.59593750000000001</v>
      </c>
      <c r="AI29" s="12">
        <v>0.58333333333333337</v>
      </c>
      <c r="AJ29" t="s">
        <v>146</v>
      </c>
      <c r="AK29" t="s">
        <v>184</v>
      </c>
      <c r="AL29" t="s">
        <v>242</v>
      </c>
      <c r="AM29" t="s">
        <v>948</v>
      </c>
      <c r="AN29" s="12">
        <v>0.59593750000000001</v>
      </c>
      <c r="AO29" s="1">
        <v>45835</v>
      </c>
      <c r="AP29" s="12">
        <v>0.58333333333333337</v>
      </c>
      <c r="AQ29" s="88"/>
      <c r="AR29" t="s">
        <v>146</v>
      </c>
      <c r="AS29" t="s">
        <v>170</v>
      </c>
      <c r="AT29" t="s">
        <v>149</v>
      </c>
      <c r="AU29">
        <v>2025</v>
      </c>
      <c r="AV29">
        <v>26</v>
      </c>
      <c r="AW29">
        <v>4</v>
      </c>
      <c r="AX29">
        <v>27</v>
      </c>
      <c r="AY29">
        <v>178</v>
      </c>
      <c r="AZ29" t="s">
        <v>184</v>
      </c>
      <c r="BA29" t="s">
        <v>577</v>
      </c>
      <c r="BH29" t="s">
        <v>146</v>
      </c>
      <c r="BI29" t="s">
        <v>146</v>
      </c>
    </row>
    <row r="30" spans="1:61" x14ac:dyDescent="0.25">
      <c r="A30" t="s">
        <v>1133</v>
      </c>
      <c r="B30" s="1">
        <v>45838</v>
      </c>
      <c r="C30" s="88">
        <v>0.46982638888888895</v>
      </c>
      <c r="D30" s="1"/>
      <c r="E30" s="12"/>
      <c r="F30" s="1">
        <v>45838</v>
      </c>
      <c r="G30" s="12">
        <v>0.46982638888888889</v>
      </c>
      <c r="H30" t="s">
        <v>242</v>
      </c>
      <c r="K30" t="s">
        <v>552</v>
      </c>
      <c r="L30" t="s">
        <v>553</v>
      </c>
      <c r="M30">
        <v>7</v>
      </c>
      <c r="N30" t="s">
        <v>1134</v>
      </c>
      <c r="Y30" t="s">
        <v>964</v>
      </c>
      <c r="Z30" t="s">
        <v>931</v>
      </c>
      <c r="AA30" t="s">
        <v>1135</v>
      </c>
      <c r="AB30" t="s">
        <v>164</v>
      </c>
      <c r="AC30" t="s">
        <v>310</v>
      </c>
      <c r="AD30" t="s">
        <v>181</v>
      </c>
      <c r="AE30" t="s">
        <v>246</v>
      </c>
      <c r="AF30">
        <v>9</v>
      </c>
      <c r="AG30" s="1">
        <v>45838</v>
      </c>
      <c r="AH30" s="12">
        <v>0.46982638888888889</v>
      </c>
      <c r="AI30" s="12">
        <v>0.45833333333333331</v>
      </c>
      <c r="AJ30" t="s">
        <v>276</v>
      </c>
      <c r="AK30" t="s">
        <v>322</v>
      </c>
      <c r="AL30" t="s">
        <v>242</v>
      </c>
      <c r="AM30" t="s">
        <v>948</v>
      </c>
      <c r="AN30" s="12">
        <v>0.46982638888888889</v>
      </c>
      <c r="AO30" s="1">
        <v>45838</v>
      </c>
      <c r="AP30" s="12">
        <v>0.45833333333333331</v>
      </c>
      <c r="AQ30" s="88"/>
      <c r="AR30" t="s">
        <v>276</v>
      </c>
      <c r="AS30" t="s">
        <v>183</v>
      </c>
      <c r="AT30" t="s">
        <v>149</v>
      </c>
      <c r="AU30">
        <v>2025</v>
      </c>
      <c r="AV30">
        <v>27</v>
      </c>
      <c r="AW30">
        <v>5</v>
      </c>
      <c r="AX30">
        <v>30</v>
      </c>
      <c r="AY30">
        <v>181</v>
      </c>
      <c r="AZ30" t="s">
        <v>322</v>
      </c>
      <c r="BA30" t="s">
        <v>552</v>
      </c>
      <c r="BH30" t="s">
        <v>276</v>
      </c>
      <c r="BI30" t="s">
        <v>276</v>
      </c>
    </row>
    <row r="31" spans="1:61" x14ac:dyDescent="0.25">
      <c r="A31" t="s">
        <v>1139</v>
      </c>
      <c r="B31" s="1">
        <v>45840</v>
      </c>
      <c r="C31" s="88">
        <v>0.48958333333333326</v>
      </c>
      <c r="D31" s="1">
        <v>45840</v>
      </c>
      <c r="E31" s="12">
        <v>0.58333333333333337</v>
      </c>
      <c r="F31" s="1">
        <v>45840</v>
      </c>
      <c r="G31" s="12">
        <v>0.819849537037037</v>
      </c>
      <c r="H31" t="s">
        <v>242</v>
      </c>
      <c r="K31" t="s">
        <v>1140</v>
      </c>
      <c r="L31" t="s">
        <v>208</v>
      </c>
      <c r="M31">
        <v>8</v>
      </c>
      <c r="N31" t="s">
        <v>1141</v>
      </c>
      <c r="Y31" t="s">
        <v>946</v>
      </c>
      <c r="Z31" t="s">
        <v>931</v>
      </c>
      <c r="AA31" t="s">
        <v>210</v>
      </c>
      <c r="AB31" t="s">
        <v>211</v>
      </c>
      <c r="AC31" t="s">
        <v>350</v>
      </c>
      <c r="AD31" t="s">
        <v>166</v>
      </c>
      <c r="AF31">
        <v>9</v>
      </c>
      <c r="AG31" s="1">
        <v>45840</v>
      </c>
      <c r="AH31" s="12">
        <v>0.48958333333333331</v>
      </c>
      <c r="AI31" s="12">
        <v>0.45833333333333331</v>
      </c>
      <c r="AJ31" t="s">
        <v>276</v>
      </c>
      <c r="AK31" t="s">
        <v>1142</v>
      </c>
      <c r="AL31" t="s">
        <v>242</v>
      </c>
      <c r="AM31" t="s">
        <v>948</v>
      </c>
      <c r="AN31" s="12">
        <v>0.48958333333333331</v>
      </c>
      <c r="AO31" s="1">
        <v>45840</v>
      </c>
      <c r="AP31" s="12">
        <v>0.45833333333333331</v>
      </c>
      <c r="AQ31" s="88"/>
      <c r="AR31" t="s">
        <v>276</v>
      </c>
      <c r="AS31" t="s">
        <v>239</v>
      </c>
      <c r="AT31" t="s">
        <v>1138</v>
      </c>
      <c r="AU31">
        <v>2025</v>
      </c>
      <c r="AV31">
        <v>27</v>
      </c>
      <c r="AW31">
        <v>1</v>
      </c>
      <c r="AX31">
        <v>2</v>
      </c>
      <c r="AY31">
        <v>183</v>
      </c>
      <c r="AZ31" t="s">
        <v>1142</v>
      </c>
      <c r="BA31" t="s">
        <v>1140</v>
      </c>
      <c r="BH31" t="s">
        <v>276</v>
      </c>
      <c r="BI31" t="s">
        <v>276</v>
      </c>
    </row>
    <row r="32" spans="1:61" x14ac:dyDescent="0.25">
      <c r="A32" t="s">
        <v>1143</v>
      </c>
      <c r="B32" s="1">
        <v>45835</v>
      </c>
      <c r="C32" s="88">
        <v>0.39583333333333326</v>
      </c>
      <c r="D32" s="1">
        <v>45839</v>
      </c>
      <c r="E32" s="12">
        <v>0.75</v>
      </c>
      <c r="F32" s="1">
        <v>45841</v>
      </c>
      <c r="G32" s="12">
        <v>0.43170138888888887</v>
      </c>
      <c r="H32" t="s">
        <v>367</v>
      </c>
      <c r="I32" t="s">
        <v>295</v>
      </c>
      <c r="K32" t="s">
        <v>1144</v>
      </c>
      <c r="L32" t="s">
        <v>221</v>
      </c>
      <c r="M32">
        <v>9</v>
      </c>
      <c r="N32" t="s">
        <v>1145</v>
      </c>
      <c r="Y32" t="s">
        <v>943</v>
      </c>
      <c r="Z32" t="s">
        <v>931</v>
      </c>
      <c r="AA32" t="s">
        <v>787</v>
      </c>
      <c r="AB32" t="s">
        <v>542</v>
      </c>
      <c r="AC32" t="s">
        <v>275</v>
      </c>
      <c r="AD32" t="s">
        <v>181</v>
      </c>
      <c r="AF32">
        <v>9</v>
      </c>
      <c r="AG32" s="1">
        <v>45835</v>
      </c>
      <c r="AH32" s="12">
        <v>0.39583333333333331</v>
      </c>
      <c r="AI32" s="12">
        <v>0.375</v>
      </c>
      <c r="AJ32" t="s">
        <v>276</v>
      </c>
      <c r="AK32" t="s">
        <v>230</v>
      </c>
      <c r="AL32" t="s">
        <v>1146</v>
      </c>
      <c r="AM32" t="s">
        <v>948</v>
      </c>
      <c r="AN32" s="12">
        <v>0.39583333333333331</v>
      </c>
      <c r="AO32" s="1">
        <v>45835</v>
      </c>
      <c r="AP32" s="12">
        <v>0.375</v>
      </c>
      <c r="AQ32" s="88"/>
      <c r="AR32" t="s">
        <v>276</v>
      </c>
      <c r="AS32" t="s">
        <v>170</v>
      </c>
      <c r="AT32" t="s">
        <v>149</v>
      </c>
      <c r="AU32">
        <v>2025</v>
      </c>
      <c r="AV32">
        <v>26</v>
      </c>
      <c r="AW32">
        <v>4</v>
      </c>
      <c r="AX32">
        <v>27</v>
      </c>
      <c r="AY32">
        <v>178</v>
      </c>
      <c r="AZ32" t="s">
        <v>230</v>
      </c>
      <c r="BA32" t="s">
        <v>1144</v>
      </c>
      <c r="BH32" t="s">
        <v>276</v>
      </c>
      <c r="BI32" t="s">
        <v>276</v>
      </c>
    </row>
    <row r="33" spans="1:61" x14ac:dyDescent="0.25">
      <c r="A33" t="s">
        <v>1157</v>
      </c>
      <c r="B33" s="1">
        <v>45846</v>
      </c>
      <c r="C33" s="88">
        <v>0.82291666666666674</v>
      </c>
      <c r="D33" s="1"/>
      <c r="E33" s="12"/>
      <c r="F33" s="1">
        <v>45847</v>
      </c>
      <c r="G33" s="12">
        <v>0.50694444444444442</v>
      </c>
      <c r="H33" t="s">
        <v>242</v>
      </c>
      <c r="K33" t="s">
        <v>1158</v>
      </c>
      <c r="L33" t="s">
        <v>208</v>
      </c>
      <c r="M33">
        <v>8</v>
      </c>
      <c r="N33" t="s">
        <v>1159</v>
      </c>
      <c r="Y33" t="s">
        <v>930</v>
      </c>
      <c r="Z33" t="s">
        <v>931</v>
      </c>
      <c r="AA33" t="s">
        <v>393</v>
      </c>
      <c r="AB33" t="s">
        <v>384</v>
      </c>
      <c r="AC33" t="s">
        <v>257</v>
      </c>
      <c r="AD33" t="s">
        <v>181</v>
      </c>
      <c r="AF33">
        <v>9</v>
      </c>
      <c r="AG33" s="1">
        <v>45846</v>
      </c>
      <c r="AH33" s="12">
        <v>0.82291666666666663</v>
      </c>
      <c r="AI33" s="12">
        <v>0.79166666666666663</v>
      </c>
      <c r="AJ33" t="s">
        <v>266</v>
      </c>
      <c r="AK33" t="s">
        <v>240</v>
      </c>
      <c r="AL33" t="s">
        <v>242</v>
      </c>
      <c r="AM33" t="s">
        <v>948</v>
      </c>
      <c r="AN33" s="12">
        <v>0.82291666666666663</v>
      </c>
      <c r="AO33" s="1">
        <v>45846</v>
      </c>
      <c r="AP33" s="12">
        <v>0.79166666666666663</v>
      </c>
      <c r="AQ33" s="88"/>
      <c r="AR33" t="s">
        <v>266</v>
      </c>
      <c r="AS33" t="s">
        <v>148</v>
      </c>
      <c r="AT33" t="s">
        <v>1138</v>
      </c>
      <c r="AU33">
        <v>2025</v>
      </c>
      <c r="AV33">
        <v>28</v>
      </c>
      <c r="AW33">
        <v>2</v>
      </c>
      <c r="AX33">
        <v>8</v>
      </c>
      <c r="AY33">
        <v>189</v>
      </c>
      <c r="AZ33" t="s">
        <v>240</v>
      </c>
      <c r="BA33" t="s">
        <v>1158</v>
      </c>
      <c r="BH33" t="s">
        <v>266</v>
      </c>
      <c r="BI33" t="s">
        <v>266</v>
      </c>
    </row>
    <row r="34" spans="1:61" x14ac:dyDescent="0.25">
      <c r="A34" t="s">
        <v>1174</v>
      </c>
      <c r="B34" s="1">
        <v>45851</v>
      </c>
      <c r="C34" s="88">
        <v>0.5543865740740741</v>
      </c>
      <c r="D34" s="1"/>
      <c r="E34" s="12"/>
      <c r="F34" s="1">
        <v>45851</v>
      </c>
      <c r="G34" s="12">
        <v>0.5543865740740741</v>
      </c>
      <c r="H34" t="s">
        <v>242</v>
      </c>
      <c r="K34" t="s">
        <v>1175</v>
      </c>
      <c r="L34" t="s">
        <v>358</v>
      </c>
      <c r="M34">
        <v>8</v>
      </c>
      <c r="N34" t="s">
        <v>1176</v>
      </c>
      <c r="O34">
        <v>1200</v>
      </c>
      <c r="Y34" t="s">
        <v>943</v>
      </c>
      <c r="Z34" t="s">
        <v>931</v>
      </c>
      <c r="AA34" t="s">
        <v>1177</v>
      </c>
      <c r="AB34" t="s">
        <v>542</v>
      </c>
      <c r="AC34" t="s">
        <v>488</v>
      </c>
      <c r="AD34" t="s">
        <v>181</v>
      </c>
      <c r="AF34">
        <v>9</v>
      </c>
      <c r="AG34" s="1">
        <v>45851</v>
      </c>
      <c r="AH34" s="12">
        <v>0.5543865740740741</v>
      </c>
      <c r="AI34" s="12">
        <v>0.54166666666666663</v>
      </c>
      <c r="AJ34" t="s">
        <v>146</v>
      </c>
      <c r="AK34" t="s">
        <v>885</v>
      </c>
      <c r="AL34" t="s">
        <v>242</v>
      </c>
      <c r="AM34" t="s">
        <v>948</v>
      </c>
      <c r="AN34" s="12">
        <v>0.5543865740740741</v>
      </c>
      <c r="AO34" s="1">
        <v>45851</v>
      </c>
      <c r="AP34" s="12">
        <v>0.54166666666666663</v>
      </c>
      <c r="AQ34" s="88"/>
      <c r="AR34" t="s">
        <v>146</v>
      </c>
      <c r="AS34" t="s">
        <v>311</v>
      </c>
      <c r="AT34" t="s">
        <v>1138</v>
      </c>
      <c r="AU34">
        <v>2025</v>
      </c>
      <c r="AV34">
        <v>29</v>
      </c>
      <c r="AW34">
        <v>3</v>
      </c>
      <c r="AX34">
        <v>13</v>
      </c>
      <c r="AY34">
        <v>194</v>
      </c>
      <c r="AZ34" t="s">
        <v>885</v>
      </c>
      <c r="BA34" t="s">
        <v>1175</v>
      </c>
      <c r="BF34">
        <v>1200</v>
      </c>
      <c r="BH34" t="s">
        <v>146</v>
      </c>
      <c r="BI34" t="s">
        <v>146</v>
      </c>
    </row>
    <row r="35" spans="1:61" x14ac:dyDescent="0.25">
      <c r="A35" t="s">
        <v>1178</v>
      </c>
      <c r="B35" s="1">
        <v>45851</v>
      </c>
      <c r="C35" s="88">
        <v>0.52083333333333326</v>
      </c>
      <c r="D35" s="1"/>
      <c r="E35" s="12">
        <v>0.5625</v>
      </c>
      <c r="F35" s="1">
        <v>45851</v>
      </c>
      <c r="G35" s="12">
        <v>0.65861111111111115</v>
      </c>
      <c r="H35" t="s">
        <v>242</v>
      </c>
      <c r="K35" t="s">
        <v>1175</v>
      </c>
      <c r="L35" t="s">
        <v>358</v>
      </c>
      <c r="M35">
        <v>8</v>
      </c>
      <c r="N35" t="s">
        <v>1179</v>
      </c>
      <c r="Y35" t="s">
        <v>943</v>
      </c>
      <c r="Z35" t="s">
        <v>931</v>
      </c>
      <c r="AA35" t="s">
        <v>787</v>
      </c>
      <c r="AB35" t="s">
        <v>542</v>
      </c>
      <c r="AC35" t="s">
        <v>488</v>
      </c>
      <c r="AD35" t="s">
        <v>181</v>
      </c>
      <c r="AF35">
        <v>9</v>
      </c>
      <c r="AG35" s="1">
        <v>45851</v>
      </c>
      <c r="AH35" s="12">
        <v>0.52083333333333337</v>
      </c>
      <c r="AI35" s="12">
        <v>0.5</v>
      </c>
      <c r="AJ35" t="s">
        <v>146</v>
      </c>
      <c r="AK35" t="s">
        <v>885</v>
      </c>
      <c r="AL35" t="s">
        <v>242</v>
      </c>
      <c r="AM35" t="s">
        <v>948</v>
      </c>
      <c r="AN35" s="12">
        <v>0.52083333333333337</v>
      </c>
      <c r="AO35" s="1">
        <v>45851</v>
      </c>
      <c r="AP35" s="12">
        <v>0.5</v>
      </c>
      <c r="AQ35" s="88"/>
      <c r="AR35" t="s">
        <v>146</v>
      </c>
      <c r="AS35" t="s">
        <v>311</v>
      </c>
      <c r="AT35" t="s">
        <v>1138</v>
      </c>
      <c r="AU35">
        <v>2025</v>
      </c>
      <c r="AV35">
        <v>29</v>
      </c>
      <c r="AW35">
        <v>3</v>
      </c>
      <c r="AX35">
        <v>13</v>
      </c>
      <c r="AY35">
        <v>194</v>
      </c>
      <c r="AZ35" t="s">
        <v>885</v>
      </c>
      <c r="BA35" t="s">
        <v>1175</v>
      </c>
      <c r="BH35" t="s">
        <v>146</v>
      </c>
      <c r="BI35" t="s">
        <v>146</v>
      </c>
    </row>
    <row r="36" spans="1:61" x14ac:dyDescent="0.25">
      <c r="A36" t="s">
        <v>1214</v>
      </c>
      <c r="B36" s="1">
        <v>45859</v>
      </c>
      <c r="C36" s="88">
        <v>0.53125</v>
      </c>
      <c r="D36" s="1">
        <v>45859</v>
      </c>
      <c r="E36" s="12">
        <v>0.68263888888888891</v>
      </c>
      <c r="F36" s="1">
        <v>45859</v>
      </c>
      <c r="G36" s="12">
        <v>0.7746643518518519</v>
      </c>
      <c r="H36" t="s">
        <v>242</v>
      </c>
      <c r="I36" t="s">
        <v>154</v>
      </c>
      <c r="J36" t="s">
        <v>556</v>
      </c>
      <c r="K36" t="s">
        <v>1215</v>
      </c>
      <c r="L36" t="s">
        <v>516</v>
      </c>
      <c r="M36">
        <v>9</v>
      </c>
      <c r="N36" t="s">
        <v>1232</v>
      </c>
      <c r="Q36" t="s">
        <v>1217</v>
      </c>
      <c r="R36" t="s">
        <v>1233</v>
      </c>
      <c r="S36" t="s">
        <v>1234</v>
      </c>
      <c r="T36" t="s">
        <v>161</v>
      </c>
      <c r="U36" t="s">
        <v>1235</v>
      </c>
      <c r="V36" t="s">
        <v>161</v>
      </c>
      <c r="W36" t="s">
        <v>1236</v>
      </c>
      <c r="X36" t="s">
        <v>1237</v>
      </c>
      <c r="Z36" t="s">
        <v>931</v>
      </c>
      <c r="AA36" t="s">
        <v>443</v>
      </c>
      <c r="AB36" t="s">
        <v>444</v>
      </c>
      <c r="AF36">
        <v>9</v>
      </c>
      <c r="AG36" s="1">
        <v>45859</v>
      </c>
      <c r="AH36" s="12">
        <v>0.53125</v>
      </c>
      <c r="AI36" s="12">
        <v>0.5</v>
      </c>
      <c r="AJ36" t="s">
        <v>146</v>
      </c>
      <c r="AK36" t="s">
        <v>1221</v>
      </c>
      <c r="AL36" t="s">
        <v>1238</v>
      </c>
      <c r="AM36" t="s">
        <v>1014</v>
      </c>
      <c r="AN36" s="12">
        <v>0.53125</v>
      </c>
      <c r="AO36" s="1">
        <v>45859</v>
      </c>
      <c r="AP36" s="12">
        <v>0.5</v>
      </c>
      <c r="AQ36" s="88"/>
      <c r="AR36" t="s">
        <v>146</v>
      </c>
      <c r="AS36" t="s">
        <v>183</v>
      </c>
      <c r="AT36" t="s">
        <v>1138</v>
      </c>
      <c r="AU36">
        <v>2025</v>
      </c>
      <c r="AV36">
        <v>30</v>
      </c>
      <c r="AW36">
        <v>4</v>
      </c>
      <c r="AX36">
        <v>21</v>
      </c>
      <c r="AY36">
        <v>202</v>
      </c>
      <c r="AZ36" t="s">
        <v>1221</v>
      </c>
      <c r="BA36" t="s">
        <v>1215</v>
      </c>
      <c r="BD36" t="s">
        <v>1239</v>
      </c>
      <c r="BH36" t="s">
        <v>146</v>
      </c>
      <c r="BI36" t="s">
        <v>146</v>
      </c>
    </row>
  </sheetData>
  <phoneticPr fontId="9" type="noConversion"/>
  <conditionalFormatting sqref="A2:BI36">
    <cfRule type="expression" dxfId="286" priority="1" stopIfTrue="1">
      <formula>$AM2="7-Day"</formula>
    </cfRule>
    <cfRule type="expression" dxfId="285" priority="2" stopIfTrue="1">
      <formula>$AM2="28-Day"</formula>
    </cfRule>
    <cfRule type="expression" dxfId="284" priority="3" stopIfTrue="1">
      <formula>$AM2="YTD"</formula>
    </cfRule>
    <cfRule type="expression" dxfId="283" priority="4" stopIfTrue="1">
      <formula>$AM2="Historical"</formula>
    </cfRule>
  </conditionalFormatting>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CK35"/>
  <sheetViews>
    <sheetView showGridLines="0" workbookViewId="0">
      <selection activeCell="D28" sqref="D28"/>
    </sheetView>
  </sheetViews>
  <sheetFormatPr defaultColWidth="8.85546875" defaultRowHeight="15" x14ac:dyDescent="0.25"/>
  <cols>
    <col min="1" max="1" width="23.42578125" style="2" bestFit="1" customWidth="1"/>
    <col min="2" max="2" width="17.85546875" style="2" bestFit="1" customWidth="1"/>
    <col min="3" max="3" width="11.5703125" style="2" bestFit="1" customWidth="1"/>
    <col min="4" max="4" width="12.5703125" style="2" bestFit="1" customWidth="1"/>
    <col min="5" max="5" width="16" style="2" bestFit="1" customWidth="1"/>
    <col min="6" max="6" width="11" style="2" bestFit="1" customWidth="1"/>
    <col min="7" max="7" width="11.5703125" style="2" bestFit="1" customWidth="1"/>
    <col min="8" max="8" width="10.28515625" style="2" bestFit="1" customWidth="1"/>
    <col min="9" max="9" width="17.28515625" style="2" bestFit="1" customWidth="1"/>
    <col min="10" max="10" width="14" style="2" bestFit="1" customWidth="1"/>
    <col min="11" max="11" width="4" style="2" bestFit="1" customWidth="1"/>
    <col min="12" max="12" width="3.5703125" style="2" bestFit="1" customWidth="1"/>
    <col min="13" max="13" width="14.42578125" style="2" bestFit="1" customWidth="1"/>
    <col min="14" max="14" width="11.7109375" style="2" bestFit="1" customWidth="1"/>
    <col min="15" max="15" width="22.85546875" style="2" bestFit="1" customWidth="1"/>
    <col min="16" max="16" width="14" style="2" bestFit="1" customWidth="1"/>
    <col min="17" max="17" width="11.5703125" style="2" bestFit="1" customWidth="1"/>
    <col min="18" max="18" width="11.85546875" style="2" bestFit="1" customWidth="1"/>
    <col min="19" max="19" width="14.42578125" style="2" bestFit="1" customWidth="1"/>
    <col min="20" max="20" width="21.85546875" style="2" bestFit="1" customWidth="1"/>
    <col min="21" max="21" width="16.28515625" style="2" bestFit="1" customWidth="1"/>
    <col min="22" max="22" width="60.42578125" style="2" bestFit="1" customWidth="1"/>
    <col min="23" max="23" width="19.28515625" style="2" bestFit="1" customWidth="1"/>
    <col min="24" max="24" width="20.5703125" style="2" bestFit="1" customWidth="1"/>
    <col min="25" max="25" width="20.28515625" style="2" bestFit="1" customWidth="1"/>
    <col min="26" max="26" width="36.140625" style="2" bestFit="1" customWidth="1"/>
    <col min="27" max="27" width="6.7109375" style="2" bestFit="1" customWidth="1"/>
    <col min="28" max="28" width="7.42578125" style="2" bestFit="1" customWidth="1"/>
    <col min="29" max="29" width="80.85546875" style="2" bestFit="1" customWidth="1"/>
    <col min="30" max="30" width="24.42578125" style="2" bestFit="1" customWidth="1"/>
    <col min="31" max="31" width="26.42578125" style="2" bestFit="1" customWidth="1"/>
    <col min="32" max="32" width="20.28515625" style="2" bestFit="1" customWidth="1"/>
    <col min="33" max="33" width="12.42578125" style="2" bestFit="1" customWidth="1"/>
    <col min="34" max="34" width="13.28515625" style="2" bestFit="1" customWidth="1"/>
    <col min="35" max="35" width="17.140625" style="2" bestFit="1" customWidth="1"/>
    <col min="36" max="36" width="20.28515625" style="2" bestFit="1" customWidth="1"/>
    <col min="37" max="37" width="17.140625" style="2" bestFit="1" customWidth="1"/>
    <col min="38" max="38" width="12.42578125" style="2" bestFit="1" customWidth="1"/>
    <col min="39" max="39" width="13.28515625" style="2" bestFit="1" customWidth="1"/>
    <col min="40" max="40" width="18.85546875" style="2" bestFit="1" customWidth="1"/>
    <col min="41" max="41" width="20.85546875" style="2" bestFit="1" customWidth="1"/>
    <col min="42" max="42" width="28.5703125" style="2" bestFit="1" customWidth="1"/>
    <col min="43" max="43" width="12" style="2" bestFit="1" customWidth="1"/>
    <col min="44" max="44" width="27.42578125" style="2" bestFit="1" customWidth="1"/>
    <col min="45" max="45" width="28.5703125" style="2" bestFit="1" customWidth="1"/>
    <col min="46" max="46" width="32" style="2" bestFit="1" customWidth="1"/>
    <col min="47" max="47" width="31.7109375" style="2" bestFit="1" customWidth="1"/>
    <col min="48" max="48" width="19.7109375" style="2" bestFit="1" customWidth="1"/>
    <col min="49" max="49" width="19.85546875" style="2" bestFit="1" customWidth="1"/>
    <col min="50" max="50" width="30.28515625" style="2" bestFit="1" customWidth="1"/>
    <col min="51" max="51" width="30.5703125" style="2" bestFit="1" customWidth="1"/>
    <col min="52" max="52" width="18.140625" style="2" bestFit="1" customWidth="1"/>
    <col min="53" max="53" width="18.28515625" style="2" bestFit="1" customWidth="1"/>
    <col min="54" max="54" width="10.28515625" style="2" bestFit="1" customWidth="1"/>
    <col min="55" max="55" width="19.28515625" style="2" bestFit="1" customWidth="1"/>
    <col min="56" max="56" width="21.28515625" style="2" bestFit="1" customWidth="1"/>
    <col min="57" max="57" width="9.42578125" style="2" bestFit="1" customWidth="1"/>
    <col min="58" max="58" width="17.28515625" style="2" bestFit="1" customWidth="1"/>
    <col min="59" max="59" width="28.140625" style="2" bestFit="1" customWidth="1"/>
    <col min="60" max="60" width="8.7109375" style="2" bestFit="1" customWidth="1"/>
    <col min="61" max="61" width="80.85546875" style="2" bestFit="1" customWidth="1"/>
    <col min="62" max="62" width="14.7109375" style="2" bestFit="1" customWidth="1"/>
    <col min="63" max="64" width="80.85546875" style="2" bestFit="1" customWidth="1"/>
    <col min="65" max="65" width="22.28515625" style="2" bestFit="1" customWidth="1"/>
    <col min="66" max="66" width="25.85546875" style="2" bestFit="1" customWidth="1"/>
    <col min="67" max="16384" width="8.85546875" style="2"/>
  </cols>
  <sheetData>
    <row r="1" spans="1:89" ht="18.75" x14ac:dyDescent="0.3">
      <c r="A1" s="81" t="s">
        <v>126</v>
      </c>
      <c r="B1" s="82" t="s">
        <v>1065</v>
      </c>
      <c r="H1" s="18"/>
      <c r="I1"/>
      <c r="J1"/>
      <c r="K1" s="18"/>
      <c r="L1" s="18"/>
      <c r="M1" t="s">
        <v>93</v>
      </c>
      <c r="N1" t="s">
        <v>126</v>
      </c>
      <c r="O1" t="s">
        <v>920</v>
      </c>
      <c r="P1" t="s">
        <v>918</v>
      </c>
      <c r="Q1" t="s">
        <v>125</v>
      </c>
      <c r="R1" t="s">
        <v>128</v>
      </c>
      <c r="S1" t="s">
        <v>129</v>
      </c>
      <c r="T1" t="s">
        <v>1066</v>
      </c>
      <c r="U1" t="s">
        <v>924</v>
      </c>
      <c r="V1" t="s">
        <v>123</v>
      </c>
      <c r="W1" t="s">
        <v>96</v>
      </c>
      <c r="X1" t="s">
        <v>97</v>
      </c>
      <c r="Y1" t="s">
        <v>98</v>
      </c>
      <c r="Z1" t="s">
        <v>99</v>
      </c>
      <c r="AA1" t="s">
        <v>100</v>
      </c>
      <c r="AB1" t="s">
        <v>101</v>
      </c>
      <c r="AC1" s="6" t="s">
        <v>102</v>
      </c>
      <c r="AD1" s="6" t="s">
        <v>103</v>
      </c>
      <c r="AE1" s="6" t="s">
        <v>104</v>
      </c>
      <c r="AF1" s="6" t="s">
        <v>105</v>
      </c>
      <c r="AG1" s="6" t="s">
        <v>106</v>
      </c>
      <c r="AH1" s="6" t="s">
        <v>107</v>
      </c>
      <c r="AI1" s="6" t="s">
        <v>108</v>
      </c>
      <c r="AJ1" s="6" t="s">
        <v>109</v>
      </c>
      <c r="AK1" s="6" t="s">
        <v>110</v>
      </c>
      <c r="AL1" s="6" t="s">
        <v>111</v>
      </c>
      <c r="AM1" s="6" t="s">
        <v>112</v>
      </c>
      <c r="AN1" s="6" t="s">
        <v>113</v>
      </c>
      <c r="AO1" s="6" t="s">
        <v>915</v>
      </c>
      <c r="AP1" s="6" t="s">
        <v>114</v>
      </c>
      <c r="AQ1" s="6" t="s">
        <v>115</v>
      </c>
      <c r="AR1" s="6" t="s">
        <v>116</v>
      </c>
      <c r="AS1" s="6" t="s">
        <v>117</v>
      </c>
      <c r="AT1" s="6" t="s">
        <v>1067</v>
      </c>
      <c r="AU1" s="6" t="s">
        <v>916</v>
      </c>
      <c r="AV1" s="11" t="s">
        <v>2</v>
      </c>
      <c r="AW1" s="7" t="s">
        <v>95</v>
      </c>
      <c r="AX1" s="11" t="s">
        <v>911</v>
      </c>
      <c r="AY1" s="7" t="s">
        <v>912</v>
      </c>
      <c r="AZ1" s="11" t="s">
        <v>913</v>
      </c>
      <c r="BA1" s="7" t="s">
        <v>914</v>
      </c>
      <c r="BB1" s="6" t="s">
        <v>130</v>
      </c>
      <c r="BC1" s="8" t="s">
        <v>131</v>
      </c>
      <c r="BD1" s="8" t="s">
        <v>921</v>
      </c>
      <c r="BE1" s="8" t="s">
        <v>132</v>
      </c>
      <c r="BF1" s="9" t="s">
        <v>922</v>
      </c>
      <c r="BG1" s="10" t="s">
        <v>919</v>
      </c>
      <c r="BH1" s="6" t="s">
        <v>925</v>
      </c>
      <c r="BI1" t="s">
        <v>7</v>
      </c>
      <c r="BJ1" s="6" t="s">
        <v>926</v>
      </c>
      <c r="BK1" s="6" t="s">
        <v>5</v>
      </c>
      <c r="BL1" s="6" t="s">
        <v>927</v>
      </c>
      <c r="BM1" s="6" t="s">
        <v>928</v>
      </c>
      <c r="BN1" s="6" t="s">
        <v>929</v>
      </c>
      <c r="CJ1" s="33" t="s">
        <v>1068</v>
      </c>
      <c r="CK1" s="34" t="s">
        <v>24</v>
      </c>
    </row>
    <row r="2" spans="1:89" ht="18.75" x14ac:dyDescent="0.3">
      <c r="A2" s="81" t="s">
        <v>123</v>
      </c>
      <c r="B2" s="82" t="s">
        <v>1065</v>
      </c>
      <c r="H2" s="18"/>
      <c r="I2"/>
      <c r="J2"/>
      <c r="K2" s="18"/>
      <c r="L2" s="18"/>
      <c r="M2" t="s">
        <v>241</v>
      </c>
      <c r="N2" s="1">
        <v>45673</v>
      </c>
      <c r="O2" t="s">
        <v>1069</v>
      </c>
      <c r="P2" s="12">
        <v>0.5</v>
      </c>
      <c r="Q2" s="12">
        <v>0.5</v>
      </c>
      <c r="R2" t="s">
        <v>9</v>
      </c>
      <c r="S2" t="s">
        <v>171</v>
      </c>
      <c r="T2" t="s">
        <v>1070</v>
      </c>
      <c r="U2" t="s">
        <v>1071</v>
      </c>
      <c r="V2" t="s">
        <v>1072</v>
      </c>
      <c r="W2" t="s">
        <v>1072</v>
      </c>
      <c r="X2" t="s">
        <v>11</v>
      </c>
      <c r="Y2" t="s">
        <v>11</v>
      </c>
      <c r="Z2" t="s">
        <v>243</v>
      </c>
      <c r="AA2" t="s">
        <v>191</v>
      </c>
      <c r="AB2">
        <v>7</v>
      </c>
      <c r="AC2" s="21" t="s">
        <v>244</v>
      </c>
      <c r="AD2" s="19"/>
      <c r="AE2" s="19"/>
      <c r="AF2" s="19"/>
      <c r="AG2" s="19"/>
      <c r="AH2" s="19"/>
      <c r="AI2" s="19"/>
      <c r="AJ2" s="19"/>
      <c r="AK2" s="19"/>
      <c r="AL2" s="19"/>
      <c r="AM2" s="19"/>
      <c r="AN2" s="21" t="s">
        <v>140</v>
      </c>
      <c r="AO2" s="21" t="s">
        <v>931</v>
      </c>
      <c r="AP2" s="21" t="s">
        <v>245</v>
      </c>
      <c r="AQ2" s="19" t="s">
        <v>142</v>
      </c>
      <c r="AR2" s="21" t="s">
        <v>180</v>
      </c>
      <c r="AS2" s="21" t="s">
        <v>166</v>
      </c>
      <c r="AT2" s="21" t="s">
        <v>246</v>
      </c>
      <c r="AU2" s="19">
        <v>9</v>
      </c>
      <c r="AV2" s="20">
        <v>45673</v>
      </c>
      <c r="AW2" s="22">
        <v>0.5</v>
      </c>
      <c r="AX2" s="20">
        <v>45673</v>
      </c>
      <c r="AY2" s="22">
        <v>0.75</v>
      </c>
      <c r="AZ2" s="20">
        <v>45673</v>
      </c>
      <c r="BA2" s="22">
        <v>0.81587962962962968</v>
      </c>
      <c r="BB2" s="19">
        <v>2025</v>
      </c>
      <c r="BC2" s="23">
        <v>3</v>
      </c>
      <c r="BD2" s="23">
        <v>3</v>
      </c>
      <c r="BE2" s="23">
        <v>16</v>
      </c>
      <c r="BF2" s="24">
        <v>16</v>
      </c>
      <c r="BG2" s="25">
        <v>45673.5</v>
      </c>
      <c r="BH2" s="19">
        <v>30</v>
      </c>
      <c r="BI2" t="s">
        <v>244</v>
      </c>
      <c r="BJ2" s="21"/>
      <c r="BK2" s="21" t="s">
        <v>1073</v>
      </c>
      <c r="BL2" s="21" t="s">
        <v>1074</v>
      </c>
      <c r="BM2" s="19" t="s">
        <v>44</v>
      </c>
      <c r="BN2" s="21" t="s">
        <v>20</v>
      </c>
      <c r="CJ2" s="27" t="s">
        <v>2</v>
      </c>
      <c r="CK2" s="35">
        <v>45748</v>
      </c>
    </row>
    <row r="3" spans="1:89" ht="18.75" x14ac:dyDescent="0.3">
      <c r="H3" s="18"/>
      <c r="I3" s="18"/>
      <c r="J3" s="18"/>
      <c r="K3" s="18"/>
      <c r="L3" s="18"/>
      <c r="M3" t="s">
        <v>286</v>
      </c>
      <c r="N3" s="1">
        <v>45682</v>
      </c>
      <c r="O3" t="s">
        <v>1075</v>
      </c>
      <c r="P3" s="12">
        <v>0.45833333333333331</v>
      </c>
      <c r="Q3" s="12">
        <v>0.45833333333333331</v>
      </c>
      <c r="R3" t="s">
        <v>1076</v>
      </c>
      <c r="S3" t="s">
        <v>171</v>
      </c>
      <c r="T3" t="s">
        <v>1077</v>
      </c>
      <c r="U3" t="s">
        <v>1078</v>
      </c>
      <c r="V3" t="s">
        <v>1072</v>
      </c>
      <c r="W3" t="s">
        <v>1072</v>
      </c>
      <c r="X3" t="s">
        <v>11</v>
      </c>
      <c r="Y3" t="s">
        <v>11</v>
      </c>
      <c r="Z3" t="s">
        <v>287</v>
      </c>
      <c r="AA3" t="s">
        <v>288</v>
      </c>
      <c r="AB3">
        <v>5</v>
      </c>
      <c r="AC3" s="21" t="s">
        <v>289</v>
      </c>
      <c r="AD3" s="19"/>
      <c r="AE3" s="19"/>
      <c r="AF3" s="19"/>
      <c r="AG3" s="19"/>
      <c r="AH3" s="19"/>
      <c r="AI3" s="19"/>
      <c r="AJ3" s="19"/>
      <c r="AK3" s="19"/>
      <c r="AL3" s="19"/>
      <c r="AM3" s="19"/>
      <c r="AN3" s="21" t="s">
        <v>290</v>
      </c>
      <c r="AO3" s="21" t="s">
        <v>931</v>
      </c>
      <c r="AP3" s="21" t="s">
        <v>291</v>
      </c>
      <c r="AQ3" s="19" t="s">
        <v>256</v>
      </c>
      <c r="AR3" s="21" t="s">
        <v>180</v>
      </c>
      <c r="AS3" s="21" t="s">
        <v>181</v>
      </c>
      <c r="AT3" s="21" t="s">
        <v>246</v>
      </c>
      <c r="AU3" s="19">
        <v>9</v>
      </c>
      <c r="AV3" s="20">
        <v>45682</v>
      </c>
      <c r="AW3" s="22">
        <v>0.45833333333333331</v>
      </c>
      <c r="AX3" s="20">
        <v>45682</v>
      </c>
      <c r="AY3" s="22">
        <v>0.58333333333333337</v>
      </c>
      <c r="AZ3" s="20">
        <v>45682</v>
      </c>
      <c r="BA3" s="22">
        <v>0.58054398148148145</v>
      </c>
      <c r="BB3" s="19">
        <v>2025</v>
      </c>
      <c r="BC3" s="23">
        <v>4</v>
      </c>
      <c r="BD3" s="23">
        <v>4</v>
      </c>
      <c r="BE3" s="23">
        <v>25</v>
      </c>
      <c r="BF3" s="24">
        <v>25</v>
      </c>
      <c r="BG3" s="25">
        <v>45682.458333333336</v>
      </c>
      <c r="BH3" s="19">
        <v>60</v>
      </c>
      <c r="BI3" t="s">
        <v>289</v>
      </c>
      <c r="BJ3" s="21"/>
      <c r="BK3" s="21" t="s">
        <v>1079</v>
      </c>
      <c r="BL3" s="21" t="s">
        <v>1080</v>
      </c>
      <c r="BM3" s="19" t="s">
        <v>45</v>
      </c>
      <c r="BN3" s="21" t="s">
        <v>1081</v>
      </c>
      <c r="CJ3" s="36" t="s">
        <v>3</v>
      </c>
      <c r="CK3" s="37" t="s">
        <v>25</v>
      </c>
    </row>
    <row r="4" spans="1:89" ht="18.75" x14ac:dyDescent="0.3">
      <c r="A4" s="83" t="s">
        <v>185</v>
      </c>
      <c r="B4" s="83" t="s">
        <v>128</v>
      </c>
      <c r="C4" s="82"/>
      <c r="D4" s="82"/>
      <c r="E4" s="82"/>
      <c r="F4" s="82"/>
      <c r="G4" s="82"/>
      <c r="H4" s="82"/>
      <c r="I4"/>
      <c r="J4"/>
      <c r="K4"/>
      <c r="L4"/>
      <c r="M4" t="s">
        <v>323</v>
      </c>
      <c r="N4" s="1">
        <v>45688</v>
      </c>
      <c r="O4" t="s">
        <v>1075</v>
      </c>
      <c r="P4" s="12">
        <v>0.45833333333333331</v>
      </c>
      <c r="Q4" s="12">
        <v>0.49988425925925928</v>
      </c>
      <c r="R4" t="s">
        <v>1082</v>
      </c>
      <c r="S4" t="s">
        <v>171</v>
      </c>
      <c r="T4" t="s">
        <v>329</v>
      </c>
      <c r="U4" t="s">
        <v>1083</v>
      </c>
      <c r="V4" t="s">
        <v>1072</v>
      </c>
      <c r="W4" t="s">
        <v>1072</v>
      </c>
      <c r="X4" t="s">
        <v>11</v>
      </c>
      <c r="Y4" t="s">
        <v>11</v>
      </c>
      <c r="Z4" t="s">
        <v>324</v>
      </c>
      <c r="AA4" t="s">
        <v>325</v>
      </c>
      <c r="AB4">
        <v>8</v>
      </c>
      <c r="AC4" s="21" t="s">
        <v>326</v>
      </c>
      <c r="AD4" s="19"/>
      <c r="AE4" s="19"/>
      <c r="AF4" s="19"/>
      <c r="AG4" s="19"/>
      <c r="AH4" s="19"/>
      <c r="AI4" s="19"/>
      <c r="AJ4" s="19"/>
      <c r="AK4" s="19"/>
      <c r="AL4" s="19"/>
      <c r="AM4" s="19"/>
      <c r="AN4" s="21" t="s">
        <v>162</v>
      </c>
      <c r="AO4" s="21" t="s">
        <v>931</v>
      </c>
      <c r="AP4" s="21" t="s">
        <v>327</v>
      </c>
      <c r="AQ4" s="19" t="s">
        <v>328</v>
      </c>
      <c r="AR4" s="21" t="s">
        <v>228</v>
      </c>
      <c r="AS4" s="21" t="s">
        <v>166</v>
      </c>
      <c r="AT4" s="21" t="s">
        <v>246</v>
      </c>
      <c r="AU4" s="19">
        <v>9</v>
      </c>
      <c r="AV4" s="20">
        <v>45688</v>
      </c>
      <c r="AW4" s="22">
        <v>0.49988425925925928</v>
      </c>
      <c r="AX4" s="20"/>
      <c r="AY4" s="22"/>
      <c r="AZ4" s="20">
        <v>45688</v>
      </c>
      <c r="BA4" s="22">
        <v>0.49988425925925928</v>
      </c>
      <c r="BB4" s="19">
        <v>2025</v>
      </c>
      <c r="BC4" s="23">
        <v>5</v>
      </c>
      <c r="BD4" s="23">
        <v>5</v>
      </c>
      <c r="BE4" s="23">
        <v>31</v>
      </c>
      <c r="BF4" s="24">
        <v>31</v>
      </c>
      <c r="BG4" s="25">
        <v>45688.499305555553</v>
      </c>
      <c r="BH4" s="19">
        <v>292</v>
      </c>
      <c r="BI4" t="s">
        <v>326</v>
      </c>
      <c r="BJ4" s="21"/>
      <c r="BK4" s="21" t="s">
        <v>11</v>
      </c>
      <c r="BL4" s="21" t="s">
        <v>11</v>
      </c>
      <c r="BM4" s="19" t="s">
        <v>46</v>
      </c>
      <c r="BN4" s="21" t="s">
        <v>1081</v>
      </c>
      <c r="CJ4" s="27" t="s">
        <v>1084</v>
      </c>
      <c r="CK4" s="38" t="s">
        <v>20</v>
      </c>
    </row>
    <row r="5" spans="1:89" ht="18.75" x14ac:dyDescent="0.3">
      <c r="A5" s="84" t="s">
        <v>4</v>
      </c>
      <c r="B5" s="85" t="s">
        <v>247</v>
      </c>
      <c r="C5" s="85" t="s">
        <v>292</v>
      </c>
      <c r="D5" s="85" t="s">
        <v>170</v>
      </c>
      <c r="E5" s="85" t="s">
        <v>239</v>
      </c>
      <c r="F5" s="85" t="s">
        <v>183</v>
      </c>
      <c r="G5" s="85" t="s">
        <v>148</v>
      </c>
      <c r="H5" s="85" t="s">
        <v>311</v>
      </c>
      <c r="I5"/>
      <c r="J5"/>
      <c r="K5"/>
      <c r="L5"/>
      <c r="M5" t="s">
        <v>366</v>
      </c>
      <c r="N5" s="1">
        <v>45693</v>
      </c>
      <c r="O5" t="s">
        <v>1085</v>
      </c>
      <c r="P5" s="12">
        <v>8.3333333333333329E-2</v>
      </c>
      <c r="Q5" s="12">
        <v>0.12291666666666666</v>
      </c>
      <c r="R5" t="s">
        <v>1086</v>
      </c>
      <c r="S5" t="s">
        <v>344</v>
      </c>
      <c r="T5" t="s">
        <v>1087</v>
      </c>
      <c r="U5" t="s">
        <v>1088</v>
      </c>
      <c r="V5" t="s">
        <v>1089</v>
      </c>
      <c r="W5" t="s">
        <v>1090</v>
      </c>
      <c r="X5" t="s">
        <v>368</v>
      </c>
      <c r="Y5" t="s">
        <v>11</v>
      </c>
      <c r="Z5" t="s">
        <v>369</v>
      </c>
      <c r="AA5" t="s">
        <v>325</v>
      </c>
      <c r="AB5">
        <v>8</v>
      </c>
      <c r="AC5" s="21" t="s">
        <v>370</v>
      </c>
      <c r="AD5" s="19"/>
      <c r="AE5" s="19"/>
      <c r="AF5" s="19"/>
      <c r="AG5" s="19"/>
      <c r="AH5" s="19"/>
      <c r="AI5" s="19"/>
      <c r="AJ5" s="19"/>
      <c r="AK5" s="19"/>
      <c r="AL5" s="19"/>
      <c r="AM5" s="19"/>
      <c r="AN5" s="21" t="s">
        <v>226</v>
      </c>
      <c r="AO5" s="21" t="s">
        <v>931</v>
      </c>
      <c r="AP5" s="21" t="s">
        <v>371</v>
      </c>
      <c r="AQ5" s="19" t="s">
        <v>256</v>
      </c>
      <c r="AR5" s="21" t="s">
        <v>372</v>
      </c>
      <c r="AS5" s="21" t="s">
        <v>181</v>
      </c>
      <c r="AT5" s="21" t="s">
        <v>246</v>
      </c>
      <c r="AU5" s="19">
        <v>9</v>
      </c>
      <c r="AV5" s="20">
        <v>45693</v>
      </c>
      <c r="AW5" s="22">
        <v>0.12291666666666666</v>
      </c>
      <c r="AX5" s="20"/>
      <c r="AY5" s="22"/>
      <c r="AZ5" s="20">
        <v>45693</v>
      </c>
      <c r="BA5" s="22">
        <v>0.1233912037037037</v>
      </c>
      <c r="BB5" s="19">
        <v>2025</v>
      </c>
      <c r="BC5" s="23">
        <v>6</v>
      </c>
      <c r="BD5" s="23">
        <v>2</v>
      </c>
      <c r="BE5" s="23">
        <v>5</v>
      </c>
      <c r="BF5" s="24">
        <v>36</v>
      </c>
      <c r="BG5" s="25">
        <v>45693.122916666667</v>
      </c>
      <c r="BH5" s="19">
        <v>441</v>
      </c>
      <c r="BI5" t="s">
        <v>370</v>
      </c>
      <c r="BJ5" s="21"/>
      <c r="BK5" s="21" t="s">
        <v>11</v>
      </c>
      <c r="BL5" s="21" t="s">
        <v>11</v>
      </c>
      <c r="BM5" s="19" t="s">
        <v>47</v>
      </c>
      <c r="BN5" s="21" t="s">
        <v>1091</v>
      </c>
      <c r="CJ5" s="36" t="s">
        <v>1092</v>
      </c>
      <c r="CK5" s="39" t="s">
        <v>1093</v>
      </c>
    </row>
    <row r="6" spans="1:89" ht="18.75" x14ac:dyDescent="0.3">
      <c r="A6" s="82" t="s">
        <v>146</v>
      </c>
      <c r="B6" s="93">
        <v>1</v>
      </c>
      <c r="C6" s="93"/>
      <c r="D6" s="93">
        <v>1</v>
      </c>
      <c r="E6" s="93"/>
      <c r="F6" s="93">
        <v>3</v>
      </c>
      <c r="G6" s="93">
        <v>2</v>
      </c>
      <c r="H6" s="93">
        <v>3</v>
      </c>
      <c r="I6"/>
      <c r="J6"/>
      <c r="K6"/>
      <c r="L6"/>
      <c r="M6" t="s">
        <v>418</v>
      </c>
      <c r="N6" s="1">
        <v>45705</v>
      </c>
      <c r="O6" t="s">
        <v>1069</v>
      </c>
      <c r="P6" s="12">
        <v>0.5</v>
      </c>
      <c r="Q6" s="12">
        <v>0.52497685185185183</v>
      </c>
      <c r="R6" t="s">
        <v>19</v>
      </c>
      <c r="S6" t="s">
        <v>344</v>
      </c>
      <c r="T6" t="s">
        <v>1094</v>
      </c>
      <c r="U6" t="s">
        <v>1095</v>
      </c>
      <c r="V6" t="s">
        <v>1096</v>
      </c>
      <c r="W6" t="s">
        <v>1090</v>
      </c>
      <c r="X6" t="s">
        <v>347</v>
      </c>
      <c r="Y6" t="s">
        <v>11</v>
      </c>
      <c r="Z6" t="s">
        <v>419</v>
      </c>
      <c r="AA6" t="s">
        <v>251</v>
      </c>
      <c r="AB6">
        <v>9</v>
      </c>
      <c r="AC6" s="21" t="s">
        <v>420</v>
      </c>
      <c r="AD6" s="19"/>
      <c r="AE6" s="19"/>
      <c r="AF6" s="19"/>
      <c r="AG6" s="19"/>
      <c r="AH6" s="19"/>
      <c r="AI6" s="19"/>
      <c r="AJ6" s="19"/>
      <c r="AK6" s="19"/>
      <c r="AL6" s="19"/>
      <c r="AM6" s="19"/>
      <c r="AN6" s="21" t="s">
        <v>140</v>
      </c>
      <c r="AO6" s="21" t="s">
        <v>931</v>
      </c>
      <c r="AP6" s="21" t="s">
        <v>179</v>
      </c>
      <c r="AQ6" s="19" t="s">
        <v>142</v>
      </c>
      <c r="AR6" s="21" t="s">
        <v>350</v>
      </c>
      <c r="AS6" s="21" t="s">
        <v>905</v>
      </c>
      <c r="AT6" s="21" t="s">
        <v>246</v>
      </c>
      <c r="AU6" s="19">
        <v>9</v>
      </c>
      <c r="AV6" s="20">
        <v>45705</v>
      </c>
      <c r="AW6" s="22">
        <v>0.52497685185185183</v>
      </c>
      <c r="AX6" s="20"/>
      <c r="AY6" s="22"/>
      <c r="AZ6" s="20">
        <v>45705</v>
      </c>
      <c r="BA6" s="22">
        <v>0.52497685185185183</v>
      </c>
      <c r="BB6" s="19">
        <v>2025</v>
      </c>
      <c r="BC6" s="23">
        <v>8</v>
      </c>
      <c r="BD6" s="23">
        <v>4</v>
      </c>
      <c r="BE6" s="23">
        <v>17</v>
      </c>
      <c r="BF6" s="24">
        <v>48</v>
      </c>
      <c r="BG6" s="25">
        <v>45705.524305555555</v>
      </c>
      <c r="BH6" s="19">
        <v>35</v>
      </c>
      <c r="BI6" t="s">
        <v>420</v>
      </c>
      <c r="BJ6" s="21"/>
      <c r="BK6" s="21" t="s">
        <v>1097</v>
      </c>
      <c r="BL6" s="21" t="s">
        <v>1098</v>
      </c>
      <c r="BM6" s="19" t="s">
        <v>48</v>
      </c>
      <c r="BN6" s="21" t="s">
        <v>20</v>
      </c>
      <c r="CJ6" s="27" t="s">
        <v>1099</v>
      </c>
      <c r="CK6" s="38" t="s">
        <v>937</v>
      </c>
    </row>
    <row r="7" spans="1:89" ht="18.75" x14ac:dyDescent="0.3">
      <c r="A7" s="82" t="s">
        <v>276</v>
      </c>
      <c r="B7" s="93"/>
      <c r="C7" s="93">
        <v>1</v>
      </c>
      <c r="D7" s="93">
        <v>3</v>
      </c>
      <c r="E7" s="93">
        <v>2</v>
      </c>
      <c r="F7" s="93">
        <v>4</v>
      </c>
      <c r="G7" s="93"/>
      <c r="H7" s="93"/>
      <c r="I7"/>
      <c r="J7"/>
      <c r="K7"/>
      <c r="L7"/>
      <c r="M7" t="s">
        <v>477</v>
      </c>
      <c r="N7" s="1">
        <v>45726</v>
      </c>
      <c r="O7" t="s">
        <v>1085</v>
      </c>
      <c r="P7" s="12">
        <v>4.1666666666666664E-2</v>
      </c>
      <c r="Q7" s="12">
        <v>4.6527777777777779E-2</v>
      </c>
      <c r="R7" t="s">
        <v>19</v>
      </c>
      <c r="S7" t="s">
        <v>445</v>
      </c>
      <c r="T7" t="s">
        <v>14</v>
      </c>
      <c r="U7" t="s">
        <v>1100</v>
      </c>
      <c r="V7" t="s">
        <v>1072</v>
      </c>
      <c r="W7" t="s">
        <v>1072</v>
      </c>
      <c r="X7" t="s">
        <v>11</v>
      </c>
      <c r="Y7" t="s">
        <v>11</v>
      </c>
      <c r="Z7" t="s">
        <v>478</v>
      </c>
      <c r="AA7" t="s">
        <v>358</v>
      </c>
      <c r="AB7">
        <v>8</v>
      </c>
      <c r="AC7" s="21" t="s">
        <v>479</v>
      </c>
      <c r="AD7" s="19"/>
      <c r="AE7" s="19"/>
      <c r="AF7" s="19"/>
      <c r="AG7" s="19"/>
      <c r="AH7" s="19"/>
      <c r="AI7" s="19"/>
      <c r="AJ7" s="19"/>
      <c r="AK7" s="19"/>
      <c r="AL7" s="19"/>
      <c r="AM7" s="19"/>
      <c r="AN7" s="21" t="s">
        <v>480</v>
      </c>
      <c r="AO7" s="21" t="s">
        <v>931</v>
      </c>
      <c r="AP7" s="21" t="s">
        <v>163</v>
      </c>
      <c r="AQ7" s="19" t="s">
        <v>328</v>
      </c>
      <c r="AR7" s="21" t="s">
        <v>310</v>
      </c>
      <c r="AS7" s="21" t="s">
        <v>181</v>
      </c>
      <c r="AT7" s="21" t="s">
        <v>246</v>
      </c>
      <c r="AU7" s="19">
        <v>9</v>
      </c>
      <c r="AV7" s="20">
        <v>45726</v>
      </c>
      <c r="AW7" s="22">
        <v>4.6527777777777779E-2</v>
      </c>
      <c r="AX7" s="20">
        <v>45726</v>
      </c>
      <c r="AY7" s="22">
        <v>0.16180555555555556</v>
      </c>
      <c r="AZ7" s="20">
        <v>45727</v>
      </c>
      <c r="BA7" s="22">
        <v>0.44234953703703705</v>
      </c>
      <c r="BB7" s="19">
        <v>2025</v>
      </c>
      <c r="BC7" s="23">
        <v>11</v>
      </c>
      <c r="BD7" s="23">
        <v>3</v>
      </c>
      <c r="BE7" s="23">
        <v>10</v>
      </c>
      <c r="BF7" s="24">
        <v>69</v>
      </c>
      <c r="BG7" s="25">
        <v>45726.046527777777</v>
      </c>
      <c r="BH7" s="19">
        <v>1</v>
      </c>
      <c r="BI7" t="s">
        <v>479</v>
      </c>
      <c r="BJ7" s="21"/>
      <c r="BK7" s="21" t="s">
        <v>1101</v>
      </c>
      <c r="BL7" s="21" t="s">
        <v>11</v>
      </c>
      <c r="BM7" s="19" t="s">
        <v>51</v>
      </c>
      <c r="BN7" s="21" t="s">
        <v>1091</v>
      </c>
      <c r="CJ7" s="36" t="s">
        <v>1102</v>
      </c>
      <c r="CK7" s="39" t="s">
        <v>937</v>
      </c>
    </row>
    <row r="8" spans="1:89" ht="18.75" x14ac:dyDescent="0.3">
      <c r="A8" s="82" t="s">
        <v>343</v>
      </c>
      <c r="B8" s="93"/>
      <c r="C8" s="93"/>
      <c r="D8" s="93"/>
      <c r="E8" s="93">
        <v>1</v>
      </c>
      <c r="F8" s="93">
        <v>1</v>
      </c>
      <c r="G8" s="93"/>
      <c r="H8" s="93">
        <v>1</v>
      </c>
      <c r="I8" s="16"/>
      <c r="J8" s="16"/>
      <c r="K8" s="16"/>
      <c r="L8" s="16"/>
      <c r="M8" t="s">
        <v>527</v>
      </c>
      <c r="N8" s="1">
        <v>45743</v>
      </c>
      <c r="O8" t="s">
        <v>1103</v>
      </c>
      <c r="P8" s="12">
        <v>0.91666666666666663</v>
      </c>
      <c r="Q8" s="12">
        <v>0.94666666666666666</v>
      </c>
      <c r="R8" t="s">
        <v>9</v>
      </c>
      <c r="S8" t="s">
        <v>445</v>
      </c>
      <c r="T8" t="s">
        <v>8</v>
      </c>
      <c r="U8" t="s">
        <v>1104</v>
      </c>
      <c r="V8" t="s">
        <v>1105</v>
      </c>
      <c r="W8" t="s">
        <v>1090</v>
      </c>
      <c r="X8" t="s">
        <v>1106</v>
      </c>
      <c r="Y8" t="s">
        <v>1107</v>
      </c>
      <c r="Z8" t="s">
        <v>529</v>
      </c>
      <c r="AA8" t="s">
        <v>315</v>
      </c>
      <c r="AB8">
        <v>6</v>
      </c>
      <c r="AC8" s="21" t="s">
        <v>13</v>
      </c>
      <c r="AD8" s="19"/>
      <c r="AE8" s="19"/>
      <c r="AF8" s="19"/>
      <c r="AG8" s="19"/>
      <c r="AH8" s="19"/>
      <c r="AI8" s="19"/>
      <c r="AJ8" s="19"/>
      <c r="AK8" s="19"/>
      <c r="AL8" s="19"/>
      <c r="AM8" s="19"/>
      <c r="AN8" s="21" t="s">
        <v>281</v>
      </c>
      <c r="AO8" s="21" t="s">
        <v>931</v>
      </c>
      <c r="AP8" s="21" t="s">
        <v>530</v>
      </c>
      <c r="AQ8" s="19" t="s">
        <v>384</v>
      </c>
      <c r="AR8" s="21" t="s">
        <v>257</v>
      </c>
      <c r="AS8" s="21" t="s">
        <v>181</v>
      </c>
      <c r="AT8" s="21"/>
      <c r="AU8" s="19">
        <v>9</v>
      </c>
      <c r="AV8" s="20">
        <v>45743</v>
      </c>
      <c r="AW8" s="22">
        <v>0.94666666666666666</v>
      </c>
      <c r="AX8" s="20"/>
      <c r="AY8" s="22"/>
      <c r="AZ8" s="20">
        <v>45743</v>
      </c>
      <c r="BA8" s="22">
        <v>0.94666666666666666</v>
      </c>
      <c r="BB8" s="19">
        <v>2025</v>
      </c>
      <c r="BC8" s="23">
        <v>13</v>
      </c>
      <c r="BD8" s="23">
        <v>5</v>
      </c>
      <c r="BE8" s="23">
        <v>27</v>
      </c>
      <c r="BF8" s="24">
        <v>86</v>
      </c>
      <c r="BG8" s="25">
        <v>45743.946527777778</v>
      </c>
      <c r="BH8" s="19">
        <v>211</v>
      </c>
      <c r="BI8" t="s">
        <v>13</v>
      </c>
      <c r="BJ8" s="21"/>
      <c r="BK8" s="21" t="s">
        <v>11</v>
      </c>
      <c r="BL8" s="21" t="s">
        <v>12</v>
      </c>
      <c r="BM8" s="19" t="s">
        <v>54</v>
      </c>
      <c r="BN8" s="21" t="s">
        <v>10</v>
      </c>
      <c r="CJ8" s="27" t="s">
        <v>1108</v>
      </c>
      <c r="CK8" s="38" t="s">
        <v>1109</v>
      </c>
    </row>
    <row r="9" spans="1:89" ht="18.75" x14ac:dyDescent="0.3">
      <c r="A9" s="82" t="s">
        <v>168</v>
      </c>
      <c r="B9" s="93">
        <v>3</v>
      </c>
      <c r="C9" s="93">
        <v>1</v>
      </c>
      <c r="D9" s="93"/>
      <c r="E9" s="93"/>
      <c r="F9" s="93">
        <v>1</v>
      </c>
      <c r="G9" s="93"/>
      <c r="H9" s="93"/>
      <c r="I9" s="18"/>
      <c r="J9" s="18"/>
      <c r="K9" s="18"/>
      <c r="L9" s="18"/>
      <c r="M9" t="s">
        <v>532</v>
      </c>
      <c r="N9" s="1">
        <v>45743</v>
      </c>
      <c r="O9" t="s">
        <v>1103</v>
      </c>
      <c r="P9" s="12">
        <v>0.95833333333333337</v>
      </c>
      <c r="Q9" s="12">
        <v>0.97916666666666663</v>
      </c>
      <c r="R9" t="s">
        <v>9</v>
      </c>
      <c r="S9" t="s">
        <v>445</v>
      </c>
      <c r="T9" t="s">
        <v>14</v>
      </c>
      <c r="U9" t="s">
        <v>1110</v>
      </c>
      <c r="V9" t="s">
        <v>1072</v>
      </c>
      <c r="W9" t="s">
        <v>1072</v>
      </c>
      <c r="X9" t="s">
        <v>11</v>
      </c>
      <c r="Y9" t="s">
        <v>11</v>
      </c>
      <c r="Z9" t="s">
        <v>533</v>
      </c>
      <c r="AA9" t="s">
        <v>358</v>
      </c>
      <c r="AB9">
        <v>8</v>
      </c>
      <c r="AC9" s="21" t="s">
        <v>17</v>
      </c>
      <c r="AD9" s="19">
        <v>50300</v>
      </c>
      <c r="AE9" s="19"/>
      <c r="AF9" s="19"/>
      <c r="AG9" s="19"/>
      <c r="AH9" s="19"/>
      <c r="AI9" s="19"/>
      <c r="AJ9" s="19"/>
      <c r="AK9" s="19"/>
      <c r="AL9" s="19"/>
      <c r="AM9" s="19"/>
      <c r="AN9" s="21" t="s">
        <v>162</v>
      </c>
      <c r="AO9" s="21" t="s">
        <v>931</v>
      </c>
      <c r="AP9" s="21" t="s">
        <v>475</v>
      </c>
      <c r="AQ9" s="19" t="s">
        <v>211</v>
      </c>
      <c r="AR9" s="21" t="s">
        <v>534</v>
      </c>
      <c r="AS9" s="21" t="s">
        <v>181</v>
      </c>
      <c r="AT9" s="21"/>
      <c r="AU9" s="19">
        <v>9</v>
      </c>
      <c r="AV9" s="20">
        <v>45743</v>
      </c>
      <c r="AW9" s="22">
        <v>0.97916666666666663</v>
      </c>
      <c r="AX9" s="20">
        <v>45744</v>
      </c>
      <c r="AY9" s="22">
        <v>2.5000000000000001E-2</v>
      </c>
      <c r="AZ9" s="20">
        <v>45744</v>
      </c>
      <c r="BA9" s="22">
        <v>0.46781250000000002</v>
      </c>
      <c r="BB9" s="19">
        <v>2025</v>
      </c>
      <c r="BC9" s="23">
        <v>13</v>
      </c>
      <c r="BD9" s="23">
        <v>5</v>
      </c>
      <c r="BE9" s="23">
        <v>27</v>
      </c>
      <c r="BF9" s="24">
        <v>86</v>
      </c>
      <c r="BG9" s="25">
        <v>45743.979166666664</v>
      </c>
      <c r="BH9" s="19">
        <v>2</v>
      </c>
      <c r="BI9" t="s">
        <v>17</v>
      </c>
      <c r="BJ9" s="21"/>
      <c r="BK9" s="21" t="s">
        <v>15</v>
      </c>
      <c r="BL9" s="21" t="s">
        <v>16</v>
      </c>
      <c r="BM9" s="19" t="s">
        <v>54</v>
      </c>
      <c r="BN9" s="21" t="s">
        <v>10</v>
      </c>
      <c r="CJ9" s="36" t="s">
        <v>1111</v>
      </c>
      <c r="CK9" s="39" t="s">
        <v>937</v>
      </c>
    </row>
    <row r="10" spans="1:89" ht="18.75" x14ac:dyDescent="0.3">
      <c r="A10" s="82" t="s">
        <v>266</v>
      </c>
      <c r="B10" s="93"/>
      <c r="C10" s="93"/>
      <c r="D10" s="93"/>
      <c r="E10" s="93"/>
      <c r="F10" s="93"/>
      <c r="G10" s="93">
        <v>1</v>
      </c>
      <c r="H10" s="93">
        <v>3</v>
      </c>
      <c r="I10" s="18"/>
      <c r="J10" s="18"/>
      <c r="K10" s="18"/>
      <c r="L10" s="18"/>
      <c r="M10" t="s">
        <v>551</v>
      </c>
      <c r="N10" s="1">
        <v>45747</v>
      </c>
      <c r="O10" t="s">
        <v>1069</v>
      </c>
      <c r="P10" s="12">
        <v>0.5</v>
      </c>
      <c r="Q10" s="12">
        <v>0.5</v>
      </c>
      <c r="R10" t="s">
        <v>19</v>
      </c>
      <c r="S10" t="s">
        <v>445</v>
      </c>
      <c r="T10" t="s">
        <v>18</v>
      </c>
      <c r="U10" t="s">
        <v>1112</v>
      </c>
      <c r="V10" t="s">
        <v>1072</v>
      </c>
      <c r="W10" t="s">
        <v>1072</v>
      </c>
      <c r="X10" t="s">
        <v>11</v>
      </c>
      <c r="Y10" t="s">
        <v>11</v>
      </c>
      <c r="Z10" t="s">
        <v>552</v>
      </c>
      <c r="AA10" t="s">
        <v>553</v>
      </c>
      <c r="AB10">
        <v>7</v>
      </c>
      <c r="AC10" s="21" t="s">
        <v>23</v>
      </c>
      <c r="AD10" s="19"/>
      <c r="AE10" s="19"/>
      <c r="AF10" s="19"/>
      <c r="AG10" s="19"/>
      <c r="AH10" s="19"/>
      <c r="AI10" s="19"/>
      <c r="AJ10" s="19"/>
      <c r="AK10" s="19"/>
      <c r="AL10" s="19"/>
      <c r="AM10" s="19"/>
      <c r="AN10" s="21" t="s">
        <v>511</v>
      </c>
      <c r="AO10" s="21" t="s">
        <v>931</v>
      </c>
      <c r="AP10" s="21" t="s">
        <v>554</v>
      </c>
      <c r="AQ10" s="19" t="s">
        <v>256</v>
      </c>
      <c r="AR10" s="21"/>
      <c r="AS10" s="21"/>
      <c r="AT10" s="21"/>
      <c r="AU10" s="19">
        <v>9</v>
      </c>
      <c r="AV10" s="20">
        <v>45747</v>
      </c>
      <c r="AW10" s="22">
        <v>0.5</v>
      </c>
      <c r="AX10" s="20"/>
      <c r="AY10" s="22"/>
      <c r="AZ10" s="20">
        <v>45747</v>
      </c>
      <c r="BA10" s="22">
        <v>0.54355324074074074</v>
      </c>
      <c r="BB10" s="19">
        <v>2025</v>
      </c>
      <c r="BC10" s="23">
        <v>14</v>
      </c>
      <c r="BD10" s="23">
        <v>6</v>
      </c>
      <c r="BE10" s="23">
        <v>31</v>
      </c>
      <c r="BF10" s="24">
        <v>90</v>
      </c>
      <c r="BG10" s="25">
        <v>45747.5</v>
      </c>
      <c r="BH10" s="19">
        <v>100</v>
      </c>
      <c r="BI10" t="s">
        <v>23</v>
      </c>
      <c r="BJ10" s="21"/>
      <c r="BK10" s="21" t="s">
        <v>21</v>
      </c>
      <c r="BL10" s="21" t="s">
        <v>22</v>
      </c>
      <c r="BM10" s="19" t="s">
        <v>54</v>
      </c>
      <c r="BN10" s="21" t="s">
        <v>20</v>
      </c>
      <c r="CJ10" s="27" t="s">
        <v>1113</v>
      </c>
      <c r="CK10" s="38" t="s">
        <v>937</v>
      </c>
    </row>
    <row r="11" spans="1:89" ht="18.75" x14ac:dyDescent="0.25">
      <c r="A11" s="82" t="s">
        <v>385</v>
      </c>
      <c r="B11" s="93"/>
      <c r="C11" s="93"/>
      <c r="D11" s="93"/>
      <c r="E11" s="93">
        <v>1</v>
      </c>
      <c r="F11" s="93">
        <v>1</v>
      </c>
      <c r="G11" s="93"/>
      <c r="H11" s="93">
        <v>1</v>
      </c>
      <c r="M11" t="s">
        <v>583</v>
      </c>
      <c r="N11" s="1">
        <v>45748</v>
      </c>
      <c r="O11" t="s">
        <v>1069</v>
      </c>
      <c r="P11" s="12">
        <v>0.5</v>
      </c>
      <c r="Q11" s="12">
        <v>0.5</v>
      </c>
      <c r="R11" t="s">
        <v>25</v>
      </c>
      <c r="S11" t="s">
        <v>582</v>
      </c>
      <c r="T11" t="s">
        <v>24</v>
      </c>
      <c r="U11" t="s">
        <v>1114</v>
      </c>
      <c r="V11" t="s">
        <v>1072</v>
      </c>
      <c r="W11" t="s">
        <v>1072</v>
      </c>
      <c r="X11" t="s">
        <v>11</v>
      </c>
      <c r="Y11" t="s">
        <v>11</v>
      </c>
      <c r="Z11" t="s">
        <v>584</v>
      </c>
      <c r="AA11" t="s">
        <v>288</v>
      </c>
      <c r="AB11">
        <v>5</v>
      </c>
      <c r="AC11" s="21" t="s">
        <v>26</v>
      </c>
      <c r="AD11" s="19"/>
      <c r="AE11" s="19"/>
      <c r="AF11" s="19"/>
      <c r="AG11" s="19"/>
      <c r="AH11" s="19"/>
      <c r="AI11" s="19"/>
      <c r="AJ11" s="19"/>
      <c r="AK11" s="19"/>
      <c r="AL11" s="19"/>
      <c r="AM11" s="19"/>
      <c r="AN11" s="21" t="s">
        <v>162</v>
      </c>
      <c r="AO11" s="21" t="s">
        <v>931</v>
      </c>
      <c r="AP11" s="21" t="s">
        <v>585</v>
      </c>
      <c r="AQ11" s="19" t="s">
        <v>164</v>
      </c>
      <c r="AR11" s="21" t="s">
        <v>488</v>
      </c>
      <c r="AS11" s="21" t="s">
        <v>181</v>
      </c>
      <c r="AT11" s="21"/>
      <c r="AU11" s="19">
        <v>9</v>
      </c>
      <c r="AV11" s="20">
        <v>45748</v>
      </c>
      <c r="AW11" s="22">
        <v>0.5</v>
      </c>
      <c r="AX11" s="20">
        <v>45751</v>
      </c>
      <c r="AY11" s="22">
        <v>0.52083333333333337</v>
      </c>
      <c r="AZ11" s="20">
        <v>45751</v>
      </c>
      <c r="BA11" s="22">
        <v>0.54546296296296293</v>
      </c>
      <c r="BB11" s="19">
        <v>2025</v>
      </c>
      <c r="BC11" s="23">
        <v>14</v>
      </c>
      <c r="BD11" s="23">
        <v>1</v>
      </c>
      <c r="BE11" s="23">
        <v>1</v>
      </c>
      <c r="BF11" s="24">
        <v>91</v>
      </c>
      <c r="BG11" s="25">
        <v>45748.5</v>
      </c>
      <c r="BH11" s="19">
        <v>75</v>
      </c>
      <c r="BI11" t="s">
        <v>26</v>
      </c>
      <c r="BJ11" s="21"/>
      <c r="BK11" s="21" t="s">
        <v>11</v>
      </c>
      <c r="BL11" s="21" t="s">
        <v>11</v>
      </c>
      <c r="BM11" s="19" t="s">
        <v>55</v>
      </c>
      <c r="BN11" s="21" t="s">
        <v>20</v>
      </c>
      <c r="CJ11" s="40" t="s">
        <v>1115</v>
      </c>
      <c r="CK11" s="41" t="s">
        <v>1116</v>
      </c>
    </row>
    <row r="12" spans="1:89" s="3" customFormat="1" ht="18.75" x14ac:dyDescent="0.3">
      <c r="A12"/>
      <c r="B12"/>
      <c r="C12"/>
      <c r="D12"/>
      <c r="E12"/>
      <c r="F12"/>
      <c r="G12"/>
      <c r="H12"/>
      <c r="M12" s="2"/>
      <c r="N12" s="2"/>
      <c r="O12" s="2"/>
      <c r="P12" s="21"/>
      <c r="Q12" s="2"/>
      <c r="R12" s="21"/>
      <c r="S12" s="21"/>
      <c r="T12" s="21"/>
      <c r="U12" s="21"/>
      <c r="V12" s="21"/>
      <c r="W12" s="21"/>
      <c r="X12" s="21"/>
      <c r="Y12" s="21"/>
      <c r="Z12" s="21"/>
      <c r="AA12" s="21"/>
      <c r="AB12" s="21"/>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CJ12" s="27" t="s">
        <v>1117</v>
      </c>
      <c r="CK12" s="52" t="s">
        <v>937</v>
      </c>
    </row>
    <row r="13" spans="1:89" s="4" customFormat="1" ht="18.75" x14ac:dyDescent="0.3">
      <c r="A13"/>
      <c r="B13"/>
      <c r="C13"/>
      <c r="D13"/>
      <c r="E13"/>
      <c r="F13"/>
      <c r="G13"/>
      <c r="H13"/>
      <c r="I13" s="14"/>
      <c r="J13" s="14"/>
      <c r="K13" s="14"/>
      <c r="L13" s="14"/>
      <c r="M13" s="2"/>
      <c r="N13" s="2"/>
      <c r="O13" s="2"/>
      <c r="P13" s="21"/>
      <c r="Q13" s="2"/>
      <c r="R13" s="21"/>
      <c r="S13" s="21"/>
      <c r="T13" s="21"/>
      <c r="U13" s="21"/>
      <c r="V13" s="21"/>
      <c r="W13" s="21"/>
      <c r="X13" s="21"/>
      <c r="Y13" s="21"/>
      <c r="Z13" s="21"/>
      <c r="AA13" s="21"/>
      <c r="AB13" s="21"/>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14"/>
      <c r="BP13" s="14"/>
      <c r="BQ13" s="14"/>
      <c r="BR13" s="14"/>
      <c r="BS13" s="14"/>
      <c r="BT13" s="14"/>
      <c r="BU13" s="14"/>
      <c r="BV13" s="14"/>
      <c r="BW13" s="14"/>
      <c r="BX13" s="14"/>
      <c r="BY13" s="14"/>
      <c r="BZ13" s="14"/>
      <c r="CA13" s="14"/>
      <c r="CB13" s="14"/>
      <c r="CC13" s="14"/>
      <c r="CD13" s="14"/>
      <c r="CE13" s="14"/>
      <c r="CF13" s="14"/>
      <c r="CG13" s="14"/>
      <c r="CH13" s="14"/>
      <c r="CI13" s="14"/>
      <c r="CJ13" s="36" t="s">
        <v>1118</v>
      </c>
      <c r="CK13" s="39" t="s">
        <v>1119</v>
      </c>
    </row>
    <row r="14" spans="1:89" s="4" customFormat="1" ht="24.75" thickBot="1" x14ac:dyDescent="0.45">
      <c r="A14" s="91" t="s">
        <v>169</v>
      </c>
      <c r="B14" s="91"/>
      <c r="C14" s="91"/>
      <c r="D14" s="91"/>
      <c r="E14" s="91"/>
      <c r="F14" s="91"/>
      <c r="G14" s="91"/>
      <c r="H14" s="91"/>
      <c r="I14" s="14"/>
      <c r="J14" s="14"/>
      <c r="K14" s="14"/>
      <c r="L14" s="14"/>
      <c r="M14" s="2"/>
      <c r="N14" s="2"/>
      <c r="O14" s="2"/>
      <c r="P14" s="21"/>
      <c r="Q14" s="2"/>
      <c r="R14" s="21"/>
      <c r="S14" s="21"/>
      <c r="T14" s="21"/>
      <c r="U14" s="21"/>
      <c r="V14" s="21"/>
      <c r="W14" s="21"/>
      <c r="X14" s="21"/>
      <c r="Y14" s="21"/>
      <c r="Z14" s="21"/>
      <c r="AA14" s="21"/>
      <c r="AB14" s="21"/>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14"/>
      <c r="BP14" s="14"/>
      <c r="BQ14" s="14"/>
      <c r="BR14" s="14"/>
      <c r="BS14" s="14"/>
      <c r="BT14" s="14"/>
      <c r="BU14" s="14"/>
      <c r="BV14" s="14"/>
      <c r="BW14" s="14"/>
      <c r="BX14" s="14"/>
      <c r="BY14" s="14"/>
      <c r="BZ14" s="14"/>
      <c r="CA14" s="14"/>
      <c r="CB14" s="14"/>
      <c r="CC14" s="14"/>
      <c r="CD14" s="14"/>
      <c r="CE14" s="14"/>
      <c r="CF14" s="14"/>
      <c r="CG14" s="14"/>
      <c r="CH14" s="14"/>
      <c r="CI14" s="14"/>
      <c r="CJ14" s="28" t="s">
        <v>7</v>
      </c>
      <c r="CK14" s="65" t="s">
        <v>1120</v>
      </c>
    </row>
    <row r="15" spans="1:89" s="4" customFormat="1" ht="18.75" x14ac:dyDescent="0.3">
      <c r="A15" s="54" t="str" cm="1">
        <f t="array" ref="A15:G19">A5:G9</f>
        <v>Time of Day</v>
      </c>
      <c r="B15" s="55" t="str">
        <v>Thursday</v>
      </c>
      <c r="C15" s="55" t="str">
        <v>Saturday</v>
      </c>
      <c r="D15" s="54" t="str">
        <v>Friday</v>
      </c>
      <c r="E15" s="54" t="str">
        <v>Wednesday</v>
      </c>
      <c r="F15" s="54" t="str">
        <v>Monday</v>
      </c>
      <c r="G15" s="54" t="str">
        <v>Tuesday</v>
      </c>
      <c r="H15" s="14"/>
      <c r="I15" s="14"/>
      <c r="J15" s="14"/>
      <c r="K15" s="14"/>
      <c r="L15" s="14"/>
      <c r="M15" s="2"/>
      <c r="N15" s="2"/>
      <c r="O15" s="2"/>
      <c r="P15" s="21"/>
      <c r="Q15" s="2"/>
      <c r="R15" s="21"/>
      <c r="S15" s="21"/>
      <c r="T15" s="21"/>
      <c r="U15" s="21"/>
      <c r="V15" s="21"/>
      <c r="W15" s="21"/>
      <c r="X15" s="21"/>
      <c r="Y15" s="21"/>
      <c r="Z15" s="21"/>
      <c r="AA15" s="21"/>
      <c r="AB15" s="21"/>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14"/>
      <c r="BP15" s="14"/>
      <c r="BQ15" s="14"/>
      <c r="BR15" s="14"/>
      <c r="BS15" s="14"/>
      <c r="BT15" s="14"/>
      <c r="BU15" s="14"/>
      <c r="BV15" s="14"/>
      <c r="BW15" s="14"/>
      <c r="BX15" s="14"/>
      <c r="BY15" s="14"/>
      <c r="BZ15" s="14"/>
      <c r="CA15" s="14"/>
      <c r="CB15" s="14"/>
      <c r="CC15" s="14"/>
      <c r="CD15" s="14"/>
      <c r="CE15" s="14"/>
      <c r="CF15" s="14"/>
      <c r="CG15" s="14"/>
      <c r="CH15" s="14"/>
      <c r="CI15" s="14"/>
      <c r="CJ15" s="14"/>
      <c r="CK15" s="14"/>
    </row>
    <row r="16" spans="1:89" ht="15.75" x14ac:dyDescent="0.25">
      <c r="A16" s="66" t="str">
        <v>Afternoon (12:00–15:59)</v>
      </c>
      <c r="B16" s="67">
        <v>1</v>
      </c>
      <c r="C16" s="67">
        <v>0</v>
      </c>
      <c r="D16" s="67">
        <v>1</v>
      </c>
      <c r="E16" s="67">
        <v>0</v>
      </c>
      <c r="F16" s="67">
        <v>3</v>
      </c>
      <c r="G16" s="67">
        <v>2</v>
      </c>
      <c r="H16"/>
      <c r="O16" s="14"/>
      <c r="P16" s="14"/>
      <c r="Q16" s="14"/>
      <c r="R16" s="14"/>
      <c r="S16" s="14"/>
      <c r="T16" s="14"/>
      <c r="U16" s="14"/>
      <c r="V16" s="14"/>
      <c r="W16" s="14"/>
      <c r="X16" s="14"/>
      <c r="Y16" s="14"/>
      <c r="Z16" s="14"/>
      <c r="AA16" s="21"/>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8" ht="15.75" x14ac:dyDescent="0.25">
      <c r="A17" s="15" t="str">
        <v>Morning Peak (08:00–11:59)</v>
      </c>
      <c r="B17" s="14">
        <v>0</v>
      </c>
      <c r="C17" s="14">
        <v>1</v>
      </c>
      <c r="D17" s="14">
        <v>3</v>
      </c>
      <c r="E17" s="14">
        <v>2</v>
      </c>
      <c r="F17" s="14">
        <v>4</v>
      </c>
      <c r="G17" s="14">
        <v>0</v>
      </c>
      <c r="H17"/>
    </row>
    <row r="18" spans="1:8" ht="15.75" x14ac:dyDescent="0.25">
      <c r="A18" s="56" t="str">
        <v>Early Morning (00:00–03:59)</v>
      </c>
      <c r="B18" s="57">
        <v>0</v>
      </c>
      <c r="C18" s="57">
        <v>0</v>
      </c>
      <c r="D18" s="57">
        <v>0</v>
      </c>
      <c r="E18" s="57">
        <v>1</v>
      </c>
      <c r="F18" s="57">
        <v>1</v>
      </c>
      <c r="G18" s="57">
        <v>0</v>
      </c>
      <c r="H18"/>
    </row>
    <row r="19" spans="1:8" ht="15.75" x14ac:dyDescent="0.25">
      <c r="A19" s="59" t="str">
        <v>Night (20:00–23:59)</v>
      </c>
      <c r="B19" s="60">
        <v>3</v>
      </c>
      <c r="C19" s="60">
        <v>1</v>
      </c>
      <c r="D19" s="60">
        <v>0</v>
      </c>
      <c r="E19" s="60">
        <v>0</v>
      </c>
      <c r="F19" s="60">
        <v>1</v>
      </c>
      <c r="G19" s="60">
        <v>0</v>
      </c>
    </row>
    <row r="20" spans="1:8" ht="15.75" x14ac:dyDescent="0.25">
      <c r="A20" s="15"/>
      <c r="B20" s="14"/>
      <c r="C20" s="14"/>
      <c r="D20" s="14"/>
      <c r="E20" s="14"/>
      <c r="F20" s="14"/>
      <c r="G20" s="14"/>
    </row>
    <row r="21" spans="1:8" ht="15.75" x14ac:dyDescent="0.25">
      <c r="A21" s="15"/>
      <c r="B21" s="14"/>
      <c r="C21" s="14"/>
      <c r="D21" s="14"/>
      <c r="E21" s="14"/>
      <c r="F21" s="14"/>
      <c r="G21" s="14"/>
    </row>
    <row r="23" spans="1:8" x14ac:dyDescent="0.25">
      <c r="A23" s="81" t="s">
        <v>126</v>
      </c>
      <c r="B23" s="82" t="s">
        <v>152</v>
      </c>
    </row>
    <row r="24" spans="1:8" x14ac:dyDescent="0.25">
      <c r="A24" s="81" t="s">
        <v>123</v>
      </c>
      <c r="B24" s="82" t="s">
        <v>1065</v>
      </c>
    </row>
    <row r="26" spans="1:8" x14ac:dyDescent="0.25">
      <c r="A26" s="83" t="s">
        <v>185</v>
      </c>
      <c r="B26" s="83" t="s">
        <v>128</v>
      </c>
      <c r="C26" s="82"/>
      <c r="D26" s="82"/>
      <c r="E26"/>
      <c r="F26"/>
      <c r="G26"/>
    </row>
    <row r="27" spans="1:8" ht="18.75" x14ac:dyDescent="0.3">
      <c r="A27" s="84" t="s">
        <v>4</v>
      </c>
      <c r="B27" s="85" t="s">
        <v>183</v>
      </c>
      <c r="C27" s="85" t="s">
        <v>148</v>
      </c>
      <c r="D27" s="85" t="s">
        <v>247</v>
      </c>
      <c r="E27"/>
      <c r="F27"/>
      <c r="G27"/>
    </row>
    <row r="28" spans="1:8" x14ac:dyDescent="0.25">
      <c r="A28" s="82" t="s">
        <v>146</v>
      </c>
      <c r="B28" s="93">
        <v>1</v>
      </c>
      <c r="C28" s="93">
        <v>1</v>
      </c>
      <c r="D28" s="93"/>
      <c r="E28"/>
      <c r="F28"/>
      <c r="G28"/>
    </row>
    <row r="29" spans="1:8" x14ac:dyDescent="0.25">
      <c r="A29" s="82" t="s">
        <v>168</v>
      </c>
      <c r="B29" s="93"/>
      <c r="C29" s="93"/>
      <c r="D29" s="93">
        <v>2</v>
      </c>
      <c r="E29"/>
      <c r="F29"/>
      <c r="G29"/>
    </row>
    <row r="30" spans="1:8" x14ac:dyDescent="0.25">
      <c r="A30"/>
      <c r="B30"/>
      <c r="C30"/>
      <c r="D30"/>
      <c r="E30"/>
      <c r="F30"/>
      <c r="G30"/>
    </row>
    <row r="31" spans="1:8" x14ac:dyDescent="0.25">
      <c r="A31"/>
      <c r="B31"/>
      <c r="C31"/>
      <c r="D31"/>
      <c r="E31"/>
      <c r="F31"/>
      <c r="G31"/>
    </row>
    <row r="32" spans="1:8" ht="24" x14ac:dyDescent="0.4">
      <c r="A32" s="91" t="s">
        <v>1121</v>
      </c>
      <c r="B32" s="91"/>
      <c r="C32" s="91"/>
      <c r="D32" s="91"/>
      <c r="E32" s="5"/>
      <c r="F32" s="5"/>
      <c r="G32" s="5"/>
      <c r="H32" s="5"/>
    </row>
    <row r="33" spans="1:4" ht="18.75" x14ac:dyDescent="0.3">
      <c r="A33" s="54" t="str" cm="1">
        <f t="array" ref="A33:D35">A27:D29</f>
        <v>Time of Day</v>
      </c>
      <c r="B33" s="55" t="str">
        <v>Monday</v>
      </c>
      <c r="C33" s="55" t="str">
        <v>Tuesday</v>
      </c>
      <c r="D33" s="54" t="str">
        <v>Thursday</v>
      </c>
    </row>
    <row r="34" spans="1:4" ht="15.75" x14ac:dyDescent="0.25">
      <c r="A34" s="66" t="str">
        <v>Afternoon (12:00–15:59)</v>
      </c>
      <c r="B34" s="67">
        <v>1</v>
      </c>
      <c r="C34" s="67">
        <v>1</v>
      </c>
      <c r="D34" s="67">
        <v>0</v>
      </c>
    </row>
    <row r="35" spans="1:4" ht="15.75" x14ac:dyDescent="0.25">
      <c r="A35" s="15" t="str">
        <v>Night (20:00–23:59)</v>
      </c>
      <c r="B35" s="14">
        <v>0</v>
      </c>
      <c r="C35" s="14">
        <v>0</v>
      </c>
      <c r="D35" s="14">
        <v>2</v>
      </c>
    </row>
  </sheetData>
  <mergeCells count="2">
    <mergeCell ref="A14:H14"/>
    <mergeCell ref="A32:D32"/>
  </mergeCells>
  <phoneticPr fontId="9" type="noConversion"/>
  <conditionalFormatting sqref="A2:AP5 A30:AP35 A28:A29 E28:AP29 A12:AP27 A6:A11 I6:AP11">
    <cfRule type="expression" dxfId="219" priority="1" stopIfTrue="1">
      <formula>$D2="7-Day"</formula>
    </cfRule>
    <cfRule type="expression" dxfId="218" priority="2" stopIfTrue="1">
      <formula>$D2="28-Day"</formula>
    </cfRule>
    <cfRule type="expression" dxfId="217" priority="3" stopIfTrue="1">
      <formula>$D2="YTD"</formula>
    </cfRule>
    <cfRule type="expression" dxfId="216" priority="4" stopIfTrue="1">
      <formula>$D2="Historical"</formula>
    </cfRule>
  </conditionalFormatting>
  <pageMargins left="0.7" right="0.7" top="0.75" bottom="0.75" header="0.3" footer="0.3"/>
  <pageSetup orientation="portrait"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B38"/>
  <sheetViews>
    <sheetView topLeftCell="A7" workbookViewId="0">
      <selection activeCell="A24" sqref="A24:E31"/>
    </sheetView>
  </sheetViews>
  <sheetFormatPr defaultRowHeight="15" x14ac:dyDescent="0.25"/>
  <cols>
    <col min="1" max="1" width="29.42578125" bestFit="1" customWidth="1"/>
    <col min="2" max="2" width="11.42578125" bestFit="1" customWidth="1"/>
    <col min="3" max="3" width="11" bestFit="1" customWidth="1"/>
    <col min="4" max="4" width="11.5703125" bestFit="1" customWidth="1"/>
    <col min="5" max="5" width="16" bestFit="1" customWidth="1"/>
    <col min="6" max="6" width="12.140625" bestFit="1" customWidth="1"/>
    <col min="7" max="7" width="8.7109375" bestFit="1" customWidth="1"/>
    <col min="8" max="8" width="16" bestFit="1" customWidth="1"/>
    <col min="9" max="9" width="7.7109375" customWidth="1"/>
    <col min="10" max="10" width="35.5703125" bestFit="1" customWidth="1"/>
    <col min="11" max="11" width="24" bestFit="1" customWidth="1"/>
    <col min="12" max="12" width="15.140625" style="13" bestFit="1" customWidth="1"/>
    <col min="13" max="13" width="21.85546875" style="13" bestFit="1" customWidth="1"/>
    <col min="14" max="14" width="30.28515625" style="13" bestFit="1" customWidth="1"/>
    <col min="15" max="15" width="15.28515625" style="61" bestFit="1" customWidth="1"/>
    <col min="16" max="16" width="14.140625" style="13" bestFit="1" customWidth="1"/>
    <col min="17" max="17" width="33.28515625" style="13" bestFit="1" customWidth="1"/>
    <col min="18" max="18" width="31.5703125" style="13" bestFit="1" customWidth="1"/>
    <col min="19" max="19" width="22.28515625" style="13" bestFit="1" customWidth="1"/>
    <col min="20" max="20" width="15" bestFit="1" customWidth="1"/>
    <col min="21" max="21" width="21.7109375" bestFit="1" customWidth="1"/>
    <col min="22" max="22" width="22.7109375" bestFit="1" customWidth="1"/>
    <col min="23" max="23" width="31.42578125" bestFit="1" customWidth="1"/>
    <col min="24" max="24" width="18.85546875" bestFit="1" customWidth="1"/>
    <col min="25" max="25" width="26.7109375" bestFit="1" customWidth="1"/>
    <col min="26" max="26" width="19.7109375" bestFit="1" customWidth="1"/>
    <col min="27" max="27" width="22.140625" bestFit="1" customWidth="1"/>
    <col min="28" max="28" width="109" style="13" customWidth="1"/>
    <col min="44" max="44" width="25.140625" bestFit="1" customWidth="1"/>
    <col min="45" max="45" width="15.140625" bestFit="1" customWidth="1"/>
    <col min="46" max="46" width="15.5703125" bestFit="1" customWidth="1"/>
    <col min="47" max="47" width="24.5703125" bestFit="1" customWidth="1"/>
    <col min="48" max="48" width="24.85546875" bestFit="1" customWidth="1"/>
    <col min="49" max="49" width="13.85546875" bestFit="1" customWidth="1"/>
    <col min="50" max="50" width="14.140625" bestFit="1" customWidth="1"/>
    <col min="51" max="51" width="7.28515625" bestFit="1" customWidth="1"/>
    <col min="52" max="52" width="15.42578125" bestFit="1" customWidth="1"/>
    <col min="53" max="53" width="17.42578125" bestFit="1" customWidth="1"/>
    <col min="54" max="54" width="6.5703125" bestFit="1" customWidth="1"/>
    <col min="55" max="55" width="13.28515625" bestFit="1" customWidth="1"/>
    <col min="56" max="56" width="22.7109375" bestFit="1" customWidth="1"/>
    <col min="57" max="57" width="6" bestFit="1" customWidth="1"/>
  </cols>
  <sheetData>
    <row r="1" spans="1:28" ht="19.5" thickBot="1" x14ac:dyDescent="0.35">
      <c r="A1" s="71" t="s">
        <v>126</v>
      </c>
      <c r="B1" s="2" t="s">
        <v>1065</v>
      </c>
      <c r="C1" s="2"/>
      <c r="D1" s="2"/>
      <c r="E1" s="2"/>
      <c r="F1" s="2"/>
      <c r="L1"/>
      <c r="M1"/>
      <c r="N1" s="6" t="s">
        <v>1068</v>
      </c>
      <c r="O1" s="11" t="s">
        <v>2</v>
      </c>
      <c r="P1" s="6" t="s">
        <v>3</v>
      </c>
      <c r="Q1" s="6" t="s">
        <v>1084</v>
      </c>
      <c r="R1" s="6" t="s">
        <v>1122</v>
      </c>
      <c r="S1" s="6" t="s">
        <v>1123</v>
      </c>
      <c r="T1" s="6" t="s">
        <v>1099</v>
      </c>
      <c r="U1" s="6" t="s">
        <v>1124</v>
      </c>
      <c r="V1" s="6" t="s">
        <v>1111</v>
      </c>
      <c r="W1" s="6" t="s">
        <v>1113</v>
      </c>
      <c r="X1" s="6" t="s">
        <v>1115</v>
      </c>
      <c r="Y1" s="6" t="s">
        <v>1117</v>
      </c>
      <c r="Z1" s="6" t="s">
        <v>1125</v>
      </c>
      <c r="AA1" s="6" t="s">
        <v>1118</v>
      </c>
      <c r="AB1" s="17" t="s">
        <v>7</v>
      </c>
    </row>
    <row r="2" spans="1:28" ht="18.75" x14ac:dyDescent="0.3">
      <c r="A2" s="71" t="s">
        <v>123</v>
      </c>
      <c r="B2" s="2" t="s">
        <v>1065</v>
      </c>
      <c r="C2" s="2"/>
      <c r="D2" s="2"/>
      <c r="E2" s="2"/>
      <c r="F2" s="2"/>
      <c r="J2" s="29" t="s">
        <v>1068</v>
      </c>
      <c r="K2" s="42" t="s">
        <v>30</v>
      </c>
      <c r="L2"/>
      <c r="M2"/>
      <c r="N2" s="21"/>
      <c r="O2" s="20"/>
      <c r="P2" s="19"/>
      <c r="Q2" s="19"/>
      <c r="R2" s="21"/>
      <c r="S2" s="21"/>
      <c r="T2" s="21"/>
      <c r="U2" s="21"/>
      <c r="V2" s="21"/>
      <c r="W2" s="21"/>
      <c r="X2" s="21"/>
      <c r="Y2" s="21"/>
      <c r="Z2" s="21"/>
      <c r="AA2" s="21"/>
      <c r="AB2" s="26"/>
    </row>
    <row r="3" spans="1:28" ht="18.75" x14ac:dyDescent="0.3">
      <c r="A3" s="2"/>
      <c r="B3" s="2"/>
      <c r="C3" s="2"/>
      <c r="D3" s="2"/>
      <c r="E3" s="2"/>
      <c r="F3" s="2"/>
      <c r="H3" s="2"/>
      <c r="I3" s="2"/>
      <c r="J3" s="30" t="s">
        <v>2</v>
      </c>
      <c r="K3" s="43">
        <v>45748</v>
      </c>
    </row>
    <row r="4" spans="1:28" s="16" customFormat="1" ht="18.75" x14ac:dyDescent="0.3">
      <c r="A4" s="80" t="s">
        <v>185</v>
      </c>
      <c r="B4" s="80" t="s">
        <v>128</v>
      </c>
      <c r="C4" s="18"/>
      <c r="D4" s="18"/>
      <c r="E4" s="18"/>
      <c r="F4" s="18"/>
      <c r="G4" s="18"/>
      <c r="H4" s="18"/>
      <c r="I4"/>
      <c r="J4" s="31" t="s">
        <v>3</v>
      </c>
      <c r="K4" s="44" t="s">
        <v>25</v>
      </c>
      <c r="O4" s="62"/>
      <c r="AB4" s="64"/>
    </row>
    <row r="5" spans="1:28" ht="18.75" x14ac:dyDescent="0.3">
      <c r="A5" s="72" t="s">
        <v>4</v>
      </c>
      <c r="B5" s="3" t="s">
        <v>311</v>
      </c>
      <c r="C5" s="3" t="s">
        <v>183</v>
      </c>
      <c r="D5" s="3" t="s">
        <v>148</v>
      </c>
      <c r="E5" s="3" t="s">
        <v>247</v>
      </c>
      <c r="F5" s="3" t="s">
        <v>292</v>
      </c>
      <c r="G5" s="3" t="s">
        <v>170</v>
      </c>
      <c r="H5" s="3" t="s">
        <v>239</v>
      </c>
      <c r="J5" s="31" t="s">
        <v>1084</v>
      </c>
      <c r="K5" s="45" t="s">
        <v>10</v>
      </c>
      <c r="M5"/>
      <c r="N5" t="s">
        <v>1068</v>
      </c>
      <c r="O5" s="63" t="s">
        <v>2</v>
      </c>
      <c r="P5" t="s">
        <v>3</v>
      </c>
      <c r="Q5" t="s">
        <v>1084</v>
      </c>
      <c r="R5" t="s">
        <v>1122</v>
      </c>
      <c r="S5" t="s">
        <v>1123</v>
      </c>
      <c r="T5" t="s">
        <v>1099</v>
      </c>
      <c r="U5" t="s">
        <v>1124</v>
      </c>
      <c r="V5" t="s">
        <v>1111</v>
      </c>
      <c r="W5" t="s">
        <v>1113</v>
      </c>
      <c r="X5" t="s">
        <v>1115</v>
      </c>
      <c r="Y5" t="s">
        <v>1117</v>
      </c>
      <c r="Z5" t="s">
        <v>1125</v>
      </c>
      <c r="AA5" t="s">
        <v>1118</v>
      </c>
      <c r="AB5" s="13" t="s">
        <v>7</v>
      </c>
    </row>
    <row r="6" spans="1:28" ht="18.75" x14ac:dyDescent="0.3">
      <c r="A6" s="15" t="s">
        <v>168</v>
      </c>
      <c r="B6" s="14">
        <v>1</v>
      </c>
      <c r="C6" s="14">
        <v>1</v>
      </c>
      <c r="D6" s="14">
        <v>1</v>
      </c>
      <c r="E6" s="14">
        <v>1</v>
      </c>
      <c r="F6" s="14"/>
      <c r="G6" s="14">
        <v>3</v>
      </c>
      <c r="H6" s="14">
        <v>1</v>
      </c>
      <c r="J6" s="30" t="s">
        <v>1122</v>
      </c>
      <c r="K6" s="43" t="s">
        <v>1126</v>
      </c>
      <c r="M6"/>
      <c r="N6"/>
      <c r="O6" s="63"/>
      <c r="P6"/>
      <c r="Q6"/>
      <c r="R6"/>
      <c r="S6"/>
    </row>
    <row r="7" spans="1:28" ht="18.75" x14ac:dyDescent="0.3">
      <c r="A7" s="15" t="s">
        <v>146</v>
      </c>
      <c r="B7" s="14">
        <v>1</v>
      </c>
      <c r="C7" s="14">
        <v>3</v>
      </c>
      <c r="D7" s="14">
        <v>3</v>
      </c>
      <c r="E7" s="14"/>
      <c r="F7" s="14">
        <v>1</v>
      </c>
      <c r="G7" s="14">
        <v>2</v>
      </c>
      <c r="H7" s="14">
        <v>2</v>
      </c>
      <c r="J7" s="31" t="s">
        <v>1123</v>
      </c>
      <c r="K7" s="45" t="s">
        <v>1127</v>
      </c>
      <c r="M7"/>
      <c r="N7"/>
      <c r="O7" s="63"/>
      <c r="P7"/>
      <c r="Q7"/>
      <c r="R7"/>
      <c r="S7"/>
    </row>
    <row r="8" spans="1:28" ht="18.75" x14ac:dyDescent="0.3">
      <c r="A8" s="15" t="s">
        <v>266</v>
      </c>
      <c r="B8" s="14">
        <v>3</v>
      </c>
      <c r="C8" s="14">
        <v>5</v>
      </c>
      <c r="D8" s="14">
        <v>2</v>
      </c>
      <c r="E8" s="14">
        <v>1</v>
      </c>
      <c r="F8" s="14">
        <v>2</v>
      </c>
      <c r="G8" s="14"/>
      <c r="H8" s="14"/>
      <c r="J8" s="30" t="s">
        <v>1099</v>
      </c>
      <c r="K8" s="43"/>
      <c r="M8"/>
      <c r="N8"/>
      <c r="O8" s="63"/>
      <c r="P8"/>
      <c r="Q8"/>
      <c r="R8"/>
      <c r="S8"/>
    </row>
    <row r="9" spans="1:28" ht="18.75" x14ac:dyDescent="0.3">
      <c r="A9" s="15" t="s">
        <v>276</v>
      </c>
      <c r="B9" s="14"/>
      <c r="C9" s="14">
        <v>2</v>
      </c>
      <c r="D9" s="14">
        <v>1</v>
      </c>
      <c r="E9" s="14"/>
      <c r="F9" s="14">
        <v>2</v>
      </c>
      <c r="G9" s="14"/>
      <c r="H9" s="14">
        <v>2</v>
      </c>
      <c r="J9" s="30" t="s">
        <v>1111</v>
      </c>
      <c r="K9" s="43" t="s">
        <v>937</v>
      </c>
      <c r="M9"/>
      <c r="N9"/>
      <c r="O9" s="63"/>
      <c r="P9"/>
      <c r="Q9"/>
      <c r="R9"/>
      <c r="S9"/>
    </row>
    <row r="10" spans="1:28" ht="18.75" x14ac:dyDescent="0.25">
      <c r="A10" s="15" t="s">
        <v>343</v>
      </c>
      <c r="B10" s="14">
        <v>1</v>
      </c>
      <c r="C10" s="14"/>
      <c r="D10" s="14">
        <v>1</v>
      </c>
      <c r="E10" s="14"/>
      <c r="F10" s="14">
        <v>2</v>
      </c>
      <c r="G10" s="14"/>
      <c r="H10" s="14"/>
      <c r="J10" s="32" t="s">
        <v>1113</v>
      </c>
      <c r="K10" s="46" t="s">
        <v>937</v>
      </c>
      <c r="R10"/>
    </row>
    <row r="11" spans="1:28" ht="18.75" x14ac:dyDescent="0.3">
      <c r="A11" s="15" t="s">
        <v>385</v>
      </c>
      <c r="B11" s="14">
        <v>2</v>
      </c>
      <c r="C11" s="14"/>
      <c r="D11" s="14">
        <v>1</v>
      </c>
      <c r="E11" s="14">
        <v>2</v>
      </c>
      <c r="F11" s="14">
        <v>1</v>
      </c>
      <c r="G11" s="14">
        <v>2</v>
      </c>
      <c r="H11" s="14">
        <v>1</v>
      </c>
      <c r="J11" s="30" t="s">
        <v>1115</v>
      </c>
      <c r="K11" s="43" t="s">
        <v>1128</v>
      </c>
      <c r="R11"/>
    </row>
    <row r="12" spans="1:28" ht="18.75" x14ac:dyDescent="0.3">
      <c r="J12" s="31" t="s">
        <v>1117</v>
      </c>
      <c r="K12" s="45" t="s">
        <v>1129</v>
      </c>
      <c r="R12"/>
    </row>
    <row r="13" spans="1:28" ht="18.75" x14ac:dyDescent="0.3">
      <c r="J13" s="30" t="s">
        <v>1125</v>
      </c>
      <c r="K13" s="47" t="s">
        <v>1130</v>
      </c>
      <c r="R13"/>
    </row>
    <row r="14" spans="1:28" ht="18.75" x14ac:dyDescent="0.3">
      <c r="J14" s="48" t="s">
        <v>1118</v>
      </c>
      <c r="K14" s="49" t="s">
        <v>1119</v>
      </c>
      <c r="R14"/>
    </row>
    <row r="15" spans="1:28" ht="19.5" thickBot="1" x14ac:dyDescent="0.35">
      <c r="J15" s="50" t="s">
        <v>7</v>
      </c>
      <c r="K15" s="51"/>
      <c r="R15"/>
    </row>
    <row r="16" spans="1:28" ht="24" x14ac:dyDescent="0.4">
      <c r="A16" s="92" t="s">
        <v>169</v>
      </c>
      <c r="B16" s="92"/>
      <c r="C16" s="92"/>
      <c r="D16" s="92"/>
      <c r="E16" s="92"/>
      <c r="F16" s="92"/>
      <c r="G16" s="92"/>
      <c r="H16" s="5"/>
      <c r="R16"/>
    </row>
    <row r="17" spans="1:7" ht="18.75" x14ac:dyDescent="0.3">
      <c r="A17" s="54" t="str" cm="1">
        <f t="array" ref="A17:G21">A5:G9</f>
        <v>Time of Day</v>
      </c>
      <c r="B17" s="55" t="str">
        <v>Sunday</v>
      </c>
      <c r="C17" s="55" t="str">
        <v>Monday</v>
      </c>
      <c r="D17" s="55" t="str">
        <v>Tuesday</v>
      </c>
      <c r="E17" s="55" t="str">
        <v>Thursday</v>
      </c>
      <c r="F17" s="55" t="str">
        <v>Saturday</v>
      </c>
      <c r="G17" s="54" t="str">
        <v>Friday</v>
      </c>
    </row>
    <row r="18" spans="1:7" ht="15.75" x14ac:dyDescent="0.25">
      <c r="A18" s="56" t="str">
        <v>Night (20:00–23:59)</v>
      </c>
      <c r="B18" s="57">
        <v>1</v>
      </c>
      <c r="C18" s="57">
        <v>1</v>
      </c>
      <c r="D18" s="57">
        <v>1</v>
      </c>
      <c r="E18" s="58">
        <v>1</v>
      </c>
      <c r="F18" s="57">
        <v>0</v>
      </c>
      <c r="G18" s="57">
        <v>3</v>
      </c>
    </row>
    <row r="19" spans="1:7" ht="15.75" x14ac:dyDescent="0.25">
      <c r="A19" s="15" t="str">
        <v>Afternoon (12:00–15:59)</v>
      </c>
      <c r="B19" s="14">
        <v>1</v>
      </c>
      <c r="C19" s="14">
        <v>3</v>
      </c>
      <c r="D19" s="14">
        <v>3</v>
      </c>
      <c r="E19">
        <v>0</v>
      </c>
      <c r="F19" s="14">
        <v>1</v>
      </c>
      <c r="G19" s="14">
        <v>2</v>
      </c>
    </row>
    <row r="20" spans="1:7" ht="15.75" x14ac:dyDescent="0.25">
      <c r="A20" s="56" t="str">
        <v>Evening Peak (16:00–19:59)</v>
      </c>
      <c r="B20" s="57">
        <v>3</v>
      </c>
      <c r="C20" s="57">
        <v>5</v>
      </c>
      <c r="D20" s="57">
        <v>2</v>
      </c>
      <c r="E20" s="58">
        <v>1</v>
      </c>
      <c r="F20" s="57">
        <v>2</v>
      </c>
      <c r="G20" s="57">
        <v>0</v>
      </c>
    </row>
    <row r="21" spans="1:7" ht="15.75" x14ac:dyDescent="0.25">
      <c r="A21" s="59" t="str">
        <v>Morning Peak (08:00–11:59)</v>
      </c>
      <c r="B21" s="60">
        <v>0</v>
      </c>
      <c r="C21" s="60">
        <v>2</v>
      </c>
      <c r="D21" s="60">
        <v>1</v>
      </c>
      <c r="E21" s="53">
        <v>0</v>
      </c>
      <c r="F21" s="60">
        <v>2</v>
      </c>
      <c r="G21" s="60">
        <v>0</v>
      </c>
    </row>
    <row r="24" spans="1:7" ht="30" x14ac:dyDescent="0.25">
      <c r="A24" s="71" t="s">
        <v>126</v>
      </c>
      <c r="B24" s="73" t="s">
        <v>152</v>
      </c>
      <c r="C24" s="2"/>
      <c r="D24" s="2"/>
      <c r="E24" s="2"/>
      <c r="F24" s="2"/>
    </row>
    <row r="25" spans="1:7" x14ac:dyDescent="0.25">
      <c r="A25" s="71" t="s">
        <v>123</v>
      </c>
      <c r="B25" s="2" t="s">
        <v>1065</v>
      </c>
      <c r="C25" s="2"/>
      <c r="D25" s="2"/>
      <c r="E25" s="2"/>
      <c r="F25" s="2"/>
    </row>
    <row r="26" spans="1:7" x14ac:dyDescent="0.25">
      <c r="A26" s="2"/>
      <c r="B26" s="2"/>
      <c r="C26" s="2"/>
      <c r="D26" s="2"/>
      <c r="E26" s="2"/>
      <c r="F26" s="2"/>
    </row>
    <row r="27" spans="1:7" x14ac:dyDescent="0.25">
      <c r="A27" s="80" t="s">
        <v>185</v>
      </c>
      <c r="B27" s="80" t="s">
        <v>128</v>
      </c>
      <c r="C27" s="18"/>
      <c r="D27" s="18"/>
      <c r="E27" s="18"/>
    </row>
    <row r="28" spans="1:7" ht="18.75" x14ac:dyDescent="0.3">
      <c r="A28" s="72" t="s">
        <v>4</v>
      </c>
      <c r="B28" s="3" t="s">
        <v>311</v>
      </c>
      <c r="C28" s="3" t="s">
        <v>183</v>
      </c>
      <c r="D28" s="3" t="s">
        <v>148</v>
      </c>
      <c r="E28" s="3" t="s">
        <v>239</v>
      </c>
    </row>
    <row r="29" spans="1:7" ht="15.75" x14ac:dyDescent="0.25">
      <c r="A29" s="15" t="s">
        <v>168</v>
      </c>
      <c r="B29" s="14"/>
      <c r="C29" s="14">
        <v>1</v>
      </c>
      <c r="D29" s="14">
        <v>1</v>
      </c>
      <c r="E29" s="14">
        <v>1</v>
      </c>
    </row>
    <row r="30" spans="1:7" ht="15.75" x14ac:dyDescent="0.25">
      <c r="A30" s="15" t="s">
        <v>266</v>
      </c>
      <c r="B30" s="14"/>
      <c r="C30" s="14">
        <v>2</v>
      </c>
      <c r="D30" s="14"/>
      <c r="E30" s="14"/>
    </row>
    <row r="31" spans="1:7" ht="15.75" x14ac:dyDescent="0.25">
      <c r="A31" s="15" t="s">
        <v>385</v>
      </c>
      <c r="B31" s="14">
        <v>1</v>
      </c>
      <c r="C31" s="14"/>
      <c r="D31" s="14"/>
      <c r="E31" s="14"/>
    </row>
    <row r="34" spans="1:5" ht="24" x14ac:dyDescent="0.4">
      <c r="A34" s="92" t="s">
        <v>1121</v>
      </c>
      <c r="B34" s="92"/>
      <c r="C34" s="92"/>
      <c r="D34" s="92"/>
      <c r="E34" s="92"/>
    </row>
    <row r="35" spans="1:5" ht="18.75" x14ac:dyDescent="0.3">
      <c r="A35" s="54" t="str" cm="1">
        <f t="array" ref="A35:E38">A28:E31</f>
        <v>Time of Day</v>
      </c>
      <c r="B35" s="55" t="str">
        <v>Sunday</v>
      </c>
      <c r="C35" s="55" t="str">
        <v>Monday</v>
      </c>
      <c r="D35" s="55" t="str">
        <v>Tuesday</v>
      </c>
      <c r="E35" s="55" t="str">
        <v>Wednesday</v>
      </c>
    </row>
    <row r="36" spans="1:5" ht="15.75" x14ac:dyDescent="0.25">
      <c r="A36" s="56" t="str">
        <v>Night (20:00–23:59)</v>
      </c>
      <c r="B36" s="57">
        <v>0</v>
      </c>
      <c r="C36" s="57">
        <v>1</v>
      </c>
      <c r="D36" s="57">
        <v>1</v>
      </c>
      <c r="E36" s="58">
        <v>1</v>
      </c>
    </row>
    <row r="37" spans="1:5" ht="15.75" x14ac:dyDescent="0.25">
      <c r="A37" s="15" t="str">
        <v>Evening Peak (16:00–19:59)</v>
      </c>
      <c r="B37" s="14">
        <v>0</v>
      </c>
      <c r="C37" s="14">
        <v>2</v>
      </c>
      <c r="D37" s="14">
        <v>0</v>
      </c>
      <c r="E37">
        <v>0</v>
      </c>
    </row>
    <row r="38" spans="1:5" ht="15.75" x14ac:dyDescent="0.25">
      <c r="A38" s="56" t="str">
        <v>Morning (04:00–07:59)</v>
      </c>
      <c r="B38" s="57">
        <v>1</v>
      </c>
      <c r="C38" s="57">
        <v>0</v>
      </c>
      <c r="D38" s="57">
        <v>0</v>
      </c>
      <c r="E38" s="58">
        <v>0</v>
      </c>
    </row>
  </sheetData>
  <mergeCells count="2">
    <mergeCell ref="A16:G16"/>
    <mergeCell ref="A34:E34"/>
  </mergeCells>
  <phoneticPr fontId="9" type="noConversion"/>
  <conditionalFormatting sqref="A2:AP5 A12:AP28 A6:A11 I6:AP11 A32:AP38 A29:A31 F29:AP31">
    <cfRule type="expression" dxfId="125" priority="1" stopIfTrue="1">
      <formula>$D2="7-Day"</formula>
    </cfRule>
    <cfRule type="expression" dxfId="124" priority="2" stopIfTrue="1">
      <formula>$D2="28-Day"</formula>
    </cfRule>
    <cfRule type="expression" dxfId="123" priority="3" stopIfTrue="1">
      <formula>$D2="YTD"</formula>
    </cfRule>
    <cfRule type="expression" dxfId="122" priority="4" stopIfTrue="1">
      <formula>$D2="Historical"</formula>
    </cfRule>
  </conditionalFormatting>
  <pageMargins left="0.7" right="0.7" top="0.75" bottom="0.75" header="0.3" footer="0.3"/>
  <pageSetup orientation="portrait"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9E3C-3CB3-4500-8AA0-26E5D0E1A8C0}">
  <sheetPr codeName="Sheet34"/>
  <dimension ref="A1:G53"/>
  <sheetViews>
    <sheetView workbookViewId="0">
      <selection activeCell="F15" sqref="F15"/>
    </sheetView>
  </sheetViews>
  <sheetFormatPr defaultRowHeight="15" x14ac:dyDescent="0.25"/>
  <cols>
    <col min="1" max="1" width="18.28515625" bestFit="1" customWidth="1"/>
    <col min="2" max="2" width="13.42578125" bestFit="1" customWidth="1"/>
    <col min="3" max="3" width="12.7109375" bestFit="1" customWidth="1"/>
    <col min="4" max="4" width="14.42578125" bestFit="1" customWidth="1"/>
    <col min="5" max="5" width="13.7109375" bestFit="1" customWidth="1"/>
    <col min="6" max="6" width="14.85546875" bestFit="1" customWidth="1"/>
  </cols>
  <sheetData>
    <row r="1" spans="1:7" x14ac:dyDescent="0.25">
      <c r="A1" t="s">
        <v>35</v>
      </c>
      <c r="B1" t="s">
        <v>36</v>
      </c>
      <c r="C1" t="s">
        <v>37</v>
      </c>
      <c r="D1" t="s">
        <v>38</v>
      </c>
      <c r="E1" t="s">
        <v>39</v>
      </c>
      <c r="F1" t="s">
        <v>40</v>
      </c>
      <c r="G1" t="s">
        <v>41</v>
      </c>
    </row>
    <row r="2" spans="1:7" x14ac:dyDescent="0.25">
      <c r="A2" s="1">
        <v>45664</v>
      </c>
      <c r="B2" s="1">
        <v>45657</v>
      </c>
      <c r="C2" s="1">
        <v>45663</v>
      </c>
      <c r="D2" s="1">
        <v>45636</v>
      </c>
      <c r="E2" s="1">
        <v>45663</v>
      </c>
      <c r="F2" t="s">
        <v>42</v>
      </c>
      <c r="G2" t="b">
        <v>0</v>
      </c>
    </row>
    <row r="3" spans="1:7" x14ac:dyDescent="0.25">
      <c r="A3" s="1">
        <v>45671</v>
      </c>
      <c r="B3" s="1">
        <v>45664</v>
      </c>
      <c r="C3" s="1">
        <v>45670</v>
      </c>
      <c r="D3" s="1">
        <v>45643</v>
      </c>
      <c r="E3" s="1">
        <v>45670</v>
      </c>
      <c r="F3" t="s">
        <v>43</v>
      </c>
      <c r="G3" t="b">
        <v>0</v>
      </c>
    </row>
    <row r="4" spans="1:7" x14ac:dyDescent="0.25">
      <c r="A4" s="1">
        <v>45678</v>
      </c>
      <c r="B4" s="1">
        <v>45671</v>
      </c>
      <c r="C4" s="1">
        <v>45677</v>
      </c>
      <c r="D4" s="1">
        <v>45650</v>
      </c>
      <c r="E4" s="1">
        <v>45677</v>
      </c>
      <c r="F4" t="s">
        <v>44</v>
      </c>
      <c r="G4" t="b">
        <v>0</v>
      </c>
    </row>
    <row r="5" spans="1:7" x14ac:dyDescent="0.25">
      <c r="A5" s="1">
        <v>45685</v>
      </c>
      <c r="B5" s="1">
        <v>45678</v>
      </c>
      <c r="C5" s="1">
        <v>45684</v>
      </c>
      <c r="D5" s="1">
        <v>45657</v>
      </c>
      <c r="E5" s="1">
        <v>45684</v>
      </c>
      <c r="F5" t="s">
        <v>45</v>
      </c>
      <c r="G5" t="b">
        <v>0</v>
      </c>
    </row>
    <row r="6" spans="1:7" x14ac:dyDescent="0.25">
      <c r="A6" s="1">
        <v>45692</v>
      </c>
      <c r="B6" s="1">
        <v>45685</v>
      </c>
      <c r="C6" s="1">
        <v>45691</v>
      </c>
      <c r="D6" s="1">
        <v>45664</v>
      </c>
      <c r="E6" s="1">
        <v>45691</v>
      </c>
      <c r="F6" t="s">
        <v>46</v>
      </c>
      <c r="G6" t="b">
        <v>0</v>
      </c>
    </row>
    <row r="7" spans="1:7" x14ac:dyDescent="0.25">
      <c r="A7" s="1">
        <v>45699</v>
      </c>
      <c r="B7" s="1">
        <v>45692</v>
      </c>
      <c r="C7" s="1">
        <v>45698</v>
      </c>
      <c r="D7" s="1">
        <v>45671</v>
      </c>
      <c r="E7" s="1">
        <v>45698</v>
      </c>
      <c r="F7" t="s">
        <v>47</v>
      </c>
      <c r="G7" t="b">
        <v>0</v>
      </c>
    </row>
    <row r="8" spans="1:7" x14ac:dyDescent="0.25">
      <c r="A8" s="1">
        <v>45706</v>
      </c>
      <c r="B8" s="1">
        <v>45699</v>
      </c>
      <c r="C8" s="1">
        <v>45705</v>
      </c>
      <c r="D8" s="1">
        <v>45678</v>
      </c>
      <c r="E8" s="1">
        <v>45705</v>
      </c>
      <c r="F8" t="s">
        <v>48</v>
      </c>
      <c r="G8" t="b">
        <v>0</v>
      </c>
    </row>
    <row r="9" spans="1:7" x14ac:dyDescent="0.25">
      <c r="A9" s="1">
        <v>45713</v>
      </c>
      <c r="B9" s="1">
        <v>45706</v>
      </c>
      <c r="C9" s="1">
        <v>45712</v>
      </c>
      <c r="D9" s="1">
        <v>45685</v>
      </c>
      <c r="E9" s="1">
        <v>45712</v>
      </c>
      <c r="F9" t="s">
        <v>49</v>
      </c>
      <c r="G9" t="b">
        <v>0</v>
      </c>
    </row>
    <row r="10" spans="1:7" x14ac:dyDescent="0.25">
      <c r="A10" s="1">
        <v>45720</v>
      </c>
      <c r="B10" s="1">
        <v>45713</v>
      </c>
      <c r="C10" s="1">
        <v>45719</v>
      </c>
      <c r="D10" s="1">
        <v>45692</v>
      </c>
      <c r="E10" s="1">
        <v>45719</v>
      </c>
      <c r="F10" t="s">
        <v>50</v>
      </c>
      <c r="G10" t="b">
        <v>0</v>
      </c>
    </row>
    <row r="11" spans="1:7" x14ac:dyDescent="0.25">
      <c r="A11" s="1">
        <v>45727</v>
      </c>
      <c r="B11" s="1">
        <v>45720</v>
      </c>
      <c r="C11" s="1">
        <v>45726</v>
      </c>
      <c r="D11" s="1">
        <v>45699</v>
      </c>
      <c r="E11" s="1">
        <v>45726</v>
      </c>
      <c r="F11" t="s">
        <v>51</v>
      </c>
      <c r="G11" t="b">
        <v>0</v>
      </c>
    </row>
    <row r="12" spans="1:7" x14ac:dyDescent="0.25">
      <c r="A12" s="1">
        <v>45734</v>
      </c>
      <c r="B12" s="1">
        <v>45727</v>
      </c>
      <c r="C12" s="1">
        <v>45733</v>
      </c>
      <c r="D12" s="1">
        <v>45706</v>
      </c>
      <c r="E12" s="1">
        <v>45733</v>
      </c>
      <c r="F12" t="s">
        <v>52</v>
      </c>
      <c r="G12" t="b">
        <v>0</v>
      </c>
    </row>
    <row r="13" spans="1:7" x14ac:dyDescent="0.25">
      <c r="A13" s="1">
        <v>45741</v>
      </c>
      <c r="B13" s="1">
        <v>45734</v>
      </c>
      <c r="C13" s="1">
        <v>45740</v>
      </c>
      <c r="D13" s="1">
        <v>45713</v>
      </c>
      <c r="E13" s="1">
        <v>45740</v>
      </c>
      <c r="F13" t="s">
        <v>53</v>
      </c>
      <c r="G13" t="b">
        <v>0</v>
      </c>
    </row>
    <row r="14" spans="1:7" x14ac:dyDescent="0.25">
      <c r="A14" s="1">
        <v>45748</v>
      </c>
      <c r="B14" s="1">
        <v>45741</v>
      </c>
      <c r="C14" s="1">
        <v>45747</v>
      </c>
      <c r="D14" s="1">
        <v>45720</v>
      </c>
      <c r="E14" s="1">
        <v>45747</v>
      </c>
      <c r="F14" t="s">
        <v>54</v>
      </c>
      <c r="G14" t="b">
        <v>0</v>
      </c>
    </row>
    <row r="15" spans="1:7" x14ac:dyDescent="0.25">
      <c r="A15" s="1">
        <v>45755</v>
      </c>
      <c r="B15" s="1">
        <v>45748</v>
      </c>
      <c r="C15" s="1">
        <v>45754</v>
      </c>
      <c r="D15" s="1">
        <v>45727</v>
      </c>
      <c r="E15" s="1">
        <v>45754</v>
      </c>
      <c r="F15" t="s">
        <v>55</v>
      </c>
      <c r="G15" t="b">
        <v>0</v>
      </c>
    </row>
    <row r="16" spans="1:7" x14ac:dyDescent="0.25">
      <c r="A16" s="1">
        <v>45762</v>
      </c>
      <c r="B16" s="1">
        <v>45755</v>
      </c>
      <c r="C16" s="1">
        <v>45761</v>
      </c>
      <c r="D16" s="1">
        <v>45734</v>
      </c>
      <c r="E16" s="1">
        <v>45761</v>
      </c>
      <c r="F16" t="s">
        <v>56</v>
      </c>
      <c r="G16" t="b">
        <v>0</v>
      </c>
    </row>
    <row r="17" spans="1:7" x14ac:dyDescent="0.25">
      <c r="A17" s="1">
        <v>45769</v>
      </c>
      <c r="B17" s="1">
        <v>45762</v>
      </c>
      <c r="C17" s="1">
        <v>45768</v>
      </c>
      <c r="D17" s="1">
        <v>45741</v>
      </c>
      <c r="E17" s="1">
        <v>45768</v>
      </c>
      <c r="F17" t="s">
        <v>57</v>
      </c>
      <c r="G17" t="b">
        <v>1</v>
      </c>
    </row>
    <row r="18" spans="1:7" x14ac:dyDescent="0.25">
      <c r="A18" s="1">
        <v>45776</v>
      </c>
      <c r="B18" s="1">
        <v>45769</v>
      </c>
      <c r="C18" s="1">
        <v>45775</v>
      </c>
      <c r="D18" s="1">
        <v>45748</v>
      </c>
      <c r="E18" s="1">
        <v>45775</v>
      </c>
      <c r="F18" t="s">
        <v>58</v>
      </c>
      <c r="G18" t="b">
        <v>0</v>
      </c>
    </row>
    <row r="19" spans="1:7" x14ac:dyDescent="0.25">
      <c r="A19" s="1">
        <v>45783</v>
      </c>
      <c r="B19" s="1">
        <v>45776</v>
      </c>
      <c r="C19" s="1">
        <v>45782</v>
      </c>
      <c r="D19" s="1">
        <v>45755</v>
      </c>
      <c r="E19" s="1">
        <v>45782</v>
      </c>
      <c r="F19" t="s">
        <v>59</v>
      </c>
      <c r="G19" t="b">
        <v>0</v>
      </c>
    </row>
    <row r="20" spans="1:7" x14ac:dyDescent="0.25">
      <c r="A20" s="1">
        <v>45790</v>
      </c>
      <c r="B20" s="1">
        <v>45783</v>
      </c>
      <c r="C20" s="1">
        <v>45789</v>
      </c>
      <c r="D20" s="1">
        <v>45762</v>
      </c>
      <c r="E20" s="1">
        <v>45789</v>
      </c>
      <c r="F20" t="s">
        <v>60</v>
      </c>
      <c r="G20" t="b">
        <v>0</v>
      </c>
    </row>
    <row r="21" spans="1:7" x14ac:dyDescent="0.25">
      <c r="A21" s="1">
        <v>45797</v>
      </c>
      <c r="B21" s="1">
        <v>45790</v>
      </c>
      <c r="C21" s="1">
        <v>45796</v>
      </c>
      <c r="D21" s="1">
        <v>45769</v>
      </c>
      <c r="E21" s="1">
        <v>45796</v>
      </c>
      <c r="F21" t="s">
        <v>61</v>
      </c>
      <c r="G21" t="b">
        <v>0</v>
      </c>
    </row>
    <row r="22" spans="1:7" x14ac:dyDescent="0.25">
      <c r="A22" s="1">
        <v>45804</v>
      </c>
      <c r="B22" s="1">
        <v>45797</v>
      </c>
      <c r="C22" s="1">
        <v>45803</v>
      </c>
      <c r="D22" s="1">
        <v>45776</v>
      </c>
      <c r="E22" s="1">
        <v>45803</v>
      </c>
      <c r="F22" t="s">
        <v>62</v>
      </c>
      <c r="G22" t="b">
        <v>0</v>
      </c>
    </row>
    <row r="23" spans="1:7" x14ac:dyDescent="0.25">
      <c r="A23" s="1">
        <v>45811</v>
      </c>
      <c r="B23" s="1">
        <v>45804</v>
      </c>
      <c r="C23" s="1">
        <v>45810</v>
      </c>
      <c r="D23" s="1">
        <v>45783</v>
      </c>
      <c r="E23" s="1">
        <v>45810</v>
      </c>
      <c r="F23" t="s">
        <v>1131</v>
      </c>
      <c r="G23" t="b">
        <v>0</v>
      </c>
    </row>
    <row r="24" spans="1:7" x14ac:dyDescent="0.25">
      <c r="A24" s="1">
        <v>45818</v>
      </c>
      <c r="B24" s="1">
        <v>45811</v>
      </c>
      <c r="C24" s="1">
        <v>45817</v>
      </c>
      <c r="D24" s="1">
        <v>45790</v>
      </c>
      <c r="E24" s="1">
        <v>45817</v>
      </c>
      <c r="F24" t="s">
        <v>63</v>
      </c>
      <c r="G24" t="b">
        <v>0</v>
      </c>
    </row>
    <row r="25" spans="1:7" x14ac:dyDescent="0.25">
      <c r="A25" s="1">
        <v>45825</v>
      </c>
      <c r="B25" s="1">
        <v>45818</v>
      </c>
      <c r="C25" s="1">
        <v>45824</v>
      </c>
      <c r="D25" s="1">
        <v>45797</v>
      </c>
      <c r="E25" s="1">
        <v>45824</v>
      </c>
      <c r="F25" t="s">
        <v>64</v>
      </c>
      <c r="G25" t="b">
        <v>0</v>
      </c>
    </row>
    <row r="26" spans="1:7" x14ac:dyDescent="0.25">
      <c r="A26" s="1">
        <v>45832</v>
      </c>
      <c r="B26" s="1">
        <v>45825</v>
      </c>
      <c r="C26" s="1">
        <v>45831</v>
      </c>
      <c r="D26" s="1">
        <v>45804</v>
      </c>
      <c r="E26" s="1">
        <v>45831</v>
      </c>
      <c r="F26" t="s">
        <v>65</v>
      </c>
      <c r="G26" t="b">
        <v>0</v>
      </c>
    </row>
    <row r="27" spans="1:7" x14ac:dyDescent="0.25">
      <c r="A27" s="1">
        <v>45839</v>
      </c>
      <c r="B27" s="1">
        <v>45832</v>
      </c>
      <c r="C27" s="1">
        <v>45838</v>
      </c>
      <c r="D27" s="1">
        <v>45811</v>
      </c>
      <c r="E27" s="1">
        <v>45838</v>
      </c>
      <c r="F27" t="s">
        <v>66</v>
      </c>
      <c r="G27" t="b">
        <v>0</v>
      </c>
    </row>
    <row r="28" spans="1:7" x14ac:dyDescent="0.25">
      <c r="A28" s="1">
        <v>45846</v>
      </c>
      <c r="B28" s="1">
        <v>45839</v>
      </c>
      <c r="C28" s="1">
        <v>45845</v>
      </c>
      <c r="D28" s="1">
        <v>45818</v>
      </c>
      <c r="E28" s="1">
        <v>45845</v>
      </c>
      <c r="F28" t="s">
        <v>67</v>
      </c>
      <c r="G28" t="b">
        <v>0</v>
      </c>
    </row>
    <row r="29" spans="1:7" x14ac:dyDescent="0.25">
      <c r="A29" s="1">
        <v>45853</v>
      </c>
      <c r="B29" s="1">
        <v>45846</v>
      </c>
      <c r="C29" s="1">
        <v>45852</v>
      </c>
      <c r="D29" s="1">
        <v>45825</v>
      </c>
      <c r="E29" s="1">
        <v>45852</v>
      </c>
      <c r="F29" t="s">
        <v>68</v>
      </c>
      <c r="G29" t="b">
        <v>0</v>
      </c>
    </row>
    <row r="30" spans="1:7" x14ac:dyDescent="0.25">
      <c r="A30" s="1">
        <v>45860</v>
      </c>
      <c r="B30" s="1">
        <v>45853</v>
      </c>
      <c r="C30" s="1">
        <v>45859</v>
      </c>
      <c r="D30" s="1">
        <v>45832</v>
      </c>
      <c r="E30" s="1">
        <v>45859</v>
      </c>
      <c r="F30" t="s">
        <v>69</v>
      </c>
      <c r="G30" t="b">
        <v>0</v>
      </c>
    </row>
    <row r="31" spans="1:7" x14ac:dyDescent="0.25">
      <c r="A31" s="1">
        <v>45867</v>
      </c>
      <c r="B31" s="1">
        <v>45860</v>
      </c>
      <c r="C31" s="1">
        <v>45866</v>
      </c>
      <c r="D31" s="1">
        <v>45839</v>
      </c>
      <c r="E31" s="1">
        <v>45866</v>
      </c>
      <c r="F31" t="s">
        <v>70</v>
      </c>
      <c r="G31" t="b">
        <v>0</v>
      </c>
    </row>
    <row r="32" spans="1:7" x14ac:dyDescent="0.25">
      <c r="A32" s="1">
        <v>45874</v>
      </c>
      <c r="B32" s="1">
        <v>45867</v>
      </c>
      <c r="C32" s="1">
        <v>45873</v>
      </c>
      <c r="D32" s="1">
        <v>45846</v>
      </c>
      <c r="E32" s="1">
        <v>45873</v>
      </c>
      <c r="F32" t="s">
        <v>71</v>
      </c>
      <c r="G32" t="b">
        <v>0</v>
      </c>
    </row>
    <row r="33" spans="1:7" x14ac:dyDescent="0.25">
      <c r="A33" s="1">
        <v>45881</v>
      </c>
      <c r="B33" s="1">
        <v>45874</v>
      </c>
      <c r="C33" s="1">
        <v>45880</v>
      </c>
      <c r="D33" s="1">
        <v>45853</v>
      </c>
      <c r="E33" s="1">
        <v>45880</v>
      </c>
      <c r="F33" t="s">
        <v>72</v>
      </c>
      <c r="G33" t="b">
        <v>0</v>
      </c>
    </row>
    <row r="34" spans="1:7" x14ac:dyDescent="0.25">
      <c r="A34" s="1">
        <v>45888</v>
      </c>
      <c r="B34" s="1">
        <v>45881</v>
      </c>
      <c r="C34" s="1">
        <v>45887</v>
      </c>
      <c r="D34" s="1">
        <v>45860</v>
      </c>
      <c r="E34" s="1">
        <v>45887</v>
      </c>
      <c r="F34" t="s">
        <v>73</v>
      </c>
      <c r="G34" t="b">
        <v>0</v>
      </c>
    </row>
    <row r="35" spans="1:7" x14ac:dyDescent="0.25">
      <c r="A35" s="1">
        <v>45895</v>
      </c>
      <c r="B35" s="1">
        <v>45888</v>
      </c>
      <c r="C35" s="1">
        <v>45894</v>
      </c>
      <c r="D35" s="1">
        <v>45867</v>
      </c>
      <c r="E35" s="1">
        <v>45894</v>
      </c>
      <c r="F35" t="s">
        <v>74</v>
      </c>
      <c r="G35" t="b">
        <v>0</v>
      </c>
    </row>
    <row r="36" spans="1:7" x14ac:dyDescent="0.25">
      <c r="A36" s="1">
        <v>45902</v>
      </c>
      <c r="B36" s="1">
        <v>45895</v>
      </c>
      <c r="C36" s="1">
        <v>45901</v>
      </c>
      <c r="D36" s="1">
        <v>45874</v>
      </c>
      <c r="E36" s="1">
        <v>45901</v>
      </c>
      <c r="F36" t="s">
        <v>75</v>
      </c>
      <c r="G36" t="b">
        <v>0</v>
      </c>
    </row>
    <row r="37" spans="1:7" x14ac:dyDescent="0.25">
      <c r="A37" s="1">
        <v>45909</v>
      </c>
      <c r="B37" s="1">
        <v>45902</v>
      </c>
      <c r="C37" s="1">
        <v>45908</v>
      </c>
      <c r="D37" s="1">
        <v>45881</v>
      </c>
      <c r="E37" s="1">
        <v>45908</v>
      </c>
      <c r="F37" t="s">
        <v>76</v>
      </c>
      <c r="G37" t="b">
        <v>0</v>
      </c>
    </row>
    <row r="38" spans="1:7" x14ac:dyDescent="0.25">
      <c r="A38" s="1">
        <v>45916</v>
      </c>
      <c r="B38" s="1">
        <v>45909</v>
      </c>
      <c r="C38" s="1">
        <v>45915</v>
      </c>
      <c r="D38" s="1">
        <v>45888</v>
      </c>
      <c r="E38" s="1">
        <v>45915</v>
      </c>
      <c r="F38" t="s">
        <v>77</v>
      </c>
      <c r="G38" t="b">
        <v>0</v>
      </c>
    </row>
    <row r="39" spans="1:7" x14ac:dyDescent="0.25">
      <c r="A39" s="1">
        <v>45923</v>
      </c>
      <c r="B39" s="1">
        <v>45916</v>
      </c>
      <c r="C39" s="1">
        <v>45922</v>
      </c>
      <c r="D39" s="1">
        <v>45895</v>
      </c>
      <c r="E39" s="1">
        <v>45922</v>
      </c>
      <c r="F39" t="s">
        <v>78</v>
      </c>
      <c r="G39" t="b">
        <v>0</v>
      </c>
    </row>
    <row r="40" spans="1:7" x14ac:dyDescent="0.25">
      <c r="A40" s="1">
        <v>45930</v>
      </c>
      <c r="B40" s="1">
        <v>45923</v>
      </c>
      <c r="C40" s="1">
        <v>45929</v>
      </c>
      <c r="D40" s="1">
        <v>45902</v>
      </c>
      <c r="E40" s="1">
        <v>45929</v>
      </c>
      <c r="F40" t="s">
        <v>79</v>
      </c>
      <c r="G40" t="b">
        <v>0</v>
      </c>
    </row>
    <row r="41" spans="1:7" x14ac:dyDescent="0.25">
      <c r="A41" s="1">
        <v>45937</v>
      </c>
      <c r="B41" s="1">
        <v>45930</v>
      </c>
      <c r="C41" s="1">
        <v>45936</v>
      </c>
      <c r="D41" s="1">
        <v>45909</v>
      </c>
      <c r="E41" s="1">
        <v>45936</v>
      </c>
      <c r="F41" t="s">
        <v>80</v>
      </c>
      <c r="G41" t="b">
        <v>0</v>
      </c>
    </row>
    <row r="42" spans="1:7" x14ac:dyDescent="0.25">
      <c r="A42" s="1">
        <v>45944</v>
      </c>
      <c r="B42" s="1">
        <v>45937</v>
      </c>
      <c r="C42" s="1">
        <v>45943</v>
      </c>
      <c r="D42" s="1">
        <v>45916</v>
      </c>
      <c r="E42" s="1">
        <v>45943</v>
      </c>
      <c r="F42" t="s">
        <v>81</v>
      </c>
      <c r="G42" t="b">
        <v>0</v>
      </c>
    </row>
    <row r="43" spans="1:7" x14ac:dyDescent="0.25">
      <c r="A43" s="1">
        <v>45951</v>
      </c>
      <c r="B43" s="1">
        <v>45944</v>
      </c>
      <c r="C43" s="1">
        <v>45950</v>
      </c>
      <c r="D43" s="1">
        <v>45923</v>
      </c>
      <c r="E43" s="1">
        <v>45950</v>
      </c>
      <c r="F43" t="s">
        <v>82</v>
      </c>
      <c r="G43" t="b">
        <v>0</v>
      </c>
    </row>
    <row r="44" spans="1:7" x14ac:dyDescent="0.25">
      <c r="A44" s="1">
        <v>45958</v>
      </c>
      <c r="B44" s="1">
        <v>45951</v>
      </c>
      <c r="C44" s="1">
        <v>45957</v>
      </c>
      <c r="D44" s="1">
        <v>45930</v>
      </c>
      <c r="E44" s="1">
        <v>45957</v>
      </c>
      <c r="F44" t="s">
        <v>83</v>
      </c>
      <c r="G44" t="b">
        <v>0</v>
      </c>
    </row>
    <row r="45" spans="1:7" x14ac:dyDescent="0.25">
      <c r="A45" s="1">
        <v>45965</v>
      </c>
      <c r="B45" s="1">
        <v>45958</v>
      </c>
      <c r="C45" s="1">
        <v>45964</v>
      </c>
      <c r="D45" s="1">
        <v>45937</v>
      </c>
      <c r="E45" s="1">
        <v>45964</v>
      </c>
      <c r="F45" t="s">
        <v>84</v>
      </c>
      <c r="G45" t="b">
        <v>0</v>
      </c>
    </row>
    <row r="46" spans="1:7" x14ac:dyDescent="0.25">
      <c r="A46" s="1">
        <v>45972</v>
      </c>
      <c r="B46" s="1">
        <v>45965</v>
      </c>
      <c r="C46" s="1">
        <v>45971</v>
      </c>
      <c r="D46" s="1">
        <v>45944</v>
      </c>
      <c r="E46" s="1">
        <v>45971</v>
      </c>
      <c r="F46" t="s">
        <v>85</v>
      </c>
      <c r="G46" t="b">
        <v>0</v>
      </c>
    </row>
    <row r="47" spans="1:7" x14ac:dyDescent="0.25">
      <c r="A47" s="1">
        <v>45979</v>
      </c>
      <c r="B47" s="1">
        <v>45972</v>
      </c>
      <c r="C47" s="1">
        <v>45978</v>
      </c>
      <c r="D47" s="1">
        <v>45951</v>
      </c>
      <c r="E47" s="1">
        <v>45978</v>
      </c>
      <c r="F47" t="s">
        <v>86</v>
      </c>
      <c r="G47" t="b">
        <v>0</v>
      </c>
    </row>
    <row r="48" spans="1:7" x14ac:dyDescent="0.25">
      <c r="A48" s="1">
        <v>45986</v>
      </c>
      <c r="B48" s="1">
        <v>45979</v>
      </c>
      <c r="C48" s="1">
        <v>45985</v>
      </c>
      <c r="D48" s="1">
        <v>45958</v>
      </c>
      <c r="E48" s="1">
        <v>45985</v>
      </c>
      <c r="F48" t="s">
        <v>87</v>
      </c>
      <c r="G48" t="b">
        <v>0</v>
      </c>
    </row>
    <row r="49" spans="1:7" x14ac:dyDescent="0.25">
      <c r="A49" s="1">
        <v>45993</v>
      </c>
      <c r="B49" s="1">
        <v>45986</v>
      </c>
      <c r="C49" s="1">
        <v>45992</v>
      </c>
      <c r="D49" s="1">
        <v>45965</v>
      </c>
      <c r="E49" s="1">
        <v>45992</v>
      </c>
      <c r="F49" t="s">
        <v>88</v>
      </c>
      <c r="G49" t="b">
        <v>0</v>
      </c>
    </row>
    <row r="50" spans="1:7" x14ac:dyDescent="0.25">
      <c r="A50" s="1">
        <v>46000</v>
      </c>
      <c r="B50" s="1">
        <v>45993</v>
      </c>
      <c r="C50" s="1">
        <v>45999</v>
      </c>
      <c r="D50" s="1">
        <v>45972</v>
      </c>
      <c r="E50" s="1">
        <v>45999</v>
      </c>
      <c r="F50" t="s">
        <v>89</v>
      </c>
      <c r="G50" t="b">
        <v>0</v>
      </c>
    </row>
    <row r="51" spans="1:7" x14ac:dyDescent="0.25">
      <c r="A51" s="1">
        <v>46007</v>
      </c>
      <c r="B51" s="1">
        <v>46000</v>
      </c>
      <c r="C51" s="1">
        <v>46006</v>
      </c>
      <c r="D51" s="1">
        <v>45979</v>
      </c>
      <c r="E51" s="1">
        <v>46006</v>
      </c>
      <c r="F51" t="s">
        <v>90</v>
      </c>
      <c r="G51" t="b">
        <v>0</v>
      </c>
    </row>
    <row r="52" spans="1:7" x14ac:dyDescent="0.25">
      <c r="A52" s="1">
        <v>46014</v>
      </c>
      <c r="B52" s="1">
        <v>46007</v>
      </c>
      <c r="C52" s="1">
        <v>46013</v>
      </c>
      <c r="D52" s="1">
        <v>45986</v>
      </c>
      <c r="E52" s="1">
        <v>46013</v>
      </c>
      <c r="F52" t="s">
        <v>91</v>
      </c>
      <c r="G52" t="b">
        <v>0</v>
      </c>
    </row>
    <row r="53" spans="1:7" x14ac:dyDescent="0.25">
      <c r="A53" s="1">
        <v>46021</v>
      </c>
      <c r="B53" s="1">
        <v>46014</v>
      </c>
      <c r="C53" s="1">
        <v>46020</v>
      </c>
      <c r="D53" s="1">
        <v>45993</v>
      </c>
      <c r="E53" s="1">
        <v>46020</v>
      </c>
      <c r="F53" t="s">
        <v>92</v>
      </c>
      <c r="G53" t="b">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bf5c3b-6d54-46d3-b945-dfb4607c5fc2"/>
    <ds:schemaRef ds:uri="a7c3798e-333d-4d8c-b7f0-61d3254dba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810D0D-F7EB-4155-BDDE-E199544D9328}">
  <ds:schemaRefs>
    <ds:schemaRef ds:uri="http://schemas.microsoft.com/office/2006/metadata/properties"/>
    <ds:schemaRef ds:uri="http://schemas.microsoft.com/office/infopath/2007/PartnerControls"/>
    <ds:schemaRef ds:uri="b1bf5c3b-6d54-46d3-b945-dfb4607c5fc2"/>
  </ds:schemaRefs>
</ds:datastoreItem>
</file>

<file path=customXml/itemProps3.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Bur_C_R_28D (2)</vt:lpstr>
      <vt:lpstr>_7Day_28Day_250414_</vt:lpstr>
      <vt:lpstr>All_Crimes</vt:lpstr>
      <vt:lpstr>EXPORT_RMS</vt:lpstr>
      <vt:lpstr>Sexual_Offenses</vt:lpstr>
      <vt:lpstr>Robbery</vt:lpstr>
      <vt:lpstr>Motor_Vehicle_Theft</vt:lpstr>
      <vt:lpstr>Auto_Burglary</vt:lpstr>
      <vt:lpstr>Burglary_Commercial_Residential</vt:lpstr>
      <vt:lpstr>BUR_C_R_PT</vt:lpstr>
      <vt:lpstr>BUR_AUTO_PT</vt:lpstr>
      <vt:lpstr>_7Day_28Day_250414_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dcterms:created xsi:type="dcterms:W3CDTF">2015-06-05T18:17:20Z</dcterms:created>
  <dcterms:modified xsi:type="dcterms:W3CDTF">2025-07-22T20:00:55Z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