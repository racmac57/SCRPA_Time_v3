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tables/table5.xml" ContentType="application/vnd.openxmlformats-officedocument.spreadsheetml.table+xml"/>
  <Override PartName="/xl/tables/table6.xml" ContentType="application/vnd.openxmlformats-officedocument.spreadsheetml.table+xml"/>
  <Override PartName="/xl/queryTables/queryTable5.xml" ContentType="application/vnd.openxmlformats-officedocument.spreadsheetml.queryTable+xml"/>
  <Override PartName="/xl/tables/table7.xml" ContentType="application/vnd.openxmlformats-officedocument.spreadsheetml.table+xml"/>
  <Override PartName="/xl/queryTables/queryTable6.xml" ContentType="application/vnd.openxmlformats-officedocument.spreadsheetml.queryTable+xml"/>
  <Override PartName="/xl/tables/table8.xml" ContentType="application/vnd.openxmlformats-officedocument.spreadsheetml.table+xml"/>
  <Override PartName="/xl/queryTables/queryTable7.xml" ContentType="application/vnd.openxmlformats-officedocument.spreadsheetml.queryTable+xml"/>
  <Override PartName="/xl/tables/table9.xml" ContentType="application/vnd.openxmlformats-officedocument.spreadsheetml.table+xml"/>
  <Override PartName="/xl/queryTables/queryTable8.xml" ContentType="application/vnd.openxmlformats-officedocument.spreadsheetml.queryTable+xml"/>
  <Override PartName="/xl/pivotTables/pivotTable3.xml" ContentType="application/vnd.openxmlformats-officedocument.spreadsheetml.pivotTable+xml"/>
  <Override PartName="/xl/pivotTables/pivotTable4.xml" ContentType="application/vnd.openxmlformats-officedocument.spreadsheetml.pivotTable+xml"/>
  <Override PartName="/xl/tables/table10.xml" ContentType="application/vnd.openxmlformats-officedocument.spreadsheetml.table+xml"/>
  <Override PartName="/xl/tables/table11.xml" ContentType="application/vnd.openxmlformats-officedocument.spreadsheetml.table+xml"/>
  <Override PartName="/xl/queryTables/queryTable9.xml" ContentType="application/vnd.openxmlformats-officedocument.spreadsheetml.queryTable+xml"/>
  <Override PartName="/xl/tables/table12.xml" ContentType="application/vnd.openxmlformats-officedocument.spreadsheetml.table+xml"/>
  <Override PartName="/xl/queryTables/queryTable10.xml" ContentType="application/vnd.openxmlformats-officedocument.spreadsheetml.queryTable+xml"/>
  <Override PartName="/xl/tables/table13.xml" ContentType="application/vnd.openxmlformats-officedocument.spreadsheetml.table+xml"/>
  <Override PartName="/xl/queryTables/queryTable11.xml" ContentType="application/vnd.openxmlformats-officedocument.spreadsheetml.queryTable+xml"/>
  <Override PartName="/xl/pivotTables/pivotTable5.xml" ContentType="application/vnd.openxmlformats-officedocument.spreadsheetml.pivotTable+xml"/>
  <Override PartName="/xl/pivotTables/pivotTable6.xml" ContentType="application/vnd.openxmlformats-officedocument.spreadsheetml.pivot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queryTables/queryTable12.xml" ContentType="application/vnd.openxmlformats-officedocument.spreadsheetml.queryTable+xml"/>
  <Override PartName="/xl/tables/table18.xml" ContentType="application/vnd.openxmlformats-officedocument.spreadsheetml.table+xml"/>
  <Override PartName="/xl/queryTables/queryTable13.xml" ContentType="application/vnd.openxmlformats-officedocument.spreadsheetml.queryTable+xml"/>
  <Override PartName="/xl/tables/table19.xml" ContentType="application/vnd.openxmlformats-officedocument.spreadsheetml.table+xml"/>
  <Override PartName="/xl/queryTables/queryTable14.xml" ContentType="application/vnd.openxmlformats-officedocument.spreadsheetml.query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charts/chart1.xml" ContentType="application/vnd.openxmlformats-officedocument.drawingml.chart+xml"/>
  <Override PartName="/xl/tables/table23.xml" ContentType="application/vnd.openxmlformats-officedocument.spreadsheetml.table+xml"/>
  <Override PartName="/xl/queryTables/queryTable15.xml" ContentType="application/vnd.openxmlformats-officedocument.spreadsheetml.queryTable+xml"/>
  <Override PartName="/xl/tables/table24.xml" ContentType="application/vnd.openxmlformats-officedocument.spreadsheetml.table+xml"/>
  <Override PartName="/xl/queryTables/queryTable16.xml" ContentType="application/vnd.openxmlformats-officedocument.spreadsheetml.queryTable+xml"/>
  <Override PartName="/xl/tables/table25.xml" ContentType="application/vnd.openxmlformats-officedocument.spreadsheetml.table+xml"/>
  <Override PartName="/xl/queryTables/queryTable17.xml" ContentType="application/vnd.openxmlformats-officedocument.spreadsheetml.queryTable+xml"/>
  <Override PartName="/xl/pivotTables/pivotTable9.xml" ContentType="application/vnd.openxmlformats-officedocument.spreadsheetml.pivotTable+xml"/>
  <Override PartName="/xl/pivotTables/pivotTable10.xml" ContentType="application/vnd.openxmlformats-officedocument.spreadsheetml.pivotTable+xml"/>
  <Override PartName="/xl/tables/table26.xml" ContentType="application/vnd.openxmlformats-officedocument.spreadsheetml.table+xml"/>
  <Override PartName="/xl/queryTables/queryTable18.xml" ContentType="application/vnd.openxmlformats-officedocument.spreadsheetml.queryTable+xml"/>
  <Override PartName="/xl/queryTables/queryTable19.xml" ContentType="application/vnd.openxmlformats-officedocument.spreadsheetml.queryTable+xml"/>
  <Override PartName="/xl/tables/table27.xml" ContentType="application/vnd.openxmlformats-officedocument.spreadsheetml.table+xml"/>
  <Override PartName="/xl/queryTables/queryTable20.xml" ContentType="application/vnd.openxmlformats-officedocument.spreadsheetml.queryTable+xml"/>
  <Override PartName="/xl/tables/table28.xml" ContentType="application/vnd.openxmlformats-officedocument.spreadsheetml.table+xml"/>
  <Override PartName="/xl/queryTables/queryTable21.xml" ContentType="application/vnd.openxmlformats-officedocument.spreadsheetml.queryTable+xml"/>
  <Override PartName="/xl/queryTables/queryTable22.xml" ContentType="application/vnd.openxmlformats-officedocument.spreadsheetml.queryTable+xml"/>
  <Override PartName="/xl/queryTables/queryTable23.xml" ContentType="application/vnd.openxmlformats-officedocument.spreadsheetml.queryTable+xml"/>
  <Override PartName="/xl/queryTables/queryTable24.xml" ContentType="application/vnd.openxmlformats-officedocument.spreadsheetml.queryTable+xml"/>
  <Override PartName="/xl/queryTables/queryTable25.xml" ContentType="application/vnd.openxmlformats-officedocument.spreadsheetml.queryTable+xml"/>
  <Override PartName="/xl/tables/table29.xml" ContentType="application/vnd.openxmlformats-officedocument.spreadsheetml.table+xml"/>
  <Override PartName="/xl/queryTables/queryTable26.xml" ContentType="application/vnd.openxmlformats-officedocument.spreadsheetml.queryTable+xml"/>
  <Override PartName="/xl/tables/table30.xml" ContentType="application/vnd.openxmlformats-officedocument.spreadsheetml.table+xml"/>
  <Override PartName="/xl/tables/table3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10"/>
  <workbookPr codeName="ThisWorkbook"/>
  <mc:AlternateContent xmlns:mc="http://schemas.openxmlformats.org/markup-compatibility/2006">
    <mc:Choice Requires="x15">
      <x15ac:absPath xmlns:x15ac="http://schemas.microsoft.com/office/spreadsheetml/2010/11/ac" url="https://hackensack-my.sharepoint.com/personal/rcarucci_hackensackpd_org/Documents/_25_SCRPA/TIME_Based/"/>
    </mc:Choice>
  </mc:AlternateContent>
  <xr:revisionPtr revIDLastSave="79" documentId="13_ncr:1_{EDBAB88B-B15A-46FC-8182-901FA996543F}" xr6:coauthVersionLast="47" xr6:coauthVersionMax="47" xr10:uidLastSave="{A96730F9-5A7B-481E-ACB2-ACFEFE7CA155}"/>
  <bookViews>
    <workbookView xWindow="0" yWindow="-20475" windowWidth="76890" windowHeight="19875" tabRatio="746" firstSheet="22" activeTab="31" xr2:uid="{00000000-000D-0000-FFFF-FFFF00000000}"/>
  </bookViews>
  <sheets>
    <sheet name="Current_7D" sheetId="25" r:id="rId1"/>
    <sheet name="Current_28D" sheetId="26" r:id="rId2"/>
    <sheet name="Bur_Auto" sheetId="3" r:id="rId3"/>
    <sheet name="Bur_Auto_7D" sheetId="24" r:id="rId4"/>
    <sheet name="BUR_AUTO_PT" sheetId="12" r:id="rId5"/>
    <sheet name="Bur_C_R_28D (2)" sheetId="34" state="hidden" r:id="rId6"/>
    <sheet name="Bur_C_R" sheetId="4" r:id="rId7"/>
    <sheet name="Bur_C_R_7D" sheetId="32" r:id="rId8"/>
    <sheet name="Bur_C_R_28D" sheetId="33" r:id="rId9"/>
    <sheet name="BUR_C_R_PT" sheetId="11" r:id="rId10"/>
    <sheet name="MV_Theft" sheetId="6" r:id="rId11"/>
    <sheet name="_MV_THEFT_7DAY" sheetId="27" r:id="rId12"/>
    <sheet name="MV_THEFT_28D" sheetId="35" r:id="rId13"/>
    <sheet name="MV_THEFT_PT" sheetId="10" r:id="rId14"/>
    <sheet name="Robbery" sheetId="28" r:id="rId15"/>
    <sheet name="Robbery_28D" sheetId="36" r:id="rId16"/>
    <sheet name="_Robbery_7D" sheetId="29" r:id="rId17"/>
    <sheet name="ROB_PT" sheetId="8" r:id="rId18"/>
    <sheet name="Sexual_Offenses" sheetId="7" r:id="rId19"/>
    <sheet name="Sex_Off_7D" sheetId="30" r:id="rId20"/>
    <sheet name="Sex_Off_28D" sheetId="37" r:id="rId21"/>
    <sheet name="SEXUAL_PT" sheetId="9" r:id="rId22"/>
    <sheet name="Sheet1" sheetId="42" r:id="rId23"/>
    <sheet name="ESRI_Export" sheetId="39" r:id="rId24"/>
    <sheet name="Invoked Function" sheetId="40" r:id="rId25"/>
    <sheet name="25DateFormats" sheetId="41" r:id="rId26"/>
    <sheet name="Debug_Transform_File (2)" sheetId="47" r:id="rId27"/>
    <sheet name="Debug_Transform_File" sheetId="46" r:id="rId28"/>
    <sheet name="Invoked Function (4)" sheetId="45" r:id="rId29"/>
    <sheet name="Invoked Function (3)" sheetId="44" r:id="rId30"/>
    <sheet name="Invoked Function (2)" sheetId="43" r:id="rId31"/>
    <sheet name="EXPORT_RMS" sheetId="2" r:id="rId32"/>
    <sheet name="_7Day_28Day_250414_ (2)" sheetId="31" state="hidden" r:id="rId33"/>
    <sheet name="_7Day_28Day_250414_" sheetId="22" r:id="rId34"/>
  </sheets>
  <definedNames>
    <definedName name="ExternalData_1" localSheetId="33" hidden="1">'_7Day_28Day_250414_'!$A$1:$F$53</definedName>
    <definedName name="ExternalData_1" localSheetId="32" hidden="1">'_7Day_28Day_250414_ (2)'!$A$1:$G$53</definedName>
    <definedName name="ExternalData_1" localSheetId="11" hidden="1">_MV_THEFT_7DAY!$A$1:$L$2</definedName>
    <definedName name="ExternalData_1" localSheetId="16" hidden="1">'_Robbery_7D'!$A$1:$P$2</definedName>
    <definedName name="ExternalData_1" localSheetId="31" hidden="1">EXPORT_RMS!$A$1:$M$1013</definedName>
    <definedName name="ExternalData_2" localSheetId="25" hidden="1">'25DateFormats'!$A$1:$V$368</definedName>
    <definedName name="ExternalData_2" localSheetId="2" hidden="1">Bur_Auto!$A$1:$AS$13</definedName>
    <definedName name="ExternalData_2" localSheetId="3" hidden="1">Bur_Auto_7D!#REF!</definedName>
    <definedName name="ExternalData_2" localSheetId="4" hidden="1">BUR_AUTO_PT!#REF!</definedName>
    <definedName name="ExternalData_2" localSheetId="23" hidden="1">ESRI_Export!$A$1:$BA$61</definedName>
    <definedName name="ExternalData_2" localSheetId="24">'Invoked Function'!$A$1</definedName>
    <definedName name="ExternalData_2" localSheetId="30">'Invoked Function (2)'!$A$1</definedName>
    <definedName name="ExternalData_2" localSheetId="14" hidden="1">'Robbery'!$A$1:$AT$10</definedName>
    <definedName name="ExternalData_2" localSheetId="15" hidden="1">'Robbery_28D'!$A$1:$P$2</definedName>
    <definedName name="ExternalData_3" localSheetId="3" hidden="1">Bur_Auto_7D!$A$1:$O$2</definedName>
    <definedName name="ExternalData_3" localSheetId="6" hidden="1">Bur_C_R!$A$1:$BB$13</definedName>
    <definedName name="ExternalData_3" localSheetId="9" hidden="1">BUR_C_R_PT!$M$1:$BN$11</definedName>
    <definedName name="ExternalData_3" localSheetId="29">'Invoked Function (3)'!$A$1</definedName>
    <definedName name="ExternalData_3" localSheetId="20" hidden="1">Sex_Off_28D!$A$1:$O$2</definedName>
    <definedName name="ExternalData_4" localSheetId="7" hidden="1">Bur_C_R_7D!$A$1:$M$3</definedName>
    <definedName name="ExternalData_4" localSheetId="0" hidden="1">'Current_7D'!$A$1:$AV$6</definedName>
    <definedName name="ExternalData_4" localSheetId="28">'Invoked Function (4)'!$A$1</definedName>
    <definedName name="ExternalData_5" localSheetId="8" hidden="1">Bur_C_R_28D!$A$1:$M$7</definedName>
    <definedName name="ExternalData_5" localSheetId="1" hidden="1">Current_28D!$A$1:$AV$22</definedName>
    <definedName name="ExternalData_5" localSheetId="27">Debug_Transform_File!$A$1</definedName>
    <definedName name="ExternalData_5" localSheetId="10" hidden="1">MV_Theft!$A$1:$BC$15</definedName>
    <definedName name="ExternalData_5" localSheetId="12" hidden="1">MV_THEFT_28D!$A$1:$L$2</definedName>
    <definedName name="ExternalData_6" localSheetId="5" hidden="1">'Bur_C_R_28D (2)'!$A$1:$H$7</definedName>
    <definedName name="ExternalData_6" localSheetId="26" hidden="1">'Debug_Transform_File (2)'!$A$1:$AL$31</definedName>
    <definedName name="ExternalData_6" localSheetId="18" hidden="1">Sexual_Offenses!$A$1:$BB$7</definedName>
    <definedName name="ExternalData_7" localSheetId="19" hidden="1">Sex_Off_7D!$A$1:$O$2</definedName>
  </definedNames>
  <calcPr calcId="191028"/>
  <pivotCaches>
    <pivotCache cacheId="0" r:id="rId35"/>
    <pivotCache cacheId="1" r:id="rId36"/>
    <pivotCache cacheId="2" r:id="rId37"/>
    <pivotCache cacheId="3" r:id="rId38"/>
    <pivotCache cacheId="4" r:id="rId39"/>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13" i="9" l="1" a="1"/>
  <c r="J13" i="9" s="1"/>
  <c r="A13" i="9" a="1"/>
  <c r="A13" i="9" s="1"/>
  <c r="J14" i="8" a="1"/>
  <c r="J14" i="8" s="1"/>
  <c r="A14" i="8" a="1"/>
  <c r="A14" i="8" s="1"/>
  <c r="A33" i="11" a="1"/>
  <c r="A33" i="11" s="1"/>
  <c r="A15" i="11" a="1"/>
  <c r="A15" i="11" s="1"/>
  <c r="A35" i="12" a="1"/>
  <c r="A35" i="12" s="1"/>
  <c r="A17" i="12" a="1"/>
  <c r="A17" i="12" s="1"/>
  <c r="G53" i="22"/>
  <c r="G52" i="22"/>
  <c r="G51" i="22"/>
  <c r="G50" i="22"/>
  <c r="G49" i="22"/>
  <c r="G48" i="22"/>
  <c r="G47" i="22"/>
  <c r="G46" i="22"/>
  <c r="G45" i="22"/>
  <c r="G44" i="22"/>
  <c r="G43" i="22"/>
  <c r="G42" i="22"/>
  <c r="G41" i="22"/>
  <c r="G40" i="22"/>
  <c r="G39" i="22"/>
  <c r="G38" i="22"/>
  <c r="G37" i="22"/>
  <c r="G36" i="22"/>
  <c r="G35" i="22"/>
  <c r="G34" i="22"/>
  <c r="G33" i="22"/>
  <c r="G32" i="22"/>
  <c r="G31" i="22"/>
  <c r="G30" i="22"/>
  <c r="G29" i="22"/>
  <c r="G28" i="22"/>
  <c r="G27" i="22"/>
  <c r="G26" i="22"/>
  <c r="G25" i="22"/>
  <c r="G24" i="22"/>
  <c r="G23" i="22"/>
  <c r="G22" i="22"/>
  <c r="G21" i="22"/>
  <c r="G20" i="22"/>
  <c r="G19" i="22"/>
  <c r="G18" i="22"/>
  <c r="G17" i="22"/>
  <c r="G16" i="22"/>
  <c r="G15" i="22"/>
  <c r="G14" i="22"/>
  <c r="G13" i="22"/>
  <c r="G12" i="22"/>
  <c r="G11" i="22"/>
  <c r="G10" i="22"/>
  <c r="G9" i="22"/>
  <c r="G8" i="22"/>
  <c r="G7" i="22"/>
  <c r="G6" i="22"/>
  <c r="G5" i="22"/>
  <c r="G4" i="22"/>
  <c r="G3" i="22"/>
  <c r="G2" i="2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893118B-3E6E-4041-B699-33E7DCE83C0A}" keepAlive="1" name="Query - _7Day_28Day_250414_" description="Connection to the '_7Day_28Day_250414_' query in the workbook." type="5" refreshedVersion="8" background="1" saveData="1">
    <dbPr connection="Provider=Microsoft.Mashup.OleDb.1;Data Source=$Workbook$;Location=_7Day_28Day_250414_;Extended Properties=&quot;&quot;" command="SELECT * FROM [_7Day_28Day_250414_]"/>
  </connection>
  <connection id="2" xr16:uid="{9E6A53B3-04B7-4872-8D2D-552438758118}" keepAlive="1" name="Query - 25DateFormats" description="Connection to the '25DateFormats' query in the workbook." type="5" refreshedVersion="8" background="1" saveData="1">
    <dbPr connection="Provider=Microsoft.Mashup.OleDb.1;Data Source=$Workbook$;Location=25DateFormats;Extended Properties=&quot;&quot;" command="SELECT * FROM [25DateFormats]"/>
  </connection>
  <connection id="3" xr16:uid="{EA0072ED-832C-429A-9FCE-38975CDE78AF}" keepAlive="1" name="Query - Bur_Auto" description="Connection to the 'Bur_Auto' query in the workbook." type="5" refreshedVersion="8" background="1" saveData="1">
    <dbPr connection="Provider=Microsoft.Mashup.OleDb.1;Data Source=$Workbook$;Location=Bur_Auto;Extended Properties=&quot;&quot;" command="SELECT * FROM [Bur_Auto]"/>
  </connection>
  <connection id="4" xr16:uid="{19116F90-9B7A-4FB2-AC84-667F776E503D}" keepAlive="1" name="Query - Bur_Auto_28D" description="Connection to the 'Bur_Auto_28D' query in the workbook." type="5" refreshedVersion="8" background="1" saveData="1">
    <dbPr connection="Provider=Microsoft.Mashup.OleDb.1;Data Source=$Workbook$;Location=Bur_Auto_28D;Extended Properties=&quot;&quot;" command="SELECT * FROM [Bur_Auto_28D]"/>
  </connection>
  <connection id="5" xr16:uid="{CDC0DC32-E900-4F76-B9E6-B6338BB07DE3}" keepAlive="1" name="Query - Bur_Auto_7D" description="Connection to the 'Bur_Auto_7D' query in the workbook." type="5" refreshedVersion="8" background="1" saveData="1">
    <dbPr connection="Provider=Microsoft.Mashup.OleDb.1;Data Source=$Workbook$;Location=Bur_Auto_7D;Extended Properties=&quot;&quot;" command="SELECT * FROM [Bur_Auto_7D]"/>
  </connection>
  <connection id="6" xr16:uid="{E939293C-6DC8-4249-873B-9B7663FA4F30}" keepAlive="1" name="Query - Bur_C_R" description="Connection to the 'Bur_C_R' query in the workbook." type="5" refreshedVersion="8" background="1" saveData="1">
    <dbPr connection="Provider=Microsoft.Mashup.OleDb.1;Data Source=$Workbook$;Location=Bur_C_R;Extended Properties=&quot;&quot;" command="SELECT * FROM [Bur_C_R]"/>
  </connection>
  <connection id="7" xr16:uid="{0252A688-57B5-406C-A661-4CC36F62F4A4}" keepAlive="1" name="Query - Bur_C_R_28D" description="Connection to the 'Bur_C_R_28D' query in the workbook." type="5" refreshedVersion="8" background="1" saveData="1">
    <dbPr connection="Provider=Microsoft.Mashup.OleDb.1;Data Source=$Workbook$;Location=Bur_C_R_28D;Extended Properties=&quot;&quot;" command="SELECT * FROM [Bur_C_R_28D]"/>
  </connection>
  <connection id="8" xr16:uid="{58EF1329-ABC4-43BE-9F06-A4515FD6DA2C}" keepAlive="1" name="Query - Bur_C_R_7D" description="Connection to the 'Bur_C_R_7D' query in the workbook." type="5" refreshedVersion="8" background="1" saveData="1">
    <dbPr connection="Provider=Microsoft.Mashup.OleDb.1;Data Source=$Workbook$;Location=Bur_C_R_7D;Extended Properties=&quot;&quot;" command="SELECT * FROM [Bur_C_R_7D]"/>
  </connection>
  <connection id="9" xr16:uid="{D4DCD111-752A-40C8-A46C-60C534A946D8}" keepAlive="1" name="Query - Current_28D" description="Connection to the 'Current_28D' query in the workbook." type="5" refreshedVersion="8" background="1" saveData="1">
    <dbPr connection="Provider=Microsoft.Mashup.OleDb.1;Data Source=$Workbook$;Location=Current_28D;Extended Properties=&quot;&quot;" command="SELECT * FROM [Current_28D]"/>
  </connection>
  <connection id="10" xr16:uid="{41BA2DA0-A83F-41EC-A867-FFF8B939D9E5}" keepAlive="1" name="Query - Current_7D" description="Connection to the 'Current_7D' query in the workbook." type="5" refreshedVersion="8" background="1" saveData="1">
    <dbPr connection="Provider=Microsoft.Mashup.OleDb.1;Data Source=$Workbook$;Location=Current_7D;Extended Properties=&quot;&quot;" command="SELECT * FROM [Current_7D]"/>
  </connection>
  <connection id="11" xr16:uid="{4F1DE21B-0C82-474D-A811-21832B66FFAD}" keepAlive="1" name="Query - Debug_Transform_File" type="5" refreshedVersion="0" deleted="1" background="1" saveData="1">
    <dbPr connection="" command=""/>
  </connection>
  <connection id="12" xr16:uid="{6BC94B70-78A1-49A3-BEDA-CE6D17C903E3}" keepAlive="1" name="Query - Debug_Transform_File(1)" description="Connection to the 'Debug_Transform_File' query in the workbook." type="5" refreshedVersion="8" background="1" saveData="1">
    <dbPr connection="Provider=Microsoft.Mashup.OleDb.1;Data Source=$Workbook$;Location=Debug_Transform_File;Extended Properties=&quot;&quot;" command="SELECT * FROM [Debug_Transform_File]"/>
  </connection>
  <connection id="13" xr16:uid="{44A5ED86-19DC-4DA4-AD89-32F759B0F066}" keepAlive="1" name="Query - ESRI_Export" description="Connection to the 'ESRI_Export' query in the workbook." type="5" refreshedVersion="8" background="1" saveData="1">
    <dbPr connection="Provider=Microsoft.Mashup.OleDb.1;Data Source=$Workbook$;Location=ESRI_Export;Extended Properties=&quot;&quot;" command="SELECT * FROM [ESRI_Export]"/>
  </connection>
  <connection id="14" xr16:uid="{03A5906A-4CA8-4C73-AD11-E0976737A902}" keepAlive="1" name="Query - EXPORT_RMS" description="Connection to the 'EXPORT_RMS' query in the workbook." type="5" refreshedVersion="8" background="1" saveData="1">
    <dbPr connection="Provider=Microsoft.Mashup.OleDb.1;Data Source=$Workbook$;Location=EXPORT_RMS;Extended Properties=&quot;&quot;" command="SELECT * FROM [EXPORT_RMS]"/>
  </connection>
  <connection id="15" xr16:uid="{64254351-F874-412F-B5A6-65600380F8EE}" keepAlive="1" name="Query - fnExtractAfterKeyword" description="Connection to the 'fnExtractAfterKeyword' query in the workbook." type="5" refreshedVersion="0" background="1">
    <dbPr connection="Provider=Microsoft.Mashup.OleDb.1;Data Source=$Workbook$;Location=fnExtractAfterKeyword;Extended Properties=&quot;&quot;" command="SELECT * FROM [fnExtractAfterKeyword]"/>
  </connection>
  <connection id="16" xr16:uid="{ACFBC5C6-EB09-400D-A430-C820CB78095A}" keepAlive="1" name="Query - Invoked Function" description="Connection to the 'Invoked Function' query in the workbook." type="5" refreshedVersion="0" background="1" saveData="1">
    <dbPr connection="Provider=Microsoft.Mashup.OleDb.1;Data Source=$Workbook$;Location=&quot;Invoked Function&quot;;Extended Properties=&quot;&quot;" command="SELECT * FROM [Invoked Function]"/>
  </connection>
  <connection id="17" xr16:uid="{E93B707F-2226-4514-A24C-0AC5570CE47C}" keepAlive="1" name="Query - Invoked Function (2)" type="5" refreshedVersion="0" deleted="1" background="1" saveData="1">
    <dbPr connection="" command=""/>
  </connection>
  <connection id="18" xr16:uid="{34528B9C-4AC4-4854-9F5F-AC5FB567EC95}" keepAlive="1" name="Query - Invoked Function (2)(1)" description="Connection to the 'Invoked Function (2)' query in the workbook." type="5" refreshedVersion="0" background="1" saveData="1">
    <dbPr connection="Provider=Microsoft.Mashup.OleDb.1;Data Source=$Workbook$;Location=&quot;Invoked Function (2)&quot;;Extended Properties=&quot;&quot;" command="SELECT * FROM [Invoked Function (2)]"/>
  </connection>
  <connection id="19" xr16:uid="{5A7196A0-F93E-4156-B3C9-D218D40955A5}" keepAlive="1" name="Query - Invoked Function (3)" type="5" refreshedVersion="0" deleted="1" background="1" saveData="1">
    <dbPr connection="" command=""/>
  </connection>
  <connection id="20" xr16:uid="{9241D73E-215C-4301-A693-1097E89404D9}" keepAlive="1" name="Query - MV_Theft" description="Connection to the 'MV_Theft' query in the workbook." type="5" refreshedVersion="8" background="1" saveData="1">
    <dbPr connection="Provider=Microsoft.Mashup.OleDb.1;Data Source=$Workbook$;Location=MV_Theft;Extended Properties=&quot;&quot;" command="SELECT * FROM [MV_Theft]"/>
  </connection>
  <connection id="21" xr16:uid="{3B76B399-C9F2-4998-8F84-55F8CC74E54E}" keepAlive="1" name="Query - MV_THEFT_28D" description="Connection to the 'MV_THEFT_28D' query in the workbook." type="5" refreshedVersion="8" background="1" saveData="1">
    <dbPr connection="Provider=Microsoft.Mashup.OleDb.1;Data Source=$Workbook$;Location=MV_THEFT_28D;Extended Properties=&quot;&quot;" command="SELECT * FROM [MV_THEFT_28D]"/>
  </connection>
  <connection id="22" xr16:uid="{62E07BCB-FA72-4FB5-9C2E-25CE2CB945DC}" keepAlive="1" name="Query - MV_THEFT_7D" description="Connection to the 'MV_THEFT_7D' query in the workbook." type="5" refreshedVersion="8" background="1" saveData="1">
    <dbPr connection="Provider=Microsoft.Mashup.OleDb.1;Data Source=$Workbook$;Location=MV_THEFT_7D;Extended Properties=&quot;&quot;" command="SELECT * FROM [MV_THEFT_7D]"/>
  </connection>
  <connection id="23" xr16:uid="{12EA993F-6343-4693-B798-EF2B18165E57}" keepAlive="1" name="Query - Parameter1" description="Connection to the 'Parameter1' query in the workbook." type="5" refreshedVersion="0" background="1">
    <dbPr connection="Provider=Microsoft.Mashup.OleDb.1;Data Source=$Workbook$;Location=Parameter1;Extended Properties=&quot;&quot;" command="SELECT * FROM [Parameter1]"/>
  </connection>
  <connection id="24" xr16:uid="{14E7BA4E-99B6-49FF-88CB-09E24D63324C}" keepAlive="1" name="Query - Robbery" description="Connection to the 'Robbery' query in the workbook." type="5" refreshedVersion="8" background="1" saveData="1">
    <dbPr connection="Provider=Microsoft.Mashup.OleDb.1;Data Source=$Workbook$;Location=Robbery;Extended Properties=&quot;&quot;" command="SELECT * FROM [Robbery]"/>
  </connection>
  <connection id="25" xr16:uid="{95C63C6D-1278-47D5-A423-BAD5240B68C8}" keepAlive="1" name="Query - Robbery_28D" description="Connection to the 'Robbery_28D' query in the workbook." type="5" refreshedVersion="8" background="1" saveData="1">
    <dbPr connection="Provider=Microsoft.Mashup.OleDb.1;Data Source=$Workbook$;Location=Robbery_28D;Extended Properties=&quot;&quot;" command="SELECT * FROM [Robbery_28D]"/>
  </connection>
  <connection id="26" xr16:uid="{B02B1BD9-AF3D-4975-AC20-CF5A3EBE20C1}" keepAlive="1" name="Query - Robbery_7D" description="Connection to the 'Robbery_7D' query in the workbook." type="5" refreshedVersion="8" background="1" saveData="1">
    <dbPr connection="Provider=Microsoft.Mashup.OleDb.1;Data Source=$Workbook$;Location=Robbery_7D;Extended Properties=&quot;&quot;" command="SELECT * FROM [Robbery_7D]"/>
  </connection>
  <connection id="27" xr16:uid="{6A029052-2F38-42F3-9FCD-B69A88E9FB8F}" keepAlive="1" name="Query - Sample File" description="Connection to the 'Sample File' query in the workbook." type="5" refreshedVersion="0" background="1">
    <dbPr connection="Provider=Microsoft.Mashup.OleDb.1;Data Source=$Workbook$;Location=&quot;Sample File&quot;;Extended Properties=&quot;&quot;" command="SELECT * FROM [Sample File]"/>
  </connection>
  <connection id="28" xr16:uid="{62140C14-C134-4FF6-AFA9-FCC945DD5E24}" keepAlive="1" name="Query - Sex_Off_28D" description="Connection to the 'Sex_Off_28D' query in the workbook." type="5" refreshedVersion="8" background="1" saveData="1">
    <dbPr connection="Provider=Microsoft.Mashup.OleDb.1;Data Source=$Workbook$;Location=Sex_Off_28D;Extended Properties=&quot;&quot;" command="SELECT * FROM [Sex_Off_28D]"/>
  </connection>
  <connection id="29" xr16:uid="{6E8245EF-28A7-4BA0-BAF8-0DC8913AAF0D}" keepAlive="1" name="Query - Sex_Off_7D" description="Connection to the 'Sex_Off_7D' query in the workbook." type="5" refreshedVersion="8" background="1" saveData="1">
    <dbPr connection="Provider=Microsoft.Mashup.OleDb.1;Data Source=$Workbook$;Location=Sex_Off_7D;Extended Properties=&quot;&quot;" command="SELECT * FROM [Sex_Off_7D]"/>
  </connection>
  <connection id="30" xr16:uid="{C4BFF245-EC0C-49A9-9868-AE2F36E3C877}" keepAlive="1" name="Query - Sexual_Offenses" description="Connection to the 'Sexual_Offenses' query in the workbook." type="5" refreshedVersion="8" background="1" saveData="1">
    <dbPr connection="Provider=Microsoft.Mashup.OleDb.1;Data Source=$Workbook$;Location=Sexual_Offenses;Extended Properties=&quot;&quot;" command="SELECT * FROM [Sexual_Offenses]"/>
  </connection>
  <connection id="31" xr16:uid="{39F68754-F667-4327-82C8-247F99A03A63}" keepAlive="1" name="Query - TestBur_C_R_28D (2)" description="Connection to the 'TestBur_C_R_28D (2)' query in the workbook." type="5" refreshedVersion="8" background="1" saveData="1">
    <dbPr connection="Provider=Microsoft.Mashup.OleDb.1;Data Source=$Workbook$;Location=&quot;TestBur_C_R_28D (2)&quot;;Extended Properties=&quot;&quot;" command="SELECT * FROM [TestBur_C_R_28D (2)]"/>
  </connection>
  <connection id="32" xr16:uid="{6B0C8447-4982-486A-BB43-7E498D61E2F3}" keepAlive="1" name="Query - Transform_File" description="Connection to the 'Transform_File' query in the workbook." type="5" refreshedVersion="0" background="1">
    <dbPr connection="Provider=Microsoft.Mashup.OleDb.1;Data Source=$Workbook$;Location=Transform_File;Extended Properties=&quot;&quot;" command="SELECT * FROM [Transform_File]"/>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<sst xmlns="http://schemas.openxmlformats.org/spreadsheetml/2006/main" count="12576" uniqueCount="1460">
  <si>
    <t>Case Number</t>
  </si>
  <si>
    <t>INC_DATE</t>
  </si>
  <si>
    <t>TOD</t>
  </si>
  <si>
    <t>Start of Hour</t>
  </si>
  <si>
    <t>INC_TIME</t>
  </si>
  <si>
    <t>Day Name</t>
  </si>
  <si>
    <t>Month Name</t>
  </si>
  <si>
    <t>BLOCK</t>
  </si>
  <si>
    <t>Location</t>
  </si>
  <si>
    <t>Incident Type_1</t>
  </si>
  <si>
    <t>ALL_INCIDENTS</t>
  </si>
  <si>
    <t>Incident Type_2</t>
  </si>
  <si>
    <t>Incident Type_3</t>
  </si>
  <si>
    <t>FullAddress</t>
  </si>
  <si>
    <t>Grid</t>
  </si>
  <si>
    <t>Zone</t>
  </si>
  <si>
    <t>Narrative</t>
  </si>
  <si>
    <t>Total Value Stolen</t>
  </si>
  <si>
    <t>Total Value Recover</t>
  </si>
  <si>
    <t>Registration 1</t>
  </si>
  <si>
    <t>Make1</t>
  </si>
  <si>
    <t>Model1</t>
  </si>
  <si>
    <t>Reg State 1</t>
  </si>
  <si>
    <t>Registration 2</t>
  </si>
  <si>
    <t>Reg State 2</t>
  </si>
  <si>
    <t>Make2</t>
  </si>
  <si>
    <t>Model2</t>
  </si>
  <si>
    <t>Reviewed By</t>
  </si>
  <si>
    <t>CompleteCalc</t>
  </si>
  <si>
    <t>Officer of Record</t>
  </si>
  <si>
    <t>Squad</t>
  </si>
  <si>
    <t>Det_Assigned</t>
  </si>
  <si>
    <t>Case_Status</t>
  </si>
  <si>
    <t>NIBRS Classification</t>
  </si>
  <si>
    <t>CASE_NUMBER_LENGTH</t>
  </si>
  <si>
    <t>Incident Date</t>
  </si>
  <si>
    <t>Incident Time</t>
  </si>
  <si>
    <t>Incident Date_Between</t>
  </si>
  <si>
    <t>Incident Time_Between</t>
  </si>
  <si>
    <t>Report Date</t>
  </si>
  <si>
    <t>Report Time</t>
  </si>
  <si>
    <t>Year</t>
  </si>
  <si>
    <t>Week of Year</t>
  </si>
  <si>
    <t>Week of Month</t>
  </si>
  <si>
    <t>Day</t>
  </si>
  <si>
    <t>Day of Year</t>
  </si>
  <si>
    <t>INC_DATE_AND_TIME</t>
  </si>
  <si>
    <t>St#</t>
  </si>
  <si>
    <t>VEHICLE</t>
  </si>
  <si>
    <t>Suspect</t>
  </si>
  <si>
    <t>TOTAL_STOLEN_AMOUNT</t>
  </si>
  <si>
    <t>REPORT_CYCLE</t>
  </si>
  <si>
    <t>TIME_OF_DAY</t>
  </si>
  <si>
    <t>25-002635</t>
  </si>
  <si>
    <t>12:00-15:59 Afternoon</t>
  </si>
  <si>
    <t>January</t>
  </si>
  <si>
    <t>Prospect Ave, 0 Block</t>
  </si>
  <si>
    <t>90 Prospect Avenue</t>
  </si>
  <si>
    <t>Burglary - Auto</t>
  </si>
  <si>
    <t/>
  </si>
  <si>
    <t>90 Prospect Avenue, Hackensack, NJ, 07601</t>
  </si>
  <si>
    <t>Suspect(s): Unknown.     I responded to the listed location, 90 Prospect Avenue, on a report of a burglary to auto. Upon arrival, I was met by the victim, Kelly Nurnberg-Darzi, who stated on the morning of 01/10/25 she responded to her grey 2006 Honda Pilot and observed all of her work equipment to be missing. The victim advised me she specialized in opening safes and stores several of her high-value tools in the rear of the listed vehicle. The victim stated the listed vehicle was parked in assigned space #20 and did not move it from the assigned space. The victim stated she last recalled observing her tools in the listed vehicle on 01/06/25 and had not returned to the vehicle since. The following items were taken from the listed vehicle:2 Boroscope - $5,000.00 USD8 Redundant Locks - $2,000.00 USD5 Drills - $5,000.00 USD1 large box of drill bits - $1,200.00 USD1 tool bag with several tools - $2,000.00 USD6 Electronic locks - $1,320.00 USD4 FAS locks - $480.00 Total Value - $17,000.00 USD     While on scene, I observed several cameras in the parking garage of 90 Prospect Avenue. I further observed the listed vehicle to have a broken rear passenger side window which gives direct access to the vehicles trunk. The victim stated the damage occurred on 01/04/25 while her son was parking the vehicle. The victim further stated she did not have any time to repair the broken window and remove the tools from the vehicle prior to them being taken.      The victim advised me she believes the suspect may be her husband Uri Darzi whom she is currently in a civil lawsuit with. Sgt. Peralta responded assist.A victim notification form was completed and a copy was given to the victim.</t>
  </si>
  <si>
    <t>XCSW43</t>
  </si>
  <si>
    <t>HONDA</t>
  </si>
  <si>
    <t>PIL</t>
  </si>
  <si>
    <t>NJ</t>
  </si>
  <si>
    <t>Deleon_A</t>
  </si>
  <si>
    <t>Complete</t>
  </si>
  <si>
    <t>P.O. Ruben Almonte 359</t>
  </si>
  <si>
    <t>A3</t>
  </si>
  <si>
    <t>Det. Matthew DeBonis 325</t>
  </si>
  <si>
    <t>Active/Administratively Closed</t>
  </si>
  <si>
    <t>23F = Theft From Motor Vehicle</t>
  </si>
  <si>
    <t>Vehicle 1: NJ-XCSW43 HONDA, PIL</t>
  </si>
  <si>
    <t>suspect(s): unknown suspect may be her husband uri darzi whom she is currently in a civil lawsuit with</t>
  </si>
  <si>
    <t>$5,000.00 USD8 Redundant Locks -  $2,000.00 USD5 Drills -  $5,000.00 USD1 large box of drill bits -  $1,200.00 USD1 tool bag with several tools -  $2,000.00 USD6 Electronic locks -  $1,320.00 USD4 FAS locks -  $480.00 Total Value -  $17,000.00 USD     While on scene, I observed several cameras in the parking garage of 90 Prospect Avenue. I further observed the listed vehicle to have a broken rear passenger side window which gives direct access to the vehicles trunk</t>
  </si>
  <si>
    <t>Afternoon (12:00-15:59)</t>
  </si>
  <si>
    <t>25-007074</t>
  </si>
  <si>
    <t>16:00-19:59 Evening Peak</t>
  </si>
  <si>
    <t>Stanley Pl, 200 Block</t>
  </si>
  <si>
    <t>206 Stanley Place</t>
  </si>
  <si>
    <t>Burglary - Auto, Theft</t>
  </si>
  <si>
    <t>Theft</t>
  </si>
  <si>
    <t>206 Stanley Place, Hackensack, NJ, 07601</t>
  </si>
  <si>
    <t>H3</t>
  </si>
  <si>
    <t>Suspect description: Possibly male, approximately 5'7'' in height, with a slim build. On 1/26/25 P.O. Papanikolaou and I responded to 206 Stanley Place on a reported theft from auto. Upon arrival, I spoke with the victim, Phyllis Cunningham. The victim reported on 1/25/25 at approximately 20:52 hours she received a text message from her son. The text was a video of an unknown suspect entering her vehicle, New Jersey Registration R36GBB. The listed vehicle was parked in the driveway at 206 Stanley Place. The victim showed me the video that her son texted her. Upon observing the video I observed on 1/25/25 at 18:27 hours the suspect entered the vehicle from the front driver side door, which was left insecure. Later, the suspect was seen on video to be searching through the vehicle. After the incident the victim responded to check her vehicle. Upon inspecting her vehicle nothing appeared to be stolen and no damage was observed. A New Jersey victim notification form was completed. The victim did not request to have the vehicle processed. At this time the victim reported if the suspect could be identified she would pursue a criminal case.  The victim was advised to save the video surveillance of the incident. Sgt. Competiello was advised.</t>
  </si>
  <si>
    <t>R36GBB</t>
  </si>
  <si>
    <t>CRV</t>
  </si>
  <si>
    <t>Levis_R</t>
  </si>
  <si>
    <t>P.O. Massimo Gallorini 379</t>
  </si>
  <si>
    <t>A2</t>
  </si>
  <si>
    <t>Sgt. Franklin Bay 162</t>
  </si>
  <si>
    <t>No Investigation</t>
  </si>
  <si>
    <t>Vehicle 1: NJ-R36GBB HONDA, CRV</t>
  </si>
  <si>
    <t>suspect description: possibly male, approximately 5'7'' in height, with a slim build suspect entering her vehicle, new jersey registration r36gbb suspect entered the vehicle from the front driver side door, which was left insecure suspect was seen on video to be searching through the vehicle suspect could be identified she would pursue a criminal case</t>
  </si>
  <si>
    <t>Evening Peak (16:00-19:59)</t>
  </si>
  <si>
    <t>25-007197</t>
  </si>
  <si>
    <t>20:00-23:59 Night</t>
  </si>
  <si>
    <t>Pangborn Pl, 0 Block</t>
  </si>
  <si>
    <t>5 Pangborn Place</t>
  </si>
  <si>
    <t>5 Pangborn Place, Hackensack, NJ, 07601</t>
  </si>
  <si>
    <t>H2</t>
  </si>
  <si>
    <t>I responded to the listed location on a reported theft from a motor vehicle. Sgt. Farhi responded to assist. Upon arrival, I spoke with the complainant. She stated that on 01/26/2025 at approximately 20:10 hours, she had turned her vehicle on to heat up. She further stated that she had left the vehicle running with the keys inside when she returned to her apartment for a few moments. The complainant reported that when she returned to the vehicle, the vehicle was still there but the keys were missing.       The complainant stated that no other items appeared to be missing from the vehicle. Furthermore, due to contamination by the complainant, the vehicle was unable to be processed.    The complainant stated that the value of the key fob is approximately $200.00.    The vehicle was parked on Conklin Place, 150 feet east of Pangborn Place, facing west.    A check of the area for cameras revealed one on the Bergen Christian Academies.       A New Jersey Victim Notification Form was completed and provided to the complainant. She was further advised on how to obtain a copy of this report.  Detective Garrett was notified.Vehicle Insurance: GeicoCode :365Policy Number: 6164-87-88-42</t>
  </si>
  <si>
    <t>R97RYW</t>
  </si>
  <si>
    <t>ODY</t>
  </si>
  <si>
    <t>P.O. Micah Gibson 365</t>
  </si>
  <si>
    <t>Det. Matthew Dogali 338</t>
  </si>
  <si>
    <t>Vehicle 1: NJ-R97RYW HONDA, ODY</t>
  </si>
  <si>
    <t>$200.00.    The vehicle was parked on Conklin Place, 150 feet east of Pangborn Place, facing west</t>
  </si>
  <si>
    <t>Night (20:00-23:59)</t>
  </si>
  <si>
    <t>25-012325</t>
  </si>
  <si>
    <t>February</t>
  </si>
  <si>
    <t>East Pleasantview Avenue &amp; Kipp Street</t>
  </si>
  <si>
    <t>East Pleasantview Avenue &amp; Kipp Street, Hackensack, NJ, 07601</t>
  </si>
  <si>
    <t>F3</t>
  </si>
  <si>
    <t>I responded to East Pleasantview and Kipp St. on a burglary to auto. Upon arrival I met with the complainant, Mr. Santangelo who is an employee of PSE&amp;G. He stated that he parked and locked his work vehicle (NJ-XGDR55) on 2/13/25 at approximately 1600 hours then returned on 2/14/25 at 0710 hours and noticed the rear passenger side window was completely shattered.     The window was shattered and the unknown suspect(s) were able to unlock the door from the inside and enter the vehicle. Mr. Santangelo reported numerous tools were stolen. Mr. Santangelo touched the inside of the vehicle prior to my arrival, contaminating it making it unable to be processed. Stolen tools:1-Metro Tech 810 Mark out scope- approximately $3,000.001-Heath RMLD- Approximately $8,000.001-Heath gas detector- Approximately $5,000.00                                            Approximate amount stolen: $16,000.00    I did not observe any cameras in the area and the PSE&amp;G vehicle is self insured.</t>
  </si>
  <si>
    <t>XGDR55</t>
  </si>
  <si>
    <t>FORD</t>
  </si>
  <si>
    <t>R1Z</t>
  </si>
  <si>
    <t>Swetits_M</t>
  </si>
  <si>
    <t>P.O. Angelo Vicale 370</t>
  </si>
  <si>
    <t>B3</t>
  </si>
  <si>
    <t>Det. Demetrius Carroll 133</t>
  </si>
  <si>
    <t>Active Investigation</t>
  </si>
  <si>
    <t>Vehicle 1: NJ-XGDR55 FORD, R1Z</t>
  </si>
  <si>
    <t>suspect(s) were able to unlock the door from the inside and enter the vehicle</t>
  </si>
  <si>
    <t>$3,000.001-Heath RMLD- Approximately  $8,000.001-Heath gas detector- Approximately  $5,000.00                                            Approximate amount stolen:  $16,000.00    I did not observe any cameras in the area and the PSE&amp;G vehicle is self insured.</t>
  </si>
  <si>
    <t>(All)</t>
  </si>
  <si>
    <t>Count of Case Number</t>
  </si>
  <si>
    <t>25-004478</t>
  </si>
  <si>
    <t>Second St, 0 Block</t>
  </si>
  <si>
    <t>30 Second Street</t>
  </si>
  <si>
    <t>Burglary - Residence</t>
  </si>
  <si>
    <t>30 Second Street, Hackensack, NJ, 07601</t>
  </si>
  <si>
    <t>G3</t>
  </si>
  <si>
    <t>On Thursday, January 16, 2025 at approximately 1934 hours, Sgt. Peralta and I responded to 30 Second Street, Apt. L1 on report of a residential burglary. Upon arrival, I met with the victim who reported that she left her apartment at approximately 1200 hours on this date, before returning several hours later, at approximately 1800 hours. The victim further reported that upon returning to her apartment, she observed the exterior door knob to be damaged (loose), as if someone attempted to break in. The victim stated that upon entering the apartment, the interior did not appear to be ransacked, nor did anything appear out of place at this time.      The scene was unable to processed due to the victim contaminating evidence while entering her apartment. The cost of repair for the damaged door knob was approximately $35.00. A Victim Notification was completed and the victim was provided with a copy upon our departure. There were no known suspects at the time this report was taken. Det./Sgt. Tripodi was notified.</t>
  </si>
  <si>
    <t>P.O. Aziah Miller 357</t>
  </si>
  <si>
    <t>220 = Burglary/Breaking &amp; Entering</t>
  </si>
  <si>
    <t>suspects at the time this report was taken</t>
  </si>
  <si>
    <t>$35.00. A Victim Notification was completed and the victim was provided with a copy upon our departure</t>
  </si>
  <si>
    <t>25-006864</t>
  </si>
  <si>
    <t>08:00-11:59 Morning Peak</t>
  </si>
  <si>
    <t>Kansas St, 0 Block</t>
  </si>
  <si>
    <t>60 Kansas Street</t>
  </si>
  <si>
    <t>60 Kansas Street, Hackensack, NJ, 07601</t>
  </si>
  <si>
    <t>E1</t>
  </si>
  <si>
    <t>On January 25, 2025, at approximately 13:55 hours, P.O. P. Lopez, P.O. G. Lara-Nunez, P.O. Mattalian, Sgt. Competiello, and I responded to 60 Kansas apartment 8F for a possible burglary in progress. Upon arrival, I met with the victim who reported she left her apartment at approximately 11:30 hours. The victim reported approximately 14:00 hours, she returned to the apartment to find the front door slightly ajar.     We did a check of the interior of the apartment which yielded negative results for any suspects inside. The victim reported she is 100% sure the door was locked because she checked multiple times before leaving. The victim reported she was missing about $2,000 in miscellaneous jewelry. She described the jewelry to be earrings and gold necklaces.The victim reported she had the same incident occur in 2023. See 23-091001 for more. The victim reported she observed a light skin Hispanic male driving a black Lexus leaving the apartment complex as she pulled in. The victim reported she recalls the same Lexus and same male in the area after the previous incident.Sgt. Competiello contacted detectives. Detective DeBonis arrived on scene.The victim requested for the apartment to be processed. Sgt. Competiello contacted Bergen County Sheriff's Office. Detective LaSala #1866 arrived on scene. See BCSO case #2025-0052 for more .I observed no signs of forced entry. The New Jersey victim notification form was filled out and a copy was provided to the victim for her records.The crime scene was secured at 14:15 hours.Crime Scene Log:14:31: Det. LaSala Enters14:38: Det. LaSala Exits14:48: Det. Lasala Enters14:49: Det. Debonis Enters15:01: Det. LaSala Exits.15:04: Det. LaSala Enters.Crime Scene Terminated: 15:08</t>
  </si>
  <si>
    <t>P.O. Andres Lopez 375</t>
  </si>
  <si>
    <t>suspects inside</t>
  </si>
  <si>
    <t>$2,000 in miscellaneous jewelry. She described the jewelry to be earrings and gold necklaces.The victim reported she had the same incident occur in 2023</t>
  </si>
  <si>
    <t>Morning Peak (08:00-11:59)</t>
  </si>
  <si>
    <t>25-008551</t>
  </si>
  <si>
    <t>The Esplanade, 200 Block</t>
  </si>
  <si>
    <t>292 The Esplanade</t>
  </si>
  <si>
    <t>292 The Esplanade, Hackensack, NJ, 07601</t>
  </si>
  <si>
    <t>H5</t>
  </si>
  <si>
    <t>On January 31, 2025, at approximately 1200 hours the victim responded to Hackensack Police Department Headquarters for a report of a burglary to his residence that occurred in the past. I met with the victim who reported that last Friday, January 24, 2025 at approximately 1200 hours he left his residence with his wife and son for the day. He reported that upon his return to his residence at approximately 1500 hours, he observed the front door (allows entry into the apartment) wide open.  He further reported that he believes he locked the door before he left but did not observe any damage to his door. He reported that he went inside his residence to check if anyone was in his apartment with negative results. The victim reported that the following day, Saturday, January 25, 2025, he looked for his beige folder that contained copies and originals of the following items: passport, social security cards, and licenses of his wife, Arelis Bonilla, and his sons, Eduardo M. Sobrino and Edwin D. Sobrino-Bonilla.       The victim reported that he last saw his beige folder with those documents in his living room approximately one month ago. The victim was advised to contact the social security administration, DMV, and credit companies to advise them of the above. He was also advised on how to obtain new copies of his social security card, license, and passport. The victim was advised to report any fraudulent activity he may see.       A New Jersey Victim Notification Form was completed and a copy was provided to the victim. He was advised to contact Hackensack Police Department should another incident like this arise.       The victim was not offered B.C.I. to respond to the residence due to the apartment being contaminated for approximately a week. Det. Lt. Weber was notified.</t>
  </si>
  <si>
    <t>Klosk_J</t>
  </si>
  <si>
    <t>P.O. Denisse Caero 367</t>
  </si>
  <si>
    <t>B2</t>
  </si>
  <si>
    <t>Det. John Tanucilli 335</t>
  </si>
  <si>
    <t>25-009831</t>
  </si>
  <si>
    <t>00:00-03:59 Early Morning</t>
  </si>
  <si>
    <t>Passaic St, 400 Block</t>
  </si>
  <si>
    <t>441 Passaic Street</t>
  </si>
  <si>
    <t>Burglary - Commercial</t>
  </si>
  <si>
    <t>Burglary - Commercial, Alarm - Burglar</t>
  </si>
  <si>
    <t>Alarm - Burglar</t>
  </si>
  <si>
    <t>441 Passaic Street, Hackensack, NJ, 07601</t>
  </si>
  <si>
    <t>On Wednesday, February 5, 2025 at approximately 0300 hours,  P.O Dominguez and I responded to Hackensack Pharmacy (441 Passaic Street) on a reported activated burglar alarm.   Upon my arrival, I observed the main entrance glass door located on the north side of the business to be shattered.  I also observed a master lock and a metal pin on the ground near the door that appeared to had been cut off the steel roller gate located in front of the glass door. I also observed a white prescription pill bottle on the ground near the master lock.  I advised police communications of my findings and P.O A. Lopez , P.O N. Marza and P.O Mattalian arrived to assist.  A perimeter of the business was immediately established.  P.O Dominguez, P.O N. Marza and I made entry into the business and completed an interior check.  The interior check yielded negative results for any person(s) in the business.  While completing the interior check, I observed two gray large paver stones on the floor near the front glass door.  It appears the two stones were used to break the glass to the front door to gain access.  I observed several white prescription pill bottles on the floor as well as several pairs of eye glasses.  Upon further inspection, I observed a white wooden cabinet located behind the service counter that appeared to have been broken into which contained several white prescription pill bottles similar to the prescription pill bottle located outside on the ground in front of the business.  P.O Dominguez made notification to the tour commander. At approximately 0445 hours, Det. Scarpa and the business owner, Mr. Bodawala, arrived and were updated.  Mr. Bodawala consented to the business to be processed and signed a Consent to Search form.  Mr. Bodawala showed video footage of the incident to Det. Scarpa and e-mailed the footage to Det. Scarpa.  See Det. Scarpa's Supplemental report for further. At 0315 hours, the scene was preserved and a crime log had commenced.-0448 hours, Det. N. LaSala (BCSD-CSU) arrived to process the scene, BCSD case # 2025-0088.-0528 hours, Det. N. LaSala completed processing the scene. The scene was turned over to Mr. Bodawala. Mr. Bodawala advised it is unknown what proceeds/value were taken at this time. He advised once he and his employee conduct and complete an inventory, he will compile a list and forward it to Det. Scarpa. Case turned over to Det. Scarpa.</t>
  </si>
  <si>
    <t>P.O. Benjamin Estrada 350</t>
  </si>
  <si>
    <t>Det. Frank Scarpa 348</t>
  </si>
  <si>
    <t>Early Morning (00:00-03:59)</t>
  </si>
  <si>
    <t>25-013147</t>
  </si>
  <si>
    <t>35 Pangborn Place</t>
  </si>
  <si>
    <t>Burglary - Commercial, Suspicious Incident</t>
  </si>
  <si>
    <t>Suspicious Incident</t>
  </si>
  <si>
    <t>35 Pangborn Place, Hackensack, NJ, 07601</t>
  </si>
  <si>
    <t>I1</t>
  </si>
  <si>
    <t>Suspect(s): Unknown     I responded to the listed location, 35 Pangborn Place - Hackensack Emergency Dental, on a report of a burglary. Upon arrival, I was met by the complainant, Beau Jin, who is the manager of the business. The complainant stated that a TP-Link 300 Mbps Wireless Router ($100.00 USD) and a Keep Connect Router Reporter ($50.00) had been a taken from the basement. The complainant further stated there did not appear to be any forced entry into the basement. I was then advised by the complainant that the basement was accessible by the employees as well as the residence of the apartments on the second and third floor.     The complainant advised me the business was closed and secured for on 02/14/2025 until 02/16/2025. The complainant further advised me he on 02/15/2025 he observed through his phone that the businesses router was inoperable. The complainant stated upon opening business on 02/17/2025 he responded to the basement and observed that the router was taken. The complainant further reported he observed feces on the handle of the main entrance door and in the amazon drop off box located in front of the business.      The scene was unable to be processed due to the complainant contamination the scene as well as the fecal matter contaminating the door handle.Sgt. Farhi was notified. Detectives were notified by Sgt. Farhi. Total value of items taken - $150.00 USD</t>
  </si>
  <si>
    <t>Sgt. Francesco Tripodi 134</t>
  </si>
  <si>
    <t>Under Supervisor Review</t>
  </si>
  <si>
    <t>suspect(s): unknown     i responded to the listed location, 35 pangborn place - hackensack emergency dental, on a report of a burglary</t>
  </si>
  <si>
    <t>$100.00 USD) and a Keep Connect Router Reporter ( $50.00) had been a taken from the basement. The complainant further stated there did not appear to be any forced entry into the basement $150.00 USD</t>
  </si>
  <si>
    <t>25-003745</t>
  </si>
  <si>
    <t>Main St, 800 Block</t>
  </si>
  <si>
    <t>895 Main Street</t>
  </si>
  <si>
    <t>Burglary - Residence, Harassment, Domestic Violence</t>
  </si>
  <si>
    <t>Harassment</t>
  </si>
  <si>
    <t>Domestic Violence</t>
  </si>
  <si>
    <t>895 Main Street, Hackensack, NJ, 07601</t>
  </si>
  <si>
    <t>I5</t>
  </si>
  <si>
    <t>On Tuesday, 01/14/2025, P.O. Rivera and I responded to 895 Main Street apartment 12A for a Domestic Violence incident report. Mrs. Charmaine Perez (victim) is the mother of Mr. Christopher Pereira (suspect). Mr. Eusebia Perez (witness) is married to the victim and stepfather to the suspect.      The victim reported that the suspect has not lived at the apartment for approximately three (3) months. The suspect does not have key access to the apartment. There is a vestibule, which is kept locked, that leads to a first and second floor apartment. The victim's apartment is on the first floor.       The victim reported that the suspect broke into the apartment uninvited and continued into her bedroom, where she was located. The suspect was irate, confronted her about money that she was awarded from a lawsuit settlement. The suspect stated, " BITCH, DON'T MESS WITH THE GRANDKIDS, DO YOU KNOW WHO THAT NIGGA IS ON THE COUCH, STAY THE FUCK AWAY FROM ME!" The victim reported at the time her granddaughter, Ms. Keka Ornsby, and her boyfriend were seated on the couch when the suspect entered. The victim reported that the suspect did not engage with Ms. Keka Ornsby. It should be noted, Ms. Ornsby's mother has an active temporary restraining order (Docket #FV-02000101-11 against the suspect. Ms. Ornsby is listed as an additional person in the order. The victim reported that Ms. Ornsby began staying with her for approximately three (3) weeks. Due to the statements the victim made, we did not sign a complaint against suspect for 2C:29-9 (Contempt of court).       The victim reported when the suspect exited the bedroom, the granddaughter and her boyfriend left and the witness entered the apartment. The witness reported that he avoided confrontation from the suspect by exiting the apartment. The witness was unaware the suspect was inside and the victim confirmed his reporting. It should be noted, the suspect has a no contact order against the witness (See complaint #W2024-000767-0223). Due to the victim's and witness's statement, we did not sign a complaint against the witness for 2C:29-9 (Contempt of court).      Sgt. Williams arrived to assist. The victim believed the suspect used a credit card to gain entry into the apartment. The vestibule door and apartment door had old damage near the doorknob and strike plate. The victim confirmed our observation. Sgt. Detective Bay was notified. The scene was unable to be processed, but was captured by my body worn camera.      The victim wanted a temporary restraining order and willing to give a recorded statement. She was transported to headquarters, gave a recorded statement to detectives (See their supplement), and Judge Takvorian granted the TRO in report room #2 @1342 hours. Sgt. Feuilly was sent an e-mail to preserve the recording. The victim was given her copy of the TRO. She did not want to speak with a Domestic Violence Response member, but was provided their phone number. A voluntary handwritten form was not completed because she gave a recorded statement. A New Jersey Victim notification form was completed.      Lt. Knapp authored complaint #W-0223-2025-000014 for 2C:33-4C (Harassment), a petty disorderly persons offense, and 2C:18-2A(1) (Burglary), a third degree crime.</t>
  </si>
  <si>
    <t>Knapp_J</t>
  </si>
  <si>
    <t>P.O. Kevin Small 328</t>
  </si>
  <si>
    <t>Complaint Signed</t>
  </si>
  <si>
    <t>suspect) suspect suspect has not lived at the apartment for approximately three (3) months suspect does not have key access to the apartment suspect broke into the apartment uninvited and continued into her bedroom, where she was located suspect was irate, confronted her about money that she was awarded from a lawsuit settlement suspect stated, " bitch, don't mess with the grandkids, do you know who that nigga is on the couch, stay the fuck away from me!" the victim reported at the time her granddaughter, ms suspect entered suspect did not engage with ms suspect suspect for 2c:29-9 (contempt of court) suspect exited the bedroom, the granddaughter and her boyfriend left and the witness entered the apartment suspect by exiting the apartment suspect was inside and the victim confirmed his reporting suspect has a no contact order against the witness (see complaint #w2024-000767-0223) suspect used a credit card to gain entry into the apartment</t>
  </si>
  <si>
    <t>25-004288</t>
  </si>
  <si>
    <t>Bonhomme St, 100 Block</t>
  </si>
  <si>
    <t>152 Bonhomme Street</t>
  </si>
  <si>
    <t>Violation of Court Order</t>
  </si>
  <si>
    <t>Violation of Court Order, Burglary - Residence, Harassment</t>
  </si>
  <si>
    <t>152 Bonhomme Street, Hackensack, NJ, 07601</t>
  </si>
  <si>
    <t>E2</t>
  </si>
  <si>
    <t>The victim and the suspect were prviously in a two year relationship.  The two never resided together and have no children in common.     P.O. McCarthy and I responded to the listed location on a report of a violation of a court order.  Upon arrival, we met with the victim,  Johnathan Arroyo, who reported hearing a loud bang from the basement door.  After hearing the loud bang, he began to hear his ex-girlfriend, Ashley Celdo Rodriguez, start to scream while standing in the basement.  That's when his brother, David Arroyo, and the victim exit their bedrooms and witness the suspect inside of the house.  Both parties grabbed the suspect and escorted her out of the house.  Once outside, the suspect ran toward the backyard fence and climbed over before our arrival on the scene.  While on the scene, I observed the door frame trim to be damaged.  The victim estimated that the cost to fix the door was $200.00.  P.O. Mcarthy and P.O. Lopez-Amaya arrived to assist and conducted a check of the area.     While on the scene, I observed several surveillance cameras on the residence's exterior.  They showed me the footage of the suspect entering the rear yard and walking to the basement door of the house.  I provided the victim with my departmental e-mail address so that the video footage could be sent.        I contacted police headquarters to see if any active restraining orders were in place.  They advised me that three no-contact orders were in place.  I asked if the victim wanted the scene processed, but he did not want it done.  I asked the victim if he wanted to apply for a restraining order at this time, which he denied.  He also wanted to speak with a DVRT member at a later time.  I provided the victim with the telephone number.  I completed the New Jersey victim notification form and domestic violence supplement were completed.   The victim refused to complete a voluntary handwritten statement.  While at police headquarters, P.O. McCarthy, P.O. Vicale, and P.O. Lopez-Amaya located the suspect. See their supplements for further information.       Arrestee was charged with 2C:29-17-3A(1), 2C:33-4A, 2C:18-2A(1), 2C:29-2A(1) and 3 counts of 2C:29-9A(1) on 0223-W-2025-000023</t>
  </si>
  <si>
    <t>P.O. Daniel Francavilla 329</t>
  </si>
  <si>
    <t>B4</t>
  </si>
  <si>
    <t>suspect were prviously in a two year relationship suspect inside of the house suspect and escorted her out of the house suspect ran toward the backyard fence and climbed over before our arrival on the scene suspect entering the rear yard and walking to the basement door of the house suspect</t>
  </si>
  <si>
    <t>$200.00.  P</t>
  </si>
  <si>
    <t>(Multiple Items)</t>
  </si>
  <si>
    <t>25-000813</t>
  </si>
  <si>
    <t>Lookout Ave, 300 Block</t>
  </si>
  <si>
    <t>309 Lookout Avenue</t>
  </si>
  <si>
    <t>Motor Vehicle Theft</t>
  </si>
  <si>
    <t>309 Lookout Avenue, Hackensack, NJ, 07601</t>
  </si>
  <si>
    <t>I2</t>
  </si>
  <si>
    <t>On Saturday, January 4th, 2025, I responded to the listed location on a report of a motor vehicle theft. Upon arrival, I met the registered owner, who reported that his vehicle was parked in the driveway at 21:30 hours on 01/03/2025. He further reported that he left his residence with his friends in his friend's vehicle and returned to his residence on the morning of 01/04/2025. He noticed his vehicle was taken from his driveway. The registered owner reported there was nothing valuable in the car and was uncertain if the spare keys were in the vehicle. Both New Jersey plates are affixed to the vehicle.      Communications advised me that the vehicle was located in Clarkstown, NY, and was involved in a motor vehicle hit-and-run accident. The registered owner was also advised of the vehicle's location. I observed no cameras in the area.      The victim did not want the vehicle processed or to sign complaints if the suspect(s) are identified.     A New Jersey Victim Notification form was completed and provided to the registered owner.     An ATTF entry was completed    A motor vehicle checklist was completed and submitted.</t>
  </si>
  <si>
    <t>W46ULY</t>
  </si>
  <si>
    <t>ACC</t>
  </si>
  <si>
    <t>P.O. Nicholas Mazzaccaro 377</t>
  </si>
  <si>
    <t>Det. Robert Ghirardi 150</t>
  </si>
  <si>
    <t>240 = Theft of Motor Vehicle</t>
  </si>
  <si>
    <t>Vehicle 1: NJ-W46ULY HONDA, ACC</t>
  </si>
  <si>
    <t>suspect(s) are identified</t>
  </si>
  <si>
    <t>25-004097</t>
  </si>
  <si>
    <t>First St, 200 Block</t>
  </si>
  <si>
    <t>244 First Street</t>
  </si>
  <si>
    <t>244 First Street, Hackensack, NJ, 07601</t>
  </si>
  <si>
    <t>On 01/15/2025 I responded to 244 First Street on a reported motor vehicle theft. Upon arrival I met with the driver of the stolen vehicle, Jeffrey Mejiamorquecho. He reported he parked his motor vehicle in front of 244 First Street facing north at around 24:00 hours. He further reported his mother left his residence at 05:00 hours on the listed date and noticed the vehicle was gone. The driver also reported he received a notification from EZ Pass with a charge from the George Washington Bridge toll at 04:13 hours on the listed date. The driver then walked out with me to where his vehicle was parked and observed broken glass which he suspected to be from his rear passenger side window. The driver advised me the vehicle had 1 plate in the rear and was worth approximately $50,000.00 as the vehicle was fairly new. He further reported he attempted to track the vehicle as it contains tracking equipment but was unsuccessful as it was not connecting. He believes it was disconnected somehow after the vehicle was stolen.240 First Street has cameras in the general direction of where the vehicle was parked. It is unknown at this time if they captured the incident occur.Insurance Information: Company: Geico (369)Policy Number: 6183163036The driver was provided with a completed New Jersey Victim Notification Form.The driver wished to have the vehicle processed if located and a Hackensack Police Consent to Search from was completed.The vehicle was entered into NCIC as stolen by Communications.The vehicle was entered into ATTF as stolen.</t>
  </si>
  <si>
    <t>U38ULG</t>
  </si>
  <si>
    <t>CIV</t>
  </si>
  <si>
    <t>P.O. Frank Lorenzo 371</t>
  </si>
  <si>
    <t>b1</t>
  </si>
  <si>
    <t>Vehicle 1: NJ-U38ULG HONDA, CIV</t>
  </si>
  <si>
    <t>suspected to be from his rear passenger side window</t>
  </si>
  <si>
    <t>$50,000.00 as the vehicle was fairly new. He further reported he attempted to track the vehicle as it contains tracking equipment but was unsuccessful as it was not connecting</t>
  </si>
  <si>
    <t>25-005871</t>
  </si>
  <si>
    <t>Ross Ave, 0 Block</t>
  </si>
  <si>
    <t>33 Ross Avenue</t>
  </si>
  <si>
    <t>33 Ross Avenue, Hackensack, NJ, 07601</t>
  </si>
  <si>
    <t>On January 22, 2025, I responded to the listed location on a report on a stolen motor vehicle. Upon arrival, I met with the registered owner, Kamil Garcia. The registered owner stated on January 21, 2025 at approximately 1800 hours he parked his vehicle, a 2023 Honda Passport color red bearing NJ registration U22RSV in front of 33 Ross Ave facing West. The registered owner stated that he currently has possession of the two key fobs that belong to the vehicle. At approximately 0309 hours on January 22, 2025 he responded to his vehicle where he last parked it and the vehicle was no longer there.       The registered owner received a completed victim notification. The vehicle was entered as stolen into NCIC (NIC #  V956704006) along with a stolen motor vehicle form. The vehicle was also entered as stolen into the  ATTF website. The registered owner does not wish to have the vehicle processed at this time. Approximate value for the above vehicle is 46,000.00 USD.</t>
  </si>
  <si>
    <t>U22RSV</t>
  </si>
  <si>
    <t>PAS</t>
  </si>
  <si>
    <t>Tovbin_S</t>
  </si>
  <si>
    <t>P.O. Roselys Salas 369</t>
  </si>
  <si>
    <t>Vehicle 1: NJ-U22RSV HONDA, PAS</t>
  </si>
  <si>
    <t>25-006083</t>
  </si>
  <si>
    <t>Hudson St, 400 Block</t>
  </si>
  <si>
    <t>443 Hudson Street</t>
  </si>
  <si>
    <t>443 Hudson Street, Hackensack, NJ, 07601</t>
  </si>
  <si>
    <t>E3</t>
  </si>
  <si>
    <t>On January 22, 2025, I responded to the listed location on a report of a stolen motor vehicle. Upon arrival, I met with the victim, Melisssa Williams, also registered owner. The victim stated the vehicle has been lodged at 443 Hudson Street with permission of the resident Jermal Clark. The victim stated upon speaking to Jermal Clark he stated "the vehicle was towed off the property early morning and he got some money for it."  Sgt. Tovbin and I spoke to Jermal Clark, who stated that he does not know which towing company towed the vehicle. I asked Jermal Clark if he towed the vehicle off the property and he was uncooperative in answering the question.       The vehicle, a 2006 Nissan Pathfinder color black bearing NJ registration Y62SRJ, was last seen on January 21, 2025 at approximately 1600 hours parked facing South on the listed property. The victim stated that she currently does not have possession of the key. The victim indicated the one key was last in possession of Jermal Clark.       The registered owner received a completed victim notification. The vehicle was entered as stolen into NCIC (NIC # V146697789 ) along with a stolen motor vehicle form. The vehicle was also entered as stolen into the  ATTF website. The registered owner does not wish to have the vehicle processed at this time. Approximate value for the above vehicle is 2,500.00 USD.</t>
  </si>
  <si>
    <t>Y62SRJ</t>
  </si>
  <si>
    <t>NISSAN</t>
  </si>
  <si>
    <t>PTH</t>
  </si>
  <si>
    <t>Vehicle 1: NJ-Y62SRJ NISSAN, PTH</t>
  </si>
  <si>
    <t>25-008075</t>
  </si>
  <si>
    <t>Essex St, 100 Block</t>
  </si>
  <si>
    <t>119 Essex Street</t>
  </si>
  <si>
    <t>Motor Vehicle Theft, Theft</t>
  </si>
  <si>
    <t>119 Essex Street, Hackensack, NJ, 07601</t>
  </si>
  <si>
    <t>F1</t>
  </si>
  <si>
    <t>On January 29, 2025, I responded to the listed location on a report on a stolen motor vehicle. Upon arrival, I met with the registered owner, Trina Coley. The registered owner stated on January 28, 2025 during the afternoon hours she parked her vehicle , a 2012 Lexus ES color black bearing NJ registration K84CXU in her residence private parking lot facing East. The registered owner stated that she currently does not have possession of the key fob as it was left inside of the vehicle along with her cell phone. At approximately 0930 hours on January 29, 2025 she responded to her vehicle where she last parked it,and the vehicle was no longer there.       The registered owner received a completed victim notification. The vehicle was entered as stolen into NCIC (NIC #V686695547 ) along with a stolen motor vehicle form. The vehicle was also entered as stolen into the ATTF web site. The registered owner does not wish to have the vehicle processed at this time. Approximate value for the above vehicle is 7,000.00 USD and the iPhone 15 at $800.00 USD.</t>
  </si>
  <si>
    <t>K84CXU</t>
  </si>
  <si>
    <t>LEXUS</t>
  </si>
  <si>
    <t>ES</t>
  </si>
  <si>
    <t>Ex-Cleared / Closed</t>
  </si>
  <si>
    <t>Vehicle 1: NJ-K84CXU LEXUS, ES</t>
  </si>
  <si>
    <t>$800.00 USD.</t>
  </si>
  <si>
    <t>25-008777</t>
  </si>
  <si>
    <t>Sutton Ave, 400 Block</t>
  </si>
  <si>
    <t>453 Sutton Avenue</t>
  </si>
  <si>
    <t>453 Sutton Avenue, Hackensack, NJ, 07601</t>
  </si>
  <si>
    <t>F2</t>
  </si>
  <si>
    <t>On February 1, 2025, I responded to the listed location on a report on a stolen motor vehicle. Upon arrival, I met with the registered owner, Mohammed Almowail. The registered owner stated on February 1, 2025 at approximately 0100 hours he parked his vehicle, a 2012 Ford Crown Victoria color grey bearing NJ registration P77UZJ in front of 453 Sutton Avenue facing East. At approximately 0230 hours, while inside of the residence he heard the vehicle being turned on and when he walked out to where he last parked it the vehicle was no longer there.      The registered owner stated that he currently has possession of the two keys that belong to the vehicle. The vehicle has two NJ plates(P77UZJ) attached.     It should be noted the victim was in the process of selling the vehicle today to someone by the alias of Taylor Jacobs via Facebook marketplace. The victim provided the above listed address and videos of where the vehicle was going to be located to the above listed alias of Taylor Jacobs.     The vehicle also contained a black wallet inside with three Bank of America Credit Cards and 4 Bank of Kuwaitt Credit Cards issued to Abdull Alhajeri. The victim was advised to report and lock all cards.      The registered owner received a completed victim notification. The vehicle was entered as stolen into NCIC (NIC # V786677145 ) along with a stolen motor vehicle form. The vehicle was also entered as stolen into the  ATTF site. The registered owner does not wish to have the vehicle processed at this time. Approximate value for the above vehicle is 3,000.00 USD. The value of the black wallet is approximately $30.00 USD.</t>
  </si>
  <si>
    <t>P77UZJ</t>
  </si>
  <si>
    <t>CRO</t>
  </si>
  <si>
    <t>Vehicle 1: NJ-P77UZJ FORD, CRO</t>
  </si>
  <si>
    <t>$30.00 USD.</t>
  </si>
  <si>
    <t>25-009657</t>
  </si>
  <si>
    <t>Midtown Bridge Approach, 0 Block</t>
  </si>
  <si>
    <t>55 Midtown Bridge Approach</t>
  </si>
  <si>
    <t>55 Midtown Bridge Approach, Hackensack, NJ, 07601</t>
  </si>
  <si>
    <t>H1</t>
  </si>
  <si>
    <t>I responded to the listed location on a reported motor vehicle theft. Upon arrival, I spoke with the complainant. She stated that on 02/04/2025 at 11:29 hours, she received a text from her boss, asking her to check on one of their U-Haul vehicles. She further stated that upon searching the parking lot, she could not locate the vehicle. The complainant reported that the vehicle had been rented out, so she contacted the contract holder to ensure the vehicle was dropped off. Upon verifying such and checking camera footage, the vehicle is seen on camera being dropped off by the customer. He is then approached by the suspect, where a brief verbal exchange is had. The customer is then seen leaving the area. The suspect is then seen retrieving keys from a lock box, before entering the van and fleeing the area.     I then spoke with the customer. He stated that he had dropped the vehicle off at the listed location at approximately 18:40 hours. He further stated that upon dropping it off, he was greeted by the suspect, who acted as an employee of the business. The customer reported that after a brief discussion, he was wary of the suspect and secured the keys in the lock box himself. He further stated that he then left the area.       A check in house of our tow list was conducted, with the vehicle not having been reported as towed or repossessed.  The complainant was advised of the recovery process, including fingerprinting of the vehicle. The complainant stated that she would like the vehicle held for prints on behalf of U-Haul and signed a Consent to Search Form. The complainant advised that she was unsure if the vehicle had a tracking system.       The vehicle is valued at approximately $45,000.00.            The complainant has video footage of the incident, available upon request.       Vehicle was entered into the ATTF website.    A New Jersey Victim Notification Form was completed.Insurance Info: Self-InsuredCertificate #:S012Exp: 06/30/2025</t>
  </si>
  <si>
    <t>AM82732</t>
  </si>
  <si>
    <t>RAM</t>
  </si>
  <si>
    <t>PROMASTER</t>
  </si>
  <si>
    <t>AZ</t>
  </si>
  <si>
    <t>Vehicle 1: AZ-AM82732 RAM, PROMASTER</t>
  </si>
  <si>
    <t>suspect, where a brief verbal exchange is had suspect is then seen retrieving keys from a lock box, before entering the van and fleeing the area suspect, who acted as an employee of the business suspect and secured the keys in the lock box himself</t>
  </si>
  <si>
    <t>$45,000.00.            The complainant has video footage of the incident, available upon request</t>
  </si>
  <si>
    <t>25-010474</t>
  </si>
  <si>
    <t>04:00-07:59 Morning</t>
  </si>
  <si>
    <t>Hudson St, 100 Block</t>
  </si>
  <si>
    <t>170 Hudson Street</t>
  </si>
  <si>
    <t>170 Hudson Street, Hackensack, NJ, 07601</t>
  </si>
  <si>
    <t>I responded to the listed location on a motor vehicle theft. Upon arrival, I met with the complainant and the victim. The victim only spoke Spanish, so her husband (the complainant) translated. The complainant stated that his wife's vehicle was parking in the driveway of 170 Hudson Street, which was located between 170 Hudson Street and 166 Hudson Street. He stated that he left his vehicle running and went back into his house at 0635 hours. When he went to check on the vehicle at 0650 hours, he discovered it was missing. The vehicle was left unlocked with the keys in the ignition. I observed cameras in the rear of the house, but none located directly where the vehicle was parked.A victim notification form was completed and a copy was given to the victim. The victim requested to have the vehicle process if located. The estimated value of the stolen auto is $2,000.00 Dollars.</t>
  </si>
  <si>
    <t>T12SSE</t>
  </si>
  <si>
    <t>DODGE</t>
  </si>
  <si>
    <t>CAR</t>
  </si>
  <si>
    <t>P.O. Matthew Tedesco 316</t>
  </si>
  <si>
    <t>Vehicle 1: NJ-T12SSE DODGE, CAR</t>
  </si>
  <si>
    <t>$2,000.00 Dollars.</t>
  </si>
  <si>
    <t>Morning (04:00-07:59)</t>
  </si>
  <si>
    <t>25-010788</t>
  </si>
  <si>
    <t>Hudson St, 500 Block</t>
  </si>
  <si>
    <t>535 Hudson Street</t>
  </si>
  <si>
    <t>535 Hudson Street, Hackensack, NJ, 07601</t>
  </si>
  <si>
    <t>The victim responded to police headquarters on a report of a motor vehicle theft.  The victim, Clever Asitimbay Mora, reported that he parked the vehicle in the area of 535 Hudson Street in this jurisdiction on 01/31/2025.  The victim reported that on 02/7/2025 at approximately 13:00 hours, he checked the GPS location of his vehicle on his phone and noticed that his vehicle was located at 3945 Frankford Avenue, Philadelphia, PA 19124.  He reported he possessed one (1) key to the vehicle, and the other key was broken.  Both the front and rear license plates were attached to the vehicle.  The victim did not want the vehicle processed if located.  The vehicle is insured by GEICO unknown policy number at this time.  The value of the vehicle is approximately $6,000.00.  A victim notification form was completed, and the vehicle was entered into N.C.I.C and the Auto Theft Task Force (ATTF) as stolen.  I contacted Philadelphia Police Department District 24 and spoke with P.O. Kane and advised him of the location of the vehicle.</t>
  </si>
  <si>
    <t>S70MPZ</t>
  </si>
  <si>
    <t>Vehicle 1: NJ-S70MPZ</t>
  </si>
  <si>
    <t>$6,000.00.  A victim notification form was completed, and the vehicle was entered into N</t>
  </si>
  <si>
    <t>25-013091</t>
  </si>
  <si>
    <t>Second St, 100 Block</t>
  </si>
  <si>
    <t>100 Second Street</t>
  </si>
  <si>
    <t>Motor Vehicle Theft, Recovered Stolen Vehicle</t>
  </si>
  <si>
    <t>Recovered Stolen Vehicle</t>
  </si>
  <si>
    <t>100 Second Street, Hackensack, NJ, 07601</t>
  </si>
  <si>
    <t>Suspect(s): Unknown     The victim, Kimberly Trujillo, responded to Police Headquarters on a report of a Motor Vehicle Theft.  Upon arrival, the victim stated that her 2022 grey 4-door Honda Accord bearing NJ reg: L17PUM had been stolen from her apartment complex's parking lot and had been located in Rochelle Park. The victim further stated the listed vehicle was parked in assigned space number #2 and was last known to be parked there at approximately 2300 hours. The victim advised me she was in possession of the master key and no other party had access to her vehicle. The victim further advised me the spare key to her vehicle was misplaced approximately two (2) years in the past. Both license plates were attached to the vehicle at the time the victim parked the vehicle.     The victim stated on 02/17/2025 at approximately 0800, she received a phone call from Rochelle Park Police Department Det. Galina #151 advising her the listed vehicle had been located behind a CrossFit gym in Rochelle Park. Det. Gallina #151 further advised the victim, that the listed vehicle was located with all four (4) wheels removed from the vehicle. The victim further stated upon receiving the phone call, they responded to their second vehicle which was also parked in their apartment complex's parking lot. At this time, the victim observed an E-Z Pass and Camera from the stolen vehicle left on the hood of her second vehicle.      The victim stated she would like to have the vehicle processed should it be recovered and signed a consent to search form. A victim notification form was completed and a copy was given to the victim. The vehicle's insurance information was unable to be provided due to the paperwork being inside the glove box of the stolen vehicle.The vehicle registration was given to dispatch and was entered into NCIC. A stolen vehicle entry was made into the Auto Theft Task Force website.The vehicle's estimated value is approximately $22,000 USD.  See Rochelle Park Case #2025-002492.</t>
  </si>
  <si>
    <t>L17PUM</t>
  </si>
  <si>
    <t>Vehicle 1: NJ-L17PUM HONDA, ACC</t>
  </si>
  <si>
    <t>suspect(s): unknown     the victim, kimberly trujillo, responded to police headquarters on a report of a motor vehicle theft</t>
  </si>
  <si>
    <t>$22,000 USD.  See Rochelle Park Case #2025-002492.</t>
  </si>
  <si>
    <t>25-013106</t>
  </si>
  <si>
    <t>30 Prospect Avenue</t>
  </si>
  <si>
    <t>30 Prospect Avenue, Hackensack, NJ, 07601</t>
  </si>
  <si>
    <t>G4</t>
  </si>
  <si>
    <t>On February 17, 2025 I responded to 300 Atlantic Street (HUMC Parking Garage) on a report of a motor vehicle theft. Upon arrival, I met with the victim who is the registered owner of the vehicle and his wife. The victim advised me that his wife parked the vehicle (2020 Honda Accord blue) inside the monthly permit parking section near the entrance of the garage at approximately 2000 hours last night. This morning around 0900 hours they arrived to the garage and discovered that the vehicle was missing. They advised me that they only have one key and checked the area for the vehicle but were met with negative results. I advised Headquarters to check if the vehicle was towed from the premises which also yielded negative results. At this time I advised the registered owner the procedure with reporting a stolen vehicle. At this time he stated he wanted the vehicle processed and signed a consent to search form. A victim notification form was also completed and a copy was provided to the victim. Upon completion the vehicle was placed into NCIC and ATTF as stolen.</t>
  </si>
  <si>
    <t>Z53RVG</t>
  </si>
  <si>
    <t>P.O. Anzour Marza 356</t>
  </si>
  <si>
    <t>Vehicle 1: NJ-Z53RVG HONDA, ACC</t>
  </si>
  <si>
    <t>25-015290</t>
  </si>
  <si>
    <t>Washington Ave, 400 Block</t>
  </si>
  <si>
    <t>430 Washington Avenue</t>
  </si>
  <si>
    <t>430 Washington Avenue, Hackensack, NJ, 07601</t>
  </si>
  <si>
    <t>On February 24, 2025, at approximately 11:50 hours I responded to 430 Washington Avenue for a report of a motor vehicle theft. Upon arrival, I spoke with the registered owners of the vehicle, Carlos Sevilla, and Milagros Parra-Loor. Both parties reported that they last parked their vehicle, a Silver Honda Pilot bearing MD-8FL4661 in front of 430 Washington Avenue facing North at approximately 10:00 hours on February 24, 2025. They reported that they locked the doors to the vehicle. They reported that they left their residence at approximately 23:00 hours and noticed that their vehicle was gone. I asked the parties if any one else has access to their vehicle to which they stated no. Ms. Parra-Loor reported that she has been backed up on payments for approximately three (3) months and last made a payment with the bank this morning.       Sgt. Donnerstag responded to assist.       The victims reported they did not want the vehicle processed if found. A Victim Notification Form was completed.       The vehicle was entered into NCIC as stolen. The ATTF form was completed online.</t>
  </si>
  <si>
    <t>8FL4661</t>
  </si>
  <si>
    <t>PILOT</t>
  </si>
  <si>
    <t>MD</t>
  </si>
  <si>
    <t>Vehicle 1: MD-8FL4661 HONDA, PILOT</t>
  </si>
  <si>
    <t>25-003362</t>
  </si>
  <si>
    <t>Clay St, 200 Block</t>
  </si>
  <si>
    <t>204 Clay Street</t>
  </si>
  <si>
    <t>Dispute</t>
  </si>
  <si>
    <t>Dispute, Criminal Attempt, Robbery</t>
  </si>
  <si>
    <t>Criminal Attempt</t>
  </si>
  <si>
    <t>Robbery</t>
  </si>
  <si>
    <t>204 Clay Street, Hackensack, NJ, 07601</t>
  </si>
  <si>
    <t>On Monday, January 13th, 2025, at approximately 12:07 hours, P.O. Alvarez and I responded to the listed location on a dispute report. Before our arrival, headquarters had advised us that the male suspect, described as wearing a grey hoodie and sweatpants, had fled southbound on First Street. Upon arrival, we met with Maria Romero Peralta, the mother of the juvenile victim, A.R.      She reported that the described suspect, later identified as D.T., had punched her in the left eye and her right breast. With the mother's permission and in her presence, we spoke to the victim, a juvenile male, A.R., who reported that the suspect, D.T., had stolen a red electronic moped bike and had dropped it off at his house. He further reported that the suspect asked the victim if he could drop off the stolen moped for a couple of days. The victim also reported giving the stolen moped bike to another friend since he did not know how to operate the bike. A.R. later noted that the suspect, D.T., recovered the stolen moped bike from the said friend they have in common and had the bike confiscated byLaw Enforcement in another jurisdiction.      Today, the victim reported that the suspect arrived at his residence demanding $400.00 for the moped because it had been confiscated. He further reported that the suspect arrived with three (3) other friends: two Hispanic males, unknown names, dates of birth, or addresses, and a Hispanic female, blonde hair and blue jacket, operating a Toyota Rav 4 with an unknown NY tag. He also reported that a fight ensued between him and the suspect, and the three (3) witnesses stood by.      The victim also reported that his mother, Maria Romero Peralta, heard the commotion and broke up the fight, retreating with the victim and herself back into the residence. A.R. reported that the front entrance door closed and was being held by his mother when the suspect breached the door with physical force and continued to assault the victim while demanding $400.00 for the red moped electric bike.  I then requested a supervisor, and Sgt. Williams responded to assist.     Maria Romero Peralta reported that while attempting to break up the fight, she was punched in the left eye and right breast by the suspect, D.T. She also reported that the suspect and the three (3) witnesses fled the scene after she threatened to call the police. Maria Romero Peralta, along with A.R. declined medical attention at the scene. The mother and the victim wanted to provide statements to detectives and were transported to headquarters by P.O. Alvarez as I followed.      At headquarters, Detectives Mora and Garrett responded to report room 2 and met with the victim and his mother. Before providing statements to the detectives, Maria Romero Peralta began to have complaints of pain in her left eye and right breast. I observed her left eye to be swollen and red. Maria Romero Peralta then requested to be transported to the hospital for evaluation and treatment. I requested an ambulance, and Hackensack University Medical Center BLS #136 arrived. The mother, now a patient, was transported to the HUMC along with A.R. for treatment. The patient reported that she would respond to headquarters at a later time to provide statements to the detectives. I contacted DCP&amp;P Christine #1718 and advised of the incident. She reported that the incident would only be documented. I completed a victim notification form and provided a copy to the victim.It should be noted that the victim, A.R., reported that he had dropped out of school as of today; therefore, a handle with care was not completed. See Detectives report for additional information.</t>
  </si>
  <si>
    <t>P.O. Forrod Bonsu 353</t>
  </si>
  <si>
    <t>B1</t>
  </si>
  <si>
    <t>Det. Frankie Garrett 323</t>
  </si>
  <si>
    <t>120 = Robbery</t>
  </si>
  <si>
    <t>suspect, described as wearing a grey hoodie and sweatpants, had fled southbound on first street suspect, later identified as d suspect, d suspect asked the victim if he could drop off the stolen moped for a couple of days suspect, d suspect arrived at his residence demanding $400 suspect arrived with three (3) other friends: two hispanic males, unknown names, dates of birth, or addresses, and a hispanic female, blonde hair and blue jacket, operating a toyota rav 4 with an unknown ny tag suspect, and the three (3) witnesses stood by suspect breached the door with physical force and continued to assault the victim while demanding $400 suspect, d suspect and the three (3) witnesses fled the scene after she threatened to call the police</t>
  </si>
  <si>
    <t>$400.00 for the moped because it had been confiscated. He further reported that the suspect arrived with three (3) other friends: two Hispanic males, unknown names, dates of birth, or addresses, and a Hispanic female, blonde hair and blue jacket, operating a Toyota Rav 4 with an unknown NY tag $400.00 for the red moped electric bike.  I then requested a supervisor, and Sgt</t>
  </si>
  <si>
    <t>25-003813</t>
  </si>
  <si>
    <t>Hackensack Ave, 400 Block</t>
  </si>
  <si>
    <t>450 Hackensack Avenue</t>
  </si>
  <si>
    <t>Robbery, Resisting Arrest/Eluding, Suspicious Person</t>
  </si>
  <si>
    <t>Resisting Arrest/Eluding</t>
  </si>
  <si>
    <t>Suspicious Person</t>
  </si>
  <si>
    <t>450 Hackensack Avenue, Hackensack, NJ, 07601</t>
  </si>
  <si>
    <t>I6</t>
  </si>
  <si>
    <t>On Tuesday, January 14th, 2025, P.O. Conlon. P.O. Voorhis, and I responded to 450 Hackensack Avenue for a report of a trespasser on the premises who had shoplifted in the past and has also been aggressive with staff in the past.    Upon my arrival, I observed the arrestee enter a white Volkswagon (NJ-Y82VDS) that was leaving the parking lot. The security officers at Home Depot also pointed out the arrestee as he entered the car. I conducted a motor vehicle stop with the vehicle at the traffic light exiting the parking lot. As I approached the vehicle, the arrestee exited the vehicle and started running West on Hackensack Avenue. P.O. Conlon, P.O. Voorhis, and I began running after the arrestee and announcing ourselves as Hackensack Police. When the arrestee approached the other side of Hackensack Avenue, he stopped, and P.O. Conlon apprehended him. The arrestee was flailing his arms while I was attempting to place him in handcuffs. The arrestee was then put in handcuffs with his hands behind his back. The arrestee was then searched, which yielded negative for contraband.   The Loss Prevention Officers stated that the arrestee entered the front door of Home Depot with a black ski covering his face. The loss prevention officers noticed the arrestee from previous shoplifting. The arrestee then concealed several power tools totaling $1,284.00 and placed them in a shopping cart. The arrestee then went past all points of sale and tried to exit the store. Prior to exiting the store, the loss prevention officers approached him and tried to stop him from leaving. The arrestee then pushed the loss prevention officers and fled the store on foot. The loss prevention officer recovered the items. The arrestee then entered the listed vehicle and fled the parking lot for the exit of the mall. A photo copy of the receipt was placed into the BCI mailbox located at the front at the front desk.  The items that were recovered: M18 Jobsite Radio priced at $189.00Two 20V Atomic BL Combo Kit priced at $149.00 eachM18 Fuel Jig Saw priced at $199.00MKE M12 Packout Flood Light priced at $149.00M18 Fuel 10 Miter Saw priced at $449.00     Totaling at $1,284.00.The arrestee was placed in radio car 114 and transported to police headquarters for processing. The vehicle was checked before and after the transport for contraband which yielded negative   The arrestee was processed at police headquarters by P.O. Caero. Complaint W-2025-000016 was authored by Lt. Swetits against the arrestee and was signed for 2C:29-2a(1), 2C:29-2a(2), and two counts of 2C:15-1A(1).  The arrestee also had multiple outstanding warrants from various jurisdictions.The arrestee was remanded to the Bergen County Jail.</t>
  </si>
  <si>
    <t>Y82VDS</t>
  </si>
  <si>
    <t>VOLKS</t>
  </si>
  <si>
    <t>ATL</t>
  </si>
  <si>
    <t>b2</t>
  </si>
  <si>
    <t>Vehicle 1: NJ-Y82VDS VOLKS, ATL</t>
  </si>
  <si>
    <t>$1,284.00 and placed them in a shopping cart. The arrestee then went past all points of sale and tried to exit the store $189.00Two 20V Atomic BL Combo Kit priced at  $149.00 eachM18 Fuel Jig Saw priced at  $199.00MKE M12 Packout Flood Light priced at  $149.00M18 Fuel 10 Miter Saw priced at  $449.00     Totaling at  $1,284.00.The arrestee was placed in radio car 114 and transported to police headquarters for processing</t>
  </si>
  <si>
    <t>25-004629</t>
  </si>
  <si>
    <t>Main St, 600 Block</t>
  </si>
  <si>
    <t>630 Main Street</t>
  </si>
  <si>
    <t>630 Main Street, Hackensack, NJ, 07601</t>
  </si>
  <si>
    <t>Suspect 1: Hispanic male, approximately early 30' s in age, approximately 5'10" in height, approximately 180 in weight, wearing a tan hooded sweater, brown "NY" Yankees logo hat, black sweatpants and white sneakers.Suspect 2: Hispanic female, approximately mid 20's in age, approximately 5'5" in height, approximately 140 in weight, wearing a black jacket, grey hooded sweater, tan pants and cream colored shoes. Suspect Vehicle: 4 door Silver in color Hyundai Sonata (unknown registration).On 1/17/25 P.O. Papanikolaou and I responded to 630 Main Street, Target on a reported shoplifting. While   speaking with Target Loss Prevention they wanted to report an additional incident, which occurred in the past.Target Loss Prevention / victim, Cheikh Gaye, reported on 1/16/25 at approximately 21:03 hours suspect 1 and suspect 2 entered Target. It was further reported on 1/16/25 at approximately 21:16 hours suspect 1 and 2 passed all points of sale with unpaid merchandise in a shopping cart. The unpaid merchandise (furniture, grocery, health and beauty, home and kitchen products) totaled $452.71. Prior to exiting Target Loss Prevention / the victim confronted both suspects. Target Loss Prevention were able to recover all merchandise that both suspects attempted to steal. While recovering the stolen merchandise suspect 1 punched the victim in the head, specifically the top left side, with a closed fist one time. The victim reported having a complaint of pain hours after being assaulted. Both suspect later left the area in the suspect vehicle. A Sgt. was requested and Sgt. Competiello responded. Detectives were notified. The victim later responded to headquarters to provide a voluntary statement. The victim refused medical attention at this time.A receipt of the unpaid merchandise was provided by Target Loss Prevention. The receipt was later secured in the Detective Bureau Mailbox.</t>
  </si>
  <si>
    <t>HYUNDAI</t>
  </si>
  <si>
    <t>SONATA</t>
  </si>
  <si>
    <t>Det. John Mora 257</t>
  </si>
  <si>
    <t>Vehicle 1: HYUNDAI, SONATA</t>
  </si>
  <si>
    <t>suspect 1: hispanic male, approximately early 30' s in age, approximately 5'10" in height, approximately 180 in weight, wearing a tan hooded sweater, brown "ny" yankees logo hat, black sweatpants and white sneakers suspect 2: hispanic female, approximately mid 20's in age, approximately 5'5" in height, approximately 140 in weight, wearing a black jacket, grey hooded sweater, tan pants and cream colored shoes suspect vehicle: 4 door silver in color hyundai sonata (unknown registration) suspect 1 and  suspect 2 entered target suspect 1 and 2 passed all points of sale with unpaid merchandise in a shopping cart suspects suspects attempted to steal suspect 1 punched the victim in the head, specifically the top left side, with a closed fist one time suspect later left the area in the  suspect vehicle</t>
  </si>
  <si>
    <t>$452.71. Prior to exiting Target Loss Prevention / the victim confronted both suspects</t>
  </si>
  <si>
    <t>25-009348</t>
  </si>
  <si>
    <t>144 Hudson Street</t>
  </si>
  <si>
    <t>Suspicious Incident, Robbery</t>
  </si>
  <si>
    <t>144 Hudson Street, Hackensack, NJ, 07601</t>
  </si>
  <si>
    <t>Unknown Suspect Descriptions:Unknown Suspect 1: Tall white male, crew cut, no clothing descriptionUnknown Suspects 2-5: 4 males, unknown race, wearing dark colored helmets and dark clothes with padding.         While in the area, P.O. Maceri and I were flagged down by the victim. Upon speaking with him, he advised that he had been robbed. Sgt. Farhi responded to assist.          The victim stated that on 02/02/2025 between 17:25 and 18:00 hours, he was walking north on Main Street, near the area of Main Street and Court Street with two acquaintances. He further stated that while walking in that area, a verbal dispute took place between the three of them. The victim reported that at this time, he was approached by five suspects, with four of them carrying bats. He further reported that suspect #1 threatened him, stating that he would beat him up if he didn't hand over his belongings. The victim stated that suspect #1 forcibly retrieved the wallet off his person and removed a debit card and identification card, before throwing the wallet back in his direction. He further stated that the suspect's then told him if they saw him again, they would beat him up. The suspects then fled east on Court Street, before turning left to head north on River Road.        A New Jersey Victim Notification Form was completed and provided to the victim.       The detective division was notified and advised that they would follow up with the victim.</t>
  </si>
  <si>
    <t>suspect descriptions:unknown  suspect 1: tall white male, crew cut, no clothing descriptionunknown  suspects 2-5: 4 males, unknown race, wearing dark colored helmets and dark clothes with padding suspects, with four of them carrying bats suspect #1 threatened him, stating that he would beat him up if he didn't hand over his belongings suspect #1 forcibly retrieved the wallet off his person and removed a debit card and identification card, before throwing the wallet back in his direction suspect's then told him if they saw him again, they would beat him up suspects then fled east on court street, before turning left to head north on river road</t>
  </si>
  <si>
    <t>25-009438</t>
  </si>
  <si>
    <t>400 Hackensack Avenue</t>
  </si>
  <si>
    <t>400 Hackensack Avenue, Hackensack, NJ, 07601</t>
  </si>
  <si>
    <t>On Monday, February 3, 2025 at approximately 1640 hours, Sgt. Farhi and I responded to 400 Hackensack Avenue (Marc Jacobs) on a reported robbery. Upon arrival, I met with the victim who reported that three suspects (1 male, 2 females) entered the establishment at approximately 1600 hours. The suspects reportedly exited and reentered the store multiples time prior to committing the offense, with the last entry being made only by the male suspect.     The victim further reported that the suspect grabbed three small purses from the display shelf before he began to walk toward the exit. At that time, the victim stated that he attempted to stop the suspect, who immediately shoved him into a store fixture. The suspect reportedly proceeded to run out of the store toward the nearest mall exit, where he entered a black vehicle and fled in an unknown direction. The victim stated that he was able to recover one of the purses during the incident.     The victim advised that he sustained minor injuries to his left arm as result of the incident, in which he refused any medical attention. The victim wished to provide a recorded statement to detectives. He was transported to police headquarters where he was turned over to Det. Dogali. The total loss suffered by the establishment for the two purses was approximately $650.00. The store manager (witness) wished to have complaints signed against the suspects if they were able to be identified.     Suspect 1: Black male, slim build, 5'8", black beanie, black puffer, dark pants, white/blue sneakers     Suspect 2: Black female, heavy build, 5'8", short hair, black puffer, black leggings, black pocketbook     Suspect 3: Black female, heavy build, 5'7", long cornrows, gray puffer, light blue jeans</t>
  </si>
  <si>
    <t>suspects (1 male, 2 females) entered the establishment at approximately 1600 hours suspects reportedly exited and reentered the store multiples time prior to committing the offense, with the last entry being made only by the male  suspect suspect grabbed three small purses from the display shelf before he began to walk toward the exit suspect, who immediately shoved him into a store fixture suspect reportedly proceeded to run out of the store toward the nearest mall exit, where he entered a black vehicle and fled in an unknown direction suspects if they were able to be identified suspect 1: black male, slim build, 5'8", black beanie, black puffer, dark pants, white/blue sneakers      suspect 2: black female, heavy build, 5'8", short hair, black puffer, black leggings, black pocketbook      suspect 3: black female, heavy build, 5'7", long cornrows, gray puffer, light blue jeans</t>
  </si>
  <si>
    <t>$650.00. The store manager (witness) wished to have complaints signed against the suspects if they were able to be identified</t>
  </si>
  <si>
    <t>Column Labels</t>
  </si>
  <si>
    <t>25-002564</t>
  </si>
  <si>
    <t>First St, 100 Block</t>
  </si>
  <si>
    <t>135 First Street</t>
  </si>
  <si>
    <t>Criminal Sexual Contact</t>
  </si>
  <si>
    <t>Criminal Sexual Contact, Juvenile Investigation</t>
  </si>
  <si>
    <t>Juvenile Investigation</t>
  </si>
  <si>
    <t>135 First Street, Hackensack, NJ, 07601</t>
  </si>
  <si>
    <t>On Friday January 10, 2025, I was assigned as the Hackensack High School SRO. I was advised that a student wanted to report a crime and was currently in the main office. Upon arriving to the main office I met the victim, A.R.       As I began to speak with the victim she immediately began to cry. She stated that she was inappropriately touched by the suspect who is also student. The suspect was identified as Manuel Martinez Perez. The victim stated that on Tuesday January 7, 2025  she was in her 9th period class ESL 2 in room 276. She shares this class with the suspect and his cousin Esmeralda Perez Martinez who is a potential witness.       The victim stated during class the suspect gave her a hug. As he was hugging her he dropped his hand down and grabbed her breast over her clothing. She immediately became angry and told him not to touch her. She then advised Esmeralda Perez Martinez that she was touched inappropriately by the suspect. The victim stated that she reported this incident to her her teacher Mrs. Magdalene Symmonds, but she did not understand her due to a language barrier.  The victim reported that this was not the first time she was inappropriately touched by the suspect. She reported that the prior week a similar incident occurred. I notified assistant Principal Celso King of this report.      I spoke to Esmeralda Perez Martinez who may have witness the incident. Perez Martinez stated that she sits in a group with the victim and the suspect. The day of the incident she did not observe the suspect touch the victim because she was busy doing her class work. The witness did confirm that the victim mentioned to her that she was inappropriately touched by the suspect.       The victim's mother, Raquel Lelio, was notified of the incident and responded to the school. She advised me that she was not sure if she wanted to sign criminal complaints against the suspect. She wants to speak with her daughter and husband before making a decision.       Det. E. Reyes was advised of the incident and will follow up with the complainant at a later time.</t>
  </si>
  <si>
    <t>Dominguez_L</t>
  </si>
  <si>
    <t>Det. Cristobal Lara-Nunez 341</t>
  </si>
  <si>
    <t>STA</t>
  </si>
  <si>
    <t>Det. Evelyn Reyes 336</t>
  </si>
  <si>
    <t>11D = Fondling</t>
  </si>
  <si>
    <t>suspect who is also student suspect was identified as manuel martinez perez suspect and his cousin esmeralda perez martinez who is a potential witness suspect gave her a hug suspect suspect suspect suspect touch the victim because she was busy doing her class work suspect suspect</t>
  </si>
  <si>
    <t>25-006324</t>
  </si>
  <si>
    <t xml:space="preserve"> Berdan Pl, 100 Block</t>
  </si>
  <si>
    <t>176  Berdan Place</t>
  </si>
  <si>
    <t>Sexual Assault</t>
  </si>
  <si>
    <t>Sexual Assault, Juvenile Investigation</t>
  </si>
  <si>
    <t>176  Berdan Place, Hackensack, NJ, 07601</t>
  </si>
  <si>
    <t>On Thursday, 01/23/2025 I was notified by D/Sgt. Dominguez of a possible sexual assault involving a juvenile. I was advised that 10 y/o S.S. disclosed to a school teacher that her mothers boyfriend has been touching her while her mother was sleeping. This reportedly has occurred on multiple occasions. No further information was available at this time. S.S. is a student at Nelly K. Parker school, who already notified DCP&amp;P as per protocol.    I contacted DCP&amp;P social worker Jennifer Diaz who was assigned to the initial investigation. Ms. Diaz advised me that she was currently enroute to Nelly K. Parker to meet with S.S., and school staff. She advised me that she already contacted BCPO/SVU. I advised her that I will meet her at the school. Upon arrival I met with Ms. Diaz, who advised me that S.S. was set to be picked up from school by another unknown adult possibly the suspect. Due to the circumstances it was determined that S.S. will be transported to BCPO (100 Eisenhower Drive, Paramus NJ) to undergo a forensic interview with SVU. Contact was made to S.S. mother, Ibys Sandoval, who was advised that a police investigation is underway and her presence is required. Ms. Sandoval expressed that she has transportation issues, therefore this agency arranged transport for her.  Det. Reyes responded to pick up Ms. Sandoval at her residence (176 Berdan Place, Hackensack NJ). Ms. Sandoval was transported to Nelly K. Parker to meet up with her daughter, and ultimately transported to BCPO for the interview.   Contact information was limited at the time of this report (See Det. Reyes Supplemental report for further details)</t>
  </si>
  <si>
    <t>Bay_F</t>
  </si>
  <si>
    <t>DET</t>
  </si>
  <si>
    <t>TOT DCP&amp;P</t>
  </si>
  <si>
    <t>suspect</t>
  </si>
  <si>
    <t>25-013527</t>
  </si>
  <si>
    <t xml:space="preserve"> Prospect Ave, 200 Block</t>
  </si>
  <si>
    <t>240  Prospect Avenue</t>
  </si>
  <si>
    <t>Exceptionally Cleared/Closed</t>
  </si>
  <si>
    <t>Exceptionally Cleared/Closed, Sexual Assault</t>
  </si>
  <si>
    <t>240  Prospect Avenue, Hackensack, NJ, 07601</t>
  </si>
  <si>
    <t>H4</t>
  </si>
  <si>
    <t>On February 18, 2025, I was advised by Sgt. Tripodi that a female, later identified as Yamini Verma, a victim of sexual assault was going to be seen at Mt. Sinai hospital in New York City.  At approximately 17:00 hours, I received a call from NYPD SVU Detective Woo that Ms. Verma was confirmed a patient at Mt. Sinai Emergency Room and was undergoing the SART Examination.    Det. Tanucilli and I responded to Mt. Sinai emergency room to meet with the victim.  Upon our arrival the RN Rachel stated that the victim was still undergoing the SART examination.  Once the examination was completed Det. Tanucilli and I entered the room and spoke with the victim (BWC was activated).    The victim told us that she was sexually assaulted by the suspect Akashpreet Riar on February 17, 2025.  The victim stated that the suspect is a teacher's assistant at the New York College of Podiatric Medicine, where she attends.  She stated that she was in communication with the suspect because she was looking for a tutor and he offered to help her.  The suspect picked up the victim in a blue Honda (unknown registration) from her residence in New York City at approximately 1930 hours.  The victim and suspect arrived at the suspect's apartment (240 Prospect Avenue, unknown apartment).  The victim and suspect were studying for approximately 1 hours, before both parties started to have a few drinks of alcohol.  The victim stated that the suspect started to approach her and speak in a sexual manner.  The victim stated that she refused his advancements and told him that she is not interested.  The victim stated that the suspect started to grope her breasts, buttocks and thighs while trying to kiss her neck.  The victim felt scared and again tried to push off the suspect.  The victim stated that she went to the bathroom and when she finished and unlocked the door, the suspect forced his way into the bathroom.  She stated that the suspect forced her to pull down her pants and shoved his hand down the front of her pants.  She stated that her head was pushed into the sink and the suspect began to digitally penetrate the victim's vagina.  The victim stated that she told the suspect to stop but felt like she had no control over the situation.  The victim stated that she was then picked up and placed into the bathtub where the suspect inserted his penis into her vagina against her will.  The victim said she was raped for approximately 2 minutes and the suspect ejaculated next to the victim.    The victim stated she was in a daze of confusion and fear.  She stated that the suspect called an UBER for her and she took the ride share back to NYC.  The victim stated that she was in disbelief and called her Dean of the college, Dr. Chusid in the morning (2/18/2025).  The victim stated that she told her dean that she was sexually assaulted, and he then recommended she seek medical attention the the nearest hospital.  At the emergency room,  evidence was collected which included the victim's bra (item #1), shirt (item #2), jeans (item #3) and the SART collection kit (item #4).  The victim stated that she wished to continue with a police investigation.  At that point  I contacted the Bergen County Prosecutor's office and spoke to Det. Chris Miranda.   He instructed me to see if the victim is available to respond to BCPO Headquarters in Paramus for an interview on Wednesday, February  19, 2025 at 1700 hours.  The victim agreed.  The evidence was turned over to Det. Tanucilli . Back at police headquarters, an evidence report was generated and the evidence was secured in temp. evidence locker #3 and the temp. evidence refrigerator.    On February 19, 2025, I responded to the Bergen County Prosecutor's Office to meet with the Special Victim's Unit detectives and the victim.  The victim spoke with Detectives Miranda and Dawson.  After meeting with the BCPO SVU detectives the victim stated that she wanted to apply for a SASPA Protection Order.  She was advised to respond to Hackensack Police Headquarters during business hours to obtain a copy of the police report and then go the Bergen County Superior Court and apply in person for the protection order.  The victim stated that she needs some time before she is ready to proceed with the police investigation.    At this point the case will be placed as Ex-Cleared/Closed pending the victim wanting to proceed with the police investigation with the assistance of BCPO.    (See BCPO Case #BCP-25-00237)</t>
  </si>
  <si>
    <t>suspect akashpreet riar on february 17, 2025 suspect is a teacher's assistant at the new york college of podiatric medicine, where she attends suspect because she was looking for a tutor and he offered to help her suspect picked up the victim in a blue honda (unknown registration) from her residence in new york city at approximately 1930 hours suspect arrived at the  suspect's apartment (240 prospect avenue, unknown apartment) suspect were studying for approximately 1 hours, before both parties started to have a few drinks of alcohol suspect started to approach her and speak in a sexual manner suspect started to grope her breasts, buttocks and thighs while trying to kiss her neck suspect suspect forced his way into the bathroom suspect forced her to pull down her pants and shoved his hand down the front of her pants suspect began to digitally penetrate the victim's vagina suspect to stop but felt like she had no control over the situation suspect inserted his penis into her vagina against her will suspect ejaculated next to the victim suspect called an uber for her and she took the ride share back to nyc</t>
  </si>
  <si>
    <t>25-014007</t>
  </si>
  <si>
    <t>Union St, 300 Block</t>
  </si>
  <si>
    <t>360 Union Street</t>
  </si>
  <si>
    <t>360 Union Street, Hackensack, NJ, 07601</t>
  </si>
  <si>
    <t>On February 20, 2025 I responded to 360 Union Street, Hackensack Middle school on a report of sexual assault involving a minor. Det. James was also present at the time as we spoke to the 7th grade Councilor, Mrs. Odumosu, in regard to the incident. Mr. Sass and Mr. Ruiz were also present at this time.           Mrs. Odumasu stated that she spoke to the victim A.D.(12) and was informed the following. A.D.(12) had stated that she was being sexually assaulted by her older brother A.D. (18) approximately 2-3 times a year since she was in first grade at the approximate age of 5 years old. When asked what type of sexual assault took place, she stated penetration occurred. In one instance she stated that a cousin was present and witness the assault, but did not specify the cousin by name. A.D.(12) stated that the last assault occurred some time in June or September of 2024. When asked if she had ever told anyone she stated she told her mother after every incident to which her mother responded by saying that her and her brother would have to learn to coexist and work past it because she did not want to call the police and have to pick between both her children.Det. Reyes was advised all investigation turned over to Dete</t>
  </si>
  <si>
    <t>P.O. Angie Tabares 363</t>
  </si>
  <si>
    <t>Cleared - Arrest</t>
  </si>
  <si>
    <t>36A = Incest</t>
  </si>
  <si>
    <t>25-012110</t>
  </si>
  <si>
    <t>Christopher Columbus Drive, 100 Block</t>
  </si>
  <si>
    <t>128 Christopher Columbus Drive</t>
  </si>
  <si>
    <t>Assist Other Agency</t>
  </si>
  <si>
    <t>Assist Other Agency, Aggravated Assault, Robbery</t>
  </si>
  <si>
    <t>Aggravated Assault</t>
  </si>
  <si>
    <t>128 Christopher Columbus Drive, Jersey City, NJ 07302, Hackensack, NJ, 07601</t>
  </si>
  <si>
    <t>Victim and suspect were in a dating relationship for approximately 9 months.    I responded to Police Headquarters on a report of Domestic Violence. Upon arrival I met with the Victim who stated on 02/13/2025 at approximately 0200 hours she was at a bar called "Six26" in Jersey City, NJ (128 Christopher Columbus Drive, Jersey City, NJ 07302.) She stated while she was leaving the bar, the suspect met with her on the sidewalk. The victim stated the suspect wished to get back together, but she refused. He then became angry and proceeded to strangle her, briefly cutting off her ability to breath, however she did not lose consciousness. Right after the suspect strangled her, he stole her Iphone 14 Pro out of her front pocket (Approximate value: $1,000.00) then fled the scene.     The victim advised me that she currently has a restraining order against the suspect, but he has not been served. Docket number: FV-BER-002857-24.A recorded statement was taken by Detective Mora. BREATHE services were offered but the victim refused. A New Jersey Victim Notification Form was completed.DVRT Form was completed.Voluntary Handwritten Statement was completed.ODARA Form was completed. Jersey City Police Department Detective Soto was advised of the incident.All paperwork was forwarded to him for complaints to be signed.</t>
  </si>
  <si>
    <t>Briggs_S</t>
  </si>
  <si>
    <t>TOT Outside Jurisdiction</t>
  </si>
  <si>
    <t>suspect were in a dating relationship for approximately 9 months suspect met with her on the sidewalk suspect wished to get back together, but she refused suspect strangled her, he stole her iphone 14 pro out of her front pocket (approximate value: $1,000 suspect, but he has not been served</t>
  </si>
  <si>
    <t>$1,000.00) then fled the scene.     The victim advised me that she currently has a restraining order against the suspect, but he has not been served</t>
  </si>
  <si>
    <t>Time of Day</t>
  </si>
  <si>
    <t>Mon</t>
  </si>
  <si>
    <t>Tue</t>
  </si>
  <si>
    <t>Wed</t>
  </si>
  <si>
    <t>Thu</t>
  </si>
  <si>
    <t>Fri</t>
  </si>
  <si>
    <t>Sat</t>
  </si>
  <si>
    <t>YTD</t>
  </si>
  <si>
    <t>28-DAY</t>
  </si>
  <si>
    <t>Sun</t>
  </si>
  <si>
    <t>Notes</t>
  </si>
  <si>
    <t>25-018160</t>
  </si>
  <si>
    <t>March</t>
  </si>
  <si>
    <t>Central Ave, 200 Block</t>
  </si>
  <si>
    <t>216 Central Avenue</t>
  </si>
  <si>
    <t>216 Central Avenue, Hackensack, NJ, 07601</t>
  </si>
  <si>
    <t>Suspect: Black male with a beard wearing a gray hooded sweatshirt. Possibly named Mike Williams.      I responded to the listed location, 216 Central Avenue, on a report of burglary to auto. Upon arrival, I was met by the victim, Michael Gibson, who stated his black wallet (valued at $10.00 USD) was taken from his vehicles glove box. The victim advised me the wallet contained approximately 3 credit cards, 3 debit cards and $8.00 USD. The victim further stated while he was at home he received a notification from his bank of suspicious credit card use. The victim responded back to his vehicle which was parked in front of his residence (348 1st Street),  and observed his vehicle to have been rummaged through with items removed from his glove box and placed on the driver's seat. No damage to the vehicle was reported. When the victim was notified of the suspicious charges, he was informed one of his debit cards was used at the Central Avenue Mini Market. The victim drove his vehicle to the Central Avenue mini mart to locate the suspect which was unsuccessful.     While on scene, I observed a video of the suspect completing a purchase at the listed location. I further observed a receipt of the transaction signed with the name "Mike Williams" used as the signature for the transaction. The video and photo of the receipt was E-Mailed to detectives by the victim. Total amount spent by the suspect was approximately $102.33 USD. The victim was advised to complete a fraud packet for a follow up report. The victim was further advised to cancel all of his stolen credit/debit cards and monitor his credit for at least 30 days.      I requested a supervisor and Sgt. Farhi responded. Det./Sgt. Williams was notified of the the incident by Sgt. Farhi. P.O. DeOliveira responded to assist.The vehicle was unable to be processed due to the complainant entering and moving his vehicle. A victim notification form was completed and a copy was given to the victim.</t>
  </si>
  <si>
    <t>R64NVW</t>
  </si>
  <si>
    <t>EXP</t>
  </si>
  <si>
    <t>Farhi_B</t>
  </si>
  <si>
    <t>Vehicle 1: NJ-R64NVW FORD, EXP</t>
  </si>
  <si>
    <t>suspect: black male with a beard wearing a gray hooded sweatshirt suspect which was unsuccessful suspect completing a purchase at the listed location suspect was approximately $102</t>
  </si>
  <si>
    <t>$10.00 USD) was taken from his vehicles glove box. The victim advised me the wallet contained approximately 3 credit cards, 3 debit cards and  $8.00 USD. The victim further stated while he was at home he received a notification from his bank of suspicious credit card use $102.33 USD. The victim was advised to complete a fraud packet for a follow up report</t>
  </si>
  <si>
    <t>25-019245</t>
  </si>
  <si>
    <t>American Legion Drive, 200 Block</t>
  </si>
  <si>
    <t>282 American Legion Drive</t>
  </si>
  <si>
    <t>282 American Legion Drive, Hackensack, NJ, 07601</t>
  </si>
  <si>
    <t>On March 10, 2025, P.O. small and I responded to 282 American Legion Drive for a burglary to auto report. Upon our arrival, we met with the complainant, Luis Cela. He is Juan Cela-Saula's brother (Victim). The complainant stated the victim responded to his vehicle this morning and observed the interior of his vehicle in complete disarray while attempting to leave for work. After exiting his parking spot, the victim then changed his mind and contacted the complainant to file a report on his behalf because he had to go to work. The complainant had to park the vehicle in another spot on American Legion Drive because the vehicle was moved by the victim prior to his departure.      The complainant stated the victim parked his vehicle bearing NJ/K46PXJ on American Legion Drive on 03/9/2025 at approximately 1930 hours and noticed the vehicle was burglarized at 0830 hours today. The victim stated approximately $250.00 dollars in miscellaneous tools were missing from the vehicle. We did not observe any visible damage or forced entry to the doors' exterior. The victim believes he locked his vehicle when he parked it. Detective Sgt. Williams was notified. Sgt. Ghirardi and Sgt. Donnerstag responded.      The victim does not want the vehicle to be processed. The victim would like to sign complaints if the suspect is identified. A New Jersey Victim Notification Form was completed and provided to the victim.     State of New Jersey Insurance, policy number LCP699-4257-606 and insurance code 258.</t>
  </si>
  <si>
    <t>K46PXJ</t>
  </si>
  <si>
    <t>HYN</t>
  </si>
  <si>
    <t>TIB</t>
  </si>
  <si>
    <t>P.O. Peter Voorhis 380</t>
  </si>
  <si>
    <t>Vehicle 1: NJ-K46PXJ HYN, TIB</t>
  </si>
  <si>
    <t>suspect is identified</t>
  </si>
  <si>
    <t>$250.00 dollars in miscellaneous tools were missing from the vehicle. We did not observe any visible damage or forced entry to the doors' exterior</t>
  </si>
  <si>
    <t>25-017536</t>
  </si>
  <si>
    <t>Essex St, 200 Block</t>
  </si>
  <si>
    <t>216 Essex Street</t>
  </si>
  <si>
    <t>216 Essex Street, Hackensack, NJ, 07601</t>
  </si>
  <si>
    <t>Suspect description:  BM, 5'5, gray vest, blue hooded sweatshirt, blue jeans, black medium length hair, black purse and a black backpack.       I responded to the listed location on a report of a shoplifting.  Upon arrival, I spoke with Employee Digeshkum Patel who advised a black male (suspect) had entered his store whom he recognized that had caused a disturbance earlier in the day with his customers.  He told the suspect to leave or he will call the police.  The suspect then grabbed two 50 ml bottles of Patron Silver and the employee grabbed his hand.  A short tug of war ensued resulting in the employee suffering an abrasion to his left thumb.  The suspect then left the store with the bottles, picked up a black backpack he left outside the store and walked North on Lehigh Street.  I asked the employee if the suspect said anything during the theft and he stated the suspect responded, "If you call the police, I will kill you."  For clarification, I later asked him at what point the threats occurred and the second time he replied that the threats occurred just prior to the suspect taking the bottles.       The victim declined medical attention and I requested a Supervisor to respond.  Sgt. Briggs responded and asked the victim if he was able to make a recorded statement which he replied that he could come to the police department tomorrow.  I asked the victim if he believed if the threat to his life would be carried out or if he was in fear for his safety and he replied "No."       A BOLO of the suspect was put out to patrols and a canvass of the area was negative for the suspect.       The victim did want to file charges against the suspect if he was identified.  A victim notification form was completed and provided to the victim.  The employee was asked to retain the video footage of the incident until a detective could make a copy.          The bottles of Patron were valued at $7.00 each for a total loss of $14.00.</t>
  </si>
  <si>
    <t>P.O. Steven Lemanowicz 347</t>
  </si>
  <si>
    <t>suspect description:  bm, 5'5, gray vest, blue hooded sweatshirt, blue jeans, black medium length hair, black purse and a black backpack suspect) had entered his store whom he recognized that had caused a disturbance earlier in the day with his customers suspect to leave or he will call the police suspect then grabbed two 50 ml bottles of patron silver and the employee grabbed his hand suspect then left the store with the bottles, picked up a black backpack he left outside the store and walked north on lehigh street suspect said anything during the theft and he stated the  suspect responded, "if you call the police, i will kill you suspect taking the bottles suspect was put out to patrols and a canvass of the area was negative for the  suspect suspect if he was identified</t>
  </si>
  <si>
    <t>$7.00 each for a total loss of  $14.00.</t>
  </si>
  <si>
    <t>25-017488</t>
  </si>
  <si>
    <t>High St, 100 Block</t>
  </si>
  <si>
    <t>195 High Street</t>
  </si>
  <si>
    <t>Robbery, Unlawful Possess./Weapons, Dispute</t>
  </si>
  <si>
    <t>Unlawful Possess./Weapons</t>
  </si>
  <si>
    <t>195 High Street, Hackensack, NJ, 07601</t>
  </si>
  <si>
    <t>On Tuesday, March 4, 2025, at approximately 15:28 hours, P.O. Scangarella and I responded to 195 High Street on a report of a dispute involving a baseball bat. Upon arrival, I met with the victims, Albert Hunt and Melody Foster in front of the listed address. Foster reported that earlier today, at approximately 06:30 hours, she heard loud banging on the front door. She reported that she did not answer the door but believed it was the suspect because she owed him money.  She indicated that the knocking eventually stopped. I then spoke with Hunt who reported that, while walking home from work, in the area of First and High Street, a white BMW sedan pulled along side of him. He further reported that the suspect exited the BMW and confronted him. Hunt reported that the suspect began asking where Foster was and Hunt advised him that he believes she was at the listed address. The suspect then stated " Ya keep fucking around with me and I am going to bust a cap in both of your asses'. Hunt further reported that, as he continued walking towards his house, the suspect reentered the white BMW and began following him. Hunt indicated that, upon arriving to his residence, the suspect exited the BMW, and followed him up the front porch. Hunt added that, upon opening his front door, the suspect followed him inside, uninvited. Hunt reported that, upon entering behind him, the suspect removed a short black baseball bat from his waistband and stated " I will fuck both of ya up" and began demanding the money Foster owed him.     Hunt reported that, he told the suspect that he was going to call the police. The suspect then stated ' I ain't scared of no police" and attempted to snatch Hunts phone from his hands. Hunt indicated that he was able to recover the cell phone and the suspect fled. Following the incident, Hunt and Foster observed one of their windows shattered. Both victims alleged that the suspect was responsible for the broken window, however, neither of them observed it. Foster provided a NJ registration for the suspect's vehicle of NJ -D78PNR. A computer search of the registration revealed it belonged to a White BMW 430. Foster also provided the suspects name and an address of 26 Anderson Street, where she believes the mother resides. The results of the registration lookup is also associated with the aforementioned address.     Hunt was willing to provide a recorded statement of the incident and I transported him to headquarters. Upon arrival, Det. Mora responded and escorted Hunt to the interview to complete the statement. Hunt also stated he wanted to sign complaints against the suspect. Victim Notification form was completed and a copy was provided to the vicim. Lt. Bay authored complaint number 2025-0223-W-000101 on my behalf against the suspect for 2C:15-1A(2), 2C:12-3A, 2C:12-1A3, 2C:39-5D, and 2C:39-4D.</t>
  </si>
  <si>
    <t>D78PNR</t>
  </si>
  <si>
    <t>BMW</t>
  </si>
  <si>
    <t>430</t>
  </si>
  <si>
    <t>P.O. Bobby Rivera 361</t>
  </si>
  <si>
    <t>Vehicle 1: NJ-D78PNR BMW, 430</t>
  </si>
  <si>
    <t>suspect because she owed him money suspect exited the bmw and confronted him suspect began asking where foster was and hunt advised him that he believes she was at the listed address suspect then stated " ya keep fucking around with me and i am going to bust a cap in both of your asses' suspect reentered the white bmw and began following him suspect exited the bmw, and followed him up the front porch suspect followed him inside, uninvited suspect removed a short black baseball bat from his waistband and stated " i will fuck both of ya up" and began demanding the money foster owed him suspect that he was going to call the police suspect then stated ' i ain't scared of no police" and attempted to snatch hunts phone from his hands suspect fled suspect was responsible for the broken window, however, neither of them observed it suspect's vehicle of nj -d78pnr suspects name and an address of 26 anderson street, where she believes the mother resides suspect suspect for 2c:15-1a(2), 2c:12-3a, 2c:12-1a3, 2c:39-5d, and 2c:39-4d</t>
  </si>
  <si>
    <t>C03W10</t>
  </si>
  <si>
    <t>C03W09</t>
  </si>
  <si>
    <t>C02W08</t>
  </si>
  <si>
    <t>C02W07</t>
  </si>
  <si>
    <t>C02W06</t>
  </si>
  <si>
    <t>C02W05</t>
  </si>
  <si>
    <t>C01W04</t>
  </si>
  <si>
    <t>C01W03</t>
  </si>
  <si>
    <t>C01W02</t>
  </si>
  <si>
    <t>C01W01</t>
  </si>
  <si>
    <t>N/A</t>
  </si>
  <si>
    <t>25-019756</t>
  </si>
  <si>
    <t>Anderson St, 100 Block</t>
  </si>
  <si>
    <t>123 Anderson Street</t>
  </si>
  <si>
    <t>123 Anderson Street, Hackensack, NJ, 07601</t>
  </si>
  <si>
    <t>***Spanish Speaking Only***      On March 11, 2025, at approximately 1430 hours the complainant responded to Hackensack Police Department Headquarters to report a burglary from auto. The complainant reported that he parked his vehicle bearing NJ-K87VEF in the parking lot of 123 Anderson Street facing East (in front of the railroad tracks) at approximately 13:30 hours. He reported that he did not lock the door prior to leaving. The complainant reported that at approximately 14:30 hours he responded back to his vehicle and noticed that his wallet (yellow leather) was missing, along with $200.00 dollars. He reported that he left his wallet with the $200.00 in the middle console which was visible to any passerby.        Due to the victim reporting that he contaminated the area/vehicle, he was not offered to have his vehicle to be fingerprinted by BCI. The victim reported there was no damage or forced entry to his vehicle. The New Jersey Victim Notification Form was completed and a copy was provided to the victim. He was advised on how to obtain a new drivers license. He was advised on how to sign complaints against the suspects should they be identified.</t>
  </si>
  <si>
    <t>K87VEF</t>
  </si>
  <si>
    <t>SUBARU</t>
  </si>
  <si>
    <t>TRI</t>
  </si>
  <si>
    <t>Det. Gunther Lara-Nunez 351</t>
  </si>
  <si>
    <t>Vehicle 1: NJ-K87VEF SUBARU, TRI</t>
  </si>
  <si>
    <t>suspects should they be identified</t>
  </si>
  <si>
    <t>$200.00 dollars. He reported that he left his wallet with the  $200.00 in the middle console which was visible to any passerby.        Due to the victim reporting that he contaminated the area/vehicle, he was not offered to have his vehicle to be fingerprinted by BCI</t>
  </si>
  <si>
    <t>C03W11</t>
  </si>
  <si>
    <t>25-019648</t>
  </si>
  <si>
    <t>Park Ave, 0 Block</t>
  </si>
  <si>
    <t>1 Park Avenue</t>
  </si>
  <si>
    <t>1 Park Avenue, Hackensack, NJ, 07601</t>
  </si>
  <si>
    <t>Description of Suspect #1- Black Female, long black hair, approximately in the early 30's, approximately 5'10 in height, approximately 170 lbs, wearing a black baseball hat, black jacket, white and black leggings, white socks and white sneakers.      Description of Suspect #2- Black Female, long black hair, approximately in the early 30's, approximately 5'10 in height, approximately 250 lbs, wearing a white jacket, white and grey leggings,white socks and tan timberlands.       On Tuesday, March 11th, 2025, I responded to the listed location on a burglary to the apartment #435. Upon arrival, I was met with the complainant and another leasing agent for the listed location. The complaint reported that the lessee was evicted from his apartment on 12/23/2024 and still currently had items in his apartment. She further reported that today she received a video from a neighbor that resides next to apartment #435 of two females that were observed sitting on the balcony of the the apartment #435  earlier this morning. The complaint further reported that the keys to the apartment #435 were deactivated and the only person that had possession of that key fob was the lessee. The lessee was not on scene.                      Sgt. Donnerstag was notified, which who then notified the detectives. Det. Sgt. Williams and Det. Dogali responded.       At 01:07 the two suspects walked through the front lobby door of 1 Park Avenue, they proceeded to take the elevator to the 4th floor. They gained entry to apartment #435 some how, which there was no visible damage to the door or to the lock. Prior to my arrival, the complainant and the other leasing agent entered the apartment to see if there was anyone inside which yielded negative. At 03:53 hours, suspect 1 was seen leaving the entrance of 1 Park Avenue with two bags potentially from the apartment. The items that suspect #1 left with is unknown at this time. The apartment was secured by the complainant.</t>
  </si>
  <si>
    <t>Ghirardi_R</t>
  </si>
  <si>
    <t>suspect #1- black female, long black hair, approximately in the early 30's, approximately 5'10 in height, approximately 170 lbs, wearing a black baseball hat, black jacket, white and black leggings, white socks and white sneakers suspect #2- black female, long black hair, approximately in the early 30's, approximately 5'10 in height, approximately 250 lbs, wearing a white jacket, white and grey leggings,white socks and tan timberlands suspects walked through the front lobby door of 1 park avenue, they proceeded to take the elevator to the 4th floor suspect 1 was seen leaving the entrance of 1 park avenue with two bags potentially from the apartment suspect #1 left with is unknown at this time</t>
  </si>
  <si>
    <t>Thur</t>
  </si>
  <si>
    <t>25-021703</t>
  </si>
  <si>
    <t>414 Hackensack Avenue</t>
  </si>
  <si>
    <t>Assist Other Agency, Burglary - Residence</t>
  </si>
  <si>
    <t>414 Hackensack Avenue, Hackensack, NJ, 07601</t>
  </si>
  <si>
    <t>The Hackensack Police Department was contacted by Det M Pletcher in reference to Sparta PD OCA ST2025-007957.  They sought assistance with executing a search warrant.  At 0530 Sparta PD held a briefing in HPD Detective Bureau.  Representatives from NYPD, Sussex County Prosecutor's Office, Sparta PD, and Englewood PD were present.  The subject of their investigation was Jerry Montgomery.  Sparta PD had a search warrant for Montgomery's apartment and a vehicle registered to his wife.After the brief Hackensack PD ESU secured the apartment and turned it over to the investigative personnel.  Montgomery was taken into custody and transported to HPD HQ by Sparta PD.  The vehicle which was subject to search was towed from 414 Hackensack Ave lot to HPD's secure garage by All Points towing.  During transport it was followed by POs Small and Voorhis in radio car 115.Sparta PD's search warrant is docket number JA-SSX-1953A-SW-25, approved by the Honorable Janine Allen.</t>
  </si>
  <si>
    <t>Y52RXA</t>
  </si>
  <si>
    <t>KIA</t>
  </si>
  <si>
    <t>TEL</t>
  </si>
  <si>
    <t>Lt. John Knapp 141</t>
  </si>
  <si>
    <t>HACSOC</t>
  </si>
  <si>
    <t>Vehicle 1: NJ-Y52RXA KIA, TEL</t>
  </si>
  <si>
    <t>C03W12</t>
  </si>
  <si>
    <t>25-022902</t>
  </si>
  <si>
    <t>Kenneth St, 100 Block</t>
  </si>
  <si>
    <t>171 Kenneth Street</t>
  </si>
  <si>
    <t>171 Kenneth Street, Hackensack, NJ, 07601</t>
  </si>
  <si>
    <t>On March 21, 2025 at approximately 14:19 hours, I responded to 171 Kenneth St (Rocky Auto Repair Shop) for a motor vehicle theft report. Upon arrival, I met with the shop owner, Wilfredo Polanco, who called on behalf of the vehicle's owner.      Mr. Polanco reported that the vehicle was dropped off on 03/20/2025 for service by John Velez, a church volunteer. Mr. Polanco further reported that on 03/20/205 at approximately 17:00 hours, he parked the church van outside in the shop driveway and placed the keys in the visor. Mr. Polanco reported that this is common practice between him and the church since a member of the church normally picks up the van after hours.      A church administrator, Ms. Wass reached out to Mr. Martin and advised him that she observed the vehicle in East Rutherford, NJ and wanted to know why it was there. This alerted Mr. Martin to the fact that the vehicle was possibly moved without his or the church's authorization.      Mr. Martin then reached out to Mr. Polanco on 03/21/2025 at approximately 13:00 hours, and questioned why the church's van was in East Rutherford. Mr. Polanco reported he did not know as he believed the van was picked up as usual. Mr. Polanco proceeded to check security cameras for the auto shop where he learned the van was stolen on 03/21/2025 at approximately 07:50 hours.      I watched the security footage where I observed a white female, wearing blue sweatpants, a black sweater with the hood up, with blonde hair walk up to the van. After a few moments, the suspect enters the van. The suspect proceeds to sit in the van for a couple of minutes before starting the vehicle South on Kenneth St. Mr. Polanco was advised to save all footage.      Mr. Martin requested the vehicle to be processed if found. A consent to search form was filled out and signed.      The vehicle was entered into the ATTF system.     Communication was provided the vehicle information to be entered into NCIC.     Sgt. Tripodi was notified by Sgt. Compitiello.     Value of the vehicle is estimated to be $4,000.00.</t>
  </si>
  <si>
    <t>JWG42F</t>
  </si>
  <si>
    <t>CHEVROLET</t>
  </si>
  <si>
    <t>Vehicle 1: NJ-JWG42F</t>
  </si>
  <si>
    <t>suspect enters the van suspect proceeds to sit in the van for a couple of minutes before starting the vehicle south on kenneth st</t>
  </si>
  <si>
    <t>$4,000.00.</t>
  </si>
  <si>
    <t>25-023424</t>
  </si>
  <si>
    <t>Pulaski Pl, 0 Block</t>
  </si>
  <si>
    <t>24 Pulaski Place</t>
  </si>
  <si>
    <t>Burglary - Auto, Criminal Mischief - Vehicle</t>
  </si>
  <si>
    <t>Criminal Mischief - Vehicle</t>
  </si>
  <si>
    <t>24 Pulaski Place, Hackensack, NJ, 07601</t>
  </si>
  <si>
    <t>Suspect Vehicle Description: White 4-door SUV, possibly a Honda CRV or Toyota style SUV.      I responded to the listed location on a reported burglary from auto. Upon arrival, I spoke with the victim. He stated that, on 03/23/2025 at approximately 0415 hours, he had awoke to the sound of his vehicle alarm sounding. He further stated that when he looked outside, he observed the suspect vehicle parked next to his, facing west. The victim reported that upon seeing him, the suspect vehicle fled the scene, traveling west on Pulaski Place towards an unknown direction.   The victim stated that his vehicle had been broken into, as I observed the driver side door lock to be dislodged. He further stated that he had entered the vehicle via the driver side prior to my arrival and located a wrench in the driver seat that was not his. He reported that the suspect also damaged the steering wheel and ignition system to his vehicle.        Upon confirming that the victim did not want the vehicle processed, he entered his vehicle and verified that no items of his were missing. The victim reported that a cane, located in the console between the driver and passenger seats, was not his. The cane and wrench were then secured as evidence.        P.O. Rodriguez responded with the patrol camera on scene. I then took seven photos (placard included) of the scene. It should be noted that I secured the cane prior to P.O. Rodriguez's arrival on scene. The original position of the cane was captured on my body worn camera.        A search of the area for cameras yielded the following: 32 Pulaski Place, 29 Pulaski Place,18 Pulaski Place,17 Pulaski Place, and 15 Pulaski Place.       The victim stated that the approximate cost to repair his vehicle is $1,000.00.         A New Jersey Victim Notification Form was completed and provided to the victim. He was advised on how to obtain a copy of  this report.      The cane and wrench were secured in evidence locker number one.Insurance Info: 908340839Company Code: 135</t>
  </si>
  <si>
    <t>M88KXU</t>
  </si>
  <si>
    <t>ECO</t>
  </si>
  <si>
    <t>Competiello_Fa</t>
  </si>
  <si>
    <t>Vehicle 1: NJ-M88KXU FORD, ECO</t>
  </si>
  <si>
    <t>suspect vehicle description: white 4-door suv, possibly a honda crv or toyota style suv suspect vehicle parked next to his, facing west suspect vehicle fled the scene, traveling west on pulaski place towards an unknown direction suspect also damaged the steering wheel and ignition system to his vehicle</t>
  </si>
  <si>
    <t>$1,000.00.         A New Jersey Victim Notification Form was completed and provided to the victim</t>
  </si>
  <si>
    <t>Unknown</t>
  </si>
  <si>
    <t>25-024952</t>
  </si>
  <si>
    <t>211 Essex Street</t>
  </si>
  <si>
    <t>Burglary - Commercial, Hindering Apprehension, Resisting Arrest/Eluding</t>
  </si>
  <si>
    <t>Hindering Apprehension</t>
  </si>
  <si>
    <t>211 Essex Street, Hackensack, NJ, 07601</t>
  </si>
  <si>
    <t>On March 28th, 2025 P.O. McCarthy, P.O. Salas, P.O. Francavilla, S.P.O. Aster, and SGT. Tovbin responded to the listed location on a report of a suspicious incident. Upon arrival, we met with the complainant who had live footage of the listed location through her ring camera of the arrestee inside. P.O. Salas P.O. Francavilla and S.P.O. Aster created a perimeter on the outside of the building and P.O. McCarthy, SGT. Tovbin and I entered the location. Once we reached suite 202 and realized we could not gain entry, P.O. Francavilla responded with a key provided by the complainant.     SGT. Tovbin and P.O. McCarthy entered Suite 202 identifying themselves and giving loud verbal commands for the arrestee to show himself. Shortly after entering the suite to conduct a search, the arrestee attempted to exit using the second door. I advised him to show his hands, and P.O. Francavilla and myself were able to handcuff him for our safety after a brief struggle.    We escorted the arrestee outside, where we searched his person for our safety.  We then asked him for his pedigree information to which he gave us the name "Jorge Williams".  We were unable to locate any person with the information provided. Believing that he was providing us with false pedigree information and hindering our investigation, we determined it was necessary to transport him to headquarters for fingerprinting to confirm his identity.  While S.P.O. Abueg and I were escorting him to radio car 111, the arrestee began running, initiating a foot pursuit. He fled South in the parking lot and then ran across the street into the lot of 80 South Newman Street. P.O. McCarthy deployed his taser, but it did not make contact with his person due to the several layers of clothing he was wearing. P.O. Francavilla was able to apprehend the arrestee and bring him to the ground.     The arrestee was then placed in radio car 108 and transported to police headquarters by P.O. McCarthy. The vehicle was checked before and after transportation which yielded negative results.      Prior to transportation, the complainant approached us and advised us that the arrestee had stolen and eaten a cake they had in their break room. The complainant stated that the stolen cake was valued at $26.99. Melanie Esquiveo then responded to police headquarters to provide a statement to detectives.     Upon arrival at Police Headquarters, he was searched again by P.O. Vicale and handcuffed to the bench. The arrestee then began cooperating and provided us with the correct pedigree information which yielded an active warrant out of Passaic.      The arrestee complained of difficulty breathing and an ambulance was requested. Hackensack Ambulance arrived on scene and assessed the arrestee's. They stated his heart rate was a bit accelerated but should calm down momentarily. After the arrestee took off his two sweatshirts and 2 shirts, he started calming down. The arrestee refused further medical attention.    P.O. Vicale and P.O. Salas processed the arrestee with no complications.    The arrestee was found in possession of an American Express Amex Card which was secured as evidence and placed into evidence locker 2.    The arrestee was charged with:       Burglary - 2C:18-2       Hindering Apprehension - 2C:29-3       Resisting Arrest/Eluding - 2C:29-2A(2)       Obstruction - 2C:29-1(B)    P.O. Anguizaca and P.O. Vicale transported the arrestee to BCJ without further incident.     See Detectives supplement for further.</t>
  </si>
  <si>
    <t>P.O. Laura Lopez-Amaya 374</t>
  </si>
  <si>
    <t>$26.99. Melanie Esquiveo then responded to police headquarters to provide a statement to detectives</t>
  </si>
  <si>
    <t>C04W13</t>
  </si>
  <si>
    <t>25-025078</t>
  </si>
  <si>
    <t>2 Park Avenue</t>
  </si>
  <si>
    <t>2 Park Avenue, Hackensack, NJ, 07601</t>
  </si>
  <si>
    <t>On March 28th, 2025, at approximately 1110 hours, P.O. Lyak, Sgt. Donnerstag, Det./Sgt. Williams and I, responded to 2 Park Avenue, Apt. 635 (Ivy &amp; Green), on a report of a burglary. Upon our arrival we met with the victim, Juan Rondon Jr., who stated that his apartment was burglarized.      The victim stated he left his apartment on March 27th, 2025, at approximately 23:30 hours and returned to his apartment the following morning on March 28th, at approximately 0830 hours. When the victim arrived at his apartment, he noticed the door was slightly opened. Upon entry, he noticed the dead bolt to the apartment door was forced open and broken. The victim stated he had locked the dead bolt and door handle lock prior to leaving the night of March 27th, but did not utilize the door latch.      The suspect stated after observing the broken door, he entered his apartment and found drawers, cabinets, and his bedroom door were opened. The victim noticed black heavy-duty garbage bags located in the center of his apartment that were left by the suspects. While attempting to identify if merchandise or valuables were stolen during the burglary, he opened and closed many of the drawers and cabinets, contaminating the scene.     The victim stated, approximately $10,000.00 dollars in the denomination of $20.00 dollar bills located in the a kitchen drawer was missing.      Upon further examination, the victim stated a Two-Tone Sky Dweller Champaign Dial Rolex, model #326933, serial #54XV1419, valued at approximately $20,000.00 dollars was stolen. The watch was located inside the pocket of a pair of jeans in his bedroom closet. It should be noted, the victim's closet where the watch was stolen was in the same condition as when the suspect departed his residence. No other belongings or merchandise were disturbed or moved. The suspects appeared to only have gone into a select pair of jeans which contained the Rolex watch.      A Jubilee fourteen (14) karat gold bracelet valued at approximately $8,000.00 dollars was stolen. The bracelet was located on the top of the TV stand.      A fourteen (14) karat white gold necklace valued at approximately $8,000.00 dollars was stolen. The necklace was located in the apartment bedroom.      Multiple FedEx packages containing high-end clothing items and clothing items were stolen from the apartment bedroom and closet. The packages were valued at approximately $4,000.00 dollars.   A Nintendo Switch (Gaming Console) valued at approximately $300.00 dollars was stolen. The gaming console was located on the living room couch.      Detective Sergeant Williams met with the building concierge and they were able show security footage of three (3) unknown individuals wearing black clothing, hoods, face masks, and black gloves. The suspects entered stairwell 3, located across from the victim's apartment at approximately 0030 hours. The suspects were then viewed leaving the apartment approximately six (6) minutes later at 0036 hours. For further information with regards to the suspects involved, please refer to Detective Sergeant Williams case report.      The victim was provided with a Victim Notification Form and wished to sign complaints against the suspects if identified.</t>
  </si>
  <si>
    <t>Sgt. Patrick Williams 143</t>
  </si>
  <si>
    <t>suspect stated after observing the broken door, he entered his apartment and found drawers, cabinets, and his bedroom door were opened suspects suspect departed his residence suspects appeared to only have gone into a select pair of jeans which contained the rolex watch suspects entered stairwell 3, located across from the victim's apartment at approximately 0030 hours suspects were then viewed leaving the apartment approximately six (6) minutes later at 0036 hours suspects involved, please refer to detective sergeant williams case report suspects if identified</t>
  </si>
  <si>
    <t>$10,000.00 dollars in the denomination of  $20.00 dollar bills located in the a kitchen drawer was missing.      Upon further examination, the victim stated a Two-Tone Sky Dweller Champaign Dial Rolex, model #326933, serial #54XV1419, valued at approximately  $20,000.00 dollars was stolen. The watch was located inside the pocket of a pair of jeans in his bedroom closet $8,000.00 dollars was stolen. The bracelet was located on the top of the TV stand $8,000.00 dollars was stolen. The necklace was located in the apartment bedroom $4,000.00 dollars.   A Nintendo Switch (Gaming Console) valued at approximately  $300.00 dollars was stolen. The gaming console was located on the living room couch</t>
  </si>
  <si>
    <t>25-025926</t>
  </si>
  <si>
    <t>100 Essex Street</t>
  </si>
  <si>
    <t>100 Essex Street, Hackensack, NJ, 07601</t>
  </si>
  <si>
    <t>G2</t>
  </si>
  <si>
    <t>On March 31st, 2025, I responded to the listed address (100 Essex Street) on a report of a burglary. Upon arrival, I spoke to the victim, John Ross, who reported that his keys were missing. The victim reported missing a Coach keychain, with $50.00 USD inside, attached to four (4) keys and one (1) safety deposit box key. Total loss of $200.00 USD.     The victim stated in effect that he took a shower at approximately 0500 hours today. The victim reported not leaving his apartment again until approximately 1130 hours to use the bathroom. The victim reported observing his keys at this time. The victim stated that he was only in the bathroom for a minute. Upon responding back to his apartment, he stated that he began to watch a television show. Approximately 30 minutes to an hour later, he attempted to locate his keys, which are usually placed on his dresser, yielding negative results. The victim reported not securing his door while showering or using the bathroom. At this time, no signs of forced entry or any evidentiary proof that a suspect was inside his apartment, were visible. Sgt. Butler responded.       The scene was unable to be processed due to the victim contaminating the scene while looking for his keys. No CCTV camera were observed.      The victim stated that a "Asaad Martinez-Pollard" may be the suspect. The victim reported being assaulted by the suspect a few weeks prior and seeing him briefly today. See Case #25-010292 for further. A NJ Victim Notification form was completed and a copy was provided to the victim. Detective DeBonis was advised.</t>
  </si>
  <si>
    <t>P.O. Anthony Mattalian 83</t>
  </si>
  <si>
    <t>suspect was inside his apartment, were visible suspect suspect a few weeks prior and seeing him briefly today</t>
  </si>
  <si>
    <t>$50.00 USD inside, attached to four (4) keys and one (1) safety deposit box key. Total loss of  $200.00 USD.     The victim stated in effect that he took a shower at approximately 0500 hours today</t>
  </si>
  <si>
    <t>25-027338</t>
  </si>
  <si>
    <t>April</t>
  </si>
  <si>
    <t>Fair St, 0 Block</t>
  </si>
  <si>
    <t>75 Fair Street</t>
  </si>
  <si>
    <t>75 Fair Street, Hackensack, NJ, 07601</t>
  </si>
  <si>
    <t>On Friday, April 4, 2025, at approximately 13:15 hours, I responded in marked radio car #108 to 75 Fair Street, Apt. 1, for a report of a burglary to a residence.  Upon arrival, I spoke to SANDY JOHNSON, the victim's neighbor, who stated that the listed residence was burglarized.     JOHNSON stated that the victim has been at New Bridge Medical Center's intensive care unit for over month and she has permission from the victim to check on her apartment.  JOHNSON further stated that she regularly checks the victim's mailbox and puts the victim's mail inside the victim's apartment which is reported to be left unlocked at all times.  On Tuesday, 04/01/2025 at approximately 12:00 hours, JOHNSON entered the apartment to drop off the victim's mail and check the apartment, specifically checking to make sure that the TV in the victim's bedroom was still there.  The TV was last seen at this time.  On today's date at approximately 12:30 hours,  JOHNSON entered the apartment and noticed that the TV in the victim's bedroom was missing.  JOHNSON left the apartment and notified the complainant (victim's son).       I requested a supervisor to which Sgt. Tovbin responded.  Upon his arrival, we cleared the apartment which yielded negative results for unwanted persons.  Sgt. Tovbin notified Det. Sgt. Tripodi regarding the incident.  Det. Sgt. Tripodi received consent to process the scene from the complainant on the victim's behalf via telephone.  Det. Sgt. Tripodi, Det. G. Lara-Nunez and Det. Dogali responded on scene.  Bergen County Sheriff's Office BCI Unit responded on scene.  Det. Colon #1952 photographed the scene, see BCI case number #2025-0211.  The door to the apartment was secured by JOHNSON.</t>
  </si>
  <si>
    <t>P.O. Alexander Reyes 355</t>
  </si>
  <si>
    <t>C04W14</t>
  </si>
  <si>
    <t>25-026113</t>
  </si>
  <si>
    <t>310 Lookout Avenue</t>
  </si>
  <si>
    <t>310 Lookout Avenue, Hackensack, NJ, 07601</t>
  </si>
  <si>
    <t>While on scene investigating a separate incident (OCA 25-026103), Sgt. Donnerstag located the listed vehicle with its drivers side window smashed in. The interior of the vehicle appeared to be rummaged through. The registered owner of the vehicle, Ms. Olga Balakova was contacted and responded to the vehicle's location. She stated she parked her car at approximately 1800 hours.     Ms. Balakova gave consent to Det. Tanucilli to have the vehicle processed. Bergen County Sheriffs BCI detective's Stefanic # 1954 and Anastasio # 1766 were already on scene to process a separate vehicle ( see case # 25-026103 ). The vehicle was processed by Bergen County Sheriffs BCI on scene, see their case number 2025-0206 for further.  Ms. Balakova stated that only a few dollars in change appeared to be missing. She was not sure of the exact amount, but stated it was only one or two dollars total. The total cost of damage is unknown at the time.      The scene was turned over to Det. Tanucilli.</t>
  </si>
  <si>
    <t>IMKR57</t>
  </si>
  <si>
    <t>ROGUE</t>
  </si>
  <si>
    <t>P.O. Matthew Antista 135</t>
  </si>
  <si>
    <t>A4</t>
  </si>
  <si>
    <t>290 = Destruction/Damage/Vandalism of Property</t>
  </si>
  <si>
    <t>Vehicle 1: NJ-IMKR57 NISSAN, ROGUE</t>
  </si>
  <si>
    <t>25-026103</t>
  </si>
  <si>
    <t>I responded on the report of a suspicious incident. Upon arrival, I met with Yuri Vasilevski. He stated his vehicle window was broken and his belongings were on the ground. Sgt. Donnerstag arrived on scene to assist. The victim, Mr. Vasilevski, stated he parked his vehicle at approximately 2000 hours. When he returned to the vehicle, he found it had been broken into.     Det. Tanucilli was contacted and arrived on scene. It should be noted that while on scene Sgt. Donnerstag located another vehicle which appeared to be broken into (see case # 25-026113). Mr. Vasilevski gave consent to Det. Tanucilli to have the vehicle processed. Bergen County Sheriffs BCI detectives Stefanic and Anastasio responded to the scene and processed the vehicle (OCA 2025-0207). The victim stated five (5) dollars in 1 dollar bills of US currency were taken from the center console of his vehicle. Total value amount of repairs are unknown at this time.   The scene was turned over to Det. Tanucilli.</t>
  </si>
  <si>
    <t>UTU50W</t>
  </si>
  <si>
    <t>RGE</t>
  </si>
  <si>
    <t>Vehicle 1: NJ-UTU50W NISSAN, RGE</t>
  </si>
  <si>
    <t>25-026357</t>
  </si>
  <si>
    <t>77 Prospect Avenue</t>
  </si>
  <si>
    <t>77 Prospect Avenue, Hackensack, NJ, 07601</t>
  </si>
  <si>
    <t>On April 1, 2025 P.O Deoliveira and I responded to 77 Prospect Avenue on a report of a burglary to Auto. Upon arrival, we were met by the victim Jaime Laracuente and the building super Mark Muci. The victim advised us that he was contacted by Mr. Muci about his vehicle being burglarized. Mr. Muci was contacted by another tenant in the building who discovered that the victims window passenger side window was broken into. The vehicle was discovered to be burglarized at approximately 20:10 hours tonight. When the victim was asked, he stated he parked his vehicle in the rear lot of 77 Prospect Avenue at around 17:00 hours on 03/31/2025 and has not used it since. The victim provided me with his vehicle registration (NJ:U57SNU) and insurance (Code 012:   #908248625).I advised Headquarters and Sgt. Farhi responded to the scene. At this time the victim stated that he did not enter his vehicle but stated that their were no items of value when the burglary occurred. The area was canvassed with no signs of additional vehicles being burglarized and no surveillance camera's on the property. Det. Tanucilli was contacted and responded to the scene.The victim requested that his vehicle be processed for evidence and Bergen County BCI was contacted. The victim completed a consent to search form on scene. At approximately 21:33 hours BCI Det. Stefanic and Anastasio responded to the scene and processed the vehicle. Their case number is 2025-0208. The scene was then turned over to the registered owner. A victim notification form was completed and provided to the victim.</t>
  </si>
  <si>
    <t>U57SNU</t>
  </si>
  <si>
    <t>MAZDA</t>
  </si>
  <si>
    <t>C30</t>
  </si>
  <si>
    <t>Vehicle 1: NJ-U57SNU MAZDA, C30</t>
  </si>
  <si>
    <t>25-025341</t>
  </si>
  <si>
    <t>Berry St, 200 Block</t>
  </si>
  <si>
    <t>296 Berry Street</t>
  </si>
  <si>
    <t>296 Berry Street, Hackensack, NJ, 07601</t>
  </si>
  <si>
    <t>I responded to the listed location on a possible theft.  Upon arrival, I met with the victim, Mr. Dallas Gray.  Mr. Gray reported that his vehicle, NJ #T41VHN, was stolen.  He parked his vehicle in his detached driveway (on Haynes Street) yesterday, 3/28/25, at approximately 2030 hrs.  Today, 3/29/25, at approximately 1000 hrs, he noticed his vehicle was no longer in the driveway.  Mr. Gray has both vehicle keys in his possession.  Mr. Gray reported the only valuable item in the vehicle was his EZPass.  Mr. Gray does not want the vehicle processed.We observed the vehicle door key lock on the dirt patch adjacent to the driveway. Victim was provided with a NJ Victim Notification form.Estimated cost of the vehicle is $50,000Insurance provider: Geico 100, policy #4587415441</t>
  </si>
  <si>
    <t>T41VHN</t>
  </si>
  <si>
    <t>ACURA</t>
  </si>
  <si>
    <t>TLX</t>
  </si>
  <si>
    <t>P.O. Wanda Rivera 161</t>
  </si>
  <si>
    <t>A1</t>
  </si>
  <si>
    <t>Vehicle 1: NJ-T41VHN ACURA, TLX</t>
  </si>
  <si>
    <t>$50,000Insurance provider: Geico 100, policy #4587415441</t>
  </si>
  <si>
    <t>25-026716</t>
  </si>
  <si>
    <t>Union St, 200 Block</t>
  </si>
  <si>
    <t>260 Union Street</t>
  </si>
  <si>
    <t>Mental Health Incident, Sexual Assault, Juvenile Investigation</t>
  </si>
  <si>
    <t>Mental Health Incident</t>
  </si>
  <si>
    <t>260 Union Street, Hackensack, NJ, 07601</t>
  </si>
  <si>
    <t>On April 2, 2025, at approximately 2140 hours P.O. Bonsu and I responded to 260 Union Avenue on a reported mental health incident. We spoke with Janice Reid, who is a supervisor at the Holly Center, and she reported that A.M.C. was arguing with O.L.. They began to fight and the Holly Center staff were able to separate both of them. After the fight, A.M.C began becoming verbally aggressive with the staff and wrote a note that stated, "You dumb bitch's I ain't telling yall that yall but I going my gang to shoot this place up." Janice Reid further reported that that A.M.C. kept threatening to get a gang to shoot up the Holly Center.       While on scene, A.M.C. made statements that she wanted "to go down for attempted murder" and that she wanted to get CPC High Point shot up. CPC High Point is a school A.M.C. previously attended. Then A.M.C. began to state that she was sexually assaulted by Holly Center staff and specifically named Tyrone Bagley and Randall White who were on scene. Sgt. Donnerstag and Sgt. Ghirardi responded to the scene to assist. P.O. Bonsu asked A.M.C. more about her allegations. A.M.C. reported the incident occurred approximately a month ago on a weekend but did not recall if it was in the morning, afternoon, or evening. A.M.C. further reported it happened in her room at the Holly Center but she did not want to discuss any further. Hackensack University Medical Center BLS responded and transported A.M.C. to Hackensack University Medical Center. Janice Reid accompanied A.M.C.. I followed the ambulance to Hackensack University Medical Center.      Detective Garrett was notified and responded to Hackensack University Medical Center. I notified Alexandra #1576 from DCP&amp;P of the incident. She reported that DCP&amp;P would be making an immediate response to the hospital. Detective Garrett stated he was familiar with the patient and of the prior sexual assault allegation from previous encounters.  T.O.T. to detectives. See supplement for further contact information. A CBH care form was completed.</t>
  </si>
  <si>
    <t>P.O. Christian Alvarez 364</t>
  </si>
  <si>
    <t>Month of Incident</t>
  </si>
  <si>
    <t>Day of Week</t>
  </si>
  <si>
    <t>Time of Day Incident Occurred</t>
  </si>
  <si>
    <t>Victim's Vehicle Description</t>
  </si>
  <si>
    <t>Vehicle Was Parked</t>
  </si>
  <si>
    <t>Entry Method</t>
  </si>
  <si>
    <t>Damage to Vehicle</t>
  </si>
  <si>
    <t>Suspect Description</t>
  </si>
  <si>
    <t>Suspect Vehicle Description</t>
  </si>
  <si>
    <t>Items Stolen</t>
  </si>
  <si>
    <t>Value of Stolen Property</t>
  </si>
  <si>
    <t>Keys with Vehicle</t>
  </si>
  <si>
    <t>Offense Completed</t>
  </si>
  <si>
    <t>Block Incident Occurred On</t>
  </si>
  <si>
    <t>Structure Type</t>
  </si>
  <si>
    <t>Point of Entry</t>
  </si>
  <si>
    <t>Signs of Forced Entry</t>
  </si>
  <si>
    <t>Yes</t>
  </si>
  <si>
    <t>Friday</t>
  </si>
  <si>
    <t>NJ-T41VHN ACURA, TLX</t>
  </si>
  <si>
    <t>Driveway</t>
  </si>
  <si>
    <t>No</t>
  </si>
  <si>
    <t>Location Type</t>
  </si>
  <si>
    <t>Type Weapon</t>
  </si>
  <si>
    <t>Type of Victim</t>
  </si>
  <si>
    <t>Type Injury</t>
  </si>
  <si>
    <t>Propert Stolen</t>
  </si>
  <si>
    <t>Property Value</t>
  </si>
  <si>
    <t>Offender Suspected of Using</t>
  </si>
  <si>
    <t>Relationship of Victim to Offender</t>
  </si>
  <si>
    <t>25-024100</t>
  </si>
  <si>
    <t xml:space="preserve"> H/F ≈ 50 years of age and heavy build</t>
  </si>
  <si>
    <t>White Sedan</t>
  </si>
  <si>
    <t>Personal Weapons</t>
  </si>
  <si>
    <t>Individual</t>
  </si>
  <si>
    <t>Minor Injury</t>
  </si>
  <si>
    <t>None</t>
  </si>
  <si>
    <t>Stranger</t>
  </si>
  <si>
    <t>Robbery, Theft, Medical Call</t>
  </si>
  <si>
    <t>Medical Call</t>
  </si>
  <si>
    <t>Suspect: Hispanic female approximately 50 years of age and heavy build.      On March 25, 2025, at approximately 1204 hours I responded to 450 Hackensack Avenue on a reported robbery. Sgt. Donnerstag and Sgt. Ghirardi responded to assist. We spoke with the victim who reported that he had just finished shopping at 99 Ranch Market and placed the groceries in his vehicle. After placing the groceries in his vehicle, the victim sat in the driver's seat of his car. The victim further reported he was approached by the suspect who put a gold chain around his neck and began to converse with him. The suspect then began to rip the victim's Rolex watch off of his left wrist. The victim attempted to stop the suspect but was unsuccessful. The suspect stole the watch and got into the passenger seat of a white sedan, which drove off. The victim sustained abrasions to both hands.     The Rolex stolen was gold and had a white face. The approximate value is $15,000.00. Hackensack University Medical Center BLS responded to the scene and evaluated the patient. The patient refused to be transported to the hospital and signed a form. Sgt. Williams and Det. Tanucilli responded to the scene to assist. The victim reported that he would provide a recorded statement to detectives at a later date because he had to go home to tend to his son. The victim did not want his vehicle processed at this point in time. There are surveillance cameras where this incident occurred. I completed a victim notification form and the victim was given a copy.    The necklace that was placed on the victim's neck was secured in an evidence bag and transported to Hackensack Police Headquarters where it was placed in evidence locker #8. TOT to detectives.</t>
  </si>
  <si>
    <t>C73VBN</t>
  </si>
  <si>
    <t>IMP</t>
  </si>
  <si>
    <t>Vehicle 1: NJ-C73VBN SUBARU, IMP</t>
  </si>
  <si>
    <t>suspect: hispanic female approximately 50 years of age and heavy build suspect who put a gold chain around his neck and began to converse with him suspect then began to rip the victim's rolex watch off of his left wrist suspect but was unsuccessful suspect stole the watch and got into the passenger seat of a white sedan, which drove off</t>
  </si>
  <si>
    <t>$15,000.00. Hackensack University Medical Center BLS responded to the scene and evaluated the patient</t>
  </si>
  <si>
    <t>25-025304</t>
  </si>
  <si>
    <t>Parkway, 0 Block</t>
  </si>
  <si>
    <t>15 Parkway</t>
  </si>
  <si>
    <t>Suspicious Incident, Attempted Burglary</t>
  </si>
  <si>
    <t>Attempted Burglary</t>
  </si>
  <si>
    <t>15 Parkway, Hackensack, NJ, 07601</t>
  </si>
  <si>
    <t>Suspect is a tall, slim male dressed in all black. Complainant was unable to identify any further.     P.O. Anguizaca and I responded to the listed location on a report of a suspicious incident. Upon arrival, we met with the complainant who stated she was sleeping inside her residence when she heard a cracking sound outside her window. The complainant stated she looked outside her window and saw a male dressed in all black banging on the driver side door of the listed vehicle. She yelled out her window "what are you doing" to which the suspect responded "construction work" and took off running. The complainant stated he ran and got into the passenger seat of a white vehicle. The vehicle went east on Kaplan Avenue up until Polifly Road to which the complainant lost visual. The complainant was unable to provide any further information on the suspect vehicle.    The vehicles driver door handle was broken, but the vehicle was not entered due to the suspect fleeing upon observing the complainant. The approximate cost to repair the damage is $200.00.   The complainant was unable to get the vehicle owner on the phone so we were unable to get permission to process the vehicle.    A New Jersey Victim Witness Notification Form was completed and the complainant was given a copy.     Vehicle insurance: 4487-16-41-49        Insurance Code: 148</t>
  </si>
  <si>
    <t>Z85SBR</t>
  </si>
  <si>
    <t>Vehicle 1: NJ-Z85SBR ACURA, TLX</t>
  </si>
  <si>
    <t>suspect is a tall, slim male dressed in all black suspect responded "construction work" and took off running suspect vehicle suspect fleeing upon observing the complainant</t>
  </si>
  <si>
    <t>$200.00.   The complainant was unable to get the vehicle owner on the phone so we were unable to get permission to process the vehicle</t>
  </si>
  <si>
    <t>25-026077</t>
  </si>
  <si>
    <t>Second Street &amp; American Legion Drive</t>
  </si>
  <si>
    <t>Burglary - Auto, Theft, Criminal Mischief</t>
  </si>
  <si>
    <t>Criminal Mischief</t>
  </si>
  <si>
    <t>Second Street &amp; American Legion Drive, Hackensack, NJ, 07601</t>
  </si>
  <si>
    <t>I responded to the area of Second Street , between Central Avenue and American Legion Drive on report of a burglary. On arrival, I spoke with the victim who reported that on today's date around 1840 hours she left her vehicle parked facing South on the West side of Second Street. Upon the victim returning to her vehicle around 2200 hours she found her vehicle with the front passenger window shattered and interior rummaged through. I observed the front passenger window shattered and a large rock underneath the steering wheel by the pedals. Damage to the front wind shield, rear view mirror, and electrical panel was caused by this large rock that was thrown into the vehicle. The monetary value of the damage caused by the large rock is currently unknown.      Sgt. Donnerstag responded and Bergen County BCI was advised of the incident. The vehicle was not processed for evidence. The victim reported missing approximately $5.00 US in mixed coins and a Go Pro camera worth approximately $600.00 US. A victim notification form was completed and the victim received a copy.       Detectives were notified. Insurance: Progressive Policy: 992696988Code: 135</t>
  </si>
  <si>
    <t>J72JJJ</t>
  </si>
  <si>
    <t>TOYOTA</t>
  </si>
  <si>
    <t>SIENNA</t>
  </si>
  <si>
    <t>P.O. Jeffrey Rodriguez 342</t>
  </si>
  <si>
    <t>Vehicle 1: NJ-J72JJJ TOYOTA, SIENNA</t>
  </si>
  <si>
    <t>$5.00 US in mixed coins and a Go Pro camera worth approximately  $600.00 US. A victim notification form was completed and the victim received a copy</t>
  </si>
  <si>
    <t>25-028451</t>
  </si>
  <si>
    <t>Atlantic St, 100 Block</t>
  </si>
  <si>
    <t>120 Atlantic Street</t>
  </si>
  <si>
    <t>Burglary - Auto, Suspicious Person, Property - Found</t>
  </si>
  <si>
    <t>Property - Found</t>
  </si>
  <si>
    <t>120 Atlantic Street, Hackensack, NJ, 07601</t>
  </si>
  <si>
    <t>Suspect description: Slim build, black male, approximately 5'11 in height, wearing all black / dark clothing.     On 4/8/25 at approximately 00:52 hours,  I responded to the area of 120 Atlantic Street on a reported suspicious person. It was reported an unknown male suspect attempted to open a vehicle door and fled the area on foot. P.O. Papanikolaou and Sgt. Butler responded to assist.   Upon arrival I met with the complainant / witness, Sherif Abraham. The complainant reported on 4/8/25 at approximately 00:47 hours, he observed the suspect inside vehicle 1 (NJ T21VBK). Vehicle 1 was parked curbside on the north side of Atlantic Street, in front of 118 Atlantic Street. The complainant further reported the suspect fled the area on foot traveling north, last seen jumping the fence of 118 Atlantic Street. The complainant reported while the suspect fled, he dropped a black duffle bag, which was located on the west side of 118 Atlantic Street.  Upon inspecting vehicle 1, the interior did not appear disturbed. Upon further investigation, the front passenger side door to vehicle 1 was left insecure. The front passenger door to vehicle 1 was unable to be secured. Vehicle 1 also had a dash camera fixed to the front windshield. At this time it was unknown if the dash camera was recording / operable.  Upon responding to the west side of 118 Atlantic Street, I observed a medium size black in color "Jordan" duffle bag containing clothing / property. Upon further checking the area, a tied / knotted mint colored small size towel was also observed. All found property was secured in radio car 104.   A DMV check of vehicle 1 was conducted, which resulted the registered owner, Luis Moreno Colmenares, resided at 107 Atlantic Street. P.O. Papanikolaou later responded to 107 Atlantic Street in attempt to locate / speak with the owner, which resulted negative.  A Hackensack Notification Card was completed and secured on vehicle 1. Additionally a Hackensack Notification Card was completed and secured in the mail box of 107 Atlantic Street.   P.O. Estrada and P.O. Mena checked the area in an attempt to locate the suspect, which resulted negative.   At this time, I was unable to confirm vehicle 1 was burglarized or what proceeds may have been stolen from the vehicle. All evidence / found property was transported to headquarters. At headquarters all property was inventoried.   The medium size black in color "Jordan" duffle bag containing a white in color Adidas hat, a pair of white and blue colored socks, black colored shorts, white colored shirt, clear glass bottle of cologne / perfume and a pair of white and orange colored puma sneakers.  The tied / knotted mint colored small size towel contained a black plastic organizing tray inside. Inside the tray contained the following: - A black  plastic ash tray cup- Juicy J's rolling paper(s)- "OCB" slim premium rolling paper(s) with tip(s)- Three multi color plastic lighters - White in color USB car charger - A backwoods magnet - Two "UFOND" headband lights - White colored paper matches - A silver and black in color "driven" ammunition style key chain- $4.53 in assorted change- A small clear glass bottle with a silver in color metal screw cap. Attached to the screw cap was a small silver in color spoon / scooper. Within the bottle contained an unknown white powdered substance (suspected cocaine).    The mint in color towel containing multiple items was later placed in a brown paper bag. The currency was later placed in currency security bag # 0588856. The small clear glass bottle containing the suspected cocaine was later placed in evidence bag # 7824140. All evidence / found property was later secured in evidence locker 6. See evidence report for further.   The immediate area was checked for any other vehicles possibly burglarized with negative results.</t>
  </si>
  <si>
    <t>T21VBK</t>
  </si>
  <si>
    <t>530</t>
  </si>
  <si>
    <t>Butler_J</t>
  </si>
  <si>
    <t>Vehicle 1: NJ-T21VBK BMW, 530</t>
  </si>
  <si>
    <t>suspect description: slim build, black male, approximately 5'11 in height, wearing all black / dark clothing suspect attempted to open a vehicle door and fled the area on foot suspect inside vehicle 1 (nj t21vbk) suspect fled the area on foot traveling north, last seen jumping the fence of 118 atlantic street suspect fled, he dropped a black duffle bag, which was located on the west side of 118 atlantic street suspect, which resulted negative suspected cocaine) suspected cocaine was later placed in evidence bag # 7824140</t>
  </si>
  <si>
    <t>$4.53 in assorted change- A small clear glass bottle with a silver in color metal screw cap. Attached to the screw cap was a small silver in color spoon / scooper</t>
  </si>
  <si>
    <t>C04W15</t>
  </si>
  <si>
    <t>NJ-U57SNU MAZDA, C30</t>
  </si>
  <si>
    <t>Pritate Lot</t>
  </si>
  <si>
    <t>Not stated in Report</t>
  </si>
  <si>
    <t>Residential - Home</t>
  </si>
  <si>
    <t>None reported</t>
  </si>
  <si>
    <t>Electronics</t>
  </si>
  <si>
    <t>A neighbor reported the incident while the homeowner was hospitalized for an extended stay at New Bridge Medical Center.</t>
  </si>
  <si>
    <t>28-Day</t>
  </si>
  <si>
    <t>Suggested Fields:</t>
  </si>
  <si>
    <t>• Type of Assault (rape, sodomy, fondling, object penetration)</t>
  </si>
  <si>
    <t>• Victim Incapacitated? (yes/no)</t>
  </si>
  <si>
    <t>• Force or Threat Used? (yes/no)</t>
  </si>
  <si>
    <t>• Location Type</t>
  </si>
  <si>
    <t>• Known vs. Stranger Offender</t>
  </si>
  <si>
    <t>• Number of Offenders</t>
  </si>
  <si>
    <t xml:space="preserve">Type of Assault </t>
  </si>
  <si>
    <t>Victim Incapacitated</t>
  </si>
  <si>
    <t>Force or Threat Used</t>
  </si>
  <si>
    <t xml:space="preserve"> Location Type</t>
  </si>
  <si>
    <t>Known vs. Stranger Offender</t>
  </si>
  <si>
    <t>Number of Offenders</t>
  </si>
  <si>
    <t>Statutory</t>
  </si>
  <si>
    <t>Residential Mental Health Rehabilitation</t>
  </si>
  <si>
    <t>Victim declined to elaborate further</t>
  </si>
  <si>
    <t>Report_Due_Date</t>
  </si>
  <si>
    <t>7_Day_Start</t>
  </si>
  <si>
    <t>7_Day_End</t>
  </si>
  <si>
    <t>28_Day_Start</t>
  </si>
  <si>
    <t>28_Day_End</t>
  </si>
  <si>
    <t>Report_Name</t>
  </si>
  <si>
    <t>Is_Due</t>
  </si>
  <si>
    <t>C04W16</t>
  </si>
  <si>
    <t>C05W17</t>
  </si>
  <si>
    <t>C05W18</t>
  </si>
  <si>
    <t>C05W19</t>
  </si>
  <si>
    <t>C05W20</t>
  </si>
  <si>
    <t>C06W21</t>
  </si>
  <si>
    <t>C06W22</t>
  </si>
  <si>
    <t>C06W23</t>
  </si>
  <si>
    <t>C06W24</t>
  </si>
  <si>
    <t>C07W25</t>
  </si>
  <si>
    <t>C07W26</t>
  </si>
  <si>
    <t>C07W27</t>
  </si>
  <si>
    <t>C07W28</t>
  </si>
  <si>
    <t>C08W29</t>
  </si>
  <si>
    <t>C08W30</t>
  </si>
  <si>
    <t>C08W31</t>
  </si>
  <si>
    <t>C08W32</t>
  </si>
  <si>
    <t>C09W33</t>
  </si>
  <si>
    <t>C09W34</t>
  </si>
  <si>
    <t>C09W35</t>
  </si>
  <si>
    <t>C09W36</t>
  </si>
  <si>
    <t>C10W37</t>
  </si>
  <si>
    <t>C10W38</t>
  </si>
  <si>
    <t>C10W39</t>
  </si>
  <si>
    <t>C10W40</t>
  </si>
  <si>
    <t>C11W41</t>
  </si>
  <si>
    <t>C11W42</t>
  </si>
  <si>
    <t>C11W43</t>
  </si>
  <si>
    <t>C11W44</t>
  </si>
  <si>
    <t>C12W45</t>
  </si>
  <si>
    <t>C12W46</t>
  </si>
  <si>
    <t>C12W47</t>
  </si>
  <si>
    <t>C12W48</t>
  </si>
  <si>
    <t>C13W49</t>
  </si>
  <si>
    <t>C13W50</t>
  </si>
  <si>
    <t>C13W51</t>
  </si>
  <si>
    <t>C13W52</t>
  </si>
  <si>
    <t>25-029155</t>
  </si>
  <si>
    <t>Summit Ave, 200 Block</t>
  </si>
  <si>
    <t>283 Summit Avenue</t>
  </si>
  <si>
    <t>283 Summit Avenue, Hackensack, NJ, 07601</t>
  </si>
  <si>
    <t>On April 10, 2025, I responded to the listed location on a report of a Burglary to Auto. Upon arrival, I met with the victim, Stein Saboae. The victim reported a Burglary to his auto bearing NJ registration Z73VFP. The victim reported his ring camera captures a young white male approximately 15-17 years of age, last seen wearing a neon green and gray jacket with dark pants and a helmet. The unknown suspect is observed on a black scooter riding down into the victim's driveway at 2310 hours and ride back out at 2311 hours. The ring camera located at the backdoor captured him opening the driver side door. The victim reports his Oakley clear green lenses glasses missing out of the vehicle. The victim reported the value of the Oakley glasses are $395.00 dollars. Sgt. Tovbin also responded. The victim does not wish to have his vehicle processed. The victim received a  completed victim notification form. The surveillance footage was emailed to detectives division with  the case number. Det. Sgt. Williams was notified.</t>
  </si>
  <si>
    <t>Z73VFP</t>
  </si>
  <si>
    <t>SUB</t>
  </si>
  <si>
    <t>Vehicle 1: NJ-Z73VFP CHEVROLET, SUB</t>
  </si>
  <si>
    <t>suspect is observed on a black scooter riding down into the victim's driveway at 2310 hours and ride back out at 2311 hours</t>
  </si>
  <si>
    <t>$395.00 dollars. Sgt</t>
  </si>
  <si>
    <t>Robbery YTD</t>
  </si>
  <si>
    <t>Property Stolen</t>
  </si>
  <si>
    <t>Type of Offense</t>
  </si>
  <si>
    <t>Vehicle Involved</t>
  </si>
  <si>
    <t>Victim-Offender Relationship</t>
  </si>
  <si>
    <t>Method of Coercion</t>
  </si>
  <si>
    <t>Multiple Offenders vs. Single Offender</t>
  </si>
  <si>
    <t>Repeat Offender or Known Suspect</t>
  </si>
  <si>
    <t>Use of Technology</t>
  </si>
  <si>
    <t>Victim Demographics</t>
  </si>
  <si>
    <t>25-029829</t>
  </si>
  <si>
    <t>140 Hudson Street</t>
  </si>
  <si>
    <t>140 Hudson Street, Hackensack, NJ, 07601</t>
  </si>
  <si>
    <t>I responded to the listed location on a report of a suspicious incident. Upon arrival, I spoke to the home residents who stated somebody entered their apartment and took their belongings. The victims explained that they were going through an eviction process so they were unable to enter the apartment for a couple of days. They then explained that they fixed the issue and when they returned to their apartment, some of their belongings were missing.    The victims advised that they left the apartment on April 8th, 2025 and returned on today's date.    Manuel Vasquez stated he was missing:           3 Citizen watches           3 Gold necklaces           $26.00 Manuel stated he believes the total loss is $400.00.    Tomas Lopez stated he was missing:          3 Dewalt drill sets          A necklace          A watch           2 Samsung Tablets          $50.00.Tomas stated he believes the total loss is $700.00.     There was also no sign of forced entry.     The victims stated that prior to contacting the police they touched several items in the apartment thus contaminating the scene.</t>
  </si>
  <si>
    <t>$26.00 Manuel stated he believes the total loss is  $400.00.    Tomas Lopez stated he was missing:          3 Dewalt drill sets          A necklace          A watch           2 Samsung Tablets           $50.00.Tomas stated he believes the total loss is  $700.00.     There was also no sign of forced entry</t>
  </si>
  <si>
    <t>25-030198</t>
  </si>
  <si>
    <t>Central Ave, 100 Block</t>
  </si>
  <si>
    <t>157 Central Avenue</t>
  </si>
  <si>
    <t>Burglary - Auto, Weapons - Unlawful Purposes</t>
  </si>
  <si>
    <t>Weapons - Unlawful Purposes</t>
  </si>
  <si>
    <t>157 Central Avenue, Hackensack, NJ, 07601</t>
  </si>
  <si>
    <t>On April 13, 2025, at approximately 1634 hours, P.O. McCarthy and I were dispatched to 157 Central Ave for a parking complaint. Upon our arrival, arrestee 1, Melanie Curry,  arrestee 2, Tyrone Miles, victim 1, Edwin Vasquez, and victim 2, Mirelis Lopez, were standing in the rear parking lot of 157 Central Ave arguing.  I spoke with arrestee 1, Melanie Curry, who stated that the victim, Edwin Lopez, has been parking in her parking spot, which has been an ongoing problem. Arrestee 1 also stated that she went into the rear seat of the Ford Explorer and took victim 2's pocketbook. She further stated the reason she took the pocketbook was so they would move their vehicle. I spoke with Victim 1, who stated that he was arguing with arrestee 1 and arrestee 2 over parking. Arrestee 2 walked over to the victim's 2005 Honda Accord, silver in color, New Jersey Registration N51UXW, and punctured both front tires with a knife.  I spoke with victim 2, who stated that arrestee 2 walked over to her 2019 Ford Explorer, black in color, New Jersey Registration D478UTT, which was also parked in the parking lot. The arrestee opened the rear door without permission and took out her Michael Kors black pocketbook from the back seat, and brought it into her apartment. See below for a detailed list of the contents of the purse. Victim 2 showed us a video of arrestee 2 puncturing the front tires of victim 1's vehicle. The video shows a black male wearing different clothing than what arrestee 2 was wearing, but you could see that arrestee 2 had the same wedding ring and blue bracelet that he had on his left wrist. Victim 2 further stated that arrestee 2 went into his residence and changed his clothes and sneakers.  Sgt. Briggs and P.O. Marble arrived on the scene to assist. Sgt. Brigg advised me that while he was speaking with arrestee 2, the arrestee admitted that he did puncture the two front tires with a knife. Sgt. Briggs went with the arrestee and retrieved the knife, described at a 10" kitchen knife with a blue handle and five inch blade which he turned over to me to be secured and transported to headquarters.   Both arrestees were placed in handcuffs, arrestee 1 was placed in the rear of patrol vehicle 108, and arrestee 2 was placed in the rear of patrol vehicle 107, Both vehicles were checked before and after for contraband. Both arrestees were searched at the scene and back at headquarters with negative results for additional contraband.  Victim notification forms were filled out and provided to both victims. A Handle with Care form was completed and turned into the front desk.  The knife was placed in an evidence knife box, tagged and placed into evidence locker 1  I contacted DCPP and spoke with Alisha #1357 and informed her of the situation. She advised me that they would not be responding but would be documenting the incident at this time.  Vehicle 1: cost of two tires $300.00 eachGeico Insurance 6168591045 The following items were taken from Vehicle 2 Black Michael Kors pocketbook $300.00wallet                                          $50.00Cash                                           $70.00 Diapers                                       $50.00Medicationa single blank check for the victim's checking account which was loose in the purse. Detective Tanucilli was notified and responded to headquarters to take recorded statements. See his report for further.  Both suspects were processed without incident and Lt. Klosk authored complaints S2025-000176, S2025-000177 on my behalf. The suspects were then released from custody.</t>
  </si>
  <si>
    <t>N51UXW</t>
  </si>
  <si>
    <t>D48UTT</t>
  </si>
  <si>
    <t>XPL</t>
  </si>
  <si>
    <t>P.O. Michael Scangarella 349</t>
  </si>
  <si>
    <t>Vehicle 1: NJ-N51UXW HONDA, ACC | Vehicle 2: NJ-D48UTT FORD, XPL</t>
  </si>
  <si>
    <t>suspects were processed without incident and lt suspects were then released from custody</t>
  </si>
  <si>
    <t>$300.00 eachGeico Insurance 6168591045 The following items were taken from Vehicle 2 Black Michael Kors pocketbook  $300.00wallet                                           $50.00Cash                                            $70.00 Diapers                                        $50.00Medicationa single blank check for the victim's checking account which was loose in the purse. Detective Tanucilli was notified and responded to headquarters to take recorded statements</t>
  </si>
  <si>
    <t>25-030220</t>
  </si>
  <si>
    <t>64 Prospect Avenue</t>
  </si>
  <si>
    <t>Burglary - Residence, Terroristic Threats, Criminal Mischief</t>
  </si>
  <si>
    <t>Terroristic Threats</t>
  </si>
  <si>
    <t>64 Prospect Avenue, Hackensack, NJ, 07601</t>
  </si>
  <si>
    <t>On April 13, 2025 at approximately 18:44 hours, P.O. Alvarez, SPO Abueg, and I responded to 64 prospect ave apt #B9 for a 911 call for a possible fight.     Upon arrival, I observed a black male, wearing a black leather jacket with white on the boarders, grey jeans, black and red shoes, with short hair, running out of the apartment complex. I attempted to stop the party but he fled running to the rear of 77 Prospect Ave. As I was unaware if the person who fled was involved in the incident I responded to apartment #B9 where I observed the door half open, glass on the floor, and the apartment to be in disarray.     At that moment, Anthony Campbell (victim hereafter), walked out. I observed a laceration to his forehead. The victim also complained of right leg pain. I observed a laceration to his right leg. Hackensack EMS #134 were on scene. They evaluated the victim and he signed an RMA form.     The victim reported he was sitting in his apartment when he began to hear loud banging. The victim reported he made his way to the front door to investigate the sound. The victim reported as he approached the door, it swung open violently. The victim reported he then saw Michael Dearmas (arrestee hereafter) standing on the outside. It should be noted that Dearmas matched the description of the person who fled upon my arrival to the building. The victim reported the arrestee then ran into the apartment and grabbed him by the shirt striking him in the head in the process. The victim reported he then attempted to back up to call 911 to which the arrestee then yelled " I am going to kill you ". The victim reported the arrestee then ran out of the apartment.      The victim reported damage to the front door which would cost approximately $50.00 to repair. The victim also reported a broken mirror which cost him approximately $150.00.     The victim reported he has never had issues with the arrestee until the divorce proceeding with his daughter was initiated. Sgt. Ghirardi arrived on scene. Sgt. Ghirardi notified Det. Tanucilli. Det. Tanucilli arrived on scene.  I asked the victim if he wished to have the scene processed to which he accepted. A Hackensack Police Consent to Search form was completed and turned over to Det. Tanucilli upon his arrival on scene. BCSO Det. S. Delacruz #1955 arrived on scene. Det. Delacruz photographed and processed the scene. See BCSO case number #2025-0233 for more.       While on scene, Sgt. Ghirardi was speaking to the victims daughter on the phone when she received a call from the arrestee. The victims daughter placed the call on 3-way where he disclosed he was standing in front of a liquor store on Lehigh St. Communications was able to confirm the arrestees location via security cameras. P.O. Vicale, SPO Abueg, P.O. Voorhis, P.O. Caero, and P.O. Alvarez made their way to the arrestees location. Upon arrival, the arrestee again fled on an electric bicycle heading south into the NJ Transit Station Lot on Essex St. P.O. Vicale activated his exterior emergency warning lights in attempted to stop the arrestee.     Upon reaching the back of the parking lot the arrestee jumped off the bicycle and ran onto the train tracks. The arrestee then jumped into a small creek but surrendered to P.O. Vicale shortly after. The arrestee was pulled out of the creek by P.O. Vicale and handcuffed behind his back. The arrestee then requested an ambulance for leg pain. The arrestee was transported to Hackensack Hospital. The arrestee was searched before and after the transported which yielded negative results for contraband. P.O. Voorhis rode in the ambulance with the arrestee while P.O. Vicale followed.     At approximately 21:00 the victim contacted the Hackensack Police Headquarters advising he had located the arrestees phone inside the apartment. I responded to the apartment to secure the phone as evidence. The phone was tagged and secured in evidence locker #2.      Communication confirmed the arrestee had active warrant #W-2025-000167 out of this jurisdiction.        The arrestee also had warrant # W-2025-000078 and 1604-W-2025-000080 from Hawthrone PD.     The victims daughter, Toya Campbell-Dearmas, had active FRO #FV-14-001021-25 against the arrestee. The victims address is listed on the FRO.      The bicycle the arrestee was on was logged into property and secured in bulk storage in the old police garage.       A New Jersey Victim Notification form was filled out and a copy was provided to the victim.      Lt. Klosk authored complainant #W 2025 000178 0223 on my behalf for the charges of 2C:18-2, 2C:12-3, 2C12-1a, 2C:17-3, 2C:25-31.</t>
  </si>
  <si>
    <t>$50.00 to repair. The victim also reported a broken mirror which cost him approximately  $150.00.     The victim reported he has never had issues with the arrestee until the divorce proceeding with his daughter was initiated</t>
  </si>
  <si>
    <t>25-030391</t>
  </si>
  <si>
    <t>Kinderkamack Road, 0 Block</t>
  </si>
  <si>
    <t>2 Kinderkamack Road</t>
  </si>
  <si>
    <t>2 Kinderkamack Road, Hackensack, NJ, 07601</t>
  </si>
  <si>
    <t>I4</t>
  </si>
  <si>
    <t>Suspect: White Hispanic male, approximately 30-40 years old, facial hair, named "Jean"     On 04/14/25, I responded to police headquarters for a walk-in that reported being sexually assaulted on 03/23/2025. The victim reported that on 03/23/25 she requested a 'Lyft' ride from her residence to her friend's house that resides at 169 Passaic Street, Hackensack. The Lyft ride arrived at the victim's residence at approximately 14:53 hours.     During the course of the transportation, the victim believed she had left her cellphone at home. The suspect offered to return to retrieve her cellphone. The victim then realizes her cellphone was in her bag that was inside the vehicle. The victim apologized multiple times to the suspect for returning to her home. The victim then offered $40.00 in cash to the suspect who then accepted the cash.      During the course of the transportation, the victim reported the suspect was asking her personal questions such as: "when was the last time you kissed someone and/or had sex?" The victim stated "about a year and a half ago or more". The suspect pulled over near Jefferson Street. The suspect then stated "kiss me ,come to the front seat and kiss me". The victim then entered the front seat. The suspect then grabbed the victim's face and kissed her for approximately 10 seconds. While kissing the victim, the suspect groped the victim's chest from outer clothing, then down to her hips, to her vagina. The suspect then rubbed the victim's vagina over her clothing. The victim stated she was "frozen" and unable to react to the suspects action. The suspect then stopped and asked to kiss her again. The victim stated the second kiss lasted 2-3 seconds. The victim stated to the suspect she had bad experiences in the past and did not feel comfortable continuing. The suspect then stopped; however, kept his right hand on her thighs.     Over the course of the ride, the suspect attempted to pull over again but this time on Prospect Avenue and Atlantic Street. The victim's friend called her during this time,  questioning her about her location due to the time that she had left from home. Upon arrival to her destination, as the victim exited the vehicle, the suspect stated "You can call me if you want to get a better experience."     A New Jersey Victim Notification Form was completed. A copy was given and explained to the victim. The Detective Bureau was notified and Det. Carroll responded to speak with the victim.  Reference initial reported taken by River Edge Police on 4/12/2025: Case # 2025-03824</t>
  </si>
  <si>
    <t>Gretkowski_J</t>
  </si>
  <si>
    <t>P.O. Juda DeOliveira 376</t>
  </si>
  <si>
    <t>suspect: white hispanic male, approximately 30-40 years old, facial hair, named "jean"     on 04/14/25, i responded to police headquarters for a walk-in that reported being sexually assaulted on 03/23/2025 suspect offered to return to retrieve her cellphone suspect for returning to her home suspect who then accepted the cash suspect was asking her personal questions such as: "when was the last time you kissed someone and/or had sex?" the victim stated "about a year and a half ago or more" suspect pulled over near jefferson street suspect then stated "kiss me ,come to the front seat and kiss me" suspect then grabbed the victim's face and kissed her for approximately 10 seconds suspect groped the victim's chest from outer clothing, then down to her hips, to her vagina suspect then rubbed the victim's vagina over her clothing suspects action suspect then stopped and asked to kiss her again suspect she had bad experiences in the past and did not feel comfortable continuing suspect then stopped; however, kept his right hand on her thighs suspect attempted to pull over again but this time on prospect avenue and atlantic street suspect stated "you can call me if you want to get a better experience</t>
  </si>
  <si>
    <t>$40.00 in cash to the suspect who then accepted the cash.      During the course of the transportation, the victim reported the suspect was asking her personal questions such as: "when was the last time you kissed someone and/or had sex?" The victim stated "about a year and a half ago or more"</t>
  </si>
  <si>
    <t>Case Number - Copy</t>
  </si>
  <si>
    <t>Block</t>
  </si>
  <si>
    <t>Involved Vehicle</t>
  </si>
  <si>
    <t>Method of Entry</t>
  </si>
  <si>
    <t>Point of Exit</t>
  </si>
  <si>
    <t>Type of Structure</t>
  </si>
  <si>
    <t>Security Measures Present</t>
  </si>
  <si>
    <t>CaseID</t>
  </si>
  <si>
    <t>ExternalData_2</t>
  </si>
  <si>
    <t>Motor Vehicle Theft - 2C:20-3</t>
  </si>
  <si>
    <t>9</t>
  </si>
  <si>
    <t xml:space="preserve">    On Saturday, January 4th, 2025, I responded to the listed location on a report of a motor vehicle theft. Upon arrival, I met the registered owner, who reported that his vehicle was parked in the driveway at 21:30 hours on 01/03/2025. He further reported that he left his residence with his friends in his friend's vehicle and returned to his residence on the morning of 01/04/2025. He noticed his vehicle was taken from his driveway. The registered owner reported there was nothing valuable in the car and was uncertain if the spare keys were in the vehicle. Both New Jersey plates are affixed to the vehicle. 
     Communications advised me that the vehicle was located in Clarkstown, NY, and was involved in a motor vehicle hit-and-run accident. The registered owner was also advised of the vehicle's location. I observed no cameras in the area. 
     The victim did not want the vehicle processed or to sign complaints if the suspect(s) are identified. 
    A New Jersey Victim Notification form was completed and provided to the registered owner. 
    An ATTF entry was completed
    A motor vehicle checklist was completed and submitted. 
</t>
  </si>
  <si>
    <t>W46uly</t>
  </si>
  <si>
    <t>Honda</t>
  </si>
  <si>
    <t>klosk_j</t>
  </si>
  <si>
    <t>Criminal Sexual Contact - 2C:14-3a</t>
  </si>
  <si>
    <t>7</t>
  </si>
  <si>
    <t xml:space="preserve">     On Friday January 10, 2025, I was assigned as the Hackensack High School SRO. I was advised that a student wanted to report a crime and was currently in the main office. Upon arriving to the main office I met the victim, A.R. 
      As I began to speak with the victim she immediately began to cry. She stated that she was inappropriately touched by the suspect who is also student. The suspect was identified as Manuel Martinez Perez. The victim stated that on Tuesday January 7, 2025  she was in her 9th period class ESL 2 in room 276. She shares this class with the suspect and his cousin Esmeralda Perez Martinez who is a potential witness. 
      The victim stated during class the suspect gave her a hug. As he was hugging her he dropped his hand down and grabbed her breast over her clothing. She immediately became angry and told him not to touch her. She then advised Esmeralda Perez Martinez that she was touched inappropriately by the suspect. The victim stated that she reported this incident to her her teacher Mrs. Magdalene Symmonds, but she did not understand her due to a language barrier.  The victim reported that this was not the first time she was inappropriately touched by the suspect. She reported that the prior week a similar incident occurred. I notified assistant Principal Celso King of this report.
      I spoke to Esmeralda Perez Martinez who may have witness the incident. Perez Martinez stated that she sits in a group with the victim and the suspect. The day of the incident she did not observe the suspect touch the victim because she was busy doing her class work. The witness did confirm that the victim mentioned to her that she was inappropriately touched by the suspect. 
      The victim's mother, Raquel Lelio, was notified of the incident and responded to the school. She advised me that she was not sure if she wanted to sign criminal complaints against the suspect. She wants to speak with her daughter and husband before making a decision.
       Det. E. Reyes was advised of the incident and will follow up with the complainant at a later time.</t>
  </si>
  <si>
    <t>Dominguez_l</t>
  </si>
  <si>
    <t>Burglary - Auto - 2C:18-2</t>
  </si>
  <si>
    <t>Suspect(s): Unknown.
     I responded to the listed location, 90 Prospect Avenue, on a report of a burglary to auto. Upon arrival, I was met by the victim, Kelly Nurnberg-Darzi, who stated on the morning of 01/10/25 she responded to her grey 2006 Honda Pilot and observed all of her work equipment to be missing. The victim advised me she specialized in opening safes and stores several of her high-value tools in the rear of the listed vehicle. The victim stated the listed vehicle was parked in assigned space #20 and did not move it from the assigned space. The victim stated she last recalled observing her tools in the listed vehicle on 01/06/25 and had not returned to the vehicle since. 
The following items were taken from the listed vehicle:
2 Boroscope - $5,000.00 USD
8 Redundant Locks - $2,000.00 USD
5 Drills - $5,000.00 USD
1 large box of drill bits - $1,200.00 USD
1 tool bag with several tools - $2,000.00 USD
6 Electronic locks - $1,320.00 USD
4 FAS locks - $480.00 
Total Value - $17,000.00 USD
     While on scene, I observed several cameras in the parking garage of 90 Prospect Avenue. I further observed the listed vehicle to have a broken rear passenger side window which gives direct access to the vehicles trunk. The victim stated the damage occurred on 01/04/25 while her son was parking the vehicle. The victim further stated she did not have any time to repair the broken window and remove the tools from the vehicle prior to them being taken. 
     The victim advised me she believes the suspect may be her husband Uri Darzi whom she is currently in a civil lawsuit with. 
Sgt. Peralta responded assist.
A victim notification form was completed and a copy was given to the victim.</t>
  </si>
  <si>
    <t>deleon_a</t>
  </si>
  <si>
    <t>Criminal Attempt - 2C:5-1</t>
  </si>
  <si>
    <t>Robbery - 2C:15-1</t>
  </si>
  <si>
    <t>8</t>
  </si>
  <si>
    <t xml:space="preserve">     On Monday, January 13th, 2025, at approximately 12:07 hours, P.O. Alvarez and I responded to the listed location on a dispute report. Before our arrival, headquarters had advised us that the male suspect, described as wearing a grey hoodie and sweatpants, had fled southbound on First Street. Upon arrival, we met with Maria Romero Peralta, the mother of the juvenile victim, A.R. 
     She reported that the described suspect, later identified as D.T., had punched her in the left eye and her right breast. With the mother's permission and in her presence, we spoke to the victim, a juvenile male, A.R., who reported that the suspect, D.T., had stolen a red electronic moped bike and had dropped it off at his house. He further reported that the suspect asked the victim if he could drop off the stolen moped for a couple of days. The victim also reported giving the stolen moped bike to another friend since he did not know how to operate the bike. A.R. later noted that the suspect, D.T., recovered the stolen moped bike from the said friend they have in common and had the bike confiscated byLaw Enforcement in another jurisdiction. 
     Today, the victim reported that the suspect arrived at his residence demanding $400.00 for the moped because it had been confiscated. He further reported that the suspect arrived with three (3) other friends: two Hispanic males, unknown names, dates of birth, or addresses, and a Hispanic female, blonde hair and blue jacket, operating a Toyota Rav 4 with an unknown NY tag. He also reported that a fight ensued between him and the suspect, and the three (3) witnesses stood by. 
     The victim also reported that his mother, Maria Romero Peralta, heard the commotion and broke up the fight, retreating with the victim and herself back into the residence. A.R. reported that the front entrance door closed and was being held by his mother when the suspect breached the door with physical force and continued to assault the victim while demanding $400.00 for the red moped electric bike.  I then requested a supervisor, and Sgt. Williams responded to assist. 
    Maria Romero Peralta reported that while attempting to break up the fight, she was punched in the left eye and right breast by the suspect, D.T. She also reported that the suspect and the three (3) witnesses fled the scene after she threatened to call the police. Maria Romero Peralta, along with A.R. declined medical attention at the scene. The mother and the victim wanted to provide statements to detectives and were transported to headquarters by P.O. Alvarez as I followed. 
     At headquarters, Detectives Mora and Garrett responded to report room 2 and met with the victim and his mother. Before providing statements to the detectives, Maria Romero Peralta began to have complaints of pain in her left eye and right breast. I observed her left eye to be swollen and red. Maria Romero Peralta then requested to be transported to the hospital for evaluation and treatment. I requested an ambulance, and Hackensack University Medical Center BLS #136 arrived. The mother, now a patient, was transported to the HUMC along with A.R. for treatment. The patient reported that she would respond to headquarters at a later time to provide statements to the detectives. 
I contacted DCP&amp;P Christine #1718 and advised of the incident. She reported that the incident would only be documented. I completed a victim notification form and provided a copy to the victim.
It should be noted that the victim, A.R., reported that he had dropped out of school as of today; therefore, a handle with care was not completed. See Detectives report for additional information. 
</t>
  </si>
  <si>
    <t>Resisting Arrest/Eluding - 2C:29-2</t>
  </si>
  <si>
    <t xml:space="preserve">     On Tuesday, January 14th, 2025, P.O. Conlon. P.O. Voorhis, and I responded to 450 Hackensack Avenue for a report of a trespasser on the premises who had shoplifted in the past and has also been aggressive with staff in the past. 
   Upon my arrival, I observed the arrestee enter a white Volkswagon (NJ-Y82VDS) that was leaving the parking lot. The security officers at Home Depot also pointed out the arrestee as he entered the car. I conducted a motor vehicle stop with the vehicle at the traffic light exiting the parking lot. As I approached the vehicle, the arrestee exited the vehicle and started running West on Hackensack Avenue. P.O. Conlon, P.O. Voorhis, and I began running after the arrestee and announcing ourselves as Hackensack Police. When the arrestee approached the other side of Hackensack Avenue, he stopped, and P.O. Conlon apprehended him. The arrestee was flailing his arms while I was attempting to place him in handcuffs. The arrestee was then put in handcuffs with his hands behind his back. The arrestee was then searched, which yielded negative for contraband. 
  The Loss Prevention Officers stated that the arrestee entered the front door of Home Depot with a black ski covering his face. The loss prevention officers noticed the arrestee from previous shoplifting. The arrestee then concealed several power tools totaling $1,284.00 and placed them in a shopping cart. The arrestee then went past all points of sale and tried to exit the store. Prior to exiting the store, the loss prevention officers approached him and tried to stop him from leaving. The arrestee then pushed the loss prevention officers and fled the store on foot. The loss prevention officer recovered the items. The arrestee then entered the listed vehicle and fled the parking lot for the exit of the mall. A photo copy of the receipt was placed into the BCI mailbox located at the front at the front desk. 
The items that were recovered: 
M18 Jobsite Radio priced at $189.00
Two 20V Atomic BL Combo Kit priced at $149.00 each
M18 Fuel Jig Saw priced at $199.00
MKE M12 Packout Flood Light priced at $149.00
M18 Fuel 10 Miter Saw priced at $449.00
     Totaling at $1,284.00.
The arrestee was placed in radio car 114 and transported to police headquarters for processing. The vehicle was checked before and after the transport for contraband which yielded negative
   The arrestee was processed at police headquarters by P.O. Caero. 
Complaint W-2025-000016 was authored by Lt. Swetits against the arrestee and was signed for 2C:29-2a(1), 2C:29-2a(2), and two counts of 2C:15-1A(1).
  The arrestee also had multiple outstanding warrants from various jurisdictions.
The arrestee was remanded to the Bergen County Jail.</t>
  </si>
  <si>
    <t>y82vds</t>
  </si>
  <si>
    <t>Volks</t>
  </si>
  <si>
    <t>swetits_m</t>
  </si>
  <si>
    <t xml:space="preserve">On 01/15/2025 I responded to 244 First Street on a reported motor vehicle theft. Upon arrival I met with the driver of the stolen vehicle, Jeffrey Mejiamorquecho. He reported he parked his motor vehicle in front of 244 First Street facing north at around 24:00 hours. He further reported his mother left his residence at 05:00 hours on the listed date and noticed the vehicle was gone. The driver also reported he received a notification from EZ Pass with a charge from the George Washington Bridge toll at 04:13 hours on the listed date. The driver then walked out with me to where his vehicle was parked and observed broken glass which he suspected to be from his rear passenger side window. The driver advised me the vehicle had 1 plate in the rear and was worth approximately $50,000.00 as the vehicle was fairly new. He further reported he attempted to track the vehicle as it contains tracking equipment but was unsuccessful as it was not connecting. He believes it was disconnected somehow after the vehicle was stolen.
240 First Street has cameras in the general direction of where the vehicle was parked. It is unknown at this time if they captured the incident occur.
Insurance Information: 
Company: Geico (369)
Policy Number: 6183163036
The driver was provided with a completed New Jersey Victim Notification Form.
The driver wished to have the vehicle processed if located and a Hackensack Police Consent to Search from was completed.
The vehicle was entered into NCIC as stolen by Communications.
The vehicle was entered into ATTF as stolen.
</t>
  </si>
  <si>
    <t>Burglary - Residence - 2C:18-2</t>
  </si>
  <si>
    <t xml:space="preserve">     On Thursday, January 16, 2025 at approximately 1934 hours, Sgt. Peralta and I responded to 30 Second Street, Apt. L1 on report of a residential burglary. Upon arrival, I met with the victim who reported that she left her apartment at approximately 1200 hours on this date, before returning several hours later, at approximately 1800 hours. The victim further reported that upon returning to her apartment, she observed the exterior door knob to be damaged (loose), as if someone attempted to break in. The victim stated that upon entering the apartment, the interior did not appear to be ransacked, nor did anything appear out of place at this time. 
     The scene was unable to processed due to the victim contaminating evidence while entering her apartment. The cost of repair for the damaged door knob was approximately $35.00. A Victim Notification was completed and the victim was provided with a copy upon our departure. There were no known suspects at the time this report was taken. Det./Sgt. Tripodi was notified.</t>
  </si>
  <si>
    <t xml:space="preserve">Suspect 1: Hispanic male, approximately early 30' s in age, approximately 5'10" in height, approximately 180 in weight, wearing a tan hooded sweater, brown "NY" Yankees logo hat, black sweatpants and white sneakers.
Suspect 2: Hispanic female, approximately mid 20's in age, approximately 5'5" in height, approximately 140 in weight, wearing a black jacket, grey hooded sweater, tan pants and cream colored shoes. 
Suspect Vehicle: 4 door Silver in color Hyundai Sonata (unknown registration).
On 1/17/25 P.O. Papanikolaou and I responded to 630 Main Street, Target on a reported shoplifting. While   speaking with Target Loss Prevention they wanted to report an additional incident, which occurred in the past.
Target Loss Prevention / victim, Cheikh Gaye, reported on 1/16/25 at approximately 21:03 hours suspect 1 and suspect 2 entered Target. It was further reported on 1/16/25 at approximately 21:16 hours suspect 1 and 2 passed all points of sale with unpaid merchandise in a shopping cart. The unpaid merchandise (furniture, grocery, health and beauty, home and kitchen products) totaled $452.71. 
Prior to exiting Target Loss Prevention / the victim confronted both suspects. Target Loss Prevention were able to recover all merchandise that both suspects attempted to steal. While recovering the stolen merchandise suspect 1 punched the victim in the head, specifically the top left side, with a closed fist one time. The victim reported having a complaint of pain hours after being assaulted. Both suspect later left the area in the suspect vehicle. 
A Sgt. was requested and Sgt. Competiello responded. Detectives were notified. The victim later responded to headquarters to provide a voluntary statement. The victim refused medical attention at this time.
A receipt of the unpaid merchandise was provided by Target Loss Prevention. The receipt was later secured in the Detective Bureau Mailbox.
</t>
  </si>
  <si>
    <t>Hyundai</t>
  </si>
  <si>
    <t>Sonata</t>
  </si>
  <si>
    <t xml:space="preserve"> On January 22, 2025, I responded to the listed location on a report on a stolen motor vehicle. Upon arrival, I met with the registered owner, Kamil Garcia. The registered owner stated on January 21, 2025 at approximately 1800 hours he parked his vehicle, a 2023 Honda Passport color red bearing NJ registration U22RSV in front of 33 Ross Ave facing West. The registered owner stated that he currently has possession of the two key fobs that belong to the vehicle. At approximately 0309 hours on January 22, 2025 he responded to his vehicle where he last parked it and the vehicle was no longer there. 
      The registered owner received a completed victim notification. The vehicle was entered as stolen into NCIC (NIC #  V956704006) along with a stolen motor vehicle form. The vehicle was also entered as stolen into the  ATTF website. The registered owner does not wish to have the vehicle processed at this time. 
Approximate value for the above vehicle is 46,000.00 USD.</t>
  </si>
  <si>
    <t>tovbin_s</t>
  </si>
  <si>
    <t>5</t>
  </si>
  <si>
    <t xml:space="preserve">        On January 22, 2025, I responded to the listed location on a report of a stolen motor vehicle. Upon arrival, I met with the victim, Melisssa Williams, also registered owner. The victim stated the vehicle has been lodged at 443 Hudson Street with permission of the resident Jermal Clark. The victim stated upon speaking to Jermal Clark he stated "the vehicle was towed off the property early morning and he got some money for it."
  Sgt. Tovbin and I spoke to Jermal Clark, who stated that he does not know which towing company towed the vehicle. I asked Jermal Clark if he towed the vehicle off the property and he was uncooperative in answering the question. 
      The vehicle, a 2006 Nissan Pathfinder color black bearing NJ registration Y62SRJ, was last seen on January 21, 2025 at approximately 1600 hours parked facing South on the listed property. The victim stated that she currently does not have possession of the key. The victim indicated the one key was last in possession of Jermal Clark. 
      The registered owner received a completed victim notification. The vehicle was entered as stolen into NCIC (NIC # V146697789 ) along with a stolen motor vehicle form. The vehicle was also entered as stolen into the  ATTF website. The registered owner does not wish to have the vehicle processed at this time. 
Approximate value for the above vehicle is 2,500.00 USD.
</t>
  </si>
  <si>
    <t>Nissan</t>
  </si>
  <si>
    <t>Sexual Assault - 2C:14-2b</t>
  </si>
  <si>
    <t xml:space="preserve">  On Thursday, 01/23/2025 I was notified by D/Sgt. Dominguez of a possible sexual assault involving a juvenile. I was advised that 10 y/o S.S. disclosed to a school teacher that her mothers boyfriend has been touching her while her mother was sleeping. This reportedly has occurred on multiple occasions. No further information was available at this time. S.S. is a student at Nelly K. Parker school, who already notified DCP&amp;P as per protocol.
   I contacted DCP&amp;P social worker Jennifer Diaz who was assigned to the initial investigation. Ms. Diaz advised me that she was currently enroute to Nelly K. Parker to meet with S.S., and school staff. She advised me that she already contacted BCPO/SVU. I advised her that I will meet her at the school. Upon arrival I met with Ms. Diaz, who advised me that S.S. was set to be picked up from school by another unknown adult possibly the suspect. Due to the circumstances it was determined that S.S. will be transported to BCPO (100 Eisenhower Drive, Paramus NJ) to undergo a forensic interview with SVU. Contact was made to S.S. mother, Ibys Sandoval, who was advised that a police investigation is underway and her presence is required. Ms. Sandoval expressed that she has transportation issues, therefore this agency arranged transport for her.
  Det. Reyes responded to pick up Ms. Sandoval at her residence (176 Berdan Place, Hackensack NJ). Ms. Sandoval was transported to Nelly K. Parker to meet up with her daughter, and ultimately transported to BCPO for the interview.  
 Contact information was limited at the time of this report
 (See Det. Reyes Supplemental report for further details)
  </t>
  </si>
  <si>
    <t>bay_f</t>
  </si>
  <si>
    <t xml:space="preserve">          On January 25, 2025, at approximately 13:55 hours, P.O. P. Lopez, P.O. G. Lara-Nunez, P.O. Mattalian, Sgt. Competiello, and I responded to 60 Kansas apartment 8F for a possible burglary in progress. Upon arrival, I met with the victim who reported she left her apartment at approximately 11:30 hours. The victim reported approximately 14:00 hours, she returned to the apartment to find the front door slightly ajar.
     We did a check of the interior of the apartment which yielded negative results for any suspects inside. The victim reported she is 100% sure the door was locked because she checked multiple times before leaving. The victim reported she was missing about $2,000 in miscellaneous jewelry. She described the jewelry to be earrings and gold necklaces.
The victim reported she had the same incident occur in 2023. See 23-091001 for more. The victim reported she observed a light skin Hispanic male driving a black Lexus leaving the apartment complex as she pulled in. The victim reported she recalls the same Lexus and same male in the area after the previous incident.
Sgt. Competiello contacted detectives. Detective DeBonis arrived on scene.
The victim requested for the apartment to be processed. Sgt. Competiello contacted Bergen County Sheriff's Office. Detective LaSala #1866 arrived on scene. See BCSO case #2025-0052 for more .
I observed no signs of forced entry. The New Jersey victim notification form was filled out and a copy was provided to the victim for her records.
The crime scene was secured at 14:15 hours.
Crime Scene Log:
14:31: Det. LaSala Enters
14:38: Det. LaSala Exits
14:48: Det. Lasala Enters
14:49: Det. Debonis Enters
15:01: Det. LaSala Exits.
15:04: Det. LaSala Enters.
Crime Scene Terminated: 15:08
</t>
  </si>
  <si>
    <t>levis_r</t>
  </si>
  <si>
    <t>Theft - 2C:20-3</t>
  </si>
  <si>
    <t>Suspect description: Possibly male, approximately 5'7'' in height, with a slim build. 
On 1/26/25 P.O. Papanikolaou and I responded to 206 Stanley Place on a reported theft from auto. Upon arrival, I spoke with the victim, Phyllis Cunningham. The victim reported on 1/25/25 at approximately 20:52 hours she received a text message from her son. The text was a video of an unknown suspect entering her vehicle, New Jersey Registration R36GBB. The listed vehicle was parked in the driveway at 206 Stanley Place. 
The victim showed me the video that her son texted her. Upon observing the video I observed on 1/25/25 at 18:27 hours the suspect entered the vehicle from the front driver side door, which was left insecure. Later, the suspect was seen on video to be searching through the vehicle. 
After the incident the victim responded to check her vehicle. Upon inspecting her vehicle nothing appeared to be stolen and no damage was observed. 
A New Jersey victim notification form was completed. The victim did not request to have the vehicle processed. At this time the victim reported if the suspect could be identified she would pursue a criminal case.  The victim was advised to save the video surveillance of the incident. 
Sgt. Competiello was advised.</t>
  </si>
  <si>
    <t>r36gbb</t>
  </si>
  <si>
    <t xml:space="preserve">           I responded to the listed location on a reported theft from a motor vehicle. Sgt. Farhi responded to assist. Upon arrival, I spoke with the complainant. She stated that on 01/26/2025 at approximately 20:10 hours, she had turned her vehicle on to heat up. She further stated that she had left the vehicle running with the keys inside when she returned to her apartment for a few moments. The complainant reported that when she returned to the vehicle, the vehicle was still there but the keys were missing. 
      The complainant stated that no other items appeared to be missing from the vehicle. Furthermore, due to contamination by the complainant, the vehicle was unable to be processed.
    The complainant stated that the value of the key fob is approximately $200.00. 
   The vehicle was parked on Conklin Place, 150 feet east of Pangborn Place, facing west.
    A check of the area for cameras revealed one on the Bergen Christian Academies.   
    A New Jersey Victim Notification Form was completed and provided to the complainant. She was further advised on how to obtain a copy of this report.
  Detective Garrett was notified.
Vehicle Insurance: Geico
Code :365
Policy Number: 6164-87-88-42</t>
  </si>
  <si>
    <t>r97ryw</t>
  </si>
  <si>
    <t>nj</t>
  </si>
  <si>
    <t>6</t>
  </si>
  <si>
    <t xml:space="preserve">         On January 29, 2025, I responded to the listed location on a report on a stolen motor vehicle. Upon arrival, I met with the registered owner, Trina Coley. The registered owner stated on January 28, 2025 during the afternoon hours she parked her vehicle , a 2012 Lexus ES color black bearing NJ registration K84CXU in her residence private parking lot facing East. The registered owner stated that she currently does not have possession of the key fob as it was left inside of the vehicle along with her cell phone. At approximately 0930 hours on January 29, 2025 she responded to her vehicle where she last parked it,and the vehicle was no longer there. 
      The registered owner received a completed victim notification. The vehicle was entered as stolen into NCIC (NIC #V686695547 ) along with a stolen motor vehicle form. The vehicle was also entered as stolen into the ATTF web site. The registered owner does not wish to have the vehicle processed at this time. 
Approximate value for the above vehicle is 7,000.00 USD and the iPhone 15 at $800.00 USD.</t>
  </si>
  <si>
    <t>k84cxu</t>
  </si>
  <si>
    <t>Lexus</t>
  </si>
  <si>
    <t>Swetits_m</t>
  </si>
  <si>
    <t xml:space="preserve">      On January 31, 2025, at approximately 1200 hours the victim responded to Hackensack Police Department Headquarters for a report of a burglary to his residence that occurred in the past. I met with the victim who reported that last Friday, January 24, 2025 at approximately 1200 hours he left his residence with his wife and son for the day. He reported that upon his return to his residence at approximately 1500 hours, he observed the front door (allows entry into the apartment) wide open.  He further reported that he believes he locked the door before he left but did not observe any damage to his door. He reported that he went inside his residence to check if anyone was in his apartment with negative results. The victim reported that the following day, Saturday, January 25, 2025, he looked for his beige folder that contained copies and originals of the following items: passport, social security cards, and licenses of his wife, Arelis Bonilla, and his sons, Eduardo M. Sobrino and Edwin D. Sobrino-Bonilla. 
      The victim reported that he last saw his beige folder with those documents in his living room approximately one month ago. The victim was advised to contact the social security administration, DMV, and credit companies to advise them of the above. He was also advised on how to obtain new copies of his social security card, license, and passport. The victim was advised to report any fraudulent activity he may see. 
      A New Jersey Victim Notification Form was completed and a copy was provided to the victim. He was advised to contact Hackensack Police Department should another incident like this arise. 
      The victim was not offered B.C.I. to respond to the residence due to the apartment being contaminated for approximately a week. Det. Lt. Weber was notified.
</t>
  </si>
  <si>
    <t xml:space="preserve">     On February 1, 2025, I responded to the listed location on a report on a stolen motor vehicle. Upon arrival, I met with the registered owner, Mohammed Almowail. The registered owner stated on February 1, 2025 at approximately 0100 hours he parked his vehicle, a 2012 Ford Crown Victoria color grey bearing NJ registration P77UZJ in front of 453 Sutton Avenue facing East. At approximately 0230 hours, while inside of the residence he heard the vehicle being turned on and when he walked out to where he last parked it the vehicle was no longer there. 
     The registered owner stated that he currently has possession of the two keys that belong to the vehicle. The vehicle has two NJ plates(P77UZJ) attached.
     It should be noted the victim was in the process of selling the vehicle today to someone by the alias of Taylor Jacobs via Facebook marketplace. The victim provided the above listed address and videos of where the vehicle was going to be located to the above listed alias of Taylor Jacobs.
     The vehicle also contained a black wallet inside with three Bank of America Credit Cards and 4 Bank of Kuwaitt Credit Cards issued to Abdull Alhajeri. The victim was advised to report and lock all cards.
      The registered owner received a completed victim notification. The vehicle was entered as stolen into NCIC (NIC # V786677145 ) along with a stolen motor vehicle form. The vehicle was also entered as stolen into the  ATTF site. The registered owner does not wish to have the vehicle processed at this time. 
Approximate value for the above vehicle is 3,000.00 USD. The value of the black wallet is approximately $30.00 USD.</t>
  </si>
  <si>
    <t>p77uzj</t>
  </si>
  <si>
    <t>Ford</t>
  </si>
  <si>
    <t>Unknown Suspect Descriptions:
Unknown Suspect 1: Tall white male, crew cut, no clothing description
Unknown Suspects 2-5: 4 males, unknown race, wearing dark colored helmets and dark clothes with padding.
         While in the area, P.O. Maceri and I were flagged down by the victim. Upon speaking with him, he advised that he had been robbed. Sgt. Farhi responded to assist.
          The victim stated that on 02/02/2025 between 17:25 and 18:00 hours, he was walking north on Main Street, near the area of Main Street and Court Street with two acquaintances. He further stated that while walking in that area, a verbal dispute took place between the three of them. The victim reported that at this time, he was approached by five suspects, with four of them carrying bats. He further reported that suspect #1 threatened him, stating that he would beat him up if he didn't hand over his belongings. The victim stated that suspect #1 forcibly retrieved the wallet off his person and removed a debit card and identification card, before throwing the wallet back in his direction. He further stated that the suspect's then told him if they saw him again, they would beat him up. The suspects then fled east on Court Street, before turning left to head north on River Road.
        A New Jersey Victim Notification Form was completed and provided to the victim.
       The detective division was notified and advised that they would follow up with the victim.</t>
  </si>
  <si>
    <t xml:space="preserve">     On Monday, February 3, 2025 at approximately 1640 hours, Sgt. Farhi and I responded to 400 Hackensack Avenue (Marc Jacobs) on a reported robbery. Upon arrival, I met with the victim who reported that three suspects (1 male, 2 females) entered the establishment at approximately 1600 hours. The suspects reportedly exited and reentered the store multiples time prior to committing the offense, with the last entry being made only by the male suspect. 
    The victim further reported that the suspect grabbed three small purses from the display shelf before he began to walk toward the exit. At that time, the victim stated that he attempted to stop the suspect, who immediately shoved him into a store fixture. The suspect reportedly proceeded to run out of the store toward the nearest mall exit, where he entered a black vehicle and fled in an unknown direction. The victim stated that he was able to recover one of the purses during the incident. 
    The victim advised that he sustained minor injuries to his left arm as result of the incident, in which he refused any medical attention. The victim wished to provide a recorded statement to detectives. He was transported to police headquarters where he was turned over to Det. Dogali. The total loss suffered by the establishment for the two purses was approximately $650.00. The store manager (witness) wished to have complaints signed against the suspects if they were able to be identified.
     Suspect 1: Black male, slim build, 5'8", black beanie, black puffer, dark pants, white/blue sneakers
     Suspect 2: Black female, heavy build, 5'8", short hair, black puffer, black leggings, black pocketbook
     Suspect 3: Black female, heavy build, 5'7", long cornrows, gray puffer, light blue jeans</t>
  </si>
  <si>
    <t xml:space="preserve">            I responded to the listed location on a reported motor vehicle theft. Upon arrival, I spoke with the complainant. She stated that on 02/04/2025 at 11:29 hours, she received a text from her boss, asking her to check on one of their U-Haul vehicles. She further stated that upon searching the parking lot, she could not locate the vehicle. The complainant reported that the vehicle had been rented out, so she contacted the contract holder to ensure the vehicle was dropped off. Upon verifying such and checking camera footage, the vehicle is seen on camera being dropped off by the customer. He is then approached by the suspect, where a brief verbal exchange is had. The customer is then seen leaving the area. The suspect is then seen retrieving keys from a lock box, before entering the van and fleeing the area.
     I then spoke with the customer. He stated that he had dropped the vehicle off at the listed location at approximately 18:40 hours. He further stated that upon dropping it off, he was greeted by the suspect, who acted as an employee of the business. The customer reported that after a brief discussion, he was wary of the suspect and secured the keys in the lock box himself. He further stated that he then left the area.  
     A check in house of our tow list was conducted, with the vehicle not having been reported as towed or repossessed
. 
 The complainant was advised of the recovery process, including fingerprinting of the vehicle. The complainant stated that she would like the vehicle held for prints on behalf of U-Haul and signed a Consent to Search Form. The complainant advised that she was unsure if the vehicle had a tracking system.
       The vehicle is valued at approximately $45,000.00.
      The complainant has video footage of the incident, available upon request.
       Vehicle was entered into the ATTF website.
    A New Jersey Victim Notification Form was completed.
Insurance Info: Self-Insured
Certificate #:S012
Exp: 06/30/2025</t>
  </si>
  <si>
    <t>am82732</t>
  </si>
  <si>
    <t>Promaster</t>
  </si>
  <si>
    <t>Burglary - Commercial - 2C:18-2</t>
  </si>
  <si>
    <t xml:space="preserve">   On Wednesday, February 5, 2025 at approximately 0300 hours,  P.O Dominguez and I responded to Hackensack Pharmacy (441 Passaic Street) on a reported activated burglar alarm.  
 Upon my arrival, I observed the main entrance glass door located on the north side of the business to be shattered.  I also observed a master lock and a metal pin on the ground near the door that appeared to had been cut off the steel roller gate located in front of the glass door. I also observed a white prescription pill bottle on the ground near the master lock.  I advised police communications of my findings and P.O A. Lopez , P.O N. Marza and P.O Mattalian arrived to assist.  A perimeter of the business was immediately established.  P.O Dominguez, P.O N. Marza and I made entry into the business and completed an interior check.  The interior check yielded negative results for any person(s) in the business.  While completing the interior check, I observed two gray large paver stones on the floor near the front glass door.  It appears the two stones were used to break the glass to the front door to gain access.  I observed several white prescription pill bottles on the floor as well as several pairs of eye glasses.  Upon further inspection, I observed a white wooden cabinet located behind the service counter that appeared to have been broken into which contained several white prescription pill bottles similar to the prescription pill bottle located outside on the ground in front of the business.  P.O Dominguez made notification to the tour commander.
 At approximately 0445 hours, Det. Scarpa and the business owner, Mr. Bodawala, arrived and were updated.  Mr. Bodawala consented to the business to be processed and signed a Consent to Search form.  Mr. Bodawala showed video footage of the incident to Det. Scarpa and e-mailed the footage to Det. Scarpa.  See Det. Scarpa's Supplemental report for further.
 At 0315 hours, the scene was preserved and a crime log had commenced.
-0448 hours, Det. N. LaSala (BCSD-CSU) arrived to process the scene, BCSD case # 2025-0088.
-0528 hours, Det. N. LaSala completed processing the scene. The scene was turned over to Mr. Bodawala.
 Mr. Bodawala advised it is unknown what proceeds/value were taken at this time. He advised once he and his employee conduct and complete an inventory, he will compile a list and forward it to Det. Scarpa.
 Case turned over to Det. Scarpa.</t>
  </si>
  <si>
    <t xml:space="preserve">  I responded to the listed location on a motor vehicle theft. Upon arrival, I met with the complainant and the victim. The victim only spoke Spanish, so her husband (the complainant) translated. The complainant stated that his wife's vehicle was parking in the driveway of 170 Hudson Street, which was located between 170 Hudson Street and 166 Hudson Street. He stated that he left his vehicle running and went back into his house at 0635 hours. When he went to check on the vehicle at 0650 hours, he discovered it was missing. The vehicle was left unlocked with the keys in the ignition. I observed cameras in the rear of the house, but none located directly where the vehicle was parked.
A victim notification form was completed and a copy was given to the victim. The victim requested to have the vehicle process if located. 
The estimated value of the stolen auto is $2,000.00 Dollars.</t>
  </si>
  <si>
    <t>T12sse</t>
  </si>
  <si>
    <t>Dodge</t>
  </si>
  <si>
    <t xml:space="preserve">                       The victim responded to police headquarters on a report of a motor vehicle theft.  The victim, Clever Asitimbay Mora, reported that he parked the vehicle in the area of 535 Hudson Street in this jurisdiction on 01/31/2025.  The victim reported that on 02/7/2025 at approximately 13:00 hours, he checked the GPS location of his vehicle on his phone and noticed that his vehicle was located at 3945 Frankford Avenue, Philadelphia, PA 19124.  He reported he possessed one (1) key to the vehicle, and the other key was broken.  Both the front and rear license plates were attached to the vehicle.  The victim did not want the vehicle processed if located.  The vehicle is insured by GEICO unknown policy number at this time.  The value of the vehicle is approximately $6,000.00.  A victim notification form was completed, and the vehicle was entered into N.C.I.C and the Auto Theft Task Force (ATTF) as stolen.  I contacted Philadelphia Police Department District 24 and spoke with P.O. Kane and advised him of the location of the vehicle. </t>
  </si>
  <si>
    <t>s70mpz</t>
  </si>
  <si>
    <t>Aggravated Assault - 2C:12-1b</t>
  </si>
  <si>
    <t>Victim and suspect were in a dating relationship for approximately 9 months.
    I responded to Police Headquarters on a report of Domestic Violence. Upon arrival I met with the Victim who stated on 02/13/2025 at approximately 0200 hours she was at a bar called "Six26" in Jersey City, NJ (128 Christopher Columbus Drive, Jersey City, NJ 07302.) She stated while she was leaving the bar, the suspect met with her on the sidewalk. The victim stated the suspect wished to get back together, but she refused. He then became angry and proceeded to strangle her, briefly cutting off her ability to breath, however she did not lose consciousness. Right after the suspect strangled her, he stole her Iphone 14 Pro out of her front pocket (Approximate value: $1,000.00) then fled the scene. 
    The victim advised me that she currently has a restraining order against the suspect, but he has not been served. Docket number: FV-BER-002857-24.
A recorded statement was taken by Detective Mora. 
BREATHE services were offered but the victim refused. 
A New Jersey Victim Notification Form was completed.
DVRT Form was completed.
Voluntary Handwritten Statement was completed.
ODARA Form was completed. 
Jersey City Police Department Detective Soto was advised of the incident.
All paperwork was forwarded to him for complaints to be signed.</t>
  </si>
  <si>
    <t>briggs_s</t>
  </si>
  <si>
    <t xml:space="preserve">    I responded to East Pleasantview and Kipp St. on a burglary to auto. Upon arrival I met with the complainant, Mr. Santangelo who is an employee of PSE&amp;G. He stated that he parked and locked his work vehicle (NJ-XGDR55) on 2/13/25 at approximately 1600 hours then returned on 2/14/25 at 0710 hours and noticed the rear passenger side window was completely shattered. 
    The window was shattered and the unknown suspect(s) were able to unlock the door from the inside and enter the vehicle. Mr. Santangelo reported numerous tools were stolen. Mr. Santangelo touched the inside of the vehicle prior to my arrival, contaminating it making it unable to be processed. 
Stolen tools:
1-Metro Tech 810 Mark out scope- approximately $3,000.00
1-Heath RMLD- Approximately $8,000.00
1-Heath gas detector- Approximately $5,000.00
                                            Approximate amount stolen: $16,000.00
    I did not observe any cameras in the area and the PSE&amp;G vehicle is self insured. </t>
  </si>
  <si>
    <t>Suspect(s): Unknown
     The victim, Kimberly Trujillo, responded to Police Headquarters on a report of a Motor Vehicle Theft.  Upon arrival, the victim stated that her 2022 grey 4-door Honda Accord bearing NJ reg: L17PUM had been stolen from her apartment complex's parking lot and had been located in Rochelle Park. The victim further stated the listed vehicle was parked in assigned space number #2 and was last known to be parked there at approximately 2300 hours. The victim advised me she was in possession of the master key and no other party had access to her vehicle. The victim further advised me the spare key to her vehicle was misplaced approximately two (2) years in the past. Both license plates were attached to the vehicle at the time the victim parked the vehicle.
     The victim stated on 02/17/2025 at approximately 0800, she received a phone call from Rochelle Park Police Department Det. Galina #151 advising her the listed vehicle had been located behind a CrossFit gym in Rochelle Park. Det. Gallina #151 further advised the victim, that the listed vehicle was located with all four (4) wheels removed from the vehicle. The victim further stated upon receiving the phone call, they responded to their second vehicle which was also parked in their apartment complex's parking lot. At this time, the victim observed an E-Z Pass and Camera from the stolen vehicle left on the hood of her second vehicle. 
     The victim stated she would like to have the vehicle processed should it be recovered and signed a consent to search form. A victim notification form was completed and a copy was given to the victim. The vehicle's insurance information was unable to be provided due to the paperwork being inside the glove box of the stolen vehicle.
The vehicle registration was given to dispatch and was entered into NCIC. 
A stolen vehicle entry was made into the Auto Theft Task Force website.
The vehicle's estimated value is approximately $22,000 USD.  
See Rochelle Park Case #2025-002492.</t>
  </si>
  <si>
    <t>l17pum</t>
  </si>
  <si>
    <t>On February 17, 2025 I responded to 300 Atlantic Street (HUMC Parking Garage) on a report of a motor vehicle theft. Upon arrival, I met with the victim who is the registered owner of the vehicle and his wife. The victim advised me that his wife parked the vehicle (2020 Honda Accord blue) inside the monthly permit parking section near the entrance of the garage at approximately 2000 hours last night. This morning around 0900 hours they arrived to the garage and discovered that the vehicle was missing. They advised me that they only have one key and checked the area for the vehicle but were met with negative results. 
I advised Headquarters to check if the vehicle was towed from the premises which also yielded negative results. At this time I advised the registered owner the procedure with reporting a stolen vehicle. At this time he stated he wanted the vehicle processed and signed a consent to search form. A victim notification form was also completed and a copy was provided to the victim. Upon completion the vehicle was placed into NCIC and ATTF as stolen.</t>
  </si>
  <si>
    <t>z53rvg</t>
  </si>
  <si>
    <t xml:space="preserve">Suspect(s): Unknown
     I responded to the listed location, 35 Pangborn Place - Hackensack Emergency Dental, on a report of a burglary. Upon arrival, I was met by the complainant, Beau Jin, who is the manager of the business. The complainant stated that a TP-Link 300 Mbps Wireless Router ($100.00 USD) and a Keep Connect Router Reporter ($50.00) had been a taken from the basement. The complainant further stated there did not appear to be any forced entry into the basement. I was then advised by the complainant that the basement was accessible by the employees as well as the residence of the apartments on the second and third floor.
     The complainant advised me the business was closed and secured for on 02/14/2025 until 02/16/2025. The complainant further advised me he on 02/15/2025 he observed through his phone that the businesses router was inoperable. The complainant stated upon opening business on 02/17/2025 he responded to the basement and observed that the router was taken. The complainant further reported he observed feces on the handle of the main entrance door and in the amazon drop off box located in front of the business. 
     The scene was unable to be processed due to the complainant contamination the scene as well as the fecal matter contaminating the door handle.
Sgt. Farhi was notified. Detectives were notified by Sgt. Farhi. 
Total value of items taken - $150.00 USD
</t>
  </si>
  <si>
    <t xml:space="preserve">  On February 18, 2025, I was advised by Sgt. Tripodi that a female, later identified as Yamini Verma, a victim of sexual assault was going to be seen at Mt. Sinai hospital in New York City.  At approximately 17:00 hours, I received a call from NYPD SVU Detective Woo that Ms. Verma was confirmed a patient at Mt. Sinai Emergency Room and was undergoing the SART Examination.  
  Det. Tanucilli and I responded to Mt. Sinai emergency room to meet with the victim.  Upon our arrival the RN Rachel stated that the victim was still undergoing the SART examination.  Once the examination was completed Det. Tanucilli and I entered the room and spoke with the victim (BWC was activated).  
  The victim told us that she was sexually assaulted by the suspect Akashpreet Riar on February 17, 2025.  The victim stated that the suspect is a teacher's assistant at the New York College of Podiatric Medicine, where she attends.  She stated that she was in communication with the suspect because she was looking for a tutor and he offered to help her.  The suspect picked up the victim in a blue Honda (unknown registration) from her residence in New York City at approximately 1930 hours.  The victim and suspect arrived at the suspect's apartment (240 Prospect Avenue, unknown apartment).  The victim and suspect were studying for approximately 1 hours, before both parties started to have a few drinks of alcohol.  The victim stated that the suspect started to approach her and speak in a sexual manner.  The victim stated that she refused his advancements and told him that she is not interested.  The victim stated that the suspect started to grope her breasts, buttocks and thighs while trying to kiss her neck.  The victim felt scared and again tried to push off the suspect.  The victim stated that she went to the bathroom and when she finished and unlocked the door, the suspect forced his way into the bathroom.  She stated that the suspect forced her to pull down her pants and shoved his hand down the front of her pants.  She stated that her head was pushed into the sink and the suspect began to digitally penetrate the victim's vagina.  The victim stated that she told the suspect to stop but felt like she had no control over the situation.  The victim stated that she was then picked up and placed into the bathtub where the suspect inserted his penis into her vagina against her will.  The victim said she was raped for approximately 2 minutes and the suspect ejaculated next to the victim.  
  The victim stated she was in a daze of confusion and fear.  She stated that the suspect called an UBER for her and she took the ride share back to NYC.  The victim stated that she was in disbelief and called her Dean of the college, Dr. Chusid in the morning (2/18/2025).  The victim stated that she told her dean that she was sexually assaulted, and he then recommended she seek medical attention the the nearest hospital.  At the emergency room,  evidence was collected which included the victim's bra (item #1), shirt (item #2), jeans (item #3) and the SART collection kit (item #4).  The victim stated that she wished to continue with a police investigation.  At that point  I contacted the Bergen County Prosecutor's office and spoke to Det. Chris Miranda.   He instructed me to see if the victim is available to respond to BCPO Headquarters in Paramus for an interview on Wednesday, February  19, 2025 at 1700 hours.  The victim agreed.
  The evidence was turned over to Det. Tanucilli . Back at police headquarters, an evidence report was generated and the evidence was secured in temp. evidence locker #3 and the temp. evidence refrigerator.  
  On February 19, 2025, I responded to the Bergen County Prosecutor's Office to meet with the Special Victim's Unit detectives and the victim.  The victim spoke with Detectives Miranda and Dawson.  After meeting with the BCPO SVU detectives the victim stated that she wanted to apply for a SASPA Protection Order.  She was advised to respond to Hackensack Police Headquarters during business hours to obtain a copy of the police report and then go the Bergen County Superior Court and apply in person for the protection order.  The victim stated that she needs some time before she is ready to proceed with the police investigation.  
  At this point the case will be placed as Ex-Cleared/Closed pending the victim wanting to proceed with the police investigation with the assistance of BCPO.  
  (See BCPO Case #BCP-25-00237)</t>
  </si>
  <si>
    <t xml:space="preserve">          On February 20, 2025 I responded to 360 Union Street, Hackensack Middle school on a report of sexual assault involving a minor. Det. James was also present at the time as we spoke to the 7th grade Councilor, Mrs. Odumosu, in regard to the incident. Mr. Sass and Mr. Ruiz were also present at this time.
           Mrs. Odumasu stated that she spoke to the victim A.D.(12) and was informed the following. A.D.(12) had stated that she was being sexually assaulted by her older brother A.D. (18) approximately 2-3 times a year since she was in first grade at the approximate age of 5 years old. When asked what type of sexual assault took place, she stated penetration occurred. In one instance she stated that a cousin was present and witness the assault, but did not specify the cousin by name. A.D.(12) stated that the last assault occurred some time in June or September of 2024. When asked if she had ever told anyone she stated she told her mother after every incident to which her mother responded by saying that her and her brother would have to learn to coexist and work past it because she did not want to call the police and have to pick between both her children.
Det. Reyes was advised all investigation turned over to Dete</t>
  </si>
  <si>
    <t>Tuesday</t>
  </si>
  <si>
    <t>Monday</t>
  </si>
  <si>
    <t>Wednesday</t>
  </si>
  <si>
    <t>Thursday</t>
  </si>
  <si>
    <t>Saturday</t>
  </si>
  <si>
    <t>Sunday</t>
  </si>
  <si>
    <t>June</t>
  </si>
  <si>
    <t>Date</t>
  </si>
  <si>
    <t>Start of Year</t>
  </si>
  <si>
    <t>End of Year</t>
  </si>
  <si>
    <t>Month</t>
  </si>
  <si>
    <t>Start of Month</t>
  </si>
  <si>
    <t>End of Month</t>
  </si>
  <si>
    <t>Days in Month</t>
  </si>
  <si>
    <t>Quarter</t>
  </si>
  <si>
    <t>Start of Quarter</t>
  </si>
  <si>
    <t>End of Quarter</t>
  </si>
  <si>
    <t>Start of Week</t>
  </si>
  <si>
    <t>End of Week</t>
  </si>
  <si>
    <t>Start of Day</t>
  </si>
  <si>
    <t>End of Day</t>
  </si>
  <si>
    <t>December</t>
  </si>
  <si>
    <t>May</t>
  </si>
  <si>
    <t>July</t>
  </si>
  <si>
    <t>August</t>
  </si>
  <si>
    <t>September</t>
  </si>
  <si>
    <t>October</t>
  </si>
  <si>
    <t>November</t>
  </si>
  <si>
    <t>ExternalData_3</t>
  </si>
  <si>
    <t>ExternalData_4</t>
  </si>
  <si>
    <t>ExternalData_5</t>
  </si>
  <si>
    <t>CaseNumber</t>
  </si>
  <si>
    <t>IncidentDate</t>
  </si>
  <si>
    <t>IncidentTime</t>
  </si>
  <si>
    <t>IncidentDateBetween</t>
  </si>
  <si>
    <t>IncidentTimeBetween</t>
  </si>
  <si>
    <t>ReportDate</t>
  </si>
  <si>
    <t>ReportTime</t>
  </si>
  <si>
    <t>IncidentType1</t>
  </si>
  <si>
    <t>IncidentType2</t>
  </si>
  <si>
    <t>IncidentType3</t>
  </si>
  <si>
    <t>TotalValueStolen</t>
  </si>
  <si>
    <t>TotalValueRecover</t>
  </si>
  <si>
    <t>Registration1</t>
  </si>
  <si>
    <t>RegState1</t>
  </si>
  <si>
    <t>Registration2</t>
  </si>
  <si>
    <t>RegState2</t>
  </si>
  <si>
    <t>ReviewedBy</t>
  </si>
  <si>
    <t>OfficerOfRecord</t>
  </si>
  <si>
    <t>NibrsClassification</t>
  </si>
  <si>
    <t>CaseNumberLength</t>
  </si>
  <si>
    <t>IncDate</t>
  </si>
  <si>
    <t>IncDateError</t>
  </si>
  <si>
    <t>IncTime</t>
  </si>
  <si>
    <t>IncTimeError</t>
  </si>
  <si>
    <t>StartOfHour</t>
  </si>
  <si>
    <t>StartOfHourError</t>
  </si>
  <si>
    <t>Unknown error in StartOfHour</t>
  </si>
  <si>
    <t>Name</t>
  </si>
  <si>
    <t>Extension</t>
  </si>
  <si>
    <t>Date accessed</t>
  </si>
  <si>
    <t>Date modified</t>
  </si>
  <si>
    <t>Date created</t>
  </si>
  <si>
    <t>Folder Path</t>
  </si>
  <si>
    <t>TimeOfDay</t>
  </si>
  <si>
    <t>2025_02_24_16_46_37_ALL_CRIMES - Copy.xlsx</t>
  </si>
  <si>
    <t>.xlsx</t>
  </si>
  <si>
    <t>C:\Users\carucci_r\OneDrive - City of Hackensack\_LawSoft_EXPORT\RMS\EXPORT_RMS\</t>
  </si>
  <si>
    <t>Evening</t>
  </si>
  <si>
    <t>Afternoon</t>
  </si>
  <si>
    <t>Morning</t>
  </si>
  <si>
    <t>2025_02_24_16_46_37_ALL_CRIMES.xlsx</t>
  </si>
  <si>
    <t>2025_02_25_06_41_38_ALL_RMS.xlsx</t>
  </si>
  <si>
    <t>2025_03_02_17_13_48_ALL_RMS.xlsx</t>
  </si>
  <si>
    <t>2025_03_03_20_13_40_ALL_RMS.xlsx</t>
  </si>
  <si>
    <t>2025_03_10_20_30_25_ALL_RMS.xlsx</t>
  </si>
  <si>
    <t>2025_03_11_13_03_49_ALL_RMS.xlsx</t>
  </si>
  <si>
    <t>2025_03_14_16_11_51_ALL_RMS.xlsx</t>
  </si>
  <si>
    <t>2025_03_17_10_47_13_ALL_RMS.xlsx</t>
  </si>
  <si>
    <t>2025_03_24_10_35_26_ALL_RMS.xlsx</t>
  </si>
  <si>
    <t>2025_03_30_11_50_10_ALL_RMS.xlsx</t>
  </si>
  <si>
    <t>2025_04_01_00_11_19_ALL_RMS.xlsx</t>
  </si>
  <si>
    <t>2025_04_04_18_17_19_ALL_RMS.xlsx</t>
  </si>
  <si>
    <t>2025_04_06_02_29_49_ALL_RMS.xlsx</t>
  </si>
  <si>
    <t>2025_04_08_12_25_26_ALL_RMS.xlsx</t>
  </si>
  <si>
    <t>2025_04_09_17_48_19_ALL_RMS.xlsx</t>
  </si>
  <si>
    <t>2025_04_11_19_19_50_ALL_RMS_.xlsx</t>
  </si>
  <si>
    <t>2025_04_14_14_35_55_ALL_CRIMES_to_0414.xlsx</t>
  </si>
  <si>
    <t>2025_04_14_14_42_32_ALL_CRIMES_2023.xlsx</t>
  </si>
  <si>
    <t>24-004721</t>
  </si>
  <si>
    <t>483 Essex Street, Hackensack, NJ, 07601</t>
  </si>
  <si>
    <t>24-005451</t>
  </si>
  <si>
    <t>47 Prospect Avenue, Hackensack, NJ, 07601</t>
  </si>
  <si>
    <t>24-005948</t>
  </si>
  <si>
    <t>300 Main Street, Hackensack, NJ, 07601</t>
  </si>
  <si>
    <t>24-006537</t>
  </si>
  <si>
    <t>37 Brook Street, Hackensack, NJ, 07601</t>
  </si>
  <si>
    <t>24-007209</t>
  </si>
  <si>
    <t>270 South River Street, Hackensack, NJ, 07601</t>
  </si>
  <si>
    <t>24-008236</t>
  </si>
  <si>
    <t>287 Main Street, Hackensack, NJ, 07601</t>
  </si>
  <si>
    <t>24-009461</t>
  </si>
  <si>
    <t>369 De Wolf Place, Hackensack, NJ, 07601</t>
  </si>
  <si>
    <t>24-009579</t>
  </si>
  <si>
    <t>173 Fairmount Avenue, Hackensack, NJ, 07601</t>
  </si>
  <si>
    <t>24-010167</t>
  </si>
  <si>
    <t>30 Fair Street, Hackensack, NJ, 07601</t>
  </si>
  <si>
    <t>24-010165</t>
  </si>
  <si>
    <t>430 Union Street, Hackensack, NJ, 07601</t>
  </si>
  <si>
    <t>24-010646</t>
  </si>
  <si>
    <t>15 Newman Street, Hackensack, NJ, 07601</t>
  </si>
  <si>
    <t>24-012029</t>
  </si>
  <si>
    <t>119 John Street, Hackensack, NJ, 07601</t>
  </si>
  <si>
    <t>24-013283</t>
  </si>
  <si>
    <t>Thompson Street &amp; Cambridge Terrace, Hackensack, NJ, 07601</t>
  </si>
  <si>
    <t>24-014069</t>
  </si>
  <si>
    <t>24-016020</t>
  </si>
  <si>
    <t>160 River Street, Hackensack, NJ, 07601</t>
  </si>
  <si>
    <t>24-016292</t>
  </si>
  <si>
    <t>24-016325</t>
  </si>
  <si>
    <t>137 Poplar Avenue, Hackensack, NJ, 07601</t>
  </si>
  <si>
    <t>24-018693</t>
  </si>
  <si>
    <t>416 Hudson Street, Hackensack, NJ, 07601</t>
  </si>
  <si>
    <t>24-018846</t>
  </si>
  <si>
    <t>52 Hackensack Avenue, Hackensack, NJ, 07601</t>
  </si>
  <si>
    <t>24-019991</t>
  </si>
  <si>
    <t>73 Fair Street, Hackensack, NJ, 07601</t>
  </si>
  <si>
    <t>24-020041</t>
  </si>
  <si>
    <t>14 Summit Court, Hackensack, NJ, 07601</t>
  </si>
  <si>
    <t>24-020492</t>
  </si>
  <si>
    <t>788 Main Street, Hackensack, NJ, 07601</t>
  </si>
  <si>
    <t>24-021261</t>
  </si>
  <si>
    <t>111 River Street, Hackensack, NJ, 07601</t>
  </si>
  <si>
    <t>24-023025</t>
  </si>
  <si>
    <t>100 State Street, Hackensack, NJ, 07601</t>
  </si>
  <si>
    <t>24-023032</t>
  </si>
  <si>
    <t>Myer Street &amp; State Street, Hackensack, NJ, 07601</t>
  </si>
  <si>
    <t>24-023051</t>
  </si>
  <si>
    <t>75 State Street, Hackensack, NJ, 07601</t>
  </si>
  <si>
    <t>24-024846</t>
  </si>
  <si>
    <t>57 Linden Street, Hackensack, NJ, 07601</t>
  </si>
  <si>
    <t>24-024888</t>
  </si>
  <si>
    <t>40 Broadway, Hackensack, NJ, 07601</t>
  </si>
  <si>
    <t>24-026511</t>
  </si>
  <si>
    <t>240 Prospect Avenue, Hackensack, NJ, 07601</t>
  </si>
  <si>
    <t>24-026661</t>
  </si>
  <si>
    <t>201 Berdan Place, Hackensack, NJ, 07601</t>
  </si>
  <si>
    <t>24-027102</t>
  </si>
  <si>
    <t>343 Park Street, Hackensack, NJ, 07601</t>
  </si>
  <si>
    <t>24-028023</t>
  </si>
  <si>
    <t>260 North Railroad Avenue, Hackensack, NJ, 07601</t>
  </si>
  <si>
    <t>24-028522</t>
  </si>
  <si>
    <t>101 Polifly Road, Hackensack, NJ, 07601</t>
  </si>
  <si>
    <t>24-030035</t>
  </si>
  <si>
    <t>100 Arcadia Road, Hackensack, NJ, 07601</t>
  </si>
  <si>
    <t>24-033311</t>
  </si>
  <si>
    <t>235 Mary Street, Hackensack, NJ, 07601</t>
  </si>
  <si>
    <t>24-033381</t>
  </si>
  <si>
    <t>375 Route 17 South, Hackensack, NJ, 07601</t>
  </si>
  <si>
    <t>24-033418</t>
  </si>
  <si>
    <t>15 Huyler Street, Hackensack, NJ, 07601</t>
  </si>
  <si>
    <t>24-033408</t>
  </si>
  <si>
    <t>24-033428</t>
  </si>
  <si>
    <t>24-033814</t>
  </si>
  <si>
    <t>122 Grove Street, Hackensack, NJ, 07601</t>
  </si>
  <si>
    <t>24-034526</t>
  </si>
  <si>
    <t>Lafayette Street &amp; Hudson Street, Hackensack, NJ, 07601</t>
  </si>
  <si>
    <t>24-035414</t>
  </si>
  <si>
    <t>25 Hackensack Avenue, Hackensack, NJ, 07601</t>
  </si>
  <si>
    <t>24-036730</t>
  </si>
  <si>
    <t>821 Main Street, Hackensack, NJ, 07601</t>
  </si>
  <si>
    <t>24-037518</t>
  </si>
  <si>
    <t>90 Arcadia Road, Hackensack, NJ, 07601</t>
  </si>
  <si>
    <t>24-037506</t>
  </si>
  <si>
    <t>84 Arcadia Road, Hackensack, NJ, 07601</t>
  </si>
  <si>
    <t>24-037535</t>
  </si>
  <si>
    <t>5  Arcadia Road, Hackensack, NJ, 07601</t>
  </si>
  <si>
    <t>24-037620</t>
  </si>
  <si>
    <t>24-037657</t>
  </si>
  <si>
    <t>55 Berkshire Place, Hackensack, NJ, 07601</t>
  </si>
  <si>
    <t>24-039315</t>
  </si>
  <si>
    <t>425 Park Street, Hackensack, NJ, 07601</t>
  </si>
  <si>
    <t>24-039535</t>
  </si>
  <si>
    <t>157 Tracy Place, Hackensack, NJ, 07601</t>
  </si>
  <si>
    <t>24-039630</t>
  </si>
  <si>
    <t>215 State Street, Hackensack, NJ, 07601</t>
  </si>
  <si>
    <t>24-039660</t>
  </si>
  <si>
    <t>295 Polifly Road, Hackensack, NJ, 07601</t>
  </si>
  <si>
    <t>24-040189</t>
  </si>
  <si>
    <t>Washington Avenue &amp; Washington Avenue / Vreeland Avenue, Hackensack, NJ, 07601</t>
  </si>
  <si>
    <t>24-040255</t>
  </si>
  <si>
    <t>24-040765</t>
  </si>
  <si>
    <t>550 Main Street, Hackensack, NJ, 07601</t>
  </si>
  <si>
    <t>24-041079</t>
  </si>
  <si>
    <t>24-041373</t>
  </si>
  <si>
    <t>24-042455</t>
  </si>
  <si>
    <t>60 State Street, Hackensack, NJ, 07601</t>
  </si>
  <si>
    <t>24-042739</t>
  </si>
  <si>
    <t>24-043750</t>
  </si>
  <si>
    <t>61 Ross Avenue, Hackensack, NJ, 07601</t>
  </si>
  <si>
    <t>24-043846</t>
  </si>
  <si>
    <t>17 Camden Street, Hackensack, NJ, 07601</t>
  </si>
  <si>
    <t>24-044179</t>
  </si>
  <si>
    <t>360 Main Street, Hackensack, NJ, 07601</t>
  </si>
  <si>
    <t>24-044509</t>
  </si>
  <si>
    <t>355 Marvin Avenue, Hackensack, NJ, 07601</t>
  </si>
  <si>
    <t>24-045240</t>
  </si>
  <si>
    <t>154 State Street, Hackensack, NJ, 07601</t>
  </si>
  <si>
    <t>24-045942</t>
  </si>
  <si>
    <t>25 Main Street, Hackensack, NJ, 07601</t>
  </si>
  <si>
    <t>24-045990</t>
  </si>
  <si>
    <t>101 Hudson Street, Hackensack, NJ, 07601</t>
  </si>
  <si>
    <t>24-047057</t>
  </si>
  <si>
    <t>202 Essex Street, Hackensack, NJ, 07601</t>
  </si>
  <si>
    <t>24-047101</t>
  </si>
  <si>
    <t>24-047373</t>
  </si>
  <si>
    <t>260 Prospect Avenue, Hackensack, NJ, 07601</t>
  </si>
  <si>
    <t>24-047480</t>
  </si>
  <si>
    <t>24-048327</t>
  </si>
  <si>
    <t>24-050700</t>
  </si>
  <si>
    <t>24-050702</t>
  </si>
  <si>
    <t>24-050757</t>
  </si>
  <si>
    <t>113 Lodi Street, Hackensack, NJ, 07601</t>
  </si>
  <si>
    <t>24-050806</t>
  </si>
  <si>
    <t>24-051260</t>
  </si>
  <si>
    <t>533 Main Street, Hackensack, NJ, 07601</t>
  </si>
  <si>
    <t>24-051303</t>
  </si>
  <si>
    <t>171 South River Street, Hackensack, NJ, 07601</t>
  </si>
  <si>
    <t>24-051967</t>
  </si>
  <si>
    <t>24-053164</t>
  </si>
  <si>
    <t>495 Washington Avenue, Hackensack, NJ, 07601</t>
  </si>
  <si>
    <t>24-054079</t>
  </si>
  <si>
    <t>565 South River Street, Hackensack, NJ, 07601</t>
  </si>
  <si>
    <t>24-054506</t>
  </si>
  <si>
    <t>71 Allen Street, Hackensack, NJ, 07601</t>
  </si>
  <si>
    <t>24-054659</t>
  </si>
  <si>
    <t>24-054694</t>
  </si>
  <si>
    <t>382 Main Street, Hackensack, NJ, 07601</t>
  </si>
  <si>
    <t>24-054756</t>
  </si>
  <si>
    <t>13 East Moonachie Road, Hackensack, NJ, 07601</t>
  </si>
  <si>
    <t>24-054741</t>
  </si>
  <si>
    <t>150 River Street, Hackensack, NJ, 07601</t>
  </si>
  <si>
    <t>24-054971</t>
  </si>
  <si>
    <t>343 South River Street, Hackensack, NJ, 07601</t>
  </si>
  <si>
    <t>24-054966</t>
  </si>
  <si>
    <t>9 Lawton Street, Hackensack, NJ, 07601</t>
  </si>
  <si>
    <t>24-055015</t>
  </si>
  <si>
    <t>324 Main Street, Hackensack, NJ, 07601</t>
  </si>
  <si>
    <t>24-055434</t>
  </si>
  <si>
    <t>24-055461</t>
  </si>
  <si>
    <t>24-056109</t>
  </si>
  <si>
    <t>343 River Street, Hackensack, NJ, 07601</t>
  </si>
  <si>
    <t>24-056136</t>
  </si>
  <si>
    <t>633 Summit Avenue, Hackensack, NJ, 07601</t>
  </si>
  <si>
    <t>24-056205</t>
  </si>
  <si>
    <t>24-056691</t>
  </si>
  <si>
    <t>92 Myer Street, Hackensack, NJ, 07601</t>
  </si>
  <si>
    <t>24-056779</t>
  </si>
  <si>
    <t>61 Linden Street, Hackensack, NJ, 07601</t>
  </si>
  <si>
    <t>24-058558</t>
  </si>
  <si>
    <t>535  Hudson Street, Hackensack, NJ, 07601</t>
  </si>
  <si>
    <t>24-059070</t>
  </si>
  <si>
    <t>115 Spring Valley Avenue, Hackensack, NJ, 07601</t>
  </si>
  <si>
    <t>24-059495</t>
  </si>
  <si>
    <t>409 Essex Street, Hackensack, NJ, 07601</t>
  </si>
  <si>
    <t>24-059789</t>
  </si>
  <si>
    <t>89 Grove Street, Hackensack, NJ, 07601</t>
  </si>
  <si>
    <t>24-060093</t>
  </si>
  <si>
    <t>321 Main Street, Hackensack, NJ, 07601</t>
  </si>
  <si>
    <t>24-061256</t>
  </si>
  <si>
    <t>Main Street &amp; Anderson Street, Hackensack, NJ, 07601</t>
  </si>
  <si>
    <t>24-061512</t>
  </si>
  <si>
    <t>Railroad Avenue &amp; Berdan Place, Hackensack, NJ, 07601</t>
  </si>
  <si>
    <t>24-062090</t>
  </si>
  <si>
    <t>417 Route 17 South, Hackensack, NJ, 07601</t>
  </si>
  <si>
    <t>24-063243</t>
  </si>
  <si>
    <t>24-063920</t>
  </si>
  <si>
    <t>24-064354</t>
  </si>
  <si>
    <t>74 New Street, Hackensack, NJ, 07601</t>
  </si>
  <si>
    <t>24-064889</t>
  </si>
  <si>
    <t>63 Euclid Avenue, Hackensack, NJ, 07601</t>
  </si>
  <si>
    <t>24-064941</t>
  </si>
  <si>
    <t>116 Kansas Street, Hackensack, NJ, 07601</t>
  </si>
  <si>
    <t>24-065464</t>
  </si>
  <si>
    <t>411 Hackensack Avenue, Hackensack, NJ, 07601</t>
  </si>
  <si>
    <t>24-065452</t>
  </si>
  <si>
    <t>370 West Pleasantview Avenue , Hackensack, NJ, 07601</t>
  </si>
  <si>
    <t>24-066066</t>
  </si>
  <si>
    <t>100 Polifly Road, Hackensack, NJ, 07601</t>
  </si>
  <si>
    <t>24-066142</t>
  </si>
  <si>
    <t>290 Passaic Street, Hackensack, NJ, 07601</t>
  </si>
  <si>
    <t>24-066348</t>
  </si>
  <si>
    <t>South Summit Avenue &amp; Kaplan Avenue, Hackensack, NJ, 07601</t>
  </si>
  <si>
    <t>24-066634</t>
  </si>
  <si>
    <t>84 Lawrence Street, Hackensack, NJ, 07601</t>
  </si>
  <si>
    <t>24-066950</t>
  </si>
  <si>
    <t>Hudson Street &amp; Vreeland Avenue, Hackensack, NJ, 07601</t>
  </si>
  <si>
    <t>24-067594</t>
  </si>
  <si>
    <t>24-067786</t>
  </si>
  <si>
    <t>15 Fair Street, Hackensack, NJ, 07601</t>
  </si>
  <si>
    <t>24-067904</t>
  </si>
  <si>
    <t>75 Louis Street, Hackensack, NJ, 07601</t>
  </si>
  <si>
    <t>24-068250</t>
  </si>
  <si>
    <t>106 Essex Street, Hackensack, NJ, 07601</t>
  </si>
  <si>
    <t>24-068255</t>
  </si>
  <si>
    <t>126 Essex Street, Hackensack, NJ, 07601</t>
  </si>
  <si>
    <t>24-068507</t>
  </si>
  <si>
    <t>Kenneth Street &amp; Mary Street, Hackensack, NJ, 07601</t>
  </si>
  <si>
    <t>24-069618</t>
  </si>
  <si>
    <t>25 Euclid Avenue, Hackensack, NJ, 07601</t>
  </si>
  <si>
    <t>24-069646</t>
  </si>
  <si>
    <t>24-069888</t>
  </si>
  <si>
    <t>24-070089</t>
  </si>
  <si>
    <t>488 Colonial Terrace, Hackensack, NJ, 07601</t>
  </si>
  <si>
    <t>24-070590</t>
  </si>
  <si>
    <t>24-070670</t>
  </si>
  <si>
    <t>160 Overlook Avenue, Hackensack, NJ, 07601</t>
  </si>
  <si>
    <t>24-071749</t>
  </si>
  <si>
    <t>24-072540</t>
  </si>
  <si>
    <t>265 Passaic Street, Hackensack, NJ, 07601</t>
  </si>
  <si>
    <t>24-072571</t>
  </si>
  <si>
    <t>770 Summit Avenue, Hackensack, NJ, 07601</t>
  </si>
  <si>
    <t>24-073486</t>
  </si>
  <si>
    <t>120 Polifly Road, Hackensack, NJ, 07601</t>
  </si>
  <si>
    <t>24-073865</t>
  </si>
  <si>
    <t>80 Atlantic Street, Hackensack, NJ, 07601</t>
  </si>
  <si>
    <t>24-074104</t>
  </si>
  <si>
    <t>185 Prospect Avenue, Hackensack, NJ, 07601</t>
  </si>
  <si>
    <t>24-074449</t>
  </si>
  <si>
    <t>117 Hudson Street, Hackensack, NJ, 07601</t>
  </si>
  <si>
    <t>24-074540</t>
  </si>
  <si>
    <t>75 First Street, Hackensack, NJ, 07601</t>
  </si>
  <si>
    <t>24-074675</t>
  </si>
  <si>
    <t>57 Orchard Street, Hackensack, NJ, 07601</t>
  </si>
  <si>
    <t>24-074747</t>
  </si>
  <si>
    <t>Banta Place &amp; Main Street, Hackensack, NJ, 07601</t>
  </si>
  <si>
    <t>24-074835</t>
  </si>
  <si>
    <t>315 Park Street, Hackensack, NJ, 07601</t>
  </si>
  <si>
    <t>24-075705</t>
  </si>
  <si>
    <t>24-075973</t>
  </si>
  <si>
    <t>24 Atlantic Street, Hackensack, NJ, 07601</t>
  </si>
  <si>
    <t>24-077015</t>
  </si>
  <si>
    <t>27 East Kennedy Street, Hackensack, NJ, 07601</t>
  </si>
  <si>
    <t>24-077645</t>
  </si>
  <si>
    <t>24-078162</t>
  </si>
  <si>
    <t>113 Tracy Place, Hackensack, NJ, 07601</t>
  </si>
  <si>
    <t>24-078761</t>
  </si>
  <si>
    <t>24-078871</t>
  </si>
  <si>
    <t>24-080256</t>
  </si>
  <si>
    <t>90 Main Street, Hackensack, NJ, 07601</t>
  </si>
  <si>
    <t>24-080537</t>
  </si>
  <si>
    <t>34 Maple Avenue, Hackensack, NJ, 07601</t>
  </si>
  <si>
    <t>24-080650</t>
  </si>
  <si>
    <t>208 Anderson Street, Hackensack, NJ, 07601</t>
  </si>
  <si>
    <t>24-080727</t>
  </si>
  <si>
    <t>105 Lawrence Street, Hackensack, NJ, 07601</t>
  </si>
  <si>
    <t>24-080898</t>
  </si>
  <si>
    <t>24-081119</t>
  </si>
  <si>
    <t>63 Cambridge Terrace, Hackensack, NJ, 07601</t>
  </si>
  <si>
    <t>24-081125</t>
  </si>
  <si>
    <t>24-081491</t>
  </si>
  <si>
    <t>165 Kenneth Street, Hackensack, NJ, 07601</t>
  </si>
  <si>
    <t>24-081775</t>
  </si>
  <si>
    <t>American Legion Drive &amp; Comet Way, Hackensack, NJ, 07601</t>
  </si>
  <si>
    <t>24-082205</t>
  </si>
  <si>
    <t>24-082522</t>
  </si>
  <si>
    <t>24-082551</t>
  </si>
  <si>
    <t>24-083047</t>
  </si>
  <si>
    <t>24-083189</t>
  </si>
  <si>
    <t>50 Polifly Road, Hackensack, NJ, 07601</t>
  </si>
  <si>
    <t>24-083337</t>
  </si>
  <si>
    <t>24-083663</t>
  </si>
  <si>
    <t>602 Main Street, Hackensack, NJ, 07601</t>
  </si>
  <si>
    <t>24-083888</t>
  </si>
  <si>
    <t>703 Main Street Paterson, NJ, Hackensack, NJ, 07601</t>
  </si>
  <si>
    <t>24-084917</t>
  </si>
  <si>
    <t>48 Davis Avenue, Hackensack, NJ, 07601</t>
  </si>
  <si>
    <t>24-086753</t>
  </si>
  <si>
    <t>24-087283</t>
  </si>
  <si>
    <t>22 Sussex Street, Hackensack, NJ, 07601</t>
  </si>
  <si>
    <t>24-087365</t>
  </si>
  <si>
    <t>5  Pangborn Place, Hackensack, NJ, 07601</t>
  </si>
  <si>
    <t>24-087396</t>
  </si>
  <si>
    <t>455 Passaic Street, Hackensack, NJ, 07601</t>
  </si>
  <si>
    <t>24-087892</t>
  </si>
  <si>
    <t>65 Court Street, Hackensack, NJ, 07601</t>
  </si>
  <si>
    <t>24-088358</t>
  </si>
  <si>
    <t>24-089314</t>
  </si>
  <si>
    <t>72 Court Street, Hackensack, NJ, 07601</t>
  </si>
  <si>
    <t>24-089976</t>
  </si>
  <si>
    <t>24-090290</t>
  </si>
  <si>
    <t>22 Lafayette Street, Hackensack, NJ, 07601</t>
  </si>
  <si>
    <t>24-090660</t>
  </si>
  <si>
    <t>24-090908</t>
  </si>
  <si>
    <t>24-091319</t>
  </si>
  <si>
    <t>355 Railroad Avenue, Hackensack, NJ, 07601</t>
  </si>
  <si>
    <t>24-091615</t>
  </si>
  <si>
    <t>24-092309</t>
  </si>
  <si>
    <t>24-092659</t>
  </si>
  <si>
    <t>238 Passaic Street, Hackensack, NJ, 07601</t>
  </si>
  <si>
    <t>24-092728</t>
  </si>
  <si>
    <t>67 Rowland Avenue, Hackensack, NJ, 07601</t>
  </si>
  <si>
    <t>24-093182</t>
  </si>
  <si>
    <t>297 Second Street, Hackensack, NJ, 07601</t>
  </si>
  <si>
    <t>24-093465</t>
  </si>
  <si>
    <t>275 Beech Street, Hackensack, NJ, 07601</t>
  </si>
  <si>
    <t>24-093542</t>
  </si>
  <si>
    <t>9 Jackson Avenue, Hackensack, NJ, 07601</t>
  </si>
  <si>
    <t>24-094467</t>
  </si>
  <si>
    <t>95  Railroad Avenue, Hackensack, NJ, 07601</t>
  </si>
  <si>
    <t>24-094709</t>
  </si>
  <si>
    <t>74 Court Street, Hackensack, NJ, 07601</t>
  </si>
  <si>
    <t>24-094887</t>
  </si>
  <si>
    <t>89 Essex Street, Hackensack, NJ, 07601</t>
  </si>
  <si>
    <t>24-095710</t>
  </si>
  <si>
    <t>27 Newman Street, Hackensack, NJ, 07601</t>
  </si>
  <si>
    <t>24-096038</t>
  </si>
  <si>
    <t>90 Hackensack Avenue, Hackensack, NJ, 07601</t>
  </si>
  <si>
    <t>24-097048</t>
  </si>
  <si>
    <t>535 South River Street, Hackensack, NJ, 07601</t>
  </si>
  <si>
    <t>24-097264</t>
  </si>
  <si>
    <t>100 Clarendon Place, Hackensack, NJ, 07601</t>
  </si>
  <si>
    <t>24-097542</t>
  </si>
  <si>
    <t>390 Hackensack Avenue, Hackensack, NJ, 07601</t>
  </si>
  <si>
    <t>24-097843</t>
  </si>
  <si>
    <t>67 Trinity Place, Hackensack, NJ, 07601</t>
  </si>
  <si>
    <t>24-097848</t>
  </si>
  <si>
    <t>24-098138</t>
  </si>
  <si>
    <t>111 Maple Avenue, Hackensack, NJ, 07601</t>
  </si>
  <si>
    <t>24-098159</t>
  </si>
  <si>
    <t>Route 17 South &amp; West Pleasantview Avenue , Hackensack, NJ, 07601</t>
  </si>
  <si>
    <t>24-098196</t>
  </si>
  <si>
    <t>136 State Street, Hackensack, NJ, 07601</t>
  </si>
  <si>
    <t>24-098322</t>
  </si>
  <si>
    <t>32 Spring Valley Avenue, Hackensack, NJ, 07601</t>
  </si>
  <si>
    <t>24-098784</t>
  </si>
  <si>
    <t>108 Troast Street, Hackensack, NJ, 07601</t>
  </si>
  <si>
    <t>24-098919</t>
  </si>
  <si>
    <t>24-100222</t>
  </si>
  <si>
    <t>96 Fair Street, Hackensack, NJ, 07601</t>
  </si>
  <si>
    <t>24-101115</t>
  </si>
  <si>
    <t>360 West Pleasantview Avenue , Hackensack, NJ, 07601</t>
  </si>
  <si>
    <t>24-101241</t>
  </si>
  <si>
    <t>170 Prospect Avenue, Hackensack, NJ, 07601</t>
  </si>
  <si>
    <t>24-101599</t>
  </si>
  <si>
    <t>24-101733</t>
  </si>
  <si>
    <t>290 Hamilton Place, Hackensack, NJ, 07601</t>
  </si>
  <si>
    <t>24-101877</t>
  </si>
  <si>
    <t>440 Crestwood Avenue, Hackensack, NJ, 07601</t>
  </si>
  <si>
    <t>24-101946</t>
  </si>
  <si>
    <t>230 Central Avenue, Hackensack, NJ, 07601</t>
  </si>
  <si>
    <t>24-101943</t>
  </si>
  <si>
    <t>24-101972</t>
  </si>
  <si>
    <t>199 Central Avenue, Hackensack, NJ, 07601</t>
  </si>
  <si>
    <t>24-102001</t>
  </si>
  <si>
    <t>179 High Street, Hackensack, NJ, 07601</t>
  </si>
  <si>
    <t>24-102252</t>
  </si>
  <si>
    <t>First Street &amp; Beech Street, Hackensack, NJ, 07601</t>
  </si>
  <si>
    <t>24-102545</t>
  </si>
  <si>
    <t>140  Prospect Avenue, Hackensack, NJ, 07601</t>
  </si>
  <si>
    <t>24-102735</t>
  </si>
  <si>
    <t>242 State Street, Hackensack, NJ, 07601</t>
  </si>
  <si>
    <t>24-103478</t>
  </si>
  <si>
    <t>440  Crestwood Avenue, Hackensack, NJ, 07601</t>
  </si>
  <si>
    <t>24-103979</t>
  </si>
  <si>
    <t>299 Essex Street, Hackensack, NJ, 07601</t>
  </si>
  <si>
    <t>24-104413</t>
  </si>
  <si>
    <t>24-104487</t>
  </si>
  <si>
    <t>24-104824</t>
  </si>
  <si>
    <t>214 Essex Street, Hackensack, NJ, 07601</t>
  </si>
  <si>
    <t>24-105252</t>
  </si>
  <si>
    <t>18 East Camden Street, Hackensack, NJ, 07601</t>
  </si>
  <si>
    <t>24-105332</t>
  </si>
  <si>
    <t>60 Clinton Place, Hackensack, NJ, 07601</t>
  </si>
  <si>
    <t>24-105692</t>
  </si>
  <si>
    <t>187 Main Street, Hackensack, NJ, 07601</t>
  </si>
  <si>
    <t>24-105951</t>
  </si>
  <si>
    <t>214 Moore Street, Hackensack, NJ, 07601</t>
  </si>
  <si>
    <t>24-106031</t>
  </si>
  <si>
    <t>260  Central Avenue, Hackensack, NJ, 07601</t>
  </si>
  <si>
    <t>24-106132</t>
  </si>
  <si>
    <t>24-106248</t>
  </si>
  <si>
    <t>24-107406</t>
  </si>
  <si>
    <t>462 Marvin Avenue, Hackensack, NJ, 07601</t>
  </si>
  <si>
    <t>24-107450</t>
  </si>
  <si>
    <t>205 Mary Street, Hackensack, NJ, 07601</t>
  </si>
  <si>
    <t>24-107453</t>
  </si>
  <si>
    <t>Mary Street &amp; Kenneth Street, Hackensack, NJ, 07601</t>
  </si>
  <si>
    <t>24-107675</t>
  </si>
  <si>
    <t>150  Passaic Street, Hackensack, NJ, 07601</t>
  </si>
  <si>
    <t>24-107754</t>
  </si>
  <si>
    <t>24-108256</t>
  </si>
  <si>
    <t>301 Union Street, Hackensack, NJ, 07601</t>
  </si>
  <si>
    <t>24-108280</t>
  </si>
  <si>
    <t>46 Anderson Street, Hackensack, NJ, 07601</t>
  </si>
  <si>
    <t>24-109225</t>
  </si>
  <si>
    <t>24-109598</t>
  </si>
  <si>
    <t>174 Lexington Avenue, Hackensack, NJ, 07601</t>
  </si>
  <si>
    <t>24-109905</t>
  </si>
  <si>
    <t>123 Tracy Place, Hackensack, NJ, 07601</t>
  </si>
  <si>
    <t>24-110037</t>
  </si>
  <si>
    <t>499 Summit Avenue, Hackensack, NJ, 07601</t>
  </si>
  <si>
    <t>2025_04_17_15_38_51_ALL_RMS.xlsx</t>
  </si>
  <si>
    <t>25-030780</t>
  </si>
  <si>
    <t>325 Union Street, Hackensack, NJ, 07601</t>
  </si>
  <si>
    <t>2025_04_18_21_58_54_AllCrimes.xlsx</t>
  </si>
  <si>
    <t>2025_04_22_10_06_01_AllCrimes.xlsx</t>
  </si>
  <si>
    <t>25-031651</t>
  </si>
  <si>
    <t>28 Summit Avenue, Hackensack, NJ, 07601</t>
  </si>
  <si>
    <t>25-031686</t>
  </si>
  <si>
    <t>125 River Street, Hackensack, NJ, 07601</t>
  </si>
  <si>
    <t>25-031868</t>
  </si>
  <si>
    <t>11 Passaic Street, Hackensack, NJ, 07601</t>
  </si>
  <si>
    <t>25-032451</t>
  </si>
  <si>
    <t>130 Overlook Avenue, Hackensack, NJ, 07601</t>
  </si>
  <si>
    <t>25-032420</t>
  </si>
  <si>
    <t>16 Johnson Avenue, Hackensack, NJ, 07601</t>
  </si>
  <si>
    <t>25-032505</t>
  </si>
  <si>
    <t>395 South River Street, Hackensack, NJ, 07601</t>
  </si>
  <si>
    <t>HPD_RMS_Export.xlsx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</si>
</sst>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0">
    <numFmt numFmtId="44" formatCode="_(&quot;$&quot;* #,##0.00_);_(&quot;$&quot;* \(#,##0.00\);_(&quot;$&quot;* &quot;-&quot;??_);_(@_)"/>
    <numFmt numFmtId="164" formatCode="h:mm;@"/>
    <numFmt numFmtId="165" formatCode="mm/dd/yy;@"/>
    <numFmt numFmtId="166" formatCode="ddd"/>
    <numFmt numFmtId="167" formatCode="mm/dd/yy"/>
    <numFmt numFmtId="168" formatCode="hh:mm"/>
    <numFmt numFmtId="169" formatCode="00"/>
    <numFmt numFmtId="170" formatCode="000"/>
    <numFmt numFmtId="171" formatCode="mm/dd/yy\ hh:mm"/>
    <numFmt numFmtId="172" formatCode="[$-F400]h:mm:ss\ AM/PM"/>
  </numFmts>
  <fonts count="23" x14ac:knownFonts="1">
    <font>
      <sz val="11"/>
      <color theme="1"/>
      <name val="Calibri"/>
      <family val="2"/>
      <scheme val="minor"/>
    </font>
    <font>
      <sz val="12"/>
      <color theme="1"/>
      <name val="Aptos Narrow"/>
      <family val="2"/>
    </font>
    <font>
      <sz val="12"/>
      <color theme="1"/>
      <name val="Aptos Narrow"/>
      <family val="2"/>
    </font>
    <font>
      <sz val="12"/>
      <color theme="1"/>
      <name val="Aptos"/>
      <family val="2"/>
    </font>
    <font>
      <sz val="12"/>
      <color theme="1"/>
      <name val="Aptos Narrow"/>
      <family val="2"/>
    </font>
    <font>
      <sz val="14"/>
      <color theme="1"/>
      <name val="Aptos Narrow"/>
      <family val="2"/>
    </font>
    <font>
      <sz val="12"/>
      <color theme="1"/>
      <name val="Aptos Narrow"/>
      <family val="2"/>
    </font>
    <font>
      <sz val="11"/>
      <color theme="1"/>
      <name val="Aptos"/>
      <family val="2"/>
    </font>
    <font>
      <sz val="14"/>
      <color theme="1"/>
      <name val="Aptos"/>
      <family val="2"/>
    </font>
    <font>
      <sz val="12"/>
      <color theme="1"/>
      <name val="Aptos"/>
      <family val="2"/>
    </font>
    <font>
      <b/>
      <sz val="18"/>
      <color theme="1"/>
      <name val="Aptos"/>
      <family val="2"/>
    </font>
    <font>
      <b/>
      <sz val="14"/>
      <color theme="1"/>
      <name val="Aptos Narrow"/>
      <family val="2"/>
    </font>
    <font>
      <sz val="8"/>
      <name val="Calibri"/>
      <family val="2"/>
      <scheme val="minor"/>
    </font>
    <font>
      <sz val="8"/>
      <color theme="1"/>
      <name val="Calibri"/>
      <family val="2"/>
      <scheme val="minor"/>
    </font>
    <font>
      <sz val="8"/>
      <color theme="1"/>
      <name val="Aptos"/>
      <family val="2"/>
    </font>
    <font>
      <sz val="9"/>
      <color theme="1"/>
      <name val="Aptos"/>
      <family val="2"/>
    </font>
    <font>
      <sz val="9"/>
      <color theme="1"/>
      <name val="Calibri"/>
      <family val="2"/>
      <scheme val="minor"/>
    </font>
    <font>
      <sz val="11"/>
      <color theme="1"/>
      <name val="Calibri"/>
      <family val="2"/>
      <scheme val="minor"/>
    </font>
    <font>
      <sz val="8"/>
      <color theme="0" tint="-0.14999847407452621"/>
      <name val="Aptos"/>
      <family val="2"/>
    </font>
    <font>
      <sz val="5"/>
      <color theme="0" tint="-0.14999847407452621"/>
      <name val="Aptos"/>
      <family val="2"/>
    </font>
    <font>
      <b/>
      <sz val="14"/>
      <color theme="1"/>
      <name val="Aptos"/>
      <family val="2"/>
    </font>
    <font>
      <sz val="12"/>
      <color theme="1"/>
      <name val="Calibri"/>
      <family val="2"/>
      <scheme val="minor"/>
    </font>
    <font>
      <b/>
      <sz val="16"/>
      <color theme="1"/>
      <name val="Aptos Narrow"/>
      <family val="2"/>
    </font>
  </fonts>
  <fills count="5">
    <fill>
      <patternFill patternType="none"/>
    </fill>
    <fill>
      <patternFill patternType="gray125"/>
    </fill>
    <fill>
      <patternFill patternType="solid">
        <fgColor theme="6" tint="0.79998168889431442"/>
        <bgColor theme="6" tint="0.79998168889431442"/>
      </patternFill>
    </fill>
    <fill>
      <patternFill patternType="solid">
        <fgColor theme="0" tint="-0.14999847407452621"/>
        <bgColor theme="0" tint="-0.14999847407452621"/>
      </patternFill>
    </fill>
    <fill>
      <patternFill patternType="solid">
        <fgColor theme="0" tint="-0.14996795556505021"/>
        <bgColor theme="6" tint="0.79992065187536243"/>
      </patternFill>
    </fill>
  </fills>
  <borders count="34">
    <border>
      <left/>
      <right/>
      <top/>
      <bottom/>
      <diagonal/>
    </border>
    <border>
      <left style="medium">
        <color indexed="64"/>
      </left>
      <right style="medium">
        <color indexed="64"/>
      </right>
      <top style="medium">
        <color indexed="64"/>
      </top>
      <bottom style="thin">
        <color rgb="FF513E80"/>
      </bottom>
      <diagonal/>
    </border>
    <border>
      <left style="medium">
        <color indexed="64"/>
      </left>
      <right style="medium">
        <color indexed="64"/>
      </right>
      <top style="thin">
        <color rgb="FF513E80"/>
      </top>
      <bottom style="thin">
        <color rgb="FF513E80"/>
      </bottom>
      <diagonal/>
    </border>
    <border>
      <left style="medium">
        <color indexed="64"/>
      </left>
      <right style="medium">
        <color indexed="64"/>
      </right>
      <top style="thin">
        <color rgb="FF513E80"/>
      </top>
      <bottom style="medium">
        <color indexed="64"/>
      </bottom>
      <diagonal/>
    </border>
    <border>
      <left style="medium">
        <color indexed="64"/>
      </left>
      <right style="medium">
        <color indexed="64"/>
      </right>
      <top style="medium">
        <color indexed="64"/>
      </top>
      <bottom style="thin">
        <color theme="1"/>
      </bottom>
      <diagonal/>
    </border>
    <border>
      <left style="medium">
        <color indexed="64"/>
      </left>
      <right style="medium">
        <color indexed="64"/>
      </right>
      <top style="thin">
        <color theme="1"/>
      </top>
      <bottom style="thin">
        <color theme="1"/>
      </bottom>
      <diagonal/>
    </border>
    <border>
      <left style="medium">
        <color indexed="64"/>
      </left>
      <right style="medium">
        <color indexed="64"/>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style="thin">
        <color theme="1"/>
      </bottom>
      <diagonal/>
    </border>
    <border>
      <left/>
      <right style="medium">
        <color indexed="64"/>
      </right>
      <top style="thin">
        <color theme="1"/>
      </top>
      <bottom style="thin">
        <color theme="1"/>
      </bottom>
      <diagonal/>
    </border>
    <border>
      <left style="medium">
        <color indexed="64"/>
      </left>
      <right style="medium">
        <color indexed="64"/>
      </right>
      <top style="thin">
        <color theme="1"/>
      </top>
      <bottom style="medium">
        <color indexed="64"/>
      </bottom>
      <diagonal/>
    </border>
    <border>
      <left/>
      <right style="medium">
        <color indexed="64"/>
      </right>
      <top style="thin">
        <color theme="1"/>
      </top>
      <bottom style="medium">
        <color indexed="64"/>
      </bottom>
      <diagonal/>
    </border>
    <border>
      <left style="medium">
        <color indexed="64"/>
      </left>
      <right style="medium">
        <color indexed="64"/>
      </right>
      <top style="thin">
        <color theme="1"/>
      </top>
      <bottom style="thin">
        <color indexed="64"/>
      </bottom>
      <diagonal/>
    </border>
    <border>
      <left/>
      <right style="medium">
        <color indexed="64"/>
      </right>
      <top style="thin">
        <color theme="1"/>
      </top>
      <bottom style="thin">
        <color indexed="64"/>
      </bottom>
      <diagonal/>
    </border>
    <border>
      <left/>
      <right/>
      <top/>
      <bottom style="medium">
        <color theme="6"/>
      </bottom>
      <diagonal/>
    </border>
    <border>
      <left style="thin">
        <color theme="6"/>
      </left>
      <right style="thin">
        <color theme="6"/>
      </right>
      <top style="thin">
        <color theme="6"/>
      </top>
      <bottom style="thin">
        <color theme="6"/>
      </bottom>
      <diagonal/>
    </border>
    <border>
      <left style="medium">
        <color indexed="64"/>
      </left>
      <right style="thin">
        <color theme="6"/>
      </right>
      <top style="medium">
        <color indexed="64"/>
      </top>
      <bottom style="thin">
        <color theme="6"/>
      </bottom>
      <diagonal/>
    </border>
    <border>
      <left style="thin">
        <color theme="6"/>
      </left>
      <right style="thin">
        <color theme="6"/>
      </right>
      <top style="medium">
        <color indexed="64"/>
      </top>
      <bottom style="thin">
        <color theme="6"/>
      </bottom>
      <diagonal/>
    </border>
    <border>
      <left style="medium">
        <color indexed="64"/>
      </left>
      <right style="thin">
        <color theme="6"/>
      </right>
      <top style="thin">
        <color theme="6"/>
      </top>
      <bottom style="thin">
        <color theme="6"/>
      </bottom>
      <diagonal/>
    </border>
    <border>
      <left/>
      <right/>
      <top style="thin">
        <color theme="1"/>
      </top>
      <bottom style="thin">
        <color theme="1"/>
      </bottom>
      <diagonal/>
    </border>
    <border>
      <left/>
      <right/>
      <top/>
      <bottom style="thin">
        <color theme="1"/>
      </bottom>
      <diagonal/>
    </border>
    <border>
      <left/>
      <right/>
      <top style="thin">
        <color theme="1"/>
      </top>
      <bottom/>
      <diagonal/>
    </border>
  </borders>
  <cellStyleXfs count="2">
    <xf numFmtId="0" fontId="0" fillId="0" borderId="0"/>
    <xf numFmtId="44" fontId="17" fillId="0" borderId="0" applyFont="0" applyFill="0" applyBorder="0" applyAlignment="0" applyProtection="0"/>
  </cellStyleXfs>
  <cellXfs count="196">
    <xf numFmtId="0" fontId="0" fillId="0" borderId="0" xfId="0"/>
    <xf numFmtId="14" fontId="0" fillId="0" borderId="0" xfId="0" applyNumberFormat="1"/>
    <xf numFmtId="22" fontId="0" fillId="0" borderId="0" xfId="0" applyNumberFormat="1"/>
    <xf numFmtId="0" fontId="4" fillId="0" borderId="0" xfId="0" applyFont="1"/>
    <xf numFmtId="0" fontId="5" fillId="0" borderId="0" xfId="0" applyFont="1"/>
    <xf numFmtId="0" fontId="0" fillId="0" borderId="0" xfId="0" pivotButton="1"/>
    <xf numFmtId="0" fontId="7" fillId="0" borderId="0" xfId="0" applyFont="1"/>
    <xf numFmtId="0" fontId="8" fillId="0" borderId="0" xfId="0" applyFont="1" applyAlignment="1">
      <alignment horizontal="center"/>
    </xf>
    <xf numFmtId="0" fontId="9" fillId="0" borderId="0" xfId="0" applyFont="1"/>
    <xf numFmtId="166" fontId="8" fillId="0" borderId="0" xfId="0" applyNumberFormat="1" applyFont="1" applyAlignment="1">
      <alignment horizontal="center"/>
    </xf>
    <xf numFmtId="0" fontId="8" fillId="0" borderId="0" xfId="0" applyFont="1"/>
    <xf numFmtId="0" fontId="10" fillId="0" borderId="0" xfId="0" applyFont="1"/>
    <xf numFmtId="0" fontId="9" fillId="0" borderId="0" xfId="0" applyFont="1" applyAlignment="1">
      <alignment wrapText="1"/>
    </xf>
    <xf numFmtId="0" fontId="4" fillId="0" borderId="0" xfId="0" applyFont="1" applyAlignment="1">
      <alignment horizontal="center"/>
    </xf>
    <xf numFmtId="164" fontId="4" fillId="0" borderId="0" xfId="0" applyNumberFormat="1" applyFont="1"/>
    <xf numFmtId="164" fontId="4" fillId="0" borderId="0" xfId="0" applyNumberFormat="1" applyFont="1" applyAlignment="1">
      <alignment horizontal="center"/>
    </xf>
    <xf numFmtId="0" fontId="5" fillId="0" borderId="0" xfId="0" applyFont="1" applyAlignment="1">
      <alignment horizontal="center"/>
    </xf>
    <xf numFmtId="164" fontId="5" fillId="0" borderId="0" xfId="0" applyNumberFormat="1" applyFont="1" applyAlignment="1">
      <alignment horizontal="center"/>
    </xf>
    <xf numFmtId="165" fontId="5" fillId="0" borderId="0" xfId="0" applyNumberFormat="1" applyFont="1" applyAlignment="1">
      <alignment horizontal="center"/>
    </xf>
    <xf numFmtId="165" fontId="4" fillId="0" borderId="0" xfId="0" applyNumberFormat="1" applyFont="1" applyAlignment="1">
      <alignment horizontal="center"/>
    </xf>
    <xf numFmtId="168" fontId="5" fillId="0" borderId="0" xfId="0" applyNumberFormat="1" applyFont="1" applyAlignment="1">
      <alignment horizontal="center"/>
    </xf>
    <xf numFmtId="168" fontId="4" fillId="0" borderId="0" xfId="0" applyNumberFormat="1" applyFont="1"/>
    <xf numFmtId="168" fontId="4" fillId="0" borderId="0" xfId="0" applyNumberFormat="1" applyFont="1" applyAlignment="1">
      <alignment horizontal="center"/>
    </xf>
    <xf numFmtId="169" fontId="5" fillId="0" borderId="0" xfId="0" applyNumberFormat="1" applyFont="1" applyAlignment="1">
      <alignment horizontal="center"/>
    </xf>
    <xf numFmtId="169" fontId="4" fillId="0" borderId="0" xfId="0" applyNumberFormat="1" applyFont="1" applyAlignment="1">
      <alignment horizontal="center"/>
    </xf>
    <xf numFmtId="170" fontId="5" fillId="0" borderId="0" xfId="0" applyNumberFormat="1" applyFont="1" applyAlignment="1">
      <alignment horizontal="center"/>
    </xf>
    <xf numFmtId="170" fontId="4" fillId="0" borderId="0" xfId="0" applyNumberFormat="1" applyFont="1" applyAlignment="1">
      <alignment horizontal="center"/>
    </xf>
    <xf numFmtId="171" fontId="5" fillId="0" borderId="0" xfId="0" applyNumberFormat="1" applyFont="1" applyAlignment="1">
      <alignment horizontal="center"/>
    </xf>
    <xf numFmtId="171" fontId="4" fillId="0" borderId="0" xfId="0" applyNumberFormat="1" applyFont="1" applyAlignment="1">
      <alignment horizontal="center"/>
    </xf>
    <xf numFmtId="167" fontId="5" fillId="0" borderId="0" xfId="0" applyNumberFormat="1" applyFont="1" applyAlignment="1">
      <alignment horizontal="center"/>
    </xf>
    <xf numFmtId="167" fontId="4" fillId="0" borderId="0" xfId="0" applyNumberFormat="1" applyFont="1" applyAlignment="1">
      <alignment horizontal="center"/>
    </xf>
    <xf numFmtId="0" fontId="0" fillId="0" borderId="0" xfId="0" applyAlignment="1">
      <alignment horizontal="center"/>
    </xf>
    <xf numFmtId="172" fontId="0" fillId="0" borderId="0" xfId="0" applyNumberFormat="1"/>
    <xf numFmtId="0" fontId="0" fillId="0" borderId="0" xfId="0" applyAlignment="1">
      <alignment wrapText="1"/>
    </xf>
    <xf numFmtId="0" fontId="0" fillId="0" borderId="0" xfId="0" applyAlignment="1">
      <alignment horizontal="left"/>
    </xf>
    <xf numFmtId="0" fontId="3" fillId="0" borderId="0" xfId="0" applyFont="1"/>
    <xf numFmtId="14" fontId="0" fillId="0" borderId="0" xfId="0" applyNumberFormat="1" applyAlignment="1">
      <alignment horizontal="left"/>
    </xf>
    <xf numFmtId="0" fontId="3" fillId="0" borderId="0" xfId="0" applyFont="1" applyAlignment="1">
      <alignment horizontal="right"/>
    </xf>
    <xf numFmtId="0" fontId="13" fillId="0" borderId="0" xfId="0" applyFont="1"/>
    <xf numFmtId="0" fontId="4" fillId="0" borderId="0" xfId="0" applyFont="1" applyAlignment="1">
      <alignment wrapText="1"/>
    </xf>
    <xf numFmtId="0" fontId="5" fillId="0" borderId="0" xfId="0" applyFont="1" applyAlignment="1">
      <alignment horizontal="center" wrapText="1"/>
    </xf>
    <xf numFmtId="0" fontId="14" fillId="0" borderId="0" xfId="0" applyFont="1"/>
    <xf numFmtId="0" fontId="15" fillId="0" borderId="0" xfId="0" pivotButton="1" applyFont="1"/>
    <xf numFmtId="0" fontId="15" fillId="0" borderId="0" xfId="0" applyFont="1"/>
    <xf numFmtId="0" fontId="16" fillId="0" borderId="0" xfId="0" applyFont="1"/>
    <xf numFmtId="0" fontId="15" fillId="0" borderId="0" xfId="0" applyFont="1" applyAlignment="1">
      <alignment wrapText="1"/>
    </xf>
    <xf numFmtId="0" fontId="16" fillId="0" borderId="0" xfId="0" applyFont="1" applyAlignment="1">
      <alignment wrapText="1"/>
    </xf>
    <xf numFmtId="0" fontId="1" fillId="0" borderId="0" xfId="0" applyFont="1" applyAlignment="1">
      <alignment horizontal="center"/>
    </xf>
    <xf numFmtId="167" fontId="1" fillId="0" borderId="0" xfId="0" applyNumberFormat="1" applyFont="1" applyAlignment="1">
      <alignment horizontal="center"/>
    </xf>
    <xf numFmtId="0" fontId="1" fillId="0" borderId="0" xfId="0" applyFont="1"/>
    <xf numFmtId="168" fontId="1" fillId="0" borderId="0" xfId="0" applyNumberFormat="1" applyFont="1" applyAlignment="1">
      <alignment horizontal="center"/>
    </xf>
    <xf numFmtId="172" fontId="1" fillId="0" borderId="0" xfId="0" applyNumberFormat="1" applyFont="1" applyAlignment="1">
      <alignment horizontal="center"/>
    </xf>
    <xf numFmtId="169" fontId="1" fillId="0" borderId="0" xfId="0" applyNumberFormat="1" applyFont="1" applyAlignment="1">
      <alignment horizontal="center"/>
    </xf>
    <xf numFmtId="170" fontId="1" fillId="0" borderId="0" xfId="0" applyNumberFormat="1" applyFont="1" applyAlignment="1">
      <alignment horizontal="center"/>
    </xf>
    <xf numFmtId="171" fontId="1" fillId="0" borderId="0" xfId="0" applyNumberFormat="1" applyFont="1" applyAlignment="1">
      <alignment horizontal="center"/>
    </xf>
    <xf numFmtId="165" fontId="1" fillId="0" borderId="0" xfId="0" applyNumberFormat="1" applyFont="1" applyAlignment="1">
      <alignment horizontal="center"/>
    </xf>
    <xf numFmtId="164" fontId="1" fillId="0" borderId="0" xfId="0" applyNumberFormat="1" applyFont="1" applyAlignment="1">
      <alignment horizontal="center"/>
    </xf>
    <xf numFmtId="14" fontId="1" fillId="0" borderId="0" xfId="0" applyNumberFormat="1" applyFont="1"/>
    <xf numFmtId="22" fontId="1" fillId="0" borderId="0" xfId="0" applyNumberFormat="1" applyFont="1"/>
    <xf numFmtId="0" fontId="1" fillId="0" borderId="0" xfId="0" applyFont="1" applyAlignment="1">
      <alignment wrapText="1"/>
    </xf>
    <xf numFmtId="0" fontId="11" fillId="0" borderId="0" xfId="0" applyFont="1" applyAlignment="1">
      <alignment horizontal="center"/>
    </xf>
    <xf numFmtId="0" fontId="11" fillId="0" borderId="2" xfId="0" applyFont="1" applyBorder="1" applyAlignment="1">
      <alignment horizontal="right"/>
    </xf>
    <xf numFmtId="0" fontId="11" fillId="0" borderId="3" xfId="0" applyFont="1" applyBorder="1" applyAlignment="1">
      <alignment horizontal="right"/>
    </xf>
    <xf numFmtId="0" fontId="11" fillId="2" borderId="4" xfId="0" applyFont="1" applyFill="1" applyBorder="1" applyAlignment="1">
      <alignment horizontal="right"/>
    </xf>
    <xf numFmtId="0" fontId="11" fillId="0" borderId="5" xfId="0" applyFont="1" applyBorder="1" applyAlignment="1">
      <alignment horizontal="right"/>
    </xf>
    <xf numFmtId="0" fontId="11" fillId="2" borderId="5" xfId="0" applyFont="1" applyFill="1" applyBorder="1" applyAlignment="1">
      <alignment horizontal="right"/>
    </xf>
    <xf numFmtId="0" fontId="11" fillId="2" borderId="5" xfId="0" applyFont="1" applyFill="1" applyBorder="1" applyAlignment="1">
      <alignment horizontal="right" vertical="center"/>
    </xf>
    <xf numFmtId="0" fontId="11" fillId="2" borderId="6" xfId="0" applyFont="1" applyFill="1" applyBorder="1" applyAlignment="1">
      <alignment horizontal="right"/>
    </xf>
    <xf numFmtId="0" fontId="1" fillId="2" borderId="7" xfId="0" applyFont="1" applyFill="1" applyBorder="1" applyAlignment="1">
      <alignment horizontal="left"/>
    </xf>
    <xf numFmtId="0" fontId="11" fillId="0" borderId="8" xfId="0" applyFont="1" applyBorder="1" applyAlignment="1">
      <alignment horizontal="right"/>
    </xf>
    <xf numFmtId="0" fontId="1" fillId="0" borderId="9" xfId="0" applyFont="1" applyBorder="1" applyAlignment="1">
      <alignment horizontal="left"/>
    </xf>
    <xf numFmtId="0" fontId="11" fillId="2" borderId="8" xfId="0" applyFont="1" applyFill="1" applyBorder="1" applyAlignment="1">
      <alignment horizontal="right"/>
    </xf>
    <xf numFmtId="167" fontId="1" fillId="2" borderId="9" xfId="0" applyNumberFormat="1" applyFont="1" applyFill="1" applyBorder="1" applyAlignment="1">
      <alignment horizontal="left"/>
    </xf>
    <xf numFmtId="0" fontId="1" fillId="2" borderId="9" xfId="0" applyFont="1" applyFill="1" applyBorder="1" applyAlignment="1">
      <alignment horizontal="left"/>
    </xf>
    <xf numFmtId="0" fontId="11" fillId="2" borderId="8" xfId="0" applyFont="1" applyFill="1" applyBorder="1" applyAlignment="1">
      <alignment horizontal="right" vertical="center"/>
    </xf>
    <xf numFmtId="0" fontId="1" fillId="2" borderId="9" xfId="0" applyFont="1" applyFill="1" applyBorder="1" applyAlignment="1">
      <alignment horizontal="left" vertical="center"/>
    </xf>
    <xf numFmtId="44" fontId="1" fillId="0" borderId="9" xfId="1" applyFont="1" applyBorder="1" applyAlignment="1">
      <alignment horizontal="left"/>
    </xf>
    <xf numFmtId="0" fontId="11" fillId="0" borderId="10" xfId="0" applyFont="1" applyBorder="1" applyAlignment="1">
      <alignment horizontal="right"/>
    </xf>
    <xf numFmtId="0" fontId="1" fillId="0" borderId="11" xfId="0" applyFont="1" applyBorder="1" applyAlignment="1">
      <alignment horizontal="left"/>
    </xf>
    <xf numFmtId="0" fontId="0" fillId="0" borderId="13" xfId="0" applyBorder="1"/>
    <xf numFmtId="0" fontId="15" fillId="0" borderId="0" xfId="0" pivotButton="1" applyFont="1" applyAlignment="1">
      <alignment wrapText="1"/>
    </xf>
    <xf numFmtId="0" fontId="8" fillId="0" borderId="0" xfId="0" pivotButton="1" applyFont="1" applyAlignment="1">
      <alignment horizontal="center"/>
    </xf>
    <xf numFmtId="0" fontId="11" fillId="2" borderId="1" xfId="0" applyFont="1" applyFill="1" applyBorder="1" applyAlignment="1">
      <alignment horizontal="right"/>
    </xf>
    <xf numFmtId="0" fontId="1" fillId="2" borderId="1" xfId="0" applyFont="1" applyFill="1" applyBorder="1" applyAlignment="1">
      <alignment horizontal="center"/>
    </xf>
    <xf numFmtId="167" fontId="1" fillId="0" borderId="2" xfId="0" applyNumberFormat="1" applyFont="1" applyBorder="1" applyAlignment="1">
      <alignment horizontal="center"/>
    </xf>
    <xf numFmtId="0" fontId="11" fillId="2" borderId="2" xfId="0" applyFont="1" applyFill="1" applyBorder="1" applyAlignment="1">
      <alignment horizontal="right"/>
    </xf>
    <xf numFmtId="167" fontId="1" fillId="2" borderId="2" xfId="0" applyNumberFormat="1" applyFont="1" applyFill="1" applyBorder="1" applyAlignment="1">
      <alignment horizontal="center"/>
    </xf>
    <xf numFmtId="0" fontId="1" fillId="0" borderId="2" xfId="0" applyFont="1" applyBorder="1" applyAlignment="1">
      <alignment horizontal="center"/>
    </xf>
    <xf numFmtId="0" fontId="1" fillId="2" borderId="2" xfId="0" applyFont="1" applyFill="1" applyBorder="1" applyAlignment="1">
      <alignment horizontal="center"/>
    </xf>
    <xf numFmtId="0" fontId="11" fillId="2" borderId="2" xfId="0" applyFont="1" applyFill="1" applyBorder="1" applyAlignment="1">
      <alignment horizontal="right" vertical="center"/>
    </xf>
    <xf numFmtId="0" fontId="1" fillId="2" borderId="2" xfId="0" applyFont="1" applyFill="1" applyBorder="1" applyAlignment="1">
      <alignment horizontal="center" vertical="center"/>
    </xf>
    <xf numFmtId="0" fontId="11" fillId="2" borderId="22" xfId="0" applyFont="1" applyFill="1" applyBorder="1" applyAlignment="1">
      <alignment horizontal="right"/>
    </xf>
    <xf numFmtId="0" fontId="1" fillId="2" borderId="20" xfId="0" applyFont="1" applyFill="1" applyBorder="1" applyAlignment="1">
      <alignment horizontal="center"/>
    </xf>
    <xf numFmtId="0" fontId="1" fillId="0" borderId="21" xfId="0" applyFont="1" applyBorder="1" applyAlignment="1">
      <alignment horizontal="center"/>
    </xf>
    <xf numFmtId="167" fontId="1" fillId="2" borderId="21" xfId="0" applyNumberFormat="1" applyFont="1" applyFill="1" applyBorder="1" applyAlignment="1">
      <alignment horizontal="center"/>
    </xf>
    <xf numFmtId="0" fontId="1" fillId="2" borderId="21" xfId="0" applyFont="1" applyFill="1" applyBorder="1" applyAlignment="1">
      <alignment horizontal="center"/>
    </xf>
    <xf numFmtId="0" fontId="1" fillId="2" borderId="21" xfId="0" applyFont="1" applyFill="1" applyBorder="1" applyAlignment="1">
      <alignment horizontal="center" vertical="center"/>
    </xf>
    <xf numFmtId="44" fontId="1" fillId="0" borderId="21" xfId="1" applyFont="1" applyBorder="1" applyAlignment="1">
      <alignment horizontal="center"/>
    </xf>
    <xf numFmtId="0" fontId="1" fillId="2" borderId="23" xfId="0" applyFont="1" applyFill="1" applyBorder="1" applyAlignment="1">
      <alignment horizontal="center"/>
    </xf>
    <xf numFmtId="0" fontId="11" fillId="2" borderId="24" xfId="0" applyFont="1" applyFill="1" applyBorder="1" applyAlignment="1">
      <alignment horizontal="right"/>
    </xf>
    <xf numFmtId="0" fontId="1" fillId="2" borderId="25" xfId="0" applyFont="1" applyFill="1" applyBorder="1" applyAlignment="1">
      <alignment horizontal="center"/>
    </xf>
    <xf numFmtId="0" fontId="11" fillId="2" borderId="10" xfId="0" applyFont="1" applyFill="1" applyBorder="1" applyAlignment="1">
      <alignment horizontal="right"/>
    </xf>
    <xf numFmtId="0" fontId="1" fillId="2" borderId="11" xfId="0" applyFont="1" applyFill="1" applyBorder="1" applyAlignment="1">
      <alignment horizontal="center"/>
    </xf>
    <xf numFmtId="0" fontId="7" fillId="0" borderId="0" xfId="0" pivotButton="1" applyFont="1"/>
    <xf numFmtId="0" fontId="7" fillId="0" borderId="0" xfId="0" applyFont="1" applyAlignment="1">
      <alignment wrapText="1"/>
    </xf>
    <xf numFmtId="0" fontId="19" fillId="0" borderId="0" xfId="0" pivotButton="1" applyFont="1"/>
    <xf numFmtId="44" fontId="1" fillId="0" borderId="2" xfId="1" applyFont="1" applyBorder="1" applyAlignment="1">
      <alignment horizontal="center"/>
    </xf>
    <xf numFmtId="0" fontId="3" fillId="0" borderId="12" xfId="0" applyFont="1" applyBorder="1" applyAlignment="1">
      <alignment horizontal="right"/>
    </xf>
    <xf numFmtId="0" fontId="3" fillId="0" borderId="13" xfId="0" applyFont="1" applyBorder="1"/>
    <xf numFmtId="0" fontId="3" fillId="0" borderId="14" xfId="0" applyFont="1" applyBorder="1"/>
    <xf numFmtId="0" fontId="3" fillId="0" borderId="15" xfId="0" applyFont="1" applyBorder="1" applyAlignment="1">
      <alignment horizontal="right"/>
    </xf>
    <xf numFmtId="0" fontId="3" fillId="0" borderId="16" xfId="0" applyFont="1" applyBorder="1"/>
    <xf numFmtId="0" fontId="3" fillId="0" borderId="17" xfId="0" applyFont="1" applyBorder="1" applyAlignment="1">
      <alignment horizontal="right"/>
    </xf>
    <xf numFmtId="0" fontId="3" fillId="0" borderId="18" xfId="0" applyFont="1" applyBorder="1"/>
    <xf numFmtId="0" fontId="9" fillId="0" borderId="18" xfId="0" applyFont="1" applyBorder="1"/>
    <xf numFmtId="0" fontId="3" fillId="0" borderId="19" xfId="0" applyFont="1" applyBorder="1"/>
    <xf numFmtId="0" fontId="1" fillId="0" borderId="0" xfId="0" pivotButton="1" applyFont="1" applyAlignment="1">
      <alignment wrapText="1"/>
    </xf>
    <xf numFmtId="0" fontId="6" fillId="0" borderId="0" xfId="0" applyFont="1" applyAlignment="1">
      <alignment wrapText="1"/>
    </xf>
    <xf numFmtId="167" fontId="8" fillId="0" borderId="0" xfId="0" applyNumberFormat="1" applyFont="1" applyAlignment="1">
      <alignment horizontal="center"/>
    </xf>
    <xf numFmtId="167" fontId="3" fillId="0" borderId="0" xfId="0" applyNumberFormat="1" applyFont="1" applyAlignment="1">
      <alignment horizontal="center"/>
    </xf>
    <xf numFmtId="0" fontId="3" fillId="0" borderId="0" xfId="0" applyFont="1" applyAlignment="1">
      <alignment horizontal="center"/>
    </xf>
    <xf numFmtId="0" fontId="0" fillId="4" borderId="27" xfId="0" applyFill="1" applyBorder="1"/>
    <xf numFmtId="0" fontId="0" fillId="0" borderId="27" xfId="0" applyBorder="1"/>
    <xf numFmtId="0" fontId="0" fillId="0" borderId="32" xfId="0" applyBorder="1"/>
    <xf numFmtId="0" fontId="7" fillId="0" borderId="0" xfId="0" applyFont="1" applyAlignment="1">
      <alignment horizontal="center"/>
    </xf>
    <xf numFmtId="0" fontId="20" fillId="0" borderId="31" xfId="0" applyFont="1" applyBorder="1" applyAlignment="1">
      <alignment horizontal="center"/>
    </xf>
    <xf numFmtId="166" fontId="20" fillId="0" borderId="31" xfId="0" applyNumberFormat="1" applyFont="1" applyBorder="1" applyAlignment="1">
      <alignment horizontal="center"/>
    </xf>
    <xf numFmtId="0" fontId="3" fillId="3" borderId="0" xfId="0" applyFont="1" applyFill="1" applyAlignment="1">
      <alignment horizontal="right"/>
    </xf>
    <xf numFmtId="0" fontId="3" fillId="3" borderId="0" xfId="0" applyFont="1" applyFill="1"/>
    <xf numFmtId="0" fontId="0" fillId="3" borderId="0" xfId="0" applyFill="1"/>
    <xf numFmtId="0" fontId="3" fillId="0" borderId="32" xfId="0" applyFont="1" applyBorder="1" applyAlignment="1">
      <alignment horizontal="right"/>
    </xf>
    <xf numFmtId="0" fontId="3" fillId="0" borderId="32" xfId="0" applyFont="1" applyBorder="1"/>
    <xf numFmtId="0" fontId="2" fillId="0" borderId="0" xfId="0" applyFont="1"/>
    <xf numFmtId="0" fontId="2" fillId="0" borderId="0" xfId="0" applyFont="1" applyAlignment="1">
      <alignment horizontal="center"/>
    </xf>
    <xf numFmtId="167" fontId="2" fillId="0" borderId="0" xfId="0" applyNumberFormat="1" applyFont="1" applyAlignment="1">
      <alignment horizontal="center"/>
    </xf>
    <xf numFmtId="167" fontId="0" fillId="0" borderId="0" xfId="0" applyNumberFormat="1" applyAlignment="1">
      <alignment horizontal="center" wrapText="1"/>
    </xf>
    <xf numFmtId="167" fontId="13" fillId="0" borderId="0" xfId="0" applyNumberFormat="1" applyFont="1" applyAlignment="1">
      <alignment horizontal="center"/>
    </xf>
    <xf numFmtId="167" fontId="0" fillId="0" borderId="0" xfId="0" applyNumberFormat="1" applyAlignment="1">
      <alignment horizontal="center"/>
    </xf>
    <xf numFmtId="0" fontId="13" fillId="0" borderId="0" xfId="0" applyFont="1" applyAlignment="1">
      <alignment wrapText="1"/>
    </xf>
    <xf numFmtId="0" fontId="21" fillId="0" borderId="0" xfId="0" applyFont="1"/>
    <xf numFmtId="167" fontId="21" fillId="0" borderId="0" xfId="0" applyNumberFormat="1" applyFont="1" applyAlignment="1">
      <alignment horizontal="center"/>
    </xf>
    <xf numFmtId="0" fontId="21" fillId="0" borderId="0" xfId="0" applyFont="1" applyAlignment="1">
      <alignment horizontal="center"/>
    </xf>
    <xf numFmtId="44" fontId="1" fillId="0" borderId="3" xfId="1" applyFont="1" applyBorder="1" applyAlignment="1">
      <alignment horizontal="center"/>
    </xf>
    <xf numFmtId="0" fontId="3" fillId="3" borderId="33" xfId="0" applyFont="1" applyFill="1" applyBorder="1" applyAlignment="1">
      <alignment horizontal="right"/>
    </xf>
    <xf numFmtId="0" fontId="3" fillId="3" borderId="33" xfId="0" applyFont="1" applyFill="1" applyBorder="1"/>
    <xf numFmtId="14" fontId="3" fillId="0" borderId="0" xfId="0" applyNumberFormat="1" applyFont="1" applyAlignment="1">
      <alignment horizontal="center"/>
    </xf>
    <xf numFmtId="172" fontId="3" fillId="0" borderId="0" xfId="0" applyNumberFormat="1" applyFont="1" applyAlignment="1">
      <alignment horizontal="center"/>
    </xf>
    <xf numFmtId="22" fontId="3" fillId="0" borderId="0" xfId="0" applyNumberFormat="1" applyFont="1" applyAlignment="1">
      <alignment horizontal="center"/>
    </xf>
    <xf numFmtId="0" fontId="13" fillId="0" borderId="0" xfId="0" pivotButton="1" applyFont="1" applyAlignment="1">
      <alignment wrapText="1"/>
    </xf>
    <xf numFmtId="0" fontId="0" fillId="0" borderId="0" xfId="0" pivotButton="1" applyAlignment="1">
      <alignment horizontal="center"/>
    </xf>
    <xf numFmtId="0" fontId="20" fillId="0" borderId="26" xfId="0" applyFont="1" applyBorder="1" applyAlignment="1">
      <alignment horizontal="center"/>
    </xf>
    <xf numFmtId="166" fontId="20" fillId="0" borderId="26" xfId="0" applyNumberFormat="1" applyFont="1" applyBorder="1" applyAlignment="1">
      <alignment horizontal="center"/>
    </xf>
    <xf numFmtId="0" fontId="3" fillId="4" borderId="28" xfId="0" applyFont="1" applyFill="1" applyBorder="1" applyAlignment="1">
      <alignment horizontal="right"/>
    </xf>
    <xf numFmtId="0" fontId="3" fillId="4" borderId="29" xfId="0" applyFont="1" applyFill="1" applyBorder="1"/>
    <xf numFmtId="0" fontId="0" fillId="4" borderId="29" xfId="0" applyFill="1" applyBorder="1"/>
    <xf numFmtId="0" fontId="3" fillId="0" borderId="30" xfId="0" applyFont="1" applyBorder="1" applyAlignment="1">
      <alignment horizontal="right"/>
    </xf>
    <xf numFmtId="0" fontId="3" fillId="0" borderId="27" xfId="0" applyFont="1" applyBorder="1"/>
    <xf numFmtId="0" fontId="3" fillId="4" borderId="30" xfId="0" applyFont="1" applyFill="1" applyBorder="1" applyAlignment="1">
      <alignment horizontal="right"/>
    </xf>
    <xf numFmtId="0" fontId="3" fillId="4" borderId="27" xfId="0" applyFont="1" applyFill="1" applyBorder="1"/>
    <xf numFmtId="14" fontId="1" fillId="0" borderId="0" xfId="0" applyNumberFormat="1" applyFont="1" applyAlignment="1">
      <alignment horizontal="left" wrapText="1"/>
    </xf>
    <xf numFmtId="0" fontId="20" fillId="0" borderId="26" xfId="0" applyFont="1" applyBorder="1" applyAlignment="1">
      <alignment horizontal="center" wrapText="1"/>
    </xf>
    <xf numFmtId="166" fontId="20" fillId="0" borderId="26" xfId="0" applyNumberFormat="1" applyFont="1" applyBorder="1" applyAlignment="1">
      <alignment horizontal="center" wrapText="1"/>
    </xf>
    <xf numFmtId="0" fontId="3" fillId="4" borderId="28" xfId="0" applyFont="1" applyFill="1" applyBorder="1" applyAlignment="1">
      <alignment horizontal="right" wrapText="1"/>
    </xf>
    <xf numFmtId="0" fontId="3" fillId="4" borderId="29" xfId="0" applyFont="1" applyFill="1" applyBorder="1" applyAlignment="1">
      <alignment wrapText="1"/>
    </xf>
    <xf numFmtId="0" fontId="0" fillId="4" borderId="29" xfId="0" applyFill="1" applyBorder="1" applyAlignment="1">
      <alignment wrapText="1"/>
    </xf>
    <xf numFmtId="0" fontId="3" fillId="0" borderId="30" xfId="0" applyFont="1" applyBorder="1" applyAlignment="1">
      <alignment horizontal="right" wrapText="1"/>
    </xf>
    <xf numFmtId="0" fontId="3" fillId="0" borderId="27" xfId="0" applyFont="1" applyBorder="1" applyAlignment="1">
      <alignment wrapText="1"/>
    </xf>
    <xf numFmtId="0" fontId="0" fillId="0" borderId="27" xfId="0" applyBorder="1" applyAlignment="1">
      <alignment wrapText="1"/>
    </xf>
    <xf numFmtId="0" fontId="11" fillId="2" borderId="6" xfId="0" applyFont="1" applyFill="1" applyBorder="1" applyAlignment="1">
      <alignment horizontal="right" wrapText="1"/>
    </xf>
    <xf numFmtId="0" fontId="1" fillId="2" borderId="7" xfId="0" applyFont="1" applyFill="1" applyBorder="1" applyAlignment="1">
      <alignment horizontal="center" wrapText="1"/>
    </xf>
    <xf numFmtId="0" fontId="11" fillId="0" borderId="8" xfId="0" applyFont="1" applyBorder="1" applyAlignment="1">
      <alignment horizontal="right" wrapText="1"/>
    </xf>
    <xf numFmtId="0" fontId="1" fillId="0" borderId="9" xfId="0" applyFont="1" applyBorder="1" applyAlignment="1">
      <alignment horizontal="center" wrapText="1"/>
    </xf>
    <xf numFmtId="0" fontId="11" fillId="2" borderId="8" xfId="0" applyFont="1" applyFill="1" applyBorder="1" applyAlignment="1">
      <alignment horizontal="right" wrapText="1"/>
    </xf>
    <xf numFmtId="167" fontId="1" fillId="2" borderId="9" xfId="0" applyNumberFormat="1" applyFont="1" applyFill="1" applyBorder="1" applyAlignment="1">
      <alignment horizontal="center" wrapText="1"/>
    </xf>
    <xf numFmtId="0" fontId="1" fillId="2" borderId="9" xfId="0" applyFont="1" applyFill="1" applyBorder="1" applyAlignment="1">
      <alignment horizontal="center" wrapText="1"/>
    </xf>
    <xf numFmtId="0" fontId="11" fillId="2" borderId="8" xfId="0" applyFont="1" applyFill="1" applyBorder="1" applyAlignment="1">
      <alignment horizontal="right" vertical="center" wrapText="1"/>
    </xf>
    <xf numFmtId="0" fontId="1" fillId="2" borderId="9" xfId="0" applyFont="1" applyFill="1" applyBorder="1" applyAlignment="1">
      <alignment horizontal="center" vertical="center" wrapText="1"/>
    </xf>
    <xf numFmtId="0" fontId="11" fillId="0" borderId="10" xfId="0" applyFont="1" applyBorder="1" applyAlignment="1">
      <alignment horizontal="right" wrapText="1"/>
    </xf>
    <xf numFmtId="0" fontId="1" fillId="0" borderId="11" xfId="0" applyFont="1" applyBorder="1" applyAlignment="1">
      <alignment horizontal="center" wrapText="1"/>
    </xf>
    <xf numFmtId="0" fontId="18" fillId="0" borderId="0" xfId="0" applyFont="1"/>
    <xf numFmtId="0" fontId="20" fillId="0" borderId="0" xfId="0" applyFont="1" applyAlignment="1">
      <alignment horizontal="center" wrapText="1"/>
    </xf>
    <xf numFmtId="0" fontId="20" fillId="0" borderId="0" xfId="0" pivotButton="1" applyFont="1" applyAlignment="1">
      <alignment horizontal="center" wrapText="1"/>
    </xf>
    <xf numFmtId="0" fontId="3" fillId="0" borderId="0" xfId="0" applyFont="1" applyAlignment="1">
      <alignment horizontal="center" wrapText="1"/>
    </xf>
    <xf numFmtId="0" fontId="3" fillId="0" borderId="0" xfId="0" applyFont="1" applyAlignment="1">
      <alignment wrapText="1"/>
    </xf>
    <xf numFmtId="0" fontId="21" fillId="0" borderId="0" xfId="0" applyFont="1" applyAlignment="1">
      <alignment wrapText="1"/>
    </xf>
    <xf numFmtId="14" fontId="3" fillId="0" borderId="0" xfId="0" applyNumberFormat="1" applyFont="1"/>
    <xf numFmtId="167" fontId="3" fillId="0" borderId="0" xfId="0" applyNumberFormat="1" applyFont="1" applyAlignment="1">
      <alignment horizontal="center" wrapText="1"/>
    </xf>
    <xf numFmtId="172" fontId="3" fillId="0" borderId="0" xfId="0" applyNumberFormat="1" applyFont="1"/>
    <xf numFmtId="22" fontId="3" fillId="0" borderId="0" xfId="0" applyNumberFormat="1" applyFont="1"/>
    <xf numFmtId="164" fontId="3" fillId="0" borderId="0" xfId="0" applyNumberFormat="1" applyFont="1" applyAlignment="1">
      <alignment horizontal="center"/>
    </xf>
    <xf numFmtId="164" fontId="3" fillId="0" borderId="0" xfId="0" applyNumberFormat="1" applyFont="1"/>
    <xf numFmtId="0" fontId="10" fillId="0" borderId="32" xfId="0" applyFont="1" applyBorder="1" applyAlignment="1">
      <alignment horizontal="center"/>
    </xf>
    <xf numFmtId="0" fontId="10" fillId="0" borderId="0" xfId="0" applyFont="1" applyAlignment="1">
      <alignment horizontal="center"/>
    </xf>
    <xf numFmtId="0" fontId="22" fillId="0" borderId="0" xfId="0" applyFont="1" applyAlignment="1">
      <alignment horizontal="center"/>
    </xf>
    <xf numFmtId="0" fontId="10" fillId="0" borderId="0" xfId="0" applyFont="1" applyAlignment="1">
      <alignment horizontal="center" wrapText="1"/>
    </xf>
    <xf numFmtId="0" fontId="1" fillId="0" borderId="0" xfId="0" applyFont="1" applyAlignment="1">
      <alignment horizontal="center" wrapText="1"/>
    </xf>
  </cellXfs>
  <cellStyles count="2">
    <cellStyle name="Currency" xfId="1" builtinId="4"/>
    <cellStyle name="Normal" xfId="0" builtinId="0"/>
  </cellStyles>
  <dxfs count="922">
    <dxf>
      <fill>
        <patternFill>
          <bgColor rgb="FFFFFF66"/>
        </patternFill>
      </fill>
    </dxf>
    <dxf>
      <font>
        <color rgb="FF9C0006"/>
      </font>
      <fill>
        <patternFill>
          <bgColor rgb="FFFFC7CE"/>
        </patternFill>
      </fill>
    </dxf>
    <dxf>
      <font>
        <strike val="0"/>
        <outline val="0"/>
        <shadow val="0"/>
        <u val="none"/>
        <vertAlign val="baseline"/>
        <sz val="12"/>
        <color theme="1"/>
        <name val="Aptos"/>
        <family val="2"/>
        <scheme val="none"/>
      </font>
      <numFmt numFmtId="167" formatCode="mm/dd/yy"/>
      <alignment horizontal="center" vertical="bottom" textRotation="0" wrapText="0" indent="0" justifyLastLine="0" shrinkToFit="0" readingOrder="0"/>
    </dxf>
    <dxf>
      <font>
        <strike val="0"/>
        <outline val="0"/>
        <shadow val="0"/>
        <u val="none"/>
        <vertAlign val="baseline"/>
        <sz val="12"/>
        <color theme="1"/>
        <name val="Aptos"/>
        <family val="2"/>
        <scheme val="none"/>
      </font>
      <numFmt numFmtId="0" formatCode="General"/>
      <alignment horizontal="center" vertical="bottom" textRotation="0" wrapText="0" indent="0" justifyLastLine="0" shrinkToFit="0" readingOrder="0"/>
    </dxf>
    <dxf>
      <font>
        <strike val="0"/>
        <outline val="0"/>
        <shadow val="0"/>
        <u val="none"/>
        <vertAlign val="baseline"/>
        <sz val="12"/>
        <color theme="1"/>
        <name val="Aptos"/>
        <family val="2"/>
        <scheme val="none"/>
      </font>
      <numFmt numFmtId="167" formatCode="mm/dd/yy"/>
      <alignment horizontal="center" vertical="bottom" textRotation="0" wrapText="0" indent="0" justifyLastLine="0" shrinkToFit="0" readingOrder="0"/>
    </dxf>
    <dxf>
      <font>
        <strike val="0"/>
        <outline val="0"/>
        <shadow val="0"/>
        <u val="none"/>
        <vertAlign val="baseline"/>
        <sz val="12"/>
        <color theme="1"/>
        <name val="Aptos"/>
        <family val="2"/>
        <scheme val="none"/>
      </font>
      <numFmt numFmtId="167" formatCode="mm/dd/yy"/>
      <alignment horizontal="center" vertical="bottom" textRotation="0" wrapText="0" indent="0" justifyLastLine="0" shrinkToFit="0" readingOrder="0"/>
    </dxf>
    <dxf>
      <font>
        <strike val="0"/>
        <outline val="0"/>
        <shadow val="0"/>
        <u val="none"/>
        <vertAlign val="baseline"/>
        <sz val="12"/>
        <color theme="1"/>
        <name val="Aptos"/>
        <family val="2"/>
        <scheme val="none"/>
      </font>
      <numFmt numFmtId="167" formatCode="mm/dd/yy"/>
      <alignment horizontal="center" vertical="bottom" textRotation="0" wrapText="0" indent="0" justifyLastLine="0" shrinkToFit="0" readingOrder="0"/>
    </dxf>
    <dxf>
      <font>
        <strike val="0"/>
        <outline val="0"/>
        <shadow val="0"/>
        <u val="none"/>
        <vertAlign val="baseline"/>
        <sz val="12"/>
        <color theme="1"/>
        <name val="Aptos"/>
        <family val="2"/>
        <scheme val="none"/>
      </font>
      <numFmt numFmtId="167" formatCode="mm/dd/yy"/>
      <alignment horizontal="center" vertical="bottom" textRotation="0" wrapText="0" indent="0" justifyLastLine="0" shrinkToFit="0" readingOrder="0"/>
    </dxf>
    <dxf>
      <font>
        <strike val="0"/>
        <outline val="0"/>
        <shadow val="0"/>
        <u val="none"/>
        <vertAlign val="baseline"/>
        <sz val="12"/>
        <color theme="1"/>
        <name val="Aptos"/>
        <family val="2"/>
        <scheme val="none"/>
      </font>
      <numFmt numFmtId="167" formatCode="mm/dd/yy"/>
      <alignment horizontal="center" vertical="bottom" textRotation="0" wrapText="0" indent="0" justifyLastLine="0" shrinkToFit="0" readingOrder="0"/>
    </dxf>
    <dxf>
      <font>
        <strike val="0"/>
        <outline val="0"/>
        <shadow val="0"/>
        <u val="none"/>
        <vertAlign val="baseline"/>
        <sz val="12"/>
        <color theme="1"/>
        <name val="Aptos"/>
        <family val="2"/>
        <scheme val="none"/>
      </font>
    </dxf>
    <dxf>
      <font>
        <strike val="0"/>
        <outline val="0"/>
        <shadow val="0"/>
        <u val="none"/>
        <vertAlign val="baseline"/>
        <sz val="14"/>
        <color theme="1"/>
        <name val="Aptos"/>
        <family val="2"/>
        <scheme val="none"/>
      </font>
    </dxf>
    <dxf>
      <numFmt numFmtId="0" formatCode="General"/>
    </dxf>
    <dxf>
      <numFmt numFmtId="19" formatCode="m/d/yyyy"/>
    </dxf>
    <dxf>
      <numFmt numFmtId="19" formatCode="m/d/yyyy"/>
    </dxf>
    <dxf>
      <numFmt numFmtId="19" formatCode="m/d/yyyy"/>
    </dxf>
    <dxf>
      <numFmt numFmtId="19" formatCode="m/d/yyyy"/>
    </dxf>
    <dxf>
      <numFmt numFmtId="19" formatCode="m/d/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m/d/yyyy\ h:mm"/>
    </dxf>
    <dxf>
      <numFmt numFmtId="27" formatCode="m/d/yyyy\ h:mm"/>
    </dxf>
    <dxf>
      <numFmt numFmtId="27" formatCode="m/d/yyyy\ h:mm"/>
    </dxf>
    <dxf>
      <numFmt numFmtId="0" formatCode="General"/>
    </dxf>
    <dxf>
      <numFmt numFmtId="0" formatCode="General"/>
    </dxf>
    <dxf>
      <font>
        <strike val="0"/>
        <outline val="0"/>
        <shadow val="0"/>
        <u val="none"/>
        <vertAlign val="baseline"/>
        <sz val="12"/>
        <color theme="1"/>
        <name val="Aptos Narrow"/>
        <family val="2"/>
        <scheme val="none"/>
      </font>
    </dxf>
    <dxf>
      <font>
        <strike val="0"/>
        <outline val="0"/>
        <shadow val="0"/>
        <u val="none"/>
        <vertAlign val="baseline"/>
        <sz val="14"/>
        <color theme="1"/>
        <name val="Aptos Narrow"/>
        <family val="2"/>
        <scheme val="none"/>
      </font>
      <alignment horizontal="center" vertical="bottom" textRotation="0" wrapText="0" indent="0" justifyLastLine="0" shrinkToFit="0" readingOrder="0"/>
    </dxf>
    <dxf>
      <numFmt numFmtId="0" formatCode="General"/>
    </dxf>
    <dxf>
      <numFmt numFmtId="172" formatCode="[$-F400]h:mm:ss\ AM/PM"/>
    </dxf>
    <dxf>
      <numFmt numFmtId="0" formatCode="General"/>
    </dxf>
    <dxf>
      <numFmt numFmtId="0" formatCode="General"/>
    </dxf>
    <dxf>
      <numFmt numFmtId="0" formatCode="General"/>
    </dxf>
    <dxf>
      <numFmt numFmtId="19" formatCode="m/d/yyyy"/>
    </dxf>
    <dxf>
      <numFmt numFmtId="19" formatCode="m/d/yyyy"/>
    </dxf>
    <dxf>
      <numFmt numFmtId="19" formatCode="m/d/yyyy"/>
    </dxf>
    <dxf>
      <numFmt numFmtId="19" formatCode="m/d/yyyy"/>
    </dxf>
    <dxf>
      <numFmt numFmtId="19" formatCode="m/d/yyyy"/>
    </dxf>
    <dxf>
      <numFmt numFmtId="19" formatCode="m/d/yyyy"/>
    </dxf>
    <dxf>
      <numFmt numFmtId="19" formatCode="m/d/yyyy"/>
    </dxf>
    <dxf>
      <alignment horizontal="center" vertical="bottom" textRotation="0" wrapText="0" indent="0" justifyLastLine="0" shrinkToFit="0" readingOrder="0"/>
    </dxf>
    <dxf>
      <numFmt numFmtId="27" formatCode="m/d/yyyy\ h:mm"/>
    </dxf>
    <dxf>
      <numFmt numFmtId="172" formatCode="[$-F400]h:mm:ss\ AM/PM"/>
    </dxf>
    <dxf>
      <numFmt numFmtId="172" formatCode="[$-F400]h:mm:ss\ AM/PM"/>
    </dxf>
    <dxf>
      <numFmt numFmtId="19" formatCode="m/d/yyyy"/>
    </dxf>
    <dxf>
      <numFmt numFmtId="27" formatCode="m/d/yyyy\ h:mm"/>
    </dxf>
    <dxf>
      <numFmt numFmtId="19" formatCode="m/d/yyyy"/>
    </dxf>
    <dxf>
      <numFmt numFmtId="27" formatCode="m/d/yyyy\ h:mm"/>
    </dxf>
    <dxf>
      <numFmt numFmtId="19" formatCode="m/d/yyyy"/>
    </dxf>
    <dxf>
      <numFmt numFmtId="27" formatCode="m/d/yyyy\ h:mm"/>
    </dxf>
    <dxf>
      <numFmt numFmtId="19" formatCode="m/d/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alignment wrapText="1"/>
    </dxf>
    <dxf>
      <alignment wrapText="1"/>
    </dxf>
    <dxf>
      <alignment wrapText="1"/>
    </dxf>
    <dxf>
      <alignment wrapText="1"/>
    </dxf>
    <dxf>
      <alignment wrapText="1"/>
    </dxf>
    <dxf>
      <alignment wrapText="1"/>
    </dxf>
    <dxf>
      <alignment wrapText="1"/>
    </dxf>
    <dxf>
      <alignment wrapText="1"/>
    </dxf>
    <dxf>
      <font>
        <sz val="12"/>
      </font>
    </dxf>
    <dxf>
      <font>
        <sz val="12"/>
      </font>
    </dxf>
    <dxf>
      <font>
        <sz val="12"/>
      </font>
    </dxf>
    <dxf>
      <font>
        <sz val="12"/>
      </font>
    </dxf>
    <dxf>
      <font>
        <sz val="12"/>
      </font>
    </dxf>
    <dxf>
      <font>
        <sz val="12"/>
      </font>
    </dxf>
    <dxf>
      <font>
        <sz val="12"/>
      </font>
    </dxf>
    <dxf>
      <font>
        <sz val="12"/>
      </font>
    </dxf>
    <dxf>
      <font>
        <sz val="12"/>
      </font>
    </dxf>
    <dxf>
      <font>
        <name val="Aptos Narrow"/>
      </font>
    </dxf>
    <dxf>
      <font>
        <name val="Aptos Narrow"/>
      </font>
    </dxf>
    <dxf>
      <font>
        <name val="Aptos Narrow"/>
      </font>
    </dxf>
    <dxf>
      <font>
        <name val="Aptos Narrow"/>
      </font>
    </dxf>
    <dxf>
      <font>
        <name val="Aptos Narrow"/>
      </font>
    </dxf>
    <dxf>
      <font>
        <name val="Aptos Narrow"/>
      </font>
    </dxf>
    <dxf>
      <font>
        <name val="Aptos Narrow"/>
      </font>
    </dxf>
    <dxf>
      <font>
        <name val="Aptos Narrow"/>
      </font>
    </dxf>
    <dxf>
      <font>
        <name val="Aptos Narrow"/>
      </font>
    </dxf>
    <dxf>
      <font>
        <b/>
        <sz val="14"/>
        <name val="Aptos"/>
      </font>
      <alignment horizontal="center"/>
    </dxf>
    <dxf>
      <font>
        <b/>
        <sz val="14"/>
        <name val="Aptos"/>
      </font>
      <alignment horizontal="center"/>
    </dxf>
    <dxf>
      <font>
        <b/>
        <sz val="14"/>
        <name val="Aptos"/>
      </font>
      <alignment horizontal="center"/>
    </dxf>
    <dxf>
      <font>
        <b/>
        <sz val="14"/>
        <name val="Aptos"/>
      </font>
      <alignment horizontal="center"/>
    </dxf>
    <dxf>
      <alignment wrapText="1"/>
    </dxf>
    <dxf>
      <alignment wrapText="1"/>
    </dxf>
    <dxf>
      <alignment wrapText="1"/>
    </dxf>
    <dxf>
      <alignment wrapText="1"/>
    </dxf>
    <dxf>
      <alignment wrapText="1"/>
    </dxf>
    <dxf>
      <alignment wrapText="1"/>
    </dxf>
    <dxf>
      <alignment wrapText="1"/>
    </dxf>
    <dxf>
      <font>
        <sz val="12"/>
      </font>
    </dxf>
    <dxf>
      <font>
        <sz val="12"/>
      </font>
    </dxf>
    <dxf>
      <font>
        <sz val="12"/>
      </font>
    </dxf>
    <dxf>
      <font>
        <sz val="12"/>
      </font>
    </dxf>
    <dxf>
      <font>
        <sz val="12"/>
      </font>
    </dxf>
    <dxf>
      <font>
        <sz val="12"/>
      </font>
    </dxf>
    <dxf>
      <font>
        <sz val="12"/>
      </font>
    </dxf>
    <dxf>
      <font>
        <sz val="12"/>
      </font>
    </dxf>
    <dxf>
      <font>
        <name val="Aptos Narrow"/>
      </font>
    </dxf>
    <dxf>
      <font>
        <name val="Aptos Narrow"/>
      </font>
    </dxf>
    <dxf>
      <font>
        <name val="Aptos Narrow"/>
      </font>
    </dxf>
    <dxf>
      <font>
        <name val="Aptos Narrow"/>
      </font>
    </dxf>
    <dxf>
      <font>
        <name val="Aptos Narrow"/>
      </font>
    </dxf>
    <dxf>
      <font>
        <name val="Aptos Narrow"/>
      </font>
    </dxf>
    <dxf>
      <font>
        <name val="Aptos Narrow"/>
      </font>
    </dxf>
    <dxf>
      <font>
        <name val="Aptos Narrow"/>
      </font>
    </dxf>
    <dxf>
      <numFmt numFmtId="0" formatCode="General"/>
    </dxf>
    <dxf>
      <numFmt numFmtId="0" formatCode="General"/>
    </dxf>
    <dxf>
      <numFmt numFmtId="0" formatCode="General"/>
    </dxf>
    <dxf>
      <numFmt numFmtId="0" formatCode="General"/>
    </dxf>
    <dxf>
      <numFmt numFmtId="27" formatCode="m/d/yyyy\ h:mm"/>
    </dxf>
    <dxf>
      <numFmt numFmtId="0" formatCode="General"/>
    </dxf>
    <dxf>
      <font>
        <b val="0"/>
        <i val="0"/>
        <strike val="0"/>
        <condense val="0"/>
        <extend val="0"/>
        <outline val="0"/>
        <shadow val="0"/>
        <u val="none"/>
        <vertAlign val="baseline"/>
        <sz val="12"/>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2"/>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2"/>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2"/>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2"/>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2"/>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2"/>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2"/>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2"/>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2"/>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2"/>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2"/>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2"/>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2"/>
        <color theme="1"/>
        <name val="Aptos"/>
        <family val="2"/>
        <scheme val="none"/>
      </font>
      <numFmt numFmtId="167" formatCode="mm/dd/yy"/>
      <alignment horizontal="center" vertical="bottom" textRotation="0" wrapText="0" indent="0" justifyLastLine="0" shrinkToFit="0" readingOrder="0"/>
    </dxf>
    <dxf>
      <font>
        <b val="0"/>
        <i val="0"/>
        <strike val="0"/>
        <condense val="0"/>
        <extend val="0"/>
        <outline val="0"/>
        <shadow val="0"/>
        <u val="none"/>
        <vertAlign val="baseline"/>
        <sz val="12"/>
        <color theme="1"/>
        <name val="Aptos"/>
        <family val="2"/>
        <scheme val="none"/>
      </font>
      <alignment horizontal="center" vertical="bottom" textRotation="0" wrapText="0" indent="0" justifyLastLine="0" shrinkToFit="0" readingOrder="0"/>
    </dxf>
    <dxf>
      <font>
        <strike val="0"/>
        <outline val="0"/>
        <shadow val="0"/>
        <u val="none"/>
        <vertAlign val="baseline"/>
        <sz val="12"/>
        <color theme="1"/>
        <name val="Aptos"/>
        <family val="2"/>
        <scheme val="none"/>
      </font>
      <alignment horizontal="center" vertical="bottom" textRotation="0" wrapText="0" indent="0" justifyLastLine="0" shrinkToFit="0" readingOrder="0"/>
    </dxf>
    <dxf>
      <font>
        <strike val="0"/>
        <outline val="0"/>
        <shadow val="0"/>
        <u val="none"/>
        <vertAlign val="baseline"/>
        <sz val="12"/>
        <color theme="1"/>
        <name val="Aptos"/>
        <family val="2"/>
        <scheme val="none"/>
      </font>
      <alignment horizontal="center" vertical="bottom" textRotation="0" wrapText="0" indent="0" justifyLastLine="0" shrinkToFit="0" readingOrder="0"/>
    </dxf>
    <dxf>
      <font>
        <strike val="0"/>
        <outline val="0"/>
        <shadow val="0"/>
        <u val="none"/>
        <vertAlign val="baseline"/>
        <sz val="12"/>
        <color theme="1"/>
        <name val="Aptos Narrow"/>
        <family val="2"/>
        <scheme val="none"/>
      </font>
    </dxf>
    <dxf>
      <font>
        <strike val="0"/>
        <outline val="0"/>
        <shadow val="0"/>
        <u val="none"/>
        <vertAlign val="baseline"/>
        <sz val="12"/>
        <color theme="1"/>
        <name val="Aptos Narrow"/>
        <family val="2"/>
        <scheme val="none"/>
      </font>
    </dxf>
    <dxf>
      <font>
        <strike val="0"/>
        <outline val="0"/>
        <shadow val="0"/>
        <u val="none"/>
        <vertAlign val="baseline"/>
        <sz val="12"/>
        <color theme="1"/>
        <name val="Aptos Narrow"/>
        <family val="2"/>
        <scheme val="none"/>
      </font>
    </dxf>
    <dxf>
      <font>
        <strike val="0"/>
        <outline val="0"/>
        <shadow val="0"/>
        <u val="none"/>
        <vertAlign val="baseline"/>
        <sz val="12"/>
        <color theme="1"/>
        <name val="Aptos Narrow"/>
        <family val="2"/>
        <scheme val="none"/>
      </font>
    </dxf>
    <dxf>
      <font>
        <strike val="0"/>
        <outline val="0"/>
        <shadow val="0"/>
        <u val="none"/>
        <vertAlign val="baseline"/>
        <sz val="12"/>
        <color theme="1"/>
        <name val="Aptos Narrow"/>
        <family val="2"/>
        <scheme val="none"/>
      </font>
    </dxf>
    <dxf>
      <font>
        <strike val="0"/>
        <outline val="0"/>
        <shadow val="0"/>
        <u val="none"/>
        <vertAlign val="baseline"/>
        <sz val="12"/>
        <color theme="1"/>
        <name val="Aptos Narrow"/>
        <family val="2"/>
        <scheme val="none"/>
      </font>
    </dxf>
    <dxf>
      <font>
        <strike val="0"/>
        <outline val="0"/>
        <shadow val="0"/>
        <u val="none"/>
        <vertAlign val="baseline"/>
        <sz val="12"/>
        <color theme="1"/>
        <name val="Aptos Narrow"/>
        <family val="2"/>
        <scheme val="none"/>
      </font>
      <numFmt numFmtId="27" formatCode="m/d/yyyy\ h:mm"/>
    </dxf>
    <dxf>
      <font>
        <strike val="0"/>
        <outline val="0"/>
        <shadow val="0"/>
        <u val="none"/>
        <vertAlign val="baseline"/>
        <sz val="12"/>
        <color theme="1"/>
        <name val="Aptos Narrow"/>
        <family val="2"/>
        <scheme val="none"/>
      </font>
    </dxf>
    <dxf>
      <font>
        <strike val="0"/>
        <outline val="0"/>
        <shadow val="0"/>
        <u val="none"/>
        <vertAlign val="baseline"/>
        <sz val="12"/>
        <color theme="1"/>
        <name val="Aptos Narrow"/>
        <family val="2"/>
        <scheme val="none"/>
      </font>
    </dxf>
    <dxf>
      <font>
        <strike val="0"/>
        <outline val="0"/>
        <shadow val="0"/>
        <u val="none"/>
        <vertAlign val="baseline"/>
        <sz val="12"/>
        <color theme="1"/>
        <name val="Aptos Narrow"/>
        <family val="2"/>
        <scheme val="none"/>
      </font>
    </dxf>
    <dxf>
      <font>
        <strike val="0"/>
        <outline val="0"/>
        <shadow val="0"/>
        <u val="none"/>
        <vertAlign val="baseline"/>
        <sz val="12"/>
        <color theme="1"/>
        <name val="Aptos Narrow"/>
        <family val="2"/>
        <scheme val="none"/>
      </font>
    </dxf>
    <dxf>
      <font>
        <strike val="0"/>
        <outline val="0"/>
        <shadow val="0"/>
        <u val="none"/>
        <vertAlign val="baseline"/>
        <sz val="12"/>
        <color theme="1"/>
        <name val="Aptos Narrow"/>
        <family val="2"/>
        <scheme val="none"/>
      </font>
    </dxf>
    <dxf>
      <font>
        <strike val="0"/>
        <outline val="0"/>
        <shadow val="0"/>
        <u val="none"/>
        <vertAlign val="baseline"/>
        <sz val="12"/>
        <color theme="1"/>
        <name val="Aptos Narrow"/>
        <family val="2"/>
        <scheme val="none"/>
      </font>
      <numFmt numFmtId="27" formatCode="m/d/yyyy\ h:mm"/>
    </dxf>
    <dxf>
      <font>
        <strike val="0"/>
        <outline val="0"/>
        <shadow val="0"/>
        <u val="none"/>
        <vertAlign val="baseline"/>
        <sz val="12"/>
        <color theme="1"/>
        <name val="Aptos Narrow"/>
        <family val="2"/>
        <scheme val="none"/>
      </font>
      <numFmt numFmtId="19" formatCode="m/d/yyyy"/>
    </dxf>
    <dxf>
      <font>
        <strike val="0"/>
        <outline val="0"/>
        <shadow val="0"/>
        <u val="none"/>
        <vertAlign val="baseline"/>
        <sz val="12"/>
        <color theme="1"/>
        <name val="Aptos Narrow"/>
        <family val="2"/>
        <scheme val="none"/>
      </font>
      <numFmt numFmtId="27" formatCode="m/d/yyyy\ h:mm"/>
    </dxf>
    <dxf>
      <font>
        <strike val="0"/>
        <outline val="0"/>
        <shadow val="0"/>
        <u val="none"/>
        <vertAlign val="baseline"/>
        <sz val="12"/>
        <color theme="1"/>
        <name val="Aptos Narrow"/>
        <family val="2"/>
        <scheme val="none"/>
      </font>
      <numFmt numFmtId="19" formatCode="m/d/yyyy"/>
    </dxf>
    <dxf>
      <font>
        <strike val="0"/>
        <outline val="0"/>
        <shadow val="0"/>
        <u val="none"/>
        <vertAlign val="baseline"/>
        <sz val="12"/>
        <color theme="1"/>
        <name val="Aptos Narrow"/>
        <family val="2"/>
        <scheme val="none"/>
      </font>
      <numFmt numFmtId="27" formatCode="m/d/yyyy\ h:mm"/>
    </dxf>
    <dxf>
      <font>
        <strike val="0"/>
        <outline val="0"/>
        <shadow val="0"/>
        <u val="none"/>
        <vertAlign val="baseline"/>
        <sz val="12"/>
        <color theme="1"/>
        <name val="Aptos Narrow"/>
        <family val="2"/>
        <scheme val="none"/>
      </font>
      <numFmt numFmtId="19" formatCode="m/d/yyyy"/>
    </dxf>
    <dxf>
      <font>
        <strike val="0"/>
        <outline val="0"/>
        <shadow val="0"/>
        <u val="none"/>
        <vertAlign val="baseline"/>
        <sz val="12"/>
        <color theme="1"/>
        <name val="Aptos Narrow"/>
        <family val="2"/>
        <scheme val="none"/>
      </font>
    </dxf>
    <dxf>
      <font>
        <strike val="0"/>
        <outline val="0"/>
        <shadow val="0"/>
        <u val="none"/>
        <vertAlign val="baseline"/>
        <sz val="12"/>
        <color theme="1"/>
        <name val="Aptos Narrow"/>
        <family val="2"/>
        <scheme val="none"/>
      </font>
      <numFmt numFmtId="0" formatCode="General"/>
    </dxf>
    <dxf>
      <font>
        <strike val="0"/>
        <outline val="0"/>
        <shadow val="0"/>
        <u val="none"/>
        <vertAlign val="baseline"/>
        <sz val="12"/>
        <color theme="1"/>
        <name val="Aptos Narrow"/>
        <family val="2"/>
        <scheme val="none"/>
      </font>
      <numFmt numFmtId="0" formatCode="General"/>
    </dxf>
    <dxf>
      <font>
        <strike val="0"/>
        <outline val="0"/>
        <shadow val="0"/>
        <u val="none"/>
        <vertAlign val="baseline"/>
        <sz val="12"/>
        <color theme="1"/>
        <name val="Aptos Narrow"/>
        <family val="2"/>
        <scheme val="none"/>
      </font>
      <numFmt numFmtId="0" formatCode="General"/>
    </dxf>
    <dxf>
      <font>
        <strike val="0"/>
        <outline val="0"/>
        <shadow val="0"/>
        <u val="none"/>
        <vertAlign val="baseline"/>
        <sz val="12"/>
        <color theme="1"/>
        <name val="Aptos Narrow"/>
        <family val="2"/>
        <scheme val="none"/>
      </font>
      <numFmt numFmtId="0" formatCode="General"/>
    </dxf>
    <dxf>
      <font>
        <strike val="0"/>
        <outline val="0"/>
        <shadow val="0"/>
        <u val="none"/>
        <vertAlign val="baseline"/>
        <sz val="12"/>
        <color theme="1"/>
        <name val="Aptos Narrow"/>
        <family val="2"/>
        <scheme val="none"/>
      </font>
      <numFmt numFmtId="0" formatCode="General"/>
    </dxf>
    <dxf>
      <font>
        <strike val="0"/>
        <outline val="0"/>
        <shadow val="0"/>
        <u val="none"/>
        <vertAlign val="baseline"/>
        <sz val="12"/>
        <color theme="1"/>
        <name val="Aptos Narrow"/>
        <family val="2"/>
        <scheme val="none"/>
      </font>
      <numFmt numFmtId="0" formatCode="General"/>
    </dxf>
    <dxf>
      <font>
        <strike val="0"/>
        <outline val="0"/>
        <shadow val="0"/>
        <u val="none"/>
        <vertAlign val="baseline"/>
        <sz val="12"/>
        <color theme="1"/>
        <name val="Aptos Narrow"/>
        <family val="2"/>
        <scheme val="none"/>
      </font>
      <numFmt numFmtId="0" formatCode="General"/>
    </dxf>
    <dxf>
      <font>
        <strike val="0"/>
        <outline val="0"/>
        <shadow val="0"/>
        <u val="none"/>
        <vertAlign val="baseline"/>
        <sz val="12"/>
        <color theme="1"/>
        <name val="Aptos Narrow"/>
        <family val="2"/>
        <scheme val="none"/>
      </font>
    </dxf>
    <dxf>
      <font>
        <strike val="0"/>
        <outline val="0"/>
        <shadow val="0"/>
        <u val="none"/>
        <vertAlign val="baseline"/>
        <sz val="12"/>
        <color theme="1"/>
        <name val="Aptos Narrow"/>
        <family val="2"/>
        <scheme val="none"/>
      </font>
    </dxf>
    <dxf>
      <font>
        <strike val="0"/>
        <outline val="0"/>
        <shadow val="0"/>
        <u val="none"/>
        <vertAlign val="baseline"/>
        <sz val="12"/>
        <color theme="1"/>
        <name val="Aptos Narrow"/>
        <family val="2"/>
        <scheme val="none"/>
      </font>
    </dxf>
    <dxf>
      <font>
        <strike val="0"/>
        <outline val="0"/>
        <shadow val="0"/>
        <u val="none"/>
        <vertAlign val="baseline"/>
        <sz val="12"/>
        <color theme="1"/>
        <name val="Aptos Narrow"/>
        <family val="2"/>
        <scheme val="none"/>
      </font>
    </dxf>
    <dxf>
      <font>
        <strike val="0"/>
        <outline val="0"/>
        <shadow val="0"/>
        <u val="none"/>
        <vertAlign val="baseline"/>
        <sz val="12"/>
        <color theme="1"/>
        <name val="Aptos Narrow"/>
        <family val="2"/>
        <scheme val="none"/>
      </font>
      <numFmt numFmtId="0" formatCode="General"/>
    </dxf>
    <dxf>
      <font>
        <strike val="0"/>
        <outline val="0"/>
        <shadow val="0"/>
        <u val="none"/>
        <vertAlign val="baseline"/>
        <sz val="12"/>
        <color theme="1"/>
        <name val="Aptos Narrow"/>
        <family val="2"/>
        <scheme val="none"/>
      </font>
      <numFmt numFmtId="0" formatCode="General"/>
    </dxf>
    <dxf>
      <font>
        <strike val="0"/>
        <outline val="0"/>
        <shadow val="0"/>
        <u val="none"/>
        <vertAlign val="baseline"/>
        <sz val="12"/>
        <color theme="1"/>
        <name val="Aptos Narrow"/>
        <family val="2"/>
        <scheme val="none"/>
      </font>
      <numFmt numFmtId="0" formatCode="General"/>
    </dxf>
    <dxf>
      <font>
        <strike val="0"/>
        <outline val="0"/>
        <shadow val="0"/>
        <u val="none"/>
        <vertAlign val="baseline"/>
        <sz val="12"/>
        <color theme="1"/>
        <name val="Aptos Narrow"/>
        <family val="2"/>
        <scheme val="none"/>
      </font>
      <numFmt numFmtId="0" formatCode="General"/>
    </dxf>
    <dxf>
      <font>
        <strike val="0"/>
        <outline val="0"/>
        <shadow val="0"/>
        <u val="none"/>
        <vertAlign val="baseline"/>
        <sz val="12"/>
        <color theme="1"/>
        <name val="Aptos Narrow"/>
        <family val="2"/>
        <scheme val="none"/>
      </font>
    </dxf>
    <dxf>
      <font>
        <strike val="0"/>
        <outline val="0"/>
        <shadow val="0"/>
        <u val="none"/>
        <vertAlign val="baseline"/>
        <sz val="12"/>
        <color theme="1"/>
        <name val="Aptos Narrow"/>
        <family val="2"/>
        <scheme val="none"/>
      </font>
    </dxf>
    <dxf>
      <font>
        <strike val="0"/>
        <outline val="0"/>
        <shadow val="0"/>
        <u val="none"/>
        <vertAlign val="baseline"/>
        <sz val="12"/>
        <color theme="1"/>
        <name val="Aptos Narrow"/>
        <family val="2"/>
        <scheme val="none"/>
      </font>
      <numFmt numFmtId="0" formatCode="General"/>
    </dxf>
    <dxf>
      <font>
        <strike val="0"/>
        <outline val="0"/>
        <shadow val="0"/>
        <u val="none"/>
        <vertAlign val="baseline"/>
        <sz val="12"/>
        <color theme="1"/>
        <name val="Aptos Narrow"/>
        <family val="2"/>
        <scheme val="none"/>
      </font>
    </dxf>
    <dxf>
      <font>
        <strike val="0"/>
        <outline val="0"/>
        <shadow val="0"/>
        <u val="none"/>
        <vertAlign val="baseline"/>
        <sz val="12"/>
        <color theme="1"/>
        <name val="Aptos Narrow"/>
        <family val="2"/>
        <scheme val="none"/>
      </font>
      <numFmt numFmtId="0" formatCode="General"/>
    </dxf>
    <dxf>
      <font>
        <strike val="0"/>
        <outline val="0"/>
        <shadow val="0"/>
        <u val="none"/>
        <vertAlign val="baseline"/>
        <sz val="12"/>
        <color theme="1"/>
        <name val="Aptos Narrow"/>
        <family val="2"/>
        <scheme val="none"/>
      </font>
      <numFmt numFmtId="0" formatCode="General"/>
    </dxf>
    <dxf>
      <font>
        <strike val="0"/>
        <outline val="0"/>
        <shadow val="0"/>
        <u val="none"/>
        <vertAlign val="baseline"/>
        <sz val="12"/>
        <color theme="1"/>
        <name val="Aptos Narrow"/>
        <family val="2"/>
        <scheme val="none"/>
      </font>
      <numFmt numFmtId="0" formatCode="General"/>
    </dxf>
    <dxf>
      <font>
        <strike val="0"/>
        <outline val="0"/>
        <shadow val="0"/>
        <u val="none"/>
        <vertAlign val="baseline"/>
        <sz val="12"/>
        <color theme="1"/>
        <name val="Aptos Narrow"/>
        <family val="2"/>
        <scheme val="none"/>
      </font>
      <numFmt numFmtId="0" formatCode="General"/>
    </dxf>
    <dxf>
      <font>
        <strike val="0"/>
        <outline val="0"/>
        <shadow val="0"/>
        <u val="none"/>
        <vertAlign val="baseline"/>
        <sz val="12"/>
        <color theme="1"/>
        <name val="Aptos Narrow"/>
        <family val="2"/>
        <scheme val="none"/>
      </font>
      <numFmt numFmtId="0" formatCode="General"/>
    </dxf>
    <dxf>
      <font>
        <strike val="0"/>
        <outline val="0"/>
        <shadow val="0"/>
        <u val="none"/>
        <vertAlign val="baseline"/>
        <sz val="12"/>
        <color theme="1"/>
        <name val="Aptos Narrow"/>
        <family val="2"/>
        <scheme val="none"/>
      </font>
    </dxf>
    <dxf>
      <font>
        <strike val="0"/>
        <outline val="0"/>
        <shadow val="0"/>
        <u val="none"/>
        <vertAlign val="baseline"/>
        <sz val="12"/>
        <color theme="1"/>
        <name val="Aptos Narrow"/>
        <family val="2"/>
        <scheme val="none"/>
      </font>
    </dxf>
    <dxf>
      <font>
        <strike val="0"/>
        <outline val="0"/>
        <shadow val="0"/>
        <u val="none"/>
        <vertAlign val="baseline"/>
        <sz val="12"/>
        <color theme="1"/>
        <name val="Aptos Narrow"/>
        <family val="2"/>
        <scheme val="none"/>
      </font>
    </dxf>
    <dxf>
      <font>
        <strike val="0"/>
        <outline val="0"/>
        <shadow val="0"/>
        <u val="none"/>
        <vertAlign val="baseline"/>
        <sz val="12"/>
        <color theme="1"/>
        <name val="Aptos Narrow"/>
        <family val="2"/>
        <scheme val="none"/>
      </font>
    </dxf>
    <dxf>
      <font>
        <strike val="0"/>
        <outline val="0"/>
        <shadow val="0"/>
        <u val="none"/>
        <vertAlign val="baseline"/>
        <sz val="12"/>
        <color theme="1"/>
        <name val="Aptos Narrow"/>
        <family val="2"/>
        <scheme val="none"/>
      </font>
    </dxf>
    <dxf>
      <font>
        <strike val="0"/>
        <outline val="0"/>
        <shadow val="0"/>
        <u val="none"/>
        <vertAlign val="baseline"/>
        <sz val="12"/>
        <color theme="1"/>
        <name val="Aptos Narrow"/>
        <family val="2"/>
        <scheme val="none"/>
      </font>
      <numFmt numFmtId="164" formatCode="h:mm;@"/>
      <alignment horizontal="center" vertical="bottom" textRotation="0" wrapText="0" indent="0" justifyLastLine="0" shrinkToFit="0" readingOrder="0"/>
    </dxf>
    <dxf>
      <font>
        <strike val="0"/>
        <outline val="0"/>
        <shadow val="0"/>
        <u val="none"/>
        <vertAlign val="baseline"/>
        <sz val="12"/>
        <color theme="1"/>
        <name val="Aptos Narrow"/>
        <family val="2"/>
        <scheme val="none"/>
      </font>
      <numFmt numFmtId="164" formatCode="h:mm;@"/>
      <alignment horizontal="center" vertical="bottom" textRotation="0" wrapText="0" indent="0" justifyLastLine="0" shrinkToFit="0" readingOrder="0"/>
    </dxf>
    <dxf>
      <font>
        <strike val="0"/>
        <outline val="0"/>
        <shadow val="0"/>
        <u val="none"/>
        <vertAlign val="baseline"/>
        <sz val="12"/>
        <color theme="1"/>
        <name val="Aptos Narrow"/>
        <family val="2"/>
        <scheme val="none"/>
      </font>
    </dxf>
    <dxf>
      <font>
        <strike val="0"/>
        <outline val="0"/>
        <shadow val="0"/>
        <u val="none"/>
        <vertAlign val="baseline"/>
        <sz val="12"/>
        <color theme="1"/>
        <name val="Aptos Narrow"/>
        <family val="2"/>
        <scheme val="none"/>
      </font>
      <numFmt numFmtId="167" formatCode="mm/dd/yy"/>
      <alignment horizontal="center" vertical="bottom" textRotation="0" wrapText="0" indent="0" justifyLastLine="0" shrinkToFit="0" readingOrder="0"/>
    </dxf>
    <dxf>
      <font>
        <strike val="0"/>
        <outline val="0"/>
        <shadow val="0"/>
        <u val="none"/>
        <vertAlign val="baseline"/>
        <sz val="12"/>
        <color theme="1"/>
        <name val="Aptos Narrow"/>
        <family val="2"/>
        <scheme val="none"/>
      </font>
      <numFmt numFmtId="0" formatCode="General"/>
      <alignment horizontal="center" vertical="bottom" textRotation="0" wrapText="0" indent="0" justifyLastLine="0" shrinkToFit="0" readingOrder="0"/>
    </dxf>
    <dxf>
      <font>
        <strike val="0"/>
        <outline val="0"/>
        <shadow val="0"/>
        <u val="none"/>
        <vertAlign val="baseline"/>
        <sz val="12"/>
        <color theme="1"/>
        <name val="Aptos Narrow"/>
        <family val="2"/>
        <scheme val="none"/>
      </font>
    </dxf>
    <dxf>
      <font>
        <strike val="0"/>
        <outline val="0"/>
        <shadow val="0"/>
        <u val="none"/>
        <vertAlign val="baseline"/>
        <sz val="14"/>
        <color theme="1"/>
        <name val="Aptos Narrow"/>
        <family val="2"/>
        <scheme val="none"/>
      </font>
      <alignment horizontal="center" vertical="bottom" textRotation="0" wrapText="0" indent="0" justifyLastLine="0" shrinkToFit="0" readingOrder="0"/>
    </dxf>
    <dxf>
      <font>
        <strike val="0"/>
        <outline val="0"/>
        <shadow val="0"/>
        <u val="none"/>
        <vertAlign val="baseline"/>
        <sz val="12"/>
        <color theme="1"/>
        <name val="Aptos"/>
        <family val="2"/>
        <scheme val="none"/>
      </font>
    </dxf>
    <dxf>
      <font>
        <strike val="0"/>
        <outline val="0"/>
        <shadow val="0"/>
        <u val="none"/>
        <vertAlign val="baseline"/>
        <sz val="12"/>
        <color theme="1"/>
        <name val="Aptos"/>
        <family val="2"/>
        <scheme val="none"/>
      </font>
    </dxf>
    <dxf>
      <font>
        <strike val="0"/>
        <outline val="0"/>
        <shadow val="0"/>
        <u val="none"/>
        <vertAlign val="baseline"/>
        <sz val="12"/>
        <color theme="1"/>
        <name val="Aptos"/>
        <family val="2"/>
        <scheme val="none"/>
      </font>
    </dxf>
    <dxf>
      <font>
        <strike val="0"/>
        <outline val="0"/>
        <shadow val="0"/>
        <u val="none"/>
        <vertAlign val="baseline"/>
        <sz val="12"/>
        <color theme="1"/>
        <name val="Aptos"/>
        <family val="2"/>
        <scheme val="none"/>
      </font>
    </dxf>
    <dxf>
      <font>
        <strike val="0"/>
        <outline val="0"/>
        <shadow val="0"/>
        <u val="none"/>
        <vertAlign val="baseline"/>
        <sz val="12"/>
        <color theme="1"/>
        <name val="Aptos"/>
        <family val="2"/>
        <scheme val="none"/>
      </font>
    </dxf>
    <dxf>
      <font>
        <strike val="0"/>
        <outline val="0"/>
        <shadow val="0"/>
        <u val="none"/>
        <vertAlign val="baseline"/>
        <sz val="12"/>
        <color theme="1"/>
        <name val="Aptos"/>
        <family val="2"/>
        <scheme val="none"/>
      </font>
    </dxf>
    <dxf>
      <font>
        <strike val="0"/>
        <outline val="0"/>
        <shadow val="0"/>
        <u val="none"/>
        <vertAlign val="baseline"/>
        <sz val="12"/>
        <color theme="1"/>
        <name val="Aptos"/>
        <family val="2"/>
        <scheme val="none"/>
      </font>
    </dxf>
    <dxf>
      <font>
        <strike val="0"/>
        <outline val="0"/>
        <shadow val="0"/>
        <u val="none"/>
        <vertAlign val="baseline"/>
        <sz val="12"/>
        <color theme="1"/>
        <name val="Aptos"/>
        <family val="2"/>
        <scheme val="none"/>
      </font>
      <alignment horizontal="right" vertical="bottom" textRotation="0" wrapText="0" indent="0" justifyLastLine="0" shrinkToFit="0" readingOrder="0"/>
    </dxf>
    <dxf>
      <font>
        <strike val="0"/>
        <outline val="0"/>
        <shadow val="0"/>
        <u val="none"/>
        <vertAlign val="baseline"/>
        <sz val="12"/>
        <color theme="1"/>
        <name val="Aptos"/>
        <family val="2"/>
        <scheme val="none"/>
      </font>
    </dxf>
    <dxf>
      <font>
        <strike val="0"/>
        <outline val="0"/>
        <shadow val="0"/>
        <u val="none"/>
        <vertAlign val="baseline"/>
        <sz val="14"/>
        <color theme="1"/>
        <name val="Aptos"/>
        <family val="2"/>
        <scheme val="none"/>
      </font>
      <alignment horizontal="center" vertical="bottom" textRotation="0" wrapText="0" indent="0" justifyLastLine="0" shrinkToFit="0" readingOrder="0"/>
    </dxf>
    <dxf>
      <font>
        <strike val="0"/>
        <outline val="0"/>
        <shadow val="0"/>
        <u val="none"/>
        <vertAlign val="baseline"/>
        <sz val="12"/>
        <color theme="1"/>
        <name val="Aptos"/>
        <family val="2"/>
        <scheme val="none"/>
      </font>
    </dxf>
    <dxf>
      <font>
        <b val="0"/>
        <i val="0"/>
        <strike val="0"/>
        <condense val="0"/>
        <extend val="0"/>
        <outline val="0"/>
        <shadow val="0"/>
        <u val="none"/>
        <vertAlign val="baseline"/>
        <sz val="12"/>
        <color theme="1"/>
        <name val="Aptos"/>
        <family val="2"/>
        <scheme val="none"/>
      </font>
    </dxf>
    <dxf>
      <font>
        <b val="0"/>
        <i val="0"/>
        <strike val="0"/>
        <condense val="0"/>
        <extend val="0"/>
        <outline val="0"/>
        <shadow val="0"/>
        <u val="none"/>
        <vertAlign val="baseline"/>
        <sz val="12"/>
        <color theme="1"/>
        <name val="Aptos"/>
        <family val="2"/>
        <scheme val="none"/>
      </font>
    </dxf>
    <dxf>
      <font>
        <b val="0"/>
        <i val="0"/>
        <strike val="0"/>
        <condense val="0"/>
        <extend val="0"/>
        <outline val="0"/>
        <shadow val="0"/>
        <u val="none"/>
        <vertAlign val="baseline"/>
        <sz val="12"/>
        <color theme="1"/>
        <name val="Aptos"/>
        <family val="2"/>
        <scheme val="none"/>
      </font>
    </dxf>
    <dxf>
      <font>
        <strike val="0"/>
        <outline val="0"/>
        <shadow val="0"/>
        <u val="none"/>
        <vertAlign val="baseline"/>
        <sz val="12"/>
        <color theme="1"/>
        <name val="Aptos"/>
        <family val="2"/>
        <scheme val="none"/>
      </font>
    </dxf>
    <dxf>
      <font>
        <strike val="0"/>
        <outline val="0"/>
        <shadow val="0"/>
        <u val="none"/>
        <vertAlign val="baseline"/>
        <sz val="12"/>
        <color theme="1"/>
        <name val="Aptos"/>
        <family val="2"/>
        <scheme val="none"/>
      </font>
    </dxf>
    <dxf>
      <font>
        <strike val="0"/>
        <outline val="0"/>
        <shadow val="0"/>
        <u val="none"/>
        <vertAlign val="baseline"/>
        <sz val="12"/>
        <color theme="1"/>
        <name val="Aptos"/>
        <family val="2"/>
        <scheme val="none"/>
      </font>
    </dxf>
    <dxf>
      <font>
        <strike val="0"/>
        <outline val="0"/>
        <shadow val="0"/>
        <u val="none"/>
        <vertAlign val="baseline"/>
        <sz val="12"/>
        <color theme="1"/>
        <name val="Aptos"/>
        <family val="2"/>
        <scheme val="none"/>
      </font>
      <alignment horizontal="right" vertical="bottom" textRotation="0" wrapText="0" indent="0" justifyLastLine="0" shrinkToFit="0" readingOrder="0"/>
    </dxf>
    <dxf>
      <font>
        <strike val="0"/>
        <outline val="0"/>
        <shadow val="0"/>
        <u val="none"/>
        <vertAlign val="baseline"/>
        <sz val="12"/>
        <color theme="1"/>
        <name val="Aptos"/>
        <family val="2"/>
        <scheme val="none"/>
      </font>
    </dxf>
    <dxf>
      <font>
        <strike val="0"/>
        <outline val="0"/>
        <shadow val="0"/>
        <u val="none"/>
        <vertAlign val="baseline"/>
        <sz val="14"/>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2"/>
        <color theme="1"/>
        <name val="Aptos Narrow"/>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2"/>
        <color theme="1"/>
        <name val="Aptos Narrow"/>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2"/>
        <color theme="1"/>
        <name val="Aptos Narrow"/>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2"/>
        <color theme="1"/>
        <name val="Aptos Narrow"/>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2"/>
        <color theme="1"/>
        <name val="Aptos Narrow"/>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2"/>
        <color theme="1"/>
        <name val="Aptos Narrow"/>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2"/>
        <color theme="1"/>
        <name val="Aptos Narrow"/>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2"/>
        <color theme="1"/>
        <name val="Aptos Narrow"/>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2"/>
        <color theme="1"/>
        <name val="Aptos Narrow"/>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2"/>
        <color theme="1"/>
        <name val="Aptos Narrow"/>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2"/>
        <color theme="1"/>
        <name val="Aptos Narrow"/>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2"/>
        <color theme="1"/>
        <name val="Aptos Narrow"/>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2"/>
        <color theme="1"/>
        <name val="Aptos Narrow"/>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2"/>
        <color theme="1"/>
        <name val="Aptos Narrow"/>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2"/>
        <color theme="1"/>
        <name val="Aptos Narrow"/>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2"/>
        <color theme="1"/>
        <name val="Aptos Narrow"/>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2"/>
        <color theme="1"/>
        <name val="Aptos Narrow"/>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2"/>
        <color theme="1"/>
        <name val="Aptos Narrow"/>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2"/>
        <color theme="1"/>
        <name val="Aptos Narrow"/>
        <family val="2"/>
        <scheme val="none"/>
      </font>
      <alignment horizontal="center" vertical="bottom" textRotation="0" wrapText="0" indent="0" justifyLastLine="0" shrinkToFit="0" readingOrder="0"/>
    </dxf>
    <dxf>
      <alignment horizontal="center"/>
    </dxf>
    <dxf>
      <alignment horizontal="center"/>
    </dxf>
    <dxf>
      <alignment wrapText="1"/>
    </dxf>
    <dxf>
      <alignment wrapText="1"/>
    </dxf>
    <dxf>
      <font>
        <sz val="8"/>
      </font>
    </dxf>
    <dxf>
      <font>
        <sz val="8"/>
      </font>
    </dxf>
    <dxf>
      <alignment horizontal="center"/>
    </dxf>
    <dxf>
      <alignment horizontal="center"/>
    </dxf>
    <dxf>
      <alignment wrapText="1"/>
    </dxf>
    <dxf>
      <alignment wrapText="1"/>
    </dxf>
    <dxf>
      <font>
        <sz val="8"/>
      </font>
    </dxf>
    <dxf>
      <font>
        <sz val="8"/>
      </font>
    </dxf>
    <dxf>
      <font>
        <b val="0"/>
        <i val="0"/>
        <strike val="0"/>
        <condense val="0"/>
        <extend val="0"/>
        <outline val="0"/>
        <shadow val="0"/>
        <u val="none"/>
        <vertAlign val="baseline"/>
        <sz val="11"/>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Aptos"/>
        <family val="2"/>
        <scheme val="none"/>
      </font>
      <alignment horizontal="center" vertical="bottom" textRotation="0" wrapText="0" indent="0" justifyLastLine="0" shrinkToFit="0" readingOrder="0"/>
    </dxf>
    <dxf>
      <numFmt numFmtId="19" formatCode="m/d/yyyy"/>
    </dxf>
    <dxf>
      <font>
        <strike val="0"/>
        <outline val="0"/>
        <shadow val="0"/>
        <u val="none"/>
        <vertAlign val="baseline"/>
        <sz val="11"/>
        <color theme="1"/>
        <name val="Aptos"/>
        <family val="2"/>
        <scheme val="none"/>
      </font>
      <alignment horizontal="center" vertical="bottom" textRotation="0" wrapText="0" indent="0" justifyLastLine="0" shrinkToFit="0" readingOrder="0"/>
    </dxf>
    <dxf>
      <font>
        <strike val="0"/>
        <outline val="0"/>
        <shadow val="0"/>
        <u val="none"/>
        <vertAlign val="baseline"/>
        <sz val="11"/>
        <color theme="1"/>
        <name val="Aptos"/>
        <family val="2"/>
        <scheme val="none"/>
      </font>
      <alignment horizontal="center" vertical="bottom" textRotation="0" wrapText="0" indent="0" justifyLastLine="0" shrinkToFit="0" readingOrder="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m/d/yyyy"/>
    </dxf>
    <dxf>
      <font>
        <strike val="0"/>
        <outline val="0"/>
        <shadow val="0"/>
        <u val="none"/>
        <vertAlign val="baseline"/>
        <sz val="12"/>
        <color theme="1"/>
        <name val="Aptos"/>
        <family val="2"/>
        <scheme val="none"/>
      </font>
      <alignment horizontal="center" vertical="bottom" textRotation="0" wrapText="0" indent="0" justifyLastLine="0" shrinkToFit="0" readingOrder="0"/>
    </dxf>
    <dxf>
      <font>
        <strike val="0"/>
        <outline val="0"/>
        <shadow val="0"/>
        <u val="none"/>
        <vertAlign val="baseline"/>
        <sz val="12"/>
        <color theme="1"/>
        <name val="Aptos"/>
        <family val="2"/>
        <scheme val="none"/>
      </font>
      <alignment horizontal="center" vertical="bottom" textRotation="0" wrapText="0" indent="0" justifyLastLine="0" shrinkToFit="0" readingOrder="0"/>
    </dxf>
    <dxf>
      <font>
        <strike val="0"/>
        <outline val="0"/>
        <shadow val="0"/>
        <u val="none"/>
        <vertAlign val="baseline"/>
        <sz val="12"/>
        <color theme="1"/>
        <name val="Aptos"/>
        <family val="2"/>
        <scheme val="none"/>
      </font>
      <alignment horizontal="center" vertical="bottom" textRotation="0" wrapText="0" indent="0" justifyLastLine="0" shrinkToFit="0" readingOrder="0"/>
    </dxf>
    <dxf>
      <font>
        <strike val="0"/>
        <outline val="0"/>
        <shadow val="0"/>
        <u val="none"/>
        <vertAlign val="baseline"/>
        <sz val="12"/>
        <color theme="1"/>
        <name val="Aptos"/>
        <family val="2"/>
        <scheme val="none"/>
      </font>
      <alignment horizontal="center" vertical="bottom" textRotation="0" wrapText="0" indent="0" justifyLastLine="0" shrinkToFit="0" readingOrder="0"/>
    </dxf>
    <dxf>
      <font>
        <strike val="0"/>
        <outline val="0"/>
        <shadow val="0"/>
        <u val="none"/>
        <vertAlign val="baseline"/>
        <sz val="12"/>
        <color theme="1"/>
        <name val="Aptos"/>
        <family val="2"/>
        <scheme val="none"/>
      </font>
      <alignment horizontal="center" vertical="bottom" textRotation="0" wrapText="0" indent="0" justifyLastLine="0" shrinkToFit="0" readingOrder="0"/>
    </dxf>
    <dxf>
      <font>
        <strike val="0"/>
        <outline val="0"/>
        <shadow val="0"/>
        <u val="none"/>
        <vertAlign val="baseline"/>
        <sz val="12"/>
        <color theme="1"/>
        <name val="Aptos"/>
        <family val="2"/>
        <scheme val="none"/>
      </font>
      <alignment horizontal="center" vertical="bottom" textRotation="0" wrapText="0" indent="0" justifyLastLine="0" shrinkToFit="0" readingOrder="0"/>
    </dxf>
    <dxf>
      <font>
        <strike val="0"/>
        <outline val="0"/>
        <shadow val="0"/>
        <u val="none"/>
        <vertAlign val="baseline"/>
        <sz val="12"/>
        <color theme="1"/>
        <name val="Aptos"/>
        <family val="2"/>
        <scheme val="none"/>
      </font>
      <numFmt numFmtId="27" formatCode="m/d/yyyy\ h:mm"/>
      <alignment horizontal="center" vertical="bottom" textRotation="0" wrapText="0" indent="0" justifyLastLine="0" shrinkToFit="0" readingOrder="0"/>
    </dxf>
    <dxf>
      <font>
        <strike val="0"/>
        <outline val="0"/>
        <shadow val="0"/>
        <u val="none"/>
        <vertAlign val="baseline"/>
        <sz val="12"/>
        <color theme="1"/>
        <name val="Aptos"/>
        <family val="2"/>
        <scheme val="none"/>
      </font>
      <alignment horizontal="center" vertical="bottom" textRotation="0" wrapText="0" indent="0" justifyLastLine="0" shrinkToFit="0" readingOrder="0"/>
    </dxf>
    <dxf>
      <font>
        <strike val="0"/>
        <outline val="0"/>
        <shadow val="0"/>
        <u val="none"/>
        <vertAlign val="baseline"/>
        <sz val="12"/>
        <color theme="1"/>
        <name val="Aptos"/>
        <family val="2"/>
        <scheme val="none"/>
      </font>
      <alignment horizontal="center" vertical="bottom" textRotation="0" wrapText="0" indent="0" justifyLastLine="0" shrinkToFit="0" readingOrder="0"/>
    </dxf>
    <dxf>
      <font>
        <strike val="0"/>
        <outline val="0"/>
        <shadow val="0"/>
        <u val="none"/>
        <vertAlign val="baseline"/>
        <sz val="12"/>
        <color theme="1"/>
        <name val="Aptos"/>
        <family val="2"/>
        <scheme val="none"/>
      </font>
      <alignment horizontal="center" vertical="bottom" textRotation="0" wrapText="0" indent="0" justifyLastLine="0" shrinkToFit="0" readingOrder="0"/>
    </dxf>
    <dxf>
      <font>
        <strike val="0"/>
        <outline val="0"/>
        <shadow val="0"/>
        <u val="none"/>
        <vertAlign val="baseline"/>
        <sz val="12"/>
        <color theme="1"/>
        <name val="Aptos"/>
        <family val="2"/>
        <scheme val="none"/>
      </font>
      <alignment horizontal="center" vertical="bottom" textRotation="0" wrapText="0" indent="0" justifyLastLine="0" shrinkToFit="0" readingOrder="0"/>
    </dxf>
    <dxf>
      <font>
        <strike val="0"/>
        <outline val="0"/>
        <shadow val="0"/>
        <u val="none"/>
        <vertAlign val="baseline"/>
        <sz val="12"/>
        <color theme="1"/>
        <name val="Aptos"/>
        <family val="2"/>
        <scheme val="none"/>
      </font>
      <alignment horizontal="center" vertical="bottom" textRotation="0" wrapText="0" indent="0" justifyLastLine="0" shrinkToFit="0" readingOrder="0"/>
    </dxf>
    <dxf>
      <font>
        <strike val="0"/>
        <outline val="0"/>
        <shadow val="0"/>
        <u val="none"/>
        <vertAlign val="baseline"/>
        <sz val="12"/>
        <color theme="1"/>
        <name val="Aptos"/>
        <family val="2"/>
        <scheme val="none"/>
      </font>
      <numFmt numFmtId="0" formatCode="General"/>
      <alignment horizontal="center" vertical="bottom" textRotation="0" wrapText="0" indent="0" justifyLastLine="0" shrinkToFit="0" readingOrder="0"/>
    </dxf>
    <dxf>
      <font>
        <strike val="0"/>
        <outline val="0"/>
        <shadow val="0"/>
        <u val="none"/>
        <vertAlign val="baseline"/>
        <sz val="12"/>
        <color theme="1"/>
        <name val="Aptos"/>
        <family val="2"/>
        <scheme val="none"/>
      </font>
      <numFmt numFmtId="0" formatCode="General"/>
      <alignment horizontal="center" vertical="bottom" textRotation="0" wrapText="0" indent="0" justifyLastLine="0" shrinkToFit="0" readingOrder="0"/>
    </dxf>
    <dxf>
      <font>
        <strike val="0"/>
        <outline val="0"/>
        <shadow val="0"/>
        <u val="none"/>
        <vertAlign val="baseline"/>
        <sz val="12"/>
        <color theme="1"/>
        <name val="Aptos"/>
        <family val="2"/>
        <scheme val="none"/>
      </font>
      <numFmt numFmtId="0" formatCode="General"/>
      <alignment horizontal="center" vertical="bottom" textRotation="0" wrapText="0" indent="0" justifyLastLine="0" shrinkToFit="0" readingOrder="0"/>
    </dxf>
    <dxf>
      <font>
        <strike val="0"/>
        <outline val="0"/>
        <shadow val="0"/>
        <u val="none"/>
        <vertAlign val="baseline"/>
        <sz val="12"/>
        <color theme="1"/>
        <name val="Aptos"/>
        <family val="2"/>
        <scheme val="none"/>
      </font>
      <numFmt numFmtId="0" formatCode="General"/>
      <alignment horizontal="center" vertical="bottom" textRotation="0" wrapText="0" indent="0" justifyLastLine="0" shrinkToFit="0" readingOrder="0"/>
    </dxf>
    <dxf>
      <font>
        <strike val="0"/>
        <outline val="0"/>
        <shadow val="0"/>
        <u val="none"/>
        <vertAlign val="baseline"/>
        <sz val="12"/>
        <color theme="1"/>
        <name val="Aptos"/>
        <family val="2"/>
        <scheme val="none"/>
      </font>
      <numFmt numFmtId="0" formatCode="General"/>
      <alignment horizontal="center" vertical="bottom" textRotation="0" wrapText="0" indent="0" justifyLastLine="0" shrinkToFit="0" readingOrder="0"/>
    </dxf>
    <dxf>
      <font>
        <strike val="0"/>
        <outline val="0"/>
        <shadow val="0"/>
        <u val="none"/>
        <vertAlign val="baseline"/>
        <sz val="12"/>
        <color theme="1"/>
        <name val="Aptos"/>
        <family val="2"/>
        <scheme val="none"/>
      </font>
      <numFmt numFmtId="0" formatCode="General"/>
      <alignment horizontal="center" vertical="bottom" textRotation="0" wrapText="0" indent="0" justifyLastLine="0" shrinkToFit="0" readingOrder="0"/>
    </dxf>
    <dxf>
      <font>
        <strike val="0"/>
        <outline val="0"/>
        <shadow val="0"/>
        <u val="none"/>
        <vertAlign val="baseline"/>
        <sz val="12"/>
        <color theme="1"/>
        <name val="Aptos"/>
        <family val="2"/>
        <scheme val="none"/>
      </font>
      <numFmt numFmtId="0" formatCode="General"/>
      <alignment horizontal="center" vertical="bottom" textRotation="0" wrapText="0" indent="0" justifyLastLine="0" shrinkToFit="0" readingOrder="0"/>
    </dxf>
    <dxf>
      <font>
        <strike val="0"/>
        <outline val="0"/>
        <shadow val="0"/>
        <u val="none"/>
        <vertAlign val="baseline"/>
        <sz val="12"/>
        <color theme="1"/>
        <name val="Aptos"/>
        <family val="2"/>
        <scheme val="none"/>
      </font>
      <alignment horizontal="center" vertical="bottom" textRotation="0" wrapText="0" indent="0" justifyLastLine="0" shrinkToFit="0" readingOrder="0"/>
    </dxf>
    <dxf>
      <font>
        <strike val="0"/>
        <outline val="0"/>
        <shadow val="0"/>
        <u val="none"/>
        <vertAlign val="baseline"/>
        <sz val="12"/>
        <color theme="1"/>
        <name val="Aptos"/>
        <family val="2"/>
        <scheme val="none"/>
      </font>
      <alignment horizontal="center" vertical="bottom" textRotation="0" wrapText="0" indent="0" justifyLastLine="0" shrinkToFit="0" readingOrder="0"/>
    </dxf>
    <dxf>
      <font>
        <strike val="0"/>
        <outline val="0"/>
        <shadow val="0"/>
        <u val="none"/>
        <vertAlign val="baseline"/>
        <sz val="12"/>
        <color theme="1"/>
        <name val="Aptos"/>
        <family val="2"/>
        <scheme val="none"/>
      </font>
      <alignment horizontal="center" vertical="bottom" textRotation="0" wrapText="0" indent="0" justifyLastLine="0" shrinkToFit="0" readingOrder="0"/>
    </dxf>
    <dxf>
      <font>
        <strike val="0"/>
        <outline val="0"/>
        <shadow val="0"/>
        <u val="none"/>
        <vertAlign val="baseline"/>
        <sz val="12"/>
        <color theme="1"/>
        <name val="Aptos"/>
        <family val="2"/>
        <scheme val="none"/>
      </font>
      <alignment horizontal="center" vertical="bottom" textRotation="0" wrapText="0" indent="0" justifyLastLine="0" shrinkToFit="0" readingOrder="0"/>
    </dxf>
    <dxf>
      <font>
        <strike val="0"/>
        <outline val="0"/>
        <shadow val="0"/>
        <u val="none"/>
        <vertAlign val="baseline"/>
        <sz val="12"/>
        <color theme="1"/>
        <name val="Aptos"/>
        <family val="2"/>
        <scheme val="none"/>
      </font>
      <numFmt numFmtId="0" formatCode="General"/>
      <alignment horizontal="center" vertical="bottom" textRotation="0" wrapText="0" indent="0" justifyLastLine="0" shrinkToFit="0" readingOrder="0"/>
    </dxf>
    <dxf>
      <font>
        <strike val="0"/>
        <outline val="0"/>
        <shadow val="0"/>
        <u val="none"/>
        <vertAlign val="baseline"/>
        <sz val="12"/>
        <color theme="1"/>
        <name val="Aptos"/>
        <family val="2"/>
        <scheme val="none"/>
      </font>
      <numFmt numFmtId="0" formatCode="General"/>
      <alignment horizontal="center" vertical="bottom" textRotation="0" wrapText="0" indent="0" justifyLastLine="0" shrinkToFit="0" readingOrder="0"/>
    </dxf>
    <dxf>
      <font>
        <strike val="0"/>
        <outline val="0"/>
        <shadow val="0"/>
        <u val="none"/>
        <vertAlign val="baseline"/>
        <sz val="12"/>
        <color theme="1"/>
        <name val="Aptos"/>
        <family val="2"/>
        <scheme val="none"/>
      </font>
      <numFmt numFmtId="0" formatCode="General"/>
      <alignment horizontal="center" vertical="bottom" textRotation="0" wrapText="0" indent="0" justifyLastLine="0" shrinkToFit="0" readingOrder="0"/>
    </dxf>
    <dxf>
      <font>
        <strike val="0"/>
        <outline val="0"/>
        <shadow val="0"/>
        <u val="none"/>
        <vertAlign val="baseline"/>
        <sz val="12"/>
        <color theme="1"/>
        <name val="Aptos"/>
        <family val="2"/>
        <scheme val="none"/>
      </font>
      <numFmt numFmtId="0" formatCode="General"/>
      <alignment horizontal="center" vertical="bottom" textRotation="0" wrapText="0" indent="0" justifyLastLine="0" shrinkToFit="0" readingOrder="0"/>
    </dxf>
    <dxf>
      <font>
        <strike val="0"/>
        <outline val="0"/>
        <shadow val="0"/>
        <u val="none"/>
        <vertAlign val="baseline"/>
        <sz val="12"/>
        <color theme="1"/>
        <name val="Aptos"/>
        <family val="2"/>
        <scheme val="none"/>
      </font>
      <alignment horizontal="center" vertical="bottom" textRotation="0" wrapText="0" indent="0" justifyLastLine="0" shrinkToFit="0" readingOrder="0"/>
    </dxf>
    <dxf>
      <font>
        <strike val="0"/>
        <outline val="0"/>
        <shadow val="0"/>
        <u val="none"/>
        <vertAlign val="baseline"/>
        <sz val="12"/>
        <color theme="1"/>
        <name val="Aptos"/>
        <family val="2"/>
        <scheme val="none"/>
      </font>
      <alignment horizontal="center" vertical="bottom" textRotation="0" wrapText="0" indent="0" justifyLastLine="0" shrinkToFit="0" readingOrder="0"/>
    </dxf>
    <dxf>
      <font>
        <strike val="0"/>
        <outline val="0"/>
        <shadow val="0"/>
        <u val="none"/>
        <vertAlign val="baseline"/>
        <sz val="12"/>
        <color theme="1"/>
        <name val="Aptos"/>
        <family val="2"/>
        <scheme val="none"/>
      </font>
      <numFmt numFmtId="0" formatCode="General"/>
      <alignment horizontal="center" vertical="bottom" textRotation="0" wrapText="0" indent="0" justifyLastLine="0" shrinkToFit="0" readingOrder="0"/>
    </dxf>
    <dxf>
      <font>
        <strike val="0"/>
        <outline val="0"/>
        <shadow val="0"/>
        <u val="none"/>
        <vertAlign val="baseline"/>
        <sz val="12"/>
        <color theme="1"/>
        <name val="Aptos"/>
        <family val="2"/>
        <scheme val="none"/>
      </font>
      <alignment horizontal="center" vertical="bottom" textRotation="0" wrapText="0" indent="0" justifyLastLine="0" shrinkToFit="0" readingOrder="0"/>
    </dxf>
    <dxf>
      <font>
        <strike val="0"/>
        <outline val="0"/>
        <shadow val="0"/>
        <u val="none"/>
        <vertAlign val="baseline"/>
        <sz val="12"/>
        <color theme="1"/>
        <name val="Aptos"/>
        <family val="2"/>
        <scheme val="none"/>
      </font>
      <numFmt numFmtId="0" formatCode="General"/>
      <alignment horizontal="center" vertical="bottom" textRotation="0" wrapText="0" indent="0" justifyLastLine="0" shrinkToFit="0" readingOrder="0"/>
    </dxf>
    <dxf>
      <font>
        <strike val="0"/>
        <outline val="0"/>
        <shadow val="0"/>
        <u val="none"/>
        <vertAlign val="baseline"/>
        <sz val="12"/>
        <color theme="1"/>
        <name val="Aptos"/>
        <family val="2"/>
        <scheme val="none"/>
      </font>
      <numFmt numFmtId="0" formatCode="General"/>
      <alignment horizontal="center" vertical="bottom" textRotation="0" wrapText="0" indent="0" justifyLastLine="0" shrinkToFit="0" readingOrder="0"/>
    </dxf>
    <dxf>
      <font>
        <strike val="0"/>
        <outline val="0"/>
        <shadow val="0"/>
        <u val="none"/>
        <vertAlign val="baseline"/>
        <sz val="12"/>
        <color theme="1"/>
        <name val="Aptos"/>
        <family val="2"/>
        <scheme val="none"/>
      </font>
      <numFmt numFmtId="0" formatCode="General"/>
      <alignment horizontal="center" vertical="bottom" textRotation="0" wrapText="0" indent="0" justifyLastLine="0" shrinkToFit="0" readingOrder="0"/>
    </dxf>
    <dxf>
      <font>
        <strike val="0"/>
        <outline val="0"/>
        <shadow val="0"/>
        <u val="none"/>
        <vertAlign val="baseline"/>
        <sz val="12"/>
        <color theme="1"/>
        <name val="Aptos"/>
        <family val="2"/>
        <scheme val="none"/>
      </font>
      <numFmt numFmtId="0" formatCode="General"/>
      <alignment horizontal="center" vertical="bottom" textRotation="0" wrapText="0" indent="0" justifyLastLine="0" shrinkToFit="0" readingOrder="0"/>
    </dxf>
    <dxf>
      <font>
        <strike val="0"/>
        <outline val="0"/>
        <shadow val="0"/>
        <u val="none"/>
        <vertAlign val="baseline"/>
        <sz val="12"/>
        <color theme="1"/>
        <name val="Aptos"/>
        <family val="2"/>
        <scheme val="none"/>
      </font>
      <numFmt numFmtId="0" formatCode="General"/>
      <alignment horizontal="center" vertical="bottom" textRotation="0" wrapText="0" indent="0" justifyLastLine="0" shrinkToFit="0" readingOrder="0"/>
    </dxf>
    <dxf>
      <font>
        <strike val="0"/>
        <outline val="0"/>
        <shadow val="0"/>
        <u val="none"/>
        <vertAlign val="baseline"/>
        <sz val="12"/>
        <color theme="1"/>
        <name val="Aptos"/>
        <family val="2"/>
        <scheme val="none"/>
      </font>
      <alignment horizontal="center" vertical="bottom" textRotation="0" wrapText="0" indent="0" justifyLastLine="0" shrinkToFit="0" readingOrder="0"/>
    </dxf>
    <dxf>
      <font>
        <strike val="0"/>
        <outline val="0"/>
        <shadow val="0"/>
        <u val="none"/>
        <vertAlign val="baseline"/>
        <sz val="12"/>
        <color theme="1"/>
        <name val="Aptos"/>
        <family val="2"/>
        <scheme val="none"/>
      </font>
      <alignment horizontal="center" vertical="bottom" textRotation="0" wrapText="0" indent="0" justifyLastLine="0" shrinkToFit="0" readingOrder="0"/>
    </dxf>
    <dxf>
      <font>
        <strike val="0"/>
        <outline val="0"/>
        <shadow val="0"/>
        <u val="none"/>
        <vertAlign val="baseline"/>
        <sz val="12"/>
        <color theme="1"/>
        <name val="Aptos"/>
        <family val="2"/>
        <scheme val="none"/>
      </font>
      <alignment horizontal="center" vertical="bottom" textRotation="0" wrapText="0" indent="0" justifyLastLine="0" shrinkToFit="0" readingOrder="0"/>
    </dxf>
    <dxf>
      <font>
        <strike val="0"/>
        <outline val="0"/>
        <shadow val="0"/>
        <u val="none"/>
        <vertAlign val="baseline"/>
        <sz val="12"/>
        <color theme="1"/>
        <name val="Aptos"/>
        <family val="2"/>
        <scheme val="none"/>
      </font>
      <alignment horizontal="center" vertical="bottom" textRotation="0" wrapText="0" indent="0" justifyLastLine="0" shrinkToFit="0" readingOrder="0"/>
    </dxf>
    <dxf>
      <font>
        <strike val="0"/>
        <outline val="0"/>
        <shadow val="0"/>
        <u val="none"/>
        <vertAlign val="baseline"/>
        <sz val="12"/>
        <color theme="1"/>
        <name val="Aptos"/>
        <family val="2"/>
        <scheme val="none"/>
      </font>
      <alignment horizontal="center" vertical="bottom" textRotation="0" wrapText="0" indent="0" justifyLastLine="0" shrinkToFit="0" readingOrder="0"/>
    </dxf>
    <dxf>
      <font>
        <strike val="0"/>
        <outline val="0"/>
        <shadow val="0"/>
        <u val="none"/>
        <vertAlign val="baseline"/>
        <sz val="12"/>
        <color theme="1"/>
        <name val="Aptos"/>
        <family val="2"/>
        <scheme val="none"/>
      </font>
      <numFmt numFmtId="172" formatCode="[$-F400]h:mm:ss\ AM/PM"/>
      <alignment horizontal="center" vertical="bottom" textRotation="0" wrapText="0" indent="0" justifyLastLine="0" shrinkToFit="0" readingOrder="0"/>
    </dxf>
    <dxf>
      <font>
        <strike val="0"/>
        <outline val="0"/>
        <shadow val="0"/>
        <u val="none"/>
        <vertAlign val="baseline"/>
        <sz val="12"/>
        <color theme="1"/>
        <name val="Aptos"/>
        <family val="2"/>
        <scheme val="none"/>
      </font>
      <numFmt numFmtId="172" formatCode="[$-F400]h:mm:ss\ AM/PM"/>
      <alignment horizontal="center" vertical="bottom" textRotation="0" wrapText="0" indent="0" justifyLastLine="0" shrinkToFit="0" readingOrder="0"/>
    </dxf>
    <dxf>
      <font>
        <strike val="0"/>
        <outline val="0"/>
        <shadow val="0"/>
        <u val="none"/>
        <vertAlign val="baseline"/>
        <sz val="12"/>
        <color theme="1"/>
        <name val="Aptos"/>
        <family val="2"/>
        <scheme val="none"/>
      </font>
      <alignment horizontal="center" vertical="bottom" textRotation="0" wrapText="0" indent="0" justifyLastLine="0" shrinkToFit="0" readingOrder="0"/>
    </dxf>
    <dxf>
      <font>
        <strike val="0"/>
        <outline val="0"/>
        <shadow val="0"/>
        <u val="none"/>
        <vertAlign val="baseline"/>
        <sz val="12"/>
        <color theme="1"/>
        <name val="Aptos"/>
        <family val="2"/>
        <scheme val="none"/>
      </font>
      <numFmt numFmtId="19" formatCode="m/d/yyyy"/>
      <alignment horizontal="center" vertical="bottom" textRotation="0" wrapText="0" indent="0" justifyLastLine="0" shrinkToFit="0" readingOrder="0"/>
    </dxf>
    <dxf>
      <font>
        <strike val="0"/>
        <outline val="0"/>
        <shadow val="0"/>
        <u val="none"/>
        <vertAlign val="baseline"/>
        <sz val="12"/>
        <color theme="1"/>
        <name val="Aptos"/>
        <family val="2"/>
        <scheme val="none"/>
      </font>
      <numFmt numFmtId="0" formatCode="General"/>
      <alignment horizontal="center" vertical="bottom" textRotation="0" wrapText="0" indent="0" justifyLastLine="0" shrinkToFit="0" readingOrder="0"/>
    </dxf>
    <dxf>
      <font>
        <strike val="0"/>
        <outline val="0"/>
        <shadow val="0"/>
        <u val="none"/>
        <vertAlign val="baseline"/>
        <sz val="12"/>
        <color theme="1"/>
        <name val="Aptos"/>
        <family val="2"/>
        <scheme val="none"/>
      </font>
      <alignment horizontal="center" vertical="bottom" textRotation="0" wrapText="0" indent="0" justifyLastLine="0" shrinkToFit="0" readingOrder="0"/>
    </dxf>
    <dxf>
      <font>
        <strike val="0"/>
        <outline val="0"/>
        <shadow val="0"/>
        <u val="none"/>
        <vertAlign val="baseline"/>
        <sz val="12"/>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2"/>
        <color theme="1"/>
        <name val="Aptos"/>
        <family val="2"/>
        <scheme val="none"/>
      </font>
      <border diagonalUp="0" diagonalDown="0">
        <left/>
        <right style="medium">
          <color indexed="64"/>
        </right>
        <top/>
        <bottom/>
        <vertical/>
        <horizontal/>
      </border>
    </dxf>
    <dxf>
      <font>
        <b val="0"/>
        <i val="0"/>
        <strike val="0"/>
        <condense val="0"/>
        <extend val="0"/>
        <outline val="0"/>
        <shadow val="0"/>
        <u val="none"/>
        <vertAlign val="baseline"/>
        <sz val="12"/>
        <color theme="1"/>
        <name val="Aptos"/>
        <family val="2"/>
        <scheme val="none"/>
      </font>
    </dxf>
    <dxf>
      <font>
        <b val="0"/>
        <i val="0"/>
        <strike val="0"/>
        <condense val="0"/>
        <extend val="0"/>
        <outline val="0"/>
        <shadow val="0"/>
        <u val="none"/>
        <vertAlign val="baseline"/>
        <sz val="12"/>
        <color theme="1"/>
        <name val="Aptos"/>
        <family val="2"/>
        <scheme val="none"/>
      </font>
    </dxf>
    <dxf>
      <font>
        <b val="0"/>
        <i val="0"/>
        <strike val="0"/>
        <condense val="0"/>
        <extend val="0"/>
        <outline val="0"/>
        <shadow val="0"/>
        <u val="none"/>
        <vertAlign val="baseline"/>
        <sz val="12"/>
        <color theme="1"/>
        <name val="Aptos"/>
        <family val="2"/>
        <scheme val="none"/>
      </font>
    </dxf>
    <dxf>
      <font>
        <b val="0"/>
        <i val="0"/>
        <strike val="0"/>
        <condense val="0"/>
        <extend val="0"/>
        <outline val="0"/>
        <shadow val="0"/>
        <u val="none"/>
        <vertAlign val="baseline"/>
        <sz val="12"/>
        <color theme="1"/>
        <name val="Aptos"/>
        <family val="2"/>
        <scheme val="none"/>
      </font>
    </dxf>
    <dxf>
      <font>
        <b val="0"/>
        <i val="0"/>
        <strike val="0"/>
        <condense val="0"/>
        <extend val="0"/>
        <outline val="0"/>
        <shadow val="0"/>
        <u val="none"/>
        <vertAlign val="baseline"/>
        <sz val="12"/>
        <color theme="1"/>
        <name val="Aptos"/>
        <family val="2"/>
        <scheme val="none"/>
      </font>
    </dxf>
    <dxf>
      <font>
        <b val="0"/>
        <i val="0"/>
        <strike val="0"/>
        <condense val="0"/>
        <extend val="0"/>
        <outline val="0"/>
        <shadow val="0"/>
        <u val="none"/>
        <vertAlign val="baseline"/>
        <sz val="12"/>
        <color theme="1"/>
        <name val="Aptos"/>
        <family val="2"/>
        <scheme val="none"/>
      </font>
      <alignment horizontal="right" vertical="bottom" textRotation="0" wrapText="0" indent="0" justifyLastLine="0" shrinkToFit="0" readingOrder="0"/>
      <border diagonalUp="0" diagonalDown="0">
        <left style="medium">
          <color indexed="64"/>
        </left>
        <right/>
        <top/>
        <bottom/>
        <vertical/>
        <horizontal/>
      </border>
    </dxf>
    <dxf>
      <font>
        <b val="0"/>
        <i val="0"/>
        <strike val="0"/>
        <condense val="0"/>
        <extend val="0"/>
        <outline val="0"/>
        <shadow val="0"/>
        <u val="none"/>
        <vertAlign val="baseline"/>
        <sz val="12"/>
        <color theme="1"/>
        <name val="Aptos"/>
        <family val="2"/>
        <scheme val="none"/>
      </font>
    </dxf>
    <dxf>
      <font>
        <b val="0"/>
        <i val="0"/>
        <strike val="0"/>
        <condense val="0"/>
        <extend val="0"/>
        <outline val="0"/>
        <shadow val="0"/>
        <u val="none"/>
        <vertAlign val="baseline"/>
        <sz val="14"/>
        <color theme="1"/>
        <name val="Aptos"/>
        <family val="2"/>
        <scheme val="none"/>
      </font>
      <numFmt numFmtId="166" formatCode="ddd"/>
      <alignment horizontal="center" vertical="bottom" textRotation="0" wrapText="0" indent="0" justifyLastLine="0" shrinkToFit="0" readingOrder="0"/>
    </dxf>
    <dxf>
      <font>
        <b val="0"/>
        <i val="0"/>
        <strike val="0"/>
        <condense val="0"/>
        <extend val="0"/>
        <outline val="0"/>
        <shadow val="0"/>
        <u val="none"/>
        <vertAlign val="baseline"/>
        <sz val="12"/>
        <color theme="1"/>
        <name val="Aptos"/>
        <family val="2"/>
        <scheme val="none"/>
      </font>
      <border diagonalUp="0" diagonalDown="0">
        <left/>
        <right style="medium">
          <color indexed="64"/>
        </right>
        <top/>
        <bottom/>
        <vertical/>
        <horizontal/>
      </border>
    </dxf>
    <dxf>
      <font>
        <b val="0"/>
        <i val="0"/>
        <strike val="0"/>
        <condense val="0"/>
        <extend val="0"/>
        <outline val="0"/>
        <shadow val="0"/>
        <u val="none"/>
        <vertAlign val="baseline"/>
        <sz val="12"/>
        <color theme="1"/>
        <name val="Aptos"/>
        <family val="2"/>
        <scheme val="none"/>
      </font>
    </dxf>
    <dxf>
      <font>
        <b val="0"/>
        <i val="0"/>
        <strike val="0"/>
        <condense val="0"/>
        <extend val="0"/>
        <outline val="0"/>
        <shadow val="0"/>
        <u val="none"/>
        <vertAlign val="baseline"/>
        <sz val="12"/>
        <color theme="1"/>
        <name val="Aptos"/>
        <family val="2"/>
        <scheme val="none"/>
      </font>
    </dxf>
    <dxf>
      <font>
        <b val="0"/>
        <i val="0"/>
        <strike val="0"/>
        <condense val="0"/>
        <extend val="0"/>
        <outline val="0"/>
        <shadow val="0"/>
        <u val="none"/>
        <vertAlign val="baseline"/>
        <sz val="12"/>
        <color theme="1"/>
        <name val="Aptos"/>
        <family val="2"/>
        <scheme val="none"/>
      </font>
    </dxf>
    <dxf>
      <font>
        <b val="0"/>
        <i val="0"/>
        <strike val="0"/>
        <condense val="0"/>
        <extend val="0"/>
        <outline val="0"/>
        <shadow val="0"/>
        <u val="none"/>
        <vertAlign val="baseline"/>
        <sz val="12"/>
        <color theme="1"/>
        <name val="Aptos"/>
        <family val="2"/>
        <scheme val="none"/>
      </font>
    </dxf>
    <dxf>
      <font>
        <b val="0"/>
        <i val="0"/>
        <strike val="0"/>
        <condense val="0"/>
        <extend val="0"/>
        <outline val="0"/>
        <shadow val="0"/>
        <u val="none"/>
        <vertAlign val="baseline"/>
        <sz val="12"/>
        <color theme="1"/>
        <name val="Aptos"/>
        <family val="2"/>
        <scheme val="none"/>
      </font>
    </dxf>
    <dxf>
      <font>
        <b val="0"/>
        <i val="0"/>
        <strike val="0"/>
        <condense val="0"/>
        <extend val="0"/>
        <outline val="0"/>
        <shadow val="0"/>
        <u val="none"/>
        <vertAlign val="baseline"/>
        <sz val="12"/>
        <color theme="1"/>
        <name val="Aptos"/>
        <family val="2"/>
        <scheme val="none"/>
      </font>
      <alignment horizontal="right" vertical="bottom" textRotation="0" wrapText="0" indent="0" justifyLastLine="0" shrinkToFit="0" readingOrder="0"/>
      <border diagonalUp="0" diagonalDown="0">
        <left style="medium">
          <color indexed="64"/>
        </left>
        <right/>
        <top/>
        <bottom/>
        <vertical/>
        <horizontal/>
      </border>
    </dxf>
    <dxf>
      <font>
        <b val="0"/>
        <i val="0"/>
        <strike val="0"/>
        <condense val="0"/>
        <extend val="0"/>
        <outline val="0"/>
        <shadow val="0"/>
        <u val="none"/>
        <vertAlign val="baseline"/>
        <sz val="12"/>
        <color theme="1"/>
        <name val="Aptos"/>
        <family val="2"/>
        <scheme val="none"/>
      </font>
    </dxf>
    <dxf>
      <font>
        <b val="0"/>
        <i val="0"/>
        <strike val="0"/>
        <condense val="0"/>
        <extend val="0"/>
        <outline val="0"/>
        <shadow val="0"/>
        <u val="none"/>
        <vertAlign val="baseline"/>
        <sz val="14"/>
        <color theme="1"/>
        <name val="Aptos"/>
        <family val="2"/>
        <scheme val="none"/>
      </font>
      <numFmt numFmtId="166" formatCode="ddd"/>
      <alignment horizontal="center" vertical="bottom" textRotation="0" wrapText="0" indent="0" justifyLastLine="0" shrinkToFit="0" readingOrder="0"/>
    </dxf>
    <dxf>
      <font>
        <b val="0"/>
        <i val="0"/>
        <strike val="0"/>
        <condense val="0"/>
        <extend val="0"/>
        <outline val="0"/>
        <shadow val="0"/>
        <u val="none"/>
        <vertAlign val="baseline"/>
        <sz val="12"/>
        <color theme="1"/>
        <name val="Aptos"/>
        <family val="2"/>
        <scheme val="none"/>
      </font>
    </dxf>
    <dxf>
      <font>
        <b val="0"/>
        <i val="0"/>
        <strike val="0"/>
        <condense val="0"/>
        <extend val="0"/>
        <outline val="0"/>
        <shadow val="0"/>
        <u val="none"/>
        <vertAlign val="baseline"/>
        <sz val="12"/>
        <color theme="1"/>
        <name val="Aptos Narrow"/>
        <family val="2"/>
        <scheme val="none"/>
      </font>
    </dxf>
    <dxf>
      <font>
        <b val="0"/>
        <i val="0"/>
        <strike val="0"/>
        <condense val="0"/>
        <extend val="0"/>
        <outline val="0"/>
        <shadow val="0"/>
        <u val="none"/>
        <vertAlign val="baseline"/>
        <sz val="12"/>
        <color theme="1"/>
        <name val="Aptos Narrow"/>
        <family val="2"/>
        <scheme val="none"/>
      </font>
    </dxf>
    <dxf>
      <font>
        <b val="0"/>
        <i val="0"/>
        <strike val="0"/>
        <condense val="0"/>
        <extend val="0"/>
        <outline val="0"/>
        <shadow val="0"/>
        <u val="none"/>
        <vertAlign val="baseline"/>
        <sz val="12"/>
        <color theme="1"/>
        <name val="Aptos Narrow"/>
        <family val="2"/>
        <scheme val="none"/>
      </font>
    </dxf>
    <dxf>
      <font>
        <b val="0"/>
        <i val="0"/>
        <strike val="0"/>
        <condense val="0"/>
        <extend val="0"/>
        <outline val="0"/>
        <shadow val="0"/>
        <u val="none"/>
        <vertAlign val="baseline"/>
        <sz val="12"/>
        <color theme="1"/>
        <name val="Aptos Narrow"/>
        <family val="2"/>
        <scheme val="none"/>
      </font>
    </dxf>
    <dxf>
      <font>
        <b val="0"/>
        <i val="0"/>
        <strike val="0"/>
        <condense val="0"/>
        <extend val="0"/>
        <outline val="0"/>
        <shadow val="0"/>
        <u val="none"/>
        <vertAlign val="baseline"/>
        <sz val="12"/>
        <color theme="1"/>
        <name val="Aptos Narrow"/>
        <family val="2"/>
        <scheme val="none"/>
      </font>
    </dxf>
    <dxf>
      <font>
        <b val="0"/>
        <i val="0"/>
        <strike val="0"/>
        <condense val="0"/>
        <extend val="0"/>
        <outline val="0"/>
        <shadow val="0"/>
        <u val="none"/>
        <vertAlign val="baseline"/>
        <sz val="12"/>
        <color theme="1"/>
        <name val="Aptos Narrow"/>
        <family val="2"/>
        <scheme val="none"/>
      </font>
    </dxf>
    <dxf>
      <font>
        <b val="0"/>
        <i val="0"/>
        <strike val="0"/>
        <condense val="0"/>
        <extend val="0"/>
        <outline val="0"/>
        <shadow val="0"/>
        <u val="none"/>
        <vertAlign val="baseline"/>
        <sz val="12"/>
        <color theme="1"/>
        <name val="Aptos Narrow"/>
        <family val="2"/>
        <scheme val="none"/>
      </font>
    </dxf>
    <dxf>
      <font>
        <b val="0"/>
        <i val="0"/>
        <strike val="0"/>
        <condense val="0"/>
        <extend val="0"/>
        <outline val="0"/>
        <shadow val="0"/>
        <u val="none"/>
        <vertAlign val="baseline"/>
        <sz val="12"/>
        <color theme="1"/>
        <name val="Aptos Narrow"/>
        <family val="2"/>
        <scheme val="none"/>
      </font>
    </dxf>
    <dxf>
      <font>
        <b val="0"/>
        <i val="0"/>
        <strike val="0"/>
        <condense val="0"/>
        <extend val="0"/>
        <outline val="0"/>
        <shadow val="0"/>
        <u val="none"/>
        <vertAlign val="baseline"/>
        <sz val="12"/>
        <color theme="1"/>
        <name val="Aptos Narrow"/>
        <family val="2"/>
        <scheme val="none"/>
      </font>
    </dxf>
    <dxf>
      <font>
        <b val="0"/>
        <i val="0"/>
        <strike val="0"/>
        <condense val="0"/>
        <extend val="0"/>
        <outline val="0"/>
        <shadow val="0"/>
        <u val="none"/>
        <vertAlign val="baseline"/>
        <sz val="12"/>
        <color theme="1"/>
        <name val="Aptos Narrow"/>
        <family val="2"/>
        <scheme val="none"/>
      </font>
      <numFmt numFmtId="165" formatCode="mm/dd/yy;@"/>
      <alignment horizontal="center" vertical="bottom" textRotation="0" wrapText="0" indent="0" justifyLastLine="0" shrinkToFit="0" readingOrder="0"/>
    </dxf>
    <dxf>
      <font>
        <b val="0"/>
        <i val="0"/>
        <strike val="0"/>
        <condense val="0"/>
        <extend val="0"/>
        <outline val="0"/>
        <shadow val="0"/>
        <u val="none"/>
        <vertAlign val="baseline"/>
        <sz val="12"/>
        <color theme="1"/>
        <name val="Aptos Narrow"/>
        <family val="2"/>
        <scheme val="none"/>
      </font>
    </dxf>
    <dxf>
      <font>
        <b val="0"/>
        <i val="0"/>
        <strike val="0"/>
        <condense val="0"/>
        <extend val="0"/>
        <outline val="0"/>
        <shadow val="0"/>
        <u val="none"/>
        <vertAlign val="baseline"/>
        <sz val="12"/>
        <color theme="1"/>
        <name val="Aptos Narrow"/>
        <family val="2"/>
        <scheme val="none"/>
      </font>
    </dxf>
    <dxf>
      <font>
        <b/>
        <i val="0"/>
        <strike val="0"/>
        <condense val="0"/>
        <extend val="0"/>
        <outline val="0"/>
        <shadow val="0"/>
        <u val="none"/>
        <vertAlign val="baseline"/>
        <sz val="14"/>
        <color theme="1"/>
        <name val="Aptos Narrow"/>
        <family val="2"/>
        <scheme val="none"/>
      </font>
      <alignment horizontal="center" vertical="bottom" textRotation="0" wrapText="0" indent="0" justifyLastLine="0" shrinkToFit="0" readingOrder="0"/>
    </dxf>
    <dxf>
      <alignment wrapText="1"/>
    </dxf>
    <dxf>
      <font>
        <sz val="9"/>
      </font>
    </dxf>
    <dxf>
      <font>
        <sz val="9"/>
      </font>
    </dxf>
    <dxf>
      <font>
        <sz val="9"/>
      </font>
    </dxf>
    <dxf>
      <font>
        <sz val="9"/>
      </font>
    </dxf>
    <dxf>
      <font>
        <sz val="9"/>
      </font>
    </dxf>
    <dxf>
      <font>
        <sz val="9"/>
      </font>
    </dxf>
    <dxf>
      <font>
        <sz val="9"/>
      </font>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alignment wrapText="1"/>
    </dxf>
    <dxf>
      <font>
        <sz val="9"/>
      </font>
    </dxf>
    <dxf>
      <font>
        <sz val="9"/>
      </font>
    </dxf>
    <dxf>
      <font>
        <sz val="9"/>
      </font>
    </dxf>
    <dxf>
      <font>
        <sz val="9"/>
      </font>
    </dxf>
    <dxf>
      <font>
        <sz val="9"/>
      </font>
    </dxf>
    <dxf>
      <font>
        <sz val="9"/>
      </font>
    </dxf>
    <dxf>
      <font>
        <sz val="9"/>
      </font>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m/d/yyyy"/>
    </dxf>
    <dxf>
      <numFmt numFmtId="19" formatCode="m/d/yyyy"/>
    </dxf>
    <dxf>
      <numFmt numFmtId="0" formatCode="General"/>
    </dxf>
    <dxf>
      <font>
        <strike val="0"/>
        <outline val="0"/>
        <shadow val="0"/>
        <u val="none"/>
        <vertAlign val="baseline"/>
        <sz val="12"/>
        <color theme="1"/>
        <name val="Aptos Narrow"/>
        <family val="2"/>
        <scheme val="none"/>
      </font>
    </dxf>
    <dxf>
      <font>
        <strike val="0"/>
        <outline val="0"/>
        <shadow val="0"/>
        <u val="none"/>
        <vertAlign val="baseline"/>
        <sz val="12"/>
        <color theme="1"/>
        <name val="Aptos Narrow"/>
        <family val="2"/>
        <scheme val="none"/>
      </font>
      <alignment horizontal="center" vertical="bottom" textRotation="0" wrapText="0" indent="0" justifyLastLine="0" shrinkToFit="0" readingOrder="0"/>
    </dxf>
    <dxf>
      <font>
        <strike val="0"/>
        <outline val="0"/>
        <shadow val="0"/>
        <u val="none"/>
        <vertAlign val="baseline"/>
        <sz val="12"/>
        <color theme="1"/>
        <name val="Aptos Narrow"/>
        <family val="2"/>
        <scheme val="none"/>
      </font>
    </dxf>
    <dxf>
      <font>
        <strike val="0"/>
        <outline val="0"/>
        <shadow val="0"/>
        <u val="none"/>
        <vertAlign val="baseline"/>
        <sz val="12"/>
        <color theme="1"/>
        <name val="Aptos Narrow"/>
        <family val="2"/>
        <scheme val="none"/>
      </font>
    </dxf>
    <dxf>
      <font>
        <strike val="0"/>
        <outline val="0"/>
        <shadow val="0"/>
        <u val="none"/>
        <vertAlign val="baseline"/>
        <sz val="12"/>
        <color theme="1"/>
        <name val="Aptos Narrow"/>
        <family val="2"/>
        <scheme val="none"/>
      </font>
    </dxf>
    <dxf>
      <font>
        <strike val="0"/>
        <outline val="0"/>
        <shadow val="0"/>
        <u val="none"/>
        <vertAlign val="baseline"/>
        <sz val="12"/>
        <color theme="1"/>
        <name val="Aptos Narrow"/>
        <family val="2"/>
        <scheme val="none"/>
      </font>
      <alignment horizontal="center" vertical="bottom" textRotation="0" wrapText="0" indent="0" justifyLastLine="0" shrinkToFit="0" readingOrder="0"/>
    </dxf>
    <dxf>
      <font>
        <strike val="0"/>
        <outline val="0"/>
        <shadow val="0"/>
        <u val="none"/>
        <vertAlign val="baseline"/>
        <sz val="12"/>
        <color theme="1"/>
        <name val="Aptos Narrow"/>
        <family val="2"/>
        <scheme val="none"/>
      </font>
      <numFmt numFmtId="171" formatCode="mm/dd/yy\ hh:mm"/>
      <alignment horizontal="center" vertical="bottom" textRotation="0" wrapText="0" indent="0" justifyLastLine="0" shrinkToFit="0" readingOrder="0"/>
    </dxf>
    <dxf>
      <font>
        <strike val="0"/>
        <outline val="0"/>
        <shadow val="0"/>
        <u val="none"/>
        <vertAlign val="baseline"/>
        <sz val="12"/>
        <color theme="1"/>
        <name val="Aptos Narrow"/>
        <family val="2"/>
        <scheme val="none"/>
      </font>
      <numFmt numFmtId="170" formatCode="000"/>
      <alignment horizontal="center" vertical="bottom" textRotation="0" wrapText="0" indent="0" justifyLastLine="0" shrinkToFit="0" readingOrder="0"/>
    </dxf>
    <dxf>
      <font>
        <strike val="0"/>
        <outline val="0"/>
        <shadow val="0"/>
        <u val="none"/>
        <vertAlign val="baseline"/>
        <sz val="12"/>
        <color theme="1"/>
        <name val="Aptos Narrow"/>
        <family val="2"/>
        <scheme val="none"/>
      </font>
      <numFmt numFmtId="169" formatCode="00"/>
      <alignment horizontal="center" vertical="bottom" textRotation="0" wrapText="0" indent="0" justifyLastLine="0" shrinkToFit="0" readingOrder="0"/>
    </dxf>
    <dxf>
      <font>
        <strike val="0"/>
        <outline val="0"/>
        <shadow val="0"/>
        <u val="none"/>
        <vertAlign val="baseline"/>
        <sz val="12"/>
        <color theme="1"/>
        <name val="Aptos Narrow"/>
        <family val="2"/>
        <scheme val="none"/>
      </font>
      <numFmt numFmtId="169" formatCode="00"/>
      <alignment horizontal="center" vertical="bottom" textRotation="0" wrapText="0" indent="0" justifyLastLine="0" shrinkToFit="0" readingOrder="0"/>
    </dxf>
    <dxf>
      <font>
        <strike val="0"/>
        <outline val="0"/>
        <shadow val="0"/>
        <u val="none"/>
        <vertAlign val="baseline"/>
        <sz val="12"/>
        <color theme="1"/>
        <name val="Aptos Narrow"/>
        <family val="2"/>
        <scheme val="none"/>
      </font>
      <numFmt numFmtId="169" formatCode="00"/>
      <alignment horizontal="center" vertical="bottom" textRotation="0" wrapText="0" indent="0" justifyLastLine="0" shrinkToFit="0" readingOrder="0"/>
    </dxf>
    <dxf>
      <font>
        <strike val="0"/>
        <outline val="0"/>
        <shadow val="0"/>
        <u val="none"/>
        <vertAlign val="baseline"/>
        <sz val="12"/>
        <color theme="1"/>
        <name val="Aptos Narrow"/>
        <family val="2"/>
        <scheme val="none"/>
      </font>
    </dxf>
    <dxf>
      <font>
        <strike val="0"/>
        <outline val="0"/>
        <shadow val="0"/>
        <u val="none"/>
        <vertAlign val="baseline"/>
        <sz val="12"/>
        <color theme="1"/>
        <name val="Aptos Narrow"/>
        <family val="2"/>
        <scheme val="none"/>
      </font>
      <numFmt numFmtId="168" formatCode="hh:mm"/>
      <alignment horizontal="center" vertical="bottom" textRotation="0" wrapText="0" indent="0" justifyLastLine="0" shrinkToFit="0" readingOrder="0"/>
    </dxf>
    <dxf>
      <font>
        <strike val="0"/>
        <outline val="0"/>
        <shadow val="0"/>
        <u val="none"/>
        <vertAlign val="baseline"/>
        <sz val="12"/>
        <color theme="1"/>
        <name val="Aptos Narrow"/>
        <family val="2"/>
        <scheme val="none"/>
      </font>
      <numFmt numFmtId="165" formatCode="mm/dd/yy;@"/>
      <alignment horizontal="center" vertical="bottom" textRotation="0" wrapText="0" indent="0" justifyLastLine="0" shrinkToFit="0" readingOrder="0"/>
    </dxf>
    <dxf>
      <font>
        <strike val="0"/>
        <outline val="0"/>
        <shadow val="0"/>
        <u val="none"/>
        <vertAlign val="baseline"/>
        <sz val="12"/>
        <color theme="1"/>
        <name val="Aptos Narrow"/>
        <family val="2"/>
        <scheme val="none"/>
      </font>
      <numFmt numFmtId="168" formatCode="hh:mm"/>
      <alignment horizontal="center" vertical="bottom" textRotation="0" wrapText="0" indent="0" justifyLastLine="0" shrinkToFit="0" readingOrder="0"/>
    </dxf>
    <dxf>
      <font>
        <strike val="0"/>
        <outline val="0"/>
        <shadow val="0"/>
        <u val="none"/>
        <vertAlign val="baseline"/>
        <sz val="12"/>
        <color theme="1"/>
        <name val="Aptos Narrow"/>
        <family val="2"/>
        <scheme val="none"/>
      </font>
      <numFmt numFmtId="165" formatCode="mm/dd/yy;@"/>
      <alignment horizontal="center" vertical="bottom" textRotation="0" wrapText="0" indent="0" justifyLastLine="0" shrinkToFit="0" readingOrder="0"/>
    </dxf>
    <dxf>
      <font>
        <strike val="0"/>
        <outline val="0"/>
        <shadow val="0"/>
        <u val="none"/>
        <vertAlign val="baseline"/>
        <sz val="12"/>
        <color theme="1"/>
        <name val="Aptos Narrow"/>
        <family val="2"/>
        <scheme val="none"/>
      </font>
      <numFmt numFmtId="168" formatCode="hh:mm"/>
      <alignment horizontal="center" vertical="bottom" textRotation="0" wrapText="0" indent="0" justifyLastLine="0" shrinkToFit="0" readingOrder="0"/>
    </dxf>
    <dxf>
      <font>
        <strike val="0"/>
        <outline val="0"/>
        <shadow val="0"/>
        <u val="none"/>
        <vertAlign val="baseline"/>
        <sz val="12"/>
        <color theme="1"/>
        <name val="Aptos Narrow"/>
        <family val="2"/>
        <scheme val="none"/>
      </font>
      <numFmt numFmtId="165" formatCode="mm/dd/yy;@"/>
      <alignment horizontal="center" vertical="bottom" textRotation="0" wrapText="0" indent="0" justifyLastLine="0" shrinkToFit="0" readingOrder="0"/>
    </dxf>
    <dxf>
      <font>
        <strike val="0"/>
        <outline val="0"/>
        <shadow val="0"/>
        <u val="none"/>
        <vertAlign val="baseline"/>
        <sz val="12"/>
        <color theme="1"/>
        <name val="Aptos Narrow"/>
        <family val="2"/>
        <scheme val="none"/>
      </font>
    </dxf>
    <dxf>
      <font>
        <strike val="0"/>
        <outline val="0"/>
        <shadow val="0"/>
        <u val="none"/>
        <vertAlign val="baseline"/>
        <sz val="12"/>
        <color theme="1"/>
        <name val="Aptos Narrow"/>
        <family val="2"/>
        <scheme val="none"/>
      </font>
      <numFmt numFmtId="0" formatCode="General"/>
    </dxf>
    <dxf>
      <font>
        <strike val="0"/>
        <outline val="0"/>
        <shadow val="0"/>
        <u val="none"/>
        <vertAlign val="baseline"/>
        <sz val="12"/>
        <color theme="1"/>
        <name val="Aptos Narrow"/>
        <family val="2"/>
        <scheme val="none"/>
      </font>
      <numFmt numFmtId="0" formatCode="General"/>
    </dxf>
    <dxf>
      <font>
        <strike val="0"/>
        <outline val="0"/>
        <shadow val="0"/>
        <u val="none"/>
        <vertAlign val="baseline"/>
        <sz val="12"/>
        <color theme="1"/>
        <name val="Aptos Narrow"/>
        <family val="2"/>
        <scheme val="none"/>
      </font>
      <numFmt numFmtId="0" formatCode="General"/>
    </dxf>
    <dxf>
      <font>
        <strike val="0"/>
        <outline val="0"/>
        <shadow val="0"/>
        <u val="none"/>
        <vertAlign val="baseline"/>
        <sz val="12"/>
        <color theme="1"/>
        <name val="Aptos Narrow"/>
        <family val="2"/>
        <scheme val="none"/>
      </font>
      <numFmt numFmtId="0" formatCode="General"/>
      <alignment horizontal="center" vertical="bottom" textRotation="0" wrapText="0" indent="0" justifyLastLine="0" shrinkToFit="0" readingOrder="0"/>
    </dxf>
    <dxf>
      <font>
        <strike val="0"/>
        <outline val="0"/>
        <shadow val="0"/>
        <u val="none"/>
        <vertAlign val="baseline"/>
        <sz val="12"/>
        <color theme="1"/>
        <name val="Aptos Narrow"/>
        <family val="2"/>
        <scheme val="none"/>
      </font>
      <numFmt numFmtId="0" formatCode="General"/>
    </dxf>
    <dxf>
      <font>
        <strike val="0"/>
        <outline val="0"/>
        <shadow val="0"/>
        <u val="none"/>
        <vertAlign val="baseline"/>
        <sz val="12"/>
        <color theme="1"/>
        <name val="Aptos Narrow"/>
        <family val="2"/>
        <scheme val="none"/>
      </font>
      <numFmt numFmtId="0" formatCode="General"/>
    </dxf>
    <dxf>
      <font>
        <strike val="0"/>
        <outline val="0"/>
        <shadow val="0"/>
        <u val="none"/>
        <vertAlign val="baseline"/>
        <sz val="12"/>
        <color theme="1"/>
        <name val="Aptos Narrow"/>
        <family val="2"/>
        <scheme val="none"/>
      </font>
      <numFmt numFmtId="0" formatCode="General"/>
    </dxf>
    <dxf>
      <font>
        <strike val="0"/>
        <outline val="0"/>
        <shadow val="0"/>
        <u val="none"/>
        <vertAlign val="baseline"/>
        <sz val="12"/>
        <color theme="1"/>
        <name val="Aptos Narrow"/>
        <family val="2"/>
        <scheme val="none"/>
      </font>
      <alignment horizontal="center" vertical="bottom" textRotation="0" wrapText="0" indent="0" justifyLastLine="0" shrinkToFit="0" readingOrder="0"/>
    </dxf>
    <dxf>
      <font>
        <strike val="0"/>
        <outline val="0"/>
        <shadow val="0"/>
        <u val="none"/>
        <vertAlign val="baseline"/>
        <sz val="12"/>
        <color theme="1"/>
        <name val="Aptos Narrow"/>
        <family val="2"/>
        <scheme val="none"/>
      </font>
      <alignment horizontal="center" vertical="bottom" textRotation="0" wrapText="0" indent="0" justifyLastLine="0" shrinkToFit="0" readingOrder="0"/>
    </dxf>
    <dxf>
      <font>
        <strike val="0"/>
        <outline val="0"/>
        <shadow val="0"/>
        <u val="none"/>
        <vertAlign val="baseline"/>
        <sz val="12"/>
        <color theme="1"/>
        <name val="Aptos Narrow"/>
        <family val="2"/>
        <scheme val="none"/>
      </font>
      <alignment horizontal="center" vertical="bottom" textRotation="0" wrapText="0" indent="0" justifyLastLine="0" shrinkToFit="0" readingOrder="0"/>
    </dxf>
    <dxf>
      <font>
        <strike val="0"/>
        <outline val="0"/>
        <shadow val="0"/>
        <u val="none"/>
        <vertAlign val="baseline"/>
        <sz val="12"/>
        <color theme="1"/>
        <name val="Aptos Narrow"/>
        <family val="2"/>
        <scheme val="none"/>
      </font>
      <alignment horizontal="center" vertical="bottom" textRotation="0" wrapText="0" indent="0" justifyLastLine="0" shrinkToFit="0" readingOrder="0"/>
    </dxf>
    <dxf>
      <font>
        <strike val="0"/>
        <outline val="0"/>
        <shadow val="0"/>
        <u val="none"/>
        <vertAlign val="baseline"/>
        <sz val="12"/>
        <color theme="1"/>
        <name val="Aptos Narrow"/>
        <family val="2"/>
        <scheme val="none"/>
      </font>
      <numFmt numFmtId="0" formatCode="General"/>
      <alignment horizontal="center" vertical="bottom" textRotation="0" wrapText="0" indent="0" justifyLastLine="0" shrinkToFit="0" readingOrder="0"/>
    </dxf>
    <dxf>
      <font>
        <strike val="0"/>
        <outline val="0"/>
        <shadow val="0"/>
        <u val="none"/>
        <vertAlign val="baseline"/>
        <sz val="12"/>
        <color theme="1"/>
        <name val="Aptos Narrow"/>
        <family val="2"/>
        <scheme val="none"/>
      </font>
      <numFmt numFmtId="0" formatCode="General"/>
      <alignment horizontal="center" vertical="bottom" textRotation="0" wrapText="0" indent="0" justifyLastLine="0" shrinkToFit="0" readingOrder="0"/>
    </dxf>
    <dxf>
      <font>
        <strike val="0"/>
        <outline val="0"/>
        <shadow val="0"/>
        <u val="none"/>
        <vertAlign val="baseline"/>
        <sz val="12"/>
        <color theme="1"/>
        <name val="Aptos Narrow"/>
        <family val="2"/>
        <scheme val="none"/>
      </font>
      <numFmt numFmtId="0" formatCode="General"/>
      <alignment horizontal="center" vertical="bottom" textRotation="0" wrapText="0" indent="0" justifyLastLine="0" shrinkToFit="0" readingOrder="0"/>
    </dxf>
    <dxf>
      <font>
        <strike val="0"/>
        <outline val="0"/>
        <shadow val="0"/>
        <u val="none"/>
        <vertAlign val="baseline"/>
        <sz val="12"/>
        <color theme="1"/>
        <name val="Aptos Narrow"/>
        <family val="2"/>
        <scheme val="none"/>
      </font>
      <numFmt numFmtId="0" formatCode="General"/>
      <alignment horizontal="center" vertical="bottom" textRotation="0" wrapText="0" indent="0" justifyLastLine="0" shrinkToFit="0" readingOrder="0"/>
    </dxf>
    <dxf>
      <font>
        <strike val="0"/>
        <outline val="0"/>
        <shadow val="0"/>
        <u val="none"/>
        <vertAlign val="baseline"/>
        <sz val="12"/>
        <color theme="1"/>
        <name val="Aptos Narrow"/>
        <family val="2"/>
        <scheme val="none"/>
      </font>
    </dxf>
    <dxf>
      <font>
        <strike val="0"/>
        <outline val="0"/>
        <shadow val="0"/>
        <u val="none"/>
        <vertAlign val="baseline"/>
        <sz val="12"/>
        <color theme="1"/>
        <name val="Aptos Narrow"/>
        <family val="2"/>
        <scheme val="none"/>
      </font>
    </dxf>
    <dxf>
      <font>
        <strike val="0"/>
        <outline val="0"/>
        <shadow val="0"/>
        <u val="none"/>
        <vertAlign val="baseline"/>
        <sz val="12"/>
        <color theme="1"/>
        <name val="Aptos Narrow"/>
        <family val="2"/>
        <scheme val="none"/>
      </font>
      <numFmt numFmtId="0" formatCode="General"/>
    </dxf>
    <dxf>
      <font>
        <strike val="0"/>
        <outline val="0"/>
        <shadow val="0"/>
        <u val="none"/>
        <vertAlign val="baseline"/>
        <sz val="12"/>
        <color theme="1"/>
        <name val="Aptos Narrow"/>
        <family val="2"/>
        <scheme val="none"/>
      </font>
      <alignment horizontal="center" vertical="bottom" textRotation="0" wrapText="0" indent="0" justifyLastLine="0" shrinkToFit="0" readingOrder="0"/>
    </dxf>
    <dxf>
      <font>
        <strike val="0"/>
        <outline val="0"/>
        <shadow val="0"/>
        <u val="none"/>
        <vertAlign val="baseline"/>
        <sz val="12"/>
        <color theme="1"/>
        <name val="Aptos Narrow"/>
        <family val="2"/>
        <scheme val="none"/>
      </font>
      <numFmt numFmtId="0" formatCode="General"/>
      <alignment horizontal="center" vertical="bottom" textRotation="0" wrapText="0" indent="0" justifyLastLine="0" shrinkToFit="0" readingOrder="0"/>
    </dxf>
    <dxf>
      <font>
        <strike val="0"/>
        <outline val="0"/>
        <shadow val="0"/>
        <u val="none"/>
        <vertAlign val="baseline"/>
        <sz val="12"/>
        <color theme="1"/>
        <name val="Aptos Narrow"/>
        <family val="2"/>
        <scheme val="none"/>
      </font>
      <numFmt numFmtId="0" formatCode="General"/>
    </dxf>
    <dxf>
      <font>
        <strike val="0"/>
        <outline val="0"/>
        <shadow val="0"/>
        <u val="none"/>
        <vertAlign val="baseline"/>
        <sz val="12"/>
        <color theme="1"/>
        <name val="Aptos Narrow"/>
        <family val="2"/>
        <scheme val="none"/>
      </font>
      <numFmt numFmtId="0" formatCode="General"/>
    </dxf>
    <dxf>
      <font>
        <strike val="0"/>
        <outline val="0"/>
        <shadow val="0"/>
        <u val="none"/>
        <vertAlign val="baseline"/>
        <sz val="12"/>
        <color theme="1"/>
        <name val="Aptos Narrow"/>
        <family val="2"/>
        <scheme val="none"/>
      </font>
      <numFmt numFmtId="0" formatCode="General"/>
    </dxf>
    <dxf>
      <font>
        <strike val="0"/>
        <outline val="0"/>
        <shadow val="0"/>
        <u val="none"/>
        <vertAlign val="baseline"/>
        <sz val="12"/>
        <color theme="1"/>
        <name val="Aptos Narrow"/>
        <family val="2"/>
        <scheme val="none"/>
      </font>
      <numFmt numFmtId="0" formatCode="General"/>
    </dxf>
    <dxf>
      <font>
        <strike val="0"/>
        <outline val="0"/>
        <shadow val="0"/>
        <u val="none"/>
        <vertAlign val="baseline"/>
        <sz val="12"/>
        <color theme="1"/>
        <name val="Aptos Narrow"/>
        <family val="2"/>
        <scheme val="none"/>
      </font>
    </dxf>
    <dxf>
      <font>
        <strike val="0"/>
        <outline val="0"/>
        <shadow val="0"/>
        <u val="none"/>
        <vertAlign val="baseline"/>
        <sz val="12"/>
        <color theme="1"/>
        <name val="Aptos Narrow"/>
        <family val="2"/>
        <scheme val="none"/>
      </font>
    </dxf>
    <dxf>
      <font>
        <strike val="0"/>
        <outline val="0"/>
        <shadow val="0"/>
        <u val="none"/>
        <vertAlign val="baseline"/>
        <sz val="12"/>
        <color theme="1"/>
        <name val="Aptos Narrow"/>
        <family val="2"/>
        <scheme val="none"/>
      </font>
    </dxf>
    <dxf>
      <font>
        <strike val="0"/>
        <outline val="0"/>
        <shadow val="0"/>
        <u val="none"/>
        <vertAlign val="baseline"/>
        <sz val="12"/>
        <color theme="1"/>
        <name val="Aptos Narrow"/>
        <family val="2"/>
        <scheme val="none"/>
      </font>
    </dxf>
    <dxf>
      <font>
        <strike val="0"/>
        <outline val="0"/>
        <shadow val="0"/>
        <u val="none"/>
        <vertAlign val="baseline"/>
        <sz val="12"/>
        <color theme="1"/>
        <name val="Aptos Narrow"/>
        <family val="2"/>
        <scheme val="none"/>
      </font>
    </dxf>
    <dxf>
      <font>
        <strike val="0"/>
        <outline val="0"/>
        <shadow val="0"/>
        <u val="none"/>
        <vertAlign val="baseline"/>
        <sz val="12"/>
        <color theme="1"/>
        <name val="Aptos Narrow"/>
        <family val="2"/>
        <scheme val="none"/>
      </font>
      <numFmt numFmtId="164" formatCode="h:mm;@"/>
      <alignment horizontal="center" vertical="bottom" textRotation="0" wrapText="0" indent="0" justifyLastLine="0" shrinkToFit="0" readingOrder="0"/>
    </dxf>
    <dxf>
      <font>
        <strike val="0"/>
        <outline val="0"/>
        <shadow val="0"/>
        <u val="none"/>
        <vertAlign val="baseline"/>
        <sz val="12"/>
        <color theme="1"/>
        <name val="Aptos Narrow"/>
        <family val="2"/>
        <scheme val="none"/>
      </font>
      <numFmt numFmtId="164" formatCode="h:mm;@"/>
      <alignment horizontal="center" vertical="bottom" textRotation="0" wrapText="0" indent="0" justifyLastLine="0" shrinkToFit="0" readingOrder="0"/>
    </dxf>
    <dxf>
      <font>
        <strike val="0"/>
        <outline val="0"/>
        <shadow val="0"/>
        <u val="none"/>
        <vertAlign val="baseline"/>
        <sz val="12"/>
        <color theme="1"/>
        <name val="Aptos Narrow"/>
        <family val="2"/>
        <scheme val="none"/>
      </font>
    </dxf>
    <dxf>
      <font>
        <strike val="0"/>
        <outline val="0"/>
        <shadow val="0"/>
        <u val="none"/>
        <vertAlign val="baseline"/>
        <sz val="12"/>
        <color theme="1"/>
        <name val="Aptos Narrow"/>
        <family val="2"/>
        <scheme val="none"/>
      </font>
      <numFmt numFmtId="165" formatCode="mm/dd/yy;@"/>
      <alignment horizontal="center" vertical="bottom" textRotation="0" wrapText="0" indent="0" justifyLastLine="0" shrinkToFit="0" readingOrder="0"/>
    </dxf>
    <dxf>
      <font>
        <strike val="0"/>
        <outline val="0"/>
        <shadow val="0"/>
        <u val="none"/>
        <vertAlign val="baseline"/>
        <sz val="12"/>
        <color theme="1"/>
        <name val="Aptos Narrow"/>
        <family val="2"/>
        <scheme val="none"/>
      </font>
      <numFmt numFmtId="0" formatCode="General"/>
      <alignment horizontal="center" vertical="bottom" textRotation="0" wrapText="0" indent="0" justifyLastLine="0" shrinkToFit="0" readingOrder="0"/>
    </dxf>
    <dxf>
      <font>
        <strike val="0"/>
        <outline val="0"/>
        <shadow val="0"/>
        <u val="none"/>
        <vertAlign val="baseline"/>
        <sz val="12"/>
        <color theme="1"/>
        <name val="Aptos Narrow"/>
        <family val="2"/>
        <scheme val="none"/>
      </font>
    </dxf>
    <dxf>
      <font>
        <strike val="0"/>
        <outline val="0"/>
        <shadow val="0"/>
        <u val="none"/>
        <vertAlign val="baseline"/>
        <sz val="14"/>
        <color theme="1"/>
        <name val="Aptos Narrow"/>
        <family val="2"/>
        <scheme val="none"/>
      </font>
      <alignment horizontal="center" vertical="bottom" textRotation="0" wrapText="0" indent="0" justifyLastLine="0" shrinkToFit="0" readingOrder="0"/>
    </dxf>
    <dxf>
      <font>
        <strike val="0"/>
        <outline val="0"/>
        <shadow val="0"/>
        <u val="none"/>
        <vertAlign val="baseline"/>
        <sz val="12"/>
        <color theme="1"/>
        <name val="Aptos Narrow"/>
        <family val="2"/>
        <scheme val="none"/>
      </font>
    </dxf>
    <dxf>
      <font>
        <strike val="0"/>
        <outline val="0"/>
        <shadow val="0"/>
        <u val="none"/>
        <vertAlign val="baseline"/>
        <sz val="12"/>
        <color theme="1"/>
        <name val="Aptos Narrow"/>
        <family val="2"/>
        <scheme val="none"/>
      </font>
      <alignment horizontal="center" vertical="bottom" textRotation="0" wrapText="0" indent="0" justifyLastLine="0" shrinkToFit="0" readingOrder="0"/>
    </dxf>
    <dxf>
      <font>
        <strike val="0"/>
        <outline val="0"/>
        <shadow val="0"/>
        <u val="none"/>
        <vertAlign val="baseline"/>
        <sz val="12"/>
        <color theme="1"/>
        <name val="Aptos Narrow"/>
        <family val="2"/>
        <scheme val="none"/>
      </font>
    </dxf>
    <dxf>
      <font>
        <strike val="0"/>
        <outline val="0"/>
        <shadow val="0"/>
        <u val="none"/>
        <vertAlign val="baseline"/>
        <sz val="12"/>
        <color theme="1"/>
        <name val="Aptos Narrow"/>
        <family val="2"/>
        <scheme val="none"/>
      </font>
    </dxf>
    <dxf>
      <font>
        <strike val="0"/>
        <outline val="0"/>
        <shadow val="0"/>
        <u val="none"/>
        <vertAlign val="baseline"/>
        <sz val="12"/>
        <color theme="1"/>
        <name val="Aptos Narrow"/>
        <family val="2"/>
        <scheme val="none"/>
      </font>
    </dxf>
    <dxf>
      <font>
        <strike val="0"/>
        <outline val="0"/>
        <shadow val="0"/>
        <u val="none"/>
        <vertAlign val="baseline"/>
        <sz val="12"/>
        <color theme="1"/>
        <name val="Aptos Narrow"/>
        <family val="2"/>
        <scheme val="none"/>
      </font>
      <alignment horizontal="center" vertical="bottom" textRotation="0" wrapText="0" indent="0" justifyLastLine="0" shrinkToFit="0" readingOrder="0"/>
    </dxf>
    <dxf>
      <font>
        <strike val="0"/>
        <outline val="0"/>
        <shadow val="0"/>
        <u val="none"/>
        <vertAlign val="baseline"/>
        <sz val="12"/>
        <color theme="1"/>
        <name val="Aptos Narrow"/>
        <family val="2"/>
        <scheme val="none"/>
      </font>
      <numFmt numFmtId="171" formatCode="mm/dd/yy\ hh:mm"/>
      <alignment horizontal="center" vertical="bottom" textRotation="0" wrapText="0" indent="0" justifyLastLine="0" shrinkToFit="0" readingOrder="0"/>
    </dxf>
    <dxf>
      <font>
        <strike val="0"/>
        <outline val="0"/>
        <shadow val="0"/>
        <u val="none"/>
        <vertAlign val="baseline"/>
        <sz val="12"/>
        <color theme="1"/>
        <name val="Aptos Narrow"/>
        <family val="2"/>
        <scheme val="none"/>
      </font>
      <numFmt numFmtId="170" formatCode="000"/>
      <alignment horizontal="center" vertical="bottom" textRotation="0" wrapText="0" indent="0" justifyLastLine="0" shrinkToFit="0" readingOrder="0"/>
    </dxf>
    <dxf>
      <font>
        <strike val="0"/>
        <outline val="0"/>
        <shadow val="0"/>
        <u val="none"/>
        <vertAlign val="baseline"/>
        <sz val="12"/>
        <color theme="1"/>
        <name val="Aptos Narrow"/>
        <family val="2"/>
        <scheme val="none"/>
      </font>
      <numFmt numFmtId="169" formatCode="00"/>
      <alignment horizontal="center" vertical="bottom" textRotation="0" wrapText="0" indent="0" justifyLastLine="0" shrinkToFit="0" readingOrder="0"/>
    </dxf>
    <dxf>
      <font>
        <strike val="0"/>
        <outline val="0"/>
        <shadow val="0"/>
        <u val="none"/>
        <vertAlign val="baseline"/>
        <sz val="12"/>
        <color theme="1"/>
        <name val="Aptos Narrow"/>
        <family val="2"/>
        <scheme val="none"/>
      </font>
      <numFmt numFmtId="169" formatCode="00"/>
      <alignment horizontal="center" vertical="bottom" textRotation="0" wrapText="0" indent="0" justifyLastLine="0" shrinkToFit="0" readingOrder="0"/>
    </dxf>
    <dxf>
      <font>
        <strike val="0"/>
        <outline val="0"/>
        <shadow val="0"/>
        <u val="none"/>
        <vertAlign val="baseline"/>
        <sz val="12"/>
        <color theme="1"/>
        <name val="Aptos Narrow"/>
        <family val="2"/>
        <scheme val="none"/>
      </font>
      <numFmt numFmtId="169" formatCode="00"/>
      <alignment horizontal="center" vertical="bottom" textRotation="0" wrapText="0" indent="0" justifyLastLine="0" shrinkToFit="0" readingOrder="0"/>
    </dxf>
    <dxf>
      <font>
        <strike val="0"/>
        <outline val="0"/>
        <shadow val="0"/>
        <u val="none"/>
        <vertAlign val="baseline"/>
        <sz val="12"/>
        <color theme="1"/>
        <name val="Aptos Narrow"/>
        <family val="2"/>
        <scheme val="none"/>
      </font>
      <alignment horizontal="center" vertical="bottom" textRotation="0" wrapText="0" indent="0" justifyLastLine="0" shrinkToFit="0" readingOrder="0"/>
    </dxf>
    <dxf>
      <font>
        <strike val="0"/>
        <outline val="0"/>
        <shadow val="0"/>
        <u val="none"/>
        <vertAlign val="baseline"/>
        <sz val="12"/>
        <color theme="1"/>
        <name val="Aptos Narrow"/>
        <family val="2"/>
        <scheme val="none"/>
      </font>
      <numFmt numFmtId="172" formatCode="[$-F400]h:mm:ss\ AM/PM"/>
      <alignment horizontal="center" vertical="bottom" textRotation="0" wrapText="0" indent="0" justifyLastLine="0" shrinkToFit="0" readingOrder="0"/>
    </dxf>
    <dxf>
      <font>
        <strike val="0"/>
        <outline val="0"/>
        <shadow val="0"/>
        <u val="none"/>
        <vertAlign val="baseline"/>
        <sz val="12"/>
        <color theme="1"/>
        <name val="Aptos Narrow"/>
        <family val="2"/>
        <scheme val="none"/>
      </font>
      <numFmt numFmtId="167" formatCode="mm/dd/yy"/>
      <alignment horizontal="center" vertical="bottom" textRotation="0" wrapText="0" indent="0" justifyLastLine="0" shrinkToFit="0" readingOrder="0"/>
    </dxf>
    <dxf>
      <font>
        <strike val="0"/>
        <outline val="0"/>
        <shadow val="0"/>
        <u val="none"/>
        <vertAlign val="baseline"/>
        <sz val="12"/>
        <color theme="1"/>
        <name val="Aptos Narrow"/>
        <family val="2"/>
        <scheme val="none"/>
      </font>
      <numFmt numFmtId="172" formatCode="[$-F400]h:mm:ss\ AM/PM"/>
      <alignment horizontal="center" vertical="bottom" textRotation="0" wrapText="0" indent="0" justifyLastLine="0" shrinkToFit="0" readingOrder="0"/>
    </dxf>
    <dxf>
      <font>
        <strike val="0"/>
        <outline val="0"/>
        <shadow val="0"/>
        <u val="none"/>
        <vertAlign val="baseline"/>
        <sz val="12"/>
        <color theme="1"/>
        <name val="Aptos Narrow"/>
        <family val="2"/>
        <scheme val="none"/>
      </font>
      <numFmt numFmtId="167" formatCode="mm/dd/yy"/>
      <alignment horizontal="center" vertical="bottom" textRotation="0" wrapText="0" indent="0" justifyLastLine="0" shrinkToFit="0" readingOrder="0"/>
    </dxf>
    <dxf>
      <font>
        <strike val="0"/>
        <outline val="0"/>
        <shadow val="0"/>
        <u val="none"/>
        <vertAlign val="baseline"/>
        <sz val="12"/>
        <color theme="1"/>
        <name val="Aptos Narrow"/>
        <family val="2"/>
        <scheme val="none"/>
      </font>
      <numFmt numFmtId="172" formatCode="[$-F400]h:mm:ss\ AM/PM"/>
      <alignment horizontal="center" vertical="bottom" textRotation="0" wrapText="0" indent="0" justifyLastLine="0" shrinkToFit="0" readingOrder="0"/>
    </dxf>
    <dxf>
      <font>
        <strike val="0"/>
        <outline val="0"/>
        <shadow val="0"/>
        <u val="none"/>
        <vertAlign val="baseline"/>
        <sz val="12"/>
        <color theme="1"/>
        <name val="Aptos Narrow"/>
        <family val="2"/>
        <scheme val="none"/>
      </font>
      <numFmt numFmtId="167" formatCode="mm/dd/yy"/>
      <alignment horizontal="center" vertical="bottom" textRotation="0" wrapText="0" indent="0" justifyLastLine="0" shrinkToFit="0" readingOrder="0"/>
    </dxf>
    <dxf>
      <font>
        <strike val="0"/>
        <outline val="0"/>
        <shadow val="0"/>
        <u val="none"/>
        <vertAlign val="baseline"/>
        <sz val="12"/>
        <color theme="1"/>
        <name val="Aptos Narrow"/>
        <family val="2"/>
        <scheme val="none"/>
      </font>
      <alignment horizontal="center" vertical="bottom" textRotation="0" wrapText="0" indent="0" justifyLastLine="0" shrinkToFit="0" readingOrder="0"/>
    </dxf>
    <dxf>
      <font>
        <strike val="0"/>
        <outline val="0"/>
        <shadow val="0"/>
        <u val="none"/>
        <vertAlign val="baseline"/>
        <sz val="12"/>
        <color theme="1"/>
        <name val="Aptos Narrow"/>
        <family val="2"/>
        <scheme val="none"/>
      </font>
      <numFmt numFmtId="0" formatCode="General"/>
    </dxf>
    <dxf>
      <font>
        <strike val="0"/>
        <outline val="0"/>
        <shadow val="0"/>
        <u val="none"/>
        <vertAlign val="baseline"/>
        <sz val="12"/>
        <color theme="1"/>
        <name val="Aptos Narrow"/>
        <family val="2"/>
        <scheme val="none"/>
      </font>
      <numFmt numFmtId="0" formatCode="General"/>
    </dxf>
    <dxf>
      <font>
        <strike val="0"/>
        <outline val="0"/>
        <shadow val="0"/>
        <u val="none"/>
        <vertAlign val="baseline"/>
        <sz val="12"/>
        <color theme="1"/>
        <name val="Aptos Narrow"/>
        <family val="2"/>
        <scheme val="none"/>
      </font>
      <numFmt numFmtId="0" formatCode="General"/>
    </dxf>
    <dxf>
      <font>
        <strike val="0"/>
        <outline val="0"/>
        <shadow val="0"/>
        <u val="none"/>
        <vertAlign val="baseline"/>
        <sz val="12"/>
        <color theme="1"/>
        <name val="Aptos Narrow"/>
        <family val="2"/>
        <scheme val="none"/>
      </font>
      <numFmt numFmtId="0" formatCode="General"/>
      <alignment horizontal="center" vertical="bottom" textRotation="0" wrapText="0" indent="0" justifyLastLine="0" shrinkToFit="0" readingOrder="0"/>
    </dxf>
    <dxf>
      <font>
        <strike val="0"/>
        <outline val="0"/>
        <shadow val="0"/>
        <u val="none"/>
        <vertAlign val="baseline"/>
        <sz val="12"/>
        <color theme="1"/>
        <name val="Aptos Narrow"/>
        <family val="2"/>
        <scheme val="none"/>
      </font>
      <numFmt numFmtId="0" formatCode="General"/>
    </dxf>
    <dxf>
      <font>
        <strike val="0"/>
        <outline val="0"/>
        <shadow val="0"/>
        <u val="none"/>
        <vertAlign val="baseline"/>
        <sz val="12"/>
        <color theme="1"/>
        <name val="Aptos Narrow"/>
        <family val="2"/>
        <scheme val="none"/>
      </font>
      <numFmt numFmtId="0" formatCode="General"/>
    </dxf>
    <dxf>
      <font>
        <strike val="0"/>
        <outline val="0"/>
        <shadow val="0"/>
        <u val="none"/>
        <vertAlign val="baseline"/>
        <sz val="12"/>
        <color theme="1"/>
        <name val="Aptos Narrow"/>
        <family val="2"/>
        <scheme val="none"/>
      </font>
      <numFmt numFmtId="0" formatCode="General"/>
    </dxf>
    <dxf>
      <font>
        <strike val="0"/>
        <outline val="0"/>
        <shadow val="0"/>
        <u val="none"/>
        <vertAlign val="baseline"/>
        <sz val="12"/>
        <color theme="1"/>
        <name val="Aptos Narrow"/>
        <family val="2"/>
        <scheme val="none"/>
      </font>
      <alignment horizontal="center" vertical="bottom" textRotation="0" wrapText="0" indent="0" justifyLastLine="0" shrinkToFit="0" readingOrder="0"/>
    </dxf>
    <dxf>
      <font>
        <strike val="0"/>
        <outline val="0"/>
        <shadow val="0"/>
        <u val="none"/>
        <vertAlign val="baseline"/>
        <sz val="12"/>
        <color theme="1"/>
        <name val="Aptos Narrow"/>
        <family val="2"/>
        <scheme val="none"/>
      </font>
      <alignment horizontal="center" vertical="bottom" textRotation="0" wrapText="0" indent="0" justifyLastLine="0" shrinkToFit="0" readingOrder="0"/>
    </dxf>
    <dxf>
      <font>
        <strike val="0"/>
        <outline val="0"/>
        <shadow val="0"/>
        <u val="none"/>
        <vertAlign val="baseline"/>
        <sz val="12"/>
        <color theme="1"/>
        <name val="Aptos Narrow"/>
        <family val="2"/>
        <scheme val="none"/>
      </font>
      <alignment horizontal="center" vertical="bottom" textRotation="0" wrapText="0" indent="0" justifyLastLine="0" shrinkToFit="0" readingOrder="0"/>
    </dxf>
    <dxf>
      <font>
        <strike val="0"/>
        <outline val="0"/>
        <shadow val="0"/>
        <u val="none"/>
        <vertAlign val="baseline"/>
        <sz val="12"/>
        <color theme="1"/>
        <name val="Aptos Narrow"/>
        <family val="2"/>
        <scheme val="none"/>
      </font>
      <alignment horizontal="center" vertical="bottom" textRotation="0" wrapText="0" indent="0" justifyLastLine="0" shrinkToFit="0" readingOrder="0"/>
    </dxf>
    <dxf>
      <font>
        <strike val="0"/>
        <outline val="0"/>
        <shadow val="0"/>
        <u val="none"/>
        <vertAlign val="baseline"/>
        <sz val="12"/>
        <color theme="1"/>
        <name val="Aptos Narrow"/>
        <family val="2"/>
        <scheme val="none"/>
      </font>
      <numFmt numFmtId="0" formatCode="General"/>
      <alignment horizontal="center" vertical="bottom" textRotation="0" wrapText="0" indent="0" justifyLastLine="0" shrinkToFit="0" readingOrder="0"/>
    </dxf>
    <dxf>
      <font>
        <strike val="0"/>
        <outline val="0"/>
        <shadow val="0"/>
        <u val="none"/>
        <vertAlign val="baseline"/>
        <sz val="12"/>
        <color theme="1"/>
        <name val="Aptos Narrow"/>
        <family val="2"/>
        <scheme val="none"/>
      </font>
      <numFmt numFmtId="0" formatCode="General"/>
      <alignment horizontal="center" vertical="bottom" textRotation="0" wrapText="0" indent="0" justifyLastLine="0" shrinkToFit="0" readingOrder="0"/>
    </dxf>
    <dxf>
      <font>
        <strike val="0"/>
        <outline val="0"/>
        <shadow val="0"/>
        <u val="none"/>
        <vertAlign val="baseline"/>
        <sz val="12"/>
        <color theme="1"/>
        <name val="Aptos Narrow"/>
        <family val="2"/>
        <scheme val="none"/>
      </font>
      <numFmt numFmtId="0" formatCode="General"/>
      <alignment horizontal="center" vertical="bottom" textRotation="0" wrapText="0" indent="0" justifyLastLine="0" shrinkToFit="0" readingOrder="0"/>
    </dxf>
    <dxf>
      <font>
        <strike val="0"/>
        <outline val="0"/>
        <shadow val="0"/>
        <u val="none"/>
        <vertAlign val="baseline"/>
        <sz val="12"/>
        <color theme="1"/>
        <name val="Aptos Narrow"/>
        <family val="2"/>
        <scheme val="none"/>
      </font>
      <numFmt numFmtId="0" formatCode="General"/>
      <alignment horizontal="center" vertical="bottom" textRotation="0" wrapText="0" indent="0" justifyLastLine="0" shrinkToFit="0" readingOrder="0"/>
    </dxf>
    <dxf>
      <font>
        <strike val="0"/>
        <outline val="0"/>
        <shadow val="0"/>
        <u val="none"/>
        <vertAlign val="baseline"/>
        <sz val="12"/>
        <color theme="1"/>
        <name val="Aptos Narrow"/>
        <family val="2"/>
        <scheme val="none"/>
      </font>
      <alignment horizontal="center" vertical="bottom" textRotation="0" wrapText="0" indent="0" justifyLastLine="0" shrinkToFit="0" readingOrder="0"/>
    </dxf>
    <dxf>
      <font>
        <strike val="0"/>
        <outline val="0"/>
        <shadow val="0"/>
        <u val="none"/>
        <vertAlign val="baseline"/>
        <sz val="12"/>
        <color theme="1"/>
        <name val="Aptos Narrow"/>
        <family val="2"/>
        <scheme val="none"/>
      </font>
      <alignment horizontal="center" vertical="bottom" textRotation="0" wrapText="0" indent="0" justifyLastLine="0" shrinkToFit="0" readingOrder="0"/>
    </dxf>
    <dxf>
      <font>
        <strike val="0"/>
        <outline val="0"/>
        <shadow val="0"/>
        <u val="none"/>
        <vertAlign val="baseline"/>
        <sz val="12"/>
        <color theme="1"/>
        <name val="Aptos Narrow"/>
        <family val="2"/>
        <scheme val="none"/>
      </font>
      <numFmt numFmtId="0" formatCode="General"/>
    </dxf>
    <dxf>
      <numFmt numFmtId="0" formatCode="General"/>
    </dxf>
    <dxf>
      <numFmt numFmtId="0" formatCode="General"/>
    </dxf>
    <dxf>
      <numFmt numFmtId="0" formatCode="General"/>
    </dxf>
    <dxf>
      <numFmt numFmtId="0" formatCode="General"/>
    </dxf>
    <dxf>
      <numFmt numFmtId="0" formatCode="General"/>
    </dxf>
    <dxf>
      <numFmt numFmtId="172" formatCode="[$-F400]h:mm:ss\ AM/PM"/>
    </dxf>
    <dxf>
      <numFmt numFmtId="172" formatCode="[$-F400]h:mm:ss\ AM/PM"/>
    </dxf>
    <dxf>
      <numFmt numFmtId="19" formatCode="m/d/yyyy"/>
    </dxf>
    <dxf>
      <numFmt numFmtId="0" formatCode="General"/>
    </dxf>
    <dxf>
      <font>
        <strike val="0"/>
        <outline val="0"/>
        <shadow val="0"/>
        <u val="none"/>
        <vertAlign val="baseline"/>
        <sz val="12"/>
        <color theme="1"/>
        <name val="Aptos Narrow"/>
        <family val="2"/>
        <scheme val="none"/>
      </font>
    </dxf>
    <dxf>
      <font>
        <strike val="0"/>
        <outline val="0"/>
        <shadow val="0"/>
        <u val="none"/>
        <vertAlign val="baseline"/>
        <sz val="14"/>
        <color theme="1"/>
        <name val="Aptos Narrow"/>
        <family val="2"/>
        <scheme val="none"/>
      </font>
      <alignment horizontal="center" vertical="bottom" textRotation="0" wrapText="0" indent="0" justifyLastLine="0" shrinkToFit="0" readingOrder="0"/>
    </dxf>
    <dxf>
      <font>
        <sz val="14"/>
      </font>
    </dxf>
    <dxf>
      <font>
        <sz val="14"/>
      </font>
    </dxf>
    <dxf>
      <font>
        <sz val="5"/>
      </font>
    </dxf>
    <dxf>
      <font>
        <sz val="5"/>
      </font>
    </dxf>
    <dxf>
      <font>
        <color theme="0" tint="-0.14999847407452621"/>
      </font>
    </dxf>
    <dxf>
      <font>
        <color theme="0" tint="-0.14999847407452621"/>
      </font>
    </dxf>
    <dxf>
      <alignment horizontal="center"/>
    </dxf>
    <dxf>
      <alignment horizontal="center"/>
    </dxf>
    <dxf>
      <alignment horizontal="center"/>
    </dxf>
    <dxf>
      <font>
        <color theme="1"/>
      </font>
    </dxf>
    <dxf>
      <font>
        <color theme="1"/>
      </font>
    </dxf>
    <dxf>
      <font>
        <sz val="11"/>
      </font>
    </dxf>
    <dxf>
      <font>
        <sz val="11"/>
      </font>
    </dxf>
    <dxf>
      <font>
        <sz val="11"/>
      </font>
    </dxf>
    <dxf>
      <font>
        <sz val="11"/>
      </font>
    </dxf>
    <dxf>
      <font>
        <sz val="11"/>
      </font>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sz val="14"/>
      </font>
    </dxf>
    <dxf>
      <font>
        <sz val="14"/>
      </font>
    </dxf>
    <dxf>
      <font>
        <sz val="5"/>
      </font>
    </dxf>
    <dxf>
      <font>
        <sz val="5"/>
      </font>
    </dxf>
    <dxf>
      <font>
        <color theme="0" tint="-0.14999847407452621"/>
      </font>
    </dxf>
    <dxf>
      <font>
        <color theme="0" tint="-0.14999847407452621"/>
      </font>
    </dxf>
    <dxf>
      <alignment horizontal="center"/>
    </dxf>
    <dxf>
      <alignment horizontal="center"/>
    </dxf>
    <dxf>
      <alignment horizontal="center"/>
    </dxf>
    <dxf>
      <font>
        <color theme="1"/>
      </font>
    </dxf>
    <dxf>
      <font>
        <color theme="1"/>
      </font>
    </dxf>
    <dxf>
      <font>
        <sz val="11"/>
      </font>
    </dxf>
    <dxf>
      <font>
        <sz val="11"/>
      </font>
    </dxf>
    <dxf>
      <font>
        <sz val="11"/>
      </font>
    </dxf>
    <dxf>
      <font>
        <sz val="11"/>
      </font>
    </dxf>
    <dxf>
      <font>
        <sz val="11"/>
      </font>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strike val="0"/>
        <outline val="0"/>
        <shadow val="0"/>
        <u val="none"/>
        <vertAlign val="baseline"/>
        <sz val="12"/>
        <color theme="1"/>
        <name val="Aptos"/>
        <family val="2"/>
        <scheme val="none"/>
      </font>
    </dxf>
    <dxf>
      <font>
        <strike val="0"/>
        <outline val="0"/>
        <shadow val="0"/>
        <u val="none"/>
        <vertAlign val="baseline"/>
        <sz val="12"/>
        <color theme="1"/>
        <name val="Aptos"/>
        <family val="2"/>
        <scheme val="none"/>
      </font>
    </dxf>
    <dxf>
      <font>
        <strike val="0"/>
        <outline val="0"/>
        <shadow val="0"/>
        <u val="none"/>
        <vertAlign val="baseline"/>
        <sz val="12"/>
        <color theme="1"/>
        <name val="Aptos"/>
        <family val="2"/>
        <scheme val="none"/>
      </font>
    </dxf>
    <dxf>
      <font>
        <strike val="0"/>
        <outline val="0"/>
        <shadow val="0"/>
        <u val="none"/>
        <vertAlign val="baseline"/>
        <sz val="12"/>
        <color theme="1"/>
        <name val="Aptos"/>
        <family val="2"/>
        <scheme val="none"/>
      </font>
    </dxf>
    <dxf>
      <font>
        <strike val="0"/>
        <outline val="0"/>
        <shadow val="0"/>
        <u val="none"/>
        <vertAlign val="baseline"/>
        <sz val="12"/>
        <color theme="1"/>
        <name val="Aptos"/>
        <family val="2"/>
        <scheme val="none"/>
      </font>
    </dxf>
    <dxf>
      <font>
        <strike val="0"/>
        <outline val="0"/>
        <shadow val="0"/>
        <u val="none"/>
        <vertAlign val="baseline"/>
        <sz val="12"/>
        <color theme="1"/>
        <name val="Aptos"/>
        <family val="2"/>
        <scheme val="none"/>
      </font>
    </dxf>
    <dxf>
      <font>
        <strike val="0"/>
        <outline val="0"/>
        <shadow val="0"/>
        <u val="none"/>
        <vertAlign val="baseline"/>
        <sz val="12"/>
        <color theme="1"/>
        <name val="Aptos"/>
        <family val="2"/>
        <scheme val="none"/>
      </font>
    </dxf>
    <dxf>
      <font>
        <strike val="0"/>
        <outline val="0"/>
        <shadow val="0"/>
        <u val="none"/>
        <vertAlign val="baseline"/>
        <sz val="12"/>
        <color theme="1"/>
        <name val="Aptos"/>
        <family val="2"/>
        <scheme val="none"/>
      </font>
    </dxf>
    <dxf>
      <font>
        <strike val="0"/>
        <outline val="0"/>
        <shadow val="0"/>
        <u val="none"/>
        <vertAlign val="baseline"/>
        <sz val="12"/>
        <color theme="1"/>
        <name val="Aptos"/>
        <family val="2"/>
        <scheme val="none"/>
      </font>
    </dxf>
    <dxf>
      <font>
        <strike val="0"/>
        <outline val="0"/>
        <shadow val="0"/>
        <u val="none"/>
        <vertAlign val="baseline"/>
        <sz val="12"/>
        <color theme="1"/>
        <name val="Aptos"/>
        <family val="2"/>
        <scheme val="none"/>
      </font>
    </dxf>
    <dxf>
      <font>
        <strike val="0"/>
        <outline val="0"/>
        <shadow val="0"/>
        <u val="none"/>
        <vertAlign val="baseline"/>
        <sz val="12"/>
        <color theme="1"/>
        <name val="Aptos"/>
        <family val="2"/>
        <scheme val="none"/>
      </font>
      <alignment horizontal="center" vertical="bottom" textRotation="0" wrapText="0" indent="0" justifyLastLine="0" shrinkToFit="0" readingOrder="0"/>
    </dxf>
    <dxf>
      <font>
        <strike val="0"/>
        <outline val="0"/>
        <shadow val="0"/>
        <u val="none"/>
        <vertAlign val="baseline"/>
        <sz val="12"/>
        <color theme="1"/>
        <name val="Aptos"/>
        <family val="2"/>
        <scheme val="none"/>
      </font>
      <numFmt numFmtId="167" formatCode="mm/dd/yy"/>
      <alignment horizontal="center" vertical="bottom" textRotation="0" wrapText="0" indent="0" justifyLastLine="0" shrinkToFit="0" readingOrder="0"/>
    </dxf>
    <dxf>
      <font>
        <strike val="0"/>
        <outline val="0"/>
        <shadow val="0"/>
        <u val="none"/>
        <vertAlign val="baseline"/>
        <sz val="12"/>
        <color theme="1"/>
        <name val="Aptos"/>
        <family val="2"/>
        <scheme val="none"/>
      </font>
    </dxf>
    <dxf>
      <font>
        <strike val="0"/>
        <outline val="0"/>
        <shadow val="0"/>
        <u val="none"/>
        <vertAlign val="baseline"/>
        <sz val="12"/>
        <color theme="1"/>
        <name val="Aptos"/>
        <family val="2"/>
        <scheme val="none"/>
      </font>
    </dxf>
    <dxf>
      <font>
        <strike val="0"/>
        <outline val="0"/>
        <shadow val="0"/>
        <u val="none"/>
        <vertAlign val="baseline"/>
        <sz val="12"/>
        <color theme="1"/>
        <name val="Aptos"/>
        <family val="2"/>
        <scheme val="none"/>
      </font>
      <alignment horizontal="center" vertical="bottom" textRotation="0" wrapText="0" indent="0" justifyLastLine="0" shrinkToFit="0" readingOrder="0"/>
    </dxf>
    <dxf>
      <font>
        <strike val="0"/>
        <outline val="0"/>
        <shadow val="0"/>
        <u val="none"/>
        <vertAlign val="baseline"/>
        <sz val="12"/>
        <color theme="1"/>
        <name val="Aptos"/>
        <family val="2"/>
        <scheme val="none"/>
      </font>
      <alignment vertical="bottom" textRotation="0" wrapText="1" indent="0" justifyLastLine="0" shrinkToFit="0" readingOrder="0"/>
    </dxf>
    <dxf>
      <font>
        <strike val="0"/>
        <outline val="0"/>
        <shadow val="0"/>
        <u val="none"/>
        <vertAlign val="baseline"/>
        <sz val="12"/>
        <color theme="1"/>
        <name val="Aptos"/>
        <family val="2"/>
        <scheme val="none"/>
      </font>
      <alignment vertical="bottom" textRotation="0" wrapText="1" indent="0" justifyLastLine="0" shrinkToFit="0" readingOrder="0"/>
    </dxf>
    <dxf>
      <font>
        <strike val="0"/>
        <outline val="0"/>
        <shadow val="0"/>
        <u val="none"/>
        <vertAlign val="baseline"/>
        <sz val="12"/>
        <color theme="1"/>
        <name val="Aptos"/>
        <family val="2"/>
        <scheme val="none"/>
      </font>
      <alignment vertical="bottom" textRotation="0" wrapText="1" indent="0" justifyLastLine="0" shrinkToFit="0" readingOrder="0"/>
    </dxf>
    <dxf>
      <font>
        <strike val="0"/>
        <outline val="0"/>
        <shadow val="0"/>
        <u val="none"/>
        <vertAlign val="baseline"/>
        <sz val="12"/>
        <color theme="1"/>
        <name val="Aptos"/>
        <family val="2"/>
        <scheme val="none"/>
      </font>
      <alignment vertical="bottom" textRotation="0" wrapText="1" indent="0" justifyLastLine="0" shrinkToFit="0" readingOrder="0"/>
    </dxf>
    <dxf>
      <font>
        <strike val="0"/>
        <outline val="0"/>
        <shadow val="0"/>
        <u val="none"/>
        <vertAlign val="baseline"/>
        <sz val="12"/>
        <color theme="1"/>
        <name val="Aptos"/>
        <family val="2"/>
        <scheme val="none"/>
      </font>
      <alignment vertical="bottom" textRotation="0" wrapText="1" indent="0" justifyLastLine="0" shrinkToFit="0" readingOrder="0"/>
    </dxf>
    <dxf>
      <font>
        <strike val="0"/>
        <outline val="0"/>
        <shadow val="0"/>
        <u val="none"/>
        <vertAlign val="baseline"/>
        <sz val="12"/>
        <color theme="1"/>
        <name val="Aptos"/>
        <family val="2"/>
        <scheme val="none"/>
      </font>
      <alignment vertical="bottom" textRotation="0" wrapText="1" indent="0" justifyLastLine="0" shrinkToFit="0" readingOrder="0"/>
    </dxf>
    <dxf>
      <font>
        <strike val="0"/>
        <outline val="0"/>
        <shadow val="0"/>
        <u val="none"/>
        <vertAlign val="baseline"/>
        <sz val="12"/>
        <color theme="1"/>
        <name val="Aptos"/>
        <family val="2"/>
        <scheme val="none"/>
      </font>
      <alignment vertical="bottom" textRotation="0" wrapText="1" indent="0" justifyLastLine="0" shrinkToFit="0" readingOrder="0"/>
    </dxf>
    <dxf>
      <font>
        <strike val="0"/>
        <outline val="0"/>
        <shadow val="0"/>
        <u val="none"/>
        <vertAlign val="baseline"/>
        <sz val="12"/>
        <color theme="1"/>
        <name val="Aptos"/>
        <family val="2"/>
        <scheme val="none"/>
      </font>
      <alignment vertical="bottom" textRotation="0" wrapText="1" indent="0" justifyLastLine="0" shrinkToFit="0" readingOrder="0"/>
    </dxf>
    <dxf>
      <font>
        <strike val="0"/>
        <outline val="0"/>
        <shadow val="0"/>
        <u val="none"/>
        <vertAlign val="baseline"/>
        <sz val="12"/>
        <color theme="1"/>
        <name val="Aptos"/>
        <family val="2"/>
        <scheme val="none"/>
      </font>
      <alignment vertical="bottom" textRotation="0" wrapText="1" indent="0" justifyLastLine="0" shrinkToFit="0" readingOrder="0"/>
    </dxf>
    <dxf>
      <font>
        <strike val="0"/>
        <outline val="0"/>
        <shadow val="0"/>
        <u val="none"/>
        <vertAlign val="baseline"/>
        <sz val="12"/>
        <color theme="1"/>
        <name val="Aptos"/>
        <family val="2"/>
        <scheme val="none"/>
      </font>
      <alignment vertical="bottom" textRotation="0" wrapText="1" indent="0" justifyLastLine="0" shrinkToFit="0" readingOrder="0"/>
    </dxf>
    <dxf>
      <font>
        <strike val="0"/>
        <outline val="0"/>
        <shadow val="0"/>
        <u val="none"/>
        <vertAlign val="baseline"/>
        <sz val="12"/>
        <color theme="1"/>
        <name val="Aptos"/>
        <family val="2"/>
        <scheme val="none"/>
      </font>
      <alignment horizontal="center" vertical="bottom" textRotation="0" wrapText="1" indent="0" justifyLastLine="0" shrinkToFit="0" readingOrder="0"/>
    </dxf>
    <dxf>
      <font>
        <strike val="0"/>
        <outline val="0"/>
        <shadow val="0"/>
        <u val="none"/>
        <vertAlign val="baseline"/>
        <sz val="12"/>
        <color theme="1"/>
        <name val="Aptos"/>
        <family val="2"/>
        <scheme val="none"/>
      </font>
      <numFmt numFmtId="167" formatCode="mm/dd/yy"/>
      <alignment horizontal="center" vertical="bottom" textRotation="0" wrapText="1" indent="0" justifyLastLine="0" shrinkToFit="0" readingOrder="0"/>
    </dxf>
    <dxf>
      <font>
        <strike val="0"/>
        <outline val="0"/>
        <shadow val="0"/>
        <u val="none"/>
        <vertAlign val="baseline"/>
        <sz val="12"/>
        <color theme="1"/>
        <name val="Aptos"/>
        <family val="2"/>
        <scheme val="none"/>
      </font>
      <alignment vertical="bottom" textRotation="0" wrapText="1" indent="0" justifyLastLine="0" shrinkToFit="0" readingOrder="0"/>
    </dxf>
    <dxf>
      <font>
        <strike val="0"/>
        <outline val="0"/>
        <shadow val="0"/>
        <u val="none"/>
        <vertAlign val="baseline"/>
        <sz val="12"/>
        <color theme="1"/>
        <name val="Aptos"/>
        <family val="2"/>
        <scheme val="none"/>
      </font>
      <alignment vertical="bottom" textRotation="0" wrapText="1" indent="0" justifyLastLine="0" shrinkToFit="0" readingOrder="0"/>
    </dxf>
    <dxf>
      <font>
        <strike val="0"/>
        <outline val="0"/>
        <shadow val="0"/>
        <u val="none"/>
        <vertAlign val="baseline"/>
        <sz val="12"/>
        <color theme="1"/>
        <name val="Aptos"/>
        <family val="2"/>
        <scheme val="none"/>
      </font>
      <alignment horizontal="center" vertical="bottom" textRotation="0" wrapText="1" indent="0" justifyLastLine="0" shrinkToFit="0" readingOrder="0"/>
    </dxf>
    <dxf>
      <font>
        <strike val="0"/>
        <outline val="0"/>
        <shadow val="0"/>
        <u val="none"/>
        <vertAlign val="baseline"/>
        <sz val="12"/>
        <color theme="1"/>
        <name val="Aptos Narrow"/>
        <family val="2"/>
        <scheme val="none"/>
      </font>
    </dxf>
    <dxf>
      <font>
        <strike val="0"/>
        <outline val="0"/>
        <shadow val="0"/>
        <u val="none"/>
        <vertAlign val="baseline"/>
        <sz val="12"/>
        <color theme="1"/>
        <name val="Aptos Narrow"/>
        <family val="2"/>
        <scheme val="none"/>
      </font>
      <alignment horizontal="center" vertical="bottom" textRotation="0" wrapText="0" indent="0" justifyLastLine="0" shrinkToFit="0" readingOrder="0"/>
    </dxf>
    <dxf>
      <font>
        <strike val="0"/>
        <outline val="0"/>
        <shadow val="0"/>
        <u val="none"/>
        <vertAlign val="baseline"/>
        <sz val="12"/>
        <color theme="1"/>
        <name val="Aptos Narrow"/>
        <family val="2"/>
        <scheme val="none"/>
      </font>
    </dxf>
    <dxf>
      <font>
        <strike val="0"/>
        <outline val="0"/>
        <shadow val="0"/>
        <u val="none"/>
        <vertAlign val="baseline"/>
        <sz val="12"/>
        <color theme="1"/>
        <name val="Aptos Narrow"/>
        <family val="2"/>
        <scheme val="none"/>
      </font>
    </dxf>
    <dxf>
      <font>
        <strike val="0"/>
        <outline val="0"/>
        <shadow val="0"/>
        <u val="none"/>
        <vertAlign val="baseline"/>
        <sz val="12"/>
        <color theme="1"/>
        <name val="Aptos Narrow"/>
        <family val="2"/>
        <scheme val="none"/>
      </font>
    </dxf>
    <dxf>
      <font>
        <strike val="0"/>
        <outline val="0"/>
        <shadow val="0"/>
        <u val="none"/>
        <vertAlign val="baseline"/>
        <sz val="12"/>
        <color theme="1"/>
        <name val="Aptos Narrow"/>
        <family val="2"/>
        <scheme val="none"/>
      </font>
      <alignment horizontal="center" vertical="bottom" textRotation="0" wrapText="0" indent="0" justifyLastLine="0" shrinkToFit="0" readingOrder="0"/>
    </dxf>
    <dxf>
      <font>
        <strike val="0"/>
        <outline val="0"/>
        <shadow val="0"/>
        <u val="none"/>
        <vertAlign val="baseline"/>
        <sz val="12"/>
        <color theme="1"/>
        <name val="Aptos Narrow"/>
        <family val="2"/>
        <scheme val="none"/>
      </font>
      <numFmt numFmtId="171" formatCode="mm/dd/yy\ hh:mm"/>
      <alignment horizontal="center" vertical="bottom" textRotation="0" wrapText="0" indent="0" justifyLastLine="0" shrinkToFit="0" readingOrder="0"/>
    </dxf>
    <dxf>
      <font>
        <strike val="0"/>
        <outline val="0"/>
        <shadow val="0"/>
        <u val="none"/>
        <vertAlign val="baseline"/>
        <sz val="12"/>
        <color theme="1"/>
        <name val="Aptos Narrow"/>
        <family val="2"/>
        <scheme val="none"/>
      </font>
      <numFmt numFmtId="170" formatCode="000"/>
      <alignment horizontal="center" vertical="bottom" textRotation="0" wrapText="0" indent="0" justifyLastLine="0" shrinkToFit="0" readingOrder="0"/>
    </dxf>
    <dxf>
      <font>
        <strike val="0"/>
        <outline val="0"/>
        <shadow val="0"/>
        <u val="none"/>
        <vertAlign val="baseline"/>
        <sz val="12"/>
        <color theme="1"/>
        <name val="Aptos Narrow"/>
        <family val="2"/>
        <scheme val="none"/>
      </font>
      <numFmt numFmtId="169" formatCode="00"/>
      <alignment horizontal="center" vertical="bottom" textRotation="0" wrapText="0" indent="0" justifyLastLine="0" shrinkToFit="0" readingOrder="0"/>
    </dxf>
    <dxf>
      <font>
        <strike val="0"/>
        <outline val="0"/>
        <shadow val="0"/>
        <u val="none"/>
        <vertAlign val="baseline"/>
        <sz val="12"/>
        <color theme="1"/>
        <name val="Aptos Narrow"/>
        <family val="2"/>
        <scheme val="none"/>
      </font>
      <numFmt numFmtId="169" formatCode="00"/>
      <alignment horizontal="center" vertical="bottom" textRotation="0" wrapText="0" indent="0" justifyLastLine="0" shrinkToFit="0" readingOrder="0"/>
    </dxf>
    <dxf>
      <font>
        <strike val="0"/>
        <outline val="0"/>
        <shadow val="0"/>
        <u val="none"/>
        <vertAlign val="baseline"/>
        <sz val="12"/>
        <color theme="1"/>
        <name val="Aptos Narrow"/>
        <family val="2"/>
        <scheme val="none"/>
      </font>
      <numFmt numFmtId="169" formatCode="00"/>
      <alignment horizontal="center" vertical="bottom" textRotation="0" wrapText="0" indent="0" justifyLastLine="0" shrinkToFit="0" readingOrder="0"/>
    </dxf>
    <dxf>
      <font>
        <strike val="0"/>
        <outline val="0"/>
        <shadow val="0"/>
        <u val="none"/>
        <vertAlign val="baseline"/>
        <sz val="12"/>
        <color theme="1"/>
        <name val="Aptos Narrow"/>
        <family val="2"/>
        <scheme val="none"/>
      </font>
      <alignment horizontal="center" vertical="bottom" textRotation="0" wrapText="0" indent="0" justifyLastLine="0" shrinkToFit="0" readingOrder="0"/>
    </dxf>
    <dxf>
      <font>
        <strike val="0"/>
        <outline val="0"/>
        <shadow val="0"/>
        <u val="none"/>
        <vertAlign val="baseline"/>
        <sz val="12"/>
        <color theme="1"/>
        <name val="Aptos Narrow"/>
        <family val="2"/>
        <scheme val="none"/>
      </font>
      <numFmt numFmtId="172" formatCode="[$-F400]h:mm:ss\ AM/PM"/>
      <alignment horizontal="center" vertical="bottom" textRotation="0" wrapText="0" indent="0" justifyLastLine="0" shrinkToFit="0" readingOrder="0"/>
    </dxf>
    <dxf>
      <font>
        <strike val="0"/>
        <outline val="0"/>
        <shadow val="0"/>
        <u val="none"/>
        <vertAlign val="baseline"/>
        <sz val="12"/>
        <color theme="1"/>
        <name val="Aptos Narrow"/>
        <family val="2"/>
        <scheme val="none"/>
      </font>
      <numFmt numFmtId="167" formatCode="mm/dd/yy"/>
      <alignment horizontal="center" vertical="bottom" textRotation="0" wrapText="0" indent="0" justifyLastLine="0" shrinkToFit="0" readingOrder="0"/>
    </dxf>
    <dxf>
      <font>
        <strike val="0"/>
        <outline val="0"/>
        <shadow val="0"/>
        <u val="none"/>
        <vertAlign val="baseline"/>
        <sz val="12"/>
        <color theme="1"/>
        <name val="Aptos Narrow"/>
        <family val="2"/>
        <scheme val="none"/>
      </font>
      <numFmt numFmtId="172" formatCode="[$-F400]h:mm:ss\ AM/PM"/>
      <alignment horizontal="center" vertical="bottom" textRotation="0" wrapText="0" indent="0" justifyLastLine="0" shrinkToFit="0" readingOrder="0"/>
    </dxf>
    <dxf>
      <font>
        <strike val="0"/>
        <outline val="0"/>
        <shadow val="0"/>
        <u val="none"/>
        <vertAlign val="baseline"/>
        <sz val="12"/>
        <color theme="1"/>
        <name val="Aptos Narrow"/>
        <family val="2"/>
        <scheme val="none"/>
      </font>
      <numFmt numFmtId="167" formatCode="mm/dd/yy"/>
      <alignment horizontal="center" vertical="bottom" textRotation="0" wrapText="0" indent="0" justifyLastLine="0" shrinkToFit="0" readingOrder="0"/>
    </dxf>
    <dxf>
      <font>
        <strike val="0"/>
        <outline val="0"/>
        <shadow val="0"/>
        <u val="none"/>
        <vertAlign val="baseline"/>
        <sz val="12"/>
        <color theme="1"/>
        <name val="Aptos Narrow"/>
        <family val="2"/>
        <scheme val="none"/>
      </font>
      <numFmt numFmtId="172" formatCode="[$-F400]h:mm:ss\ AM/PM"/>
      <alignment horizontal="center" vertical="bottom" textRotation="0" wrapText="0" indent="0" justifyLastLine="0" shrinkToFit="0" readingOrder="0"/>
    </dxf>
    <dxf>
      <font>
        <strike val="0"/>
        <outline val="0"/>
        <shadow val="0"/>
        <u val="none"/>
        <vertAlign val="baseline"/>
        <sz val="12"/>
        <color theme="1"/>
        <name val="Aptos Narrow"/>
        <family val="2"/>
        <scheme val="none"/>
      </font>
      <numFmt numFmtId="167" formatCode="mm/dd/yy"/>
      <alignment horizontal="center" vertical="bottom" textRotation="0" wrapText="0" indent="0" justifyLastLine="0" shrinkToFit="0" readingOrder="0"/>
    </dxf>
    <dxf>
      <font>
        <strike val="0"/>
        <outline val="0"/>
        <shadow val="0"/>
        <u val="none"/>
        <vertAlign val="baseline"/>
        <sz val="12"/>
        <color theme="1"/>
        <name val="Aptos Narrow"/>
        <family val="2"/>
        <scheme val="none"/>
      </font>
      <alignment horizontal="center" vertical="bottom" textRotation="0" wrapText="0" indent="0" justifyLastLine="0" shrinkToFit="0" readingOrder="0"/>
    </dxf>
    <dxf>
      <font>
        <strike val="0"/>
        <outline val="0"/>
        <shadow val="0"/>
        <u val="none"/>
        <vertAlign val="baseline"/>
        <sz val="12"/>
        <color theme="1"/>
        <name val="Aptos Narrow"/>
        <family val="2"/>
        <scheme val="none"/>
      </font>
      <numFmt numFmtId="0" formatCode="General"/>
    </dxf>
    <dxf>
      <font>
        <strike val="0"/>
        <outline val="0"/>
        <shadow val="0"/>
        <u val="none"/>
        <vertAlign val="baseline"/>
        <sz val="12"/>
        <color theme="1"/>
        <name val="Aptos Narrow"/>
        <family val="2"/>
        <scheme val="none"/>
      </font>
      <numFmt numFmtId="0" formatCode="General"/>
    </dxf>
    <dxf>
      <font>
        <strike val="0"/>
        <outline val="0"/>
        <shadow val="0"/>
        <u val="none"/>
        <vertAlign val="baseline"/>
        <sz val="12"/>
        <color theme="1"/>
        <name val="Aptos Narrow"/>
        <family val="2"/>
        <scheme val="none"/>
      </font>
      <numFmt numFmtId="0" formatCode="General"/>
    </dxf>
    <dxf>
      <font>
        <strike val="0"/>
        <outline val="0"/>
        <shadow val="0"/>
        <u val="none"/>
        <vertAlign val="baseline"/>
        <sz val="12"/>
        <color theme="1"/>
        <name val="Aptos Narrow"/>
        <family val="2"/>
        <scheme val="none"/>
      </font>
      <numFmt numFmtId="0" formatCode="General"/>
      <alignment horizontal="center" vertical="bottom" textRotation="0" wrapText="0" indent="0" justifyLastLine="0" shrinkToFit="0" readingOrder="0"/>
    </dxf>
    <dxf>
      <font>
        <strike val="0"/>
        <outline val="0"/>
        <shadow val="0"/>
        <u val="none"/>
        <vertAlign val="baseline"/>
        <sz val="12"/>
        <color theme="1"/>
        <name val="Aptos Narrow"/>
        <family val="2"/>
        <scheme val="none"/>
      </font>
      <numFmt numFmtId="0" formatCode="General"/>
    </dxf>
    <dxf>
      <font>
        <strike val="0"/>
        <outline val="0"/>
        <shadow val="0"/>
        <u val="none"/>
        <vertAlign val="baseline"/>
        <sz val="12"/>
        <color theme="1"/>
        <name val="Aptos Narrow"/>
        <family val="2"/>
        <scheme val="none"/>
      </font>
      <numFmt numFmtId="0" formatCode="General"/>
    </dxf>
    <dxf>
      <font>
        <strike val="0"/>
        <outline val="0"/>
        <shadow val="0"/>
        <u val="none"/>
        <vertAlign val="baseline"/>
        <sz val="12"/>
        <color theme="1"/>
        <name val="Aptos Narrow"/>
        <family val="2"/>
        <scheme val="none"/>
      </font>
      <numFmt numFmtId="0" formatCode="General"/>
    </dxf>
    <dxf>
      <font>
        <strike val="0"/>
        <outline val="0"/>
        <shadow val="0"/>
        <u val="none"/>
        <vertAlign val="baseline"/>
        <sz val="12"/>
        <color theme="1"/>
        <name val="Aptos Narrow"/>
        <family val="2"/>
        <scheme val="none"/>
      </font>
      <alignment horizontal="center" vertical="bottom" textRotation="0" wrapText="0" indent="0" justifyLastLine="0" shrinkToFit="0" readingOrder="0"/>
    </dxf>
    <dxf>
      <font>
        <strike val="0"/>
        <outline val="0"/>
        <shadow val="0"/>
        <u val="none"/>
        <vertAlign val="baseline"/>
        <sz val="12"/>
        <color theme="1"/>
        <name val="Aptos Narrow"/>
        <family val="2"/>
        <scheme val="none"/>
      </font>
      <alignment horizontal="center" vertical="bottom" textRotation="0" wrapText="0" indent="0" justifyLastLine="0" shrinkToFit="0" readingOrder="0"/>
    </dxf>
    <dxf>
      <font>
        <strike val="0"/>
        <outline val="0"/>
        <shadow val="0"/>
        <u val="none"/>
        <vertAlign val="baseline"/>
        <sz val="12"/>
        <color theme="1"/>
        <name val="Aptos Narrow"/>
        <family val="2"/>
        <scheme val="none"/>
      </font>
      <alignment horizontal="center" vertical="bottom" textRotation="0" wrapText="0" indent="0" justifyLastLine="0" shrinkToFit="0" readingOrder="0"/>
    </dxf>
    <dxf>
      <font>
        <strike val="0"/>
        <outline val="0"/>
        <shadow val="0"/>
        <u val="none"/>
        <vertAlign val="baseline"/>
        <sz val="12"/>
        <color theme="1"/>
        <name val="Aptos Narrow"/>
        <family val="2"/>
        <scheme val="none"/>
      </font>
      <alignment horizontal="center" vertical="bottom" textRotation="0" wrapText="0" indent="0" justifyLastLine="0" shrinkToFit="0" readingOrder="0"/>
    </dxf>
    <dxf>
      <font>
        <strike val="0"/>
        <outline val="0"/>
        <shadow val="0"/>
        <u val="none"/>
        <vertAlign val="baseline"/>
        <sz val="12"/>
        <color theme="1"/>
        <name val="Aptos Narrow"/>
        <family val="2"/>
        <scheme val="none"/>
      </font>
      <numFmt numFmtId="0" formatCode="General"/>
      <alignment horizontal="center" vertical="bottom" textRotation="0" wrapText="0" indent="0" justifyLastLine="0" shrinkToFit="0" readingOrder="0"/>
    </dxf>
    <dxf>
      <font>
        <strike val="0"/>
        <outline val="0"/>
        <shadow val="0"/>
        <u val="none"/>
        <vertAlign val="baseline"/>
        <sz val="12"/>
        <color theme="1"/>
        <name val="Aptos Narrow"/>
        <family val="2"/>
        <scheme val="none"/>
      </font>
      <numFmt numFmtId="0" formatCode="General"/>
      <alignment horizontal="center" vertical="bottom" textRotation="0" wrapText="0" indent="0" justifyLastLine="0" shrinkToFit="0" readingOrder="0"/>
    </dxf>
    <dxf>
      <font>
        <strike val="0"/>
        <outline val="0"/>
        <shadow val="0"/>
        <u val="none"/>
        <vertAlign val="baseline"/>
        <sz val="12"/>
        <color theme="1"/>
        <name val="Aptos Narrow"/>
        <family val="2"/>
        <scheme val="none"/>
      </font>
      <numFmt numFmtId="0" formatCode="General"/>
      <alignment horizontal="center" vertical="bottom" textRotation="0" wrapText="0" indent="0" justifyLastLine="0" shrinkToFit="0" readingOrder="0"/>
    </dxf>
    <dxf>
      <font>
        <strike val="0"/>
        <outline val="0"/>
        <shadow val="0"/>
        <u val="none"/>
        <vertAlign val="baseline"/>
        <sz val="12"/>
        <color theme="1"/>
        <name val="Aptos Narrow"/>
        <family val="2"/>
        <scheme val="none"/>
      </font>
      <numFmt numFmtId="0" formatCode="General"/>
      <alignment horizontal="center" vertical="bottom" textRotation="0" wrapText="0" indent="0" justifyLastLine="0" shrinkToFit="0" readingOrder="0"/>
    </dxf>
    <dxf>
      <font>
        <strike val="0"/>
        <outline val="0"/>
        <shadow val="0"/>
        <u val="none"/>
        <vertAlign val="baseline"/>
        <sz val="12"/>
        <color theme="1"/>
        <name val="Aptos Narrow"/>
        <family val="2"/>
        <scheme val="none"/>
      </font>
      <alignment horizontal="center" vertical="bottom" textRotation="0" wrapText="0" indent="0" justifyLastLine="0" shrinkToFit="0" readingOrder="0"/>
    </dxf>
    <dxf>
      <font>
        <strike val="0"/>
        <outline val="0"/>
        <shadow val="0"/>
        <u val="none"/>
        <vertAlign val="baseline"/>
        <sz val="12"/>
        <color theme="1"/>
        <name val="Aptos Narrow"/>
        <family val="2"/>
        <scheme val="none"/>
      </font>
      <alignment horizontal="center" vertical="bottom" textRotation="0" wrapText="0" indent="0" justifyLastLine="0" shrinkToFit="0" readingOrder="0"/>
    </dxf>
    <dxf>
      <font>
        <strike val="0"/>
        <outline val="0"/>
        <shadow val="0"/>
        <u val="none"/>
        <vertAlign val="baseline"/>
        <sz val="12"/>
        <color theme="1"/>
        <name val="Aptos Narrow"/>
        <family val="2"/>
        <scheme val="none"/>
      </font>
      <numFmt numFmtId="0" formatCode="General"/>
    </dxf>
    <dxf>
      <font>
        <strike val="0"/>
        <outline val="0"/>
        <shadow val="0"/>
        <u val="none"/>
        <vertAlign val="baseline"/>
        <sz val="12"/>
        <color theme="1"/>
        <name val="Aptos Narrow"/>
        <family val="2"/>
        <scheme val="none"/>
      </font>
      <alignment horizontal="center" vertical="bottom" textRotation="0" wrapText="0" indent="0" justifyLastLine="0" shrinkToFit="0" readingOrder="0"/>
    </dxf>
    <dxf>
      <font>
        <strike val="0"/>
        <outline val="0"/>
        <shadow val="0"/>
        <u val="none"/>
        <vertAlign val="baseline"/>
        <sz val="12"/>
        <color theme="1"/>
        <name val="Aptos Narrow"/>
        <family val="2"/>
        <scheme val="none"/>
      </font>
      <numFmt numFmtId="0" formatCode="General"/>
      <alignment horizontal="center" vertical="bottom" textRotation="0" wrapText="0" indent="0" justifyLastLine="0" shrinkToFit="0" readingOrder="0"/>
    </dxf>
    <dxf>
      <font>
        <strike val="0"/>
        <outline val="0"/>
        <shadow val="0"/>
        <u val="none"/>
        <vertAlign val="baseline"/>
        <sz val="12"/>
        <color theme="1"/>
        <name val="Aptos Narrow"/>
        <family val="2"/>
        <scheme val="none"/>
      </font>
      <numFmt numFmtId="0" formatCode="General"/>
    </dxf>
    <dxf>
      <font>
        <strike val="0"/>
        <outline val="0"/>
        <shadow val="0"/>
        <u val="none"/>
        <vertAlign val="baseline"/>
        <sz val="12"/>
        <color theme="1"/>
        <name val="Aptos Narrow"/>
        <family val="2"/>
        <scheme val="none"/>
      </font>
      <numFmt numFmtId="0" formatCode="General"/>
    </dxf>
    <dxf>
      <font>
        <strike val="0"/>
        <outline val="0"/>
        <shadow val="0"/>
        <u val="none"/>
        <vertAlign val="baseline"/>
        <sz val="12"/>
        <color theme="1"/>
        <name val="Aptos Narrow"/>
        <family val="2"/>
        <scheme val="none"/>
      </font>
      <numFmt numFmtId="0" formatCode="General"/>
    </dxf>
    <dxf>
      <font>
        <strike val="0"/>
        <outline val="0"/>
        <shadow val="0"/>
        <u val="none"/>
        <vertAlign val="baseline"/>
        <sz val="12"/>
        <color theme="1"/>
        <name val="Aptos Narrow"/>
        <family val="2"/>
        <scheme val="none"/>
      </font>
      <numFmt numFmtId="0" formatCode="General"/>
    </dxf>
    <dxf>
      <font>
        <strike val="0"/>
        <outline val="0"/>
        <shadow val="0"/>
        <u val="none"/>
        <vertAlign val="baseline"/>
        <sz val="12"/>
        <color theme="1"/>
        <name val="Aptos Narrow"/>
        <family val="2"/>
        <scheme val="none"/>
      </font>
    </dxf>
    <dxf>
      <font>
        <strike val="0"/>
        <outline val="0"/>
        <shadow val="0"/>
        <u val="none"/>
        <vertAlign val="baseline"/>
        <sz val="12"/>
        <color theme="1"/>
        <name val="Aptos Narrow"/>
        <family val="2"/>
        <scheme val="none"/>
      </font>
    </dxf>
    <dxf>
      <font>
        <strike val="0"/>
        <outline val="0"/>
        <shadow val="0"/>
        <u val="none"/>
        <vertAlign val="baseline"/>
        <sz val="12"/>
        <color theme="1"/>
        <name val="Aptos Narrow"/>
        <family val="2"/>
        <scheme val="none"/>
      </font>
    </dxf>
    <dxf>
      <font>
        <strike val="0"/>
        <outline val="0"/>
        <shadow val="0"/>
        <u val="none"/>
        <vertAlign val="baseline"/>
        <sz val="12"/>
        <color theme="1"/>
        <name val="Aptos Narrow"/>
        <family val="2"/>
        <scheme val="none"/>
      </font>
    </dxf>
    <dxf>
      <font>
        <strike val="0"/>
        <outline val="0"/>
        <shadow val="0"/>
        <u val="none"/>
        <vertAlign val="baseline"/>
        <sz val="12"/>
        <color theme="1"/>
        <name val="Aptos Narrow"/>
        <family val="2"/>
        <scheme val="none"/>
      </font>
    </dxf>
    <dxf>
      <font>
        <strike val="0"/>
        <outline val="0"/>
        <shadow val="0"/>
        <u val="none"/>
        <vertAlign val="baseline"/>
        <sz val="12"/>
        <color theme="1"/>
        <name val="Aptos Narrow"/>
        <family val="2"/>
        <scheme val="none"/>
      </font>
      <numFmt numFmtId="168" formatCode="hh:mm"/>
      <alignment horizontal="center" vertical="bottom" textRotation="0" wrapText="0" indent="0" justifyLastLine="0" shrinkToFit="0" readingOrder="0"/>
    </dxf>
    <dxf>
      <font>
        <strike val="0"/>
        <outline val="0"/>
        <shadow val="0"/>
        <u val="none"/>
        <vertAlign val="baseline"/>
        <sz val="12"/>
        <color theme="1"/>
        <name val="Aptos Narrow"/>
        <family val="2"/>
        <scheme val="none"/>
      </font>
      <numFmt numFmtId="168" formatCode="hh:mm"/>
      <alignment horizontal="center" vertical="bottom" textRotation="0" wrapText="0" indent="0" justifyLastLine="0" shrinkToFit="0" readingOrder="0"/>
    </dxf>
    <dxf>
      <font>
        <strike val="0"/>
        <outline val="0"/>
        <shadow val="0"/>
        <u val="none"/>
        <vertAlign val="baseline"/>
        <sz val="12"/>
        <color theme="1"/>
        <name val="Aptos Narrow"/>
        <family val="2"/>
        <scheme val="none"/>
      </font>
    </dxf>
    <dxf>
      <font>
        <strike val="0"/>
        <outline val="0"/>
        <shadow val="0"/>
        <u val="none"/>
        <vertAlign val="baseline"/>
        <sz val="12"/>
        <color theme="1"/>
        <name val="Aptos Narrow"/>
        <family val="2"/>
        <scheme val="none"/>
      </font>
      <numFmt numFmtId="167" formatCode="mm/dd/yy"/>
      <alignment horizontal="center" vertical="bottom" textRotation="0" wrapText="0" indent="0" justifyLastLine="0" shrinkToFit="0" readingOrder="0"/>
    </dxf>
    <dxf>
      <font>
        <strike val="0"/>
        <outline val="0"/>
        <shadow val="0"/>
        <u val="none"/>
        <vertAlign val="baseline"/>
        <sz val="12"/>
        <color theme="1"/>
        <name val="Aptos Narrow"/>
        <family val="2"/>
        <scheme val="none"/>
      </font>
      <numFmt numFmtId="0" formatCode="General"/>
      <alignment horizontal="center" vertical="bottom" textRotation="0" wrapText="0" indent="0" justifyLastLine="0" shrinkToFit="0" readingOrder="0"/>
    </dxf>
    <dxf>
      <font>
        <strike val="0"/>
        <outline val="0"/>
        <shadow val="0"/>
        <u val="none"/>
        <vertAlign val="baseline"/>
        <sz val="12"/>
        <color theme="1"/>
        <name val="Aptos Narrow"/>
        <family val="2"/>
        <scheme val="none"/>
      </font>
    </dxf>
    <dxf>
      <font>
        <strike val="0"/>
        <outline val="0"/>
        <shadow val="0"/>
        <u val="none"/>
        <vertAlign val="baseline"/>
        <sz val="14"/>
        <color theme="1"/>
        <name val="Aptos Narrow"/>
        <family val="2"/>
        <scheme val="none"/>
      </font>
      <alignment horizontal="center" vertical="bottom" textRotation="0" wrapText="0" indent="0" justifyLastLine="0" shrinkToFit="0" readingOrder="0"/>
    </dxf>
    <dxf>
      <numFmt numFmtId="0" formatCode="General"/>
    </dxf>
    <dxf>
      <numFmt numFmtId="0" formatCode="General"/>
    </dxf>
    <dxf>
      <numFmt numFmtId="0" formatCode="General"/>
    </dxf>
    <dxf>
      <numFmt numFmtId="0" formatCode="General"/>
    </dxf>
    <dxf>
      <numFmt numFmtId="0" formatCode="General"/>
    </dxf>
    <dxf>
      <numFmt numFmtId="19" formatCode="m/d/yyyy"/>
    </dxf>
    <dxf>
      <numFmt numFmtId="0" formatCode="General"/>
    </dxf>
    <dxf>
      <font>
        <strike val="0"/>
        <outline val="0"/>
        <shadow val="0"/>
        <u val="none"/>
        <vertAlign val="baseline"/>
        <sz val="12"/>
        <color theme="1"/>
        <name val="Aptos Narrow"/>
        <family val="2"/>
        <scheme val="none"/>
      </font>
      <alignment horizontal="general" vertical="bottom" textRotation="0" wrapText="1" indent="0" justifyLastLine="0" shrinkToFit="0" readingOrder="0"/>
    </dxf>
    <dxf>
      <font>
        <strike val="0"/>
        <outline val="0"/>
        <shadow val="0"/>
        <u val="none"/>
        <vertAlign val="baseline"/>
        <sz val="12"/>
        <color theme="1"/>
        <name val="Aptos Narrow"/>
        <family val="2"/>
        <scheme val="none"/>
      </font>
      <alignment horizontal="general" vertical="bottom" textRotation="0" wrapText="0" indent="0" justifyLastLine="0" shrinkToFit="0" readingOrder="0"/>
    </dxf>
    <dxf>
      <font>
        <strike val="0"/>
        <outline val="0"/>
        <shadow val="0"/>
        <u val="none"/>
        <vertAlign val="baseline"/>
        <sz val="12"/>
        <color theme="1"/>
        <name val="Aptos Narrow"/>
        <family val="2"/>
        <scheme val="none"/>
      </font>
      <alignment horizontal="general" vertical="bottom" textRotation="0" wrapText="0" indent="0" justifyLastLine="0" shrinkToFit="0" readingOrder="0"/>
    </dxf>
    <dxf>
      <font>
        <strike val="0"/>
        <outline val="0"/>
        <shadow val="0"/>
        <u val="none"/>
        <vertAlign val="baseline"/>
        <sz val="12"/>
        <color theme="1"/>
        <name val="Aptos Narrow"/>
        <family val="2"/>
        <scheme val="none"/>
      </font>
      <alignment horizontal="general" vertical="bottom" textRotation="0" wrapText="0" indent="0" justifyLastLine="0" shrinkToFit="0" readingOrder="0"/>
    </dxf>
    <dxf>
      <font>
        <strike val="0"/>
        <outline val="0"/>
        <shadow val="0"/>
        <u val="none"/>
        <vertAlign val="baseline"/>
        <sz val="12"/>
        <color theme="1"/>
        <name val="Aptos Narrow"/>
        <family val="2"/>
        <scheme val="none"/>
      </font>
      <alignment horizontal="general" vertical="bottom" textRotation="0" wrapText="0" indent="0" justifyLastLine="0" shrinkToFit="0" readingOrder="0"/>
    </dxf>
    <dxf>
      <font>
        <strike val="0"/>
        <outline val="0"/>
        <shadow val="0"/>
        <u val="none"/>
        <vertAlign val="baseline"/>
        <sz val="12"/>
        <color theme="1"/>
        <name val="Aptos Narrow"/>
        <family val="2"/>
        <scheme val="none"/>
      </font>
      <alignment horizontal="general" vertical="bottom" textRotation="0" wrapText="0" indent="0" justifyLastLine="0" shrinkToFit="0" readingOrder="0"/>
    </dxf>
    <dxf>
      <font>
        <strike val="0"/>
        <outline val="0"/>
        <shadow val="0"/>
        <u val="none"/>
        <vertAlign val="baseline"/>
        <sz val="12"/>
        <color theme="1"/>
        <name val="Aptos Narrow"/>
        <family val="2"/>
        <scheme val="none"/>
      </font>
      <alignment horizontal="general" vertical="bottom" textRotation="0" wrapText="0" indent="0" justifyLastLine="0" shrinkToFit="0" readingOrder="0"/>
    </dxf>
    <dxf>
      <font>
        <strike val="0"/>
        <outline val="0"/>
        <shadow val="0"/>
        <u val="none"/>
        <vertAlign val="baseline"/>
        <sz val="12"/>
        <color theme="1"/>
        <name val="Aptos Narrow"/>
        <family val="2"/>
        <scheme val="none"/>
      </font>
      <alignment horizontal="general" vertical="bottom" textRotation="0" wrapText="0" indent="0" justifyLastLine="0" shrinkToFit="0" readingOrder="0"/>
    </dxf>
    <dxf>
      <font>
        <strike val="0"/>
        <outline val="0"/>
        <shadow val="0"/>
        <u val="none"/>
        <vertAlign val="baseline"/>
        <sz val="12"/>
        <color theme="1"/>
        <name val="Aptos Narrow"/>
        <family val="2"/>
        <scheme val="none"/>
      </font>
      <alignment horizontal="general" vertical="bottom" textRotation="0" wrapText="0" indent="0" justifyLastLine="0" shrinkToFit="0" readingOrder="0"/>
    </dxf>
    <dxf>
      <font>
        <strike val="0"/>
        <outline val="0"/>
        <shadow val="0"/>
        <u val="none"/>
        <vertAlign val="baseline"/>
        <sz val="12"/>
        <color theme="1"/>
        <name val="Aptos Narrow"/>
        <family val="2"/>
        <scheme val="none"/>
      </font>
      <alignment horizontal="general" vertical="bottom" textRotation="0" wrapText="0" indent="0" justifyLastLine="0" shrinkToFit="0" readingOrder="0"/>
    </dxf>
    <dxf>
      <font>
        <strike val="0"/>
        <outline val="0"/>
        <shadow val="0"/>
        <u val="none"/>
        <vertAlign val="baseline"/>
        <sz val="12"/>
        <color theme="1"/>
        <name val="Aptos Narrow"/>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2"/>
        <color theme="1"/>
        <name val="Aptos Narrow"/>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2"/>
        <color theme="1"/>
        <name val="Aptos Narrow"/>
        <family val="2"/>
        <scheme val="none"/>
      </font>
      <alignment horizontal="center" vertical="bottom" textRotation="0" wrapText="0" indent="0" justifyLastLine="0" shrinkToFit="0" readingOrder="0"/>
    </dxf>
    <dxf>
      <font>
        <strike val="0"/>
        <outline val="0"/>
        <shadow val="0"/>
        <u val="none"/>
        <vertAlign val="baseline"/>
        <sz val="12"/>
        <color theme="1"/>
        <name val="Aptos Narrow"/>
        <family val="2"/>
        <scheme val="none"/>
      </font>
      <numFmt numFmtId="167" formatCode="mm/dd/yy"/>
      <alignment horizontal="center" vertical="bottom" textRotation="0" wrapText="0" indent="0" justifyLastLine="0" shrinkToFit="0" readingOrder="0"/>
    </dxf>
    <dxf>
      <font>
        <strike val="0"/>
        <outline val="0"/>
        <shadow val="0"/>
        <u val="none"/>
        <vertAlign val="baseline"/>
        <sz val="12"/>
        <color theme="1"/>
        <name val="Aptos Narrow"/>
        <family val="2"/>
        <scheme val="none"/>
      </font>
      <alignment vertical="bottom" textRotation="0" wrapText="0" indent="0" justifyLastLine="0" shrinkToFit="0" readingOrder="0"/>
    </dxf>
    <dxf>
      <font>
        <strike val="0"/>
        <outline val="0"/>
        <shadow val="0"/>
        <u val="none"/>
        <vertAlign val="baseline"/>
        <sz val="12"/>
        <color theme="1"/>
        <name val="Aptos Narrow"/>
        <family val="2"/>
        <scheme val="none"/>
      </font>
      <alignment horizontal="general" vertical="bottom" textRotation="0" wrapText="0" indent="0" justifyLastLine="0" shrinkToFit="0" readingOrder="0"/>
    </dxf>
    <dxf>
      <font>
        <strike val="0"/>
        <outline val="0"/>
        <shadow val="0"/>
        <u val="none"/>
        <vertAlign val="baseline"/>
        <sz val="14"/>
        <color theme="1"/>
        <name val="Aptos Narrow"/>
        <family val="2"/>
        <scheme val="none"/>
      </font>
      <alignment horizontal="center" vertical="bottom" textRotation="0" wrapText="0" indent="0" justifyLastLine="0" shrinkToFit="0" readingOrder="0"/>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sz val="8"/>
      </font>
    </dxf>
    <dxf>
      <font>
        <sz val="8"/>
      </font>
    </dxf>
    <dxf>
      <font>
        <sz val="8"/>
      </font>
    </dxf>
    <dxf>
      <font>
        <sz val="14"/>
        <name val="Aptos"/>
        <scheme val="none"/>
      </font>
      <alignment horizontal="center"/>
    </dxf>
    <dxf>
      <alignment horizontal="right"/>
    </dxf>
    <dxf>
      <font>
        <sz val="12"/>
        <name val="Aptos"/>
        <scheme val="none"/>
      </font>
      <alignment horizontal="general" vertical="bottom" textRotation="0" wrapText="0" indent="0" justifyLastLine="0" shrinkToFit="0" readingOrder="0"/>
    </dxf>
    <dxf>
      <font>
        <sz val="12"/>
      </font>
    </dxf>
    <dxf>
      <alignment wrapText="0"/>
    </dxf>
    <dxf>
      <alignment wrapText="0"/>
    </dxf>
    <dxf>
      <alignment wrapText="0"/>
    </dxf>
    <dxf>
      <font>
        <color theme="0" tint="-0.14999847407452621"/>
      </font>
    </dxf>
    <dxf>
      <font>
        <color theme="0" tint="-0.14999847407452621"/>
      </font>
    </dxf>
    <dxf>
      <fill>
        <patternFill>
          <bgColor auto="1"/>
        </patternFill>
      </fill>
    </dxf>
    <dxf>
      <fill>
        <patternFill>
          <bgColor auto="1"/>
        </patternFill>
      </fill>
    </dxf>
    <dxf>
      <fill>
        <patternFill>
          <bgColor auto="1"/>
        </patternFill>
      </fill>
    </dxf>
    <dxf>
      <alignment horizontal="center"/>
    </dxf>
    <dxf>
      <alignment wrapText="1"/>
    </dxf>
    <dxf>
      <alignment wrapText="1"/>
    </dxf>
    <dxf>
      <alignment wrapText="1"/>
    </dxf>
    <dxf>
      <font>
        <sz val="14"/>
      </font>
    </dxf>
    <dxf>
      <alignment wrapText="1"/>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sz val="8"/>
      </font>
    </dxf>
    <dxf>
      <font>
        <sz val="8"/>
      </font>
    </dxf>
    <dxf>
      <font>
        <sz val="8"/>
      </font>
    </dxf>
    <dxf>
      <font>
        <sz val="14"/>
        <name val="Aptos"/>
        <scheme val="none"/>
      </font>
      <alignment horizontal="center"/>
    </dxf>
    <dxf>
      <alignment horizontal="right"/>
    </dxf>
    <dxf>
      <font>
        <sz val="12"/>
        <name val="Aptos"/>
        <scheme val="none"/>
      </font>
      <alignment horizontal="general" vertical="bottom" textRotation="0" wrapText="0" indent="0" justifyLastLine="0" shrinkToFit="0" readingOrder="0"/>
    </dxf>
    <dxf>
      <font>
        <sz val="12"/>
      </font>
    </dxf>
    <dxf>
      <alignment wrapText="0"/>
    </dxf>
    <dxf>
      <alignment wrapText="0"/>
    </dxf>
    <dxf>
      <alignment wrapText="0"/>
    </dxf>
    <dxf>
      <font>
        <color theme="0" tint="-0.14999847407452621"/>
      </font>
    </dxf>
    <dxf>
      <font>
        <color theme="0" tint="-0.14999847407452621"/>
      </font>
    </dxf>
    <dxf>
      <fill>
        <patternFill>
          <bgColor auto="1"/>
        </patternFill>
      </fill>
    </dxf>
    <dxf>
      <fill>
        <patternFill>
          <bgColor auto="1"/>
        </patternFill>
      </fill>
    </dxf>
    <dxf>
      <fill>
        <patternFill>
          <bgColor auto="1"/>
        </patternFill>
      </fill>
    </dxf>
    <dxf>
      <alignment horizontal="center"/>
    </dxf>
    <dxf>
      <alignment wrapText="1"/>
    </dxf>
    <dxf>
      <alignment wrapText="1"/>
    </dxf>
    <dxf>
      <alignment wrapText="1"/>
    </dxf>
    <dxf>
      <font>
        <sz val="14"/>
      </font>
    </dxf>
    <dxf>
      <font>
        <b val="0"/>
        <i val="0"/>
        <strike val="0"/>
        <condense val="0"/>
        <extend val="0"/>
        <outline val="0"/>
        <shadow val="0"/>
        <u val="none"/>
        <vertAlign val="baseline"/>
        <sz val="12"/>
        <color theme="1"/>
        <name val="Aptos"/>
        <family val="2"/>
        <scheme val="none"/>
      </font>
      <alignment horizontal="general" vertical="bottom" textRotation="0" wrapText="1" indent="0" justifyLastLine="0" shrinkToFit="0" readingOrder="0"/>
    </dxf>
    <dxf>
      <font>
        <b val="0"/>
        <i val="0"/>
        <strike val="0"/>
        <condense val="0"/>
        <extend val="0"/>
        <outline val="0"/>
        <shadow val="0"/>
        <u val="none"/>
        <vertAlign val="baseline"/>
        <sz val="12"/>
        <color theme="1"/>
        <name val="Aptos"/>
        <family val="2"/>
        <scheme val="none"/>
      </font>
    </dxf>
    <dxf>
      <font>
        <b val="0"/>
        <i val="0"/>
        <strike val="0"/>
        <condense val="0"/>
        <extend val="0"/>
        <outline val="0"/>
        <shadow val="0"/>
        <u val="none"/>
        <vertAlign val="baseline"/>
        <sz val="12"/>
        <color theme="1"/>
        <name val="Aptos"/>
        <family val="2"/>
        <scheme val="none"/>
      </font>
    </dxf>
    <dxf>
      <font>
        <b val="0"/>
        <i val="0"/>
        <strike val="0"/>
        <condense val="0"/>
        <extend val="0"/>
        <outline val="0"/>
        <shadow val="0"/>
        <u val="none"/>
        <vertAlign val="baseline"/>
        <sz val="12"/>
        <color theme="1"/>
        <name val="Aptos"/>
        <family val="2"/>
        <scheme val="none"/>
      </font>
    </dxf>
    <dxf>
      <font>
        <b val="0"/>
        <i val="0"/>
        <strike val="0"/>
        <condense val="0"/>
        <extend val="0"/>
        <outline val="0"/>
        <shadow val="0"/>
        <u val="none"/>
        <vertAlign val="baseline"/>
        <sz val="12"/>
        <color theme="1"/>
        <name val="Aptos"/>
        <family val="2"/>
        <scheme val="none"/>
      </font>
    </dxf>
    <dxf>
      <font>
        <b val="0"/>
        <i val="0"/>
        <strike val="0"/>
        <condense val="0"/>
        <extend val="0"/>
        <outline val="0"/>
        <shadow val="0"/>
        <u val="none"/>
        <vertAlign val="baseline"/>
        <sz val="12"/>
        <color theme="1"/>
        <name val="Aptos"/>
        <family val="2"/>
        <scheme val="none"/>
      </font>
    </dxf>
    <dxf>
      <font>
        <b val="0"/>
        <i val="0"/>
        <strike val="0"/>
        <condense val="0"/>
        <extend val="0"/>
        <outline val="0"/>
        <shadow val="0"/>
        <u val="none"/>
        <vertAlign val="baseline"/>
        <sz val="12"/>
        <color theme="1"/>
        <name val="Aptos"/>
        <family val="2"/>
        <scheme val="none"/>
      </font>
    </dxf>
    <dxf>
      <font>
        <b val="0"/>
        <i val="0"/>
        <strike val="0"/>
        <condense val="0"/>
        <extend val="0"/>
        <outline val="0"/>
        <shadow val="0"/>
        <u val="none"/>
        <vertAlign val="baseline"/>
        <sz val="12"/>
        <color theme="1"/>
        <name val="Aptos"/>
        <family val="2"/>
        <scheme val="none"/>
      </font>
    </dxf>
    <dxf>
      <font>
        <b val="0"/>
        <i val="0"/>
        <strike val="0"/>
        <condense val="0"/>
        <extend val="0"/>
        <outline val="0"/>
        <shadow val="0"/>
        <u val="none"/>
        <vertAlign val="baseline"/>
        <sz val="12"/>
        <color theme="1"/>
        <name val="Aptos"/>
        <family val="2"/>
        <scheme val="none"/>
      </font>
    </dxf>
    <dxf>
      <font>
        <b val="0"/>
        <i val="0"/>
        <strike val="0"/>
        <condense val="0"/>
        <extend val="0"/>
        <outline val="0"/>
        <shadow val="0"/>
        <u val="none"/>
        <vertAlign val="baseline"/>
        <sz val="12"/>
        <color theme="1"/>
        <name val="Aptos"/>
        <family val="2"/>
        <scheme val="none"/>
      </font>
    </dxf>
    <dxf>
      <font>
        <b val="0"/>
        <i val="0"/>
        <strike val="0"/>
        <condense val="0"/>
        <extend val="0"/>
        <outline val="0"/>
        <shadow val="0"/>
        <u val="none"/>
        <vertAlign val="baseline"/>
        <sz val="12"/>
        <color theme="1"/>
        <name val="Aptos"/>
        <family val="2"/>
        <scheme val="none"/>
      </font>
    </dxf>
    <dxf>
      <font>
        <b val="0"/>
        <i val="0"/>
        <strike val="0"/>
        <condense val="0"/>
        <extend val="0"/>
        <outline val="0"/>
        <shadow val="0"/>
        <u val="none"/>
        <vertAlign val="baseline"/>
        <sz val="12"/>
        <color theme="1"/>
        <name val="Aptos"/>
        <family val="2"/>
        <scheme val="none"/>
      </font>
    </dxf>
    <dxf>
      <font>
        <b val="0"/>
        <i val="0"/>
        <strike val="0"/>
        <condense val="0"/>
        <extend val="0"/>
        <outline val="0"/>
        <shadow val="0"/>
        <u val="none"/>
        <vertAlign val="baseline"/>
        <sz val="12"/>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2"/>
        <color theme="1"/>
        <name val="Aptos"/>
        <family val="2"/>
        <scheme val="none"/>
      </font>
      <numFmt numFmtId="19" formatCode="m/d/yyyy"/>
      <alignment horizontal="center" vertical="bottom" textRotation="0" wrapText="0" indent="0" justifyLastLine="0" shrinkToFit="0" readingOrder="0"/>
    </dxf>
    <dxf>
      <font>
        <b val="0"/>
        <i val="0"/>
        <strike val="0"/>
        <condense val="0"/>
        <extend val="0"/>
        <outline val="0"/>
        <shadow val="0"/>
        <u val="none"/>
        <vertAlign val="baseline"/>
        <sz val="12"/>
        <color theme="1"/>
        <name val="Aptos"/>
        <family val="2"/>
        <scheme val="none"/>
      </font>
    </dxf>
    <dxf>
      <font>
        <strike val="0"/>
        <outline val="0"/>
        <shadow val="0"/>
        <u val="none"/>
        <vertAlign val="baseline"/>
        <sz val="12"/>
        <color theme="1"/>
        <name val="Aptos"/>
        <family val="2"/>
        <scheme val="none"/>
      </font>
    </dxf>
    <dxf>
      <font>
        <strike val="0"/>
        <outline val="0"/>
        <shadow val="0"/>
        <u val="none"/>
        <vertAlign val="baseline"/>
        <sz val="12"/>
        <color theme="1"/>
        <name val="Aptos"/>
        <family val="2"/>
        <scheme val="none"/>
      </font>
      <alignment horizontal="center" vertical="bottom" textRotation="0" wrapText="0" indent="0" justifyLastLine="0" shrinkToFit="0" readingOrder="0"/>
    </dxf>
    <dxf>
      <font>
        <strike val="0"/>
        <outline val="0"/>
        <shadow val="0"/>
        <u val="none"/>
        <vertAlign val="baseline"/>
        <sz val="12"/>
        <color theme="1"/>
        <name val="Aptos"/>
        <family val="2"/>
        <scheme val="none"/>
      </font>
      <alignment horizontal="center" vertical="bottom" textRotation="0" wrapText="0" indent="0" justifyLastLine="0" shrinkToFit="0" readingOrder="0"/>
    </dxf>
    <dxf>
      <font>
        <strike val="0"/>
        <outline val="0"/>
        <shadow val="0"/>
        <u val="none"/>
        <vertAlign val="baseline"/>
        <sz val="12"/>
        <color theme="1"/>
        <name val="Aptos"/>
        <family val="2"/>
        <scheme val="none"/>
      </font>
      <alignment horizontal="general" vertical="bottom" textRotation="0" wrapText="1" indent="0" justifyLastLine="0" shrinkToFit="0" readingOrder="0"/>
    </dxf>
    <dxf>
      <font>
        <strike val="0"/>
        <outline val="0"/>
        <shadow val="0"/>
        <u val="none"/>
        <vertAlign val="baseline"/>
        <sz val="12"/>
        <color theme="1"/>
        <name val="Aptos"/>
        <family val="2"/>
        <scheme val="none"/>
      </font>
      <alignment vertical="bottom" textRotation="0" wrapText="1" indent="0" justifyLastLine="0" shrinkToFit="0" readingOrder="0"/>
    </dxf>
    <dxf>
      <font>
        <strike val="0"/>
        <outline val="0"/>
        <shadow val="0"/>
        <u val="none"/>
        <vertAlign val="baseline"/>
        <sz val="12"/>
        <color theme="1"/>
        <name val="Aptos"/>
        <family val="2"/>
        <scheme val="none"/>
      </font>
    </dxf>
    <dxf>
      <font>
        <strike val="0"/>
        <outline val="0"/>
        <shadow val="0"/>
        <u val="none"/>
        <vertAlign val="baseline"/>
        <sz val="12"/>
        <color theme="1"/>
        <name val="Aptos"/>
        <family val="2"/>
        <scheme val="none"/>
      </font>
      <numFmt numFmtId="0" formatCode="General"/>
      <alignment horizontal="general" vertical="bottom" textRotation="0" wrapText="1" indent="0" justifyLastLine="0" shrinkToFit="0" readingOrder="0"/>
    </dxf>
    <dxf>
      <font>
        <strike val="0"/>
        <outline val="0"/>
        <shadow val="0"/>
        <u val="none"/>
        <vertAlign val="baseline"/>
        <sz val="12"/>
        <color theme="1"/>
        <name val="Aptos"/>
        <family val="2"/>
        <scheme val="none"/>
      </font>
      <alignment horizontal="center" vertical="bottom" textRotation="0" wrapText="0" indent="0" justifyLastLine="0" shrinkToFit="0" readingOrder="0"/>
    </dxf>
    <dxf>
      <font>
        <strike val="0"/>
        <outline val="0"/>
        <shadow val="0"/>
        <u val="none"/>
        <vertAlign val="baseline"/>
        <sz val="12"/>
        <color theme="1"/>
        <name val="Aptos"/>
        <family val="2"/>
        <scheme val="none"/>
      </font>
      <numFmt numFmtId="27" formatCode="m/d/yyyy\ h:mm"/>
      <alignment horizontal="center" vertical="bottom" textRotation="0" wrapText="0" indent="0" justifyLastLine="0" shrinkToFit="0" readingOrder="0"/>
    </dxf>
    <dxf>
      <font>
        <strike val="0"/>
        <outline val="0"/>
        <shadow val="0"/>
        <u val="none"/>
        <vertAlign val="baseline"/>
        <sz val="12"/>
        <color theme="1"/>
        <name val="Aptos"/>
        <family val="2"/>
        <scheme val="none"/>
      </font>
      <alignment horizontal="center" vertical="bottom" textRotation="0" wrapText="0" indent="0" justifyLastLine="0" shrinkToFit="0" readingOrder="0"/>
    </dxf>
    <dxf>
      <font>
        <strike val="0"/>
        <outline val="0"/>
        <shadow val="0"/>
        <u val="none"/>
        <vertAlign val="baseline"/>
        <sz val="12"/>
        <color theme="1"/>
        <name val="Aptos"/>
        <family val="2"/>
        <scheme val="none"/>
      </font>
      <alignment horizontal="center" vertical="bottom" textRotation="0" wrapText="0" indent="0" justifyLastLine="0" shrinkToFit="0" readingOrder="0"/>
    </dxf>
    <dxf>
      <font>
        <strike val="0"/>
        <outline val="0"/>
        <shadow val="0"/>
        <u val="none"/>
        <vertAlign val="baseline"/>
        <sz val="12"/>
        <color theme="1"/>
        <name val="Aptos"/>
        <family val="2"/>
        <scheme val="none"/>
      </font>
      <alignment horizontal="center" vertical="bottom" textRotation="0" wrapText="0" indent="0" justifyLastLine="0" shrinkToFit="0" readingOrder="0"/>
    </dxf>
    <dxf>
      <font>
        <strike val="0"/>
        <outline val="0"/>
        <shadow val="0"/>
        <u val="none"/>
        <vertAlign val="baseline"/>
        <sz val="12"/>
        <color theme="1"/>
        <name val="Aptos"/>
        <family val="2"/>
        <scheme val="none"/>
      </font>
      <alignment horizontal="center" vertical="bottom" textRotation="0" wrapText="0" indent="0" justifyLastLine="0" shrinkToFit="0" readingOrder="0"/>
    </dxf>
    <dxf>
      <font>
        <strike val="0"/>
        <outline val="0"/>
        <shadow val="0"/>
        <u val="none"/>
        <vertAlign val="baseline"/>
        <sz val="12"/>
        <color theme="1"/>
        <name val="Aptos"/>
        <family val="2"/>
        <scheme val="none"/>
      </font>
      <alignment horizontal="center" vertical="bottom" textRotation="0" wrapText="0" indent="0" justifyLastLine="0" shrinkToFit="0" readingOrder="0"/>
    </dxf>
    <dxf>
      <font>
        <strike val="0"/>
        <outline val="0"/>
        <shadow val="0"/>
        <u val="none"/>
        <vertAlign val="baseline"/>
        <sz val="12"/>
        <color theme="1"/>
        <name val="Aptos"/>
        <family val="2"/>
        <scheme val="none"/>
      </font>
      <numFmt numFmtId="0" formatCode="General"/>
    </dxf>
    <dxf>
      <font>
        <strike val="0"/>
        <outline val="0"/>
        <shadow val="0"/>
        <u val="none"/>
        <vertAlign val="baseline"/>
        <sz val="12"/>
        <color theme="1"/>
        <name val="Aptos"/>
        <family val="2"/>
        <scheme val="none"/>
      </font>
      <numFmt numFmtId="0" formatCode="General"/>
    </dxf>
    <dxf>
      <font>
        <strike val="0"/>
        <outline val="0"/>
        <shadow val="0"/>
        <u val="none"/>
        <vertAlign val="baseline"/>
        <sz val="12"/>
        <color theme="1"/>
        <name val="Aptos"/>
        <family val="2"/>
        <scheme val="none"/>
      </font>
      <numFmt numFmtId="0" formatCode="General"/>
    </dxf>
    <dxf>
      <font>
        <strike val="0"/>
        <outline val="0"/>
        <shadow val="0"/>
        <u val="none"/>
        <vertAlign val="baseline"/>
        <sz val="12"/>
        <color theme="1"/>
        <name val="Aptos"/>
        <family val="2"/>
        <scheme val="none"/>
      </font>
      <numFmt numFmtId="0" formatCode="General"/>
      <alignment horizontal="center" vertical="bottom" textRotation="0" wrapText="0" indent="0" justifyLastLine="0" shrinkToFit="0" readingOrder="0"/>
    </dxf>
    <dxf>
      <font>
        <strike val="0"/>
        <outline val="0"/>
        <shadow val="0"/>
        <u val="none"/>
        <vertAlign val="baseline"/>
        <sz val="12"/>
        <color theme="1"/>
        <name val="Aptos"/>
        <family val="2"/>
        <scheme val="none"/>
      </font>
      <numFmt numFmtId="0" formatCode="General"/>
    </dxf>
    <dxf>
      <font>
        <strike val="0"/>
        <outline val="0"/>
        <shadow val="0"/>
        <u val="none"/>
        <vertAlign val="baseline"/>
        <sz val="12"/>
        <color theme="1"/>
        <name val="Aptos"/>
        <family val="2"/>
        <scheme val="none"/>
      </font>
      <numFmt numFmtId="0" formatCode="General"/>
    </dxf>
    <dxf>
      <font>
        <strike val="0"/>
        <outline val="0"/>
        <shadow val="0"/>
        <u val="none"/>
        <vertAlign val="baseline"/>
        <sz val="12"/>
        <color theme="1"/>
        <name val="Aptos"/>
        <family val="2"/>
        <scheme val="none"/>
      </font>
    </dxf>
    <dxf>
      <font>
        <strike val="0"/>
        <outline val="0"/>
        <shadow val="0"/>
        <u val="none"/>
        <vertAlign val="baseline"/>
        <sz val="12"/>
        <color theme="1"/>
        <name val="Aptos"/>
        <family val="2"/>
        <scheme val="none"/>
      </font>
    </dxf>
    <dxf>
      <font>
        <strike val="0"/>
        <outline val="0"/>
        <shadow val="0"/>
        <u val="none"/>
        <vertAlign val="baseline"/>
        <sz val="12"/>
        <color theme="1"/>
        <name val="Aptos"/>
        <family val="2"/>
        <scheme val="none"/>
      </font>
    </dxf>
    <dxf>
      <font>
        <strike val="0"/>
        <outline val="0"/>
        <shadow val="0"/>
        <u val="none"/>
        <vertAlign val="baseline"/>
        <sz val="12"/>
        <color theme="1"/>
        <name val="Aptos"/>
        <family val="2"/>
        <scheme val="none"/>
      </font>
    </dxf>
    <dxf>
      <font>
        <strike val="0"/>
        <outline val="0"/>
        <shadow val="0"/>
        <u val="none"/>
        <vertAlign val="baseline"/>
        <sz val="12"/>
        <color theme="1"/>
        <name val="Aptos"/>
        <family val="2"/>
        <scheme val="none"/>
      </font>
      <numFmt numFmtId="0" formatCode="General"/>
      <alignment horizontal="center" vertical="bottom" textRotation="0" wrapText="0" indent="0" justifyLastLine="0" shrinkToFit="0" readingOrder="0"/>
    </dxf>
    <dxf>
      <font>
        <strike val="0"/>
        <outline val="0"/>
        <shadow val="0"/>
        <u val="none"/>
        <vertAlign val="baseline"/>
        <sz val="12"/>
        <color theme="1"/>
        <name val="Aptos"/>
        <family val="2"/>
        <scheme val="none"/>
      </font>
      <numFmt numFmtId="0" formatCode="General"/>
    </dxf>
    <dxf>
      <font>
        <strike val="0"/>
        <outline val="0"/>
        <shadow val="0"/>
        <u val="none"/>
        <vertAlign val="baseline"/>
        <sz val="12"/>
        <color theme="1"/>
        <name val="Aptos"/>
        <family val="2"/>
        <scheme val="none"/>
      </font>
      <numFmt numFmtId="0" formatCode="General"/>
    </dxf>
    <dxf>
      <font>
        <strike val="0"/>
        <outline val="0"/>
        <shadow val="0"/>
        <u val="none"/>
        <vertAlign val="baseline"/>
        <sz val="12"/>
        <color theme="1"/>
        <name val="Aptos"/>
        <family val="2"/>
        <scheme val="none"/>
      </font>
      <numFmt numFmtId="0" formatCode="General"/>
    </dxf>
    <dxf>
      <font>
        <strike val="0"/>
        <outline val="0"/>
        <shadow val="0"/>
        <u val="none"/>
        <vertAlign val="baseline"/>
        <sz val="12"/>
        <color theme="1"/>
        <name val="Aptos"/>
        <family val="2"/>
        <scheme val="none"/>
      </font>
    </dxf>
    <dxf>
      <font>
        <strike val="0"/>
        <outline val="0"/>
        <shadow val="0"/>
        <u val="none"/>
        <vertAlign val="baseline"/>
        <sz val="12"/>
        <color theme="1"/>
        <name val="Aptos"/>
        <family val="2"/>
        <scheme val="none"/>
      </font>
    </dxf>
    <dxf>
      <font>
        <strike val="0"/>
        <outline val="0"/>
        <shadow val="0"/>
        <u val="none"/>
        <vertAlign val="baseline"/>
        <sz val="12"/>
        <color theme="1"/>
        <name val="Aptos"/>
        <family val="2"/>
        <scheme val="none"/>
      </font>
      <numFmt numFmtId="0" formatCode="General"/>
      <alignment vertical="bottom" textRotation="0" wrapText="1" indent="0" justifyLastLine="0" shrinkToFit="0" readingOrder="0"/>
    </dxf>
    <dxf>
      <font>
        <strike val="0"/>
        <outline val="0"/>
        <shadow val="0"/>
        <u val="none"/>
        <vertAlign val="baseline"/>
        <sz val="12"/>
        <color theme="1"/>
        <name val="Aptos"/>
        <family val="2"/>
        <scheme val="none"/>
      </font>
      <alignment horizontal="center" vertical="bottom" textRotation="0" wrapText="0" indent="0" justifyLastLine="0" shrinkToFit="0" readingOrder="0"/>
    </dxf>
    <dxf>
      <font>
        <strike val="0"/>
        <outline val="0"/>
        <shadow val="0"/>
        <u val="none"/>
        <vertAlign val="baseline"/>
        <sz val="12"/>
        <color theme="1"/>
        <name val="Aptos"/>
        <family val="2"/>
        <scheme val="none"/>
      </font>
      <numFmt numFmtId="0" formatCode="General"/>
      <alignment horizontal="center" vertical="bottom" textRotation="0" wrapText="0" indent="0" justifyLastLine="0" shrinkToFit="0" readingOrder="0"/>
    </dxf>
    <dxf>
      <font>
        <strike val="0"/>
        <outline val="0"/>
        <shadow val="0"/>
        <u val="none"/>
        <vertAlign val="baseline"/>
        <sz val="12"/>
        <color theme="1"/>
        <name val="Aptos"/>
        <family val="2"/>
        <scheme val="none"/>
      </font>
      <numFmt numFmtId="0" formatCode="General"/>
    </dxf>
    <dxf>
      <font>
        <strike val="0"/>
        <outline val="0"/>
        <shadow val="0"/>
        <u val="none"/>
        <vertAlign val="baseline"/>
        <sz val="12"/>
        <color theme="1"/>
        <name val="Aptos"/>
        <family val="2"/>
        <scheme val="none"/>
      </font>
      <numFmt numFmtId="0" formatCode="General"/>
    </dxf>
    <dxf>
      <font>
        <strike val="0"/>
        <outline val="0"/>
        <shadow val="0"/>
        <u val="none"/>
        <vertAlign val="baseline"/>
        <sz val="12"/>
        <color theme="1"/>
        <name val="Aptos"/>
        <family val="2"/>
        <scheme val="none"/>
      </font>
      <numFmt numFmtId="0" formatCode="General"/>
    </dxf>
    <dxf>
      <font>
        <strike val="0"/>
        <outline val="0"/>
        <shadow val="0"/>
        <u val="none"/>
        <vertAlign val="baseline"/>
        <sz val="12"/>
        <color theme="1"/>
        <name val="Aptos"/>
        <family val="2"/>
        <scheme val="none"/>
      </font>
      <numFmt numFmtId="0" formatCode="General"/>
    </dxf>
    <dxf>
      <font>
        <strike val="0"/>
        <outline val="0"/>
        <shadow val="0"/>
        <u val="none"/>
        <vertAlign val="baseline"/>
        <sz val="12"/>
        <color theme="1"/>
        <name val="Aptos"/>
        <family val="2"/>
        <scheme val="none"/>
      </font>
    </dxf>
    <dxf>
      <font>
        <strike val="0"/>
        <outline val="0"/>
        <shadow val="0"/>
        <u val="none"/>
        <vertAlign val="baseline"/>
        <sz val="12"/>
        <color theme="1"/>
        <name val="Aptos"/>
        <family val="2"/>
        <scheme val="none"/>
      </font>
    </dxf>
    <dxf>
      <font>
        <strike val="0"/>
        <outline val="0"/>
        <shadow val="0"/>
        <u val="none"/>
        <vertAlign val="baseline"/>
        <sz val="12"/>
        <color theme="1"/>
        <name val="Aptos"/>
        <family val="2"/>
        <scheme val="none"/>
      </font>
    </dxf>
    <dxf>
      <font>
        <strike val="0"/>
        <outline val="0"/>
        <shadow val="0"/>
        <u val="none"/>
        <vertAlign val="baseline"/>
        <sz val="12"/>
        <color theme="1"/>
        <name val="Aptos"/>
        <family val="2"/>
        <scheme val="none"/>
      </font>
      <alignment horizontal="center" vertical="bottom" textRotation="0" wrapText="0" indent="0" justifyLastLine="0" shrinkToFit="0" readingOrder="0"/>
    </dxf>
    <dxf>
      <font>
        <strike val="0"/>
        <outline val="0"/>
        <shadow val="0"/>
        <u val="none"/>
        <vertAlign val="baseline"/>
        <sz val="12"/>
        <color theme="1"/>
        <name val="Aptos"/>
        <family val="2"/>
        <scheme val="none"/>
      </font>
      <alignment horizontal="center" vertical="bottom" textRotation="0" wrapText="0" indent="0" justifyLastLine="0" shrinkToFit="0" readingOrder="0"/>
    </dxf>
    <dxf>
      <font>
        <strike val="0"/>
        <outline val="0"/>
        <shadow val="0"/>
        <u val="none"/>
        <vertAlign val="baseline"/>
        <sz val="12"/>
        <color theme="1"/>
        <name val="Aptos"/>
        <family val="2"/>
        <scheme val="none"/>
      </font>
      <numFmt numFmtId="164" formatCode="h:mm;@"/>
      <alignment horizontal="center" vertical="bottom" textRotation="0" wrapText="0" indent="0" justifyLastLine="0" shrinkToFit="0" readingOrder="0"/>
    </dxf>
    <dxf>
      <font>
        <strike val="0"/>
        <outline val="0"/>
        <shadow val="0"/>
        <u val="none"/>
        <vertAlign val="baseline"/>
        <sz val="12"/>
        <color theme="1"/>
        <name val="Aptos"/>
        <family val="2"/>
        <scheme val="none"/>
      </font>
      <numFmt numFmtId="164" formatCode="h:mm;@"/>
      <alignment horizontal="center" vertical="bottom" textRotation="0" wrapText="0" indent="0" justifyLastLine="0" shrinkToFit="0" readingOrder="0"/>
    </dxf>
    <dxf>
      <font>
        <strike val="0"/>
        <outline val="0"/>
        <shadow val="0"/>
        <u val="none"/>
        <vertAlign val="baseline"/>
        <sz val="12"/>
        <color theme="1"/>
        <name val="Aptos"/>
        <family val="2"/>
        <scheme val="none"/>
      </font>
    </dxf>
    <dxf>
      <font>
        <strike val="0"/>
        <outline val="0"/>
        <shadow val="0"/>
        <u val="none"/>
        <vertAlign val="baseline"/>
        <sz val="12"/>
        <color theme="1"/>
        <name val="Aptos"/>
        <family val="2"/>
        <scheme val="none"/>
      </font>
      <numFmt numFmtId="19" formatCode="m/d/yyyy"/>
      <alignment horizontal="center" vertical="bottom" textRotation="0" wrapText="0" indent="0" justifyLastLine="0" shrinkToFit="0" readingOrder="0"/>
    </dxf>
    <dxf>
      <font>
        <strike val="0"/>
        <outline val="0"/>
        <shadow val="0"/>
        <u val="none"/>
        <vertAlign val="baseline"/>
        <sz val="12"/>
        <color theme="1"/>
        <name val="Aptos"/>
        <family val="2"/>
        <scheme val="none"/>
      </font>
      <numFmt numFmtId="0" formatCode="General"/>
      <alignment horizontal="center" vertical="bottom" textRotation="0" wrapText="0" indent="0" justifyLastLine="0" shrinkToFit="0" readingOrder="0"/>
    </dxf>
    <dxf>
      <font>
        <strike val="0"/>
        <outline val="0"/>
        <shadow val="0"/>
        <u val="none"/>
        <vertAlign val="baseline"/>
        <sz val="12"/>
        <color theme="1"/>
        <name val="Aptos"/>
        <family val="2"/>
        <scheme val="none"/>
      </font>
    </dxf>
    <dxf>
      <font>
        <strike val="0"/>
        <outline val="0"/>
        <shadow val="0"/>
        <u val="none"/>
        <vertAlign val="baseline"/>
        <sz val="12"/>
        <color theme="1"/>
        <name val="Aptos"/>
        <family val="2"/>
        <scheme val="none"/>
      </font>
      <alignment horizontal="center" vertical="bottom" textRotation="0" indent="0" justifyLastLine="0" shrinkToFit="0" readingOrder="0"/>
    </dxf>
    <dxf>
      <font>
        <strike val="0"/>
        <outline val="0"/>
        <shadow val="0"/>
        <u val="none"/>
        <vertAlign val="baseline"/>
        <sz val="12"/>
        <color theme="1"/>
        <name val="Aptos"/>
        <family val="2"/>
        <scheme val="none"/>
      </font>
    </dxf>
    <dxf>
      <font>
        <strike val="0"/>
        <outline val="0"/>
        <shadow val="0"/>
        <u val="none"/>
        <vertAlign val="baseline"/>
        <sz val="12"/>
        <color theme="1"/>
        <name val="Aptos"/>
        <family val="2"/>
        <scheme val="none"/>
      </font>
      <numFmt numFmtId="27" formatCode="m/d/yyyy\ h:mm"/>
    </dxf>
    <dxf>
      <font>
        <strike val="0"/>
        <outline val="0"/>
        <shadow val="0"/>
        <u val="none"/>
        <vertAlign val="baseline"/>
        <sz val="12"/>
        <color theme="1"/>
        <name val="Aptos"/>
        <family val="2"/>
        <scheme val="none"/>
      </font>
    </dxf>
    <dxf>
      <font>
        <strike val="0"/>
        <outline val="0"/>
        <shadow val="0"/>
        <u val="none"/>
        <vertAlign val="baseline"/>
        <sz val="12"/>
        <color theme="1"/>
        <name val="Aptos"/>
        <family val="2"/>
        <scheme val="none"/>
      </font>
    </dxf>
    <dxf>
      <font>
        <strike val="0"/>
        <outline val="0"/>
        <shadow val="0"/>
        <u val="none"/>
        <vertAlign val="baseline"/>
        <sz val="12"/>
        <color theme="1"/>
        <name val="Aptos"/>
        <family val="2"/>
        <scheme val="none"/>
      </font>
    </dxf>
    <dxf>
      <font>
        <strike val="0"/>
        <outline val="0"/>
        <shadow val="0"/>
        <u val="none"/>
        <vertAlign val="baseline"/>
        <sz val="12"/>
        <color theme="1"/>
        <name val="Aptos"/>
        <family val="2"/>
        <scheme val="none"/>
      </font>
    </dxf>
    <dxf>
      <font>
        <strike val="0"/>
        <outline val="0"/>
        <shadow val="0"/>
        <u val="none"/>
        <vertAlign val="baseline"/>
        <sz val="12"/>
        <color theme="1"/>
        <name val="Aptos"/>
        <family val="2"/>
        <scheme val="none"/>
      </font>
    </dxf>
    <dxf>
      <font>
        <strike val="0"/>
        <outline val="0"/>
        <shadow val="0"/>
        <u val="none"/>
        <vertAlign val="baseline"/>
        <sz val="12"/>
        <color theme="1"/>
        <name val="Aptos"/>
        <family val="2"/>
        <scheme val="none"/>
      </font>
    </dxf>
    <dxf>
      <font>
        <strike val="0"/>
        <outline val="0"/>
        <shadow val="0"/>
        <u val="none"/>
        <vertAlign val="baseline"/>
        <sz val="12"/>
        <color theme="1"/>
        <name val="Aptos"/>
        <family val="2"/>
        <scheme val="none"/>
      </font>
      <numFmt numFmtId="172" formatCode="[$-F400]h:mm:ss\ AM/PM"/>
    </dxf>
    <dxf>
      <font>
        <strike val="0"/>
        <outline val="0"/>
        <shadow val="0"/>
        <u val="none"/>
        <vertAlign val="baseline"/>
        <sz val="12"/>
        <color theme="1"/>
        <name val="Aptos"/>
        <family val="2"/>
        <scheme val="none"/>
      </font>
      <numFmt numFmtId="172" formatCode="[$-F400]h:mm:ss\ AM/PM"/>
    </dxf>
    <dxf>
      <font>
        <strike val="0"/>
        <outline val="0"/>
        <shadow val="0"/>
        <u val="none"/>
        <vertAlign val="baseline"/>
        <sz val="12"/>
        <color theme="1"/>
        <name val="Aptos"/>
        <family val="2"/>
        <scheme val="none"/>
      </font>
    </dxf>
    <dxf>
      <font>
        <strike val="0"/>
        <outline val="0"/>
        <shadow val="0"/>
        <u val="none"/>
        <vertAlign val="baseline"/>
        <sz val="12"/>
        <color theme="1"/>
        <name val="Aptos"/>
        <family val="2"/>
        <scheme val="none"/>
      </font>
      <numFmt numFmtId="19" formatCode="m/d/yyyy"/>
    </dxf>
    <dxf>
      <font>
        <strike val="0"/>
        <outline val="0"/>
        <shadow val="0"/>
        <u val="none"/>
        <vertAlign val="baseline"/>
        <sz val="12"/>
        <color theme="1"/>
        <name val="Aptos"/>
        <family val="2"/>
        <scheme val="none"/>
      </font>
    </dxf>
    <dxf>
      <font>
        <strike val="0"/>
        <outline val="0"/>
        <shadow val="0"/>
        <u val="none"/>
        <vertAlign val="baseline"/>
        <sz val="12"/>
        <color theme="1"/>
        <name val="Aptos"/>
        <family val="2"/>
        <scheme val="none"/>
      </font>
    </dxf>
    <dxf>
      <font>
        <strike val="0"/>
        <outline val="0"/>
        <shadow val="0"/>
        <u val="none"/>
        <vertAlign val="baseline"/>
        <sz val="12"/>
        <color theme="1"/>
        <name val="Aptos"/>
        <family val="2"/>
        <scheme val="none"/>
      </font>
    </dxf>
    <dxf>
      <font>
        <strike val="0"/>
        <outline val="0"/>
        <shadow val="0"/>
        <u val="none"/>
        <vertAlign val="baseline"/>
        <sz val="12"/>
        <color theme="1"/>
        <name val="Aptos"/>
        <family val="2"/>
        <scheme val="none"/>
      </font>
    </dxf>
    <dxf>
      <font>
        <strike val="0"/>
        <outline val="0"/>
        <shadow val="0"/>
        <u val="none"/>
        <vertAlign val="baseline"/>
        <sz val="12"/>
        <color theme="1"/>
        <name val="Aptos"/>
        <family val="2"/>
        <scheme val="none"/>
      </font>
    </dxf>
    <dxf>
      <font>
        <strike val="0"/>
        <outline val="0"/>
        <shadow val="0"/>
        <u val="none"/>
        <vertAlign val="baseline"/>
        <sz val="12"/>
        <color theme="1"/>
        <name val="Aptos"/>
        <family val="2"/>
        <scheme val="none"/>
      </font>
    </dxf>
    <dxf>
      <font>
        <strike val="0"/>
        <outline val="0"/>
        <shadow val="0"/>
        <u val="none"/>
        <vertAlign val="baseline"/>
        <sz val="12"/>
        <color theme="1"/>
        <name val="Aptos"/>
        <family val="2"/>
        <scheme val="none"/>
      </font>
    </dxf>
    <dxf>
      <font>
        <strike val="0"/>
        <outline val="0"/>
        <shadow val="0"/>
        <u val="none"/>
        <vertAlign val="baseline"/>
        <sz val="12"/>
        <color theme="1"/>
        <name val="Aptos"/>
        <family val="2"/>
        <scheme val="none"/>
      </font>
      <numFmt numFmtId="0" formatCode="General"/>
    </dxf>
    <dxf>
      <font>
        <strike val="0"/>
        <outline val="0"/>
        <shadow val="0"/>
        <u val="none"/>
        <vertAlign val="baseline"/>
        <sz val="12"/>
        <color theme="1"/>
        <name val="Aptos"/>
        <family val="2"/>
        <scheme val="none"/>
      </font>
      <numFmt numFmtId="0" formatCode="General"/>
    </dxf>
    <dxf>
      <font>
        <strike val="0"/>
        <outline val="0"/>
        <shadow val="0"/>
        <u val="none"/>
        <vertAlign val="baseline"/>
        <sz val="12"/>
        <color theme="1"/>
        <name val="Aptos"/>
        <family val="2"/>
        <scheme val="none"/>
      </font>
      <numFmt numFmtId="0" formatCode="General"/>
    </dxf>
    <dxf>
      <font>
        <strike val="0"/>
        <outline val="0"/>
        <shadow val="0"/>
        <u val="none"/>
        <vertAlign val="baseline"/>
        <sz val="12"/>
        <color theme="1"/>
        <name val="Aptos"/>
        <family val="2"/>
        <scheme val="none"/>
      </font>
      <numFmt numFmtId="0" formatCode="General"/>
    </dxf>
    <dxf>
      <font>
        <strike val="0"/>
        <outline val="0"/>
        <shadow val="0"/>
        <u val="none"/>
        <vertAlign val="baseline"/>
        <sz val="12"/>
        <color theme="1"/>
        <name val="Aptos"/>
        <family val="2"/>
        <scheme val="none"/>
      </font>
      <numFmt numFmtId="0" formatCode="General"/>
    </dxf>
    <dxf>
      <font>
        <strike val="0"/>
        <outline val="0"/>
        <shadow val="0"/>
        <u val="none"/>
        <vertAlign val="baseline"/>
        <sz val="12"/>
        <color theme="1"/>
        <name val="Aptos"/>
        <family val="2"/>
        <scheme val="none"/>
      </font>
      <numFmt numFmtId="0" formatCode="General"/>
    </dxf>
    <dxf>
      <font>
        <strike val="0"/>
        <outline val="0"/>
        <shadow val="0"/>
        <u val="none"/>
        <vertAlign val="baseline"/>
        <sz val="12"/>
        <color theme="1"/>
        <name val="Aptos"/>
        <family val="2"/>
        <scheme val="none"/>
      </font>
      <numFmt numFmtId="0" formatCode="General"/>
    </dxf>
    <dxf>
      <font>
        <strike val="0"/>
        <outline val="0"/>
        <shadow val="0"/>
        <u val="none"/>
        <vertAlign val="baseline"/>
        <sz val="12"/>
        <color theme="1"/>
        <name val="Aptos"/>
        <family val="2"/>
        <scheme val="none"/>
      </font>
    </dxf>
    <dxf>
      <font>
        <strike val="0"/>
        <outline val="0"/>
        <shadow val="0"/>
        <u val="none"/>
        <vertAlign val="baseline"/>
        <sz val="12"/>
        <color theme="1"/>
        <name val="Aptos"/>
        <family val="2"/>
        <scheme val="none"/>
      </font>
    </dxf>
    <dxf>
      <font>
        <strike val="0"/>
        <outline val="0"/>
        <shadow val="0"/>
        <u val="none"/>
        <vertAlign val="baseline"/>
        <sz val="12"/>
        <color theme="1"/>
        <name val="Aptos"/>
        <family val="2"/>
        <scheme val="none"/>
      </font>
    </dxf>
    <dxf>
      <font>
        <strike val="0"/>
        <outline val="0"/>
        <shadow val="0"/>
        <u val="none"/>
        <vertAlign val="baseline"/>
        <sz val="12"/>
        <color theme="1"/>
        <name val="Aptos"/>
        <family val="2"/>
        <scheme val="none"/>
      </font>
    </dxf>
    <dxf>
      <font>
        <strike val="0"/>
        <outline val="0"/>
        <shadow val="0"/>
        <u val="none"/>
        <vertAlign val="baseline"/>
        <sz val="12"/>
        <color theme="1"/>
        <name val="Aptos"/>
        <family val="2"/>
        <scheme val="none"/>
      </font>
      <numFmt numFmtId="0" formatCode="General"/>
    </dxf>
    <dxf>
      <font>
        <strike val="0"/>
        <outline val="0"/>
        <shadow val="0"/>
        <u val="none"/>
        <vertAlign val="baseline"/>
        <sz val="12"/>
        <color theme="1"/>
        <name val="Aptos"/>
        <family val="2"/>
        <scheme val="none"/>
      </font>
      <numFmt numFmtId="0" formatCode="General"/>
    </dxf>
    <dxf>
      <font>
        <strike val="0"/>
        <outline val="0"/>
        <shadow val="0"/>
        <u val="none"/>
        <vertAlign val="baseline"/>
        <sz val="12"/>
        <color theme="1"/>
        <name val="Aptos"/>
        <family val="2"/>
        <scheme val="none"/>
      </font>
      <numFmt numFmtId="0" formatCode="General"/>
    </dxf>
    <dxf>
      <font>
        <strike val="0"/>
        <outline val="0"/>
        <shadow val="0"/>
        <u val="none"/>
        <vertAlign val="baseline"/>
        <sz val="12"/>
        <color theme="1"/>
        <name val="Aptos"/>
        <family val="2"/>
        <scheme val="none"/>
      </font>
      <numFmt numFmtId="0" formatCode="General"/>
    </dxf>
    <dxf>
      <font>
        <strike val="0"/>
        <outline val="0"/>
        <shadow val="0"/>
        <u val="none"/>
        <vertAlign val="baseline"/>
        <sz val="12"/>
        <color theme="1"/>
        <name val="Aptos"/>
        <family val="2"/>
        <scheme val="none"/>
      </font>
    </dxf>
    <dxf>
      <font>
        <strike val="0"/>
        <outline val="0"/>
        <shadow val="0"/>
        <u val="none"/>
        <vertAlign val="baseline"/>
        <sz val="12"/>
        <color theme="1"/>
        <name val="Aptos"/>
        <family val="2"/>
        <scheme val="none"/>
      </font>
    </dxf>
    <dxf>
      <font>
        <strike val="0"/>
        <outline val="0"/>
        <shadow val="0"/>
        <u val="none"/>
        <vertAlign val="baseline"/>
        <sz val="12"/>
        <color theme="1"/>
        <name val="Aptos"/>
        <family val="2"/>
        <scheme val="none"/>
      </font>
      <numFmt numFmtId="0" formatCode="General"/>
    </dxf>
    <dxf>
      <font>
        <strike val="0"/>
        <outline val="0"/>
        <shadow val="0"/>
        <u val="none"/>
        <vertAlign val="baseline"/>
        <sz val="12"/>
        <color theme="1"/>
        <name val="Aptos"/>
        <family val="2"/>
        <scheme val="none"/>
      </font>
    </dxf>
    <dxf>
      <font>
        <strike val="0"/>
        <outline val="0"/>
        <shadow val="0"/>
        <u val="none"/>
        <vertAlign val="baseline"/>
        <sz val="12"/>
        <color theme="1"/>
        <name val="Aptos"/>
        <family val="2"/>
        <scheme val="none"/>
      </font>
      <numFmt numFmtId="0" formatCode="General"/>
    </dxf>
    <dxf>
      <font>
        <strike val="0"/>
        <outline val="0"/>
        <shadow val="0"/>
        <u val="none"/>
        <vertAlign val="baseline"/>
        <sz val="12"/>
        <color theme="1"/>
        <name val="Aptos"/>
        <family val="2"/>
        <scheme val="none"/>
      </font>
      <numFmt numFmtId="0" formatCode="General"/>
    </dxf>
    <dxf>
      <font>
        <strike val="0"/>
        <outline val="0"/>
        <shadow val="0"/>
        <u val="none"/>
        <vertAlign val="baseline"/>
        <sz val="12"/>
        <color theme="1"/>
        <name val="Aptos"/>
        <family val="2"/>
        <scheme val="none"/>
      </font>
      <numFmt numFmtId="0" formatCode="General"/>
    </dxf>
    <dxf>
      <font>
        <strike val="0"/>
        <outline val="0"/>
        <shadow val="0"/>
        <u val="none"/>
        <vertAlign val="baseline"/>
        <sz val="12"/>
        <color theme="1"/>
        <name val="Aptos"/>
        <family val="2"/>
        <scheme val="none"/>
      </font>
      <numFmt numFmtId="0" formatCode="General"/>
    </dxf>
    <dxf>
      <font>
        <strike val="0"/>
        <outline val="0"/>
        <shadow val="0"/>
        <u val="none"/>
        <vertAlign val="baseline"/>
        <sz val="12"/>
        <color theme="1"/>
        <name val="Aptos"/>
        <family val="2"/>
        <scheme val="none"/>
      </font>
      <numFmt numFmtId="0" formatCode="General"/>
    </dxf>
    <dxf>
      <font>
        <strike val="0"/>
        <outline val="0"/>
        <shadow val="0"/>
        <u val="none"/>
        <vertAlign val="baseline"/>
        <sz val="12"/>
        <color theme="1"/>
        <name val="Aptos"/>
        <family val="2"/>
        <scheme val="none"/>
      </font>
    </dxf>
    <dxf>
      <font>
        <strike val="0"/>
        <outline val="0"/>
        <shadow val="0"/>
        <u val="none"/>
        <vertAlign val="baseline"/>
        <sz val="12"/>
        <color theme="1"/>
        <name val="Aptos"/>
        <family val="2"/>
        <scheme val="none"/>
      </font>
    </dxf>
    <dxf>
      <font>
        <strike val="0"/>
        <outline val="0"/>
        <shadow val="0"/>
        <u val="none"/>
        <vertAlign val="baseline"/>
        <sz val="12"/>
        <color theme="1"/>
        <name val="Aptos"/>
        <family val="2"/>
        <scheme val="none"/>
      </font>
    </dxf>
    <dxf>
      <font>
        <strike val="0"/>
        <outline val="0"/>
        <shadow val="0"/>
        <u val="none"/>
        <vertAlign val="baseline"/>
        <sz val="12"/>
        <color theme="1"/>
        <name val="Aptos"/>
        <family val="2"/>
        <scheme val="none"/>
      </font>
    </dxf>
    <dxf>
      <font>
        <strike val="0"/>
        <outline val="0"/>
        <shadow val="0"/>
        <u val="none"/>
        <vertAlign val="baseline"/>
        <sz val="12"/>
        <color theme="1"/>
        <name val="Aptos"/>
        <family val="2"/>
        <scheme val="none"/>
      </font>
      <numFmt numFmtId="0" formatCode="General"/>
    </dxf>
    <dxf>
      <font>
        <strike val="0"/>
        <outline val="0"/>
        <shadow val="0"/>
        <u val="none"/>
        <vertAlign val="baseline"/>
        <sz val="12"/>
        <color theme="1"/>
        <name val="Aptos"/>
        <family val="2"/>
        <scheme val="none"/>
      </font>
    </dxf>
    <dxf>
      <font>
        <strike val="0"/>
        <outline val="0"/>
        <shadow val="0"/>
        <u val="none"/>
        <vertAlign val="baseline"/>
        <sz val="12"/>
        <color theme="1"/>
        <name val="Aptos"/>
        <family val="2"/>
        <scheme val="none"/>
      </font>
      <alignment horizontal="center" vertical="bottom" textRotation="0" wrapText="0" indent="0" justifyLastLine="0" shrinkToFit="0" readingOrder="0"/>
    </dxf>
    <dxf>
      <font>
        <strike val="0"/>
        <outline val="0"/>
        <shadow val="0"/>
        <u val="none"/>
        <vertAlign val="baseline"/>
        <sz val="12"/>
        <color theme="1"/>
        <name val="Aptos"/>
        <family val="2"/>
        <scheme val="none"/>
      </font>
    </dxf>
    <dxf>
      <font>
        <strike val="0"/>
        <outline val="0"/>
        <shadow val="0"/>
        <u val="none"/>
        <vertAlign val="baseline"/>
        <sz val="12"/>
        <color theme="1"/>
        <name val="Aptos"/>
        <family val="2"/>
        <scheme val="none"/>
      </font>
      <numFmt numFmtId="27" formatCode="m/d/yyyy\ h:mm"/>
    </dxf>
    <dxf>
      <font>
        <strike val="0"/>
        <outline val="0"/>
        <shadow val="0"/>
        <u val="none"/>
        <vertAlign val="baseline"/>
        <sz val="12"/>
        <color theme="1"/>
        <name val="Aptos"/>
        <family val="2"/>
        <scheme val="none"/>
      </font>
    </dxf>
    <dxf>
      <font>
        <strike val="0"/>
        <outline val="0"/>
        <shadow val="0"/>
        <u val="none"/>
        <vertAlign val="baseline"/>
        <sz val="12"/>
        <color theme="1"/>
        <name val="Aptos"/>
        <family val="2"/>
        <scheme val="none"/>
      </font>
    </dxf>
    <dxf>
      <font>
        <strike val="0"/>
        <outline val="0"/>
        <shadow val="0"/>
        <u val="none"/>
        <vertAlign val="baseline"/>
        <sz val="12"/>
        <color theme="1"/>
        <name val="Aptos"/>
        <family val="2"/>
        <scheme val="none"/>
      </font>
    </dxf>
    <dxf>
      <font>
        <strike val="0"/>
        <outline val="0"/>
        <shadow val="0"/>
        <u val="none"/>
        <vertAlign val="baseline"/>
        <sz val="12"/>
        <color theme="1"/>
        <name val="Aptos"/>
        <family val="2"/>
        <scheme val="none"/>
      </font>
    </dxf>
    <dxf>
      <font>
        <strike val="0"/>
        <outline val="0"/>
        <shadow val="0"/>
        <u val="none"/>
        <vertAlign val="baseline"/>
        <sz val="12"/>
        <color theme="1"/>
        <name val="Aptos"/>
        <family val="2"/>
        <scheme val="none"/>
      </font>
    </dxf>
    <dxf>
      <font>
        <strike val="0"/>
        <outline val="0"/>
        <shadow val="0"/>
        <u val="none"/>
        <vertAlign val="baseline"/>
        <sz val="12"/>
        <color theme="1"/>
        <name val="Aptos"/>
        <family val="2"/>
        <scheme val="none"/>
      </font>
    </dxf>
    <dxf>
      <font>
        <strike val="0"/>
        <outline val="0"/>
        <shadow val="0"/>
        <u val="none"/>
        <vertAlign val="baseline"/>
        <sz val="12"/>
        <color theme="1"/>
        <name val="Aptos"/>
        <family val="2"/>
        <scheme val="none"/>
      </font>
      <numFmt numFmtId="172" formatCode="[$-F400]h:mm:ss\ AM/PM"/>
    </dxf>
    <dxf>
      <font>
        <strike val="0"/>
        <outline val="0"/>
        <shadow val="0"/>
        <u val="none"/>
        <vertAlign val="baseline"/>
        <sz val="12"/>
        <color theme="1"/>
        <name val="Aptos"/>
        <family val="2"/>
        <scheme val="none"/>
      </font>
      <numFmt numFmtId="172" formatCode="[$-F400]h:mm:ss\ AM/PM"/>
    </dxf>
    <dxf>
      <font>
        <strike val="0"/>
        <outline val="0"/>
        <shadow val="0"/>
        <u val="none"/>
        <vertAlign val="baseline"/>
        <sz val="12"/>
        <color theme="1"/>
        <name val="Aptos"/>
        <family val="2"/>
        <scheme val="none"/>
      </font>
    </dxf>
    <dxf>
      <font>
        <strike val="0"/>
        <outline val="0"/>
        <shadow val="0"/>
        <u val="none"/>
        <vertAlign val="baseline"/>
        <sz val="12"/>
        <color theme="1"/>
        <name val="Aptos"/>
        <family val="2"/>
        <scheme val="none"/>
      </font>
      <numFmt numFmtId="19" formatCode="m/d/yyyy"/>
    </dxf>
    <dxf>
      <font>
        <strike val="0"/>
        <outline val="0"/>
        <shadow val="0"/>
        <u val="none"/>
        <vertAlign val="baseline"/>
        <sz val="12"/>
        <color theme="1"/>
        <name val="Aptos"/>
        <family val="2"/>
        <scheme val="none"/>
      </font>
    </dxf>
    <dxf>
      <font>
        <strike val="0"/>
        <outline val="0"/>
        <shadow val="0"/>
        <u val="none"/>
        <vertAlign val="baseline"/>
        <sz val="12"/>
        <color theme="1"/>
        <name val="Aptos"/>
        <family val="2"/>
        <scheme val="none"/>
      </font>
    </dxf>
    <dxf>
      <font>
        <strike val="0"/>
        <outline val="0"/>
        <shadow val="0"/>
        <u val="none"/>
        <vertAlign val="baseline"/>
        <sz val="12"/>
        <color theme="1"/>
        <name val="Aptos"/>
        <family val="2"/>
        <scheme val="none"/>
      </font>
    </dxf>
    <dxf>
      <font>
        <strike val="0"/>
        <outline val="0"/>
        <shadow val="0"/>
        <u val="none"/>
        <vertAlign val="baseline"/>
        <sz val="12"/>
        <color theme="1"/>
        <name val="Aptos"/>
        <family val="2"/>
        <scheme val="none"/>
      </font>
    </dxf>
    <dxf>
      <font>
        <strike val="0"/>
        <outline val="0"/>
        <shadow val="0"/>
        <u val="none"/>
        <vertAlign val="baseline"/>
        <sz val="12"/>
        <color theme="1"/>
        <name val="Aptos"/>
        <family val="2"/>
        <scheme val="none"/>
      </font>
    </dxf>
    <dxf>
      <font>
        <strike val="0"/>
        <outline val="0"/>
        <shadow val="0"/>
        <u val="none"/>
        <vertAlign val="baseline"/>
        <sz val="12"/>
        <color theme="1"/>
        <name val="Aptos"/>
        <family val="2"/>
        <scheme val="none"/>
      </font>
    </dxf>
    <dxf>
      <font>
        <strike val="0"/>
        <outline val="0"/>
        <shadow val="0"/>
        <u val="none"/>
        <vertAlign val="baseline"/>
        <sz val="12"/>
        <color theme="1"/>
        <name val="Aptos"/>
        <family val="2"/>
        <scheme val="none"/>
      </font>
    </dxf>
    <dxf>
      <font>
        <strike val="0"/>
        <outline val="0"/>
        <shadow val="0"/>
        <u val="none"/>
        <vertAlign val="baseline"/>
        <sz val="12"/>
        <color theme="1"/>
        <name val="Aptos"/>
        <family val="2"/>
        <scheme val="none"/>
      </font>
      <numFmt numFmtId="0" formatCode="General"/>
    </dxf>
    <dxf>
      <font>
        <strike val="0"/>
        <outline val="0"/>
        <shadow val="0"/>
        <u val="none"/>
        <vertAlign val="baseline"/>
        <sz val="12"/>
        <color theme="1"/>
        <name val="Aptos"/>
        <family val="2"/>
        <scheme val="none"/>
      </font>
      <numFmt numFmtId="0" formatCode="General"/>
    </dxf>
    <dxf>
      <font>
        <strike val="0"/>
        <outline val="0"/>
        <shadow val="0"/>
        <u val="none"/>
        <vertAlign val="baseline"/>
        <sz val="12"/>
        <color theme="1"/>
        <name val="Aptos"/>
        <family val="2"/>
        <scheme val="none"/>
      </font>
      <numFmt numFmtId="0" formatCode="General"/>
    </dxf>
    <dxf>
      <font>
        <strike val="0"/>
        <outline val="0"/>
        <shadow val="0"/>
        <u val="none"/>
        <vertAlign val="baseline"/>
        <sz val="12"/>
        <color theme="1"/>
        <name val="Aptos"/>
        <family val="2"/>
        <scheme val="none"/>
      </font>
      <numFmt numFmtId="0" formatCode="General"/>
    </dxf>
    <dxf>
      <font>
        <strike val="0"/>
        <outline val="0"/>
        <shadow val="0"/>
        <u val="none"/>
        <vertAlign val="baseline"/>
        <sz val="12"/>
        <color theme="1"/>
        <name val="Aptos"/>
        <family val="2"/>
        <scheme val="none"/>
      </font>
      <numFmt numFmtId="0" formatCode="General"/>
    </dxf>
    <dxf>
      <font>
        <strike val="0"/>
        <outline val="0"/>
        <shadow val="0"/>
        <u val="none"/>
        <vertAlign val="baseline"/>
        <sz val="12"/>
        <color theme="1"/>
        <name val="Aptos"/>
        <family val="2"/>
        <scheme val="none"/>
      </font>
      <numFmt numFmtId="0" formatCode="General"/>
    </dxf>
    <dxf>
      <font>
        <strike val="0"/>
        <outline val="0"/>
        <shadow val="0"/>
        <u val="none"/>
        <vertAlign val="baseline"/>
        <sz val="12"/>
        <color theme="1"/>
        <name val="Aptos"/>
        <family val="2"/>
        <scheme val="none"/>
      </font>
      <numFmt numFmtId="0" formatCode="General"/>
    </dxf>
    <dxf>
      <font>
        <strike val="0"/>
        <outline val="0"/>
        <shadow val="0"/>
        <u val="none"/>
        <vertAlign val="baseline"/>
        <sz val="12"/>
        <color theme="1"/>
        <name val="Aptos"/>
        <family val="2"/>
        <scheme val="none"/>
      </font>
    </dxf>
    <dxf>
      <font>
        <strike val="0"/>
        <outline val="0"/>
        <shadow val="0"/>
        <u val="none"/>
        <vertAlign val="baseline"/>
        <sz val="12"/>
        <color theme="1"/>
        <name val="Aptos"/>
        <family val="2"/>
        <scheme val="none"/>
      </font>
    </dxf>
    <dxf>
      <font>
        <strike val="0"/>
        <outline val="0"/>
        <shadow val="0"/>
        <u val="none"/>
        <vertAlign val="baseline"/>
        <sz val="12"/>
        <color theme="1"/>
        <name val="Aptos"/>
        <family val="2"/>
        <scheme val="none"/>
      </font>
    </dxf>
    <dxf>
      <font>
        <strike val="0"/>
        <outline val="0"/>
        <shadow val="0"/>
        <u val="none"/>
        <vertAlign val="baseline"/>
        <sz val="12"/>
        <color theme="1"/>
        <name val="Aptos"/>
        <family val="2"/>
        <scheme val="none"/>
      </font>
    </dxf>
    <dxf>
      <font>
        <strike val="0"/>
        <outline val="0"/>
        <shadow val="0"/>
        <u val="none"/>
        <vertAlign val="baseline"/>
        <sz val="12"/>
        <color theme="1"/>
        <name val="Aptos"/>
        <family val="2"/>
        <scheme val="none"/>
      </font>
      <numFmt numFmtId="0" formatCode="General"/>
    </dxf>
    <dxf>
      <font>
        <strike val="0"/>
        <outline val="0"/>
        <shadow val="0"/>
        <u val="none"/>
        <vertAlign val="baseline"/>
        <sz val="12"/>
        <color theme="1"/>
        <name val="Aptos"/>
        <family val="2"/>
        <scheme val="none"/>
      </font>
      <numFmt numFmtId="0" formatCode="General"/>
    </dxf>
    <dxf>
      <font>
        <strike val="0"/>
        <outline val="0"/>
        <shadow val="0"/>
        <u val="none"/>
        <vertAlign val="baseline"/>
        <sz val="12"/>
        <color theme="1"/>
        <name val="Aptos"/>
        <family val="2"/>
        <scheme val="none"/>
      </font>
      <numFmt numFmtId="0" formatCode="General"/>
    </dxf>
    <dxf>
      <font>
        <strike val="0"/>
        <outline val="0"/>
        <shadow val="0"/>
        <u val="none"/>
        <vertAlign val="baseline"/>
        <sz val="12"/>
        <color theme="1"/>
        <name val="Aptos"/>
        <family val="2"/>
        <scheme val="none"/>
      </font>
      <numFmt numFmtId="0" formatCode="General"/>
    </dxf>
    <dxf>
      <font>
        <strike val="0"/>
        <outline val="0"/>
        <shadow val="0"/>
        <u val="none"/>
        <vertAlign val="baseline"/>
        <sz val="12"/>
        <color theme="1"/>
        <name val="Aptos"/>
        <family val="2"/>
        <scheme val="none"/>
      </font>
    </dxf>
    <dxf>
      <font>
        <strike val="0"/>
        <outline val="0"/>
        <shadow val="0"/>
        <u val="none"/>
        <vertAlign val="baseline"/>
        <sz val="12"/>
        <color theme="1"/>
        <name val="Aptos"/>
        <family val="2"/>
        <scheme val="none"/>
      </font>
    </dxf>
    <dxf>
      <font>
        <strike val="0"/>
        <outline val="0"/>
        <shadow val="0"/>
        <u val="none"/>
        <vertAlign val="baseline"/>
        <sz val="12"/>
        <color theme="1"/>
        <name val="Aptos"/>
        <family val="2"/>
        <scheme val="none"/>
      </font>
      <numFmt numFmtId="0" formatCode="General"/>
    </dxf>
    <dxf>
      <font>
        <strike val="0"/>
        <outline val="0"/>
        <shadow val="0"/>
        <u val="none"/>
        <vertAlign val="baseline"/>
        <sz val="12"/>
        <color theme="1"/>
        <name val="Aptos"/>
        <family val="2"/>
        <scheme val="none"/>
      </font>
    </dxf>
    <dxf>
      <font>
        <strike val="0"/>
        <outline val="0"/>
        <shadow val="0"/>
        <u val="none"/>
        <vertAlign val="baseline"/>
        <sz val="12"/>
        <color theme="1"/>
        <name val="Aptos"/>
        <family val="2"/>
        <scheme val="none"/>
      </font>
      <numFmt numFmtId="0" formatCode="General"/>
    </dxf>
    <dxf>
      <font>
        <strike val="0"/>
        <outline val="0"/>
        <shadow val="0"/>
        <u val="none"/>
        <vertAlign val="baseline"/>
        <sz val="12"/>
        <color theme="1"/>
        <name val="Aptos"/>
        <family val="2"/>
        <scheme val="none"/>
      </font>
      <numFmt numFmtId="0" formatCode="General"/>
    </dxf>
    <dxf>
      <font>
        <strike val="0"/>
        <outline val="0"/>
        <shadow val="0"/>
        <u val="none"/>
        <vertAlign val="baseline"/>
        <sz val="12"/>
        <color theme="1"/>
        <name val="Aptos"/>
        <family val="2"/>
        <scheme val="none"/>
      </font>
      <numFmt numFmtId="0" formatCode="General"/>
    </dxf>
    <dxf>
      <font>
        <strike val="0"/>
        <outline val="0"/>
        <shadow val="0"/>
        <u val="none"/>
        <vertAlign val="baseline"/>
        <sz val="12"/>
        <color theme="1"/>
        <name val="Aptos"/>
        <family val="2"/>
        <scheme val="none"/>
      </font>
      <numFmt numFmtId="0" formatCode="General"/>
    </dxf>
    <dxf>
      <font>
        <strike val="0"/>
        <outline val="0"/>
        <shadow val="0"/>
        <u val="none"/>
        <vertAlign val="baseline"/>
        <sz val="12"/>
        <color theme="1"/>
        <name val="Aptos"/>
        <family val="2"/>
        <scheme val="none"/>
      </font>
      <numFmt numFmtId="0" formatCode="General"/>
    </dxf>
    <dxf>
      <font>
        <strike val="0"/>
        <outline val="0"/>
        <shadow val="0"/>
        <u val="none"/>
        <vertAlign val="baseline"/>
        <sz val="12"/>
        <color theme="1"/>
        <name val="Aptos"/>
        <family val="2"/>
        <scheme val="none"/>
      </font>
    </dxf>
    <dxf>
      <font>
        <strike val="0"/>
        <outline val="0"/>
        <shadow val="0"/>
        <u val="none"/>
        <vertAlign val="baseline"/>
        <sz val="12"/>
        <color theme="1"/>
        <name val="Aptos"/>
        <family val="2"/>
        <scheme val="none"/>
      </font>
    </dxf>
    <dxf>
      <font>
        <strike val="0"/>
        <outline val="0"/>
        <shadow val="0"/>
        <u val="none"/>
        <vertAlign val="baseline"/>
        <sz val="12"/>
        <color theme="1"/>
        <name val="Aptos"/>
        <family val="2"/>
        <scheme val="none"/>
      </font>
    </dxf>
    <dxf>
      <font>
        <strike val="0"/>
        <outline val="0"/>
        <shadow val="0"/>
        <u val="none"/>
        <vertAlign val="baseline"/>
        <sz val="12"/>
        <color theme="1"/>
        <name val="Aptos"/>
        <family val="2"/>
        <scheme val="none"/>
      </font>
    </dxf>
    <dxf>
      <font>
        <strike val="0"/>
        <outline val="0"/>
        <shadow val="0"/>
        <u val="none"/>
        <vertAlign val="baseline"/>
        <sz val="12"/>
        <color theme="1"/>
        <name val="Aptos"/>
        <family val="2"/>
        <scheme val="none"/>
      </font>
      <numFmt numFmtId="0" formatCode="General"/>
    </dxf>
    <dxf>
      <font>
        <strike val="0"/>
        <outline val="0"/>
        <shadow val="0"/>
        <u val="none"/>
        <vertAlign val="baseline"/>
        <sz val="12"/>
        <color theme="1"/>
        <name val="Aptos"/>
        <family val="2"/>
        <scheme val="none"/>
      </font>
    </dxf>
    <dxf>
      <font>
        <strike val="0"/>
        <outline val="0"/>
        <shadow val="0"/>
        <u val="none"/>
        <vertAlign val="baseline"/>
        <sz val="12"/>
        <color theme="1"/>
        <name val="Aptos"/>
        <family val="2"/>
        <scheme val="none"/>
      </font>
      <alignment horizontal="center" vertical="bottom" textRotation="0" wrapText="0" indent="0" justifyLastLine="0" shrinkToFit="0" readingOrder="0"/>
    </dxf>
    <dxf>
      <fill>
        <patternFill patternType="solid">
          <fgColor theme="7" tint="0.79998168889431442"/>
          <bgColor theme="7" tint="0.79998168889431442"/>
        </patternFill>
      </fill>
    </dxf>
    <dxf>
      <fill>
        <patternFill patternType="solid">
          <fgColor theme="7" tint="0.79998168889431442"/>
          <bgColor theme="7" tint="0.79998168889431442"/>
        </patternFill>
      </fill>
    </dxf>
    <dxf>
      <font>
        <b/>
        <color theme="1"/>
      </font>
    </dxf>
    <dxf>
      <font>
        <b/>
        <color theme="1"/>
      </font>
    </dxf>
    <dxf>
      <font>
        <b/>
        <color theme="1"/>
      </font>
      <border>
        <top style="double">
          <color theme="7"/>
        </top>
      </border>
    </dxf>
    <dxf>
      <font>
        <b/>
        <i val="0"/>
        <color theme="1"/>
      </font>
      <border diagonalUp="0" diagonalDown="0">
        <left/>
        <right/>
        <top/>
        <bottom style="medium">
          <color theme="7"/>
        </bottom>
        <vertical/>
        <horizontal/>
      </border>
    </dxf>
    <dxf>
      <font>
        <color theme="1"/>
      </font>
      <border>
        <left style="medium">
          <color theme="7"/>
        </left>
        <right style="medium">
          <color theme="7"/>
        </right>
        <top style="medium">
          <color theme="7"/>
        </top>
        <bottom style="medium">
          <color theme="7"/>
        </bottom>
        <vertical style="thin">
          <color theme="7"/>
        </vertical>
        <horizontal style="thin">
          <color theme="7"/>
        </horizontal>
      </border>
    </dxf>
    <dxf>
      <fill>
        <patternFill patternType="solid">
          <fgColor theme="6" tint="0.79998168889431442"/>
          <bgColor theme="6" tint="0.79998168889431442"/>
        </patternFill>
      </fill>
    </dxf>
    <dxf>
      <fill>
        <patternFill patternType="solid">
          <fgColor theme="6" tint="0.79992065187536243"/>
          <bgColor theme="0" tint="-0.14996795556505021"/>
        </patternFill>
      </fill>
    </dxf>
    <dxf>
      <font>
        <b/>
        <color theme="1"/>
      </font>
    </dxf>
    <dxf>
      <font>
        <b/>
        <color theme="1"/>
      </font>
    </dxf>
    <dxf>
      <font>
        <b/>
        <color theme="1"/>
      </font>
      <border>
        <top style="double">
          <color theme="6"/>
        </top>
      </border>
    </dxf>
    <dxf>
      <font>
        <b/>
        <i val="0"/>
        <color theme="1"/>
      </font>
      <border diagonalUp="0" diagonalDown="1">
        <left/>
        <right/>
        <top/>
        <bottom style="medium">
          <color theme="6"/>
        </bottom>
        <diagonal style="medium">
          <color theme="6"/>
        </diagonal>
        <vertical/>
        <horizontal/>
      </border>
    </dxf>
    <dxf>
      <font>
        <color theme="1"/>
      </font>
      <border>
        <left style="medium">
          <color theme="1"/>
        </left>
        <right style="medium">
          <color theme="1"/>
        </right>
        <top style="medium">
          <color theme="1"/>
        </top>
        <bottom style="medium">
          <color theme="1"/>
        </bottom>
        <vertical style="thin">
          <color theme="6"/>
        </vertical>
        <horizontal style="thin">
          <color theme="6"/>
        </horizontal>
      </border>
    </dxf>
    <dxf>
      <fill>
        <patternFill patternType="solid">
          <fgColor theme="6" tint="0.79998168889431442"/>
          <bgColor theme="6" tint="0.79998168889431442"/>
        </patternFill>
      </fill>
    </dxf>
    <dxf>
      <fill>
        <patternFill patternType="solid">
          <fgColor theme="6" tint="0.79998168889431442"/>
          <bgColor theme="6" tint="0.79998168889431442"/>
        </patternFill>
      </fill>
    </dxf>
    <dxf>
      <font>
        <b/>
        <color theme="1"/>
      </font>
    </dxf>
    <dxf>
      <font>
        <b/>
        <color theme="1"/>
      </font>
    </dxf>
    <dxf>
      <font>
        <b/>
        <color theme="1"/>
      </font>
      <border>
        <top style="double">
          <color theme="6"/>
        </top>
      </border>
    </dxf>
    <dxf>
      <font>
        <b/>
        <i val="0"/>
        <color theme="1"/>
      </font>
      <border diagonalUp="0" diagonalDown="1">
        <left/>
        <right/>
        <top/>
        <bottom style="medium">
          <color theme="6"/>
        </bottom>
        <diagonal style="medium">
          <color theme="6"/>
        </diagonal>
        <vertical/>
        <horizontal/>
      </border>
    </dxf>
    <dxf>
      <font>
        <color theme="1"/>
      </font>
      <border>
        <left style="medium">
          <color theme="6"/>
        </left>
        <right style="medium">
          <color theme="6"/>
        </right>
        <top style="medium">
          <color theme="6"/>
        </top>
        <bottom style="medium">
          <color theme="6"/>
        </bottom>
        <vertical style="thin">
          <color theme="6"/>
        </vertical>
        <horizontal style="thin">
          <color theme="6"/>
        </horizontal>
      </border>
    </dxf>
    <dxf>
      <fill>
        <patternFill patternType="solid">
          <fgColor theme="6" tint="0.79992065187536243"/>
          <bgColor rgb="FFD3B5E9"/>
        </patternFill>
      </fill>
    </dxf>
    <dxf>
      <fill>
        <patternFill patternType="solid">
          <fgColor theme="6" tint="0.79995117038483843"/>
          <bgColor rgb="FFD3B5E9"/>
        </patternFill>
      </fill>
    </dxf>
    <dxf>
      <font>
        <b/>
        <color theme="1"/>
      </font>
    </dxf>
    <dxf>
      <font>
        <b/>
        <color theme="1"/>
      </font>
    </dxf>
    <dxf>
      <font>
        <b/>
        <color theme="1"/>
      </font>
      <border diagonalUp="0" diagonalDown="0">
        <left/>
        <right/>
        <top style="thick">
          <color rgb="FF513E80"/>
        </top>
        <bottom/>
        <vertical/>
        <horizontal/>
      </border>
    </dxf>
    <dxf>
      <font>
        <b/>
        <color theme="1"/>
      </font>
      <border diagonalUp="0" diagonalDown="0">
        <left/>
        <right/>
        <top/>
        <bottom style="medium">
          <color rgb="FF513E80"/>
        </bottom>
        <vertical/>
        <horizontal/>
      </border>
    </dxf>
    <dxf>
      <font>
        <color theme="1"/>
      </font>
      <border>
        <left style="medium">
          <color rgb="FF513E80"/>
        </left>
        <right style="medium">
          <color rgb="FF513E80"/>
        </right>
        <top style="medium">
          <color rgb="FF513E80"/>
        </top>
        <bottom style="medium">
          <color rgb="FF513E80"/>
        </bottom>
        <vertical style="thin">
          <color rgb="FF513E80"/>
        </vertical>
        <horizontal style="thin">
          <color rgb="FF513E80"/>
        </horizontal>
      </border>
    </dxf>
    <dxf>
      <fill>
        <patternFill patternType="solid">
          <fgColor theme="5" tint="0.79998168889431442"/>
          <bgColor theme="5" tint="0.79998168889431442"/>
        </patternFill>
      </fill>
    </dxf>
    <dxf>
      <fill>
        <patternFill patternType="solid">
          <fgColor theme="5" tint="0.79998168889431442"/>
          <bgColor theme="5" tint="0.79998168889431442"/>
        </patternFill>
      </fill>
    </dxf>
    <dxf>
      <font>
        <b/>
        <color theme="1"/>
      </font>
    </dxf>
    <dxf>
      <font>
        <b/>
        <color theme="1"/>
      </font>
    </dxf>
    <dxf>
      <font>
        <b/>
        <color theme="1"/>
      </font>
      <border>
        <top style="double">
          <color theme="5"/>
        </top>
      </border>
    </dxf>
    <dxf>
      <font>
        <b/>
        <i val="0"/>
        <color theme="1"/>
      </font>
      <border diagonalUp="0" diagonalDown="0">
        <left/>
        <right/>
        <top/>
        <bottom style="medium">
          <color theme="5"/>
        </bottom>
        <vertical/>
        <horizontal/>
      </border>
    </dxf>
    <dxf>
      <font>
        <color theme="1"/>
      </font>
      <border>
        <left style="medium">
          <color theme="5"/>
        </left>
        <right style="medium">
          <color theme="5"/>
        </right>
        <top style="medium">
          <color theme="5"/>
        </top>
        <bottom style="medium">
          <color theme="5"/>
        </bottom>
        <vertical style="thin">
          <color theme="5"/>
        </vertical>
        <horizontal style="thin">
          <color theme="5"/>
        </horizontal>
      </border>
    </dxf>
    <dxf>
      <fill>
        <patternFill patternType="solid">
          <fgColor theme="4" tint="0.79998168889431442"/>
          <bgColor theme="4" tint="0.79998168889431442"/>
        </patternFill>
      </fill>
    </dxf>
    <dxf>
      <fill>
        <patternFill patternType="solid">
          <fgColor theme="4" tint="0.79998168889431442"/>
          <bgColor theme="4" tint="0.79998168889431442"/>
        </patternFill>
      </fill>
    </dxf>
    <dxf>
      <font>
        <b/>
        <color theme="1"/>
      </font>
    </dxf>
    <dxf>
      <font>
        <b/>
        <color theme="1"/>
      </font>
    </dxf>
    <dxf>
      <font>
        <b/>
        <color theme="1"/>
      </font>
      <border>
        <top style="double">
          <color theme="4"/>
        </top>
      </border>
    </dxf>
    <dxf>
      <font>
        <b/>
        <i val="0"/>
        <color theme="1"/>
      </font>
      <border diagonalUp="0" diagonalDown="0">
        <left/>
        <right/>
        <top/>
        <bottom style="medium">
          <color theme="4"/>
        </bottom>
        <vertical/>
        <horizontal/>
      </border>
    </dxf>
    <dxf>
      <font>
        <color theme="1"/>
      </font>
      <border>
        <left style="medium">
          <color theme="4"/>
        </left>
        <right style="medium">
          <color theme="4"/>
        </right>
        <top style="medium">
          <color theme="4"/>
        </top>
        <bottom style="medium">
          <color theme="4"/>
        </bottom>
        <vertical style="thin">
          <color theme="4"/>
        </vertical>
        <horizontal style="thin">
          <color theme="4"/>
        </horizontal>
      </border>
    </dxf>
    <dxf>
      <fill>
        <patternFill patternType="solid">
          <fgColor theme="0" tint="-0.14999847407452621"/>
          <bgColor theme="0" tint="-0.14999847407452621"/>
        </patternFill>
      </fill>
    </dxf>
    <dxf>
      <fill>
        <patternFill patternType="solid">
          <fgColor theme="0" tint="-0.14999847407452621"/>
          <bgColor theme="0" tint="-0.14999847407452621"/>
        </patternFill>
      </fill>
    </dxf>
    <dxf>
      <font>
        <b/>
        <color theme="1"/>
      </font>
    </dxf>
    <dxf>
      <font>
        <b/>
        <color theme="1"/>
      </font>
    </dxf>
    <dxf>
      <font>
        <b/>
        <color theme="1"/>
      </font>
      <border>
        <top style="double">
          <color theme="1"/>
        </top>
      </border>
    </dxf>
    <dxf>
      <font>
        <b/>
        <i val="0"/>
        <color theme="1"/>
      </font>
      <border diagonalUp="0" diagonalDown="0">
        <left/>
        <right/>
        <top/>
        <bottom style="medium">
          <color theme="1"/>
        </bottom>
        <vertical/>
        <horizontal/>
      </border>
    </dxf>
    <dxf>
      <font>
        <color theme="1"/>
      </font>
      <border>
        <left style="medium">
          <color theme="1"/>
        </left>
        <right style="medium">
          <color theme="1"/>
        </right>
        <top style="medium">
          <color theme="1"/>
        </top>
        <bottom style="medium">
          <color theme="1"/>
        </bottom>
        <vertical style="thin">
          <color theme="1"/>
        </vertical>
        <horizontal style="thin">
          <color theme="1"/>
        </horizontal>
      </border>
    </dxf>
  </dxfs>
  <tableStyles count="8" defaultTableStyle="TableStyleMedium2" defaultPivotStyle="PivotStyleLight16">
    <tableStyle name="Invisible" pivot="0" table="0" count="0" xr9:uid="{ED64E85C-CF3E-41CC-8B05-D20723E14618}"/>
    <tableStyle name="TableStyleLight15 2" pivot="0" count="7" xr9:uid="{6E068814-5BB5-4BA1-ACB0-253459FA954C}">
      <tableStyleElement type="wholeTable" dxfId="921"/>
      <tableStyleElement type="headerRow" dxfId="920"/>
      <tableStyleElement type="totalRow" dxfId="919"/>
      <tableStyleElement type="firstColumn" dxfId="918"/>
      <tableStyleElement type="lastColumn" dxfId="917"/>
      <tableStyleElement type="firstRowStripe" dxfId="916"/>
      <tableStyleElement type="firstColumnStripe" dxfId="915"/>
    </tableStyle>
    <tableStyle name="TableStyleLight16 2" pivot="0" count="7" xr9:uid="{D69CDBB7-032E-49BC-AC54-A31420CE7655}">
      <tableStyleElement type="wholeTable" dxfId="914"/>
      <tableStyleElement type="headerRow" dxfId="913"/>
      <tableStyleElement type="totalRow" dxfId="912"/>
      <tableStyleElement type="firstColumn" dxfId="911"/>
      <tableStyleElement type="lastColumn" dxfId="910"/>
      <tableStyleElement type="firstRowStripe" dxfId="909"/>
      <tableStyleElement type="firstColumnStripe" dxfId="908"/>
    </tableStyle>
    <tableStyle name="TableStyleLight17 2" pivot="0" count="7" xr9:uid="{F0E5CF34-A936-4E2B-86EA-DA714855B9FB}">
      <tableStyleElement type="wholeTable" dxfId="907"/>
      <tableStyleElement type="headerRow" dxfId="906"/>
      <tableStyleElement type="totalRow" dxfId="905"/>
      <tableStyleElement type="firstColumn" dxfId="904"/>
      <tableStyleElement type="lastColumn" dxfId="903"/>
      <tableStyleElement type="firstRowStripe" dxfId="902"/>
      <tableStyleElement type="firstColumnStripe" dxfId="901"/>
    </tableStyle>
    <tableStyle name="TableStyleLight18 2" pivot="0" count="7" xr9:uid="{FCE9A81E-B697-440C-9031-FD78FF52ED88}">
      <tableStyleElement type="wholeTable" dxfId="900"/>
      <tableStyleElement type="headerRow" dxfId="899"/>
      <tableStyleElement type="totalRow" dxfId="898"/>
      <tableStyleElement type="firstColumn" dxfId="897"/>
      <tableStyleElement type="lastColumn" dxfId="896"/>
      <tableStyleElement type="firstRowStripe" dxfId="895"/>
      <tableStyleElement type="firstColumnStripe" dxfId="894"/>
    </tableStyle>
    <tableStyle name="TableStyleLight18 3" pivot="0" count="7" xr9:uid="{AE81560E-A0A1-4B8F-8608-83C1F78B608A}">
      <tableStyleElement type="wholeTable" dxfId="893"/>
      <tableStyleElement type="headerRow" dxfId="892"/>
      <tableStyleElement type="totalRow" dxfId="891"/>
      <tableStyleElement type="firstColumn" dxfId="890"/>
      <tableStyleElement type="lastColumn" dxfId="889"/>
      <tableStyleElement type="firstRowStripe" dxfId="888"/>
      <tableStyleElement type="firstColumnStripe" dxfId="887"/>
    </tableStyle>
    <tableStyle name="TableStyleLight18 3 2" pivot="0" count="7" xr9:uid="{4C6F2DC0-9EE9-4779-9307-175D1C00B7C0}">
      <tableStyleElement type="wholeTable" dxfId="886"/>
      <tableStyleElement type="headerRow" dxfId="885"/>
      <tableStyleElement type="totalRow" dxfId="884"/>
      <tableStyleElement type="firstColumn" dxfId="883"/>
      <tableStyleElement type="lastColumn" dxfId="882"/>
      <tableStyleElement type="firstRowStripe" dxfId="881"/>
      <tableStyleElement type="firstColumnStripe" dxfId="880"/>
    </tableStyle>
    <tableStyle name="TableStyleLight19 2" pivot="0" count="7" xr9:uid="{A6B5A85E-1A32-4277-8575-40D0AE2BF488}">
      <tableStyleElement type="wholeTable" dxfId="879"/>
      <tableStyleElement type="headerRow" dxfId="878"/>
      <tableStyleElement type="totalRow" dxfId="877"/>
      <tableStyleElement type="firstColumn" dxfId="876"/>
      <tableStyleElement type="lastColumn" dxfId="875"/>
      <tableStyleElement type="firstRowStripe" dxfId="874"/>
      <tableStyleElement type="firstColumnStripe" dxfId="873"/>
    </tableStyle>
  </tableStyles>
  <colors>
    <mruColors>
      <color rgb="FFE0B3FF"/>
      <color rgb="FFD3B5E9"/>
      <color rgb="FFFFFF66"/>
      <color rgb="FFFF0000"/>
      <color rgb="FF513E8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pivotCacheDefinition" Target="pivotCache/pivotCacheDefinition5.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styles" Target="styles.xml"/><Relationship Id="rId47" Type="http://schemas.openxmlformats.org/officeDocument/2006/relationships/customXml" Target="../customXml/item2.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pivotCacheDefinition" Target="pivotCache/pivotCacheDefinition3.xml"/><Relationship Id="rId40" Type="http://schemas.openxmlformats.org/officeDocument/2006/relationships/theme" Target="theme/theme1.xml"/><Relationship Id="rId45"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pivotCacheDefinition" Target="pivotCache/pivotCacheDefinition2.xml"/><Relationship Id="rId49" Type="http://schemas.openxmlformats.org/officeDocument/2006/relationships/customXml" Target="../customXml/item4.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pivotCacheDefinition" Target="pivotCache/pivotCacheDefinition1.xml"/><Relationship Id="rId43" Type="http://schemas.openxmlformats.org/officeDocument/2006/relationships/sharedStrings" Target="sharedStrings.xml"/><Relationship Id="rId48" Type="http://schemas.openxmlformats.org/officeDocument/2006/relationships/customXml" Target="../customXml/item3.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pivotCacheDefinition" Target="pivotCache/pivotCacheDefinition4.xml"/><Relationship Id="rId46" Type="http://schemas.openxmlformats.org/officeDocument/2006/relationships/customXml" Target="../customXml/item1.xml"/><Relationship Id="rId20" Type="http://schemas.openxmlformats.org/officeDocument/2006/relationships/worksheet" Target="worksheets/sheet20.xml"/><Relationship Id="rId41" Type="http://schemas.openxmlformats.org/officeDocument/2006/relationships/connections" Target="connections.xml"/><Relationship Id="rId1" Type="http://schemas.openxmlformats.org/officeDocument/2006/relationships/worksheet" Target="worksheets/sheet1.xml"/><Relationship Id="rId6" Type="http://schemas.openxmlformats.org/officeDocument/2006/relationships/worksheet" Target="worksheets/sheet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800" b="1">
                <a:latin typeface="Aptos Narrow" panose="020B0004020202020204" pitchFamily="34" charset="0"/>
              </a:rPr>
              <a:t>YTD</a:t>
            </a:r>
          </a:p>
        </c:rich>
      </c:tx>
      <c:layout>
        <c:manualLayout>
          <c:xMode val="edge"/>
          <c:yMode val="edge"/>
          <c:x val="0.45241002626136423"/>
          <c:y val="1.148187626515359E-2"/>
        </c:manualLayout>
      </c:layout>
      <c:overlay val="0"/>
      <c:spPr>
        <a:noFill/>
        <a:ln w="12700">
          <a:noFill/>
        </a:ln>
        <a:effectLst/>
      </c:spPr>
    </c:title>
    <c:autoTitleDeleted val="0"/>
    <c:pivotFmts>
      <c:pivotFmt>
        <c:idx val="0"/>
        <c:spPr>
          <a:solidFill>
            <a:srgbClr val="B195D7"/>
          </a:solidFill>
          <a:ln w="15875">
            <a:solidFill>
              <a:srgbClr val="7030A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Aptos Narrow" panose="020B0004020202020204" pitchFamily="34" charset="0"/>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B195D7"/>
          </a:solidFill>
          <a:ln w="15875">
            <a:solidFill>
              <a:srgbClr val="7030A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Aptos Narrow" panose="020B0004020202020204" pitchFamily="34" charset="0"/>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B195D7"/>
          </a:solidFill>
          <a:ln w="15875">
            <a:solidFill>
              <a:srgbClr val="7030A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Aptos Narrow" panose="020B0004020202020204" pitchFamily="34" charset="0"/>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B195D7"/>
          </a:solidFill>
          <a:ln w="15875">
            <a:solidFill>
              <a:srgbClr val="7030A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Aptos Narrow" panose="020B0004020202020204" pitchFamily="34" charset="0"/>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B195D7"/>
          </a:solidFill>
          <a:ln w="15875">
            <a:solidFill>
              <a:srgbClr val="7030A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Aptos Narrow" panose="020B0004020202020204" pitchFamily="34" charset="0"/>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B195D7"/>
          </a:solidFill>
          <a:ln w="15875">
            <a:solidFill>
              <a:srgbClr val="7030A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Aptos Narrow" panose="020B0004020202020204" pitchFamily="34" charset="0"/>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513E80"/>
          </a:solidFill>
          <a:ln w="15875">
            <a:solidFill>
              <a:srgbClr val="05EDFE"/>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rgbClr val="05EDFE"/>
                  </a:solidFill>
                  <a:latin typeface="Aptos Narrow" panose="020B0004020202020204" pitchFamily="34" charset="0"/>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513E80"/>
          </a:solidFill>
          <a:ln w="15875">
            <a:solidFill>
              <a:srgbClr val="05EDFE"/>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rgbClr val="05EDFE"/>
                  </a:solidFill>
                  <a:latin typeface="Aptos Narrow" panose="020B0004020202020204" pitchFamily="34" charset="0"/>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513E80"/>
          </a:solidFill>
          <a:ln w="15875">
            <a:solidFill>
              <a:srgbClr val="05EDFE"/>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rgbClr val="05EDFE"/>
                  </a:solidFill>
                  <a:latin typeface="Aptos Narrow" panose="020B0004020202020204" pitchFamily="34" charset="0"/>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513E80"/>
          </a:solidFill>
          <a:ln w="15875">
            <a:solidFill>
              <a:srgbClr val="05EDFE"/>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rgbClr val="05EDFE"/>
                  </a:solidFill>
                  <a:latin typeface="Aptos Narrow" panose="020B0004020202020204" pitchFamily="34" charset="0"/>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513E80"/>
          </a:solidFill>
          <a:ln w="15875">
            <a:solidFill>
              <a:srgbClr val="05EDFE"/>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rgbClr val="05EDFE"/>
                  </a:solidFill>
                  <a:latin typeface="Aptos Narrow" panose="020B0004020202020204" pitchFamily="34" charset="0"/>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513E80"/>
          </a:solidFill>
          <a:ln w="15875">
            <a:solidFill>
              <a:srgbClr val="05EDFE"/>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rgbClr val="05EDFE"/>
                  </a:solidFill>
                  <a:latin typeface="Aptos Narrow" panose="020B0004020202020204" pitchFamily="34" charset="0"/>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513E80"/>
          </a:solidFill>
          <a:ln w="15875">
            <a:solidFill>
              <a:srgbClr val="05EDFE"/>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rgbClr val="05EDFE"/>
                  </a:solidFill>
                  <a:latin typeface="Aptos Narrow" panose="020B0004020202020204" pitchFamily="34" charset="0"/>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513E80"/>
          </a:solidFill>
          <a:ln w="15875">
            <a:solidFill>
              <a:srgbClr val="05EDFE"/>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rgbClr val="05EDFE"/>
                  </a:solidFill>
                  <a:latin typeface="Aptos Narrow" panose="020B0004020202020204" pitchFamily="34" charset="0"/>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14"/>
        <c:spPr>
          <a:solidFill>
            <a:srgbClr val="513E80"/>
          </a:solidFill>
          <a:ln w="15875">
            <a:solidFill>
              <a:srgbClr val="05EDFE"/>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rgbClr val="05EDFE"/>
                  </a:solidFill>
                  <a:latin typeface="Aptos Narrow" panose="020B0004020202020204" pitchFamily="34" charset="0"/>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15"/>
        <c:spPr>
          <a:solidFill>
            <a:srgbClr val="513E80"/>
          </a:solidFill>
          <a:ln w="15875">
            <a:solidFill>
              <a:srgbClr val="05EDFE"/>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rgbClr val="05EDFE"/>
                  </a:solidFill>
                  <a:latin typeface="Aptos Narrow" panose="020B0004020202020204" pitchFamily="34" charset="0"/>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16"/>
        <c:spPr>
          <a:solidFill>
            <a:srgbClr val="513E80"/>
          </a:solidFill>
          <a:ln w="15875">
            <a:solidFill>
              <a:srgbClr val="05EDFE"/>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rgbClr val="05EDFE"/>
                  </a:solidFill>
                  <a:latin typeface="Aptos Narrow" panose="020B0004020202020204" pitchFamily="34" charset="0"/>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17"/>
        <c:spPr>
          <a:solidFill>
            <a:srgbClr val="513E80"/>
          </a:solidFill>
          <a:ln w="15875">
            <a:solidFill>
              <a:srgbClr val="05EDFE"/>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rgbClr val="05EDFE"/>
                  </a:solidFill>
                  <a:latin typeface="Aptos Narrow" panose="020B0004020202020204" pitchFamily="34" charset="0"/>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18"/>
        <c:spPr>
          <a:solidFill>
            <a:srgbClr val="513E80"/>
          </a:solidFill>
          <a:ln w="15875">
            <a:solidFill>
              <a:srgbClr val="05EDFE"/>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rgbClr val="05EDFE"/>
                  </a:solidFill>
                  <a:latin typeface="Aptos Narrow" panose="020B0004020202020204" pitchFamily="34" charset="0"/>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19"/>
        <c:spPr>
          <a:solidFill>
            <a:srgbClr val="513E80"/>
          </a:solidFill>
          <a:ln w="15875">
            <a:solidFill>
              <a:srgbClr val="05EDFE"/>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rgbClr val="05EDFE"/>
                  </a:solidFill>
                  <a:latin typeface="Aptos Narrow" panose="020B0004020202020204" pitchFamily="34" charset="0"/>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dLbls>
          <c:showLegendKey val="0"/>
          <c:showVal val="0"/>
          <c:showCatName val="0"/>
          <c:showSerName val="0"/>
          <c:showPercent val="0"/>
          <c:showBubbleSize val="0"/>
        </c:dLbls>
        <c:gapWidth val="219"/>
        <c:overlap val="-27"/>
        <c:axId val="403686479"/>
        <c:axId val="489988959"/>
      </c:barChart>
      <c:catAx>
        <c:axId val="403686479"/>
        <c:scaling>
          <c:orientation val="minMax"/>
        </c:scaling>
        <c:delete val="0"/>
        <c:axPos val="b"/>
        <c:numFmt formatCode="General" sourceLinked="1"/>
        <c:majorTickMark val="none"/>
        <c:minorTickMark val="none"/>
        <c:tickLblPos val="nextTo"/>
        <c:spPr>
          <a:noFill/>
          <a:ln w="12700" cap="flat" cmpd="sng" algn="ctr">
            <a:solidFill>
              <a:schemeClr val="bg2">
                <a:lumMod val="75000"/>
                <a:alpha val="91000"/>
              </a:schemeClr>
            </a:solidFill>
            <a:round/>
          </a:ln>
          <a:effectLst/>
        </c:spPr>
        <c:txPr>
          <a:bodyPr rot="-60000000" spcFirstLastPara="1" vertOverflow="ellipsis" vert="horz" wrap="square" anchor="ctr" anchorCtr="1"/>
          <a:lstStyle/>
          <a:p>
            <a:pPr>
              <a:defRPr sz="1200" b="1" i="0" u="none" strike="noStrike" kern="1200" baseline="0">
                <a:solidFill>
                  <a:schemeClr val="tx1">
                    <a:lumMod val="75000"/>
                    <a:lumOff val="25000"/>
                  </a:schemeClr>
                </a:solidFill>
                <a:latin typeface="Aptos Narrow" panose="020B0004020202020204" pitchFamily="34" charset="0"/>
                <a:ea typeface="+mn-ea"/>
                <a:cs typeface="+mn-cs"/>
              </a:defRPr>
            </a:pPr>
            <a:endParaRPr lang="en-US"/>
          </a:p>
        </c:txPr>
        <c:crossAx val="489988959"/>
        <c:crosses val="autoZero"/>
        <c:auto val="1"/>
        <c:lblAlgn val="ctr"/>
        <c:lblOffset val="100"/>
        <c:noMultiLvlLbl val="0"/>
      </c:catAx>
      <c:valAx>
        <c:axId val="489988959"/>
        <c:scaling>
          <c:orientation val="minMax"/>
        </c:scaling>
        <c:delete val="1"/>
        <c:axPos val="l"/>
        <c:numFmt formatCode="General" sourceLinked="1"/>
        <c:majorTickMark val="none"/>
        <c:minorTickMark val="none"/>
        <c:tickLblPos val="nextTo"/>
        <c:crossAx val="403686479"/>
        <c:crosses val="autoZero"/>
        <c:crossBetween val="between"/>
      </c:valAx>
      <c:spPr>
        <a:noFill/>
        <a:ln>
          <a:noFill/>
        </a:ln>
      </c:spPr>
    </c:plotArea>
    <c:legend>
      <c:legendPos val="t"/>
      <c:overlay val="0"/>
      <c:spPr>
        <a:noFill/>
        <a:ln>
          <a:noFill/>
        </a:ln>
        <a:effectLst/>
      </c:spPr>
      <c:txPr>
        <a:bodyPr rot="0" spcFirstLastPara="1" vertOverflow="ellipsis" vert="horz" wrap="square" anchor="ctr" anchorCtr="1"/>
        <a:lstStyle/>
        <a:p>
          <a:pPr>
            <a:defRPr sz="1400" b="1" i="0" u="none" strike="noStrike" kern="1200" baseline="0">
              <a:solidFill>
                <a:schemeClr val="tx1">
                  <a:lumMod val="65000"/>
                  <a:lumOff val="35000"/>
                </a:schemeClr>
              </a:solidFill>
              <a:latin typeface="Aptos Narrow" panose="020B0004020202020204" pitchFamily="34" charset="0"/>
              <a:ea typeface="+mn-ea"/>
              <a:cs typeface="+mn-cs"/>
            </a:defRPr>
          </a:pPr>
          <a:endParaRPr lang="en-US"/>
        </a:p>
      </c:txPr>
    </c:legend>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0</xdr:colOff>
      <xdr:row>38</xdr:row>
      <xdr:rowOff>0</xdr:rowOff>
    </xdr:from>
    <xdr:to>
      <xdr:col>16</xdr:col>
      <xdr:colOff>38100</xdr:colOff>
      <xdr:row>54</xdr:row>
      <xdr:rowOff>152400</xdr:rowOff>
    </xdr:to>
    <xdr:graphicFrame macro="">
      <xdr:nvGraphicFramePr>
        <xdr:cNvPr id="2" name="Chart 1">
          <a:extLst>
            <a:ext uri="{FF2B5EF4-FFF2-40B4-BE49-F238E27FC236}">
              <a16:creationId xmlns:a16="http://schemas.microsoft.com/office/drawing/2014/main" id="{A085C64A-F22A-4952-A9B8-E39A3732BE7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obert A. Carucci" refreshedDate="45762.13211053241" createdVersion="8" refreshedVersion="8" minRefreshableVersion="3" recordCount="9" xr:uid="{96E75BDE-3230-42EB-B217-2DEC5E125C21}">
  <cacheSource type="worksheet">
    <worksheetSource name="Robbery"/>
  </cacheSource>
  <cacheFields count="46">
    <cacheField name="Case Number" numFmtId="0">
      <sharedItems/>
    </cacheField>
    <cacheField name="INC_DATE" numFmtId="14">
      <sharedItems containsSemiMixedTypes="0" containsNonDate="0" containsDate="1" containsString="0" minDate="2025-01-13T00:00:00" maxDate="2025-03-26T00:00:00" count="8">
        <d v="2025-01-13T00:00:00"/>
        <d v="2025-01-14T00:00:00"/>
        <d v="2025-01-16T00:00:00"/>
        <d v="2025-02-02T00:00:00"/>
        <d v="2025-02-03T00:00:00"/>
        <d v="2025-02-13T00:00:00"/>
        <d v="2025-03-04T00:00:00"/>
        <d v="2025-03-25T00:00:00"/>
      </sharedItems>
    </cacheField>
    <cacheField name="TIME_OF_DAY" numFmtId="0">
      <sharedItems count="5">
        <s v="Afternoon (12:00-15:59)"/>
        <s v="Night (20:00-23:59)"/>
        <s v="Evening Peak (16:00-19:59)"/>
        <s v="Early Morning (00:00-03:59)"/>
        <s v="Morning Peak (08:00-11:59)"/>
      </sharedItems>
    </cacheField>
    <cacheField name="Start of Hour" numFmtId="172">
      <sharedItems containsSemiMixedTypes="0" containsNonDate="0" containsDate="1" containsString="0" minDate="1899-12-30T02:00:00" maxDate="1899-12-30T21:00:00"/>
    </cacheField>
    <cacheField name="INC_TIME" numFmtId="172">
      <sharedItems containsSemiMixedTypes="0" containsNonDate="0" containsDate="1" containsString="0" minDate="1899-12-30T02:00:00" maxDate="1899-12-30T21:03:00"/>
    </cacheField>
    <cacheField name="Day Name" numFmtId="0">
      <sharedItems count="4">
        <s v="Mon"/>
        <s v="Tue"/>
        <s v="Thur"/>
        <s v="Sun"/>
      </sharedItems>
    </cacheField>
    <cacheField name="Month Name" numFmtId="0">
      <sharedItems/>
    </cacheField>
    <cacheField name="BLOCK" numFmtId="0">
      <sharedItems/>
    </cacheField>
    <cacheField name="Location" numFmtId="0">
      <sharedItems/>
    </cacheField>
    <cacheField name="ALL_INCIDENTS" numFmtId="0">
      <sharedItems/>
    </cacheField>
    <cacheField name="Incident Type_1" numFmtId="0">
      <sharedItems/>
    </cacheField>
    <cacheField name="Incident Type_2" numFmtId="0">
      <sharedItems/>
    </cacheField>
    <cacheField name="Incident Type_3" numFmtId="0">
      <sharedItems/>
    </cacheField>
    <cacheField name="FullAddress" numFmtId="0">
      <sharedItems/>
    </cacheField>
    <cacheField name="Grid" numFmtId="0">
      <sharedItems/>
    </cacheField>
    <cacheField name="Zone" numFmtId="0">
      <sharedItems containsSemiMixedTypes="0" containsString="0" containsNumber="1" containsInteger="1" minValue="5" maxValue="9"/>
    </cacheField>
    <cacheField name="Narrative" numFmtId="0">
      <sharedItems longText="1"/>
    </cacheField>
    <cacheField name="Total Value Stolen" numFmtId="0">
      <sharedItems containsNonDate="0" containsString="0" containsBlank="1"/>
    </cacheField>
    <cacheField name="Total Value Recover" numFmtId="0">
      <sharedItems containsNonDate="0" containsString="0" containsBlank="1"/>
    </cacheField>
    <cacheField name="Registration 1" numFmtId="0">
      <sharedItems containsBlank="1"/>
    </cacheField>
    <cacheField name="Make1" numFmtId="0">
      <sharedItems containsBlank="1"/>
    </cacheField>
    <cacheField name="Model1" numFmtId="0">
      <sharedItems containsBlank="1"/>
    </cacheField>
    <cacheField name="Reg State 1" numFmtId="0">
      <sharedItems containsBlank="1"/>
    </cacheField>
    <cacheField name="Registration 2" numFmtId="0">
      <sharedItems containsNonDate="0" containsString="0" containsBlank="1"/>
    </cacheField>
    <cacheField name="Reg State 2" numFmtId="0">
      <sharedItems containsNonDate="0" containsString="0" containsBlank="1"/>
    </cacheField>
    <cacheField name="Make2" numFmtId="0">
      <sharedItems containsNonDate="0" containsString="0" containsBlank="1"/>
    </cacheField>
    <cacheField name="Model2" numFmtId="0">
      <sharedItems containsNonDate="0" containsString="0" containsBlank="1"/>
    </cacheField>
    <cacheField name="Reviewed By" numFmtId="0">
      <sharedItems/>
    </cacheField>
    <cacheField name="CompleteCalc" numFmtId="0">
      <sharedItems/>
    </cacheField>
    <cacheField name="Officer of Record" numFmtId="0">
      <sharedItems/>
    </cacheField>
    <cacheField name="Squad" numFmtId="0">
      <sharedItems/>
    </cacheField>
    <cacheField name="Det_Assigned" numFmtId="0">
      <sharedItems/>
    </cacheField>
    <cacheField name="Case_Status" numFmtId="0">
      <sharedItems/>
    </cacheField>
    <cacheField name="NIBRS Classification" numFmtId="0">
      <sharedItems containsBlank="1"/>
    </cacheField>
    <cacheField name="Year" numFmtId="0">
      <sharedItems containsSemiMixedTypes="0" containsString="0" containsNumber="1" containsInteger="1" minValue="2025" maxValue="2025"/>
    </cacheField>
    <cacheField name="Week of Year" numFmtId="0">
      <sharedItems containsSemiMixedTypes="0" containsString="0" containsNumber="1" containsInteger="1" minValue="3" maxValue="13"/>
    </cacheField>
    <cacheField name="Week of Month" numFmtId="0">
      <sharedItems containsSemiMixedTypes="0" containsString="0" containsNumber="1" containsInteger="1" minValue="2" maxValue="5"/>
    </cacheField>
    <cacheField name="Day" numFmtId="0">
      <sharedItems containsSemiMixedTypes="0" containsString="0" containsNumber="1" containsInteger="1" minValue="2" maxValue="25"/>
    </cacheField>
    <cacheField name="Day of Year" numFmtId="0">
      <sharedItems containsSemiMixedTypes="0" containsString="0" containsNumber="1" containsInteger="1" minValue="13" maxValue="84"/>
    </cacheField>
    <cacheField name="INC_DATE_AND_TIME" numFmtId="22">
      <sharedItems containsSemiMixedTypes="0" containsNonDate="0" containsDate="1" containsString="0" minDate="2025-01-13T12:05:00" maxDate="2025-03-25T11:37:00"/>
    </cacheField>
    <cacheField name="St#" numFmtId="0">
      <sharedItems containsSemiMixedTypes="0" containsString="0" containsNumber="1" containsInteger="1" minValue="128" maxValue="630"/>
    </cacheField>
    <cacheField name="Notes" numFmtId="0">
      <sharedItems longText="1"/>
    </cacheField>
    <cacheField name="VEHICLE" numFmtId="0">
      <sharedItems containsBlank="1"/>
    </cacheField>
    <cacheField name="Suspect" numFmtId="0">
      <sharedItems longText="1"/>
    </cacheField>
    <cacheField name="TOTAL_STOLEN_AMOUNT" numFmtId="0">
      <sharedItems longText="1"/>
    </cacheField>
    <cacheField name="REPORT_CYCLE" numFmtId="0">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obert A. Carucci" refreshedDate="45762.132111226849" createdVersion="8" refreshedVersion="8" minRefreshableVersion="3" recordCount="10" xr:uid="{05B18EBB-7F97-446B-AFED-A4B1032FFB74}">
  <cacheSource type="worksheet">
    <worksheetSource name="Bur_C_R"/>
  </cacheSource>
  <cacheFields count="54">
    <cacheField name="Case Number" numFmtId="0">
      <sharedItems/>
    </cacheField>
    <cacheField name="INC_DATE" numFmtId="167">
      <sharedItems containsSemiMixedTypes="0" containsNonDate="0" containsDate="1" containsString="0" minDate="2025-01-14T00:00:00" maxDate="2025-04-02T00:00:00" count="11">
        <d v="2025-01-16T00:00:00"/>
        <d v="2025-01-25T00:00:00"/>
        <d v="2025-01-31T00:00:00"/>
        <d v="2025-02-05T00:00:00"/>
        <d v="2025-02-17T00:00:00"/>
        <d v="2025-03-10T00:00:00"/>
        <d v="2025-03-27T00:00:00"/>
        <d v="2025-03-31T00:00:00"/>
        <d v="2025-04-01T00:00:00"/>
        <d v="2025-01-14T00:00:00" u="1"/>
        <d v="2025-03-18T00:00:00" u="1"/>
      </sharedItems>
    </cacheField>
    <cacheField name="TOD" numFmtId="0">
      <sharedItems count="5">
        <s v="12:00-15:59 Afternoon"/>
        <s v="08:00-11:59 Morning Peak"/>
        <s v="00:00-03:59 Early Morning"/>
        <s v="20:00-23:59 Night"/>
        <s v="04:00-07:59 Morning" u="1"/>
      </sharedItems>
    </cacheField>
    <cacheField name="Start of Hour" numFmtId="168">
      <sharedItems containsSemiMixedTypes="0" containsNonDate="0" containsDate="1" containsString="0" minDate="1899-12-30T01:00:00" maxDate="1899-12-30T23:00:00"/>
    </cacheField>
    <cacheField name="INC_TIME" numFmtId="168">
      <sharedItems containsSemiMixedTypes="0" containsNonDate="0" containsDate="1" containsString="0" minDate="1899-12-30T01:07:00" maxDate="1899-12-30T23:30:00"/>
    </cacheField>
    <cacheField name="Day Name" numFmtId="0">
      <sharedItems count="12">
        <s v="Thur"/>
        <s v="Sat"/>
        <s v="Fri"/>
        <s v="Wed"/>
        <s v="Mon"/>
        <s v="Tue"/>
        <s v="Thursday" u="1"/>
        <s v="Saturday" u="1"/>
        <s v="Friday" u="1"/>
        <s v="Wednesday" u="1"/>
        <s v="Monday" u="1"/>
        <s v="Tuesday" u="1"/>
      </sharedItems>
    </cacheField>
    <cacheField name="Month Name" numFmtId="0">
      <sharedItems/>
    </cacheField>
    <cacheField name="BLOCK" numFmtId="0">
      <sharedItems/>
    </cacheField>
    <cacheField name="Location" numFmtId="0">
      <sharedItems/>
    </cacheField>
    <cacheField name="ALL_INCIDENTS" numFmtId="0">
      <sharedItems count="7">
        <s v="Burglary - Residence"/>
        <s v="Burglary - Commercial, Alarm - Burglar"/>
        <s v="Burglary - Commercial, Suspicious Incident"/>
        <s v="Burglary - Commercial, Hindering Apprehension, Resisting Arrest/Eluding"/>
        <s v="Burglary - Residence, Harassment, Domestic Violence" u="1"/>
        <s v="Violation of Court Order, Burglary - Residence, Harassment" u="1"/>
        <s v="Assist Other Agency, Burglary - Residence" u="1"/>
      </sharedItems>
    </cacheField>
    <cacheField name="Incident Type_1" numFmtId="0">
      <sharedItems/>
    </cacheField>
    <cacheField name="Incident Type_2" numFmtId="0">
      <sharedItems/>
    </cacheField>
    <cacheField name="Incident Type_3" numFmtId="0">
      <sharedItems/>
    </cacheField>
    <cacheField name="FullAddress" numFmtId="0">
      <sharedItems/>
    </cacheField>
    <cacheField name="Grid" numFmtId="0">
      <sharedItems/>
    </cacheField>
    <cacheField name="Zone" numFmtId="0">
      <sharedItems containsSemiMixedTypes="0" containsString="0" containsNumber="1" containsInteger="1" minValue="5" maxValue="9"/>
    </cacheField>
    <cacheField name="Narrative" numFmtId="0">
      <sharedItems longText="1"/>
    </cacheField>
    <cacheField name="Total Value Stolen" numFmtId="0">
      <sharedItems containsString="0" containsBlank="1" containsNumber="1" containsInteger="1" minValue="50300" maxValue="50300"/>
    </cacheField>
    <cacheField name="Total Value Recover" numFmtId="0">
      <sharedItems containsNonDate="0" containsString="0" containsBlank="1"/>
    </cacheField>
    <cacheField name="Registration 1" numFmtId="0">
      <sharedItems containsNonDate="0" containsString="0" containsBlank="1"/>
    </cacheField>
    <cacheField name="Make1" numFmtId="0">
      <sharedItems containsNonDate="0" containsString="0" containsBlank="1"/>
    </cacheField>
    <cacheField name="Model1" numFmtId="0">
      <sharedItems containsNonDate="0" containsString="0" containsBlank="1"/>
    </cacheField>
    <cacheField name="Reg State 1" numFmtId="0">
      <sharedItems containsNonDate="0" containsString="0" containsBlank="1"/>
    </cacheField>
    <cacheField name="Registration 2" numFmtId="0">
      <sharedItems containsNonDate="0" containsString="0" containsBlank="1"/>
    </cacheField>
    <cacheField name="Reg State 2" numFmtId="0">
      <sharedItems containsNonDate="0" containsString="0" containsBlank="1"/>
    </cacheField>
    <cacheField name="Make2" numFmtId="0">
      <sharedItems containsNonDate="0" containsString="0" containsBlank="1"/>
    </cacheField>
    <cacheField name="Model2" numFmtId="0">
      <sharedItems containsNonDate="0" containsString="0" containsBlank="1"/>
    </cacheField>
    <cacheField name="Reviewed By" numFmtId="0">
      <sharedItems/>
    </cacheField>
    <cacheField name="CompleteCalc" numFmtId="0">
      <sharedItems/>
    </cacheField>
    <cacheField name="Officer of Record" numFmtId="0">
      <sharedItems/>
    </cacheField>
    <cacheField name="Squad" numFmtId="0">
      <sharedItems/>
    </cacheField>
    <cacheField name="Det_Assigned" numFmtId="0">
      <sharedItems containsBlank="1"/>
    </cacheField>
    <cacheField name="Case_Status" numFmtId="0">
      <sharedItems containsBlank="1"/>
    </cacheField>
    <cacheField name="NIBRS Classification" numFmtId="0">
      <sharedItems containsBlank="1"/>
    </cacheField>
    <cacheField name="CASE_NUMBER_LENGTH" numFmtId="0">
      <sharedItems containsSemiMixedTypes="0" containsString="0" containsNumber="1" containsInteger="1" minValue="9" maxValue="9"/>
    </cacheField>
    <cacheField name="Incident Date" numFmtId="167">
      <sharedItems containsSemiMixedTypes="0" containsNonDate="0" containsDate="1" containsString="0" minDate="2025-01-16T00:00:00" maxDate="2025-04-02T00:00:00"/>
    </cacheField>
    <cacheField name="Incident Time" numFmtId="172">
      <sharedItems containsSemiMixedTypes="0" containsNonDate="0" containsDate="1" containsString="0" minDate="1899-12-30T01:07:00" maxDate="1899-12-30T23:30:00"/>
    </cacheField>
    <cacheField name="Incident Date_Between" numFmtId="167">
      <sharedItems containsNonDate="0" containsDate="1" containsString="0" containsBlank="1" minDate="2025-01-16T00:00:00" maxDate="2025-04-05T00:00:00"/>
    </cacheField>
    <cacheField name="Incident Time_Between" numFmtId="172">
      <sharedItems containsNonDate="0" containsDate="1" containsString="0" containsBlank="1" minDate="1899-12-30T00:36:00" maxDate="1899-12-30T18:00:00"/>
    </cacheField>
    <cacheField name="Report Date" numFmtId="167">
      <sharedItems containsSemiMixedTypes="0" containsNonDate="0" containsDate="1" containsString="0" minDate="2025-01-16T00:00:00" maxDate="2025-04-05T00:00:00"/>
    </cacheField>
    <cacheField name="Report Time" numFmtId="172">
      <sharedItems containsSemiMixedTypes="0" containsNonDate="0" containsDate="1" containsString="0" minDate="1899-12-30T02:57:41" maxDate="1899-12-30T22:43:12"/>
    </cacheField>
    <cacheField name="Year" numFmtId="0">
      <sharedItems containsSemiMixedTypes="0" containsString="0" containsNumber="1" containsInteger="1" minValue="2025" maxValue="2025"/>
    </cacheField>
    <cacheField name="Week of Year" numFmtId="169">
      <sharedItems containsSemiMixedTypes="0" containsString="0" containsNumber="1" containsInteger="1" minValue="3" maxValue="14"/>
    </cacheField>
    <cacheField name="Week of Month" numFmtId="169">
      <sharedItems containsSemiMixedTypes="0" containsString="0" containsNumber="1" containsInteger="1" minValue="1" maxValue="6"/>
    </cacheField>
    <cacheField name="Day" numFmtId="169">
      <sharedItems containsSemiMixedTypes="0" containsString="0" containsNumber="1" containsInteger="1" minValue="1" maxValue="31"/>
    </cacheField>
    <cacheField name="Day of Year" numFmtId="170">
      <sharedItems containsSemiMixedTypes="0" containsString="0" containsNumber="1" containsInteger="1" minValue="16" maxValue="91"/>
    </cacheField>
    <cacheField name="INC_DATE_AND_TIME" numFmtId="171">
      <sharedItems containsSemiMixedTypes="0" containsNonDate="0" containsDate="1" containsString="0" minDate="2025-01-16T12:00:00" maxDate="2025-04-01T12:00:00"/>
    </cacheField>
    <cacheField name="St#" numFmtId="0">
      <sharedItems containsSemiMixedTypes="0" containsString="0" containsNumber="1" containsInteger="1" minValue="1" maxValue="441"/>
    </cacheField>
    <cacheField name="Notes" numFmtId="0">
      <sharedItems longText="1"/>
    </cacheField>
    <cacheField name="VEHICLE" numFmtId="0">
      <sharedItems containsNonDate="0" containsString="0" containsBlank="1"/>
    </cacheField>
    <cacheField name="Suspect" numFmtId="0">
      <sharedItems longText="1"/>
    </cacheField>
    <cacheField name="TOTAL_STOLEN_AMOUNT" numFmtId="0">
      <sharedItems longText="1"/>
    </cacheField>
    <cacheField name="REPORT_CYCLE" numFmtId="0">
      <sharedItems/>
    </cacheField>
    <cacheField name="TIME_OF_DAY" numFmtId="0">
      <sharedItems count="4">
        <s v="Afternoon (12:00-15:59)"/>
        <s v="Morning Peak (08:00-11:59)"/>
        <s v="Early Morning (00:00-03:59)"/>
        <s v="Night (20:00-23:59)"/>
      </sharedItems>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obert A. Carucci" refreshedDate="45762.132112500003" createdVersion="8" refreshedVersion="8" minRefreshableVersion="3" recordCount="14" xr:uid="{4BE8C8D1-8039-4776-833C-6B78CED6F772}">
  <cacheSource type="worksheet">
    <worksheetSource name="MV_Theft"/>
  </cacheSource>
  <cacheFields count="54">
    <cacheField name="Case Number" numFmtId="0">
      <sharedItems/>
    </cacheField>
    <cacheField name="INC_DATE" numFmtId="165">
      <sharedItems containsSemiMixedTypes="0" containsNonDate="0" containsDate="1" containsString="0" minDate="2025-01-03T00:00:00" maxDate="2025-03-29T00:00:00" count="13">
        <d v="2025-01-03T00:00:00"/>
        <d v="2025-01-15T00:00:00"/>
        <d v="2025-01-21T00:00:00"/>
        <d v="2025-01-22T00:00:00"/>
        <d v="2025-01-28T00:00:00"/>
        <d v="2025-01-31T00:00:00"/>
        <d v="2025-02-01T00:00:00"/>
        <d v="2025-02-03T00:00:00"/>
        <d v="2025-02-07T00:00:00"/>
        <d v="2025-02-17T00:00:00"/>
        <d v="2025-02-25T00:00:00"/>
        <d v="2025-03-21T00:00:00"/>
        <d v="2025-03-28T00:00:00"/>
      </sharedItems>
    </cacheField>
    <cacheField name="TOD" numFmtId="0">
      <sharedItems count="6">
        <s v="20:00-23:59 Night"/>
        <s v="12:00-15:59 Afternoon"/>
        <s v="16:00-19:59 Evening Peak"/>
        <s v="08:00-11:59 Morning Peak"/>
        <s v="00:00-03:59 Early Morning"/>
        <s v="04:00-07:59 Morning"/>
      </sharedItems>
    </cacheField>
    <cacheField name="Start of Hour" numFmtId="164">
      <sharedItems containsSemiMixedTypes="0" containsNonDate="0" containsDate="1" containsString="0" minDate="1899-12-30T01:00:00" maxDate="1899-12-30T21:00:00"/>
    </cacheField>
    <cacheField name="INC_TIME" numFmtId="164">
      <sharedItems containsSemiMixedTypes="0" containsNonDate="0" containsDate="1" containsString="0" minDate="1899-12-30T01:00:00" maxDate="1899-12-30T21:30:00"/>
    </cacheField>
    <cacheField name="Day Name" numFmtId="0">
      <sharedItems count="10">
        <s v="Fri"/>
        <s v="Wed"/>
        <s v="Tue"/>
        <s v="Sat"/>
        <s v="Mon"/>
        <s v="Friday" u="1"/>
        <s v="Wednesday" u="1"/>
        <s v="Tuesday" u="1"/>
        <s v="Saturday" u="1"/>
        <s v="Monday" u="1"/>
      </sharedItems>
    </cacheField>
    <cacheField name="Month Name" numFmtId="0">
      <sharedItems/>
    </cacheField>
    <cacheField name="BLOCK" numFmtId="0">
      <sharedItems/>
    </cacheField>
    <cacheField name="Location" numFmtId="0">
      <sharedItems/>
    </cacheField>
    <cacheField name="ALL_INCIDENTS" numFmtId="0">
      <sharedItems count="3">
        <s v="Motor Vehicle Theft"/>
        <s v="Motor Vehicle Theft, Theft"/>
        <s v="Motor Vehicle Theft, Recovered Stolen Vehicle"/>
      </sharedItems>
    </cacheField>
    <cacheField name="Incident Type_1" numFmtId="0">
      <sharedItems/>
    </cacheField>
    <cacheField name="Incident Type_2" numFmtId="0">
      <sharedItems/>
    </cacheField>
    <cacheField name="Incident Type_3" numFmtId="0">
      <sharedItems/>
    </cacheField>
    <cacheField name="FullAddress" numFmtId="0">
      <sharedItems/>
    </cacheField>
    <cacheField name="Grid" numFmtId="0">
      <sharedItems/>
    </cacheField>
    <cacheField name="Zone" numFmtId="0">
      <sharedItems containsSemiMixedTypes="0" containsString="0" containsNumber="1" containsInteger="1" minValue="5" maxValue="9"/>
    </cacheField>
    <cacheField name="Narrative" numFmtId="0">
      <sharedItems longText="1"/>
    </cacheField>
    <cacheField name="Total Value Stolen" numFmtId="0">
      <sharedItems containsNonDate="0" containsString="0" containsBlank="1"/>
    </cacheField>
    <cacheField name="Total Value Recover" numFmtId="0">
      <sharedItems containsNonDate="0" containsString="0" containsBlank="1"/>
    </cacheField>
    <cacheField name="Registration 1" numFmtId="0">
      <sharedItems/>
    </cacheField>
    <cacheField name="Make1" numFmtId="0">
      <sharedItems containsBlank="1"/>
    </cacheField>
    <cacheField name="Model1" numFmtId="0">
      <sharedItems containsBlank="1"/>
    </cacheField>
    <cacheField name="Reg State 1" numFmtId="0">
      <sharedItems/>
    </cacheField>
    <cacheField name="Registration 2" numFmtId="0">
      <sharedItems containsNonDate="0" containsString="0" containsBlank="1"/>
    </cacheField>
    <cacheField name="Reg State 2" numFmtId="0">
      <sharedItems containsNonDate="0" containsString="0" containsBlank="1"/>
    </cacheField>
    <cacheField name="Make2" numFmtId="0">
      <sharedItems containsNonDate="0" containsString="0" containsBlank="1"/>
    </cacheField>
    <cacheField name="Model2" numFmtId="0">
      <sharedItems containsNonDate="0" containsString="0" containsBlank="1"/>
    </cacheField>
    <cacheField name="Reviewed By" numFmtId="0">
      <sharedItems/>
    </cacheField>
    <cacheField name="CompleteCalc" numFmtId="0">
      <sharedItems/>
    </cacheField>
    <cacheField name="Officer of Record" numFmtId="0">
      <sharedItems/>
    </cacheField>
    <cacheField name="Squad" numFmtId="0">
      <sharedItems/>
    </cacheField>
    <cacheField name="Det_Assigned" numFmtId="0">
      <sharedItems containsBlank="1"/>
    </cacheField>
    <cacheField name="Case_Status" numFmtId="0">
      <sharedItems containsBlank="1"/>
    </cacheField>
    <cacheField name="NIBRS Classification" numFmtId="0">
      <sharedItems containsBlank="1"/>
    </cacheField>
    <cacheField name="CASE_NUMBER_LENGTH" numFmtId="0">
      <sharedItems containsSemiMixedTypes="0" containsString="0" containsNumber="1" containsInteger="1" minValue="9" maxValue="9"/>
    </cacheField>
    <cacheField name="Incident Date" numFmtId="165">
      <sharedItems containsSemiMixedTypes="0" containsNonDate="0" containsDate="1" containsString="0" minDate="2025-01-03T00:00:00" maxDate="2025-03-29T00:00:00"/>
    </cacheField>
    <cacheField name="Incident Time" numFmtId="168">
      <sharedItems containsSemiMixedTypes="0" containsNonDate="0" containsDate="1" containsString="0" minDate="1899-12-30T01:00:00" maxDate="1899-12-30T21:30:00"/>
    </cacheField>
    <cacheField name="Incident Date_Between" numFmtId="165">
      <sharedItems containsNonDate="0" containsDate="1" containsString="0" containsBlank="1" minDate="2025-01-04T00:00:00" maxDate="2025-03-30T00:00:00"/>
    </cacheField>
    <cacheField name="Incident Time_Between" numFmtId="168">
      <sharedItems containsNonDate="0" containsDate="1" containsString="0" containsBlank="1" minDate="1899-12-30T02:30:00" maxDate="1899-12-30T23:00:00"/>
    </cacheField>
    <cacheField name="Report Date" numFmtId="165">
      <sharedItems containsSemiMixedTypes="0" containsNonDate="0" containsDate="1" containsString="0" minDate="2025-01-04T00:00:00" maxDate="2025-03-30T00:00:00"/>
    </cacheField>
    <cacheField name="Report Time" numFmtId="168">
      <sharedItems containsSemiMixedTypes="0" containsNonDate="0" containsDate="1" containsString="0" minDate="1899-12-30T02:52:33" maxDate="1899-12-30T23:47:34"/>
    </cacheField>
    <cacheField name="Year" numFmtId="0">
      <sharedItems containsSemiMixedTypes="0" containsString="0" containsNumber="1" containsInteger="1" minValue="2025" maxValue="2025"/>
    </cacheField>
    <cacheField name="Week of Year" numFmtId="169">
      <sharedItems containsSemiMixedTypes="0" containsString="0" containsNumber="1" containsInteger="1" minValue="1" maxValue="13"/>
    </cacheField>
    <cacheField name="Week of Month" numFmtId="169">
      <sharedItems containsSemiMixedTypes="0" containsString="0" containsNumber="1" containsInteger="1" minValue="1" maxValue="5"/>
    </cacheField>
    <cacheField name="Day" numFmtId="169">
      <sharedItems containsSemiMixedTypes="0" containsString="0" containsNumber="1" containsInteger="1" minValue="1" maxValue="31"/>
    </cacheField>
    <cacheField name="Day of Year" numFmtId="170">
      <sharedItems containsSemiMixedTypes="0" containsString="0" containsNumber="1" containsInteger="1" minValue="3" maxValue="87"/>
    </cacheField>
    <cacheField name="INC_DATE_AND_TIME" numFmtId="171">
      <sharedItems containsSemiMixedTypes="0" containsNonDate="0" containsDate="1" containsString="0" minDate="2025-01-03T21:30:00" maxDate="2025-03-28T20:30:00"/>
    </cacheField>
    <cacheField name="St#" numFmtId="0">
      <sharedItems containsSemiMixedTypes="0" containsString="0" containsNumber="1" containsInteger="1" minValue="30" maxValue="535"/>
    </cacheField>
    <cacheField name="Notes" numFmtId="0">
      <sharedItems longText="1"/>
    </cacheField>
    <cacheField name="VEHICLE" numFmtId="0">
      <sharedItems/>
    </cacheField>
    <cacheField name="Suspect" numFmtId="0">
      <sharedItems/>
    </cacheField>
    <cacheField name="TOTAL_STOLEN_AMOUNT" numFmtId="0">
      <sharedItems/>
    </cacheField>
    <cacheField name="REPORT_CYCLE" numFmtId="0">
      <sharedItems/>
    </cacheField>
    <cacheField name="TIME_OF_DAY" numFmtId="0">
      <sharedItems count="6">
        <s v="Night (20:00-23:59)"/>
        <s v="Afternoon (12:00-15:59)"/>
        <s v="Evening Peak (16:00-19:59)"/>
        <s v="Morning Peak (08:00-11:59)"/>
        <s v="Early Morning (00:00-03:59)"/>
        <s v="Morning (04:00-07:59)"/>
      </sharedItems>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obert A. Carucci" refreshedDate="45762.132112847219" createdVersion="8" refreshedVersion="8" minRefreshableVersion="3" recordCount="5" xr:uid="{0FC43992-25F7-498F-9BDC-F3BFC4307200}">
  <cacheSource type="worksheet">
    <worksheetSource name="Sexual_Offenses"/>
  </cacheSource>
  <cacheFields count="54">
    <cacheField name="Case Number" numFmtId="0">
      <sharedItems/>
    </cacheField>
    <cacheField name="INC_DATE" numFmtId="167">
      <sharedItems containsSemiMixedTypes="0" containsNonDate="0" containsDate="1" containsString="0" minDate="2025-01-07T00:00:00" maxDate="2025-04-03T00:00:00" count="5">
        <d v="2025-01-07T00:00:00"/>
        <d v="2025-01-23T00:00:00"/>
        <d v="2025-02-17T00:00:00"/>
        <d v="2025-02-20T00:00:00"/>
        <d v="2025-04-02T00:00:00"/>
      </sharedItems>
    </cacheField>
    <cacheField name="TOD" numFmtId="0">
      <sharedItems/>
    </cacheField>
    <cacheField name="Start of Hour" numFmtId="164">
      <sharedItems containsSemiMixedTypes="0" containsNonDate="0" containsDate="1" containsString="0" minDate="1899-12-30T12:00:00" maxDate="1899-12-30T21:00:00" count="5">
        <d v="1899-12-30T14:00:00"/>
        <d v="1899-12-30T15:00:00"/>
        <d v="1899-12-30T20:00:00"/>
        <d v="1899-12-30T12:00:00"/>
        <d v="1899-12-30T21:00:00"/>
      </sharedItems>
    </cacheField>
    <cacheField name="INC_TIME" numFmtId="164">
      <sharedItems containsSemiMixedTypes="0" containsNonDate="0" containsDate="1" containsString="0" minDate="1899-12-30T12:52:04" maxDate="1899-12-30T21:35:00"/>
    </cacheField>
    <cacheField name="Day Name" numFmtId="0">
      <sharedItems count="7">
        <s v="Tue"/>
        <s v="Thur"/>
        <s v="Mon"/>
        <s v="Wed"/>
        <s v="Tuesday" u="1"/>
        <s v="Thursday" u="1"/>
        <s v="Monday" u="1"/>
      </sharedItems>
    </cacheField>
    <cacheField name="Month Name" numFmtId="0">
      <sharedItems/>
    </cacheField>
    <cacheField name="BLOCK" numFmtId="0">
      <sharedItems/>
    </cacheField>
    <cacheField name="Location" numFmtId="0">
      <sharedItems/>
    </cacheField>
    <cacheField name="ALL_INCIDENTS" numFmtId="0">
      <sharedItems count="5">
        <s v="Criminal Sexual Contact, Juvenile Investigation"/>
        <s v="Sexual Assault, Juvenile Investigation"/>
        <s v="Exceptionally Cleared/Closed, Sexual Assault"/>
        <s v="Sexual Assault"/>
        <s v="Mental Health Incident, Sexual Assault, Juvenile Investigation"/>
      </sharedItems>
    </cacheField>
    <cacheField name="Incident Type_1" numFmtId="0">
      <sharedItems/>
    </cacheField>
    <cacheField name="Incident Type_2" numFmtId="0">
      <sharedItems/>
    </cacheField>
    <cacheField name="Incident Type_3" numFmtId="0">
      <sharedItems/>
    </cacheField>
    <cacheField name="FullAddress" numFmtId="0">
      <sharedItems/>
    </cacheField>
    <cacheField name="Grid" numFmtId="0">
      <sharedItems/>
    </cacheField>
    <cacheField name="Zone" numFmtId="0">
      <sharedItems containsSemiMixedTypes="0" containsString="0" containsNumber="1" containsInteger="1" minValue="7" maxValue="8"/>
    </cacheField>
    <cacheField name="Narrative" numFmtId="0">
      <sharedItems longText="1"/>
    </cacheField>
    <cacheField name="Total Value Stolen" numFmtId="0">
      <sharedItems containsNonDate="0" containsString="0" containsBlank="1"/>
    </cacheField>
    <cacheField name="Total Value Recover" numFmtId="0">
      <sharedItems containsNonDate="0" containsString="0" containsBlank="1"/>
    </cacheField>
    <cacheField name="Registration 1" numFmtId="0">
      <sharedItems containsNonDate="0" containsString="0" containsBlank="1"/>
    </cacheField>
    <cacheField name="Make1" numFmtId="0">
      <sharedItems containsNonDate="0" containsString="0" containsBlank="1"/>
    </cacheField>
    <cacheField name="Model1" numFmtId="0">
      <sharedItems containsNonDate="0" containsString="0" containsBlank="1"/>
    </cacheField>
    <cacheField name="Reg State 1" numFmtId="0">
      <sharedItems containsNonDate="0" containsString="0" containsBlank="1"/>
    </cacheField>
    <cacheField name="Registration 2" numFmtId="0">
      <sharedItems containsNonDate="0" containsString="0" containsBlank="1"/>
    </cacheField>
    <cacheField name="Reg State 2" numFmtId="0">
      <sharedItems containsNonDate="0" containsString="0" containsBlank="1"/>
    </cacheField>
    <cacheField name="Make2" numFmtId="0">
      <sharedItems containsNonDate="0" containsString="0" containsBlank="1"/>
    </cacheField>
    <cacheField name="Model2" numFmtId="0">
      <sharedItems containsNonDate="0" containsString="0" containsBlank="1"/>
    </cacheField>
    <cacheField name="Reviewed By" numFmtId="0">
      <sharedItems/>
    </cacheField>
    <cacheField name="CompleteCalc" numFmtId="0">
      <sharedItems/>
    </cacheField>
    <cacheField name="Officer of Record" numFmtId="0">
      <sharedItems/>
    </cacheField>
    <cacheField name="Squad" numFmtId="0">
      <sharedItems/>
    </cacheField>
    <cacheField name="Det_Assigned" numFmtId="0">
      <sharedItems/>
    </cacheField>
    <cacheField name="Case_Status" numFmtId="0">
      <sharedItems/>
    </cacheField>
    <cacheField name="NIBRS Classification" numFmtId="0">
      <sharedItems containsBlank="1"/>
    </cacheField>
    <cacheField name="CASE_NUMBER_LENGTH" numFmtId="0">
      <sharedItems containsSemiMixedTypes="0" containsString="0" containsNumber="1" containsInteger="1" minValue="9" maxValue="9"/>
    </cacheField>
    <cacheField name="Incident Date" numFmtId="14">
      <sharedItems containsSemiMixedTypes="0" containsNonDate="0" containsDate="1" containsString="0" minDate="2017-06-20T00:00:00" maxDate="2025-04-03T00:00:00"/>
    </cacheField>
    <cacheField name="Incident Time" numFmtId="22">
      <sharedItems containsSemiMixedTypes="0" containsNonDate="0" containsDate="1" containsString="0" minDate="1899-12-30T12:52:04" maxDate="1899-12-30T21:35:00"/>
    </cacheField>
    <cacheField name="Incident Date_Between" numFmtId="14">
      <sharedItems containsNonDate="0" containsDate="1" containsString="0" containsBlank="1" minDate="2024-09-20T00:00:00" maxDate="2025-02-18T00:00:00"/>
    </cacheField>
    <cacheField name="Incident Time_Between" numFmtId="22">
      <sharedItems containsNonDate="0" containsDate="1" containsString="0" containsBlank="1" minDate="1899-12-30T23:45:00" maxDate="1899-12-30T23:45:00"/>
    </cacheField>
    <cacheField name="Report Date" numFmtId="14">
      <sharedItems containsSemiMixedTypes="0" containsNonDate="0" containsDate="1" containsString="0" minDate="2025-01-10T00:00:00" maxDate="2025-04-03T00:00:00"/>
    </cacheField>
    <cacheField name="Report Time" numFmtId="22">
      <sharedItems containsSemiMixedTypes="0" containsNonDate="0" containsDate="1" containsString="0" minDate="1899-12-30T12:52:04" maxDate="1899-12-30T21:40:41"/>
    </cacheField>
    <cacheField name="Year" numFmtId="0">
      <sharedItems containsSemiMixedTypes="0" containsString="0" containsNumber="1" containsInteger="1" minValue="2017" maxValue="2025"/>
    </cacheField>
    <cacheField name="Week of Year" numFmtId="0">
      <sharedItems containsSemiMixedTypes="0" containsString="0" containsNumber="1" containsInteger="1" minValue="2" maxValue="25"/>
    </cacheField>
    <cacheField name="Week of Month" numFmtId="0">
      <sharedItems containsSemiMixedTypes="0" containsString="0" containsNumber="1" containsInteger="1" minValue="1" maxValue="4"/>
    </cacheField>
    <cacheField name="Day" numFmtId="0">
      <sharedItems containsSemiMixedTypes="0" containsString="0" containsNumber="1" containsInteger="1" minValue="2" maxValue="23"/>
    </cacheField>
    <cacheField name="Day of Year" numFmtId="0">
      <sharedItems containsSemiMixedTypes="0" containsString="0" containsNumber="1" containsInteger="1" minValue="7" maxValue="171"/>
    </cacheField>
    <cacheField name="INC_DATE_AND_TIME" numFmtId="22">
      <sharedItems containsSemiMixedTypes="0" containsNonDate="0" containsDate="1" containsString="0" minDate="2017-06-20T12:52:00" maxDate="2025-04-02T21:35:00"/>
    </cacheField>
    <cacheField name="St#" numFmtId="0">
      <sharedItems containsSemiMixedTypes="0" containsString="0" containsNumber="1" containsInteger="1" minValue="135" maxValue="360"/>
    </cacheField>
    <cacheField name="Notes" numFmtId="0">
      <sharedItems longText="1"/>
    </cacheField>
    <cacheField name="VEHICLE" numFmtId="0">
      <sharedItems containsNonDate="0" containsString="0" containsBlank="1"/>
    </cacheField>
    <cacheField name="Suspect" numFmtId="0">
      <sharedItems longText="1"/>
    </cacheField>
    <cacheField name="TOTAL_STOLEN_AMOUNT" numFmtId="0">
      <sharedItems/>
    </cacheField>
    <cacheField name="REPORT_CYCLE" numFmtId="0">
      <sharedItems/>
    </cacheField>
    <cacheField name="TIME_OF_DAY" numFmtId="0">
      <sharedItems count="2">
        <s v="Afternoon (12:00-15:59)"/>
        <s v="Night (20:00-23:59)"/>
      </sharedItems>
    </cacheField>
  </cacheFields>
  <extLst>
    <ext xmlns:x14="http://schemas.microsoft.com/office/spreadsheetml/2009/9/main" uri="{725AE2AE-9491-48be-B2B4-4EB974FC3084}">
      <x14:pivotCacheDefinition/>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obert A. Carucci" refreshedDate="45762.15893020833" createdVersion="8" refreshedVersion="8" minRefreshableVersion="3" recordCount="133" xr:uid="{6C01DEB0-BC56-480A-B46A-337ED657C799}">
  <cacheSource type="worksheet">
    <worksheetSource name="Bur_Auto"/>
  </cacheSource>
  <cacheFields count="45">
    <cacheField name="Case Number" numFmtId="0">
      <sharedItems/>
    </cacheField>
    <cacheField name="INC_DATE" numFmtId="14">
      <sharedItems containsSemiMixedTypes="0" containsNonDate="0" containsDate="1" containsString="0" minDate="2025-01-06T00:00:00" maxDate="2025-04-10T00:00:00" count="11">
        <d v="2025-01-06T00:00:00"/>
        <d v="2025-01-25T00:00:00"/>
        <d v="2025-01-26T00:00:00"/>
        <d v="2025-02-13T00:00:00"/>
        <d v="2025-03-06T00:00:00"/>
        <d v="2025-03-09T00:00:00"/>
        <d v="2025-03-11T00:00:00"/>
        <d v="2025-03-23T00:00:00"/>
        <d v="2025-03-31T00:00:00"/>
        <d v="2025-04-01T00:00:00"/>
        <d v="2025-04-09T00:00:00"/>
      </sharedItems>
    </cacheField>
    <cacheField name="TIME_OF_DAY" numFmtId="0">
      <sharedItems count="4">
        <s v="Afternoon (12:00-15:59)"/>
        <s v="Evening Peak (16:00-19:59)"/>
        <s v="Night (20:00-23:59)"/>
        <s v="Morning (04:00-07:59)"/>
      </sharedItems>
    </cacheField>
    <cacheField name="Start of Hour" numFmtId="164">
      <sharedItems containsSemiMixedTypes="0" containsNonDate="0" containsDate="1" containsString="0" minDate="1899-12-30T04:00:00" maxDate="1899-12-30T23:00:00"/>
    </cacheField>
    <cacheField name="INC_TIME" numFmtId="164">
      <sharedItems containsSemiMixedTypes="0" containsNonDate="0" containsDate="1" containsString="0" minDate="1899-12-30T04:10:00" maxDate="1899-12-30T23:10:00"/>
    </cacheField>
    <cacheField name="Day Name" numFmtId="0">
      <sharedItems count="11">
        <s v="Mon"/>
        <s v="Sat"/>
        <s v="Sun"/>
        <s v="Thur"/>
        <s v="Tue"/>
        <s v="Wed"/>
        <s v="Monday" u="1"/>
        <s v="Saturday" u="1"/>
        <s v="Sunday" u="1"/>
        <s v="Thursday" u="1"/>
        <s v="Tuesday" u="1"/>
      </sharedItems>
    </cacheField>
    <cacheField name="Month Name" numFmtId="0">
      <sharedItems/>
    </cacheField>
    <cacheField name="BLOCK" numFmtId="0">
      <sharedItems/>
    </cacheField>
    <cacheField name="Location" numFmtId="0">
      <sharedItems/>
    </cacheField>
    <cacheField name="ALL_INCIDENTS" numFmtId="0">
      <sharedItems count="3">
        <s v="Burglary - Auto"/>
        <s v="Burglary - Auto, Theft"/>
        <s v="Burglary - Auto, Criminal Mischief - Vehicle"/>
      </sharedItems>
    </cacheField>
    <cacheField name="Incident Type_1" numFmtId="0">
      <sharedItems/>
    </cacheField>
    <cacheField name="Incident Type_2" numFmtId="0">
      <sharedItems/>
    </cacheField>
    <cacheField name="Incident Type_3" numFmtId="0">
      <sharedItems/>
    </cacheField>
    <cacheField name="FullAddress" numFmtId="0">
      <sharedItems/>
    </cacheField>
    <cacheField name="Grid" numFmtId="0">
      <sharedItems containsBlank="1"/>
    </cacheField>
    <cacheField name="Zone" numFmtId="0">
      <sharedItems containsString="0" containsBlank="1" containsNumber="1" containsInteger="1" minValue="5" maxValue="9"/>
    </cacheField>
    <cacheField name="Narrative" numFmtId="0">
      <sharedItems longText="1"/>
    </cacheField>
    <cacheField name="Total Value Stolen" numFmtId="0">
      <sharedItems containsString="0" containsBlank="1" containsNumber="1" containsInteger="1" minValue="2" maxValue="5"/>
    </cacheField>
    <cacheField name="Total Value Recover" numFmtId="0">
      <sharedItems containsString="0" containsBlank="1" containsNumber="1" containsInteger="1" minValue="0" maxValue="0"/>
    </cacheField>
    <cacheField name="Registration 1" numFmtId="0">
      <sharedItems/>
    </cacheField>
    <cacheField name="Make1" numFmtId="0">
      <sharedItems/>
    </cacheField>
    <cacheField name="Model1" numFmtId="0">
      <sharedItems/>
    </cacheField>
    <cacheField name="Reg State 1" numFmtId="0">
      <sharedItems/>
    </cacheField>
    <cacheField name="Registration 2" numFmtId="0">
      <sharedItems containsNonDate="0" containsString="0" containsBlank="1"/>
    </cacheField>
    <cacheField name="Reg State 2" numFmtId="0">
      <sharedItems containsNonDate="0" containsString="0" containsBlank="1"/>
    </cacheField>
    <cacheField name="Make2" numFmtId="0">
      <sharedItems containsNonDate="0" containsString="0" containsBlank="1"/>
    </cacheField>
    <cacheField name="Model2" numFmtId="0">
      <sharedItems containsNonDate="0" containsString="0" containsBlank="1"/>
    </cacheField>
    <cacheField name="Reviewed By" numFmtId="0">
      <sharedItems/>
    </cacheField>
    <cacheField name="Officer of Record" numFmtId="0">
      <sharedItems/>
    </cacheField>
    <cacheField name="Squad" numFmtId="0">
      <sharedItems/>
    </cacheField>
    <cacheField name="Det_Assigned" numFmtId="0">
      <sharedItems containsBlank="1"/>
    </cacheField>
    <cacheField name="Case_Status" numFmtId="0">
      <sharedItems containsBlank="1"/>
    </cacheField>
    <cacheField name="NIBRS Classification" numFmtId="0">
      <sharedItems containsBlank="1"/>
    </cacheField>
    <cacheField name="Year" numFmtId="0">
      <sharedItems containsSemiMixedTypes="0" containsString="0" containsNumber="1" containsInteger="1" minValue="2025" maxValue="2025"/>
    </cacheField>
    <cacheField name="Week of Year" numFmtId="0">
      <sharedItems containsSemiMixedTypes="0" containsString="0" containsNumber="1" containsInteger="1" minValue="2" maxValue="15"/>
    </cacheField>
    <cacheField name="Week of Month" numFmtId="0">
      <sharedItems containsSemiMixedTypes="0" containsString="0" containsNumber="1" containsInteger="1" minValue="1" maxValue="6"/>
    </cacheField>
    <cacheField name="Day" numFmtId="0">
      <sharedItems containsSemiMixedTypes="0" containsString="0" containsNumber="1" containsInteger="1" minValue="1" maxValue="31"/>
    </cacheField>
    <cacheField name="Day of Year" numFmtId="0">
      <sharedItems containsSemiMixedTypes="0" containsString="0" containsNumber="1" containsInteger="1" minValue="6" maxValue="99"/>
    </cacheField>
    <cacheField name="INC_DATE_AND_TIME" numFmtId="22">
      <sharedItems containsSemiMixedTypes="0" containsNonDate="0" containsDate="1" containsString="0" minDate="2025-01-06T15:30:00" maxDate="2025-04-09T23:10:00"/>
    </cacheField>
    <cacheField name="St#" numFmtId="0">
      <sharedItems containsString="0" containsBlank="1" containsNumber="1" containsInteger="1" minValue="5" maxValue="310"/>
    </cacheField>
    <cacheField name="Notes" numFmtId="0">
      <sharedItems longText="1"/>
    </cacheField>
    <cacheField name="VEHICLE" numFmtId="0">
      <sharedItems/>
    </cacheField>
    <cacheField name="Suspect" numFmtId="0">
      <sharedItems longText="1"/>
    </cacheField>
    <cacheField name="TOTAL_STOLEN_AMOUNT" numFmtId="0">
      <sharedItems longText="1"/>
    </cacheField>
    <cacheField name="REPORT_CYCLE"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
  <r>
    <s v="25-003362"/>
    <x v="0"/>
    <x v="0"/>
    <d v="1899-12-30T12:00:00"/>
    <d v="1899-12-30T12:05:00"/>
    <x v="0"/>
    <s v="January"/>
    <s v="Clay St, 200 Block"/>
    <s v="204 Clay Street"/>
    <s v="Dispute, Criminal Attempt, Robbery"/>
    <s v="Dispute"/>
    <s v="Criminal Attempt"/>
    <s v="Robbery"/>
    <s v="204 Clay Street, Hackensack, NJ, 07601"/>
    <s v="H3"/>
    <n v="8"/>
    <s v="On Monday, January 13th, 2025, at approximately 12:07 hours, P.O. Alvarez and I responded to the listed location on a dispute report. Before our arrival, headquarters had advised us that the male suspect, described as wearing a grey hoodie and sweatpants, had fled southbound on First Street. Upon arrival, we met with Maria Romero Peralta, the mother of the juvenile victim, A.R.      She reported that the described suspect, later identified as D.T., had punched her in the left eye and her right breast. With the mother's permission and in her presence, we spoke to the victim, a juvenile male, A.R., who reported that the suspect, D.T., had stolen a red electronic moped bike and had dropped it off at his house. He further reported that the suspect asked the victim if he could drop off the stolen moped for a couple of days. The victim also reported giving the stolen moped bike to another friend since he did not know how to operate the bike. A.R. later noted that the suspect, D.T., recovered the stolen moped bike from the said friend they have in common and had the bike confiscated byLaw Enforcement in another jurisdiction.      Today, the victim reported that the suspect arrived at his residence demanding $400.00 for the moped because it had been confiscated. He further reported that the suspect arrived with three (3) other friends: two Hispanic males, unknown names, dates of birth, or addresses, and a Hispanic female, blonde hair and blue jacket, operating a Toyota Rav 4 with an unknown NY tag. He also reported that a fight ensued between him and the suspect, and the three (3) witnesses stood by.      The victim also reported that his mother, Maria Romero Peralta, heard the commotion and broke up the fight, retreating with the victim and herself back into the residence. A.R. reported that the front entrance door closed and was being held by his mother when the suspect breached the door with physical force and continued to assault the victim while demanding $400.00 for the red moped electric bike.  I then requested a supervisor, and Sgt. Williams responded to assist.     Maria Romero Peralta reported that while attempting to break up the fight, she was punched in the left eye and right breast by the suspect, D.T. She also reported that the suspect and the three (3) witnesses fled the scene after she threatened to call the police. Maria Romero Peralta, along with A.R. declined medical attention at the scene. The mother and the victim wanted to provide statements to detectives and were transported to headquarters by P.O. Alvarez as I followed.      At headquarters, Detectives Mora and Garrett responded to report room 2 and met with the victim and his mother. Before providing statements to the detectives, Maria Romero Peralta began to have complaints of pain in her left eye and right breast. I observed her left eye to be swollen and red. Maria Romero Peralta then requested to be transported to the hospital for evaluation and treatment. I requested an ambulance, and Hackensack University Medical Center BLS #136 arrived. The mother, now a patient, was transported to the HUMC along with A.R. for treatment. The patient reported that she would respond to headquarters at a later time to provide statements to the detectives. I contacted DCP&amp;P Christine #1718 and advised of the incident. She reported that the incident would only be documented. I completed a victim notification form and provided a copy to the victim.It should be noted that the victim, A.R., reported that he had dropped out of school as of today; therefore, a handle with care was not completed. See Detectives report for additional information."/>
    <m/>
    <m/>
    <m/>
    <m/>
    <m/>
    <m/>
    <m/>
    <m/>
    <m/>
    <m/>
    <s v="Klosk_J"/>
    <s v="Complete"/>
    <s v="P.O. Forrod Bonsu 353"/>
    <s v="B1"/>
    <s v="Det. Frankie Garrett 323"/>
    <s v="Active Investigation"/>
    <s v="120 = Robbery"/>
    <n v="2025"/>
    <n v="3"/>
    <n v="3"/>
    <n v="13"/>
    <n v="13"/>
    <d v="2025-01-13T12:05:00"/>
    <n v="204"/>
    <s v="On Monday, January 13th, 2025, at approximately 12:07 hours, P.O. Alvarez and I responded to the listed location on a dispute report. Before our arrival, headquarters had advised us that the male suspect, described as wearing a grey hoodie and sweatpants, had fled southbound on First Street. Upon arrival, we met with Maria Romero Peralta, the mother of the juvenile victim, A.R.      She reported that the described suspect, later identified as D.T., had punched her in the left eye and her right breast. With the mother's permission and in her presence, we spoke to the victim, a juvenile male, A.R., who reported that the suspect, D.T., had stolen a red electronic moped bike and had dropped it off at his house. He further reported that the suspect asked the victim if he could drop off the stolen moped for a couple of days. The victim also reported giving the stolen moped bike to another friend since he did not know how to operate the bike. A.R. later noted that the suspect, D.T., recovered the stolen moped bike from the said friend they have in common and had the bike confiscated byLaw Enforcement in another jurisdiction.      Today, the victim reported that the suspect arrived at his residence demanding $400.00 for the moped because it had been confiscated. He further reported that the suspect arrived with three (3) other friends: two Hispanic males, unknown names, dates of birth, or addresses, and a Hispanic female, blonde hair and blue jacket, operating a Toyota Rav 4 with an unknown NY tag. He also reported that a fight ensued between him and the suspect, and the three (3) witnesses stood by.      The victim also reported that his mother, Maria Romero Peralta, heard the commotion and broke up the fight, retreating with the victim and herself back into the residence. A.R. reported that the front entrance door closed and was being held by his mother when the suspect breached the door with physical force and continued to assault the victim while demanding $400.00 for the red moped electric bike.  I then requested a supervisor, and Sgt. Williams responded to assist.     Maria Romero Peralta reported that while attempting to break up the fight, she was punched in the left eye and right breast by the suspect, D.T. She also reported that the suspect and the three (3) witnesses fled the scene after she threatened to call the police. Maria Romero Peralta, along with A.R. declined medical attention at the scene. The mother and the victim wanted to provide statements to detectives and were transported to headquarters by P.O. Alvarez as I followed.      At headquarters, Detectives Mora and Garrett responded to report room 2 and met with the victim and his mother. Before providing statements to the detectives, Maria Romero Peralta began to have complaints of pain in her left eye and right breast. I observed her left eye to be swollen and red. Maria Romero Peralta then requested to be transported to the hospital for evaluation and treatment. I requested an ambulance, and Hackensack University Medical Center BLS #136 arrived. The mother, now a patient, was transported to the HUMC along with A.R. for treatment. The patient reported that she would respond to headquarters at a later time to provide statements to the detectives. I contacted DCP&amp;P Christine #1718 and advised of the incident. She reported that the incident would only be documented. I completed a victim notification form and provided a copy to the victim.It should be noted that the victim, A.R., reported that he had dropped out of school as of today; therefore, a handle with care was not completed. See Detectives report for additional information."/>
    <m/>
    <s v="suspect, described as wearing a grey hoodie and sweatpants, had fled southbound on first street suspect, later identified as d suspect, d suspect asked the victim if he could drop off the stolen moped for a couple of days suspect, d suspect arrived at his residence demanding $400 suspect arrived with three (3) other friends: two hispanic males, unknown names, dates of birth, or addresses, and a hispanic female, blonde hair and blue jacket, operating a toyota rav 4 with an unknown ny tag suspect, and the three (3) witnesses stood by suspect breached the door with physical force and continued to assault the victim while demanding $400 suspect, d suspect and the three (3) witnesses fled the scene after she threatened to call the police"/>
    <s v="$400.00 for the moped because it had been confiscated. He further reported that the suspect arrived with three (3) other friends: two Hispanic males, unknown names, dates of birth, or addresses, and a Hispanic female, blonde hair and blue jacket, operating a Toyota Rav 4 with an unknown NY tag $400.00 for the red moped electric bike.  I then requested a supervisor, and Sgt"/>
    <s v="C01W02"/>
  </r>
  <r>
    <s v="25-003813"/>
    <x v="1"/>
    <x v="0"/>
    <d v="1899-12-30T15:00:00"/>
    <d v="1899-12-30T15:22:34"/>
    <x v="1"/>
    <s v="January"/>
    <s v="Hackensack Ave, 400 Block"/>
    <s v="450 Hackensack Avenue"/>
    <s v="Robbery, Resisting Arrest/Eluding, Suspicious Person"/>
    <s v="Robbery"/>
    <s v="Resisting Arrest/Eluding"/>
    <s v="Suspicious Person"/>
    <s v="450 Hackensack Avenue, Hackensack, NJ, 07601"/>
    <s v="I6"/>
    <n v="9"/>
    <s v="On Tuesday, January 14th, 2025, P.O. Conlon. P.O. Voorhis, and I responded to 450 Hackensack Avenue for a report of a trespasser on the premises who had shoplifted in the past and has also been aggressive with staff in the past.    Upon my arrival, I observed the arrestee enter a white Volkswagon (NJ-Y82VDS) that was leaving the parking lot. The security officers at Home Depot also pointed out the arrestee as he entered the car. I conducted a motor vehicle stop with the vehicle at the traffic light exiting the parking lot. As I approached the vehicle, the arrestee exited the vehicle and started running West on Hackensack Avenue. P.O. Conlon, P.O. Voorhis, and I began running after the arrestee and announcing ourselves as Hackensack Police. When the arrestee approached the other side of Hackensack Avenue, he stopped, and P.O. Conlon apprehended him. The arrestee was flailing his arms while I was attempting to place him in handcuffs. The arrestee was then put in handcuffs with his hands behind his back. The arrestee was then searched, which yielded negative for contraband.   The Loss Prevention Officers stated that the arrestee entered the front door of Home Depot with a black ski covering his face. The loss prevention officers noticed the arrestee from previous shoplifting. The arrestee then concealed several power tools totaling $1,284.00 and placed them in a shopping cart. The arrestee then went past all points of sale and tried to exit the store. Prior to exiting the store, the loss prevention officers approached him and tried to stop him from leaving. The arrestee then pushed the loss prevention officers and fled the store on foot. The loss prevention officer recovered the items. The arrestee then entered the listed vehicle and fled the parking lot for the exit of the mall. A photo copy of the receipt was placed into the BCI mailbox located at the front at the front desk.  The items that were recovered: M18 Jobsite Radio priced at $189.00Two 20V Atomic BL Combo Kit priced at $149.00 eachM18 Fuel Jig Saw priced at $199.00MKE M12 Packout Flood Light priced at $149.00M18 Fuel 10 Miter Saw priced at $449.00     Totaling at $1,284.00.The arrestee was placed in radio car 114 and transported to police headquarters for processing. The vehicle was checked before and after the transport for contraband which yielded negative   The arrestee was processed at police headquarters by P.O. Caero. Complaint W-2025-000016 was authored by Lt. Swetits against the arrestee and was signed for 2C:29-2a(1), 2C:29-2a(2), and two counts of 2C:15-1A(1).  The arrestee also had multiple outstanding warrants from various jurisdictions.The arrestee was remanded to the Bergen County Jail."/>
    <m/>
    <m/>
    <s v="Y82VDS"/>
    <s v="VOLKS"/>
    <s v="ATL"/>
    <s v="NJ"/>
    <m/>
    <m/>
    <m/>
    <m/>
    <s v="Swetits_M"/>
    <s v="Complete"/>
    <s v="P.O. Nicholas Mazzaccaro 377"/>
    <s v="B2"/>
    <s v="Det. John Tanucilli 335"/>
    <s v="Active Investigation"/>
    <s v="120 = Robbery"/>
    <n v="2025"/>
    <n v="3"/>
    <n v="3"/>
    <n v="14"/>
    <n v="14"/>
    <d v="2025-01-14T15:22:00"/>
    <n v="450"/>
    <s v="On Tuesday, January 14th, 2025, P.O. Conlon. P.O. Voorhis, and I responded to 450 Hackensack Avenue for a report of a trespasser on the premises who had shoplifted in the past and has also been aggressive with staff in the past.    Upon my arrival, I observed the arrestee enter a white Volkswagon (NJ-Y82VDS) that was leaving the parking lot. The security officers at Home Depot also pointed out the arrestee as he entered the car. I conducted a motor vehicle stop with the vehicle at the traffic light exiting the parking lot. As I approached the vehicle, the arrestee exited the vehicle and started running West on Hackensack Avenue. P.O. Conlon, P.O. Voorhis, and I began running after the arrestee and announcing ourselves as Hackensack Police. When the arrestee approached the other side of Hackensack Avenue, he stopped, and P.O. Conlon apprehended him. The arrestee was flailing his arms while I was attempting to place him in handcuffs. The arrestee was then put in handcuffs with his hands behind his back. The arrestee was then searched, which yielded negative for contraband.   The Loss Prevention Officers stated that the arrestee entered the front door of Home Depot with a black ski covering his face. The loss prevention officers noticed the arrestee from previous shoplifting. The arrestee then concealed several power tools totaling $1,284.00 and placed them in a shopping cart. The arrestee then went past all points of sale and tried to exit the store. Prior to exiting the store, the loss prevention officers approached him and tried to stop him from leaving. The arrestee then pushed the loss prevention officers and fled the store on foot. The loss prevention officer recovered the items. The arrestee then entered the listed vehicle and fled the parking lot for the exit of the mall. A photo copy of the receipt was placed into the BCI mailbox located at the front at the front desk.  The items that were recovered: M18 Jobsite Radio priced at $189.00Two 20V Atomic BL Combo Kit priced at $149.00 eachM18 Fuel Jig Saw priced at $199.00MKE M12 Packout Flood Light priced at $149.00M18 Fuel 10 Miter Saw priced at $449.00     Totaling at $1,284.00.The arrestee was placed in radio car 114 and transported to police headquarters for processing. The vehicle was checked before and after the transport for contraband which yielded negative   The arrestee was processed at police headquarters by P.O. Caero. Complaint W-2025-000016 was authored by Lt. Swetits against the arrestee and was signed for 2C:29-2a(1), 2C:29-2a(2), and two counts of 2C:15-1A(1).  The arrestee also had multiple outstanding warrants from various jurisdictions.The arrestee was remanded to the Bergen County Jail."/>
    <s v="Vehicle 1: NJ-Y82VDS VOLKS, ATL"/>
    <s v=""/>
    <s v="$1,284.00 and placed them in a shopping cart. The arrestee then went past all points of sale and tried to exit the store $189.00Two 20V Atomic BL Combo Kit priced at  $149.00 eachM18 Fuel Jig Saw priced at  $199.00MKE M12 Packout Flood Light priced at  $149.00M18 Fuel 10 Miter Saw priced at  $449.00     Totaling at  $1,284.00.The arrestee was placed in radio car 114 and transported to police headquarters for processing"/>
    <s v="C01W03"/>
  </r>
  <r>
    <s v="25-004629"/>
    <x v="2"/>
    <x v="1"/>
    <d v="1899-12-30T21:00:00"/>
    <d v="1899-12-30T21:03:00"/>
    <x v="2"/>
    <s v="January"/>
    <s v="Main St, 600 Block"/>
    <s v="630 Main Street"/>
    <s v="Robbery"/>
    <s v="Robbery"/>
    <s v=""/>
    <s v=""/>
    <s v="630 Main Street, Hackensack, NJ, 07601"/>
    <s v="I1"/>
    <n v="9"/>
    <s v="Suspect 1: Hispanic male, approximately early 30' s in age, approximately 5'10&quot; in height, approximately 180 in weight, wearing a tan hooded sweater, brown &quot;NY&quot; Yankees logo hat, black sweatpants and white sneakers.Suspect 2: Hispanic female, approximately mid 20's in age, approximately 5'5&quot; in height, approximately 140 in weight, wearing a black jacket, grey hooded sweater, tan pants and cream colored shoes. Suspect Vehicle: 4 door Silver in color Hyundai Sonata (unknown registration).On 1/17/25 P.O. Papanikolaou and I responded to 630 Main Street, Target on a reported shoplifting. While   speaking with Target Loss Prevention they wanted to report an additional incident, which occurred in the past.Target Loss Prevention / victim, Cheikh Gaye, reported on 1/16/25 at approximately 21:03 hours suspect 1 and suspect 2 entered Target. It was further reported on 1/16/25 at approximately 21:16 hours suspect 1 and 2 passed all points of sale with unpaid merchandise in a shopping cart. The unpaid merchandise (furniture, grocery, health and beauty, home and kitchen products) totaled $452.71. Prior to exiting Target Loss Prevention / the victim confronted both suspects. Target Loss Prevention were able to recover all merchandise that both suspects attempted to steal. While recovering the stolen merchandise suspect 1 punched the victim in the head, specifically the top left side, with a closed fist one time. The victim reported having a complaint of pain hours after being assaulted. Both suspect later left the area in the suspect vehicle. A Sgt. was requested and Sgt. Competiello responded. Detectives were notified. The victim later responded to headquarters to provide a voluntary statement. The victim refused medical attention at this time.A receipt of the unpaid merchandise was provided by Target Loss Prevention. The receipt was later secured in the Detective Bureau Mailbox."/>
    <m/>
    <m/>
    <m/>
    <s v="HYUNDAI"/>
    <s v="SONATA"/>
    <m/>
    <m/>
    <m/>
    <m/>
    <m/>
    <s v="Deleon_A"/>
    <s v="Complete"/>
    <s v="P.O. Massimo Gallorini 379"/>
    <s v="A2"/>
    <s v="Det. John Mora 257"/>
    <s v="Complaint Signed"/>
    <s v="120 = Robbery"/>
    <n v="2025"/>
    <n v="3"/>
    <n v="3"/>
    <n v="16"/>
    <n v="16"/>
    <d v="2025-01-16T21:03:00"/>
    <n v="630"/>
    <s v="Suspect 1: Hispanic male, approximately early 30' s in age, approximately 5'10&quot; in height, approximately 180 in weight, wearing a tan hooded sweater, brown &quot;NY&quot; Yankees logo hat, black sweatpants and white sneakers.Suspect 2: Hispanic female, approximately mid 20's in age, approximately 5'5&quot; in height, approximately 140 in weight, wearing a black jacket, grey hooded sweater, tan pants and cream colored shoes. Suspect Vehicle: 4 door Silver in color Hyundai Sonata (unknown registration).On 1/17/25 P.O. Papanikolaou and I responded to 630 Main Street, Target on a reported shoplifting. While   speaking with Target Loss Prevention they wanted to report an additional incident, which occurred in the past.Target Loss Prevention / victim, Cheikh Gaye, reported on 1/16/25 at approximately 21:03 hours suspect 1 and suspect 2 entered Target. It was further reported on 1/16/25 at approximately 21:16 hours suspect 1 and 2 passed all points of sale with unpaid merchandise in a shopping cart. The unpaid merchandise (furniture, grocery, health and beauty, home and kitchen products) totaled $452.71. Prior to exiting Target Loss Prevention / the victim confronted both suspects. Target Loss Prevention were able to recover all merchandise that both suspects attempted to steal. While recovering the stolen merchandise suspect 1 punched the victim in the head, specifically the top left side, with a closed fist one time. The victim reported having a complaint of pain hours after being assaulted. Both suspect later left the area in the suspect vehicle. A Sgt. was requested and Sgt. Competiello responded. Detectives were notified. The victim later responded to headquarters to provide a voluntary statement. The victim refused medical attention at this time.A receipt of the unpaid merchandise was provided by Target Loss Prevention. The receipt was later secured in the Detective Bureau Mailbox."/>
    <s v="Vehicle 1: HYUNDAI, SONATA"/>
    <s v="suspect 1: hispanic male, approximately early 30' s in age, approximately 5'10&quot; in height, approximately 180 in weight, wearing a tan hooded sweater, brown &quot;ny&quot; yankees logo hat, black sweatpants and white sneakers suspect 2: hispanic female, approximately mid 20's in age, approximately 5'5&quot; in height, approximately 140 in weight, wearing a black jacket, grey hooded sweater, tan pants and cream colored shoes suspect vehicle: 4 door silver in color hyundai sonata (unknown registration) suspect 1 and  suspect 2 entered target suspect 1 and 2 passed all points of sale with unpaid merchandise in a shopping cart suspects suspects attempted to steal suspect 1 punched the victim in the head, specifically the top left side, with a closed fist one time suspect later left the area in the  suspect vehicle"/>
    <s v="$452.71. Prior to exiting Target Loss Prevention / the victim confronted both suspects"/>
    <s v="C01W03"/>
  </r>
  <r>
    <s v="25-009348"/>
    <x v="3"/>
    <x v="2"/>
    <d v="1899-12-30T17:00:00"/>
    <d v="1899-12-30T17:25:00"/>
    <x v="3"/>
    <s v="February"/>
    <s v="Hudson St, 100 Block"/>
    <s v="144 Hudson Street"/>
    <s v="Suspicious Incident, Robbery"/>
    <s v="Suspicious Incident"/>
    <s v="Robbery"/>
    <s v=""/>
    <s v="144 Hudson Street, Hackensack, NJ, 07601"/>
    <s v="E1"/>
    <n v="5"/>
    <s v="Unknown Suspect Descriptions:Unknown Suspect 1: Tall white male, crew cut, no clothing descriptionUnknown Suspects 2-5: 4 males, unknown race, wearing dark colored helmets and dark clothes with padding.         While in the area, P.O. Maceri and I were flagged down by the victim. Upon speaking with him, he advised that he had been robbed. Sgt. Farhi responded to assist.          The victim stated that on 02/02/2025 between 17:25 and 18:00 hours, he was walking north on Main Street, near the area of Main Street and Court Street with two acquaintances. He further stated that while walking in that area, a verbal dispute took place between the three of them. The victim reported that at this time, he was approached by five suspects, with four of them carrying bats. He further reported that suspect #1 threatened him, stating that he would beat him up if he didn't hand over his belongings. The victim stated that suspect #1 forcibly retrieved the wallet off his person and removed a debit card and identification card, before throwing the wallet back in his direction. He further stated that the suspect's then told him if they saw him again, they would beat him up. The suspects then fled east on Court Street, before turning left to head north on River Road.        A New Jersey Victim Notification Form was completed and provided to the victim.       The detective division was notified and advised that they would follow up with the victim."/>
    <m/>
    <m/>
    <m/>
    <m/>
    <m/>
    <m/>
    <m/>
    <m/>
    <m/>
    <m/>
    <s v="Deleon_A"/>
    <s v="Complete"/>
    <s v="P.O. Micah Gibson 365"/>
    <s v="A3"/>
    <s v="Sgt. Francesco Tripodi 134"/>
    <s v="No Investigation"/>
    <m/>
    <n v="2025"/>
    <n v="6"/>
    <n v="2"/>
    <n v="2"/>
    <n v="33"/>
    <d v="2025-02-02T17:25:00"/>
    <n v="144"/>
    <s v="Unknown Suspect Descriptions:Unknown Suspect 1: Tall white male, crew cut, no clothing descriptionUnknown Suspects 2-5: 4 males, unknown race, wearing dark colored helmets and dark clothes with padding.         While in the area, P.O. Maceri and I were flagged down by the victim. Upon speaking with him, he advised that he had been robbed. Sgt. Farhi responded to assist.          The victim stated that on 02/02/2025 between 17:25 and 18:00 hours, he was walking north on Main Street, near the area of Main Street and Court Street with two acquaintances. He further stated that while walking in that area, a verbal dispute took place between the three of them. The victim reported that at this time, he was approached by five suspects, with four of them carrying bats. He further reported that suspect #1 threatened him, stating that he would beat him up if he didn't hand over his belongings. The victim stated that suspect #1 forcibly retrieved the wallet off his person and removed a debit card and identification card, before throwing the wallet back in his direction. He further stated that the suspect's then told him if they saw him again, they would beat him up. The suspects then fled east on Court Street, before turning left to head north on River Road.        A New Jersey Victim Notification Form was completed and provided to the victim.       The detective division was notified and advised that they would follow up with the victim."/>
    <m/>
    <s v="suspect descriptions:unknown  suspect 1: tall white male, crew cut, no clothing descriptionunknown  suspects 2-5: 4 males, unknown race, wearing dark colored helmets and dark clothes with padding suspects, with four of them carrying bats suspect #1 threatened him, stating that he would beat him up if he didn't hand over his belongings suspect #1 forcibly retrieved the wallet off his person and removed a debit card and identification card, before throwing the wallet back in his direction suspect's then told him if they saw him again, they would beat him up suspects then fled east on court street, before turning left to head north on river road"/>
    <s v=""/>
    <s v="C02W05"/>
  </r>
  <r>
    <s v="25-009438"/>
    <x v="4"/>
    <x v="2"/>
    <d v="1899-12-30T16:00:00"/>
    <d v="1899-12-30T16:40:35"/>
    <x v="0"/>
    <s v="February"/>
    <s v="Hackensack Ave, 400 Block"/>
    <s v="400 Hackensack Avenue"/>
    <s v="Robbery"/>
    <s v="Robbery"/>
    <s v=""/>
    <s v=""/>
    <s v="400 Hackensack Avenue, Hackensack, NJ, 07601"/>
    <s v="I6"/>
    <n v="9"/>
    <s v="On Monday, February 3, 2025 at approximately 1640 hours, Sgt. Farhi and I responded to 400 Hackensack Avenue (Marc Jacobs) on a reported robbery. Upon arrival, I met with the victim who reported that three suspects (1 male, 2 females) entered the establishment at approximately 1600 hours. The suspects reportedly exited and reentered the store multiples time prior to committing the offense, with the last entry being made only by the male suspect.     The victim further reported that the suspect grabbed three small purses from the display shelf before he began to walk toward the exit. At that time, the victim stated that he attempted to stop the suspect, who immediately shoved him into a store fixture. The suspect reportedly proceeded to run out of the store toward the nearest mall exit, where he entered a black vehicle and fled in an unknown direction. The victim stated that he was able to recover one of the purses during the incident.     The victim advised that he sustained minor injuries to his left arm as result of the incident, in which he refused any medical attention. The victim wished to provide a recorded statement to detectives. He was transported to police headquarters where he was turned over to Det. Dogali. The total loss suffered by the establishment for the two purses was approximately $650.00. The store manager (witness) wished to have complaints signed against the suspects if they were able to be identified.     Suspect 1: Black male, slim build, 5'8&quot;, black beanie, black puffer, dark pants, white/blue sneakers     Suspect 2: Black female, heavy build, 5'8&quot;, short hair, black puffer, black leggings, black pocketbook     Suspect 3: Black female, heavy build, 5'7&quot;, long cornrows, gray puffer, light blue jeans"/>
    <m/>
    <m/>
    <m/>
    <m/>
    <m/>
    <m/>
    <m/>
    <m/>
    <m/>
    <m/>
    <s v="Levis_R"/>
    <s v="Complete"/>
    <s v="P.O. Aziah Miller 357"/>
    <s v="A3"/>
    <s v="Det. Matthew Dogali 338"/>
    <s v="Active/Administratively Closed"/>
    <s v="120 = Robbery"/>
    <n v="2025"/>
    <n v="6"/>
    <n v="2"/>
    <n v="3"/>
    <n v="34"/>
    <d v="2025-02-03T16:40:00"/>
    <n v="400"/>
    <s v="On Monday, February 3, 2025 at approximately 1640 hours, Sgt. Farhi and I responded to 400 Hackensack Avenue (Marc Jacobs) on a reported robbery. Upon arrival, I met with the victim who reported that three suspects (1 male, 2 females) entered the establishment at approximately 1600 hours. The suspects reportedly exited and reentered the store multiples time prior to committing the offense, with the last entry being made only by the male suspect.     The victim further reported that the suspect grabbed three small purses from the display shelf before he began to walk toward the exit. At that time, the victim stated that he attempted to stop the suspect, who immediately shoved him into a store fixture. The suspect reportedly proceeded to run out of the store toward the nearest mall exit, where he entered a black vehicle and fled in an unknown direction. The victim stated that he was able to recover one of the purses during the incident.     The victim advised that he sustained minor injuries to his left arm as result of the incident, in which he refused any medical attention. The victim wished to provide a recorded statement to detectives. He was transported to police headquarters where he was turned over to Det. Dogali. The total loss suffered by the establishment for the two purses was approximately $650.00. The store manager (witness) wished to have complaints signed against the suspects if they were able to be identified.     Suspect 1: Black male, slim build, 5'8&quot;, black beanie, black puffer, dark pants, white/blue sneakers     Suspect 2: Black female, heavy build, 5'8&quot;, short hair, black puffer, black leggings, black pocketbook     Suspect 3: Black female, heavy build, 5'7&quot;, long cornrows, gray puffer, light blue jeans"/>
    <m/>
    <s v="suspects (1 male, 2 females) entered the establishment at approximately 1600 hours suspects reportedly exited and reentered the store multiples time prior to committing the offense, with the last entry being made only by the male  suspect suspect grabbed three small purses from the display shelf before he began to walk toward the exit suspect, who immediately shoved him into a store fixture suspect reportedly proceeded to run out of the store toward the nearest mall exit, where he entered a black vehicle and fled in an unknown direction suspects if they were able to be identified suspect 1: black male, slim build, 5'8&quot;, black beanie, black puffer, dark pants, white/blue sneakers      suspect 2: black female, heavy build, 5'8&quot;, short hair, black puffer, black leggings, black pocketbook      suspect 3: black female, heavy build, 5'7&quot;, long cornrows, gray puffer, light blue jeans"/>
    <s v="$650.00. The store manager (witness) wished to have complaints signed against the suspects if they were able to be identified"/>
    <s v="C02W05"/>
  </r>
  <r>
    <s v="25-012110"/>
    <x v="5"/>
    <x v="3"/>
    <d v="1899-12-30T02:00:00"/>
    <d v="1899-12-30T02:00:00"/>
    <x v="2"/>
    <s v="February"/>
    <s v="Christopher Columbus Drive, 100 Block"/>
    <s v="128 Christopher Columbus Drive"/>
    <s v="Assist Other Agency, Aggravated Assault, Robbery"/>
    <s v="Assist Other Agency"/>
    <s v="Aggravated Assault"/>
    <s v="Robbery"/>
    <s v="128 Christopher Columbus Drive, Jersey City, NJ 07302, Hackensack, NJ, 07601"/>
    <s v="I5"/>
    <n v="9"/>
    <s v="Victim and suspect were in a dating relationship for approximately 9 months.    I responded to Police Headquarters on a report of Domestic Violence. Upon arrival I met with the Victim who stated on 02/13/2025 at approximately 0200 hours she was at a bar called &quot;Six26&quot; in Jersey City, NJ (128 Christopher Columbus Drive, Jersey City, NJ 07302.) She stated while she was leaving the bar, the suspect met with her on the sidewalk. The victim stated the suspect wished to get back together, but she refused. He then became angry and proceeded to strangle her, briefly cutting off her ability to breath, however she did not lose consciousness. Right after the suspect strangled her, he stole her Iphone 14 Pro out of her front pocket (Approximate value: $1,000.00) then fled the scene.     The victim advised me that she currently has a restraining order against the suspect, but he has not been served. Docket number: FV-BER-002857-24.A recorded statement was taken by Detective Mora. BREATHE services were offered but the victim refused. A New Jersey Victim Notification Form was completed.DVRT Form was completed.Voluntary Handwritten Statement was completed.ODARA Form was completed. Jersey City Police Department Detective Soto was advised of the incident.All paperwork was forwarded to him for complaints to be signed."/>
    <m/>
    <m/>
    <m/>
    <m/>
    <m/>
    <m/>
    <m/>
    <m/>
    <m/>
    <m/>
    <s v="Briggs_S"/>
    <s v="Complete"/>
    <s v="P.O. Angelo Vicale 370"/>
    <s v="B3"/>
    <s v="Det. John Mora 257"/>
    <s v="TOT Outside Jurisdiction"/>
    <m/>
    <n v="2025"/>
    <n v="7"/>
    <n v="3"/>
    <n v="13"/>
    <n v="44"/>
    <d v="2025-02-13T02:00:00"/>
    <n v="128"/>
    <s v="Victim and suspect were in a dating relationship for approximately 9 months.    I responded to Police Headquarters on a report of Domestic Violence. Upon arrival I met with the Victim who stated on 02/13/2025 at approximately 0200 hours she was at a bar called &quot;Six26&quot; in Jersey City, NJ (128 Christopher Columbus Drive, Jersey City, NJ 07302.) She stated while she was leaving the bar, the suspect met with her on the sidewalk. The victim stated the suspect wished to get back together, but she refused. He then became angry and proceeded to strangle her, briefly cutting off her ability to breath, however she did not lose consciousness. Right after the suspect strangled her, he stole her Iphone 14 Pro out of her front pocket (Approximate value: $1,000.00) then fled the scene.     The victim advised me that she currently has a restraining order against the suspect, but he has not been served. Docket number: FV-BER-002857-24.A recorded statement was taken by Detective Mora. BREATHE services were offered but the victim refused. A New Jersey Victim Notification Form was completed.DVRT Form was completed.Voluntary Handwritten Statement was completed.ODARA Form was completed. Jersey City Police Department Detective Soto was advised of the incident.All paperwork was forwarded to him for complaints to be signed."/>
    <m/>
    <s v="suspect were in a dating relationship for approximately 9 months suspect met with her on the sidewalk suspect wished to get back together, but she refused suspect strangled her, he stole her iphone 14 pro out of her front pocket (approximate value: $1,000 suspect, but he has not been served"/>
    <s v="$1,000.00) then fled the scene.     The victim advised me that she currently has a restraining order against the suspect, but he has not been served"/>
    <s v="C02W07"/>
  </r>
  <r>
    <s v="25-017536"/>
    <x v="6"/>
    <x v="2"/>
    <d v="1899-12-30T18:00:00"/>
    <d v="1899-12-30T18:59:25"/>
    <x v="1"/>
    <s v="March"/>
    <s v="Essex St, 200 Block"/>
    <s v="216 Essex Street"/>
    <s v="Robbery"/>
    <s v="Robbery"/>
    <s v=""/>
    <s v=""/>
    <s v="216 Essex Street, Hackensack, NJ, 07601"/>
    <s v="F1"/>
    <n v="6"/>
    <s v="Suspect description:  BM, 5'5, gray vest, blue hooded sweatshirt, blue jeans, black medium length hair, black purse and a black backpack.       I responded to the listed location on a report of a shoplifting.  Upon arrival, I spoke with Employee Digeshkum Patel who advised a black male (suspect) had entered his store whom he recognized that had caused a disturbance earlier in the day with his customers.  He told the suspect to leave or he will call the police.  The suspect then grabbed two 50 ml bottles of Patron Silver and the employee grabbed his hand.  A short tug of war ensued resulting in the employee suffering an abrasion to his left thumb.  The suspect then left the store with the bottles, picked up a black backpack he left outside the store and walked North on Lehigh Street.  I asked the employee if the suspect said anything during the theft and he stated the suspect responded, &quot;If you call the police, I will kill you.&quot;  For clarification, I later asked him at what point the threats occurred and the second time he replied that the threats occurred just prior to the suspect taking the bottles.       The victim declined medical attention and I requested a Supervisor to respond.  Sgt. Briggs responded and asked the victim if he was able to make a recorded statement which he replied that he could come to the police department tomorrow.  I asked the victim if he believed if the threat to his life would be carried out or if he was in fear for his safety and he replied &quot;No.&quot;       A BOLO of the suspect was put out to patrols and a canvass of the area was negative for the suspect.       The victim did want to file charges against the suspect if he was identified.  A victim notification form was completed and provided to the victim.  The employee was asked to retain the video footage of the incident until a detective could make a copy.          The bottles of Patron were valued at $7.00 each for a total loss of $14.00."/>
    <m/>
    <m/>
    <m/>
    <m/>
    <m/>
    <m/>
    <m/>
    <m/>
    <m/>
    <m/>
    <s v="Bay_F"/>
    <s v="Complete"/>
    <s v="P.O. Steven Lemanowicz 347"/>
    <s v="B4"/>
    <s v="Det. Matthew DeBonis 325"/>
    <s v="Active Investigation"/>
    <s v="120 = Robbery"/>
    <n v="2025"/>
    <n v="10"/>
    <n v="2"/>
    <n v="4"/>
    <n v="63"/>
    <d v="2025-03-04T18:59:00"/>
    <n v="216"/>
    <s v="Suspect description:  BM, 5'5, gray vest, blue hooded sweatshirt, blue jeans, black medium length hair, black purse and a black backpack.       I responded to the listed location on a report of a shoplifting.  Upon arrival, I spoke with Employee Digeshkum Patel who advised a black male (suspect) had entered his store whom he recognized that had caused a disturbance earlier in the day with his customers.  He told the suspect to leave or he will call the police.  The suspect then grabbed two 50 ml bottles of Patron Silver and the employee grabbed his hand.  A short tug of war ensued resulting in the employee suffering an abrasion to his left thumb.  The suspect then left the store with the bottles, picked up a black backpack he left outside the store and walked North on Lehigh Street.  I asked the employee if the suspect said anything during the theft and he stated the suspect responded, &quot;If you call the police, I will kill you.&quot;  For clarification, I later asked him at what point the threats occurred and the second time he replied that the threats occurred just prior to the suspect taking the bottles.       The victim declined medical attention and I requested a Supervisor to respond.  Sgt. Briggs responded and asked the victim if he was able to make a recorded statement which he replied that he could come to the police department tomorrow.  I asked the victim if he believed if the threat to his life would be carried out or if he was in fear for his safety and he replied &quot;No.&quot;       A BOLO of the suspect was put out to patrols and a canvass of the area was negative for the suspect.       The victim did want to file charges against the suspect if he was identified.  A victim notification form was completed and provided to the victim.  The employee was asked to retain the video footage of the incident until a detective could make a copy.          The bottles of Patron were valued at $7.00 each for a total loss of $14.00."/>
    <m/>
    <s v="suspect description:  bm, 5'5, gray vest, blue hooded sweatshirt, blue jeans, black medium length hair, black purse and a black backpack suspect) had entered his store whom he recognized that had caused a disturbance earlier in the day with his customers suspect to leave or he will call the police suspect then grabbed two 50 ml bottles of patron silver and the employee grabbed his hand suspect then left the store with the bottles, picked up a black backpack he left outside the store and walked north on lehigh street suspect said anything during the theft and he stated the  suspect responded, &quot;if you call the police, i will kill you suspect taking the bottles suspect was put out to patrols and a canvass of the area was negative for the  suspect suspect if he was identified"/>
    <s v="$7.00 each for a total loss of  $14.00."/>
    <s v="C03W10"/>
  </r>
  <r>
    <s v="25-017488"/>
    <x v="6"/>
    <x v="0"/>
    <d v="1899-12-30T15:00:00"/>
    <d v="1899-12-30T15:23:00"/>
    <x v="1"/>
    <s v="March"/>
    <s v="High St, 100 Block"/>
    <s v="195 High Street"/>
    <s v="Robbery, Unlawful Possess./Weapons, Dispute"/>
    <s v="Robbery"/>
    <s v="Unlawful Possess./Weapons"/>
    <s v="Dispute"/>
    <s v="195 High Street, Hackensack, NJ, 07601"/>
    <s v="H3"/>
    <n v="8"/>
    <s v="On Tuesday, March 4, 2025, at approximately 15:28 hours, P.O. Scangarella and I responded to 195 High Street on a report of a dispute involving a baseball bat. Upon arrival, I met with the victims, Albert Hunt and Melody Foster in front of the listed address. Foster reported that earlier today, at approximately 06:30 hours, she heard loud banging on the front door. She reported that she did not answer the door but believed it was the suspect because she owed him money.  She indicated that the knocking eventually stopped. I then spoke with Hunt who reported that, while walking home from work, in the area of First and High Street, a white BMW sedan pulled along side of him. He further reported that the suspect exited the BMW and confronted him. Hunt reported that the suspect began asking where Foster was and Hunt advised him that he believes she was at the listed address. The suspect then stated &quot; Ya keep fucking around with me and I am going to bust a cap in both of your asses'. Hunt further reported that, as he continued walking towards his house, the suspect reentered the white BMW and began following him. Hunt indicated that, upon arriving to his residence, the suspect exited the BMW, and followed him up the front porch. Hunt added that, upon opening his front door, the suspect followed him inside, uninvited. Hunt reported that, upon entering behind him, the suspect removed a short black baseball bat from his waistband and stated &quot; I will fuck both of ya up&quot; and began demanding the money Foster owed him.     Hunt reported that, he told the suspect that he was going to call the police. The suspect then stated ' I ain't scared of no police&quot; and attempted to snatch Hunts phone from his hands. Hunt indicated that he was able to recover the cell phone and the suspect fled. Following the incident, Hunt and Foster observed one of their windows shattered. Both victims alleged that the suspect was responsible for the broken window, however, neither of them observed it. Foster provided a NJ registration for the suspect's vehicle of NJ -D78PNR. A computer search of the registration revealed it belonged to a White BMW 430. Foster also provided the suspects name and an address of 26 Anderson Street, where she believes the mother resides. The results of the registration lookup is also associated with the aforementioned address.     Hunt was willing to provide a recorded statement of the incident and I transported him to headquarters. Upon arrival, Det. Mora responded and escorted Hunt to the interview to complete the statement. Hunt also stated he wanted to sign complaints against the suspect. Victim Notification form was completed and a copy was provided to the vicim. Lt. Bay authored complaint number 2025-0223-W-000101 on my behalf against the suspect for 2C:15-1A(2), 2C:12-3A, 2C:12-1A3, 2C:39-5D, and 2C:39-4D."/>
    <m/>
    <m/>
    <s v="D78PNR"/>
    <s v="BMW"/>
    <s v="430"/>
    <s v="NJ"/>
    <m/>
    <m/>
    <m/>
    <m/>
    <s v="Bay_F"/>
    <s v="Complete"/>
    <s v="P.O. Bobby Rivera 361"/>
    <s v="B2"/>
    <s v="Det. John Mora 257"/>
    <s v="Complaint Signed"/>
    <s v="120 = Robbery"/>
    <n v="2025"/>
    <n v="10"/>
    <n v="2"/>
    <n v="4"/>
    <n v="63"/>
    <d v="2025-03-04T15:23:00"/>
    <n v="195"/>
    <s v="On Tuesday, March 4, 2025, at approximately 15:28 hours, P.O. Scangarella and I responded to 195 High Street on a report of a dispute involving a baseball bat. Upon arrival, I met with the victims, Albert Hunt and Melody Foster in front of the listed address. Foster reported that earlier today, at approximately 06:30 hours, she heard loud banging on the front door. She reported that she did not answer the door but believed it was the suspect because she owed him money.  She indicated that the knocking eventually stopped. I then spoke with Hunt who reported that, while walking home from work, in the area of First and High Street, a white BMW sedan pulled along side of him. He further reported that the suspect exited the BMW and confronted him. Hunt reported that the suspect began asking where Foster was and Hunt advised him that he believes she was at the listed address. The suspect then stated &quot; Ya keep fucking around with me and I am going to bust a cap in both of your asses'. Hunt further reported that, as he continued walking towards his house, the suspect reentered the white BMW and began following him. Hunt indicated that, upon arriving to his residence, the suspect exited the BMW, and followed him up the front porch. Hunt added that, upon opening his front door, the suspect followed him inside, uninvited. Hunt reported that, upon entering behind him, the suspect removed a short black baseball bat from his waistband and stated &quot; I will fuck both of ya up&quot; and began demanding the money Foster owed him.     Hunt reported that, he told the suspect that he was going to call the police. The suspect then stated ' I ain't scared of no police&quot; and attempted to snatch Hunts phone from his hands. Hunt indicated that he was able to recover the cell phone and the suspect fled. Following the incident, Hunt and Foster observed one of their windows shattered. Both victims alleged that the suspect was responsible for the broken window, however, neither of them observed it. Foster provided a NJ registration for the suspect's vehicle of NJ -D78PNR. A computer search of the registration revealed it belonged to a White BMW 430. Foster also provided the suspects name and an address of 26 Anderson Street, where she believes the mother resides. The results of the registration lookup is also associated with the aforementioned address.     Hunt was willing to provide a recorded statement of the incident and I transported him to headquarters. Upon arrival, Det. Mora responded and escorted Hunt to the interview to complete the statement. Hunt also stated he wanted to sign complaints against the suspect. Victim Notification form was completed and a copy was provided to the vicim. Lt. Bay authored complaint number 2025-0223-W-000101 on my behalf against the suspect for 2C:15-1A(2), 2C:12-3A, 2C:12-1A3, 2C:39-5D, and 2C:39-4D."/>
    <s v="Vehicle 1: NJ-D78PNR BMW, 430"/>
    <s v="suspect because she owed him money suspect exited the bmw and confronted him suspect began asking where foster was and hunt advised him that he believes she was at the listed address suspect then stated &quot; ya keep fucking around with me and i am going to bust a cap in both of your asses' suspect reentered the white bmw and began following him suspect exited the bmw, and followed him up the front porch suspect followed him inside, uninvited suspect removed a short black baseball bat from his waistband and stated &quot; i will fuck both of ya up&quot; and began demanding the money foster owed him suspect that he was going to call the police suspect then stated ' i ain't scared of no police&quot; and attempted to snatch hunts phone from his hands suspect fled suspect was responsible for the broken window, however, neither of them observed it suspect's vehicle of nj -d78pnr suspects name and an address of 26 anderson street, where she believes the mother resides suspect suspect for 2c:15-1a(2), 2c:12-3a, 2c:12-1a3, 2c:39-5d, and 2c:39-4d"/>
    <s v=""/>
    <s v="C03W10"/>
  </r>
  <r>
    <s v="25-024100"/>
    <x v="7"/>
    <x v="4"/>
    <d v="1899-12-30T11:00:00"/>
    <d v="1899-12-30T11:37:00"/>
    <x v="1"/>
    <s v="March"/>
    <s v="Hackensack Ave, 400 Block"/>
    <s v="450 Hackensack Avenue"/>
    <s v="Robbery, Theft, Medical Call"/>
    <s v="Robbery"/>
    <s v="Theft"/>
    <s v="Medical Call"/>
    <s v="450 Hackensack Avenue, Hackensack, NJ, 07601"/>
    <s v="I6"/>
    <n v="9"/>
    <s v="Suspect: Hispanic female approximately 50 years of age and heavy build.      On March 25, 2025, at approximately 1204 hours I responded to 450 Hackensack Avenue on a reported robbery. Sgt. Donnerstag and Sgt. Ghirardi responded to assist. We spoke with the victim who reported that he had just finished shopping at 99 Ranch Market and placed the groceries in his vehicle. After placing the groceries in his vehicle, the victim sat in the driver's seat of his car. The victim further reported he was approached by the suspect who put a gold chain around his neck and began to converse with him. The suspect then began to rip the victim's Rolex watch off of his left wrist. The victim attempted to stop the suspect but was unsuccessful. The suspect stole the watch and got into the passenger seat of a white sedan, which drove off. The victim sustained abrasions to both hands.     The Rolex stolen was gold and had a white face. The approximate value is $15,000.00. Hackensack University Medical Center BLS responded to the scene and evaluated the patient. The patient refused to be transported to the hospital and signed a form. Sgt. Williams and Det. Tanucilli responded to the scene to assist. The victim reported that he would provide a recorded statement to detectives at a later date because he had to go home to tend to his son. The victim did not want his vehicle processed at this point in time. There are surveillance cameras where this incident occurred. I completed a victim notification form and the victim was given a copy.    The necklace that was placed on the victim's neck was secured in an evidence bag and transported to Hackensack Police Headquarters where it was placed in evidence locker #8. TOT to detectives."/>
    <m/>
    <m/>
    <s v="C73VBN"/>
    <s v="SUBARU"/>
    <s v="IMP"/>
    <s v="NJ"/>
    <m/>
    <m/>
    <m/>
    <m/>
    <s v="Klosk_J"/>
    <s v="Complete"/>
    <s v="P.O. Christian Alvarez 364"/>
    <s v="B1"/>
    <s v="Det. John Tanucilli 335"/>
    <s v="Active Investigation"/>
    <m/>
    <n v="2025"/>
    <n v="13"/>
    <n v="5"/>
    <n v="25"/>
    <n v="84"/>
    <d v="2025-03-25T11:37:00"/>
    <n v="450"/>
    <s v="Suspect: Hispanic female approximately 50 years of age and heavy build.      On March 25, 2025, at approximately 1204 hours I responded to 450 Hackensack Avenue on a reported robbery. Sgt. Donnerstag and Sgt. Ghirardi responded to assist. We spoke with the victim who reported that he had just finished shopping at 99 Ranch Market and placed the groceries in his vehicle. After placing the groceries in his vehicle, the victim sat in the driver's seat of his car. The victim further reported he was approached by the suspect who put a gold chain around his neck and began to converse with him. The suspect then began to rip the victim's Rolex watch off of his left wrist. The victim attempted to stop the suspect but was unsuccessful. The suspect stole the watch and got into the passenger seat of a white sedan, which drove off. The victim sustained abrasions to both hands.     The Rolex stolen was gold and had a white face. The approximate value is $15,000.00. Hackensack University Medical Center BLS responded to the scene and evaluated the patient. The patient refused to be transported to the hospital and signed a form. Sgt. Williams and Det. Tanucilli responded to the scene to assist. The victim reported that he would provide a recorded statement to detectives at a later date because he had to go home to tend to his son. The victim did not want his vehicle processed at this point in time. There are surveillance cameras where this incident occurred. I completed a victim notification form and the victim was given a copy.    The necklace that was placed on the victim's neck was secured in an evidence bag and transported to Hackensack Police Headquarters where it was placed in evidence locker #8. TOT to detectives."/>
    <s v="Vehicle 1: NJ-C73VBN SUBARU, IMP"/>
    <s v="suspect: hispanic female approximately 50 years of age and heavy build suspect who put a gold chain around his neck and began to converse with him suspect then began to rip the victim's rolex watch off of his left wrist suspect but was unsuccessful suspect stole the watch and got into the passenger seat of a white sedan, which drove off"/>
    <s v="$15,000.00. Hackensack University Medical Center BLS responded to the scene and evaluated the patient"/>
    <s v="C04W13"/>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
  <r>
    <s v="25-004478"/>
    <x v="0"/>
    <x v="0"/>
    <d v="1899-12-30T12:00:00"/>
    <d v="1899-12-30T12:00:00"/>
    <x v="0"/>
    <s v="January"/>
    <s v="Second St, 0 Block"/>
    <s v="30 Second Street"/>
    <x v="0"/>
    <s v="Burglary - Residence"/>
    <s v=""/>
    <s v=""/>
    <s v="30 Second Street, Hackensack, NJ, 07601"/>
    <s v="G3"/>
    <n v="7"/>
    <s v="On Thursday, January 16, 2025 at approximately 1934 hours, Sgt. Peralta and I responded to 30 Second Street, Apt. L1 on report of a residential burglary. Upon arrival, I met with the victim who reported that she left her apartment at approximately 1200 hours on this date, before returning several hours later, at approximately 1800 hours. The victim further reported that upon returning to her apartment, she observed the exterior door knob to be damaged (loose), as if someone attempted to break in. The victim stated that upon entering the apartment, the interior did not appear to be ransacked, nor did anything appear out of place at this time.      The scene was unable to processed due to the victim contaminating evidence while entering her apartment. The cost of repair for the damaged door knob was approximately $35.00. A Victim Notification was completed and the victim was provided with a copy upon our departure. There were no known suspects at the time this report was taken. Det./Sgt. Tripodi was notified."/>
    <m/>
    <m/>
    <m/>
    <m/>
    <m/>
    <m/>
    <m/>
    <m/>
    <m/>
    <m/>
    <s v="Deleon_A"/>
    <s v="Complete"/>
    <s v="P.O. Aziah Miller 357"/>
    <s v="A3"/>
    <s v="Det. Matthew DeBonis 325"/>
    <s v="Active/Administratively Closed"/>
    <s v="220 = Burglary/Breaking &amp; Entering"/>
    <n v="9"/>
    <d v="2025-01-16T00:00:00"/>
    <d v="1899-12-30T12:00:00"/>
    <d v="2025-01-16T00:00:00"/>
    <d v="1899-12-30T18:00:00"/>
    <d v="2025-01-16T00:00:00"/>
    <d v="1899-12-30T19:34:52"/>
    <n v="2025"/>
    <n v="3"/>
    <n v="3"/>
    <n v="16"/>
    <n v="16"/>
    <d v="2025-01-16T12:00:00"/>
    <n v="30"/>
    <s v="On Thursday, January 16, 2025 at approximately 1934 hours, Sgt. Peralta and I responded to 30 Second Street, Apt. L1 on report of a residential burglary. Upon arrival, I met with the victim who reported that she left her apartment at approximately 1200 hours on this date, before returning several hours later, at approximately 1800 hours. The victim further reported that upon returning to her apartment, she observed the exterior door knob to be damaged (loose), as if someone attempted to break in. The victim stated that upon entering the apartment, the interior did not appear to be ransacked, nor did anything appear out of place at this time.      The scene was unable to processed due to the victim contaminating evidence while entering her apartment. The cost of repair for the damaged door knob was approximately $35.00. A Victim Notification was completed and the victim was provided with a copy upon our departure. There were no known suspects at the time this report was taken. Det./Sgt. Tripodi was notified."/>
    <m/>
    <s v="suspects at the time this report was taken"/>
    <s v="$35.00. A Victim Notification was completed and the victim was provided with a copy upon our departure"/>
    <s v="C01W03"/>
    <x v="0"/>
  </r>
  <r>
    <s v="25-006864"/>
    <x v="1"/>
    <x v="1"/>
    <d v="1899-12-30T11:00:00"/>
    <d v="1899-12-30T11:00:00"/>
    <x v="1"/>
    <s v="January"/>
    <s v="Kansas St, 0 Block"/>
    <s v="60 Kansas Street"/>
    <x v="0"/>
    <s v="Burglary - Residence"/>
    <s v=""/>
    <s v=""/>
    <s v="60 Kansas Street, Hackensack, NJ, 07601"/>
    <s v="E1"/>
    <n v="5"/>
    <s v="On January 25, 2025, at approximately 13:55 hours, P.O. P. Lopez, P.O. G. Lara-Nunez, P.O. Mattalian, Sgt. Competiello, and I responded to 60 Kansas apartment 8F for a possible burglary in progress. Upon arrival, I met with the victim who reported she left her apartment at approximately 11:30 hours. The victim reported approximately 14:00 hours, she returned to the apartment to find the front door slightly ajar.     We did a check of the interior of the apartment which yielded negative results for any suspects inside. The victim reported she is 100% sure the door was locked because she checked multiple times before leaving. The victim reported she was missing about $2,000 in miscellaneous jewelry. She described the jewelry to be earrings and gold necklaces.The victim reported she had the same incident occur in 2023. See 23-091001 for more. The victim reported she observed a light skin Hispanic male driving a black Lexus leaving the apartment complex as she pulled in. The victim reported she recalls the same Lexus and same male in the area after the previous incident.Sgt. Competiello contacted detectives. Detective DeBonis arrived on scene.The victim requested for the apartment to be processed. Sgt. Competiello contacted Bergen County Sheriff's Office. Detective LaSala #1866 arrived on scene. See BCSO case #2025-0052 for more .I observed no signs of forced entry. The New Jersey victim notification form was filled out and a copy was provided to the victim for her records.The crime scene was secured at 14:15 hours.Crime Scene Log:14:31: Det. LaSala Enters14:38: Det. LaSala Exits14:48: Det. Lasala Enters14:49: Det. Debonis Enters15:01: Det. LaSala Exits.15:04: Det. LaSala Enters.Crime Scene Terminated: 15:08"/>
    <m/>
    <m/>
    <m/>
    <m/>
    <m/>
    <m/>
    <m/>
    <m/>
    <m/>
    <m/>
    <s v="Levis_R"/>
    <s v="Complete"/>
    <s v="P.O. Andres Lopez 375"/>
    <s v="A2"/>
    <s v="Det. Matthew DeBonis 325"/>
    <s v="Active Investigation"/>
    <s v="220 = Burglary/Breaking &amp; Entering"/>
    <n v="9"/>
    <d v="2025-01-25T00:00:00"/>
    <d v="1899-12-30T11:00:00"/>
    <d v="2025-01-25T00:00:00"/>
    <d v="1899-12-30T14:00:00"/>
    <d v="2025-01-25T00:00:00"/>
    <d v="1899-12-30T13:55:59"/>
    <n v="2025"/>
    <n v="4"/>
    <n v="4"/>
    <n v="25"/>
    <n v="25"/>
    <d v="2025-01-25T11:00:00"/>
    <n v="60"/>
    <s v="On January 25, 2025, at approximately 13:55 hours, P.O. P. Lopez, P.O. G. Lara-Nunez, P.O. Mattalian, Sgt. Competiello, and I responded to 60 Kansas apartment 8F for a possible burglary in progress. Upon arrival, I met with the victim who reported she left her apartment at approximately 11:30 hours. The victim reported approximately 14:00 hours, she returned to the apartment to find the front door slightly ajar.     We did a check of the interior of the apartment which yielded negative results for any suspects inside. The victim reported she is 100% sure the door was locked because she checked multiple times before leaving. The victim reported she was missing about $2,000 in miscellaneous jewelry. She described the jewelry to be earrings and gold necklaces.The victim reported she had the same incident occur in 2023. See 23-091001 for more. The victim reported she observed a light skin Hispanic male driving a black Lexus leaving the apartment complex as she pulled in. The victim reported she recalls the same Lexus and same male in the area after the previous incident.Sgt. Competiello contacted detectives. Detective DeBonis arrived on scene.The victim requested for the apartment to be processed. Sgt. Competiello contacted Bergen County Sheriff's Office. Detective LaSala #1866 arrived on scene. See BCSO case #2025-0052 for more .I observed no signs of forced entry. The New Jersey victim notification form was filled out and a copy was provided to the victim for her records.The crime scene was secured at 14:15 hours.Crime Scene Log:14:31: Det. LaSala Enters14:38: Det. LaSala Exits14:48: Det. Lasala Enters14:49: Det. Debonis Enters15:01: Det. LaSala Exits.15:04: Det. LaSala Enters.Crime Scene Terminated: 15:08"/>
    <m/>
    <s v="suspects inside"/>
    <s v="$2,000 in miscellaneous jewelry. She described the jewelry to be earrings and gold necklaces.The victim reported she had the same incident occur in 2023"/>
    <s v="C01W04"/>
    <x v="1"/>
  </r>
  <r>
    <s v="25-008551"/>
    <x v="2"/>
    <x v="1"/>
    <d v="1899-12-30T11:00:00"/>
    <d v="1899-12-30T11:59:50"/>
    <x v="2"/>
    <s v="January"/>
    <s v="The Esplanade, 200 Block"/>
    <s v="292 The Esplanade"/>
    <x v="0"/>
    <s v="Burglary - Residence"/>
    <s v=""/>
    <s v=""/>
    <s v="292 The Esplanade, Hackensack, NJ, 07601"/>
    <s v="H5"/>
    <n v="8"/>
    <s v="On January 31, 2025, at approximately 1200 hours the victim responded to Hackensack Police Department Headquarters for a report of a burglary to his residence that occurred in the past. I met with the victim who reported that last Friday, January 24, 2025 at approximately 1200 hours he left his residence with his wife and son for the day. He reported that upon his return to his residence at approximately 1500 hours, he observed the front door (allows entry into the apartment) wide open.  He further reported that he believes he locked the door before he left but did not observe any damage to his door. He reported that he went inside his residence to check if anyone was in his apartment with negative results. The victim reported that the following day, Saturday, January 25, 2025, he looked for his beige folder that contained copies and originals of the following items: passport, social security cards, and licenses of his wife, Arelis Bonilla, and his sons, Eduardo M. Sobrino and Edwin D. Sobrino-Bonilla.       The victim reported that he last saw his beige folder with those documents in his living room approximately one month ago. The victim was advised to contact the social security administration, DMV, and credit companies to advise them of the above. He was also advised on how to obtain new copies of his social security card, license, and passport. The victim was advised to report any fraudulent activity he may see.       A New Jersey Victim Notification Form was completed and a copy was provided to the victim. He was advised to contact Hackensack Police Department should another incident like this arise.       The victim was not offered B.C.I. to respond to the residence due to the apartment being contaminated for approximately a week. Det. Lt. Weber was notified."/>
    <m/>
    <m/>
    <m/>
    <m/>
    <m/>
    <m/>
    <m/>
    <m/>
    <m/>
    <m/>
    <s v="Klosk_J"/>
    <s v="Complete"/>
    <s v="P.O. Denisse Caero 367"/>
    <s v="B2"/>
    <s v="Det. John Tanucilli 335"/>
    <s v="Active/Administratively Closed"/>
    <s v="220 = Burglary/Breaking &amp; Entering"/>
    <n v="9"/>
    <d v="2025-01-31T00:00:00"/>
    <d v="1899-12-30T11:59:50"/>
    <m/>
    <m/>
    <d v="2025-01-31T00:00:00"/>
    <d v="1899-12-30T11:59:50"/>
    <n v="2025"/>
    <n v="5"/>
    <n v="5"/>
    <n v="31"/>
    <n v="31"/>
    <d v="2025-01-31T11:59:00"/>
    <n v="292"/>
    <s v="On January 31, 2025, at approximately 1200 hours the victim responded to Hackensack Police Department Headquarters for a report of a burglary to his residence that occurred in the past. I met with the victim who reported that last Friday, January 24, 2025 at approximately 1200 hours he left his residence with his wife and son for the day. He reported that upon his return to his residence at approximately 1500 hours, he observed the front door (allows entry into the apartment) wide open.  He further reported that he believes he locked the door before he left but did not observe any damage to his door. He reported that he went inside his residence to check if anyone was in his apartment with negative results. The victim reported that the following day, Saturday, January 25, 2025, he looked for his beige folder that contained copies and originals of the following items: passport, social security cards, and licenses of his wife, Arelis Bonilla, and his sons, Eduardo M. Sobrino and Edwin D. Sobrino-Bonilla.       The victim reported that he last saw his beige folder with those documents in his living room approximately one month ago. The victim was advised to contact the social security administration, DMV, and credit companies to advise them of the above. He was also advised on how to obtain new copies of his social security card, license, and passport. The victim was advised to report any fraudulent activity he may see.       A New Jersey Victim Notification Form was completed and a copy was provided to the victim. He was advised to contact Hackensack Police Department should another incident like this arise.       The victim was not offered B.C.I. to respond to the residence due to the apartment being contaminated for approximately a week. Det. Lt. Weber was notified."/>
    <m/>
    <s v=""/>
    <s v=""/>
    <s v="C02W05"/>
    <x v="1"/>
  </r>
  <r>
    <s v="25-009831"/>
    <x v="3"/>
    <x v="2"/>
    <d v="1899-12-30T02:00:00"/>
    <d v="1899-12-30T02:57:00"/>
    <x v="3"/>
    <s v="February"/>
    <s v="Passaic St, 400 Block"/>
    <s v="441 Passaic Street"/>
    <x v="1"/>
    <s v="Burglary - Commercial"/>
    <s v="Alarm - Burglar"/>
    <s v=""/>
    <s v="441 Passaic Street, Hackensack, NJ, 07601"/>
    <s v="H5"/>
    <n v="8"/>
    <s v="On Wednesday, February 5, 2025 at approximately 0300 hours,  P.O Dominguez and I responded to Hackensack Pharmacy (441 Passaic Street) on a reported activated burglar alarm.   Upon my arrival, I observed the main entrance glass door located on the north side of the business to be shattered.  I also observed a master lock and a metal pin on the ground near the door that appeared to had been cut off the steel roller gate located in front of the glass door. I also observed a white prescription pill bottle on the ground near the master lock.  I advised police communications of my findings and P.O A. Lopez , P.O N. Marza and P.O Mattalian arrived to assist.  A perimeter of the business was immediately established.  P.O Dominguez, P.O N. Marza and I made entry into the business and completed an interior check.  The interior check yielded negative results for any person(s) in the business.  While completing the interior check, I observed two gray large paver stones on the floor near the front glass door.  It appears the two stones were used to break the glass to the front door to gain access.  I observed several white prescription pill bottles on the floor as well as several pairs of eye glasses.  Upon further inspection, I observed a white wooden cabinet located behind the service counter that appeared to have been broken into which contained several white prescription pill bottles similar to the prescription pill bottle located outside on the ground in front of the business.  P.O Dominguez made notification to the tour commander. At approximately 0445 hours, Det. Scarpa and the business owner, Mr. Bodawala, arrived and were updated.  Mr. Bodawala consented to the business to be processed and signed a Consent to Search form.  Mr. Bodawala showed video footage of the incident to Det. Scarpa and e-mailed the footage to Det. Scarpa.  See Det. Scarpa's Supplemental report for further. At 0315 hours, the scene was preserved and a crime log had commenced.-0448 hours, Det. N. LaSala (BCSD-CSU) arrived to process the scene, BCSD case # 2025-0088.-0528 hours, Det. N. LaSala completed processing the scene. The scene was turned over to Mr. Bodawala. Mr. Bodawala advised it is unknown what proceeds/value were taken at this time. He advised once he and his employee conduct and complete an inventory, he will compile a list and forward it to Det. Scarpa. Case turned over to Det. Scarpa."/>
    <m/>
    <m/>
    <m/>
    <m/>
    <m/>
    <m/>
    <m/>
    <m/>
    <m/>
    <m/>
    <s v="Swetits_M"/>
    <s v="Complete"/>
    <s v="P.O. Benjamin Estrada 350"/>
    <s v="A2"/>
    <s v="Det. Frank Scarpa 348"/>
    <s v="Active Investigation"/>
    <s v="220 = Burglary/Breaking &amp; Entering"/>
    <n v="9"/>
    <d v="2025-02-05T00:00:00"/>
    <d v="1899-12-30T02:57:00"/>
    <m/>
    <m/>
    <d v="2025-02-05T00:00:00"/>
    <d v="1899-12-30T02:57:41"/>
    <n v="2025"/>
    <n v="6"/>
    <n v="2"/>
    <n v="5"/>
    <n v="36"/>
    <d v="2025-02-05T02:57:00"/>
    <n v="441"/>
    <s v="On Wednesday, February 5, 2025 at approximately 0300 hours,  P.O Dominguez and I responded to Hackensack Pharmacy (441 Passaic Street) on a reported activated burglar alarm.   Upon my arrival, I observed the main entrance glass door located on the north side of the business to be shattered.  I also observed a master lock and a metal pin on the ground near the door that appeared to had been cut off the steel roller gate located in front of the glass door. I also observed a white prescription pill bottle on the ground near the master lock.  I advised police communications of my findings and P.O A. Lopez , P.O N. Marza and P.O Mattalian arrived to assist.  A perimeter of the business was immediately established.  P.O Dominguez, P.O N. Marza and I made entry into the business and completed an interior check.  The interior check yielded negative results for any person(s) in the business.  While completing the interior check, I observed two gray large paver stones on the floor near the front glass door.  It appears the two stones were used to break the glass to the front door to gain access.  I observed several white prescription pill bottles on the floor as well as several pairs of eye glasses.  Upon further inspection, I observed a white wooden cabinet located behind the service counter that appeared to have been broken into which contained several white prescription pill bottles similar to the prescription pill bottle located outside on the ground in front of the business.  P.O Dominguez made notification to the tour commander. At approximately 0445 hours, Det. Scarpa and the business owner, Mr. Bodawala, arrived and were updated.  Mr. Bodawala consented to the business to be processed and signed a Consent to Search form.  Mr. Bodawala showed video footage of the incident to Det. Scarpa and e-mailed the footage to Det. Scarpa.  See Det. Scarpa's Supplemental report for further. At 0315 hours, the scene was preserved and a crime log had commenced.-0448 hours, Det. N. LaSala (BCSD-CSU) arrived to process the scene, BCSD case # 2025-0088.-0528 hours, Det. N. LaSala completed processing the scene. The scene was turned over to Mr. Bodawala. Mr. Bodawala advised it is unknown what proceeds/value were taken at this time. He advised once he and his employee conduct and complete an inventory, he will compile a list and forward it to Det. Scarpa. Case turned over to Det. Scarpa."/>
    <m/>
    <s v=""/>
    <s v=""/>
    <s v="C02W06"/>
    <x v="2"/>
  </r>
  <r>
    <s v="25-013147"/>
    <x v="4"/>
    <x v="0"/>
    <d v="1899-12-30T12:00:00"/>
    <d v="1899-12-30T12:35:58"/>
    <x v="4"/>
    <s v="February"/>
    <s v="Pangborn Pl, 0 Block"/>
    <s v="35 Pangborn Place"/>
    <x v="2"/>
    <s v="Burglary - Commercial"/>
    <s v="Suspicious Incident"/>
    <s v=""/>
    <s v="35 Pangborn Place, Hackensack, NJ, 07601"/>
    <s v="I1"/>
    <n v="9"/>
    <s v="Suspect(s): Unknown     I responded to the listed location, 35 Pangborn Place - Hackensack Emergency Dental, on a report of a burglary. Upon arrival, I was met by the complainant, Beau Jin, who is the manager of the business. The complainant stated that a TP-Link 300 Mbps Wireless Router ($100.00 USD) and a Keep Connect Router Reporter ($50.00) had been a taken from the basement. The complainant further stated there did not appear to be any forced entry into the basement. I was then advised by the complainant that the basement was accessible by the employees as well as the residence of the apartments on the second and third floor.     The complainant advised me the business was closed and secured for on 02/14/2025 until 02/16/2025. The complainant further advised me he on 02/15/2025 he observed through his phone that the businesses router was inoperable. The complainant stated upon opening business on 02/17/2025 he responded to the basement and observed that the router was taken. The complainant further reported he observed feces on the handle of the main entrance door and in the amazon drop off box located in front of the business.      The scene was unable to be processed due to the complainant contamination the scene as well as the fecal matter contaminating the door handle.Sgt. Farhi was notified. Detectives were notified by Sgt. Farhi. Total value of items taken - $150.00 USD"/>
    <m/>
    <m/>
    <m/>
    <m/>
    <m/>
    <m/>
    <m/>
    <m/>
    <m/>
    <m/>
    <s v="Deleon_A"/>
    <s v="Complete"/>
    <s v="P.O. Ruben Almonte 359"/>
    <s v="A3"/>
    <s v="Sgt. Francesco Tripodi 134"/>
    <s v="Under Supervisor Review"/>
    <s v="220 = Burglary/Breaking &amp; Entering"/>
    <n v="9"/>
    <d v="2025-02-17T00:00:00"/>
    <d v="1899-12-30T12:35:58"/>
    <m/>
    <m/>
    <d v="2025-02-17T00:00:00"/>
    <d v="1899-12-30T12:35:58"/>
    <n v="2025"/>
    <n v="8"/>
    <n v="4"/>
    <n v="17"/>
    <n v="48"/>
    <d v="2025-02-17T12:35:00"/>
    <n v="35"/>
    <s v="Suspect(s): Unknown     I responded to the listed location, 35 Pangborn Place - Hackensack Emergency Dental, on a report of a burglary. Upon arrival, I was met by the complainant, Beau Jin, who is the manager of the business. The complainant stated that a TP-Link 300 Mbps Wireless Router ($100.00 USD) and a Keep Connect Router Reporter ($50.00) had been a taken from the basement. The complainant further stated there did not appear to be any forced entry into the basement. I was then advised by the complainant that the basement was accessible by the employees as well as the residence of the apartments on the second and third floor.     The complainant advised me the business was closed and secured for on 02/14/2025 until 02/16/2025. The complainant further advised me he on 02/15/2025 he observed through his phone that the businesses router was inoperable. The complainant stated upon opening business on 02/17/2025 he responded to the basement and observed that the router was taken. The complainant further reported he observed feces on the handle of the main entrance door and in the amazon drop off box located in front of the business.      The scene was unable to be processed due to the complainant contamination the scene as well as the fecal matter contaminating the door handle.Sgt. Farhi was notified. Detectives were notified by Sgt. Farhi. Total value of items taken - $150.00 USD"/>
    <m/>
    <s v="suspect(s): unknown     i responded to the listed location, 35 pangborn place - hackensack emergency dental, on a report of a burglary"/>
    <s v="$100.00 USD) and a Keep Connect Router Reporter ( $50.00) had been a taken from the basement. The complainant further stated there did not appear to be any forced entry into the basement $150.00 USD"/>
    <s v="C02W07"/>
    <x v="0"/>
  </r>
  <r>
    <s v="25-019648"/>
    <x v="5"/>
    <x v="2"/>
    <d v="1899-12-30T01:00:00"/>
    <d v="1899-12-30T01:07:00"/>
    <x v="4"/>
    <s v="March"/>
    <s v="Park Ave, 0 Block"/>
    <s v="1 Park Avenue"/>
    <x v="0"/>
    <s v="Burglary - Residence"/>
    <s v=""/>
    <s v=""/>
    <s v="1 Park Avenue, Hackensack, NJ, 07601"/>
    <s v="H1"/>
    <n v="8"/>
    <s v="Description of Suspect #1- Black Female, long black hair, approximately in the early 30's, approximately 5'10 in height, approximately 170 lbs, wearing a black baseball hat, black jacket, white and black leggings, white socks and white sneakers.      Description of Suspect #2- Black Female, long black hair, approximately in the early 30's, approximately 5'10 in height, approximately 250 lbs, wearing a white jacket, white and grey leggings,white socks and tan timberlands.       On Tuesday, March 11th, 2025, I responded to the listed location on a burglary to the apartment #435. Upon arrival, I was met with the complainant and another leasing agent for the listed location. The complaint reported that the lessee was evicted from his apartment on 12/23/2024 and still currently had items in his apartment. She further reported that today she received a video from a neighbor that resides next to apartment #435 of two females that were observed sitting on the balcony of the the apartment #435  earlier this morning. The complaint further reported that the keys to the apartment #435 were deactivated and the only person that had possession of that key fob was the lessee. The lessee was not on scene.                      Sgt. Donnerstag was notified, which who then notified the detectives. Det. Sgt. Williams and Det. Dogali responded.       At 01:07 the two suspects walked through the front lobby door of 1 Park Avenue, they proceeded to take the elevator to the 4th floor. They gained entry to apartment #435 some how, which there was no visible damage to the door or to the lock. Prior to my arrival, the complainant and the other leasing agent entered the apartment to see if there was anyone inside which yielded negative. At 03:53 hours, suspect 1 was seen leaving the entrance of 1 Park Avenue with two bags potentially from the apartment. The items that suspect #1 left with is unknown at this time. The apartment was secured by the complainant."/>
    <m/>
    <m/>
    <m/>
    <m/>
    <m/>
    <m/>
    <m/>
    <m/>
    <m/>
    <m/>
    <s v="Ghirardi_R"/>
    <s v="Complete"/>
    <s v="P.O. Nicholas Mazzaccaro 377"/>
    <s v="B2"/>
    <s v="Det. Matthew Dogali 338"/>
    <s v="Active Investigation"/>
    <s v="220 = Burglary/Breaking &amp; Entering"/>
    <n v="9"/>
    <d v="2025-03-10T00:00:00"/>
    <d v="1899-12-30T01:07:00"/>
    <d v="2025-03-10T00:00:00"/>
    <d v="1899-12-30T03:53:00"/>
    <d v="2025-03-11T00:00:00"/>
    <d v="1899-12-30T10:36:59"/>
    <n v="2025"/>
    <n v="11"/>
    <n v="3"/>
    <n v="10"/>
    <n v="69"/>
    <d v="2025-03-10T01:07:00"/>
    <n v="1"/>
    <s v="Description of Suspect #1- Black Female, long black hair, approximately in the early 30's, approximately 5'10 in height, approximately 170 lbs, wearing a black baseball hat, black jacket, white and black leggings, white socks and white sneakers.      Description of Suspect #2- Black Female, long black hair, approximately in the early 30's, approximately 5'10 in height, approximately 250 lbs, wearing a white jacket, white and grey leggings,white socks and tan timberlands.       On Tuesday, March 11th, 2025, I responded to the listed location on a burglary to the apartment #435. Upon arrival, I was met with the complainant and another leasing agent for the listed location. The complaint reported that the lessee was evicted from his apartment on 12/23/2024 and still currently had items in his apartment. She further reported that today she received a video from a neighbor that resides next to apartment #435 of two females that were observed sitting on the balcony of the the apartment #435  earlier this morning. The complaint further reported that the keys to the apartment #435 were deactivated and the only person that had possession of that key fob was the lessee. The lessee was not on scene.                      Sgt. Donnerstag was notified, which who then notified the detectives. Det. Sgt. Williams and Det. Dogali responded.       At 01:07 the two suspects walked through the front lobby door of 1 Park Avenue, they proceeded to take the elevator to the 4th floor. They gained entry to apartment #435 some how, which there was no visible damage to the door or to the lock. Prior to my arrival, the complainant and the other leasing agent entered the apartment to see if there was anyone inside which yielded negative. At 03:53 hours, suspect 1 was seen leaving the entrance of 1 Park Avenue with two bags potentially from the apartment. The items that suspect #1 left with is unknown at this time. The apartment was secured by the complainant."/>
    <m/>
    <s v="suspect #1- black female, long black hair, approximately in the early 30's, approximately 5'10 in height, approximately 170 lbs, wearing a black baseball hat, black jacket, white and black leggings, white socks and white sneakers suspect #2- black female, long black hair, approximately in the early 30's, approximately 5'10 in height, approximately 250 lbs, wearing a white jacket, white and grey leggings,white socks and tan timberlands suspects walked through the front lobby door of 1 park avenue, they proceeded to take the elevator to the 4th floor suspect 1 was seen leaving the entrance of 1 park avenue with two bags potentially from the apartment suspect #1 left with is unknown at this time"/>
    <s v=""/>
    <s v="C03W10"/>
    <x v="2"/>
  </r>
  <r>
    <s v="25-024952"/>
    <x v="6"/>
    <x v="3"/>
    <d v="1899-12-30T22:00:00"/>
    <d v="1899-12-30T22:43:12"/>
    <x v="0"/>
    <s v="March"/>
    <s v="Essex St, 200 Block"/>
    <s v="211 Essex Street"/>
    <x v="3"/>
    <s v="Burglary - Commercial"/>
    <s v="Hindering Apprehension"/>
    <s v="Resisting Arrest/Eluding"/>
    <s v="211 Essex Street, Hackensack, NJ, 07601"/>
    <s v="F1"/>
    <n v="6"/>
    <s v="On March 28th, 2025 P.O. McCarthy, P.O. Salas, P.O. Francavilla, S.P.O. Aster, and SGT. Tovbin responded to the listed location on a report of a suspicious incident. Upon arrival, we met with the complainant who had live footage of the listed location through her ring camera of the arrestee inside. P.O. Salas P.O. Francavilla and S.P.O. Aster created a perimeter on the outside of the building and P.O. McCarthy, SGT. Tovbin and I entered the location. Once we reached suite 202 and realized we could not gain entry, P.O. Francavilla responded with a key provided by the complainant.     SGT. Tovbin and P.O. McCarthy entered Suite 202 identifying themselves and giving loud verbal commands for the arrestee to show himself. Shortly after entering the suite to conduct a search, the arrestee attempted to exit using the second door. I advised him to show his hands, and P.O. Francavilla and myself were able to handcuff him for our safety after a brief struggle.    We escorted the arrestee outside, where we searched his person for our safety.  We then asked him for his pedigree information to which he gave us the name &quot;Jorge Williams&quot;.  We were unable to locate any person with the information provided. Believing that he was providing us with false pedigree information and hindering our investigation, we determined it was necessary to transport him to headquarters for fingerprinting to confirm his identity.  While S.P.O. Abueg and I were escorting him to radio car 111, the arrestee began running, initiating a foot pursuit. He fled South in the parking lot and then ran across the street into the lot of 80 South Newman Street. P.O. McCarthy deployed his taser, but it did not make contact with his person due to the several layers of clothing he was wearing. P.O. Francavilla was able to apprehend the arrestee and bring him to the ground.     The arrestee was then placed in radio car 108 and transported to police headquarters by P.O. McCarthy. The vehicle was checked before and after transportation which yielded negative results.      Prior to transportation, the complainant approached us and advised us that the arrestee had stolen and eaten a cake they had in their break room. The complainant stated that the stolen cake was valued at $26.99. Melanie Esquiveo then responded to police headquarters to provide a statement to detectives.     Upon arrival at Police Headquarters, he was searched again by P.O. Vicale and handcuffed to the bench. The arrestee then began cooperating and provided us with the correct pedigree information which yielded an active warrant out of Passaic.      The arrestee complained of difficulty breathing and an ambulance was requested. Hackensack Ambulance arrived on scene and assessed the arrestee's. They stated his heart rate was a bit accelerated but should calm down momentarily. After the arrestee took off his two sweatshirts and 2 shirts, he started calming down. The arrestee refused further medical attention.    P.O. Vicale and P.O. Salas processed the arrestee with no complications.    The arrestee was found in possession of an American Express Amex Card which was secured as evidence and placed into evidence locker 2.    The arrestee was charged with:       Burglary - 2C:18-2       Hindering Apprehension - 2C:29-3       Resisting Arrest/Eluding - 2C:29-2A(2)       Obstruction - 2C:29-1(B)    P.O. Anguizaca and P.O. Vicale transported the arrestee to BCJ without further incident.     See Detectives supplement for further."/>
    <m/>
    <m/>
    <m/>
    <m/>
    <m/>
    <m/>
    <m/>
    <m/>
    <m/>
    <m/>
    <s v="Bay_F"/>
    <s v="Complete"/>
    <s v="P.O. Laura Lopez-Amaya 374"/>
    <s v="B3"/>
    <s v="Det. John Mora 257"/>
    <s v="Active Investigation"/>
    <m/>
    <n v="9"/>
    <d v="2025-03-27T00:00:00"/>
    <d v="1899-12-30T22:43:12"/>
    <m/>
    <m/>
    <d v="2025-03-27T00:00:00"/>
    <d v="1899-12-30T22:43:12"/>
    <n v="2025"/>
    <n v="13"/>
    <n v="5"/>
    <n v="27"/>
    <n v="86"/>
    <d v="2025-03-27T22:43:00"/>
    <n v="211"/>
    <s v="On March 28th, 2025 P.O. McCarthy, P.O. Salas, P.O. Francavilla, S.P.O. Aster, and SGT. Tovbin responded to the listed location on a report of a suspicious incident. Upon arrival, we met with the complainant who had live footage of the listed location through her ring camera of the arrestee inside. P.O. Salas P.O. Francavilla and S.P.O. Aster created a perimeter on the outside of the building and P.O. McCarthy, SGT. Tovbin and I entered the location. Once we reached suite 202 and realized we could not gain entry, P.O. Francavilla responded with a key provided by the complainant.     SGT. Tovbin and P.O. McCarthy entered Suite 202 identifying themselves and giving loud verbal commands for the arrestee to show himself. Shortly after entering the suite to conduct a search, the arrestee attempted to exit using the second door. I advised him to show his hands, and P.O. Francavilla and myself were able to handcuff him for our safety after a brief struggle.    We escorted the arrestee outside, where we searched his person for our safety.  We then asked him for his pedigree information to which he gave us the name &quot;Jorge Williams&quot;.  We were unable to locate any person with the information provided. Believing that he was providing us with false pedigree information and hindering our investigation, we determined it was necessary to transport him to headquarters for fingerprinting to confirm his identity.  While S.P.O. Abueg and I were escorting him to radio car 111, the arrestee began running, initiating a foot pursuit. He fled South in the parking lot and then ran across the street into the lot of 80 South Newman Street. P.O. McCarthy deployed his taser, but it did not make contact with his person due to the several layers of clothing he was wearing. P.O. Francavilla was able to apprehend the arrestee and bring him to the ground.     The arrestee was then placed in radio car 108 and transported to police headquarters by P.O. McCarthy. The vehicle was checked before and after transportation which yielded negative results.      Prior to transportation, the complainant approached us and advised us that the arrestee had stolen and eaten a cake they had in their break room. The complainant stated that the stolen cake was valued at $26.99. Melanie Esquiveo then responded to police headquarters to provide a statement to detectives.     Upon arrival at Police Headquarters, he was searched again by P.O. Vicale and handcuffed to the bench. The arrestee then began cooperating and provided us with the correct pedigree information which yielded an active warrant out of Passaic.      The arrestee complained of difficulty breathing and an ambulance was requested. Hackensack Ambulance arrived on scene and assessed the arrestee's. They stated his heart rate was a bit accelerated but should calm down momentarily. After the arrestee took off his two sweatshirts and 2 shirts, he started calming down. The arrestee refused further medical attention.    P.O. Vicale and P.O. Salas processed the arrestee with no complications.    The arrestee was found in possession of an American Express Amex Card which was secured as evidence and placed into evidence locker 2.    The arrestee was charged with:       Burglary - 2C:18-2       Hindering Apprehension - 2C:29-3       Resisting Arrest/Eluding - 2C:29-2A(2)       Obstruction - 2C:29-1(B)    P.O. Anguizaca and P.O. Vicale transported the arrestee to BCJ without further incident.     See Detectives supplement for further."/>
    <m/>
    <s v=""/>
    <s v="$26.99. Melanie Esquiveo then responded to police headquarters to provide a statement to detectives"/>
    <s v="C04W13"/>
    <x v="3"/>
  </r>
  <r>
    <s v="25-025078"/>
    <x v="6"/>
    <x v="3"/>
    <d v="1899-12-30T23:00:00"/>
    <d v="1899-12-30T23:30:00"/>
    <x v="0"/>
    <s v="March"/>
    <s v="Park Ave, 0 Block"/>
    <s v="2 Park Avenue"/>
    <x v="0"/>
    <s v="Burglary - Residence"/>
    <s v=""/>
    <s v=""/>
    <s v="2 Park Avenue, Hackensack, NJ, 07601"/>
    <s v="H1"/>
    <n v="8"/>
    <s v="On March 28th, 2025, at approximately 1110 hours, P.O. Lyak, Sgt. Donnerstag, Det./Sgt. Williams and I, responded to 2 Park Avenue, Apt. 635 (Ivy &amp; Green), on a report of a burglary. Upon our arrival we met with the victim, Juan Rondon Jr., who stated that his apartment was burglarized.      The victim stated he left his apartment on March 27th, 2025, at approximately 23:30 hours and returned to his apartment the following morning on March 28th, at approximately 0830 hours. When the victim arrived at his apartment, he noticed the door was slightly opened. Upon entry, he noticed the dead bolt to the apartment door was forced open and broken. The victim stated he had locked the dead bolt and door handle lock prior to leaving the night of March 27th, but did not utilize the door latch.      The suspect stated after observing the broken door, he entered his apartment and found drawers, cabinets, and his bedroom door were opened. The victim noticed black heavy-duty garbage bags located in the center of his apartment that were left by the suspects. While attempting to identify if merchandise or valuables were stolen during the burglary, he opened and closed many of the drawers and cabinets, contaminating the scene.     The victim stated, approximately $10,000.00 dollars in the denomination of $20.00 dollar bills located in the a kitchen drawer was missing.      Upon further examination, the victim stated a Two-Tone Sky Dweller Champaign Dial Rolex, model #326933, serial #54XV1419, valued at approximately $20,000.00 dollars was stolen. The watch was located inside the pocket of a pair of jeans in his bedroom closet. It should be noted, the victim's closet where the watch was stolen was in the same condition as when the suspect departed his residence. No other belongings or merchandise were disturbed or moved. The suspects appeared to only have gone into a select pair of jeans which contained the Rolex watch.      A Jubilee fourteen (14) karat gold bracelet valued at approximately $8,000.00 dollars was stolen. The bracelet was located on the top of the TV stand.      A fourteen (14) karat white gold necklace valued at approximately $8,000.00 dollars was stolen. The necklace was located in the apartment bedroom.      Multiple FedEx packages containing high-end clothing items and clothing items were stolen from the apartment bedroom and closet. The packages were valued at approximately $4,000.00 dollars.   A Nintendo Switch (Gaming Console) valued at approximately $300.00 dollars was stolen. The gaming console was located on the living room couch.      Detective Sergeant Williams met with the building concierge and they were able show security footage of three (3) unknown individuals wearing black clothing, hoods, face masks, and black gloves. The suspects entered stairwell 3, located across from the victim's apartment at approximately 0030 hours. The suspects were then viewed leaving the apartment approximately six (6) minutes later at 0036 hours. For further information with regards to the suspects involved, please refer to Detective Sergeant Williams case report.      The victim was provided with a Victim Notification Form and wished to sign complaints against the suspects if identified."/>
    <n v="50300"/>
    <m/>
    <m/>
    <m/>
    <m/>
    <m/>
    <m/>
    <m/>
    <m/>
    <m/>
    <s v="Klosk_J"/>
    <s v="Complete"/>
    <s v="P.O. Peter Voorhis 380"/>
    <s v="B1"/>
    <s v="Sgt. Patrick Williams 143"/>
    <s v="Active Investigation"/>
    <m/>
    <n v="9"/>
    <d v="2025-03-27T00:00:00"/>
    <d v="1899-12-30T23:30:00"/>
    <d v="2025-03-28T00:00:00"/>
    <d v="1899-12-30T00:36:00"/>
    <d v="2025-03-28T00:00:00"/>
    <d v="1899-12-30T11:13:39"/>
    <n v="2025"/>
    <n v="13"/>
    <n v="5"/>
    <n v="27"/>
    <n v="86"/>
    <d v="2025-03-27T23:30:00"/>
    <n v="2"/>
    <s v="On March 28th, 2025, at approximately 1110 hours, P.O. Lyak, Sgt. Donnerstag, Det./Sgt. Williams and I, responded to 2 Park Avenue, Apt. 635 (Ivy &amp; Green), on a report of a burglary. Upon our arrival we met with the victim, Juan Rondon Jr., who stated that his apartment was burglarized.      The victim stated he left his apartment on March 27th, 2025, at approximately 23:30 hours and returned to his apartment the following morning on March 28th, at approximately 0830 hours. When the victim arrived at his apartment, he noticed the door was slightly opened. Upon entry, he noticed the dead bolt to the apartment door was forced open and broken. The victim stated he had locked the dead bolt and door handle lock prior to leaving the night of March 27th, but did not utilize the door latch.      The suspect stated after observing the broken door, he entered his apartment and found drawers, cabinets, and his bedroom door were opened. The victim noticed black heavy-duty garbage bags located in the center of his apartment that were left by the suspects. While attempting to identify if merchandise or valuables were stolen during the burglary, he opened and closed many of the drawers and cabinets, contaminating the scene.     The victim stated, approximately $10,000.00 dollars in the denomination of $20.00 dollar bills located in the a kitchen drawer was missing.      Upon further examination, the victim stated a Two-Tone Sky Dweller Champaign Dial Rolex, model #326933, serial #54XV1419, valued at approximately $20,000.00 dollars was stolen. The watch was located inside the pocket of a pair of jeans in his bedroom closet. It should be noted, the victim's closet where the watch was stolen was in the same condition as when the suspect departed his residence. No other belongings or merchandise were disturbed or moved. The suspects appeared to only have gone into a select pair of jeans which contained the Rolex watch.      A Jubilee fourteen (14) karat gold bracelet valued at approximately $8,000.00 dollars was stolen. The bracelet was located on the top of the TV stand.      A fourteen (14) karat white gold necklace valued at approximately $8,000.00 dollars was stolen. The necklace was located in the apartment bedroom.      Multiple FedEx packages containing high-end clothing items and clothing items were stolen from the apartment bedroom and closet. The packages were valued at approximately $4,000.00 dollars.   A Nintendo Switch (Gaming Console) valued at approximately $300.00 dollars was stolen. The gaming console was located on the living room couch.      Detective Sergeant Williams met with the building concierge and they were able show security footage of three (3) unknown individuals wearing black clothing, hoods, face masks, and black gloves. The suspects entered stairwell 3, located across from the victim's apartment at approximately 0030 hours. The suspects were then viewed leaving the apartment approximately six (6) minutes later at 0036 hours. For further information with regards to the suspects involved, please refer to Detective Sergeant Williams case report.      The victim was provided with a Victim Notification Form and wished to sign complaints against the suspects if identified."/>
    <m/>
    <s v="suspect stated after observing the broken door, he entered his apartment and found drawers, cabinets, and his bedroom door were opened suspects suspect departed his residence suspects appeared to only have gone into a select pair of jeans which contained the rolex watch suspects entered stairwell 3, located across from the victim's apartment at approximately 0030 hours suspects were then viewed leaving the apartment approximately six (6) minutes later at 0036 hours suspects involved, please refer to detective sergeant williams case report suspects if identified"/>
    <s v="$10,000.00 dollars in the denomination of  $20.00 dollar bills located in the a kitchen drawer was missing.      Upon further examination, the victim stated a Two-Tone Sky Dweller Champaign Dial Rolex, model #326933, serial #54XV1419, valued at approximately  $20,000.00 dollars was stolen. The watch was located inside the pocket of a pair of jeans in his bedroom closet $8,000.00 dollars was stolen. The bracelet was located on the top of the TV stand $8,000.00 dollars was stolen. The necklace was located in the apartment bedroom $4,000.00 dollars.   A Nintendo Switch (Gaming Console) valued at approximately  $300.00 dollars was stolen. The gaming console was located on the living room couch"/>
    <s v="C04W13"/>
    <x v="3"/>
  </r>
  <r>
    <s v="25-025926"/>
    <x v="7"/>
    <x v="0"/>
    <d v="1899-12-30T12:00:00"/>
    <d v="1899-12-30T12:00:00"/>
    <x v="4"/>
    <s v="March"/>
    <s v="Essex St, 100 Block"/>
    <s v="100 Essex Street"/>
    <x v="0"/>
    <s v="Burglary - Residence"/>
    <s v=""/>
    <s v=""/>
    <s v="100 Essex Street, Hackensack, NJ, 07601"/>
    <s v="G2"/>
    <n v="7"/>
    <s v="On March 31st, 2025, I responded to the listed address (100 Essex Street) on a report of a burglary. Upon arrival, I spoke to the victim, John Ross, who reported that his keys were missing. The victim reported missing a Coach keychain, with $50.00 USD inside, attached to four (4) keys and one (1) safety deposit box key. Total loss of $200.00 USD.     The victim stated in effect that he took a shower at approximately 0500 hours today. The victim reported not leaving his apartment again until approximately 1130 hours to use the bathroom. The victim reported observing his keys at this time. The victim stated that he was only in the bathroom for a minute. Upon responding back to his apartment, he stated that he began to watch a television show. Approximately 30 minutes to an hour later, he attempted to locate his keys, which are usually placed on his dresser, yielding negative results. The victim reported not securing his door while showering or using the bathroom. At this time, no signs of forced entry or any evidentiary proof that a suspect was inside his apartment, were visible. Sgt. Butler responded.       The scene was unable to be processed due to the victim contaminating the scene while looking for his keys. No CCTV camera were observed.      The victim stated that a &quot;Asaad Martinez-Pollard&quot; may be the suspect. The victim reported being assaulted by the suspect a few weeks prior and seeing him briefly today. See Case #25-010292 for further. A NJ Victim Notification form was completed and a copy was provided to the victim. Detective DeBonis was advised."/>
    <m/>
    <m/>
    <m/>
    <m/>
    <m/>
    <m/>
    <m/>
    <m/>
    <m/>
    <m/>
    <s v="Competiello_Fa"/>
    <s v="Complete"/>
    <s v="P.O. Anthony Mattalian 83"/>
    <s v="A2"/>
    <m/>
    <m/>
    <m/>
    <n v="9"/>
    <d v="2025-03-31T00:00:00"/>
    <d v="1899-12-30T12:00:00"/>
    <m/>
    <m/>
    <d v="2025-03-31T00:00:00"/>
    <d v="1899-12-30T13:02:43"/>
    <n v="2025"/>
    <n v="14"/>
    <n v="6"/>
    <n v="31"/>
    <n v="90"/>
    <d v="2025-03-31T12:00:00"/>
    <n v="100"/>
    <s v="On March 31st, 2025, I responded to the listed address (100 Essex Street) on a report of a burglary. Upon arrival, I spoke to the victim, John Ross, who reported that his keys were missing. The victim reported missing a Coach keychain, with $50.00 USD inside, attached to four (4) keys and one (1) safety deposit box key. Total loss of $200.00 USD.     The victim stated in effect that he took a shower at approximately 0500 hours today. The victim reported not leaving his apartment again until approximately 1130 hours to use the bathroom. The victim reported observing his keys at this time. The victim stated that he was only in the bathroom for a minute. Upon responding back to his apartment, he stated that he began to watch a television show. Approximately 30 minutes to an hour later, he attempted to locate his keys, which are usually placed on his dresser, yielding negative results. The victim reported not securing his door while showering or using the bathroom. At this time, no signs of forced entry or any evidentiary proof that a suspect was inside his apartment, were visible. Sgt. Butler responded.       The scene was unable to be processed due to the victim contaminating the scene while looking for his keys. No CCTV camera were observed.      The victim stated that a &quot;Asaad Martinez-Pollard&quot; may be the suspect. The victim reported being assaulted by the suspect a few weeks prior and seeing him briefly today. See Case #25-010292 for further. A NJ Victim Notification form was completed and a copy was provided to the victim. Detective DeBonis was advised."/>
    <m/>
    <s v="suspect was inside his apartment, were visible suspect suspect a few weeks prior and seeing him briefly today"/>
    <s v="$50.00 USD inside, attached to four (4) keys and one (1) safety deposit box key. Total loss of  $200.00 USD.     The victim stated in effect that he took a shower at approximately 0500 hours today"/>
    <s v="C04W13"/>
    <x v="0"/>
  </r>
  <r>
    <s v="25-027338"/>
    <x v="8"/>
    <x v="0"/>
    <d v="1899-12-30T12:00:00"/>
    <d v="1899-12-30T12:00:00"/>
    <x v="5"/>
    <s v="April"/>
    <s v="Fair St, 0 Block"/>
    <s v="75 Fair Street"/>
    <x v="0"/>
    <s v="Burglary - Residence"/>
    <s v=""/>
    <s v=""/>
    <s v="75 Fair Street, Hackensack, NJ, 07601"/>
    <s v="E1"/>
    <n v="5"/>
    <s v="On Friday, April 4, 2025, at approximately 13:15 hours, I responded in marked radio car #108 to 75 Fair Street, Apt. 1, for a report of a burglary to a residence.  Upon arrival, I spoke to SANDY JOHNSON, the victim's neighbor, who stated that the listed residence was burglarized.     JOHNSON stated that the victim has been at New Bridge Medical Center's intensive care unit for over month and she has permission from the victim to check on her apartment.  JOHNSON further stated that she regularly checks the victim's mailbox and puts the victim's mail inside the victim's apartment which is reported to be left unlocked at all times.  On Tuesday, 04/01/2025 at approximately 12:00 hours, JOHNSON entered the apartment to drop off the victim's mail and check the apartment, specifically checking to make sure that the TV in the victim's bedroom was still there.  The TV was last seen at this time.  On today's date at approximately 12:30 hours,  JOHNSON entered the apartment and noticed that the TV in the victim's bedroom was missing.  JOHNSON left the apartment and notified the complainant (victim's son).       I requested a supervisor to which Sgt. Tovbin responded.  Upon his arrival, we cleared the apartment which yielded negative results for unwanted persons.  Sgt. Tovbin notified Det. Sgt. Tripodi regarding the incident.  Det. Sgt. Tripodi received consent to process the scene from the complainant on the victim's behalf via telephone.  Det. Sgt. Tripodi, Det. G. Lara-Nunez and Det. Dogali responded on scene.  Bergen County Sheriff's Office BCI Unit responded on scene.  Det. Colon #1952 photographed the scene, see BCI case number #2025-0211.  The door to the apartment was secured by JOHNSON."/>
    <m/>
    <m/>
    <m/>
    <m/>
    <m/>
    <m/>
    <m/>
    <m/>
    <m/>
    <m/>
    <s v="Klosk_J"/>
    <s v="Complete"/>
    <s v="P.O. Alexander Reyes 355"/>
    <s v="B4"/>
    <s v="Det. Gunther Lara-Nunez 351"/>
    <s v="Active Investigation"/>
    <m/>
    <n v="9"/>
    <d v="2025-04-01T00:00:00"/>
    <d v="1899-12-30T12:00:00"/>
    <d v="2025-04-04T00:00:00"/>
    <d v="1899-12-30T12:30:00"/>
    <d v="2025-04-04T00:00:00"/>
    <d v="1899-12-30T13:05:28"/>
    <n v="2025"/>
    <n v="14"/>
    <n v="1"/>
    <n v="1"/>
    <n v="91"/>
    <d v="2025-04-01T12:00:00"/>
    <n v="75"/>
    <s v="On Friday, April 4, 2025, at approximately 13:15 hours, I responded in marked radio car #108 to 75 Fair Street, Apt. 1, for a report of a burglary to a residence.  Upon arrival, I spoke to SANDY JOHNSON, the victim's neighbor, who stated that the listed residence was burglarized.     JOHNSON stated that the victim has been at New Bridge Medical Center's intensive care unit for over month and she has permission from the victim to check on her apartment.  JOHNSON further stated that she regularly checks the victim's mailbox and puts the victim's mail inside the victim's apartment which is reported to be left unlocked at all times.  On Tuesday, 04/01/2025 at approximately 12:00 hours, JOHNSON entered the apartment to drop off the victim's mail and check the apartment, specifically checking to make sure that the TV in the victim's bedroom was still there.  The TV was last seen at this time.  On today's date at approximately 12:30 hours,  JOHNSON entered the apartment and noticed that the TV in the victim's bedroom was missing.  JOHNSON left the apartment and notified the complainant (victim's son).       I requested a supervisor to which Sgt. Tovbin responded.  Upon his arrival, we cleared the apartment which yielded negative results for unwanted persons.  Sgt. Tovbin notified Det. Sgt. Tripodi regarding the incident.  Det. Sgt. Tripodi received consent to process the scene from the complainant on the victim's behalf via telephone.  Det. Sgt. Tripodi, Det. G. Lara-Nunez and Det. Dogali responded on scene.  Bergen County Sheriff's Office BCI Unit responded on scene.  Det. Colon #1952 photographed the scene, see BCI case number #2025-0211.  The door to the apartment was secured by JOHNSON."/>
    <m/>
    <s v=""/>
    <s v=""/>
    <s v="C04W14"/>
    <x v="0"/>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
  <r>
    <s v="25-000813"/>
    <x v="0"/>
    <x v="0"/>
    <d v="1899-12-30T21:00:00"/>
    <d v="1899-12-30T21:30:00"/>
    <x v="0"/>
    <s v="January"/>
    <s v="Lookout Ave, 300 Block"/>
    <s v="309 Lookout Avenue"/>
    <x v="0"/>
    <s v="Motor Vehicle Theft"/>
    <s v=""/>
    <s v=""/>
    <s v="309 Lookout Avenue, Hackensack, NJ, 07601"/>
    <s v="I2"/>
    <n v="9"/>
    <s v="On Saturday, January 4th, 2025, I responded to the listed location on a report of a motor vehicle theft. Upon arrival, I met the registered owner, who reported that his vehicle was parked in the driveway at 21:30 hours on 01/03/2025. He further reported that he left his residence with his friends in his friend's vehicle and returned to his residence on the morning of 01/04/2025. He noticed his vehicle was taken from his driveway. The registered owner reported there was nothing valuable in the car and was uncertain if the spare keys were in the vehicle. Both New Jersey plates are affixed to the vehicle.      Communications advised me that the vehicle was located in Clarkstown, NY, and was involved in a motor vehicle hit-and-run accident. The registered owner was also advised of the vehicle's location. I observed no cameras in the area.      The victim did not want the vehicle processed or to sign complaints if the suspect(s) are identified.     A New Jersey Victim Notification form was completed and provided to the registered owner.     An ATTF entry was completed    A motor vehicle checklist was completed and submitted."/>
    <m/>
    <m/>
    <s v="W46ULY"/>
    <s v="HONDA"/>
    <s v="ACC"/>
    <s v="NJ"/>
    <m/>
    <m/>
    <m/>
    <m/>
    <s v="Klosk_J"/>
    <s v="Complete"/>
    <s v="P.O. Nicholas Mazzaccaro 377"/>
    <s v="B4"/>
    <s v="Det. Robert Ghirardi 150"/>
    <s v="Active/Administratively Closed"/>
    <s v="240 = Theft of Motor Vehicle"/>
    <n v="9"/>
    <d v="2025-01-03T00:00:00"/>
    <d v="1899-12-30T21:30:00"/>
    <d v="2025-01-04T00:00:00"/>
    <d v="1899-12-30T06:25:00"/>
    <d v="2025-01-04T00:00:00"/>
    <d v="1899-12-30T10:59:09"/>
    <n v="2025"/>
    <n v="1"/>
    <n v="1"/>
    <n v="3"/>
    <n v="3"/>
    <d v="2025-01-03T21:30:00"/>
    <n v="309"/>
    <s v="On Saturday, January 4th, 2025, I responded to the listed location on a report of a motor vehicle theft. Upon arrival, I met the registered owner, who reported that his vehicle was parked in the driveway at 21:30 hours on 01/03/2025. He further reported that he left his residence with his friends in his friend's vehicle and returned to his residence on the morning of 01/04/2025. He noticed his vehicle was taken from his driveway. The registered owner reported there was nothing valuable in the car and was uncertain if the spare keys were in the vehicle. Both New Jersey plates are affixed to the vehicle.      Communications advised me that the vehicle was located in Clarkstown, NY, and was involved in a motor vehicle hit-and-run accident. The registered owner was also advised of the vehicle's location. I observed no cameras in the area.      The victim did not want the vehicle processed or to sign complaints if the suspect(s) are identified.     A New Jersey Victim Notification form was completed and provided to the registered owner.     An ATTF entry was completed    A motor vehicle checklist was completed and submitted."/>
    <s v="Vehicle 1: NJ-W46ULY HONDA, ACC"/>
    <s v="suspect(s) are identified"/>
    <s v=""/>
    <s v="C01W01"/>
    <x v="0"/>
  </r>
  <r>
    <s v="25-004097"/>
    <x v="1"/>
    <x v="1"/>
    <d v="1899-12-30T12:00:00"/>
    <d v="1899-12-30T12:57:26"/>
    <x v="1"/>
    <s v="January"/>
    <s v="First St, 200 Block"/>
    <s v="244 First Street"/>
    <x v="0"/>
    <s v="Motor Vehicle Theft"/>
    <s v=""/>
    <s v=""/>
    <s v="244 First Street, Hackensack, NJ, 07601"/>
    <s v="H3"/>
    <n v="8"/>
    <s v="On 01/15/2025 I responded to 244 First Street on a reported motor vehicle theft. Upon arrival I met with the driver of the stolen vehicle, Jeffrey Mejiamorquecho. He reported he parked his motor vehicle in front of 244 First Street facing north at around 24:00 hours. He further reported his mother left his residence at 05:00 hours on the listed date and noticed the vehicle was gone. The driver also reported he received a notification from EZ Pass with a charge from the George Washington Bridge toll at 04:13 hours on the listed date. The driver then walked out with me to where his vehicle was parked and observed broken glass which he suspected to be from his rear passenger side window. The driver advised me the vehicle had 1 plate in the rear and was worth approximately $50,000.00 as the vehicle was fairly new. He further reported he attempted to track the vehicle as it contains tracking equipment but was unsuccessful as it was not connecting. He believes it was disconnected somehow after the vehicle was stolen.240 First Street has cameras in the general direction of where the vehicle was parked. It is unknown at this time if they captured the incident occur.Insurance Information: Company: Geico (369)Policy Number: 6183163036The driver was provided with a completed New Jersey Victim Notification Form.The driver wished to have the vehicle processed if located and a Hackensack Police Consent to Search from was completed.The vehicle was entered into NCIC as stolen by Communications.The vehicle was entered into ATTF as stolen."/>
    <m/>
    <m/>
    <s v="U38ULG"/>
    <s v="HONDA"/>
    <s v="CIV"/>
    <s v="NJ"/>
    <m/>
    <m/>
    <m/>
    <m/>
    <s v="Swetits_M"/>
    <s v="Complete"/>
    <s v="P.O. Frank Lorenzo 371"/>
    <s v="b1"/>
    <s v="Det. Matthew DeBonis 325"/>
    <s v="Active/Administratively Closed"/>
    <s v="240 = Theft of Motor Vehicle"/>
    <n v="9"/>
    <d v="2025-01-15T00:00:00"/>
    <d v="1899-12-30T12:57:26"/>
    <m/>
    <m/>
    <d v="2025-01-15T00:00:00"/>
    <d v="1899-12-30T12:57:26"/>
    <n v="2025"/>
    <n v="3"/>
    <n v="3"/>
    <n v="15"/>
    <n v="15"/>
    <d v="2025-01-15T12:57:00"/>
    <n v="244"/>
    <s v="On 01/15/2025 I responded to 244 First Street on a reported motor vehicle theft. Upon arrival I met with the driver of the stolen vehicle, Jeffrey Mejiamorquecho. He reported he parked his motor vehicle in front of 244 First Street facing north at around 24:00 hours. He further reported his mother left his residence at 05:00 hours on the listed date and noticed the vehicle was gone. The driver also reported he received a notification from EZ Pass with a charge from the George Washington Bridge toll at 04:13 hours on the listed date. The driver then walked out with me to where his vehicle was parked and observed broken glass which he suspected to be from his rear passenger side window. The driver advised me the vehicle had 1 plate in the rear and was worth approximately $50,000.00 as the vehicle was fairly new. He further reported he attempted to track the vehicle as it contains tracking equipment but was unsuccessful as it was not connecting. He believes it was disconnected somehow after the vehicle was stolen.240 First Street has cameras in the general direction of where the vehicle was parked. It is unknown at this time if they captured the incident occur.Insurance Information: Company: Geico (369)Policy Number: 6183163036The driver was provided with a completed New Jersey Victim Notification Form.The driver wished to have the vehicle processed if located and a Hackensack Police Consent to Search from was completed.The vehicle was entered into NCIC as stolen by Communications.The vehicle was entered into ATTF as stolen."/>
    <s v="Vehicle 1: NJ-U38ULG HONDA, CIV"/>
    <s v="suspected to be from his rear passenger side window"/>
    <s v="$50,000.00 as the vehicle was fairly new. He further reported he attempted to track the vehicle as it contains tracking equipment but was unsuccessful as it was not connecting"/>
    <s v="C01W03"/>
    <x v="1"/>
  </r>
  <r>
    <s v="25-005871"/>
    <x v="2"/>
    <x v="2"/>
    <d v="1899-12-30T19:00:00"/>
    <d v="1899-12-30T19:00:00"/>
    <x v="2"/>
    <s v="January"/>
    <s v="Ross Ave, 0 Block"/>
    <s v="33 Ross Avenue"/>
    <x v="0"/>
    <s v="Motor Vehicle Theft"/>
    <s v=""/>
    <s v=""/>
    <s v="33 Ross Avenue, Hackensack, NJ, 07601"/>
    <s v="I1"/>
    <n v="9"/>
    <s v="On January 22, 2025, I responded to the listed location on a report on a stolen motor vehicle. Upon arrival, I met with the registered owner, Kamil Garcia. The registered owner stated on January 21, 2025 at approximately 1800 hours he parked his vehicle, a 2023 Honda Passport color red bearing NJ registration U22RSV in front of 33 Ross Ave facing West. The registered owner stated that he currently has possession of the two key fobs that belong to the vehicle. At approximately 0309 hours on January 22, 2025 he responded to his vehicle where he last parked it and the vehicle was no longer there.       The registered owner received a completed victim notification. The vehicle was entered as stolen into NCIC (NIC #  V956704006) along with a stolen motor vehicle form. The vehicle was also entered as stolen into the  ATTF website. The registered owner does not wish to have the vehicle processed at this time. Approximate value for the above vehicle is 46,000.00 USD."/>
    <m/>
    <m/>
    <s v="U22RSV"/>
    <s v="HONDA"/>
    <s v="PAS"/>
    <s v="NJ"/>
    <m/>
    <m/>
    <m/>
    <m/>
    <s v="Tovbin_S"/>
    <s v="Complete"/>
    <s v="P.O. Roselys Salas 369"/>
    <s v="B4"/>
    <s v="Det. John Tanucilli 335"/>
    <s v="Active/Administratively Closed"/>
    <s v="240 = Theft of Motor Vehicle"/>
    <n v="9"/>
    <d v="2025-01-21T00:00:00"/>
    <d v="1899-12-30T19:00:00"/>
    <d v="2025-01-22T00:00:00"/>
    <d v="1899-12-30T03:09:00"/>
    <d v="2025-01-22T00:00:00"/>
    <d v="1899-12-30T03:10:53"/>
    <n v="2025"/>
    <n v="4"/>
    <n v="4"/>
    <n v="21"/>
    <n v="21"/>
    <d v="2025-01-21T19:00:00"/>
    <n v="33"/>
    <s v="On January 22, 2025, I responded to the listed location on a report on a stolen motor vehicle. Upon arrival, I met with the registered owner, Kamil Garcia. The registered owner stated on January 21, 2025 at approximately 1800 hours he parked his vehicle, a 2023 Honda Passport color red bearing NJ registration U22RSV in front of 33 Ross Ave facing West. The registered owner stated that he currently has possession of the two key fobs that belong to the vehicle. At approximately 0309 hours on January 22, 2025 he responded to his vehicle where he last parked it and the vehicle was no longer there.       The registered owner received a completed victim notification. The vehicle was entered as stolen into NCIC (NIC #  V956704006) along with a stolen motor vehicle form. The vehicle was also entered as stolen into the  ATTF website. The registered owner does not wish to have the vehicle processed at this time. Approximate value for the above vehicle is 46,000.00 USD."/>
    <s v="Vehicle 1: NJ-U22RSV HONDA, PAS"/>
    <s v=""/>
    <s v=""/>
    <s v="C01W04"/>
    <x v="2"/>
  </r>
  <r>
    <s v="25-006083"/>
    <x v="3"/>
    <x v="3"/>
    <d v="1899-12-30T08:00:00"/>
    <d v="1899-12-30T08:00:00"/>
    <x v="1"/>
    <s v="January"/>
    <s v="Hudson St, 400 Block"/>
    <s v="443 Hudson Street"/>
    <x v="0"/>
    <s v="Motor Vehicle Theft"/>
    <s v=""/>
    <s v=""/>
    <s v="443 Hudson Street, Hackensack, NJ, 07601"/>
    <s v="E3"/>
    <n v="5"/>
    <s v="On January 22, 2025, I responded to the listed location on a report of a stolen motor vehicle. Upon arrival, I met with the victim, Melisssa Williams, also registered owner. The victim stated the vehicle has been lodged at 443 Hudson Street with permission of the resident Jermal Clark. The victim stated upon speaking to Jermal Clark he stated &quot;the vehicle was towed off the property early morning and he got some money for it.&quot;  Sgt. Tovbin and I spoke to Jermal Clark, who stated that he does not know which towing company towed the vehicle. I asked Jermal Clark if he towed the vehicle off the property and he was uncooperative in answering the question.       The vehicle, a 2006 Nissan Pathfinder color black bearing NJ registration Y62SRJ, was last seen on January 21, 2025 at approximately 1600 hours parked facing South on the listed property. The victim stated that she currently does not have possession of the key. The victim indicated the one key was last in possession of Jermal Clark.       The registered owner received a completed victim notification. The vehicle was entered as stolen into NCIC (NIC # V146697789 ) along with a stolen motor vehicle form. The vehicle was also entered as stolen into the  ATTF website. The registered owner does not wish to have the vehicle processed at this time. Approximate value for the above vehicle is 2,500.00 USD."/>
    <m/>
    <m/>
    <s v="Y62SRJ"/>
    <s v="NISSAN"/>
    <s v="PTH"/>
    <s v="NJ"/>
    <m/>
    <m/>
    <m/>
    <m/>
    <s v="Swetits_M"/>
    <s v="Complete"/>
    <s v="P.O. Roselys Salas 369"/>
    <s v="B4"/>
    <s v="Det. Demetrius Carroll 133"/>
    <s v="Active/Administratively Closed"/>
    <s v="240 = Theft of Motor Vehicle"/>
    <n v="9"/>
    <d v="2025-01-22T00:00:00"/>
    <d v="1899-12-30T08:00:00"/>
    <d v="2025-01-22T00:00:00"/>
    <d v="1899-12-30T19:13:00"/>
    <d v="2025-01-22T00:00:00"/>
    <d v="1899-12-30T19:14:56"/>
    <n v="2025"/>
    <n v="4"/>
    <n v="4"/>
    <n v="22"/>
    <n v="22"/>
    <d v="2025-01-22T08:00:00"/>
    <n v="443"/>
    <s v="On January 22, 2025, I responded to the listed location on a report of a stolen motor vehicle. Upon arrival, I met with the victim, Melisssa Williams, also registered owner. The victim stated the vehicle has been lodged at 443 Hudson Street with permission of the resident Jermal Clark. The victim stated upon speaking to Jermal Clark he stated &quot;the vehicle was towed off the property early morning and he got some money for it.&quot;  Sgt. Tovbin and I spoke to Jermal Clark, who stated that he does not know which towing company towed the vehicle. I asked Jermal Clark if he towed the vehicle off the property and he was uncooperative in answering the question.       The vehicle, a 2006 Nissan Pathfinder color black bearing NJ registration Y62SRJ, was last seen on January 21, 2025 at approximately 1600 hours parked facing South on the listed property. The victim stated that she currently does not have possession of the key. The victim indicated the one key was last in possession of Jermal Clark.       The registered owner received a completed victim notification. The vehicle was entered as stolen into NCIC (NIC # V146697789 ) along with a stolen motor vehicle form. The vehicle was also entered as stolen into the  ATTF website. The registered owner does not wish to have the vehicle processed at this time. Approximate value for the above vehicle is 2,500.00 USD."/>
    <s v="Vehicle 1: NJ-Y62SRJ NISSAN, PTH"/>
    <s v=""/>
    <s v=""/>
    <s v="C01W04"/>
    <x v="3"/>
  </r>
  <r>
    <s v="25-008075"/>
    <x v="4"/>
    <x v="1"/>
    <d v="1899-12-30T15:00:00"/>
    <d v="1899-12-30T15:00:00"/>
    <x v="2"/>
    <s v="January"/>
    <s v="Essex St, 100 Block"/>
    <s v="119 Essex Street"/>
    <x v="1"/>
    <s v="Motor Vehicle Theft"/>
    <s v="Theft"/>
    <s v=""/>
    <s v="119 Essex Street, Hackensack, NJ, 07601"/>
    <s v="F1"/>
    <n v="6"/>
    <s v="On January 29, 2025, I responded to the listed location on a report on a stolen motor vehicle. Upon arrival, I met with the registered owner, Trina Coley. The registered owner stated on January 28, 2025 during the afternoon hours she parked her vehicle , a 2012 Lexus ES color black bearing NJ registration K84CXU in her residence private parking lot facing East. The registered owner stated that she currently does not have possession of the key fob as it was left inside of the vehicle along with her cell phone. At approximately 0930 hours on January 29, 2025 she responded to her vehicle where she last parked it,and the vehicle was no longer there.       The registered owner received a completed victim notification. The vehicle was entered as stolen into NCIC (NIC #V686695547 ) along with a stolen motor vehicle form. The vehicle was also entered as stolen into the ATTF web site. The registered owner does not wish to have the vehicle processed at this time. Approximate value for the above vehicle is 7,000.00 USD and the iPhone 15 at $800.00 USD."/>
    <m/>
    <m/>
    <s v="K84CXU"/>
    <s v="LEXUS"/>
    <s v="ES"/>
    <s v="NJ"/>
    <m/>
    <m/>
    <m/>
    <m/>
    <s v="Swetits_M"/>
    <s v="Complete"/>
    <s v="P.O. Roselys Salas 369"/>
    <s v="B4"/>
    <s v="Det. Matthew DeBonis 325"/>
    <s v="Ex-Cleared / Closed"/>
    <s v="240 = Theft of Motor Vehicle"/>
    <n v="9"/>
    <d v="2025-01-28T00:00:00"/>
    <d v="1899-12-30T15:00:00"/>
    <d v="2025-01-29T00:00:00"/>
    <d v="1899-12-30T22:01:00"/>
    <d v="2025-01-29T00:00:00"/>
    <d v="1899-12-30T22:02:24"/>
    <n v="2025"/>
    <n v="5"/>
    <n v="5"/>
    <n v="28"/>
    <n v="28"/>
    <d v="2025-01-28T15:00:00"/>
    <n v="119"/>
    <s v="On January 29, 2025, I responded to the listed location on a report on a stolen motor vehicle. Upon arrival, I met with the registered owner, Trina Coley. The registered owner stated on January 28, 2025 during the afternoon hours she parked her vehicle , a 2012 Lexus ES color black bearing NJ registration K84CXU in her residence private parking lot facing East. The registered owner stated that she currently does not have possession of the key fob as it was left inside of the vehicle along with her cell phone. At approximately 0930 hours on January 29, 2025 she responded to her vehicle where she last parked it,and the vehicle was no longer there.       The registered owner received a completed victim notification. The vehicle was entered as stolen into NCIC (NIC #V686695547 ) along with a stolen motor vehicle form. The vehicle was also entered as stolen into the ATTF web site. The registered owner does not wish to have the vehicle processed at this time. Approximate value for the above vehicle is 7,000.00 USD and the iPhone 15 at $800.00 USD."/>
    <s v="Vehicle 1: NJ-K84CXU LEXUS, ES"/>
    <s v=""/>
    <s v="$800.00 USD."/>
    <s v="C02W05"/>
    <x v="1"/>
  </r>
  <r>
    <s v="25-010788"/>
    <x v="5"/>
    <x v="1"/>
    <d v="1899-12-30T12:00:00"/>
    <d v="1899-12-30T12:00:00"/>
    <x v="0"/>
    <s v="January"/>
    <s v="Hudson St, 500 Block"/>
    <s v="535 Hudson Street"/>
    <x v="0"/>
    <s v="Motor Vehicle Theft"/>
    <s v=""/>
    <s v=""/>
    <s v="535 Hudson Street, Hackensack, NJ, 07601"/>
    <s v="E3"/>
    <n v="5"/>
    <s v="The victim responded to police headquarters on a report of a motor vehicle theft.  The victim, Clever Asitimbay Mora, reported that he parked the vehicle in the area of 535 Hudson Street in this jurisdiction on 01/31/2025.  The victim reported that on 02/7/2025 at approximately 13:00 hours, he checked the GPS location of his vehicle on his phone and noticed that his vehicle was located at 3945 Frankford Avenue, Philadelphia, PA 19124.  He reported he possessed one (1) key to the vehicle, and the other key was broken.  Both the front and rear license plates were attached to the vehicle.  The victim did not want the vehicle processed if located.  The vehicle is insured by GEICO unknown policy number at this time.  The value of the vehicle is approximately $6,000.00.  A victim notification form was completed, and the vehicle was entered into N.C.I.C and the Auto Theft Task Force (ATTF) as stolen.  I contacted Philadelphia Police Department District 24 and spoke with P.O. Kane and advised him of the location of the vehicle."/>
    <m/>
    <m/>
    <s v="S70MPZ"/>
    <m/>
    <s v="CIV"/>
    <s v="NJ"/>
    <m/>
    <m/>
    <m/>
    <m/>
    <s v="Swetits_M"/>
    <s v="Complete"/>
    <s v="P.O. Daniel Francavilla 329"/>
    <s v="B4"/>
    <s v="Det. Matthew Dogali 338"/>
    <s v="Active/Administratively Closed"/>
    <s v="240 = Theft of Motor Vehicle"/>
    <n v="9"/>
    <d v="2025-01-31T00:00:00"/>
    <d v="1899-12-30T12:00:00"/>
    <d v="2025-02-07T00:00:00"/>
    <d v="1899-12-30T13:00:00"/>
    <d v="2025-02-08T00:00:00"/>
    <d v="1899-12-30T09:22:04"/>
    <n v="2025"/>
    <n v="5"/>
    <n v="5"/>
    <n v="31"/>
    <n v="31"/>
    <d v="2025-01-31T12:00:00"/>
    <n v="535"/>
    <s v="The victim responded to police headquarters on a report of a motor vehicle theft.  The victim, Clever Asitimbay Mora, reported that he parked the vehicle in the area of 535 Hudson Street in this jurisdiction on 01/31/2025.  The victim reported that on 02/7/2025 at approximately 13:00 hours, he checked the GPS location of his vehicle on his phone and noticed that his vehicle was located at 3945 Frankford Avenue, Philadelphia, PA 19124.  He reported he possessed one (1) key to the vehicle, and the other key was broken.  Both the front and rear license plates were attached to the vehicle.  The victim did not want the vehicle processed if located.  The vehicle is insured by GEICO unknown policy number at this time.  The value of the vehicle is approximately $6,000.00.  A victim notification form was completed, and the vehicle was entered into N.C.I.C and the Auto Theft Task Force (ATTF) as stolen.  I contacted Philadelphia Police Department District 24 and spoke with P.O. Kane and advised him of the location of the vehicle."/>
    <s v="Vehicle 1: NJ-S70MPZ"/>
    <s v=""/>
    <s v="$6,000.00.  A victim notification form was completed, and the vehicle was entered into N"/>
    <s v="C02W05"/>
    <x v="1"/>
  </r>
  <r>
    <s v="25-008777"/>
    <x v="6"/>
    <x v="4"/>
    <d v="1899-12-30T01:00:00"/>
    <d v="1899-12-30T01:00:00"/>
    <x v="3"/>
    <s v="February"/>
    <s v="Sutton Ave, 400 Block"/>
    <s v="453 Sutton Avenue"/>
    <x v="0"/>
    <s v="Motor Vehicle Theft"/>
    <s v=""/>
    <s v=""/>
    <s v="453 Sutton Avenue, Hackensack, NJ, 07601"/>
    <s v="F2"/>
    <n v="6"/>
    <s v="On February 1, 2025, I responded to the listed location on a report on a stolen motor vehicle. Upon arrival, I met with the registered owner, Mohammed Almowail. The registered owner stated on February 1, 2025 at approximately 0100 hours he parked his vehicle, a 2012 Ford Crown Victoria color grey bearing NJ registration P77UZJ in front of 453 Sutton Avenue facing East. At approximately 0230 hours, while inside of the residence he heard the vehicle being turned on and when he walked out to where he last parked it the vehicle was no longer there.      The registered owner stated that he currently has possession of the two keys that belong to the vehicle. The vehicle has two NJ plates(P77UZJ) attached.     It should be noted the victim was in the process of selling the vehicle today to someone by the alias of Taylor Jacobs via Facebook marketplace. The victim provided the above listed address and videos of where the vehicle was going to be located to the above listed alias of Taylor Jacobs.     The vehicle also contained a black wallet inside with three Bank of America Credit Cards and 4 Bank of Kuwaitt Credit Cards issued to Abdull Alhajeri. The victim was advised to report and lock all cards.      The registered owner received a completed victim notification. The vehicle was entered as stolen into NCIC (NIC # V786677145 ) along with a stolen motor vehicle form. The vehicle was also entered as stolen into the  ATTF site. The registered owner does not wish to have the vehicle processed at this time. Approximate value for the above vehicle is 3,000.00 USD. The value of the black wallet is approximately $30.00 USD."/>
    <m/>
    <m/>
    <s v="P77UZJ"/>
    <s v="FORD"/>
    <s v="CRO"/>
    <s v="NJ"/>
    <m/>
    <m/>
    <m/>
    <m/>
    <s v="Swetits_M"/>
    <s v="Complete"/>
    <s v="P.O. Roselys Salas 369"/>
    <s v="B4"/>
    <s v="Det. Demetrius Carroll 133"/>
    <s v="Active/Administratively Closed"/>
    <s v="240 = Theft of Motor Vehicle"/>
    <n v="9"/>
    <d v="2025-02-01T00:00:00"/>
    <d v="1899-12-30T01:00:00"/>
    <m/>
    <d v="1899-12-30T02:30:00"/>
    <d v="2025-02-01T00:00:00"/>
    <d v="1899-12-30T02:52:33"/>
    <n v="2025"/>
    <n v="5"/>
    <n v="1"/>
    <n v="1"/>
    <n v="32"/>
    <d v="2025-02-01T01:00:00"/>
    <n v="453"/>
    <s v="On February 1, 2025, I responded to the listed location on a report on a stolen motor vehicle. Upon arrival, I met with the registered owner, Mohammed Almowail. The registered owner stated on February 1, 2025 at approximately 0100 hours he parked his vehicle, a 2012 Ford Crown Victoria color grey bearing NJ registration P77UZJ in front of 453 Sutton Avenue facing East. At approximately 0230 hours, while inside of the residence he heard the vehicle being turned on and when he walked out to where he last parked it the vehicle was no longer there.      The registered owner stated that he currently has possession of the two keys that belong to the vehicle. The vehicle has two NJ plates(P77UZJ) attached.     It should be noted the victim was in the process of selling the vehicle today to someone by the alias of Taylor Jacobs via Facebook marketplace. The victim provided the above listed address and videos of where the vehicle was going to be located to the above listed alias of Taylor Jacobs.     The vehicle also contained a black wallet inside with three Bank of America Credit Cards and 4 Bank of Kuwaitt Credit Cards issued to Abdull Alhajeri. The victim was advised to report and lock all cards.      The registered owner received a completed victim notification. The vehicle was entered as stolen into NCIC (NIC # V786677145 ) along with a stolen motor vehicle form. The vehicle was also entered as stolen into the  ATTF site. The registered owner does not wish to have the vehicle processed at this time. Approximate value for the above vehicle is 3,000.00 USD. The value of the black wallet is approximately $30.00 USD."/>
    <s v="Vehicle 1: NJ-P77UZJ FORD, CRO"/>
    <s v=""/>
    <s v="$30.00 USD."/>
    <s v="C02W05"/>
    <x v="4"/>
  </r>
  <r>
    <s v="25-009657"/>
    <x v="7"/>
    <x v="2"/>
    <d v="1899-12-30T18:00:00"/>
    <d v="1899-12-30T18:30:00"/>
    <x v="4"/>
    <s v="February"/>
    <s v="Midtown Bridge Approach, 0 Block"/>
    <s v="55 Midtown Bridge Approach"/>
    <x v="0"/>
    <s v="Motor Vehicle Theft"/>
    <s v=""/>
    <s v=""/>
    <s v="55 Midtown Bridge Approach, Hackensack, NJ, 07601"/>
    <s v="H1"/>
    <n v="8"/>
    <s v="I responded to the listed location on a reported motor vehicle theft. Upon arrival, I spoke with the complainant. She stated that on 02/04/2025 at 11:29 hours, she received a text from her boss, asking her to check on one of their U-Haul vehicles. She further stated that upon searching the parking lot, she could not locate the vehicle. The complainant reported that the vehicle had been rented out, so she contacted the contract holder to ensure the vehicle was dropped off. Upon verifying such and checking camera footage, the vehicle is seen on camera being dropped off by the customer. He is then approached by the suspect, where a brief verbal exchange is had. The customer is then seen leaving the area. The suspect is then seen retrieving keys from a lock box, before entering the van and fleeing the area.     I then spoke with the customer. He stated that he had dropped the vehicle off at the listed location at approximately 18:40 hours. He further stated that upon dropping it off, he was greeted by the suspect, who acted as an employee of the business. The customer reported that after a brief discussion, he was wary of the suspect and secured the keys in the lock box himself. He further stated that he then left the area.       A check in house of our tow list was conducted, with the vehicle not having been reported as towed or repossessed.  The complainant was advised of the recovery process, including fingerprinting of the vehicle. The complainant stated that she would like the vehicle held for prints on behalf of U-Haul and signed a Consent to Search Form. The complainant advised that she was unsure if the vehicle had a tracking system.       The vehicle is valued at approximately $45,000.00.            The complainant has video footage of the incident, available upon request.       Vehicle was entered into the ATTF website.    A New Jersey Victim Notification Form was completed.Insurance Info: Self-InsuredCertificate #:S012Exp: 06/30/2025"/>
    <m/>
    <m/>
    <s v="AM82732"/>
    <s v="RAM"/>
    <s v="PROMASTER"/>
    <s v="AZ"/>
    <m/>
    <m/>
    <m/>
    <m/>
    <s v="Deleon_A"/>
    <s v="Complete"/>
    <s v="P.O. Micah Gibson 365"/>
    <s v="A3"/>
    <s v="Det. Matthew DeBonis 325"/>
    <s v="Complaint Signed"/>
    <s v="240 = Theft of Motor Vehicle"/>
    <n v="9"/>
    <d v="2025-02-03T00:00:00"/>
    <d v="1899-12-30T18:30:00"/>
    <d v="2025-02-04T00:00:00"/>
    <d v="1899-12-30T19:00:00"/>
    <d v="2025-02-04T00:00:00"/>
    <d v="1899-12-30T12:43:32"/>
    <n v="2025"/>
    <n v="6"/>
    <n v="2"/>
    <n v="3"/>
    <n v="34"/>
    <d v="2025-02-03T18:30:00"/>
    <n v="55"/>
    <s v="I responded to the listed location on a reported motor vehicle theft. Upon arrival, I spoke with the complainant. She stated that on 02/04/2025 at 11:29 hours, she received a text from her boss, asking her to check on one of their U-Haul vehicles. She further stated that upon searching the parking lot, she could not locate the vehicle. The complainant reported that the vehicle had been rented out, so she contacted the contract holder to ensure the vehicle was dropped off. Upon verifying such and checking camera footage, the vehicle is seen on camera being dropped off by the customer. He is then approached by the suspect, where a brief verbal exchange is had. The customer is then seen leaving the area. The suspect is then seen retrieving keys from a lock box, before entering the van and fleeing the area.     I then spoke with the customer. He stated that he had dropped the vehicle off at the listed location at approximately 18:40 hours. He further stated that upon dropping it off, he was greeted by the suspect, who acted as an employee of the business. The customer reported that after a brief discussion, he was wary of the suspect and secured the keys in the lock box himself. He further stated that he then left the area.       A check in house of our tow list was conducted, with the vehicle not having been reported as towed or repossessed.  The complainant was advised of the recovery process, including fingerprinting of the vehicle. The complainant stated that she would like the vehicle held for prints on behalf of U-Haul and signed a Consent to Search Form. The complainant advised that she was unsure if the vehicle had a tracking system.       The vehicle is valued at approximately $45,000.00.            The complainant has video footage of the incident, available upon request.       Vehicle was entered into the ATTF website.    A New Jersey Victim Notification Form was completed.Insurance Info: Self-InsuredCertificate #:S012Exp: 06/30/2025"/>
    <s v="Vehicle 1: AZ-AM82732 RAM, PROMASTER"/>
    <s v="suspect, where a brief verbal exchange is had suspect is then seen retrieving keys from a lock box, before entering the van and fleeing the area suspect, who acted as an employee of the business suspect and secured the keys in the lock box himself"/>
    <s v="$45,000.00.            The complainant has video footage of the incident, available upon request"/>
    <s v="C02W05"/>
    <x v="2"/>
  </r>
  <r>
    <s v="25-010474"/>
    <x v="8"/>
    <x v="5"/>
    <d v="1899-12-30T06:00:00"/>
    <d v="1899-12-30T06:35:00"/>
    <x v="0"/>
    <s v="February"/>
    <s v="Hudson St, 100 Block"/>
    <s v="170 Hudson Street"/>
    <x v="0"/>
    <s v="Motor Vehicle Theft"/>
    <s v=""/>
    <s v=""/>
    <s v="170 Hudson Street, Hackensack, NJ, 07601"/>
    <s v="E2"/>
    <n v="5"/>
    <s v="I responded to the listed location on a motor vehicle theft. Upon arrival, I met with the complainant and the victim. The victim only spoke Spanish, so her husband (the complainant) translated. The complainant stated that his wife's vehicle was parking in the driveway of 170 Hudson Street, which was located between 170 Hudson Street and 166 Hudson Street. He stated that he left his vehicle running and went back into his house at 0635 hours. When he went to check on the vehicle at 0650 hours, he discovered it was missing. The vehicle was left unlocked with the keys in the ignition. I observed cameras in the rear of the house, but none located directly where the vehicle was parked.A victim notification form was completed and a copy was given to the victim. The victim requested to have the vehicle process if located. The estimated value of the stolen auto is $2,000.00 Dollars."/>
    <m/>
    <m/>
    <s v="T12SSE"/>
    <s v="DODGE"/>
    <s v="CAR"/>
    <s v="NJ"/>
    <m/>
    <m/>
    <m/>
    <m/>
    <s v="Swetits_M"/>
    <s v="Complete"/>
    <s v="P.O. Matthew Tedesco 316"/>
    <s v="B3"/>
    <s v="Sgt. Francesco Tripodi 134"/>
    <s v="No Investigation"/>
    <s v="240 = Theft of Motor Vehicle"/>
    <n v="9"/>
    <d v="2025-02-07T00:00:00"/>
    <d v="1899-12-30T06:35:00"/>
    <d v="2025-02-07T00:00:00"/>
    <d v="1899-12-30T06:50:00"/>
    <d v="2025-02-07T00:00:00"/>
    <d v="1899-12-30T07:22:38"/>
    <n v="2025"/>
    <n v="6"/>
    <n v="2"/>
    <n v="7"/>
    <n v="38"/>
    <d v="2025-02-07T06:35:00"/>
    <n v="170"/>
    <s v="I responded to the listed location on a motor vehicle theft. Upon arrival, I met with the complainant and the victim. The victim only spoke Spanish, so her husband (the complainant) translated. The complainant stated that his wife's vehicle was parking in the driveway of 170 Hudson Street, which was located between 170 Hudson Street and 166 Hudson Street. He stated that he left his vehicle running and went back into his house at 0635 hours. When he went to check on the vehicle at 0650 hours, he discovered it was missing. The vehicle was left unlocked with the keys in the ignition. I observed cameras in the rear of the house, but none located directly where the vehicle was parked.A victim notification form was completed and a copy was given to the victim. The victim requested to have the vehicle process if located. The estimated value of the stolen auto is $2,000.00 Dollars."/>
    <s v="Vehicle 1: NJ-T12SSE DODGE, CAR"/>
    <s v=""/>
    <s v="$2,000.00 Dollars."/>
    <s v="C02W06"/>
    <x v="5"/>
  </r>
  <r>
    <s v="25-013091"/>
    <x v="9"/>
    <x v="3"/>
    <d v="1899-12-30T08:00:00"/>
    <d v="1899-12-30T08:22:14"/>
    <x v="4"/>
    <s v="February"/>
    <s v="Second St, 100 Block"/>
    <s v="100 Second Street"/>
    <x v="2"/>
    <s v="Motor Vehicle Theft"/>
    <s v="Recovered Stolen Vehicle"/>
    <s v=""/>
    <s v="100 Second Street, Hackensack, NJ, 07601"/>
    <s v="G3"/>
    <n v="7"/>
    <s v="Suspect(s): Unknown     The victim, Kimberly Trujillo, responded to Police Headquarters on a report of a Motor Vehicle Theft.  Upon arrival, the victim stated that her 2022 grey 4-door Honda Accord bearing NJ reg: L17PUM had been stolen from her apartment complex's parking lot and had been located in Rochelle Park. The victim further stated the listed vehicle was parked in assigned space number #2 and was last known to be parked there at approximately 2300 hours. The victim advised me she was in possession of the master key and no other party had access to her vehicle. The victim further advised me the spare key to her vehicle was misplaced approximately two (2) years in the past. Both license plates were attached to the vehicle at the time the victim parked the vehicle.     The victim stated on 02/17/2025 at approximately 0800, she received a phone call from Rochelle Park Police Department Det. Galina #151 advising her the listed vehicle had been located behind a CrossFit gym in Rochelle Park. Det. Gallina #151 further advised the victim, that the listed vehicle was located with all four (4) wheels removed from the vehicle. The victim further stated upon receiving the phone call, they responded to their second vehicle which was also parked in their apartment complex's parking lot. At this time, the victim observed an E-Z Pass and Camera from the stolen vehicle left on the hood of her second vehicle.      The victim stated she would like to have the vehicle processed should it be recovered and signed a consent to search form. A victim notification form was completed and a copy was given to the victim. The vehicle's insurance information was unable to be provided due to the paperwork being inside the glove box of the stolen vehicle.The vehicle registration was given to dispatch and was entered into NCIC. A stolen vehicle entry was made into the Auto Theft Task Force website.The vehicle's estimated value is approximately $22,000 USD.  See Rochelle Park Case #2025-002492."/>
    <m/>
    <m/>
    <s v="L17PUM"/>
    <s v="HONDA"/>
    <s v="ACC"/>
    <s v="NJ"/>
    <m/>
    <m/>
    <m/>
    <m/>
    <s v="Deleon_A"/>
    <s v="Complete"/>
    <s v="P.O. Ruben Almonte 359"/>
    <s v="A3"/>
    <s v="Det. Demetrius Carroll 133"/>
    <s v="Active Investigation"/>
    <s v="240 = Theft of Motor Vehicle"/>
    <n v="9"/>
    <d v="2025-02-17T00:00:00"/>
    <d v="1899-12-30T08:22:14"/>
    <m/>
    <m/>
    <d v="2025-02-17T00:00:00"/>
    <d v="1899-12-30T08:22:14"/>
    <n v="2025"/>
    <n v="8"/>
    <n v="4"/>
    <n v="17"/>
    <n v="48"/>
    <d v="2025-02-17T08:22:00"/>
    <n v="100"/>
    <s v="Suspect(s): Unknown     The victim, Kimberly Trujillo, responded to Police Headquarters on a report of a Motor Vehicle Theft.  Upon arrival, the victim stated that her 2022 grey 4-door Honda Accord bearing NJ reg: L17PUM had been stolen from her apartment complex's parking lot and had been located in Rochelle Park. The victim further stated the listed vehicle was parked in assigned space number #2 and was last known to be parked there at approximately 2300 hours. The victim advised me she was in possession of the master key and no other party had access to her vehicle. The victim further advised me the spare key to her vehicle was misplaced approximately two (2) years in the past. Both license plates were attached to the vehicle at the time the victim parked the vehicle.     The victim stated on 02/17/2025 at approximately 0800, she received a phone call from Rochelle Park Police Department Det. Galina #151 advising her the listed vehicle had been located behind a CrossFit gym in Rochelle Park. Det. Gallina #151 further advised the victim, that the listed vehicle was located with all four (4) wheels removed from the vehicle. The victim further stated upon receiving the phone call, they responded to their second vehicle which was also parked in their apartment complex's parking lot. At this time, the victim observed an E-Z Pass and Camera from the stolen vehicle left on the hood of her second vehicle.      The victim stated she would like to have the vehicle processed should it be recovered and signed a consent to search form. A victim notification form was completed and a copy was given to the victim. The vehicle's insurance information was unable to be provided due to the paperwork being inside the glove box of the stolen vehicle.The vehicle registration was given to dispatch and was entered into NCIC. A stolen vehicle entry was made into the Auto Theft Task Force website.The vehicle's estimated value is approximately $22,000 USD.  See Rochelle Park Case #2025-002492."/>
    <s v="Vehicle 1: NJ-L17PUM HONDA, ACC"/>
    <s v="suspect(s): unknown     the victim, kimberly trujillo, responded to police headquarters on a report of a motor vehicle theft"/>
    <s v="$22,000 USD.  See Rochelle Park Case #2025-002492."/>
    <s v="C02W07"/>
    <x v="3"/>
  </r>
  <r>
    <s v="25-013106"/>
    <x v="9"/>
    <x v="3"/>
    <d v="1899-12-30T09:00:00"/>
    <d v="1899-12-30T09:31:55"/>
    <x v="4"/>
    <s v="February"/>
    <s v="Prospect Ave, 0 Block"/>
    <s v="30 Prospect Avenue"/>
    <x v="0"/>
    <s v="Motor Vehicle Theft"/>
    <s v=""/>
    <s v=""/>
    <s v="30 Prospect Avenue, Hackensack, NJ, 07601"/>
    <s v="G4"/>
    <n v="7"/>
    <s v="On February 17, 2025 I responded to 300 Atlantic Street (HUMC Parking Garage) on a report of a motor vehicle theft. Upon arrival, I met with the victim who is the registered owner of the vehicle and his wife. The victim advised me that his wife parked the vehicle (2020 Honda Accord blue) inside the monthly permit parking section near the entrance of the garage at approximately 2000 hours last night. This morning around 0900 hours they arrived to the garage and discovered that the vehicle was missing. They advised me that they only have one key and checked the area for the vehicle but were met with negative results. I advised Headquarters to check if the vehicle was towed from the premises which also yielded negative results. At this time I advised the registered owner the procedure with reporting a stolen vehicle. At this time he stated he wanted the vehicle processed and signed a consent to search form. A victim notification form was also completed and a copy was provided to the victim. Upon completion the vehicle was placed into NCIC and ATTF as stolen."/>
    <m/>
    <m/>
    <s v="Z53RVG"/>
    <s v="HONDA"/>
    <s v="ACC"/>
    <s v="NJ"/>
    <m/>
    <m/>
    <m/>
    <m/>
    <s v="Deleon_A"/>
    <s v="Complete"/>
    <s v="P.O. Anzour Marza 356"/>
    <s v="A3"/>
    <s v="Det. Demetrius Carroll 133"/>
    <s v="Active/Administratively Closed"/>
    <s v="240 = Theft of Motor Vehicle"/>
    <n v="9"/>
    <d v="2025-02-17T00:00:00"/>
    <d v="1899-12-30T09:31:55"/>
    <m/>
    <m/>
    <d v="2025-02-17T00:00:00"/>
    <d v="1899-12-30T09:31:55"/>
    <n v="2025"/>
    <n v="8"/>
    <n v="4"/>
    <n v="17"/>
    <n v="48"/>
    <d v="2025-02-17T09:31:00"/>
    <n v="30"/>
    <s v="On February 17, 2025 I responded to 300 Atlantic Street (HUMC Parking Garage) on a report of a motor vehicle theft. Upon arrival, I met with the victim who is the registered owner of the vehicle and his wife. The victim advised me that his wife parked the vehicle (2020 Honda Accord blue) inside the monthly permit parking section near the entrance of the garage at approximately 2000 hours last night. This morning around 0900 hours they arrived to the garage and discovered that the vehicle was missing. They advised me that they only have one key and checked the area for the vehicle but were met with negative results. I advised Headquarters to check if the vehicle was towed from the premises which also yielded negative results. At this time I advised the registered owner the procedure with reporting a stolen vehicle. At this time he stated he wanted the vehicle processed and signed a consent to search form. A victim notification form was also completed and a copy was provided to the victim. Upon completion the vehicle was placed into NCIC and ATTF as stolen."/>
    <s v="Vehicle 1: NJ-Z53RVG HONDA, ACC"/>
    <s v=""/>
    <s v=""/>
    <s v="C02W07"/>
    <x v="3"/>
  </r>
  <r>
    <s v="25-015290"/>
    <x v="10"/>
    <x v="3"/>
    <d v="1899-12-30T10:00:00"/>
    <d v="1899-12-30T10:00:00"/>
    <x v="2"/>
    <s v="February"/>
    <s v="Washington Ave, 400 Block"/>
    <s v="430 Washington Avenue"/>
    <x v="0"/>
    <s v="Motor Vehicle Theft"/>
    <s v=""/>
    <s v=""/>
    <s v="430 Washington Avenue, Hackensack, NJ, 07601"/>
    <s v="E3"/>
    <n v="5"/>
    <s v="On February 24, 2025, at approximately 11:50 hours I responded to 430 Washington Avenue for a report of a motor vehicle theft. Upon arrival, I spoke with the registered owners of the vehicle, Carlos Sevilla, and Milagros Parra-Loor. Both parties reported that they last parked their vehicle, a Silver Honda Pilot bearing MD-8FL4661 in front of 430 Washington Avenue facing North at approximately 10:00 hours on February 24, 2025. They reported that they locked the doors to the vehicle. They reported that they left their residence at approximately 23:00 hours and noticed that their vehicle was gone. I asked the parties if any one else has access to their vehicle to which they stated no. Ms. Parra-Loor reported that she has been backed up on payments for approximately three (3) months and last made a payment with the bank this morning.       Sgt. Donnerstag responded to assist.       The victims reported they did not want the vehicle processed if found. A Victim Notification Form was completed.       The vehicle was entered into NCIC as stolen. The ATTF form was completed online."/>
    <m/>
    <m/>
    <s v="8FL4661"/>
    <s v="HONDA"/>
    <s v="PILOT"/>
    <s v="MD"/>
    <m/>
    <m/>
    <m/>
    <m/>
    <s v="Klosk_J"/>
    <s v="Complete"/>
    <s v="P.O. Denisse Caero 367"/>
    <s v="B2"/>
    <m/>
    <m/>
    <m/>
    <n v="9"/>
    <d v="2025-02-25T00:00:00"/>
    <d v="1899-12-30T10:00:00"/>
    <d v="2025-02-25T00:00:00"/>
    <d v="1899-12-30T23:00:00"/>
    <d v="2025-02-24T00:00:00"/>
    <d v="1899-12-30T23:47:34"/>
    <n v="2025"/>
    <n v="9"/>
    <n v="5"/>
    <n v="25"/>
    <n v="56"/>
    <d v="2025-02-25T10:00:00"/>
    <n v="430"/>
    <s v="On February 24, 2025, at approximately 11:50 hours I responded to 430 Washington Avenue for a report of a motor vehicle theft. Upon arrival, I spoke with the registered owners of the vehicle, Carlos Sevilla, and Milagros Parra-Loor. Both parties reported that they last parked their vehicle, a Silver Honda Pilot bearing MD-8FL4661 in front of 430 Washington Avenue facing North at approximately 10:00 hours on February 24, 2025. They reported that they locked the doors to the vehicle. They reported that they left their residence at approximately 23:00 hours and noticed that their vehicle was gone. I asked the parties if any one else has access to their vehicle to which they stated no. Ms. Parra-Loor reported that she has been backed up on payments for approximately three (3) months and last made a payment with the bank this morning.       Sgt. Donnerstag responded to assist.       The victims reported they did not want the vehicle processed if found. A Victim Notification Form was completed.       The vehicle was entered into NCIC as stolen. The ATTF form was completed online."/>
    <s v="Vehicle 1: MD-8FL4661 HONDA, PILOT"/>
    <s v=""/>
    <s v=""/>
    <s v="C03W09"/>
    <x v="3"/>
  </r>
  <r>
    <s v="25-022902"/>
    <x v="11"/>
    <x v="5"/>
    <d v="1899-12-30T07:00:00"/>
    <d v="1899-12-30T07:48:00"/>
    <x v="0"/>
    <s v="March"/>
    <s v="Kenneth St, 100 Block"/>
    <s v="171 Kenneth Street"/>
    <x v="0"/>
    <s v="Motor Vehicle Theft"/>
    <s v=""/>
    <s v=""/>
    <s v="171 Kenneth Street, Hackensack, NJ, 07601"/>
    <s v="F1"/>
    <n v="6"/>
    <s v="On March 21, 2025 at approximately 14:19 hours, I responded to 171 Kenneth St (Rocky Auto Repair Shop) for a motor vehicle theft report. Upon arrival, I met with the shop owner, Wilfredo Polanco, who called on behalf of the vehicle's owner.      Mr. Polanco reported that the vehicle was dropped off on 03/20/2025 for service by John Velez, a church volunteer. Mr. Polanco further reported that on 03/20/205 at approximately 17:00 hours, he parked the church van outside in the shop driveway and placed the keys in the visor. Mr. Polanco reported that this is common practice between him and the church since a member of the church normally picks up the van after hours.      A church administrator, Ms. Wass reached out to Mr. Martin and advised him that she observed the vehicle in East Rutherford, NJ and wanted to know why it was there. This alerted Mr. Martin to the fact that the vehicle was possibly moved without his or the church's authorization.      Mr. Martin then reached out to Mr. Polanco on 03/21/2025 at approximately 13:00 hours, and questioned why the church's van was in East Rutherford. Mr. Polanco reported he did not know as he believed the van was picked up as usual. Mr. Polanco proceeded to check security cameras for the auto shop where he learned the van was stolen on 03/21/2025 at approximately 07:50 hours.      I watched the security footage where I observed a white female, wearing blue sweatpants, a black sweater with the hood up, with blonde hair walk up to the van. After a few moments, the suspect enters the van. The suspect proceeds to sit in the van for a couple of minutes before starting the vehicle South on Kenneth St. Mr. Polanco was advised to save all footage.      Mr. Martin requested the vehicle to be processed if found. A consent to search form was filled out and signed.      The vehicle was entered into the ATTF system.     Communication was provided the vehicle information to be entered into NCIC.     Sgt. Tripodi was notified by Sgt. Compitiello.     Value of the vehicle is estimated to be $4,000.00."/>
    <m/>
    <m/>
    <s v="JWG42F"/>
    <s v="CHEVROLET"/>
    <m/>
    <s v="NJ"/>
    <m/>
    <m/>
    <m/>
    <m/>
    <s v="Farhi_B"/>
    <s v="Complete"/>
    <s v="P.O. Andres Lopez 375"/>
    <s v="A2"/>
    <s v="Sgt. Francesco Tripodi 134"/>
    <s v="Under Supervisor Review"/>
    <m/>
    <n v="9"/>
    <d v="2025-03-21T00:00:00"/>
    <d v="1899-12-30T07:48:00"/>
    <m/>
    <m/>
    <d v="2025-03-21T00:00:00"/>
    <d v="1899-12-30T14:19:53"/>
    <n v="2025"/>
    <n v="12"/>
    <n v="4"/>
    <n v="21"/>
    <n v="80"/>
    <d v="2025-03-21T07:48:00"/>
    <n v="171"/>
    <s v="On March 21, 2025 at approximately 14:19 hours, I responded to 171 Kenneth St (Rocky Auto Repair Shop) for a motor vehicle theft report. Upon arrival, I met with the shop owner, Wilfredo Polanco, who called on behalf of the vehicle's owner.      Mr. Polanco reported that the vehicle was dropped off on 03/20/2025 for service by John Velez, a church volunteer. Mr. Polanco further reported that on 03/20/205 at approximately 17:00 hours, he parked the church van outside in the shop driveway and placed the keys in the visor. Mr. Polanco reported that this is common practice between him and the church since a member of the church normally picks up the van after hours.      A church administrator, Ms. Wass reached out to Mr. Martin and advised him that she observed the vehicle in East Rutherford, NJ and wanted to know why it was there. This alerted Mr. Martin to the fact that the vehicle was possibly moved without his or the church's authorization.      Mr. Martin then reached out to Mr. Polanco on 03/21/2025 at approximately 13:00 hours, and questioned why the church's van was in East Rutherford. Mr. Polanco reported he did not know as he believed the van was picked up as usual. Mr. Polanco proceeded to check security cameras for the auto shop where he learned the van was stolen on 03/21/2025 at approximately 07:50 hours.      I watched the security footage where I observed a white female, wearing blue sweatpants, a black sweater with the hood up, with blonde hair walk up to the van. After a few moments, the suspect enters the van. The suspect proceeds to sit in the van for a couple of minutes before starting the vehicle South on Kenneth St. Mr. Polanco was advised to save all footage.      Mr. Martin requested the vehicle to be processed if found. A consent to search form was filled out and signed.      The vehicle was entered into the ATTF system.     Communication was provided the vehicle information to be entered into NCIC.     Sgt. Tripodi was notified by Sgt. Compitiello.     Value of the vehicle is estimated to be $4,000.00."/>
    <s v="Vehicle 1: NJ-JWG42F"/>
    <s v="suspect enters the van suspect proceeds to sit in the van for a couple of minutes before starting the vehicle south on kenneth st"/>
    <s v="$4,000.00."/>
    <s v="C03W12"/>
    <x v="5"/>
  </r>
  <r>
    <s v="25-025341"/>
    <x v="12"/>
    <x v="0"/>
    <d v="1899-12-30T20:00:00"/>
    <d v="1899-12-30T20:30:00"/>
    <x v="0"/>
    <s v="March"/>
    <s v="Berry St, 200 Block"/>
    <s v="296 Berry Street"/>
    <x v="0"/>
    <s v="Motor Vehicle Theft"/>
    <s v=""/>
    <s v=""/>
    <s v="296 Berry Street, Hackensack, NJ, 07601"/>
    <s v="H4"/>
    <n v="8"/>
    <s v="I responded to the listed location on a possible theft.  Upon arrival, I met with the victim, Mr. Dallas Gray.  Mr. Gray reported that his vehicle, NJ #T41VHN, was stolen.  He parked his vehicle in his detached driveway (on Haynes Street) yesterday, 3/28/25, at approximately 2030 hrs.  Today, 3/29/25, at approximately 1000 hrs, he noticed his vehicle was no longer in the driveway.  Mr. Gray has both vehicle keys in his possession.  Mr. Gray reported the only valuable item in the vehicle was his EZPass.  Mr. Gray does not want the vehicle processed.We observed the vehicle door key lock on the dirt patch adjacent to the driveway. Victim was provided with a NJ Victim Notification form.Estimated cost of the vehicle is $50,000Insurance provider: Geico 100, policy #4587415441"/>
    <m/>
    <m/>
    <s v="T41VHN"/>
    <s v="ACURA"/>
    <s v="TLX"/>
    <s v="NJ"/>
    <m/>
    <m/>
    <m/>
    <m/>
    <s v="Competiello_Fa"/>
    <s v="Complete"/>
    <s v="P.O. Wanda Rivera 161"/>
    <s v="A1"/>
    <m/>
    <m/>
    <m/>
    <n v="9"/>
    <d v="2025-03-28T00:00:00"/>
    <d v="1899-12-30T20:30:00"/>
    <d v="2025-03-29T00:00:00"/>
    <d v="1899-12-30T10:00:00"/>
    <d v="2025-03-29T00:00:00"/>
    <d v="1899-12-30T10:19:00"/>
    <n v="2025"/>
    <n v="13"/>
    <n v="5"/>
    <n v="28"/>
    <n v="87"/>
    <d v="2025-03-28T20:30:00"/>
    <n v="296"/>
    <s v="I responded to the listed location on a possible theft.  Upon arrival, I met with the victim, Mr. Dallas Gray.  Mr. Gray reported that his vehicle, NJ #T41VHN, was stolen.  He parked his vehicle in his detached driveway (on Haynes Street) yesterday, 3/28/25, at approximately 2030 hrs.  Today, 3/29/25, at approximately 1000 hrs, he noticed his vehicle was no longer in the driveway.  Mr. Gray has both vehicle keys in his possession.  Mr. Gray reported the only valuable item in the vehicle was his EZPass.  Mr. Gray does not want the vehicle processed.We observed the vehicle door key lock on the dirt patch adjacent to the driveway. Victim was provided with a NJ Victim Notification form.Estimated cost of the vehicle is $50,000Insurance provider: Geico 100, policy #4587415441"/>
    <s v="Vehicle 1: NJ-T41VHN ACURA, TLX"/>
    <s v=""/>
    <s v="$50,000Insurance provider: Geico 100, policy #4587415441"/>
    <s v="C04W13"/>
    <x v="0"/>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
  <r>
    <s v="25-002564"/>
    <x v="0"/>
    <s v="12:00-15:59 Afternoon"/>
    <x v="0"/>
    <d v="1899-12-30T14:00:00"/>
    <x v="0"/>
    <s v="January"/>
    <s v="First St, 100 Block"/>
    <s v="135 First Street"/>
    <x v="0"/>
    <s v="Criminal Sexual Contact"/>
    <s v="Juvenile Investigation"/>
    <s v=""/>
    <s v="135 First Street, Hackensack, NJ, 07601"/>
    <s v="G3"/>
    <n v="7"/>
    <s v="On Friday January 10, 2025, I was assigned as the Hackensack High School SRO. I was advised that a student wanted to report a crime and was currently in the main office. Upon arriving to the main office I met the victim, A.R.       As I began to speak with the victim she immediately began to cry. She stated that she was inappropriately touched by the suspect who is also student. The suspect was identified as Manuel Martinez Perez. The victim stated that on Tuesday January 7, 2025  she was in her 9th period class ESL 2 in room 276. She shares this class with the suspect and his cousin Esmeralda Perez Martinez who is a potential witness.       The victim stated during class the suspect gave her a hug. As he was hugging her he dropped his hand down and grabbed her breast over her clothing. She immediately became angry and told him not to touch her. She then advised Esmeralda Perez Martinez that she was touched inappropriately by the suspect. The victim stated that she reported this incident to her her teacher Mrs. Magdalene Symmonds, but she did not understand her due to a language barrier.  The victim reported that this was not the first time she was inappropriately touched by the suspect. She reported that the prior week a similar incident occurred. I notified assistant Principal Celso King of this report.      I spoke to Esmeralda Perez Martinez who may have witness the incident. Perez Martinez stated that she sits in a group with the victim and the suspect. The day of the incident she did not observe the suspect touch the victim because she was busy doing her class work. The witness did confirm that the victim mentioned to her that she was inappropriately touched by the suspect.       The victim's mother, Raquel Lelio, was notified of the incident and responded to the school. She advised me that she was not sure if she wanted to sign criminal complaints against the suspect. She wants to speak with her daughter and husband before making a decision.       Det. E. Reyes was advised of the incident and will follow up with the complainant at a later time."/>
    <m/>
    <m/>
    <m/>
    <m/>
    <m/>
    <m/>
    <m/>
    <m/>
    <m/>
    <m/>
    <s v="Dominguez_L"/>
    <s v="Complete"/>
    <s v="Det. Cristobal Lara-Nunez 341"/>
    <s v="STA"/>
    <s v="Det. Evelyn Reyes 336"/>
    <s v="Active/Administratively Closed"/>
    <s v="11D = Fondling"/>
    <n v="9"/>
    <d v="2025-01-07T00:00:00"/>
    <d v="1899-12-30T14:00:00"/>
    <m/>
    <m/>
    <d v="2025-01-10T00:00:00"/>
    <d v="1899-12-30T14:20:51"/>
    <n v="2025"/>
    <n v="2"/>
    <n v="2"/>
    <n v="7"/>
    <n v="7"/>
    <d v="2025-01-07T14:00:00"/>
    <n v="135"/>
    <s v="On Friday January 10, 2025, I was assigned as the Hackensack High School SRO. I was advised that a student wanted to report a crime and was currently in the main office. Upon arriving to the main office I met the victim, A.R.       As I began to speak with the victim she immediately began to cry. She stated that she was inappropriately touched by the suspect who is also student. The suspect was identified as Manuel Martinez Perez. The victim stated that on Tuesday January 7, 2025  she was in her 9th period class ESL 2 in room 276. She shares this class with the suspect and his cousin Esmeralda Perez Martinez who is a potential witness.       The victim stated during class the suspect gave her a hug. As he was hugging her he dropped his hand down and grabbed her breast over her clothing. She immediately became angry and told him not to touch her. She then advised Esmeralda Perez Martinez that she was touched inappropriately by the suspect. The victim stated that she reported this incident to her her teacher Mrs. Magdalene Symmonds, but she did not understand her due to a language barrier.  The victim reported that this was not the first time she was inappropriately touched by the suspect. She reported that the prior week a similar incident occurred. I notified assistant Principal Celso King of this report.      I spoke to Esmeralda Perez Martinez who may have witness the incident. Perez Martinez stated that she sits in a group with the victim and the suspect. The day of the incident she did not observe the suspect touch the victim because she was busy doing her class work. The witness did confirm that the victim mentioned to her that she was inappropriately touched by the suspect.       The victim's mother, Raquel Lelio, was notified of the incident and responded to the school. She advised me that she was not sure if she wanted to sign criminal complaints against the suspect. She wants to speak with her daughter and husband before making a decision.       Det. E. Reyes was advised of the incident and will follow up with the complainant at a later time."/>
    <m/>
    <s v="suspect who is also student suspect was identified as manuel martinez perez suspect and his cousin esmeralda perez martinez who is a potential witness suspect gave her a hug suspect suspect suspect suspect touch the victim because she was busy doing her class work suspect suspect"/>
    <s v=""/>
    <s v="C01W02"/>
    <x v="0"/>
  </r>
  <r>
    <s v="25-006324"/>
    <x v="1"/>
    <s v="12:00-15:59 Afternoon"/>
    <x v="1"/>
    <d v="1899-12-30T15:00:00"/>
    <x v="1"/>
    <s v="January"/>
    <s v=" Berdan Pl, 100 Block"/>
    <s v="176  Berdan Place"/>
    <x v="1"/>
    <s v="Sexual Assault"/>
    <s v="Juvenile Investigation"/>
    <s v=""/>
    <s v="176  Berdan Place, Hackensack, NJ, 07601"/>
    <s v="H3"/>
    <n v="8"/>
    <s v="On Thursday, 01/23/2025 I was notified by D/Sgt. Dominguez of a possible sexual assault involving a juvenile. I was advised that 10 y/o S.S. disclosed to a school teacher that her mothers boyfriend has been touching her while her mother was sleeping. This reportedly has occurred on multiple occasions. No further information was available at this time. S.S. is a student at Nelly K. Parker school, who already notified DCP&amp;P as per protocol.    I contacted DCP&amp;P social worker Jennifer Diaz who was assigned to the initial investigation. Ms. Diaz advised me that she was currently enroute to Nelly K. Parker to meet with S.S., and school staff. She advised me that she already contacted BCPO/SVU. I advised her that I will meet her at the school. Upon arrival I met with Ms. Diaz, who advised me that S.S. was set to be picked up from school by another unknown adult possibly the suspect. Due to the circumstances it was determined that S.S. will be transported to BCPO (100 Eisenhower Drive, Paramus NJ) to undergo a forensic interview with SVU. Contact was made to S.S. mother, Ibys Sandoval, who was advised that a police investigation is underway and her presence is required. Ms. Sandoval expressed that she has transportation issues, therefore this agency arranged transport for her.  Det. Reyes responded to pick up Ms. Sandoval at her residence (176 Berdan Place, Hackensack NJ). Ms. Sandoval was transported to Nelly K. Parker to meet up with her daughter, and ultimately transported to BCPO for the interview.   Contact information was limited at the time of this report (See Det. Reyes Supplemental report for further details)"/>
    <m/>
    <m/>
    <m/>
    <m/>
    <m/>
    <m/>
    <m/>
    <m/>
    <m/>
    <m/>
    <s v="Bay_F"/>
    <s v="Complete"/>
    <s v="Det. Frankie Garrett 323"/>
    <s v="DET"/>
    <s v="Det. Evelyn Reyes 336"/>
    <s v="TOT DCP&amp;P"/>
    <m/>
    <n v="9"/>
    <d v="2025-01-23T00:00:00"/>
    <d v="1899-12-30T15:00:00"/>
    <m/>
    <m/>
    <d v="2025-01-23T00:00:00"/>
    <d v="1899-12-30T15:58:15"/>
    <n v="2025"/>
    <n v="4"/>
    <n v="4"/>
    <n v="23"/>
    <n v="23"/>
    <d v="2025-01-23T15:00:00"/>
    <n v="176"/>
    <s v="On Thursday, 01/23/2025 I was notified by D/Sgt. Dominguez of a possible sexual assault involving a juvenile. I was advised that 10 y/o S.S. disclosed to a school teacher that her mothers boyfriend has been touching her while her mother was sleeping. This reportedly has occurred on multiple occasions. No further information was available at this time. S.S. is a student at Nelly K. Parker school, who already notified DCP&amp;P as per protocol.    I contacted DCP&amp;P social worker Jennifer Diaz who was assigned to the initial investigation. Ms. Diaz advised me that she was currently enroute to Nelly K. Parker to meet with S.S., and school staff. She advised me that she already contacted BCPO/SVU. I advised her that I will meet her at the school. Upon arrival I met with Ms. Diaz, who advised me that S.S. was set to be picked up from school by another unknown adult possibly the suspect. Due to the circumstances it was determined that S.S. will be transported to BCPO (100 Eisenhower Drive, Paramus NJ) to undergo a forensic interview with SVU. Contact was made to S.S. mother, Ibys Sandoval, who was advised that a police investigation is underway and her presence is required. Ms. Sandoval expressed that she has transportation issues, therefore this agency arranged transport for her.  Det. Reyes responded to pick up Ms. Sandoval at her residence (176 Berdan Place, Hackensack NJ). Ms. Sandoval was transported to Nelly K. Parker to meet up with her daughter, and ultimately transported to BCPO for the interview.   Contact information was limited at the time of this report (See Det. Reyes Supplemental report for further details)"/>
    <m/>
    <s v="suspect"/>
    <s v=""/>
    <s v="C01W04"/>
    <x v="0"/>
  </r>
  <r>
    <s v="25-013527"/>
    <x v="2"/>
    <s v="20:00-23:59 Night"/>
    <x v="2"/>
    <d v="1899-12-30T20:00:00"/>
    <x v="2"/>
    <s v="February"/>
    <s v=" Prospect Ave, 200 Block"/>
    <s v="240  Prospect Avenue"/>
    <x v="2"/>
    <s v="Exceptionally Cleared/Closed"/>
    <s v="Sexual Assault"/>
    <s v=""/>
    <s v="240  Prospect Avenue, Hackensack, NJ, 07601"/>
    <s v="H4"/>
    <n v="8"/>
    <s v="On February 18, 2025, I was advised by Sgt. Tripodi that a female, later identified as Yamini Verma, a victim of sexual assault was going to be seen at Mt. Sinai hospital in New York City.  At approximately 17:00 hours, I received a call from NYPD SVU Detective Woo that Ms. Verma was confirmed a patient at Mt. Sinai Emergency Room and was undergoing the SART Examination.    Det. Tanucilli and I responded to Mt. Sinai emergency room to meet with the victim.  Upon our arrival the RN Rachel stated that the victim was still undergoing the SART examination.  Once the examination was completed Det. Tanucilli and I entered the room and spoke with the victim (BWC was activated).    The victim told us that she was sexually assaulted by the suspect Akashpreet Riar on February 17, 2025.  The victim stated that the suspect is a teacher's assistant at the New York College of Podiatric Medicine, where she attends.  She stated that she was in communication with the suspect because she was looking for a tutor and he offered to help her.  The suspect picked up the victim in a blue Honda (unknown registration) from her residence in New York City at approximately 1930 hours.  The victim and suspect arrived at the suspect's apartment (240 Prospect Avenue, unknown apartment).  The victim and suspect were studying for approximately 1 hours, before both parties started to have a few drinks of alcohol.  The victim stated that the suspect started to approach her and speak in a sexual manner.  The victim stated that she refused his advancements and told him that she is not interested.  The victim stated that the suspect started to grope her breasts, buttocks and thighs while trying to kiss her neck.  The victim felt scared and again tried to push off the suspect.  The victim stated that she went to the bathroom and when she finished and unlocked the door, the suspect forced his way into the bathroom.  She stated that the suspect forced her to pull down her pants and shoved his hand down the front of her pants.  She stated that her head was pushed into the sink and the suspect began to digitally penetrate the victim's vagina.  The victim stated that she told the suspect to stop but felt like she had no control over the situation.  The victim stated that she was then picked up and placed into the bathtub where the suspect inserted his penis into her vagina against her will.  The victim said she was raped for approximately 2 minutes and the suspect ejaculated next to the victim.    The victim stated she was in a daze of confusion and fear.  She stated that the suspect called an UBER for her and she took the ride share back to NYC.  The victim stated that she was in disbelief and called her Dean of the college, Dr. Chusid in the morning (2/18/2025).  The victim stated that she told her dean that she was sexually assaulted, and he then recommended she seek medical attention the the nearest hospital.  At the emergency room,  evidence was collected which included the victim's bra (item #1), shirt (item #2), jeans (item #3) and the SART collection kit (item #4).  The victim stated that she wished to continue with a police investigation.  At that point  I contacted the Bergen County Prosecutor's office and spoke to Det. Chris Miranda.   He instructed me to see if the victim is available to respond to BCPO Headquarters in Paramus for an interview on Wednesday, February  19, 2025 at 1700 hours.  The victim agreed.  The evidence was turned over to Det. Tanucilli . Back at police headquarters, an evidence report was generated and the evidence was secured in temp. evidence locker #3 and the temp. evidence refrigerator.    On February 19, 2025, I responded to the Bergen County Prosecutor's Office to meet with the Special Victim's Unit detectives and the victim.  The victim spoke with Detectives Miranda and Dawson.  After meeting with the BCPO SVU detectives the victim stated that she wanted to apply for a SASPA Protection Order.  She was advised to respond to Hackensack Police Headquarters during business hours to obtain a copy of the police report and then go the Bergen County Superior Court and apply in person for the protection order.  The victim stated that she needs some time before she is ready to proceed with the police investigation.    At this point the case will be placed as Ex-Cleared/Closed pending the victim wanting to proceed with the police investigation with the assistance of BCPO.    (See BCPO Case #BCP-25-00237)"/>
    <m/>
    <m/>
    <m/>
    <m/>
    <m/>
    <m/>
    <m/>
    <m/>
    <m/>
    <m/>
    <s v="Bay_F"/>
    <s v="Complete"/>
    <s v="Det. Matthew Dogali 338"/>
    <s v="DET"/>
    <s v="Det. Matthew Dogali 338"/>
    <s v="Ex-Cleared / Closed"/>
    <m/>
    <n v="9"/>
    <d v="2025-02-17T00:00:00"/>
    <d v="1899-12-30T20:00:00"/>
    <d v="2025-02-17T00:00:00"/>
    <d v="1899-12-30T23:45:00"/>
    <d v="2025-02-18T00:00:00"/>
    <d v="1899-12-30T17:39:20"/>
    <n v="2025"/>
    <n v="8"/>
    <n v="4"/>
    <n v="17"/>
    <n v="48"/>
    <d v="2025-02-17T20:00:00"/>
    <n v="240"/>
    <s v="On February 18, 2025, I was advised by Sgt. Tripodi that a female, later identified as Yamini Verma, a victim of sexual assault was going to be seen at Mt. Sinai hospital in New York City.  At approximately 17:00 hours, I received a call from NYPD SVU Detective Woo that Ms. Verma was confirmed a patient at Mt. Sinai Emergency Room and was undergoing the SART Examination.    Det. Tanucilli and I responded to Mt. Sinai emergency room to meet with the victim.  Upon our arrival the RN Rachel stated that the victim was still undergoing the SART examination.  Once the examination was completed Det. Tanucilli and I entered the room and spoke with the victim (BWC was activated).    The victim told us that she was sexually assaulted by the suspect Akashpreet Riar on February 17, 2025.  The victim stated that the suspect is a teacher's assistant at the New York College of Podiatric Medicine, where she attends.  She stated that she was in communication with the suspect because she was looking for a tutor and he offered to help her.  The suspect picked up the victim in a blue Honda (unknown registration) from her residence in New York City at approximately 1930 hours.  The victim and suspect arrived at the suspect's apartment (240 Prospect Avenue, unknown apartment).  The victim and suspect were studying for approximately 1 hours, before both parties started to have a few drinks of alcohol.  The victim stated that the suspect started to approach her and speak in a sexual manner.  The victim stated that she refused his advancements and told him that she is not interested.  The victim stated that the suspect started to grope her breasts, buttocks and thighs while trying to kiss her neck.  The victim felt scared and again tried to push off the suspect.  The victim stated that she went to the bathroom and when she finished and unlocked the door, the suspect forced his way into the bathroom.  She stated that the suspect forced her to pull down her pants and shoved his hand down the front of her pants.  She stated that her head was pushed into the sink and the suspect began to digitally penetrate the victim's vagina.  The victim stated that she told the suspect to stop but felt like she had no control over the situation.  The victim stated that she was then picked up and placed into the bathtub where the suspect inserted his penis into her vagina against her will.  The victim said she was raped for approximately 2 minutes and the suspect ejaculated next to the victim.    The victim stated she was in a daze of confusion and fear.  She stated that the suspect called an UBER for her and she took the ride share back to NYC.  The victim stated that she was in disbelief and called her Dean of the college, Dr. Chusid in the morning (2/18/2025).  The victim stated that she told her dean that she was sexually assaulted, and he then recommended she seek medical attention the the nearest hospital.  At the emergency room,  evidence was collected which included the victim's bra (item #1), shirt (item #2), jeans (item #3) and the SART collection kit (item #4).  The victim stated that she wished to continue with a police investigation.  At that point  I contacted the Bergen County Prosecutor's office and spoke to Det. Chris Miranda.   He instructed me to see if the victim is available to respond to BCPO Headquarters in Paramus for an interview on Wednesday, February  19, 2025 at 1700 hours.  The victim agreed.  The evidence was turned over to Det. Tanucilli . Back at police headquarters, an evidence report was generated and the evidence was secured in temp. evidence locker #3 and the temp. evidence refrigerator.    On February 19, 2025, I responded to the Bergen County Prosecutor's Office to meet with the Special Victim's Unit detectives and the victim.  The victim spoke with Detectives Miranda and Dawson.  After meeting with the BCPO SVU detectives the victim stated that she wanted to apply for a SASPA Protection Order.  She was advised to respond to Hackensack Police Headquarters during business hours to obtain a copy of the police report and then go the Bergen County Superior Court and apply in person for the protection order.  The victim stated that she needs some time before she is ready to proceed with the police investigation.    At this point the case will be placed as Ex-Cleared/Closed pending the victim wanting to proceed with the police investigation with the assistance of BCPO.    (See BCPO Case #BCP-25-00237)"/>
    <m/>
    <s v="suspect akashpreet riar on february 17, 2025 suspect is a teacher's assistant at the new york college of podiatric medicine, where she attends suspect because she was looking for a tutor and he offered to help her suspect picked up the victim in a blue honda (unknown registration) from her residence in new york city at approximately 1930 hours suspect arrived at the  suspect's apartment (240 prospect avenue, unknown apartment) suspect were studying for approximately 1 hours, before both parties started to have a few drinks of alcohol suspect started to approach her and speak in a sexual manner suspect started to grope her breasts, buttocks and thighs while trying to kiss her neck suspect suspect forced his way into the bathroom suspect forced her to pull down her pants and shoved his hand down the front of her pants suspect began to digitally penetrate the victim's vagina suspect to stop but felt like she had no control over the situation suspect inserted his penis into her vagina against her will suspect ejaculated next to the victim suspect called an uber for her and she took the ride share back to nyc"/>
    <s v=""/>
    <s v="C02W07"/>
    <x v="1"/>
  </r>
  <r>
    <s v="25-014007"/>
    <x v="3"/>
    <s v="12:00-15:59 Afternoon"/>
    <x v="3"/>
    <d v="1899-12-30T12:52:04"/>
    <x v="0"/>
    <s v="February"/>
    <s v="Union St, 300 Block"/>
    <s v="360 Union Street"/>
    <x v="3"/>
    <s v="Sexual Assault"/>
    <s v=""/>
    <s v=""/>
    <s v="360 Union Street, Hackensack, NJ, 07601"/>
    <s v="H2"/>
    <n v="8"/>
    <s v="On February 20, 2025 I responded to 360 Union Street, Hackensack Middle school on a report of sexual assault involving a minor. Det. James was also present at the time as we spoke to the 7th grade Councilor, Mrs. Odumosu, in regard to the incident. Mr. Sass and Mr. Ruiz were also present at this time.           Mrs. Odumasu stated that she spoke to the victim A.D.(12) and was informed the following. A.D.(12) had stated that she was being sexually assaulted by her older brother A.D. (18) approximately 2-3 times a year since she was in first grade at the approximate age of 5 years old. When asked what type of sexual assault took place, she stated penetration occurred. In one instance she stated that a cousin was present and witness the assault, but did not specify the cousin by name. A.D.(12) stated that the last assault occurred some time in June or September of 2024. When asked if she had ever told anyone she stated she told her mother after every incident to which her mother responded by saying that her and her brother would have to learn to coexist and work past it because she did not want to call the police and have to pick between both her children.Det. Reyes was advised all investigation turned over to Dete"/>
    <m/>
    <m/>
    <m/>
    <m/>
    <m/>
    <m/>
    <m/>
    <m/>
    <m/>
    <m/>
    <s v="Deleon_A"/>
    <s v="Complete"/>
    <s v="P.O. Angie Tabares 363"/>
    <s v="A3"/>
    <s v="Det. Frankie Garrett 323"/>
    <s v="Cleared - Arrest"/>
    <s v="36A = Incest"/>
    <n v="9"/>
    <d v="2017-06-20T00:00:00"/>
    <d v="1899-12-30T12:52:04"/>
    <d v="2024-09-20T00:00:00"/>
    <m/>
    <d v="2025-02-20T00:00:00"/>
    <d v="1899-12-30T12:52:04"/>
    <n v="2017"/>
    <n v="25"/>
    <n v="4"/>
    <n v="20"/>
    <n v="171"/>
    <d v="2017-06-20T12:52:00"/>
    <n v="360"/>
    <s v="On February 20, 2025 I responded to 360 Union Street, Hackensack Middle school on a report of sexual assault involving a minor. Det. James was also present at the time as we spoke to the 7th grade Councilor, Mrs. Odumosu, in regard to the incident. Mr. Sass and Mr. Ruiz were also present at this time.           Mrs. Odumasu stated that she spoke to the victim A.D.(12) and was informed the following. A.D.(12) had stated that she was being sexually assaulted by her older brother A.D. (18) approximately 2-3 times a year since she was in first grade at the approximate age of 5 years old. When asked what type of sexual assault took place, she stated penetration occurred. In one instance she stated that a cousin was present and witness the assault, but did not specify the cousin by name. A.D.(12) stated that the last assault occurred some time in June or September of 2024. When asked if she had ever told anyone she stated she told her mother after every incident to which her mother responded by saying that her and her brother would have to learn to coexist and work past it because she did not want to call the police and have to pick between both her children.Det. Reyes was advised all investigation turned over to Dete"/>
    <m/>
    <s v=""/>
    <s v=""/>
    <s v="C02W08"/>
    <x v="0"/>
  </r>
  <r>
    <s v="25-026716"/>
    <x v="4"/>
    <s v="20:00-23:59 Night"/>
    <x v="4"/>
    <d v="1899-12-30T21:35:00"/>
    <x v="3"/>
    <s v="April"/>
    <s v="Union St, 200 Block"/>
    <s v="260 Union Street"/>
    <x v="4"/>
    <s v="Mental Health Incident"/>
    <s v="Sexual Assault"/>
    <s v="Juvenile Investigation"/>
    <s v="260 Union Street, Hackensack, NJ, 07601"/>
    <s v="H2"/>
    <n v="8"/>
    <s v="On April 2, 2025, at approximately 2140 hours P.O. Bonsu and I responded to 260 Union Avenue on a reported mental health incident. We spoke with Janice Reid, who is a supervisor at the Holly Center, and she reported that A.M.C. was arguing with O.L.. They began to fight and the Holly Center staff were able to separate both of them. After the fight, A.M.C began becoming verbally aggressive with the staff and wrote a note that stated, &quot;You dumb bitch's I ain't telling yall that yall but I going my gang to shoot this place up.&quot; Janice Reid further reported that that A.M.C. kept threatening to get a gang to shoot up the Holly Center.       While on scene, A.M.C. made statements that she wanted &quot;to go down for attempted murder&quot; and that she wanted to get CPC High Point shot up. CPC High Point is a school A.M.C. previously attended. Then A.M.C. began to state that she was sexually assaulted by Holly Center staff and specifically named Tyrone Bagley and Randall White who were on scene. Sgt. Donnerstag and Sgt. Ghirardi responded to the scene to assist. P.O. Bonsu asked A.M.C. more about her allegations. A.M.C. reported the incident occurred approximately a month ago on a weekend but did not recall if it was in the morning, afternoon, or evening. A.M.C. further reported it happened in her room at the Holly Center but she did not want to discuss any further. Hackensack University Medical Center BLS responded and transported A.M.C. to Hackensack University Medical Center. Janice Reid accompanied A.M.C.. I followed the ambulance to Hackensack University Medical Center.      Detective Garrett was notified and responded to Hackensack University Medical Center. I notified Alexandra #1576 from DCP&amp;P of the incident. She reported that DCP&amp;P would be making an immediate response to the hospital. Detective Garrett stated he was familiar with the patient and of the prior sexual assault allegation from previous encounters.  T.O.T. to detectives. See supplement for further contact information. A CBH care form was completed."/>
    <m/>
    <m/>
    <m/>
    <m/>
    <m/>
    <m/>
    <m/>
    <m/>
    <m/>
    <m/>
    <s v="Klosk_J"/>
    <s v="Complete"/>
    <s v="P.O. Christian Alvarez 364"/>
    <s v="B1"/>
    <s v="Det. Frankie Garrett 323"/>
    <s v="TOT DCP&amp;P"/>
    <m/>
    <n v="9"/>
    <d v="2025-04-02T00:00:00"/>
    <d v="1899-12-30T21:35:00"/>
    <m/>
    <m/>
    <d v="2025-04-02T00:00:00"/>
    <d v="1899-12-30T21:40:41"/>
    <n v="2025"/>
    <n v="14"/>
    <n v="1"/>
    <n v="2"/>
    <n v="92"/>
    <d v="2025-04-02T21:35:00"/>
    <n v="260"/>
    <s v="On April 2, 2025, at approximately 2140 hours P.O. Bonsu and I responded to 260 Union Avenue on a reported mental health incident. We spoke with Janice Reid, who is a supervisor at the Holly Center, and she reported that A.M.C. was arguing with O.L.. They began to fight and the Holly Center staff were able to separate both of them. After the fight, A.M.C began becoming verbally aggressive with the staff and wrote a note that stated, &quot;You dumb bitch's I ain't telling yall that yall but I going my gang to shoot this place up.&quot; Janice Reid further reported that that A.M.C. kept threatening to get a gang to shoot up the Holly Center.       While on scene, A.M.C. made statements that she wanted &quot;to go down for attempted murder&quot; and that she wanted to get CPC High Point shot up. CPC High Point is a school A.M.C. previously attended. Then A.M.C. began to state that she was sexually assaulted by Holly Center staff and specifically named Tyrone Bagley and Randall White who were on scene. Sgt. Donnerstag and Sgt. Ghirardi responded to the scene to assist. P.O. Bonsu asked A.M.C. more about her allegations. A.M.C. reported the incident occurred approximately a month ago on a weekend but did not recall if it was in the morning, afternoon, or evening. A.M.C. further reported it happened in her room at the Holly Center but she did not want to discuss any further. Hackensack University Medical Center BLS responded and transported A.M.C. to Hackensack University Medical Center. Janice Reid accompanied A.M.C.. I followed the ambulance to Hackensack University Medical Center.      Detective Garrett was notified and responded to Hackensack University Medical Center. I notified Alexandra #1576 from DCP&amp;P of the incident. She reported that DCP&amp;P would be making an immediate response to the hospital. Detective Garrett stated he was familiar with the patient and of the prior sexual assault allegation from previous encounters.  T.O.T. to detectives. See supplement for further contact information. A CBH care form was completed."/>
    <m/>
    <s v=""/>
    <s v=""/>
    <s v="C04W14"/>
    <x v="1"/>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33">
  <r>
    <s v="25-002635"/>
    <x v="0"/>
    <x v="0"/>
    <d v="1899-12-30T15:00:00"/>
    <d v="1899-12-30T15:30:00"/>
    <x v="0"/>
    <s v="January"/>
    <s v="Prospect Ave, 0 Block"/>
    <s v="90 Prospect Avenue"/>
    <x v="0"/>
    <s v="Burglary - Auto"/>
    <s v=""/>
    <s v=""/>
    <s v="90 Prospect Avenue, Hackensack, NJ, 07601"/>
    <m/>
    <n v="7"/>
    <s v="Suspect(s): Unknown.     I responded to the listed location, 90 Prospect Avenue, on a report of a burglary to auto. Upon arrival, I was met by the victim, Kelly Nurnberg-Darzi, who stated on the morning of 01/10/25 she responded to her grey 2006 Honda Pilot and observed all of her work equipment to be missing. The victim advised me she specialized in opening safes and stores several of her high-value tools in the rear of the listed vehicle. The victim stated the listed vehicle was parked in assigned space #20 and did not move it from the assigned space. The victim stated she last recalled observing her tools in the listed vehicle on 01/06/25 and had not returned to the vehicle since. The following items were taken from the listed vehicle:2 Boroscope - $5,000.00 USD8 Redundant Locks - $2,000.00 USD5 Drills - $5,000.00 USD1 large box of drill bits - $1,200.00 USD1 tool bag with several tools - $2,000.00 USD6 Electronic locks - $1,320.00 USD4 FAS locks - $480.00 Total Value - $17,000.00 USD     While on scene, I observed several cameras in the parking garage of 90 Prospect Avenue. I further observed the listed vehicle to have a broken rear passenger side window which gives direct access to the vehicles trunk. The victim stated the damage occurred on 01/04/25 while her son was parking the vehicle. The victim further stated she did not have any time to repair the broken window and remove the tools from the vehicle prior to them being taken.      The victim advised me she believes the suspect may be her husband Uri Darzi whom she is currently in a civil lawsuit with. Sgt. Peralta responded assist.A victim notification form was completed and a copy was given to the victim."/>
    <m/>
    <m/>
    <s v="XCSW43"/>
    <s v="HONDA"/>
    <s v="PIL"/>
    <s v="NJ"/>
    <m/>
    <m/>
    <m/>
    <m/>
    <s v="Deleon_A"/>
    <s v="P.O. Ruben Almonte 359"/>
    <s v="A3"/>
    <s v="Det. Matthew DeBonis 325"/>
    <s v="Active/Administratively Closed"/>
    <s v="23F = Theft From Motor Vehicle"/>
    <n v="2025"/>
    <n v="2"/>
    <n v="2"/>
    <n v="6"/>
    <n v="6"/>
    <d v="2025-01-06T15:30:00"/>
    <n v="90"/>
    <s v="Suspect(s): Unknown.     I responded to the listed location, 90 Prospect Avenue, on a report of a burglary to auto. Upon arrival, I was met by the victim, Kelly Nurnberg-Darzi, who stated on the morning of 01/10/25 she responded to her grey 2006 Honda Pilot and observed all of her work equipment to be missing. The victim advised me she specialized in opening safes and stores several of her high-value tools in the rear of the listed vehicle. The victim stated the listed vehicle was parked in assigned space #20 and did not move it from the assigned space. The victim stated she last recalled observing her tools in the listed vehicle on 01/06/25 and had not returned to the vehicle since. The following items were taken from the listed vehicle:2 Boroscope - $5,000.00 USD8 Redundant Locks - $2,000.00 USD5 Drills - $5,000.00 USD1 large box of drill bits - $1,200.00 USD1 tool bag with several tools - $2,000.00 USD6 Electronic locks - $1,320.00 USD4 FAS locks - $480.00 Total Value - $17,000.00 USD     While on scene, I observed several cameras in the parking garage of 90 Prospect Avenue. I further observed the listed vehicle to have a broken rear passenger side window which gives direct access to the vehicles trunk. The victim stated the damage occurred on 01/04/25 while her son was parking the vehicle. The victim further stated she did not have any time to repair the broken window and remove the tools from the vehicle prior to them being taken.      The victim advised me she believes the suspect may be her husband Uri Darzi whom she is currently in a civil lawsuit with. Sgt. Peralta responded assist.A victim notification form was completed and a copy was given to the victim."/>
    <s v="Vehicle 1: NJ-XCSW43 HONDA, PIL"/>
    <s v="suspect(s): unknown suspect may be her husband uri darzi whom she is currently in a civil lawsuit with"/>
    <s v="$5,000.00 USD8 Redundant Locks -  $2,000.00 USD5 Drills -  $5,000.00 USD1 large box of drill bits -  $1,200.00 USD1 tool bag with several tools -  $2,000.00 USD6 Electronic locks -  $1,320.00 USD4 FAS locks -  $480.00 Total Value -  $17,000.00 USD     While on scene, I observed several cameras in the parking garage of 90 Prospect Avenue. I further observed the listed vehicle to have a broken rear passenger side window which gives direct access to the vehicles trunk"/>
    <s v="C01W01"/>
  </r>
  <r>
    <s v="25-002635"/>
    <x v="0"/>
    <x v="0"/>
    <d v="1899-12-30T15:00:00"/>
    <d v="1899-12-30T15:30:00"/>
    <x v="0"/>
    <s v="January"/>
    <s v="Prospect Ave, 0 Block"/>
    <s v="90 Prospect Avenue"/>
    <x v="0"/>
    <s v="Burglary - Auto"/>
    <s v=""/>
    <s v=""/>
    <s v="90 Prospect Avenue, Hackensack, NJ, 07601"/>
    <m/>
    <n v="7"/>
    <s v="Suspect(s): Unknown.     I responded to the listed location, 90 Prospect Avenue, on a report of a burglary to auto. Upon arrival, I was met by the victim, Kelly Nurnberg-Darzi, who stated on the morning of 01/10/25 she responded to her grey 2006 Honda Pilot and observed all of her work equipment to be missing. The victim advised me she specialized in opening safes and stores several of her high-value tools in the rear of the listed vehicle. The victim stated the listed vehicle was parked in assigned space #20 and did not move it from the assigned space. The victim stated she last recalled observing her tools in the listed vehicle on 01/06/25 and had not returned to the vehicle since. The following items were taken from the listed vehicle:2 Boroscope - $5,000.00 USD8 Redundant Locks - $2,000.00 USD5 Drills - $5,000.00 USD1 large box of drill bits - $1,200.00 USD1 tool bag with several tools - $2,000.00 USD6 Electronic locks - $1,320.00 USD4 FAS locks - $480.00 Total Value - $17,000.00 USD     While on scene, I observed several cameras in the parking garage of 90 Prospect Avenue. I further observed the listed vehicle to have a broken rear passenger side window which gives direct access to the vehicles trunk. The victim stated the damage occurred on 01/04/25 while her son was parking the vehicle. The victim further stated she did not have any time to repair the broken window and remove the tools from the vehicle prior to them being taken.      The victim advised me she believes the suspect may be her husband Uri Darzi whom she is currently in a civil lawsuit with. Sgt. Peralta responded assist.A victim notification form was completed and a copy was given to the victim."/>
    <m/>
    <m/>
    <s v="XCSW43"/>
    <s v="HONDA"/>
    <s v="PIL"/>
    <s v="NJ"/>
    <m/>
    <m/>
    <m/>
    <m/>
    <s v="Deleon_A"/>
    <s v="P.O. Ruben Almonte 359"/>
    <s v="A3"/>
    <s v="Det. Matthew DeBonis 325"/>
    <s v="Active Investigation"/>
    <s v="23F = Theft From Motor Vehicle"/>
    <n v="2025"/>
    <n v="2"/>
    <n v="2"/>
    <n v="6"/>
    <n v="6"/>
    <d v="2025-01-06T15:30:00"/>
    <n v="90"/>
    <s v="Suspect(s): Unknown.     I responded to the listed location, 90 Prospect Avenue, on a report of a burglary to auto. Upon arrival, I was met by the victim, Kelly Nurnberg-Darzi, who stated on the morning of 01/10/25 she responded to her grey 2006 Honda Pilot and observed all of her work equipment to be missing. The victim advised me she specialized in opening safes and stores several of her high-value tools in the rear of the listed vehicle. The victim stated the listed vehicle was parked in assigned space #20 and did not move it from the assigned space. The victim stated she last recalled observing her tools in the listed vehicle on 01/06/25 and had not returned to the vehicle since. The following items were taken from the listed vehicle:2 Boroscope - $5,000.00 USD8 Redundant Locks - $2,000.00 USD5 Drills - $5,000.00 USD1 large box of drill bits - $1,200.00 USD1 tool bag with several tools - $2,000.00 USD6 Electronic locks - $1,320.00 USD4 FAS locks - $480.00 Total Value - $17,000.00 USD     While on scene, I observed several cameras in the parking garage of 90 Prospect Avenue. I further observed the listed vehicle to have a broken rear passenger side window which gives direct access to the vehicles trunk. The victim stated the damage occurred on 01/04/25 while her son was parking the vehicle. The victim further stated she did not have any time to repair the broken window and remove the tools from the vehicle prior to them being taken.      The victim advised me she believes the suspect may be her husband Uri Darzi whom she is currently in a civil lawsuit with. Sgt. Peralta responded assist.A victim notification form was completed and a copy was given to the victim."/>
    <s v="Vehicle 1: NJ-XCSW43 HONDA, PIL"/>
    <s v="suspect(s): unknown suspect may be her husband uri darzi whom she is currently in a civil lawsuit with"/>
    <s v="$5,000.00 USD8 Redundant Locks -  $2,000.00 USD5 Drills -  $5,000.00 USD1 large box of drill bits -  $1,200.00 USD1 tool bag with several tools -  $2,000.00 USD6 Electronic locks -  $1,320.00 USD4 FAS locks -  $480.00 Total Value -  $17,000.00 USD     While on scene, I observed several cameras in the parking garage of 90 Prospect Avenue. I further observed the listed vehicle to have a broken rear passenger side window which gives direct access to the vehicles trunk"/>
    <s v="C01W01"/>
  </r>
  <r>
    <s v="25-002635"/>
    <x v="0"/>
    <x v="0"/>
    <d v="1899-12-30T15:00:00"/>
    <d v="1899-12-30T15:30:00"/>
    <x v="0"/>
    <s v="January"/>
    <s v="Prospect Ave, 0 Block"/>
    <s v="90 Prospect Avenue"/>
    <x v="0"/>
    <s v="Burglary - Auto"/>
    <s v=""/>
    <s v=""/>
    <s v="90 Prospect Avenue, Hackensack, NJ, 07601"/>
    <m/>
    <n v="7"/>
    <s v="Suspect(s): Unknown.     I responded to the listed location, 90 Prospect Avenue, on a report of a burglary to auto. Upon arrival, I was met by the victim, Kelly Nurnberg-Darzi, who stated on the morning of 01/10/25 she responded to her grey 2006 Honda Pilot and observed all of her work equipment to be missing. The victim advised me she specialized in opening safes and stores several of her high-value tools in the rear of the listed vehicle. The victim stated the listed vehicle was parked in assigned space #20 and did not move it from the assigned space. The victim stated she last recalled observing her tools in the listed vehicle on 01/06/25 and had not returned to the vehicle since. The following items were taken from the listed vehicle:2 Boroscope - $5,000.00 USD8 Redundant Locks - $2,000.00 USD5 Drills - $5,000.00 USD1 large box of drill bits - $1,200.00 USD1 tool bag with several tools - $2,000.00 USD6 Electronic locks - $1,320.00 USD4 FAS locks - $480.00 Total Value - $17,000.00 USD     While on scene, I observed several cameras in the parking garage of 90 Prospect Avenue. I further observed the listed vehicle to have a broken rear passenger side window which gives direct access to the vehicles trunk. The victim stated the damage occurred on 01/04/25 while her son was parking the vehicle. The victim further stated she did not have any time to repair the broken window and remove the tools from the vehicle prior to them being taken.      The victim advised me she believes the suspect may be her husband Uri Darzi whom she is currently in a civil lawsuit with. Sgt. Peralta responded assist.A victim notification form was completed and a copy was given to the victim."/>
    <m/>
    <m/>
    <s v="XCSW43"/>
    <s v="HONDA"/>
    <s v="PIL"/>
    <s v="NJ"/>
    <m/>
    <m/>
    <m/>
    <m/>
    <s v="Deleon_A"/>
    <s v="P.O. Ruben Almonte 359"/>
    <s v="A3"/>
    <s v="Det. Matthew DeBonis 325"/>
    <s v="Active Investigation"/>
    <s v="23F = Theft From Motor Vehicle"/>
    <n v="2025"/>
    <n v="2"/>
    <n v="2"/>
    <n v="6"/>
    <n v="6"/>
    <d v="2025-01-06T15:30:00"/>
    <n v="90"/>
    <s v="Suspect(s): Unknown.     I responded to the listed location, 90 Prospect Avenue, on a report of a burglary to auto. Upon arrival, I was met by the victim, Kelly Nurnberg-Darzi, who stated on the morning of 01/10/25 she responded to her grey 2006 Honda Pilot and observed all of her work equipment to be missing. The victim advised me she specialized in opening safes and stores several of her high-value tools in the rear of the listed vehicle. The victim stated the listed vehicle was parked in assigned space #20 and did not move it from the assigned space. The victim stated she last recalled observing her tools in the listed vehicle on 01/06/25 and had not returned to the vehicle since. The following items were taken from the listed vehicle:2 Boroscope - $5,000.00 USD8 Redundant Locks - $2,000.00 USD5 Drills - $5,000.00 USD1 large box of drill bits - $1,200.00 USD1 tool bag with several tools - $2,000.00 USD6 Electronic locks - $1,320.00 USD4 FAS locks - $480.00 Total Value - $17,000.00 USD     While on scene, I observed several cameras in the parking garage of 90 Prospect Avenue. I further observed the listed vehicle to have a broken rear passenger side window which gives direct access to the vehicles trunk. The victim stated the damage occurred on 01/04/25 while her son was parking the vehicle. The victim further stated she did not have any time to repair the broken window and remove the tools from the vehicle prior to them being taken.      The victim advised me she believes the suspect may be her husband Uri Darzi whom she is currently in a civil lawsuit with. Sgt. Peralta responded assist.A victim notification form was completed and a copy was given to the victim."/>
    <s v="Vehicle 1: NJ-XCSW43 HONDA, PIL"/>
    <s v="suspect(s): unknown suspect may be her husband uri darzi whom she is currently in a civil lawsuit with"/>
    <s v="$5,000.00 USD8 Redundant Locks -  $2,000.00 USD5 Drills -  $5,000.00 USD1 large box of drill bits -  $1,200.00 USD1 tool bag with several tools -  $2,000.00 USD6 Electronic locks -  $1,320.00 USD4 FAS locks -  $480.00 Total Value -  $17,000.00 USD     While on scene, I observed several cameras in the parking garage of 90 Prospect Avenue. I further observed the listed vehicle to have a broken rear passenger side window which gives direct access to the vehicles trunk"/>
    <s v="C01W01"/>
  </r>
  <r>
    <s v="25-002635"/>
    <x v="0"/>
    <x v="0"/>
    <d v="1899-12-30T15:00:00"/>
    <d v="1899-12-30T15:30:00"/>
    <x v="0"/>
    <s v="January"/>
    <s v="Prospect Ave, 0 Block"/>
    <s v="90 Prospect Avenue"/>
    <x v="0"/>
    <s v="Burglary - Auto"/>
    <s v=""/>
    <s v=""/>
    <s v="90 Prospect Avenue, Hackensack, NJ, 07601"/>
    <m/>
    <n v="7"/>
    <s v="Suspect(s): Unknown.     I responded to the listed location, 90 Prospect Avenue, on a report of a burglary to auto. Upon arrival, I was met by the victim, Kelly Nurnberg-Darzi, who stated on the morning of 01/10/25 she responded to her grey 2006 Honda Pilot and observed all of her work equipment to be missing. The victim advised me she specialized in opening safes and stores several of her high-value tools in the rear of the listed vehicle. The victim stated the listed vehicle was parked in assigned space #20 and did not move it from the assigned space. The victim stated she last recalled observing her tools in the listed vehicle on 01/06/25 and had not returned to the vehicle since. The following items were taken from the listed vehicle:2 Boroscope - $5,000.00 USD8 Redundant Locks - $2,000.00 USD5 Drills - $5,000.00 USD1 large box of drill bits - $1,200.00 USD1 tool bag with several tools - $2,000.00 USD6 Electronic locks - $1,320.00 USD4 FAS locks - $480.00 Total Value - $17,000.00 USD     While on scene, I observed several cameras in the parking garage of 90 Prospect Avenue. I further observed the listed vehicle to have a broken rear passenger side window which gives direct access to the vehicles trunk. The victim stated the damage occurred on 01/04/25 while her son was parking the vehicle. The victim further stated she did not have any time to repair the broken window and remove the tools from the vehicle prior to them being taken.      The victim advised me she believes the suspect may be her husband Uri Darzi whom she is currently in a civil lawsuit with. Sgt. Peralta responded assist.A victim notification form was completed and a copy was given to the victim."/>
    <m/>
    <m/>
    <s v="XCSW43"/>
    <s v="HONDA"/>
    <s v="PIL"/>
    <s v="NJ"/>
    <m/>
    <m/>
    <m/>
    <m/>
    <s v="Deleon_A"/>
    <s v="P.O. Ruben Almonte 359"/>
    <s v="A3"/>
    <s v="Det. Matthew DeBonis 325"/>
    <s v="Active Investigation"/>
    <s v="23F = Theft From Motor Vehicle"/>
    <n v="2025"/>
    <n v="2"/>
    <n v="2"/>
    <n v="6"/>
    <n v="6"/>
    <d v="2025-01-06T15:30:00"/>
    <n v="90"/>
    <s v="Suspect(s): Unknown.     I responded to the listed location, 90 Prospect Avenue, on a report of a burglary to auto. Upon arrival, I was met by the victim, Kelly Nurnberg-Darzi, who stated on the morning of 01/10/25 she responded to her grey 2006 Honda Pilot and observed all of her work equipment to be missing. The victim advised me she specialized in opening safes and stores several of her high-value tools in the rear of the listed vehicle. The victim stated the listed vehicle was parked in assigned space #20 and did not move it from the assigned space. The victim stated she last recalled observing her tools in the listed vehicle on 01/06/25 and had not returned to the vehicle since. The following items were taken from the listed vehicle:2 Boroscope - $5,000.00 USD8 Redundant Locks - $2,000.00 USD5 Drills - $5,000.00 USD1 large box of drill bits - $1,200.00 USD1 tool bag with several tools - $2,000.00 USD6 Electronic locks - $1,320.00 USD4 FAS locks - $480.00 Total Value - $17,000.00 USD     While on scene, I observed several cameras in the parking garage of 90 Prospect Avenue. I further observed the listed vehicle to have a broken rear passenger side window which gives direct access to the vehicles trunk. The victim stated the damage occurred on 01/04/25 while her son was parking the vehicle. The victim further stated she did not have any time to repair the broken window and remove the tools from the vehicle prior to them being taken.      The victim advised me she believes the suspect may be her husband Uri Darzi whom she is currently in a civil lawsuit with. Sgt. Peralta responded assist.A victim notification form was completed and a copy was given to the victim."/>
    <s v="Vehicle 1: NJ-XCSW43 HONDA, PIL"/>
    <s v="suspect(s): unknown suspect may be her husband uri darzi whom she is currently in a civil lawsuit with"/>
    <s v="$5,000.00 USD8 Redundant Locks -  $2,000.00 USD5 Drills -  $5,000.00 USD1 large box of drill bits -  $1,200.00 USD1 tool bag with several tools -  $2,000.00 USD6 Electronic locks -  $1,320.00 USD4 FAS locks -  $480.00 Total Value -  $17,000.00 USD     While on scene, I observed several cameras in the parking garage of 90 Prospect Avenue. I further observed the listed vehicle to have a broken rear passenger side window which gives direct access to the vehicles trunk"/>
    <s v="C01W01"/>
  </r>
  <r>
    <s v="25-002635"/>
    <x v="0"/>
    <x v="0"/>
    <d v="1899-12-30T15:00:00"/>
    <d v="1899-12-30T15:30:00"/>
    <x v="0"/>
    <s v="January"/>
    <s v="Prospect Ave, 0 Block"/>
    <s v="90 Prospect Avenue"/>
    <x v="0"/>
    <s v="Burglary - Auto"/>
    <s v=""/>
    <s v=""/>
    <s v="90 Prospect Avenue, Hackensack, NJ, 07601"/>
    <m/>
    <n v="7"/>
    <s v="Suspect(s): Unknown.     I responded to the listed location, 90 Prospect Avenue, on a report of a burglary to auto. Upon arrival, I was met by the victim, Kelly Nurnberg-Darzi, who stated on the morning of 01/10/25 she responded to her grey 2006 Honda Pilot and observed all of her work equipment to be missing. The victim advised me she specialized in opening safes and stores several of her high-value tools in the rear of the listed vehicle. The victim stated the listed vehicle was parked in assigned space #20 and did not move it from the assigned space. The victim stated she last recalled observing her tools in the listed vehicle on 01/06/25 and had not returned to the vehicle since. The following items were taken from the listed vehicle:2 Boroscope - $5,000.00 USD8 Redundant Locks - $2,000.00 USD5 Drills - $5,000.00 USD1 large box of drill bits - $1,200.00 USD1 tool bag with several tools - $2,000.00 USD6 Electronic locks - $1,320.00 USD4 FAS locks - $480.00 Total Value - $17,000.00 USD     While on scene, I observed several cameras in the parking garage of 90 Prospect Avenue. I further observed the listed vehicle to have a broken rear passenger side window which gives direct access to the vehicles trunk. The victim stated the damage occurred on 01/04/25 while her son was parking the vehicle. The victim further stated she did not have any time to repair the broken window and remove the tools from the vehicle prior to them being taken.      The victim advised me she believes the suspect may be her husband Uri Darzi whom she is currently in a civil lawsuit with. Sgt. Peralta responded assist.A victim notification form was completed and a copy was given to the victim."/>
    <m/>
    <m/>
    <s v="XCSW43"/>
    <s v="HONDA"/>
    <s v="PIL"/>
    <s v="NJ"/>
    <m/>
    <m/>
    <m/>
    <m/>
    <s v="Deleon_A"/>
    <s v="P.O. Ruben Almonte 359"/>
    <s v="A3"/>
    <s v="Det. Matthew DeBonis 325"/>
    <s v="Active Investigation"/>
    <s v="23F = Theft From Motor Vehicle"/>
    <n v="2025"/>
    <n v="2"/>
    <n v="2"/>
    <n v="6"/>
    <n v="6"/>
    <d v="2025-01-06T15:30:00"/>
    <n v="90"/>
    <s v="Suspect(s): Unknown.     I responded to the listed location, 90 Prospect Avenue, on a report of a burglary to auto. Upon arrival, I was met by the victim, Kelly Nurnberg-Darzi, who stated on the morning of 01/10/25 she responded to her grey 2006 Honda Pilot and observed all of her work equipment to be missing. The victim advised me she specialized in opening safes and stores several of her high-value tools in the rear of the listed vehicle. The victim stated the listed vehicle was parked in assigned space #20 and did not move it from the assigned space. The victim stated she last recalled observing her tools in the listed vehicle on 01/06/25 and had not returned to the vehicle since. The following items were taken from the listed vehicle:2 Boroscope - $5,000.00 USD8 Redundant Locks - $2,000.00 USD5 Drills - $5,000.00 USD1 large box of drill bits - $1,200.00 USD1 tool bag with several tools - $2,000.00 USD6 Electronic locks - $1,320.00 USD4 FAS locks - $480.00 Total Value - $17,000.00 USD     While on scene, I observed several cameras in the parking garage of 90 Prospect Avenue. I further observed the listed vehicle to have a broken rear passenger side window which gives direct access to the vehicles trunk. The victim stated the damage occurred on 01/04/25 while her son was parking the vehicle. The victim further stated she did not have any time to repair the broken window and remove the tools from the vehicle prior to them being taken.      The victim advised me she believes the suspect may be her husband Uri Darzi whom she is currently in a civil lawsuit with. Sgt. Peralta responded assist.A victim notification form was completed and a copy was given to the victim."/>
    <s v="Vehicle 1: NJ-XCSW43 HONDA, PIL"/>
    <s v="suspect(s): unknown suspect may be her husband uri darzi whom she is currently in a civil lawsuit with"/>
    <s v="$5,000.00 USD8 Redundant Locks -  $2,000.00 USD5 Drills -  $5,000.00 USD1 large box of drill bits -  $1,200.00 USD1 tool bag with several tools -  $2,000.00 USD6 Electronic locks -  $1,320.00 USD4 FAS locks -  $480.00 Total Value -  $17,000.00 USD     While on scene, I observed several cameras in the parking garage of 90 Prospect Avenue. I further observed the listed vehicle to have a broken rear passenger side window which gives direct access to the vehicles trunk"/>
    <s v="C01W01"/>
  </r>
  <r>
    <s v="25-002635"/>
    <x v="0"/>
    <x v="0"/>
    <d v="1899-12-30T15:00:00"/>
    <d v="1899-12-30T15:30:00"/>
    <x v="0"/>
    <s v="January"/>
    <s v="Prospect Ave, 0 Block"/>
    <s v="90 Prospect Avenue"/>
    <x v="0"/>
    <s v="Burglary - Auto"/>
    <s v=""/>
    <s v=""/>
    <s v="90 Prospect Avenue, Hackensack, NJ, 07601"/>
    <m/>
    <n v="7"/>
    <s v="Suspect(s): Unknown.     I responded to the listed location, 90 Prospect Avenue, on a report of a burglary to auto. Upon arrival, I was met by the victim, Kelly Nurnberg-Darzi, who stated on the morning of 01/10/25 she responded to her grey 2006 Honda Pilot and observed all of her work equipment to be missing. The victim advised me she specialized in opening safes and stores several of her high-value tools in the rear of the listed vehicle. The victim stated the listed vehicle was parked in assigned space #20 and did not move it from the assigned space. The victim stated she last recalled observing her tools in the listed vehicle on 01/06/25 and had not returned to the vehicle since. The following items were taken from the listed vehicle:2 Boroscope - $5,000.00 USD8 Redundant Locks - $2,000.00 USD5 Drills - $5,000.00 USD1 large box of drill bits - $1,200.00 USD1 tool bag with several tools - $2,000.00 USD6 Electronic locks - $1,320.00 USD4 FAS locks - $480.00 Total Value - $17,000.00 USD     While on scene, I observed several cameras in the parking garage of 90 Prospect Avenue. I further observed the listed vehicle to have a broken rear passenger side window which gives direct access to the vehicles trunk. The victim stated the damage occurred on 01/04/25 while her son was parking the vehicle. The victim further stated she did not have any time to repair the broken window and remove the tools from the vehicle prior to them being taken.      The victim advised me she believes the suspect may be her husband Uri Darzi whom she is currently in a civil lawsuit with. Sgt. Peralta responded assist.A victim notification form was completed and a copy was given to the victim."/>
    <m/>
    <m/>
    <s v="XCSW43"/>
    <s v="HONDA"/>
    <s v="PIL"/>
    <s v="NJ"/>
    <m/>
    <m/>
    <m/>
    <m/>
    <s v="Deleon_A"/>
    <s v="P.O. Ruben Almonte 359"/>
    <s v="A3"/>
    <s v="Det. Matthew DeBonis 325"/>
    <s v="Active/Administratively Closed"/>
    <s v="23F = Theft From Motor Vehicle"/>
    <n v="2025"/>
    <n v="2"/>
    <n v="2"/>
    <n v="6"/>
    <n v="6"/>
    <d v="2025-01-06T15:30:00"/>
    <n v="90"/>
    <s v="Suspect(s): Unknown.     I responded to the listed location, 90 Prospect Avenue, on a report of a burglary to auto. Upon arrival, I was met by the victim, Kelly Nurnberg-Darzi, who stated on the morning of 01/10/25 she responded to her grey 2006 Honda Pilot and observed all of her work equipment to be missing. The victim advised me she specialized in opening safes and stores several of her high-value tools in the rear of the listed vehicle. The victim stated the listed vehicle was parked in assigned space #20 and did not move it from the assigned space. The victim stated she last recalled observing her tools in the listed vehicle on 01/06/25 and had not returned to the vehicle since. The following items were taken from the listed vehicle:2 Boroscope - $5,000.00 USD8 Redundant Locks - $2,000.00 USD5 Drills - $5,000.00 USD1 large box of drill bits - $1,200.00 USD1 tool bag with several tools - $2,000.00 USD6 Electronic locks - $1,320.00 USD4 FAS locks - $480.00 Total Value - $17,000.00 USD     While on scene, I observed several cameras in the parking garage of 90 Prospect Avenue. I further observed the listed vehicle to have a broken rear passenger side window which gives direct access to the vehicles trunk. The victim stated the damage occurred on 01/04/25 while her son was parking the vehicle. The victim further stated she did not have any time to repair the broken window and remove the tools from the vehicle prior to them being taken.      The victim advised me she believes the suspect may be her husband Uri Darzi whom she is currently in a civil lawsuit with. Sgt. Peralta responded assist.A victim notification form was completed and a copy was given to the victim."/>
    <s v="Vehicle 1: NJ-XCSW43 HONDA, PIL"/>
    <s v="suspect(s): unknown suspect may be her husband uri darzi whom she is currently in a civil lawsuit with"/>
    <s v="$5,000.00 USD8 Redundant Locks -  $2,000.00 USD5 Drills -  $5,000.00 USD1 large box of drill bits -  $1,200.00 USD1 tool bag with several tools -  $2,000.00 USD6 Electronic locks -  $1,320.00 USD4 FAS locks -  $480.00 Total Value -  $17,000.00 USD     While on scene, I observed several cameras in the parking garage of 90 Prospect Avenue. I further observed the listed vehicle to have a broken rear passenger side window which gives direct access to the vehicles trunk"/>
    <s v="C01W01"/>
  </r>
  <r>
    <s v="25-002635"/>
    <x v="0"/>
    <x v="0"/>
    <d v="1899-12-30T15:00:00"/>
    <d v="1899-12-30T15:30:00"/>
    <x v="0"/>
    <s v="January"/>
    <s v="Prospect Ave, 0 Block"/>
    <s v="90 Prospect Avenue"/>
    <x v="0"/>
    <s v="Burglary - Auto"/>
    <s v=""/>
    <s v=""/>
    <s v="90 Prospect Avenue, Hackensack, NJ, 07601"/>
    <m/>
    <n v="7"/>
    <s v="Suspect(s): Unknown.     I responded to the listed location, 90 Prospect Avenue, on a report of a burglary to auto. Upon arrival, I was met by the victim, Kelly Nurnberg-Darzi, who stated on the morning of 01/10/25 she responded to her grey 2006 Honda Pilot and observed all of her work equipment to be missing. The victim advised me she specialized in opening safes and stores several of her high-value tools in the rear of the listed vehicle. The victim stated the listed vehicle was parked in assigned space #20 and did not move it from the assigned space. The victim stated she last recalled observing her tools in the listed vehicle on 01/06/25 and had not returned to the vehicle since. The following items were taken from the listed vehicle:2 Boroscope - $5,000.00 USD8 Redundant Locks - $2,000.00 USD5 Drills - $5,000.00 USD1 large box of drill bits - $1,200.00 USD1 tool bag with several tools - $2,000.00 USD6 Electronic locks - $1,320.00 USD4 FAS locks - $480.00 Total Value - $17,000.00 USD     While on scene, I observed several cameras in the parking garage of 90 Prospect Avenue. I further observed the listed vehicle to have a broken rear passenger side window which gives direct access to the vehicles trunk. The victim stated the damage occurred on 01/04/25 while her son was parking the vehicle. The victim further stated she did not have any time to repair the broken window and remove the tools from the vehicle prior to them being taken.      The victim advised me she believes the suspect may be her husband Uri Darzi whom she is currently in a civil lawsuit with. Sgt. Peralta responded assist.A victim notification form was completed and a copy was given to the victim."/>
    <m/>
    <m/>
    <s v="XCSW43"/>
    <s v="HONDA"/>
    <s v="PIL"/>
    <s v="NJ"/>
    <m/>
    <m/>
    <m/>
    <m/>
    <s v="Deleon_A"/>
    <s v="P.O. Ruben Almonte 359"/>
    <s v="A3"/>
    <s v="Det. Matthew DeBonis 325"/>
    <s v="Active Investigation"/>
    <s v="23F = Theft From Motor Vehicle"/>
    <n v="2025"/>
    <n v="2"/>
    <n v="2"/>
    <n v="6"/>
    <n v="6"/>
    <d v="2025-01-06T15:30:00"/>
    <n v="90"/>
    <s v="Suspect(s): Unknown.     I responded to the listed location, 90 Prospect Avenue, on a report of a burglary to auto. Upon arrival, I was met by the victim, Kelly Nurnberg-Darzi, who stated on the morning of 01/10/25 she responded to her grey 2006 Honda Pilot and observed all of her work equipment to be missing. The victim advised me she specialized in opening safes and stores several of her high-value tools in the rear of the listed vehicle. The victim stated the listed vehicle was parked in assigned space #20 and did not move it from the assigned space. The victim stated she last recalled observing her tools in the listed vehicle on 01/06/25 and had not returned to the vehicle since. The following items were taken from the listed vehicle:2 Boroscope - $5,000.00 USD8 Redundant Locks - $2,000.00 USD5 Drills - $5,000.00 USD1 large box of drill bits - $1,200.00 USD1 tool bag with several tools - $2,000.00 USD6 Electronic locks - $1,320.00 USD4 FAS locks - $480.00 Total Value - $17,000.00 USD     While on scene, I observed several cameras in the parking garage of 90 Prospect Avenue. I further observed the listed vehicle to have a broken rear passenger side window which gives direct access to the vehicles trunk. The victim stated the damage occurred on 01/04/25 while her son was parking the vehicle. The victim further stated she did not have any time to repair the broken window and remove the tools from the vehicle prior to them being taken.      The victim advised me she believes the suspect may be her husband Uri Darzi whom she is currently in a civil lawsuit with. Sgt. Peralta responded assist.A victim notification form was completed and a copy was given to the victim."/>
    <s v="Vehicle 1: NJ-XCSW43 HONDA, PIL"/>
    <s v="suspect(s): unknown suspect may be her husband uri darzi whom she is currently in a civil lawsuit with"/>
    <s v="$5,000.00 USD8 Redundant Locks -  $2,000.00 USD5 Drills -  $5,000.00 USD1 large box of drill bits -  $1,200.00 USD1 tool bag with several tools -  $2,000.00 USD6 Electronic locks -  $1,320.00 USD4 FAS locks -  $480.00 Total Value -  $17,000.00 USD     While on scene, I observed several cameras in the parking garage of 90 Prospect Avenue. I further observed the listed vehicle to have a broken rear passenger side window which gives direct access to the vehicles trunk"/>
    <s v="C01W01"/>
  </r>
  <r>
    <s v="25-002635"/>
    <x v="0"/>
    <x v="0"/>
    <d v="1899-12-30T15:00:00"/>
    <d v="1899-12-30T15:30:00"/>
    <x v="0"/>
    <s v="January"/>
    <s v="Prospect Ave, 0 Block"/>
    <s v="90 Prospect Avenue"/>
    <x v="0"/>
    <s v="Burglary - Auto"/>
    <s v=""/>
    <s v=""/>
    <s v="90 Prospect Avenue, Hackensack, NJ, 07601"/>
    <m/>
    <n v="7"/>
    <s v="Suspect(s): Unknown.     I responded to the listed location, 90 Prospect Avenue, on a report of a burglary to auto. Upon arrival, I was met by the victim, Kelly Nurnberg-Darzi, who stated on the morning of 01/10/25 she responded to her grey 2006 Honda Pilot and observed all of her work equipment to be missing. The victim advised me she specialized in opening safes and stores several of her high-value tools in the rear of the listed vehicle. The victim stated the listed vehicle was parked in assigned space #20 and did not move it from the assigned space. The victim stated she last recalled observing her tools in the listed vehicle on 01/06/25 and had not returned to the vehicle since. The following items were taken from the listed vehicle:2 Boroscope - $5,000.00 USD8 Redundant Locks - $2,000.00 USD5 Drills - $5,000.00 USD1 large box of drill bits - $1,200.00 USD1 tool bag with several tools - $2,000.00 USD6 Electronic locks - $1,320.00 USD4 FAS locks - $480.00 Total Value - $17,000.00 USD     While on scene, I observed several cameras in the parking garage of 90 Prospect Avenue. I further observed the listed vehicle to have a broken rear passenger side window which gives direct access to the vehicles trunk. The victim stated the damage occurred on 01/04/25 while her son was parking the vehicle. The victim further stated she did not have any time to repair the broken window and remove the tools from the vehicle prior to them being taken.      The victim advised me she believes the suspect may be her husband Uri Darzi whom she is currently in a civil lawsuit with. Sgt. Peralta responded assist.A victim notification form was completed and a copy was given to the victim."/>
    <m/>
    <m/>
    <s v="XCSW43"/>
    <s v="HONDA"/>
    <s v="PIL"/>
    <s v="NJ"/>
    <m/>
    <m/>
    <m/>
    <m/>
    <s v="Deleon_A"/>
    <s v="P.O. Ruben Almonte 359"/>
    <s v="A3"/>
    <s v="Det. Matthew DeBonis 325"/>
    <s v="Active Investigation"/>
    <s v="23F = Theft From Motor Vehicle"/>
    <n v="2025"/>
    <n v="2"/>
    <n v="2"/>
    <n v="6"/>
    <n v="6"/>
    <d v="2025-01-06T15:30:00"/>
    <n v="90"/>
    <s v="Suspect(s): Unknown.     I responded to the listed location, 90 Prospect Avenue, on a report of a burglary to auto. Upon arrival, I was met by the victim, Kelly Nurnberg-Darzi, who stated on the morning of 01/10/25 she responded to her grey 2006 Honda Pilot and observed all of her work equipment to be missing. The victim advised me she specialized in opening safes and stores several of her high-value tools in the rear of the listed vehicle. The victim stated the listed vehicle was parked in assigned space #20 and did not move it from the assigned space. The victim stated she last recalled observing her tools in the listed vehicle on 01/06/25 and had not returned to the vehicle since. The following items were taken from the listed vehicle:2 Boroscope - $5,000.00 USD8 Redundant Locks - $2,000.00 USD5 Drills - $5,000.00 USD1 large box of drill bits - $1,200.00 USD1 tool bag with several tools - $2,000.00 USD6 Electronic locks - $1,320.00 USD4 FAS locks - $480.00 Total Value - $17,000.00 USD     While on scene, I observed several cameras in the parking garage of 90 Prospect Avenue. I further observed the listed vehicle to have a broken rear passenger side window which gives direct access to the vehicles trunk. The victim stated the damage occurred on 01/04/25 while her son was parking the vehicle. The victim further stated she did not have any time to repair the broken window and remove the tools from the vehicle prior to them being taken.      The victim advised me she believes the suspect may be her husband Uri Darzi whom she is currently in a civil lawsuit with. Sgt. Peralta responded assist.A victim notification form was completed and a copy was given to the victim."/>
    <s v="Vehicle 1: NJ-XCSW43 HONDA, PIL"/>
    <s v="suspect(s): unknown suspect may be her husband uri darzi whom she is currently in a civil lawsuit with"/>
    <s v="$5,000.00 USD8 Redundant Locks -  $2,000.00 USD5 Drills -  $5,000.00 USD1 large box of drill bits -  $1,200.00 USD1 tool bag with several tools -  $2,000.00 USD6 Electronic locks -  $1,320.00 USD4 FAS locks -  $480.00 Total Value -  $17,000.00 USD     While on scene, I observed several cameras in the parking garage of 90 Prospect Avenue. I further observed the listed vehicle to have a broken rear passenger side window which gives direct access to the vehicles trunk"/>
    <s v="C01W01"/>
  </r>
  <r>
    <s v="25-002635"/>
    <x v="0"/>
    <x v="0"/>
    <d v="1899-12-30T15:00:00"/>
    <d v="1899-12-30T15:30:00"/>
    <x v="0"/>
    <s v="January"/>
    <s v="Prospect Ave, 0 Block"/>
    <s v="90 Prospect Avenue"/>
    <x v="0"/>
    <s v="Burglary - Auto"/>
    <s v=""/>
    <s v=""/>
    <s v="90 Prospect Avenue, Hackensack, NJ, 07601"/>
    <m/>
    <n v="7"/>
    <s v="Suspect(s): Unknown.     I responded to the listed location, 90 Prospect Avenue, on a report of a burglary to auto. Upon arrival, I was met by the victim, Kelly Nurnberg-Darzi, who stated on the morning of 01/10/25 she responded to her grey 2006 Honda Pilot and observed all of her work equipment to be missing. The victim advised me she specialized in opening safes and stores several of her high-value tools in the rear of the listed vehicle. The victim stated the listed vehicle was parked in assigned space #20 and did not move it from the assigned space. The victim stated she last recalled observing her tools in the listed vehicle on 01/06/25 and had not returned to the vehicle since. The following items were taken from the listed vehicle:2 Boroscope - $5,000.00 USD8 Redundant Locks - $2,000.00 USD5 Drills - $5,000.00 USD1 large box of drill bits - $1,200.00 USD1 tool bag with several tools - $2,000.00 USD6 Electronic locks - $1,320.00 USD4 FAS locks - $480.00 Total Value - $17,000.00 USD     While on scene, I observed several cameras in the parking garage of 90 Prospect Avenue. I further observed the listed vehicle to have a broken rear passenger side window which gives direct access to the vehicles trunk. The victim stated the damage occurred on 01/04/25 while her son was parking the vehicle. The victim further stated she did not have any time to repair the broken window and remove the tools from the vehicle prior to them being taken.      The victim advised me she believes the suspect may be her husband Uri Darzi whom she is currently in a civil lawsuit with. Sgt. Peralta responded assist.A victim notification form was completed and a copy was given to the victim."/>
    <m/>
    <m/>
    <s v="XCSW43"/>
    <s v="HONDA"/>
    <s v="PIL"/>
    <s v="NJ"/>
    <m/>
    <m/>
    <m/>
    <m/>
    <s v="Deleon_A"/>
    <s v="P.O. Ruben Almonte 359"/>
    <s v="A3"/>
    <s v="Det. Matthew DeBonis 325"/>
    <s v="Active/Administratively Closed"/>
    <s v="23F = Theft From Motor Vehicle"/>
    <n v="2025"/>
    <n v="2"/>
    <n v="2"/>
    <n v="6"/>
    <n v="6"/>
    <d v="2025-01-06T15:30:00"/>
    <n v="90"/>
    <s v="Suspect(s): Unknown.     I responded to the listed location, 90 Prospect Avenue, on a report of a burglary to auto. Upon arrival, I was met by the victim, Kelly Nurnberg-Darzi, who stated on the morning of 01/10/25 she responded to her grey 2006 Honda Pilot and observed all of her work equipment to be missing. The victim advised me she specialized in opening safes and stores several of her high-value tools in the rear of the listed vehicle. The victim stated the listed vehicle was parked in assigned space #20 and did not move it from the assigned space. The victim stated she last recalled observing her tools in the listed vehicle on 01/06/25 and had not returned to the vehicle since. The following items were taken from the listed vehicle:2 Boroscope - $5,000.00 USD8 Redundant Locks - $2,000.00 USD5 Drills - $5,000.00 USD1 large box of drill bits - $1,200.00 USD1 tool bag with several tools - $2,000.00 USD6 Electronic locks - $1,320.00 USD4 FAS locks - $480.00 Total Value - $17,000.00 USD     While on scene, I observed several cameras in the parking garage of 90 Prospect Avenue. I further observed the listed vehicle to have a broken rear passenger side window which gives direct access to the vehicles trunk. The victim stated the damage occurred on 01/04/25 while her son was parking the vehicle. The victim further stated she did not have any time to repair the broken window and remove the tools from the vehicle prior to them being taken.      The victim advised me she believes the suspect may be her husband Uri Darzi whom she is currently in a civil lawsuit with. Sgt. Peralta responded assist.A victim notification form was completed and a copy was given to the victim."/>
    <s v="Vehicle 1: NJ-XCSW43 HONDA, PIL"/>
    <s v="suspect(s): unknown suspect may be her husband uri darzi whom she is currently in a civil lawsuit with"/>
    <s v="$5,000.00 USD8 Redundant Locks -  $2,000.00 USD5 Drills -  $5,000.00 USD1 large box of drill bits -  $1,200.00 USD1 tool bag with several tools -  $2,000.00 USD6 Electronic locks -  $1,320.00 USD4 FAS locks -  $480.00 Total Value -  $17,000.00 USD     While on scene, I observed several cameras in the parking garage of 90 Prospect Avenue. I further observed the listed vehicle to have a broken rear passenger side window which gives direct access to the vehicles trunk"/>
    <s v="C01W01"/>
  </r>
  <r>
    <s v="25-002635"/>
    <x v="0"/>
    <x v="0"/>
    <d v="1899-12-30T15:00:00"/>
    <d v="1899-12-30T15:30:00"/>
    <x v="0"/>
    <s v="January"/>
    <s v="Prospect Ave, 0 Block"/>
    <s v="90 Prospect Avenue"/>
    <x v="0"/>
    <s v="Burglary - Auto"/>
    <s v=""/>
    <s v=""/>
    <s v="90 Prospect Avenue, Hackensack, NJ, 07601"/>
    <m/>
    <n v="7"/>
    <s v="Suspect(s): Unknown.     I responded to the listed location, 90 Prospect Avenue, on a report of a burglary to auto. Upon arrival, I was met by the victim, Kelly Nurnberg-Darzi, who stated on the morning of 01/10/25 she responded to her grey 2006 Honda Pilot and observed all of her work equipment to be missing. The victim advised me she specialized in opening safes and stores several of her high-value tools in the rear of the listed vehicle. The victim stated the listed vehicle was parked in assigned space #20 and did not move it from the assigned space. The victim stated she last recalled observing her tools in the listed vehicle on 01/06/25 and had not returned to the vehicle since. The following items were taken from the listed vehicle:2 Boroscope - $5,000.00 USD8 Redundant Locks - $2,000.00 USD5 Drills - $5,000.00 USD1 large box of drill bits - $1,200.00 USD1 tool bag with several tools - $2,000.00 USD6 Electronic locks - $1,320.00 USD4 FAS locks - $480.00 Total Value - $17,000.00 USD     While on scene, I observed several cameras in the parking garage of 90 Prospect Avenue. I further observed the listed vehicle to have a broken rear passenger side window which gives direct access to the vehicles trunk. The victim stated the damage occurred on 01/04/25 while her son was parking the vehicle. The victim further stated she did not have any time to repair the broken window and remove the tools from the vehicle prior to them being taken.      The victim advised me she believes the suspect may be her husband Uri Darzi whom she is currently in a civil lawsuit with. Sgt. Peralta responded assist.A victim notification form was completed and a copy was given to the victim."/>
    <m/>
    <m/>
    <s v="XCSW43"/>
    <s v="HONDA"/>
    <s v="PIL"/>
    <s v="NJ"/>
    <m/>
    <m/>
    <m/>
    <m/>
    <s v="Deleon_A"/>
    <s v="P.O. Ruben Almonte 359"/>
    <s v="A3"/>
    <s v="Det. Matthew DeBonis 325"/>
    <s v="Active/Administratively Closed"/>
    <s v="23F = Theft From Motor Vehicle"/>
    <n v="2025"/>
    <n v="2"/>
    <n v="2"/>
    <n v="6"/>
    <n v="6"/>
    <d v="2025-01-06T15:30:00"/>
    <n v="90"/>
    <s v="Suspect(s): Unknown.     I responded to the listed location, 90 Prospect Avenue, on a report of a burglary to auto. Upon arrival, I was met by the victim, Kelly Nurnberg-Darzi, who stated on the morning of 01/10/25 she responded to her grey 2006 Honda Pilot and observed all of her work equipment to be missing. The victim advised me she specialized in opening safes and stores several of her high-value tools in the rear of the listed vehicle. The victim stated the listed vehicle was parked in assigned space #20 and did not move it from the assigned space. The victim stated she last recalled observing her tools in the listed vehicle on 01/06/25 and had not returned to the vehicle since. The following items were taken from the listed vehicle:2 Boroscope - $5,000.00 USD8 Redundant Locks - $2,000.00 USD5 Drills - $5,000.00 USD1 large box of drill bits - $1,200.00 USD1 tool bag with several tools - $2,000.00 USD6 Electronic locks - $1,320.00 USD4 FAS locks - $480.00 Total Value - $17,000.00 USD     While on scene, I observed several cameras in the parking garage of 90 Prospect Avenue. I further observed the listed vehicle to have a broken rear passenger side window which gives direct access to the vehicles trunk. The victim stated the damage occurred on 01/04/25 while her son was parking the vehicle. The victim further stated she did not have any time to repair the broken window and remove the tools from the vehicle prior to them being taken.      The victim advised me she believes the suspect may be her husband Uri Darzi whom she is currently in a civil lawsuit with. Sgt. Peralta responded assist.A victim notification form was completed and a copy was given to the victim."/>
    <s v="Vehicle 1: NJ-XCSW43 HONDA, PIL"/>
    <s v="suspect(s): unknown suspect may be her husband uri darzi whom she is currently in a civil lawsuit with"/>
    <s v="$5,000.00 USD8 Redundant Locks -  $2,000.00 USD5 Drills -  $5,000.00 USD1 large box of drill bits -  $1,200.00 USD1 tool bag with several tools -  $2,000.00 USD6 Electronic locks -  $1,320.00 USD4 FAS locks -  $480.00 Total Value -  $17,000.00 USD     While on scene, I observed several cameras in the parking garage of 90 Prospect Avenue. I further observed the listed vehicle to have a broken rear passenger side window which gives direct access to the vehicles trunk"/>
    <s v="C01W01"/>
  </r>
  <r>
    <s v="25-002635"/>
    <x v="0"/>
    <x v="0"/>
    <d v="1899-12-30T15:00:00"/>
    <d v="1899-12-30T15:30:00"/>
    <x v="0"/>
    <s v="January"/>
    <s v="Prospect Ave, 0 Block"/>
    <s v="90 Prospect Avenue"/>
    <x v="0"/>
    <s v="Burglary - Auto"/>
    <s v=""/>
    <s v=""/>
    <s v="90 Prospect Avenue, Hackensack, NJ, 07601"/>
    <m/>
    <n v="7"/>
    <s v="Suspect(s): Unknown.     I responded to the listed location, 90 Prospect Avenue, on a report of a burglary to auto. Upon arrival, I was met by the victim, Kelly Nurnberg-Darzi, who stated on the morning of 01/10/25 she responded to her grey 2006 Honda Pilot and observed all of her work equipment to be missing. The victim advised me she specialized in opening safes and stores several of her high-value tools in the rear of the listed vehicle. The victim stated the listed vehicle was parked in assigned space #20 and did not move it from the assigned space. The victim stated she last recalled observing her tools in the listed vehicle on 01/06/25 and had not returned to the vehicle since. The following items were taken from the listed vehicle:2 Boroscope - $5,000.00 USD8 Redundant Locks - $2,000.00 USD5 Drills - $5,000.00 USD1 large box of drill bits - $1,200.00 USD1 tool bag with several tools - $2,000.00 USD6 Electronic locks - $1,320.00 USD4 FAS locks - $480.00 Total Value - $17,000.00 USD     While on scene, I observed several cameras in the parking garage of 90 Prospect Avenue. I further observed the listed vehicle to have a broken rear passenger side window which gives direct access to the vehicles trunk. The victim stated the damage occurred on 01/04/25 while her son was parking the vehicle. The victim further stated she did not have any time to repair the broken window and remove the tools from the vehicle prior to them being taken.      The victim advised me she believes the suspect may be her husband Uri Darzi whom she is currently in a civil lawsuit with. Sgt. Peralta responded assist.A victim notification form was completed and a copy was given to the victim."/>
    <m/>
    <m/>
    <s v="XCSW43"/>
    <s v="HONDA"/>
    <s v="PIL"/>
    <s v="NJ"/>
    <m/>
    <m/>
    <m/>
    <m/>
    <s v="Deleon_A"/>
    <s v="P.O. Ruben Almonte 359"/>
    <s v="A3"/>
    <s v="Det. Matthew DeBonis 325"/>
    <s v="Active/Administratively Closed"/>
    <s v="23F = Theft From Motor Vehicle"/>
    <n v="2025"/>
    <n v="2"/>
    <n v="2"/>
    <n v="6"/>
    <n v="6"/>
    <d v="2025-01-06T15:30:00"/>
    <n v="90"/>
    <s v="Suspect(s): Unknown.     I responded to the listed location, 90 Prospect Avenue, on a report of a burglary to auto. Upon arrival, I was met by the victim, Kelly Nurnberg-Darzi, who stated on the morning of 01/10/25 she responded to her grey 2006 Honda Pilot and observed all of her work equipment to be missing. The victim advised me she specialized in opening safes and stores several of her high-value tools in the rear of the listed vehicle. The victim stated the listed vehicle was parked in assigned space #20 and did not move it from the assigned space. The victim stated she last recalled observing her tools in the listed vehicle on 01/06/25 and had not returned to the vehicle since. The following items were taken from the listed vehicle:2 Boroscope - $5,000.00 USD8 Redundant Locks - $2,000.00 USD5 Drills - $5,000.00 USD1 large box of drill bits - $1,200.00 USD1 tool bag with several tools - $2,000.00 USD6 Electronic locks - $1,320.00 USD4 FAS locks - $480.00 Total Value - $17,000.00 USD     While on scene, I observed several cameras in the parking garage of 90 Prospect Avenue. I further observed the listed vehicle to have a broken rear passenger side window which gives direct access to the vehicles trunk. The victim stated the damage occurred on 01/04/25 while her son was parking the vehicle. The victim further stated she did not have any time to repair the broken window and remove the tools from the vehicle prior to them being taken.      The victim advised me she believes the suspect may be her husband Uri Darzi whom she is currently in a civil lawsuit with. Sgt. Peralta responded assist.A victim notification form was completed and a copy was given to the victim."/>
    <s v="Vehicle 1: NJ-XCSW43 HONDA, PIL"/>
    <s v="suspect(s): unknown suspect may be her husband uri darzi whom she is currently in a civil lawsuit with"/>
    <s v="$5,000.00 USD8 Redundant Locks -  $2,000.00 USD5 Drills -  $5,000.00 USD1 large box of drill bits -  $1,200.00 USD1 tool bag with several tools -  $2,000.00 USD6 Electronic locks -  $1,320.00 USD4 FAS locks -  $480.00 Total Value -  $17,000.00 USD     While on scene, I observed several cameras in the parking garage of 90 Prospect Avenue. I further observed the listed vehicle to have a broken rear passenger side window which gives direct access to the vehicles trunk"/>
    <s v="C01W01"/>
  </r>
  <r>
    <s v="25-002635"/>
    <x v="0"/>
    <x v="0"/>
    <d v="1899-12-30T15:00:00"/>
    <d v="1899-12-30T15:30:00"/>
    <x v="0"/>
    <s v="January"/>
    <s v="Prospect Ave, 0 Block"/>
    <s v="90 Prospect Avenue"/>
    <x v="0"/>
    <s v="Burglary - Auto"/>
    <s v=""/>
    <s v=""/>
    <s v="90 Prospect Avenue, Hackensack, NJ, 07601"/>
    <m/>
    <n v="7"/>
    <s v="Suspect(s): Unknown.     I responded to the listed location, 90 Prospect Avenue, on a report of a burglary to auto. Upon arrival, I was met by the victim, Kelly Nurnberg-Darzi, who stated on the morning of 01/10/25 she responded to her grey 2006 Honda Pilot and observed all of her work equipment to be missing. The victim advised me she specialized in opening safes and stores several of her high-value tools in the rear of the listed vehicle. The victim stated the listed vehicle was parked in assigned space #20 and did not move it from the assigned space. The victim stated she last recalled observing her tools in the listed vehicle on 01/06/25 and had not returned to the vehicle since. The following items were taken from the listed vehicle:2 Boroscope - $5,000.00 USD8 Redundant Locks - $2,000.00 USD5 Drills - $5,000.00 USD1 large box of drill bits - $1,200.00 USD1 tool bag with several tools - $2,000.00 USD6 Electronic locks - $1,320.00 USD4 FAS locks - $480.00 Total Value - $17,000.00 USD     While on scene, I observed several cameras in the parking garage of 90 Prospect Avenue. I further observed the listed vehicle to have a broken rear passenger side window which gives direct access to the vehicles trunk. The victim stated the damage occurred on 01/04/25 while her son was parking the vehicle. The victim further stated she did not have any time to repair the broken window and remove the tools from the vehicle prior to them being taken.      The victim advised me she believes the suspect may be her husband Uri Darzi whom she is currently in a civil lawsuit with. Sgt. Peralta responded assist.A victim notification form was completed and a copy was given to the victim."/>
    <m/>
    <m/>
    <s v="XCSW43"/>
    <s v="HONDA"/>
    <s v="PIL"/>
    <s v="NJ"/>
    <m/>
    <m/>
    <m/>
    <m/>
    <s v="Deleon_A"/>
    <s v="P.O. Ruben Almonte 359"/>
    <s v="A3"/>
    <s v="Det. Matthew DeBonis 325"/>
    <s v="Active/Administratively Closed"/>
    <s v="23F = Theft From Motor Vehicle"/>
    <n v="2025"/>
    <n v="2"/>
    <n v="2"/>
    <n v="6"/>
    <n v="6"/>
    <d v="2025-01-06T15:30:00"/>
    <n v="90"/>
    <s v="Suspect(s): Unknown.     I responded to the listed location, 90 Prospect Avenue, on a report of a burglary to auto. Upon arrival, I was met by the victim, Kelly Nurnberg-Darzi, who stated on the morning of 01/10/25 she responded to her grey 2006 Honda Pilot and observed all of her work equipment to be missing. The victim advised me she specialized in opening safes and stores several of her high-value tools in the rear of the listed vehicle. The victim stated the listed vehicle was parked in assigned space #20 and did not move it from the assigned space. The victim stated she last recalled observing her tools in the listed vehicle on 01/06/25 and had not returned to the vehicle since. The following items were taken from the listed vehicle:2 Boroscope - $5,000.00 USD8 Redundant Locks - $2,000.00 USD5 Drills - $5,000.00 USD1 large box of drill bits - $1,200.00 USD1 tool bag with several tools - $2,000.00 USD6 Electronic locks - $1,320.00 USD4 FAS locks - $480.00 Total Value - $17,000.00 USD     While on scene, I observed several cameras in the parking garage of 90 Prospect Avenue. I further observed the listed vehicle to have a broken rear passenger side window which gives direct access to the vehicles trunk. The victim stated the damage occurred on 01/04/25 while her son was parking the vehicle. The victim further stated she did not have any time to repair the broken window and remove the tools from the vehicle prior to them being taken.      The victim advised me she believes the suspect may be her husband Uri Darzi whom she is currently in a civil lawsuit with. Sgt. Peralta responded assist.A victim notification form was completed and a copy was given to the victim."/>
    <s v="Vehicle 1: NJ-XCSW43 HONDA, PIL"/>
    <s v="suspect(s): unknown suspect may be her husband uri darzi whom she is currently in a civil lawsuit with"/>
    <s v="$5,000.00 USD8 Redundant Locks -  $2,000.00 USD5 Drills -  $5,000.00 USD1 large box of drill bits -  $1,200.00 USD1 tool bag with several tools -  $2,000.00 USD6 Electronic locks -  $1,320.00 USD4 FAS locks -  $480.00 Total Value -  $17,000.00 USD     While on scene, I observed several cameras in the parking garage of 90 Prospect Avenue. I further observed the listed vehicle to have a broken rear passenger side window which gives direct access to the vehicles trunk"/>
    <s v="C01W01"/>
  </r>
  <r>
    <s v="25-002635"/>
    <x v="0"/>
    <x v="0"/>
    <d v="1899-12-30T15:00:00"/>
    <d v="1899-12-30T15:30:00"/>
    <x v="0"/>
    <s v="January"/>
    <s v="Prospect Ave, 0 Block"/>
    <s v="90 Prospect Avenue"/>
    <x v="0"/>
    <s v="Burglary - Auto"/>
    <s v=""/>
    <s v=""/>
    <s v="90 Prospect Avenue, Hackensack, NJ, 07601"/>
    <m/>
    <n v="7"/>
    <s v="Suspect(s): Unknown.     I responded to the listed location, 90 Prospect Avenue, on a report of a burglary to auto. Upon arrival, I was met by the victim, Kelly Nurnberg-Darzi, who stated on the morning of 01/10/25 she responded to her grey 2006 Honda Pilot and observed all of her work equipment to be missing. The victim advised me she specialized in opening safes and stores several of her high-value tools in the rear of the listed vehicle. The victim stated the listed vehicle was parked in assigned space #20 and did not move it from the assigned space. The victim stated she last recalled observing her tools in the listed vehicle on 01/06/25 and had not returned to the vehicle since. The following items were taken from the listed vehicle:2 Boroscope - $5,000.00 USD8 Redundant Locks - $2,000.00 USD5 Drills - $5,000.00 USD1 large box of drill bits - $1,200.00 USD1 tool bag with several tools - $2,000.00 USD6 Electronic locks - $1,320.00 USD4 FAS locks - $480.00 Total Value - $17,000.00 USD     While on scene, I observed several cameras in the parking garage of 90 Prospect Avenue. I further observed the listed vehicle to have a broken rear passenger side window which gives direct access to the vehicles trunk. The victim stated the damage occurred on 01/04/25 while her son was parking the vehicle. The victim further stated she did not have any time to repair the broken window and remove the tools from the vehicle prior to them being taken.      The victim advised me she believes the suspect may be her husband Uri Darzi whom she is currently in a civil lawsuit with. Sgt. Peralta responded assist.A victim notification form was completed and a copy was given to the victim."/>
    <m/>
    <m/>
    <s v="XCSW43"/>
    <s v="HONDA"/>
    <s v="PIL"/>
    <s v="NJ"/>
    <m/>
    <m/>
    <m/>
    <m/>
    <s v="Deleon_A"/>
    <s v="P.O. Ruben Almonte 359"/>
    <s v="A3"/>
    <s v="Det. Matthew DeBonis 325"/>
    <s v="Active/Administratively Closed"/>
    <s v="23F = Theft From Motor Vehicle"/>
    <n v="2025"/>
    <n v="2"/>
    <n v="2"/>
    <n v="6"/>
    <n v="6"/>
    <d v="2025-01-06T15:30:00"/>
    <n v="90"/>
    <s v="Suspect(s): Unknown.     I responded to the listed location, 90 Prospect Avenue, on a report of a burglary to auto. Upon arrival, I was met by the victim, Kelly Nurnberg-Darzi, who stated on the morning of 01/10/25 she responded to her grey 2006 Honda Pilot and observed all of her work equipment to be missing. The victim advised me she specialized in opening safes and stores several of her high-value tools in the rear of the listed vehicle. The victim stated the listed vehicle was parked in assigned space #20 and did not move it from the assigned space. The victim stated she last recalled observing her tools in the listed vehicle on 01/06/25 and had not returned to the vehicle since. The following items were taken from the listed vehicle:2 Boroscope - $5,000.00 USD8 Redundant Locks - $2,000.00 USD5 Drills - $5,000.00 USD1 large box of drill bits - $1,200.00 USD1 tool bag with several tools - $2,000.00 USD6 Electronic locks - $1,320.00 USD4 FAS locks - $480.00 Total Value - $17,000.00 USD     While on scene, I observed several cameras in the parking garage of 90 Prospect Avenue. I further observed the listed vehicle to have a broken rear passenger side window which gives direct access to the vehicles trunk. The victim stated the damage occurred on 01/04/25 while her son was parking the vehicle. The victim further stated she did not have any time to repair the broken window and remove the tools from the vehicle prior to them being taken.      The victim advised me she believes the suspect may be her husband Uri Darzi whom she is currently in a civil lawsuit with. Sgt. Peralta responded assist.A victim notification form was completed and a copy was given to the victim."/>
    <s v="Vehicle 1: NJ-XCSW43 HONDA, PIL"/>
    <s v="suspect(s): unknown suspect may be her husband uri darzi whom she is currently in a civil lawsuit with"/>
    <s v="$5,000.00 USD8 Redundant Locks -  $2,000.00 USD5 Drills -  $5,000.00 USD1 large box of drill bits -  $1,200.00 USD1 tool bag with several tools -  $2,000.00 USD6 Electronic locks -  $1,320.00 USD4 FAS locks -  $480.00 Total Value -  $17,000.00 USD     While on scene, I observed several cameras in the parking garage of 90 Prospect Avenue. I further observed the listed vehicle to have a broken rear passenger side window which gives direct access to the vehicles trunk"/>
    <s v="C01W01"/>
  </r>
  <r>
    <s v="25-002635"/>
    <x v="0"/>
    <x v="0"/>
    <d v="1899-12-30T15:00:00"/>
    <d v="1899-12-30T15:30:00"/>
    <x v="0"/>
    <s v="January"/>
    <s v="Prospect Ave, 0 Block"/>
    <s v="90 Prospect Avenue"/>
    <x v="0"/>
    <s v="Burglary - Auto"/>
    <s v=""/>
    <s v=""/>
    <s v="90 Prospect Avenue, Hackensack, NJ, 07601"/>
    <m/>
    <n v="7"/>
    <s v="Suspect(s): Unknown.     I responded to the listed location, 90 Prospect Avenue, on a report of a burglary to auto. Upon arrival, I was met by the victim, Kelly Nurnberg-Darzi, who stated on the morning of 01/10/25 she responded to her grey 2006 Honda Pilot and observed all of her work equipment to be missing. The victim advised me she specialized in opening safes and stores several of her high-value tools in the rear of the listed vehicle. The victim stated the listed vehicle was parked in assigned space #20 and did not move it from the assigned space. The victim stated she last recalled observing her tools in the listed vehicle on 01/06/25 and had not returned to the vehicle since. The following items were taken from the listed vehicle:2 Boroscope - $5,000.00 USD8 Redundant Locks - $2,000.00 USD5 Drills - $5,000.00 USD1 large box of drill bits - $1,200.00 USD1 tool bag with several tools - $2,000.00 USD6 Electronic locks - $1,320.00 USD4 FAS locks - $480.00 Total Value - $17,000.00 USD     While on scene, I observed several cameras in the parking garage of 90 Prospect Avenue. I further observed the listed vehicle to have a broken rear passenger side window which gives direct access to the vehicles trunk. The victim stated the damage occurred on 01/04/25 while her son was parking the vehicle. The victim further stated she did not have any time to repair the broken window and remove the tools from the vehicle prior to them being taken.      The victim advised me she believes the suspect may be her husband Uri Darzi whom she is currently in a civil lawsuit with. Sgt. Peralta responded assist.A victim notification form was completed and a copy was given to the victim."/>
    <m/>
    <m/>
    <s v="XCSW43"/>
    <s v="HONDA"/>
    <s v="PIL"/>
    <s v="NJ"/>
    <m/>
    <m/>
    <m/>
    <m/>
    <s v="Deleon_A"/>
    <s v="P.O. Ruben Almonte 359"/>
    <s v="A3"/>
    <s v="Det. Matthew DeBonis 325"/>
    <s v="Active/Administratively Closed"/>
    <s v="23F = Theft From Motor Vehicle"/>
    <n v="2025"/>
    <n v="2"/>
    <n v="2"/>
    <n v="6"/>
    <n v="6"/>
    <d v="2025-01-06T15:30:00"/>
    <n v="90"/>
    <s v="Suspect(s): Unknown.     I responded to the listed location, 90 Prospect Avenue, on a report of a burglary to auto. Upon arrival, I was met by the victim, Kelly Nurnberg-Darzi, who stated on the morning of 01/10/25 she responded to her grey 2006 Honda Pilot and observed all of her work equipment to be missing. The victim advised me she specialized in opening safes and stores several of her high-value tools in the rear of the listed vehicle. The victim stated the listed vehicle was parked in assigned space #20 and did not move it from the assigned space. The victim stated she last recalled observing her tools in the listed vehicle on 01/06/25 and had not returned to the vehicle since. The following items were taken from the listed vehicle:2 Boroscope - $5,000.00 USD8 Redundant Locks - $2,000.00 USD5 Drills - $5,000.00 USD1 large box of drill bits - $1,200.00 USD1 tool bag with several tools - $2,000.00 USD6 Electronic locks - $1,320.00 USD4 FAS locks - $480.00 Total Value - $17,000.00 USD     While on scene, I observed several cameras in the parking garage of 90 Prospect Avenue. I further observed the listed vehicle to have a broken rear passenger side window which gives direct access to the vehicles trunk. The victim stated the damage occurred on 01/04/25 while her son was parking the vehicle. The victim further stated she did not have any time to repair the broken window and remove the tools from the vehicle prior to them being taken.      The victim advised me she believes the suspect may be her husband Uri Darzi whom she is currently in a civil lawsuit with. Sgt. Peralta responded assist.A victim notification form was completed and a copy was given to the victim."/>
    <s v="Vehicle 1: NJ-XCSW43 HONDA, PIL"/>
    <s v="suspect(s): unknown suspect may be her husband uri darzi whom she is currently in a civil lawsuit with"/>
    <s v="$5,000.00 USD8 Redundant Locks -  $2,000.00 USD5 Drills -  $5,000.00 USD1 large box of drill bits -  $1,200.00 USD1 tool bag with several tools -  $2,000.00 USD6 Electronic locks -  $1,320.00 USD4 FAS locks -  $480.00 Total Value -  $17,000.00 USD     While on scene, I observed several cameras in the parking garage of 90 Prospect Avenue. I further observed the listed vehicle to have a broken rear passenger side window which gives direct access to the vehicles trunk"/>
    <s v="C01W01"/>
  </r>
  <r>
    <s v="25-002635"/>
    <x v="0"/>
    <x v="0"/>
    <d v="1899-12-30T15:00:00"/>
    <d v="1899-12-30T15:30:00"/>
    <x v="0"/>
    <s v="January"/>
    <s v="Prospect Ave, 0 Block"/>
    <s v="90 Prospect Avenue"/>
    <x v="0"/>
    <s v="Burglary - Auto"/>
    <s v=""/>
    <s v=""/>
    <s v="90 Prospect Avenue, Hackensack, NJ, 07601"/>
    <m/>
    <n v="7"/>
    <s v="Suspect(s): Unknown.     I responded to the listed location, 90 Prospect Avenue, on a report of a burglary to auto. Upon arrival, I was met by the victim, Kelly Nurnberg-Darzi, who stated on the morning of 01/10/25 she responded to her grey 2006 Honda Pilot and observed all of her work equipment to be missing. The victim advised me she specialized in opening safes and stores several of her high-value tools in the rear of the listed vehicle. The victim stated the listed vehicle was parked in assigned space #20 and did not move it from the assigned space. The victim stated she last recalled observing her tools in the listed vehicle on 01/06/25 and had not returned to the vehicle since. The following items were taken from the listed vehicle:2 Boroscope - $5,000.00 USD8 Redundant Locks - $2,000.00 USD5 Drills - $5,000.00 USD1 large box of drill bits - $1,200.00 USD1 tool bag with several tools - $2,000.00 USD6 Electronic locks - $1,320.00 USD4 FAS locks - $480.00 Total Value - $17,000.00 USD     While on scene, I observed several cameras in the parking garage of 90 Prospect Avenue. I further observed the listed vehicle to have a broken rear passenger side window which gives direct access to the vehicles trunk. The victim stated the damage occurred on 01/04/25 while her son was parking the vehicle. The victim further stated she did not have any time to repair the broken window and remove the tools from the vehicle prior to them being taken.      The victim advised me she believes the suspect may be her husband Uri Darzi whom she is currently in a civil lawsuit with. Sgt. Peralta responded assist.A victim notification form was completed and a copy was given to the victim."/>
    <m/>
    <m/>
    <s v="XCSW43"/>
    <s v="HONDA"/>
    <s v="PIL"/>
    <s v="NJ"/>
    <m/>
    <m/>
    <m/>
    <m/>
    <s v="Deleon_A"/>
    <s v="P.O. Ruben Almonte 359"/>
    <s v="A3"/>
    <s v="Det. Matthew DeBonis 325"/>
    <s v="Active/Administratively Closed"/>
    <s v="23F = Theft From Motor Vehicle"/>
    <n v="2025"/>
    <n v="2"/>
    <n v="2"/>
    <n v="6"/>
    <n v="6"/>
    <d v="2025-01-06T15:30:00"/>
    <n v="90"/>
    <s v="Suspect(s): Unknown.     I responded to the listed location, 90 Prospect Avenue, on a report of a burglary to auto. Upon arrival, I was met by the victim, Kelly Nurnberg-Darzi, who stated on the morning of 01/10/25 she responded to her grey 2006 Honda Pilot and observed all of her work equipment to be missing. The victim advised me she specialized in opening safes and stores several of her high-value tools in the rear of the listed vehicle. The victim stated the listed vehicle was parked in assigned space #20 and did not move it from the assigned space. The victim stated she last recalled observing her tools in the listed vehicle on 01/06/25 and had not returned to the vehicle since. The following items were taken from the listed vehicle:2 Boroscope - $5,000.00 USD8 Redundant Locks - $2,000.00 USD5 Drills - $5,000.00 USD1 large box of drill bits - $1,200.00 USD1 tool bag with several tools - $2,000.00 USD6 Electronic locks - $1,320.00 USD4 FAS locks - $480.00 Total Value - $17,000.00 USD     While on scene, I observed several cameras in the parking garage of 90 Prospect Avenue. I further observed the listed vehicle to have a broken rear passenger side window which gives direct access to the vehicles trunk. The victim stated the damage occurred on 01/04/25 while her son was parking the vehicle. The victim further stated she did not have any time to repair the broken window and remove the tools from the vehicle prior to them being taken.      The victim advised me she believes the suspect may be her husband Uri Darzi whom she is currently in a civil lawsuit with. Sgt. Peralta responded assist.A victim notification form was completed and a copy was given to the victim."/>
    <s v="Vehicle 1: NJ-XCSW43 HONDA, PIL"/>
    <s v="suspect(s): unknown suspect may be her husband uri darzi whom she is currently in a civil lawsuit with"/>
    <s v="$5,000.00 USD8 Redundant Locks -  $2,000.00 USD5 Drills -  $5,000.00 USD1 large box of drill bits -  $1,200.00 USD1 tool bag with several tools -  $2,000.00 USD6 Electronic locks -  $1,320.00 USD4 FAS locks -  $480.00 Total Value -  $17,000.00 USD     While on scene, I observed several cameras in the parking garage of 90 Prospect Avenue. I further observed the listed vehicle to have a broken rear passenger side window which gives direct access to the vehicles trunk"/>
    <s v="C01W01"/>
  </r>
  <r>
    <s v="25-007074"/>
    <x v="1"/>
    <x v="1"/>
    <d v="1899-12-30T18:00:00"/>
    <d v="1899-12-30T18:27:00"/>
    <x v="1"/>
    <s v="January"/>
    <s v="Stanley Pl, 200 Block"/>
    <s v="206 Stanley Place"/>
    <x v="1"/>
    <s v="Burglary - Auto"/>
    <s v="Theft"/>
    <s v=""/>
    <s v="206 Stanley Place, Hackensack, NJ, 07601"/>
    <s v="H3"/>
    <n v="8"/>
    <s v="Suspect description: Possibly male, approximately 5'7'' in height, with a slim build. On 1/26/25 P.O. Papanikolaou and I responded to 206 Stanley Place on a reported theft from auto. Upon arrival, I spoke with the victim, Phyllis Cunningham. The victim reported on 1/25/25 at approximately 20:52 hours she received a text message from her son. The text was a video of an unknown suspect entering her vehicle, New Jersey Registration R36GBB. The listed vehicle was parked in the driveway at 206 Stanley Place. The victim showed me the video that her son texted her. Upon observing the video I observed on 1/25/25 at 18:27 hours the suspect entered the vehicle from the front driver side door, which was left insecure. Later, the suspect was seen on video to be searching through the vehicle. After the incident the victim responded to check her vehicle. Upon inspecting her vehicle nothing appeared to be stolen and no damage was observed. A New Jersey victim notification form was completed. The victim did not request to have the vehicle processed. At this time the victim reported if the suspect could be identified she would pursue a criminal case.  The victim was advised to save the video surveillance of the incident. Sgt. Competiello was advised."/>
    <m/>
    <m/>
    <s v="R36GBB"/>
    <s v="HONDA"/>
    <s v="CRV"/>
    <s v="NJ"/>
    <m/>
    <m/>
    <m/>
    <m/>
    <s v="Levis_R"/>
    <s v="P.O. Massimo Gallorini 379"/>
    <s v="A2"/>
    <s v="Sgt. Franklin Bay 162"/>
    <s v="No Investigation"/>
    <s v="23F = Theft From Motor Vehicle"/>
    <n v="2025"/>
    <n v="4"/>
    <n v="4"/>
    <n v="25"/>
    <n v="25"/>
    <d v="2025-01-25T18:27:00"/>
    <n v="206"/>
    <s v="Suspect description: Possibly male, approximately 5'7'' in height, with a slim build. On 1/26/25 P.O. Papanikolaou and I responded to 206 Stanley Place on a reported theft from auto. Upon arrival, I spoke with the victim, Phyllis Cunningham. The victim reported on 1/25/25 at approximately 20:52 hours she received a text message from her son. The text was a video of an unknown suspect entering her vehicle, New Jersey Registration R36GBB. The listed vehicle was parked in the driveway at 206 Stanley Place. The victim showed me the video that her son texted her. Upon observing the video I observed on 1/25/25 at 18:27 hours the suspect entered the vehicle from the front driver side door, which was left insecure. Later, the suspect was seen on video to be searching through the vehicle. After the incident the victim responded to check her vehicle. Upon inspecting her vehicle nothing appeared to be stolen and no damage was observed. A New Jersey victim notification form was completed. The victim did not request to have the vehicle processed. At this time the victim reported if the suspect could be identified she would pursue a criminal case.  The victim was advised to save the video surveillance of the incident. Sgt. Competiello was advised."/>
    <s v="Vehicle 1: NJ-R36GBB HONDA, CRV"/>
    <s v="suspect description: possibly male, approximately 5'7'' in height, with a slim build suspect entering her vehicle, new jersey registration r36gbb suspect entered the vehicle from the front driver side door, which was left insecure suspect was seen on video to be searching through the vehicle suspect could be identified she would pursue a criminal case"/>
    <s v=""/>
    <s v="C01W04"/>
  </r>
  <r>
    <s v="25-007074"/>
    <x v="1"/>
    <x v="1"/>
    <d v="1899-12-30T18:00:00"/>
    <d v="1899-12-30T18:27:00"/>
    <x v="1"/>
    <s v="January"/>
    <s v="Stanley Pl, 200 Block"/>
    <s v="206 Stanley Place"/>
    <x v="1"/>
    <s v="Burglary - Auto"/>
    <s v="Theft"/>
    <s v=""/>
    <s v="206 Stanley Place, Hackensack, NJ, 07601"/>
    <s v="H3"/>
    <n v="8"/>
    <s v="Suspect description: Possibly male, approximately 5'7'' in height, with a slim build. On 1/26/25 P.O. Papanikolaou and I responded to 206 Stanley Place on a reported theft from auto. Upon arrival, I spoke with the victim, Phyllis Cunningham. The victim reported on 1/25/25 at approximately 20:52 hours she received a text message from her son. The text was a video of an unknown suspect entering her vehicle, New Jersey Registration R36GBB. The listed vehicle was parked in the driveway at 206 Stanley Place. The victim showed me the video that her son texted her. Upon observing the video I observed on 1/25/25 at 18:27 hours the suspect entered the vehicle from the front driver side door, which was left insecure. Later, the suspect was seen on video to be searching through the vehicle. After the incident the victim responded to check her vehicle. Upon inspecting her vehicle nothing appeared to be stolen and no damage was observed. A New Jersey victim notification form was completed. The victim did not request to have the vehicle processed. At this time the victim reported if the suspect could be identified she would pursue a criminal case.  The victim was advised to save the video surveillance of the incident. Sgt. Competiello was advised."/>
    <m/>
    <m/>
    <s v="R36GBB"/>
    <s v="HONDA"/>
    <s v="CRV"/>
    <s v="NJ"/>
    <m/>
    <m/>
    <m/>
    <m/>
    <s v="Levis_R"/>
    <s v="P.O. Massimo Gallorini 379"/>
    <s v="A2"/>
    <s v="Sgt. Franklin Bay 162"/>
    <s v="No Investigation"/>
    <s v="23F = Theft From Motor Vehicle"/>
    <n v="2025"/>
    <n v="4"/>
    <n v="4"/>
    <n v="25"/>
    <n v="25"/>
    <d v="2025-01-25T18:27:00"/>
    <n v="206"/>
    <s v="Suspect description: Possibly male, approximately 5'7'' in height, with a slim build. On 1/26/25 P.O. Papanikolaou and I responded to 206 Stanley Place on a reported theft from auto. Upon arrival, I spoke with the victim, Phyllis Cunningham. The victim reported on 1/25/25 at approximately 20:52 hours she received a text message from her son. The text was a video of an unknown suspect entering her vehicle, New Jersey Registration R36GBB. The listed vehicle was parked in the driveway at 206 Stanley Place. The victim showed me the video that her son texted her. Upon observing the video I observed on 1/25/25 at 18:27 hours the suspect entered the vehicle from the front driver side door, which was left insecure. Later, the suspect was seen on video to be searching through the vehicle. After the incident the victim responded to check her vehicle. Upon inspecting her vehicle nothing appeared to be stolen and no damage was observed. A New Jersey victim notification form was completed. The victim did not request to have the vehicle processed. At this time the victim reported if the suspect could be identified she would pursue a criminal case.  The victim was advised to save the video surveillance of the incident. Sgt. Competiello was advised."/>
    <s v="Vehicle 1: NJ-R36GBB HONDA, CRV"/>
    <s v="suspect description: possibly male, approximately 5'7'' in height, with a slim build suspect entering her vehicle, new jersey registration r36gbb suspect entered the vehicle from the front driver side door, which was left insecure suspect was seen on video to be searching through the vehicle suspect could be identified she would pursue a criminal case"/>
    <s v=""/>
    <s v="C01W04"/>
  </r>
  <r>
    <s v="25-007074"/>
    <x v="1"/>
    <x v="1"/>
    <d v="1899-12-30T18:00:00"/>
    <d v="1899-12-30T18:27:00"/>
    <x v="1"/>
    <s v="January"/>
    <s v="Stanley Pl, 200 Block"/>
    <s v="206 Stanley Place"/>
    <x v="1"/>
    <s v="Burglary - Auto"/>
    <s v="Theft"/>
    <s v=""/>
    <s v="206 Stanley Place, Hackensack, NJ, 07601"/>
    <s v="H3"/>
    <n v="8"/>
    <s v="Suspect description: Possibly male, approximately 5'7'' in height, with a slim build. On 1/26/25 P.O. Papanikolaou and I responded to 206 Stanley Place on a reported theft from auto. Upon arrival, I spoke with the victim, Phyllis Cunningham. The victim reported on 1/25/25 at approximately 20:52 hours she received a text message from her son. The text was a video of an unknown suspect entering her vehicle, New Jersey Registration R36GBB. The listed vehicle was parked in the driveway at 206 Stanley Place. The victim showed me the video that her son texted her. Upon observing the video I observed on 1/25/25 at 18:27 hours the suspect entered the vehicle from the front driver side door, which was left insecure. Later, the suspect was seen on video to be searching through the vehicle. After the incident the victim responded to check her vehicle. Upon inspecting her vehicle nothing appeared to be stolen and no damage was observed. A New Jersey victim notification form was completed. The victim did not request to have the vehicle processed. At this time the victim reported if the suspect could be identified she would pursue a criminal case.  The victim was advised to save the video surveillance of the incident. Sgt. Competiello was advised."/>
    <m/>
    <m/>
    <s v="R36GBB"/>
    <s v="HONDA"/>
    <s v="CRV"/>
    <s v="NJ"/>
    <m/>
    <m/>
    <m/>
    <m/>
    <s v="Levis_R"/>
    <s v="P.O. Massimo Gallorini 379"/>
    <s v="A2"/>
    <s v="Sgt. Franklin Bay 162"/>
    <s v="No Investigation"/>
    <s v="23F = Theft From Motor Vehicle"/>
    <n v="2025"/>
    <n v="4"/>
    <n v="4"/>
    <n v="25"/>
    <n v="25"/>
    <d v="2025-01-25T18:27:00"/>
    <n v="206"/>
    <s v="Suspect description: Possibly male, approximately 5'7'' in height, with a slim build. On 1/26/25 P.O. Papanikolaou and I responded to 206 Stanley Place on a reported theft from auto. Upon arrival, I spoke with the victim, Phyllis Cunningham. The victim reported on 1/25/25 at approximately 20:52 hours she received a text message from her son. The text was a video of an unknown suspect entering her vehicle, New Jersey Registration R36GBB. The listed vehicle was parked in the driveway at 206 Stanley Place. The victim showed me the video that her son texted her. Upon observing the video I observed on 1/25/25 at 18:27 hours the suspect entered the vehicle from the front driver side door, which was left insecure. Later, the suspect was seen on video to be searching through the vehicle. After the incident the victim responded to check her vehicle. Upon inspecting her vehicle nothing appeared to be stolen and no damage was observed. A New Jersey victim notification form was completed. The victim did not request to have the vehicle processed. At this time the victim reported if the suspect could be identified she would pursue a criminal case.  The victim was advised to save the video surveillance of the incident. Sgt. Competiello was advised."/>
    <s v="Vehicle 1: NJ-R36GBB HONDA, CRV"/>
    <s v="suspect description: possibly male, approximately 5'7'' in height, with a slim build suspect entering her vehicle, new jersey registration r36gbb suspect entered the vehicle from the front driver side door, which was left insecure suspect was seen on video to be searching through the vehicle suspect could be identified she would pursue a criminal case"/>
    <s v=""/>
    <s v="C01W04"/>
  </r>
  <r>
    <s v="25-007074"/>
    <x v="1"/>
    <x v="1"/>
    <d v="1899-12-30T18:00:00"/>
    <d v="1899-12-30T18:27:00"/>
    <x v="1"/>
    <s v="January"/>
    <s v="Stanley Pl, 200 Block"/>
    <s v="206 Stanley Place"/>
    <x v="1"/>
    <s v="Burglary - Auto"/>
    <s v="Theft"/>
    <s v=""/>
    <s v="206 Stanley Place, Hackensack, NJ, 07601"/>
    <s v="H3"/>
    <n v="8"/>
    <s v="Suspect description: Possibly male, approximately 5'7'' in height, with a slim build. On 1/26/25 P.O. Papanikolaou and I responded to 206 Stanley Place on a reported theft from auto. Upon arrival, I spoke with the victim, Phyllis Cunningham. The victim reported on 1/25/25 at approximately 20:52 hours she received a text message from her son. The text was a video of an unknown suspect entering her vehicle, New Jersey Registration R36GBB. The listed vehicle was parked in the driveway at 206 Stanley Place. The victim showed me the video that her son texted her. Upon observing the video I observed on 1/25/25 at 18:27 hours the suspect entered the vehicle from the front driver side door, which was left insecure. Later, the suspect was seen on video to be searching through the vehicle. After the incident the victim responded to check her vehicle. Upon inspecting her vehicle nothing appeared to be stolen and no damage was observed. A New Jersey victim notification form was completed. The victim did not request to have the vehicle processed. At this time the victim reported if the suspect could be identified she would pursue a criminal case.  The victim was advised to save the video surveillance of the incident. Sgt. Competiello was advised."/>
    <m/>
    <m/>
    <s v="R36GBB"/>
    <s v="HONDA"/>
    <s v="CRV"/>
    <s v="NJ"/>
    <m/>
    <m/>
    <m/>
    <m/>
    <s v="Levis_R"/>
    <s v="P.O. Massimo Gallorini 379"/>
    <s v="A2"/>
    <s v="Sgt. Franklin Bay 162"/>
    <s v="No Investigation"/>
    <s v="23F = Theft From Motor Vehicle"/>
    <n v="2025"/>
    <n v="4"/>
    <n v="4"/>
    <n v="25"/>
    <n v="25"/>
    <d v="2025-01-25T18:27:00"/>
    <n v="206"/>
    <s v="Suspect description: Possibly male, approximately 5'7'' in height, with a slim build. On 1/26/25 P.O. Papanikolaou and I responded to 206 Stanley Place on a reported theft from auto. Upon arrival, I spoke with the victim, Phyllis Cunningham. The victim reported on 1/25/25 at approximately 20:52 hours she received a text message from her son. The text was a video of an unknown suspect entering her vehicle, New Jersey Registration R36GBB. The listed vehicle was parked in the driveway at 206 Stanley Place. The victim showed me the video that her son texted her. Upon observing the video I observed on 1/25/25 at 18:27 hours the suspect entered the vehicle from the front driver side door, which was left insecure. Later, the suspect was seen on video to be searching through the vehicle. After the incident the victim responded to check her vehicle. Upon inspecting her vehicle nothing appeared to be stolen and no damage was observed. A New Jersey victim notification form was completed. The victim did not request to have the vehicle processed. At this time the victim reported if the suspect could be identified she would pursue a criminal case.  The victim was advised to save the video surveillance of the incident. Sgt. Competiello was advised."/>
    <s v="Vehicle 1: NJ-R36GBB HONDA, CRV"/>
    <s v="suspect description: possibly male, approximately 5'7'' in height, with a slim build suspect entering her vehicle, new jersey registration r36gbb suspect entered the vehicle from the front driver side door, which was left insecure suspect was seen on video to be searching through the vehicle suspect could be identified she would pursue a criminal case"/>
    <s v=""/>
    <s v="C01W04"/>
  </r>
  <r>
    <s v="25-007074"/>
    <x v="1"/>
    <x v="1"/>
    <d v="1899-12-30T18:00:00"/>
    <d v="1899-12-30T18:27:00"/>
    <x v="1"/>
    <s v="January"/>
    <s v="Stanley Pl, 200 Block"/>
    <s v="206 Stanley Place"/>
    <x v="1"/>
    <s v="Burglary - Auto"/>
    <s v="Theft"/>
    <s v=""/>
    <s v="206 Stanley Place, Hackensack, NJ, 07601"/>
    <s v="H3"/>
    <n v="8"/>
    <s v="Suspect description: Possibly male, approximately 5'7'' in height, with a slim build. On 1/26/25 P.O. Papanikolaou and I responded to 206 Stanley Place on a reported theft from auto. Upon arrival, I spoke with the victim, Phyllis Cunningham. The victim reported on 1/25/25 at approximately 20:52 hours she received a text message from her son. The text was a video of an unknown suspect entering her vehicle, New Jersey Registration R36GBB. The listed vehicle was parked in the driveway at 206 Stanley Place. The victim showed me the video that her son texted her. Upon observing the video I observed on 1/25/25 at 18:27 hours the suspect entered the vehicle from the front driver side door, which was left insecure. Later, the suspect was seen on video to be searching through the vehicle. After the incident the victim responded to check her vehicle. Upon inspecting her vehicle nothing appeared to be stolen and no damage was observed. A New Jersey victim notification form was completed. The victim did not request to have the vehicle processed. At this time the victim reported if the suspect could be identified she would pursue a criminal case.  The victim was advised to save the video surveillance of the incident. Sgt. Competiello was advised."/>
    <m/>
    <m/>
    <s v="R36GBB"/>
    <s v="HONDA"/>
    <s v="CRV"/>
    <s v="NJ"/>
    <m/>
    <m/>
    <m/>
    <m/>
    <s v="Levis_R"/>
    <s v="P.O. Massimo Gallorini 379"/>
    <s v="A2"/>
    <s v="Sgt. Franklin Bay 162"/>
    <s v="No Investigation"/>
    <s v="23F = Theft From Motor Vehicle"/>
    <n v="2025"/>
    <n v="4"/>
    <n v="4"/>
    <n v="25"/>
    <n v="25"/>
    <d v="2025-01-25T18:27:00"/>
    <n v="206"/>
    <s v="Suspect description: Possibly male, approximately 5'7'' in height, with a slim build. On 1/26/25 P.O. Papanikolaou and I responded to 206 Stanley Place on a reported theft from auto. Upon arrival, I spoke with the victim, Phyllis Cunningham. The victim reported on 1/25/25 at approximately 20:52 hours she received a text message from her son. The text was a video of an unknown suspect entering her vehicle, New Jersey Registration R36GBB. The listed vehicle was parked in the driveway at 206 Stanley Place. The victim showed me the video that her son texted her. Upon observing the video I observed on 1/25/25 at 18:27 hours the suspect entered the vehicle from the front driver side door, which was left insecure. Later, the suspect was seen on video to be searching through the vehicle. After the incident the victim responded to check her vehicle. Upon inspecting her vehicle nothing appeared to be stolen and no damage was observed. A New Jersey victim notification form was completed. The victim did not request to have the vehicle processed. At this time the victim reported if the suspect could be identified she would pursue a criminal case.  The victim was advised to save the video surveillance of the incident. Sgt. Competiello was advised."/>
    <s v="Vehicle 1: NJ-R36GBB HONDA, CRV"/>
    <s v="suspect description: possibly male, approximately 5'7'' in height, with a slim build suspect entering her vehicle, new jersey registration r36gbb suspect entered the vehicle from the front driver side door, which was left insecure suspect was seen on video to be searching through the vehicle suspect could be identified she would pursue a criminal case"/>
    <s v=""/>
    <s v="C01W04"/>
  </r>
  <r>
    <s v="25-007074"/>
    <x v="1"/>
    <x v="1"/>
    <d v="1899-12-30T18:00:00"/>
    <d v="1899-12-30T18:27:00"/>
    <x v="1"/>
    <s v="January"/>
    <s v="Stanley Pl, 200 Block"/>
    <s v="206 Stanley Place"/>
    <x v="1"/>
    <s v="Burglary - Auto"/>
    <s v="Theft"/>
    <s v=""/>
    <s v="206 Stanley Place, Hackensack, NJ, 07601"/>
    <s v="H3"/>
    <n v="8"/>
    <s v="Suspect description: Possibly male, approximately 5'7'' in height, with a slim build. On 1/26/25 P.O. Papanikolaou and I responded to 206 Stanley Place on a reported theft from auto. Upon arrival, I spoke with the victim, Phyllis Cunningham. The victim reported on 1/25/25 at approximately 20:52 hours she received a text message from her son. The text was a video of an unknown suspect entering her vehicle, New Jersey Registration R36GBB. The listed vehicle was parked in the driveway at 206 Stanley Place. The victim showed me the video that her son texted her. Upon observing the video I observed on 1/25/25 at 18:27 hours the suspect entered the vehicle from the front driver side door, which was left insecure. Later, the suspect was seen on video to be searching through the vehicle. After the incident the victim responded to check her vehicle. Upon inspecting her vehicle nothing appeared to be stolen and no damage was observed. A New Jersey victim notification form was completed. The victim did not request to have the vehicle processed. At this time the victim reported if the suspect could be identified she would pursue a criminal case.  The victim was advised to save the video surveillance of the incident. Sgt. Competiello was advised."/>
    <m/>
    <m/>
    <s v="R36GBB"/>
    <s v="HONDA"/>
    <s v="CRV"/>
    <s v="NJ"/>
    <m/>
    <m/>
    <m/>
    <m/>
    <s v="Levis_R"/>
    <s v="P.O. Massimo Gallorini 379"/>
    <s v="A2"/>
    <s v="Sgt. Franklin Bay 162"/>
    <s v="No Investigation"/>
    <s v="23F = Theft From Motor Vehicle"/>
    <n v="2025"/>
    <n v="4"/>
    <n v="4"/>
    <n v="25"/>
    <n v="25"/>
    <d v="2025-01-25T18:27:00"/>
    <n v="206"/>
    <s v="Suspect description: Possibly male, approximately 5'7'' in height, with a slim build. On 1/26/25 P.O. Papanikolaou and I responded to 206 Stanley Place on a reported theft from auto. Upon arrival, I spoke with the victim, Phyllis Cunningham. The victim reported on 1/25/25 at approximately 20:52 hours she received a text message from her son. The text was a video of an unknown suspect entering her vehicle, New Jersey Registration R36GBB. The listed vehicle was parked in the driveway at 206 Stanley Place. The victim showed me the video that her son texted her. Upon observing the video I observed on 1/25/25 at 18:27 hours the suspect entered the vehicle from the front driver side door, which was left insecure. Later, the suspect was seen on video to be searching through the vehicle. After the incident the victim responded to check her vehicle. Upon inspecting her vehicle nothing appeared to be stolen and no damage was observed. A New Jersey victim notification form was completed. The victim did not request to have the vehicle processed. At this time the victim reported if the suspect could be identified she would pursue a criminal case.  The victim was advised to save the video surveillance of the incident. Sgt. Competiello was advised."/>
    <s v="Vehicle 1: NJ-R36GBB HONDA, CRV"/>
    <s v="suspect description: possibly male, approximately 5'7'' in height, with a slim build suspect entering her vehicle, new jersey registration r36gbb suspect entered the vehicle from the front driver side door, which was left insecure suspect was seen on video to be searching through the vehicle suspect could be identified she would pursue a criminal case"/>
    <s v=""/>
    <s v="C01W04"/>
  </r>
  <r>
    <s v="25-007074"/>
    <x v="1"/>
    <x v="1"/>
    <d v="1899-12-30T18:00:00"/>
    <d v="1899-12-30T18:27:00"/>
    <x v="1"/>
    <s v="January"/>
    <s v="Stanley Pl, 200 Block"/>
    <s v="206 Stanley Place"/>
    <x v="1"/>
    <s v="Burglary - Auto"/>
    <s v="Theft"/>
    <s v=""/>
    <s v="206 Stanley Place, Hackensack, NJ, 07601"/>
    <s v="H3"/>
    <n v="8"/>
    <s v="Suspect description: Possibly male, approximately 5'7'' in height, with a slim build. On 1/26/25 P.O. Papanikolaou and I responded to 206 Stanley Place on a reported theft from auto. Upon arrival, I spoke with the victim, Phyllis Cunningham. The victim reported on 1/25/25 at approximately 20:52 hours she received a text message from her son. The text was a video of an unknown suspect entering her vehicle, New Jersey Registration R36GBB. The listed vehicle was parked in the driveway at 206 Stanley Place. The victim showed me the video that her son texted her. Upon observing the video I observed on 1/25/25 at 18:27 hours the suspect entered the vehicle from the front driver side door, which was left insecure. Later, the suspect was seen on video to be searching through the vehicle. After the incident the victim responded to check her vehicle. Upon inspecting her vehicle nothing appeared to be stolen and no damage was observed. A New Jersey victim notification form was completed. The victim did not request to have the vehicle processed. At this time the victim reported if the suspect could be identified she would pursue a criminal case.  The victim was advised to save the video surveillance of the incident. Sgt. Competiello was advised."/>
    <m/>
    <m/>
    <s v="R36GBB"/>
    <s v="HONDA"/>
    <s v="CRV"/>
    <s v="NJ"/>
    <m/>
    <m/>
    <m/>
    <m/>
    <s v="Levis_R"/>
    <s v="P.O. Massimo Gallorini 379"/>
    <s v="A2"/>
    <s v="Sgt. Franklin Bay 162"/>
    <s v="No Investigation"/>
    <s v="23F = Theft From Motor Vehicle"/>
    <n v="2025"/>
    <n v="4"/>
    <n v="4"/>
    <n v="25"/>
    <n v="25"/>
    <d v="2025-01-25T18:27:00"/>
    <n v="206"/>
    <s v="Suspect description: Possibly male, approximately 5'7'' in height, with a slim build. On 1/26/25 P.O. Papanikolaou and I responded to 206 Stanley Place on a reported theft from auto. Upon arrival, I spoke with the victim, Phyllis Cunningham. The victim reported on 1/25/25 at approximately 20:52 hours she received a text message from her son. The text was a video of an unknown suspect entering her vehicle, New Jersey Registration R36GBB. The listed vehicle was parked in the driveway at 206 Stanley Place. The victim showed me the video that her son texted her. Upon observing the video I observed on 1/25/25 at 18:27 hours the suspect entered the vehicle from the front driver side door, which was left insecure. Later, the suspect was seen on video to be searching through the vehicle. After the incident the victim responded to check her vehicle. Upon inspecting her vehicle nothing appeared to be stolen and no damage was observed. A New Jersey victim notification form was completed. The victim did not request to have the vehicle processed. At this time the victim reported if the suspect could be identified she would pursue a criminal case.  The victim was advised to save the video surveillance of the incident. Sgt. Competiello was advised."/>
    <s v="Vehicle 1: NJ-R36GBB HONDA, CRV"/>
    <s v="suspect description: possibly male, approximately 5'7'' in height, with a slim build suspect entering her vehicle, new jersey registration r36gbb suspect entered the vehicle from the front driver side door, which was left insecure suspect was seen on video to be searching through the vehicle suspect could be identified she would pursue a criminal case"/>
    <s v=""/>
    <s v="C01W04"/>
  </r>
  <r>
    <s v="25-007074"/>
    <x v="1"/>
    <x v="1"/>
    <d v="1899-12-30T18:00:00"/>
    <d v="1899-12-30T18:27:00"/>
    <x v="1"/>
    <s v="January"/>
    <s v="Stanley Pl, 200 Block"/>
    <s v="206 Stanley Place"/>
    <x v="1"/>
    <s v="Burglary - Auto"/>
    <s v="Theft"/>
    <s v=""/>
    <s v="206 Stanley Place, Hackensack, NJ, 07601"/>
    <s v="H3"/>
    <n v="8"/>
    <s v="Suspect description: Possibly male, approximately 5'7'' in height, with a slim build. On 1/26/25 P.O. Papanikolaou and I responded to 206 Stanley Place on a reported theft from auto. Upon arrival, I spoke with the victim, Phyllis Cunningham. The victim reported on 1/25/25 at approximately 20:52 hours she received a text message from her son. The text was a video of an unknown suspect entering her vehicle, New Jersey Registration R36GBB. The listed vehicle was parked in the driveway at 206 Stanley Place. The victim showed me the video that her son texted her. Upon observing the video I observed on 1/25/25 at 18:27 hours the suspect entered the vehicle from the front driver side door, which was left insecure. Later, the suspect was seen on video to be searching through the vehicle. After the incident the victim responded to check her vehicle. Upon inspecting her vehicle nothing appeared to be stolen and no damage was observed. A New Jersey victim notification form was completed. The victim did not request to have the vehicle processed. At this time the victim reported if the suspect could be identified she would pursue a criminal case.  The victim was advised to save the video surveillance of the incident. Sgt. Competiello was advised."/>
    <m/>
    <m/>
    <s v="R36GBB"/>
    <s v="HONDA"/>
    <s v="CRV"/>
    <s v="NJ"/>
    <m/>
    <m/>
    <m/>
    <m/>
    <s v="Levis_R"/>
    <s v="P.O. Massimo Gallorini 379"/>
    <s v="A2"/>
    <s v="Sgt. Franklin Bay 162"/>
    <s v="No Investigation"/>
    <s v="23F = Theft From Motor Vehicle"/>
    <n v="2025"/>
    <n v="4"/>
    <n v="4"/>
    <n v="25"/>
    <n v="25"/>
    <d v="2025-01-25T18:27:00"/>
    <n v="206"/>
    <s v="Suspect description: Possibly male, approximately 5'7'' in height, with a slim build. On 1/26/25 P.O. Papanikolaou and I responded to 206 Stanley Place on a reported theft from auto. Upon arrival, I spoke with the victim, Phyllis Cunningham. The victim reported on 1/25/25 at approximately 20:52 hours she received a text message from her son. The text was a video of an unknown suspect entering her vehicle, New Jersey Registration R36GBB. The listed vehicle was parked in the driveway at 206 Stanley Place. The victim showed me the video that her son texted her. Upon observing the video I observed on 1/25/25 at 18:27 hours the suspect entered the vehicle from the front driver side door, which was left insecure. Later, the suspect was seen on video to be searching through the vehicle. After the incident the victim responded to check her vehicle. Upon inspecting her vehicle nothing appeared to be stolen and no damage was observed. A New Jersey victim notification form was completed. The victim did not request to have the vehicle processed. At this time the victim reported if the suspect could be identified she would pursue a criminal case.  The victim was advised to save the video surveillance of the incident. Sgt. Competiello was advised."/>
    <s v="Vehicle 1: NJ-R36GBB HONDA, CRV"/>
    <s v="suspect description: possibly male, approximately 5'7'' in height, with a slim build suspect entering her vehicle, new jersey registration r36gbb suspect entered the vehicle from the front driver side door, which was left insecure suspect was seen on video to be searching through the vehicle suspect could be identified she would pursue a criminal case"/>
    <s v=""/>
    <s v="C01W04"/>
  </r>
  <r>
    <s v="25-007074"/>
    <x v="1"/>
    <x v="1"/>
    <d v="1899-12-30T18:00:00"/>
    <d v="1899-12-30T18:27:00"/>
    <x v="1"/>
    <s v="January"/>
    <s v="Stanley Pl, 200 Block"/>
    <s v="206 Stanley Place"/>
    <x v="1"/>
    <s v="Burglary - Auto"/>
    <s v="Theft"/>
    <s v=""/>
    <s v="206 Stanley Place, Hackensack, NJ, 07601"/>
    <s v="H3"/>
    <n v="8"/>
    <s v="Suspect description: Possibly male, approximately 5'7'' in height, with a slim build. On 1/26/25 P.O. Papanikolaou and I responded to 206 Stanley Place on a reported theft from auto. Upon arrival, I spoke with the victim, Phyllis Cunningham. The victim reported on 1/25/25 at approximately 20:52 hours she received a text message from her son. The text was a video of an unknown suspect entering her vehicle, New Jersey Registration R36GBB. The listed vehicle was parked in the driveway at 206 Stanley Place. The victim showed me the video that her son texted her. Upon observing the video I observed on 1/25/25 at 18:27 hours the suspect entered the vehicle from the front driver side door, which was left insecure. Later, the suspect was seen on video to be searching through the vehicle. After the incident the victim responded to check her vehicle. Upon inspecting her vehicle nothing appeared to be stolen and no damage was observed. A New Jersey victim notification form was completed. The victim did not request to have the vehicle processed. At this time the victim reported if the suspect could be identified she would pursue a criminal case.  The victim was advised to save the video surveillance of the incident. Sgt. Competiello was advised."/>
    <m/>
    <m/>
    <s v="R36GBB"/>
    <s v="HONDA"/>
    <s v="CRV"/>
    <s v="NJ"/>
    <m/>
    <m/>
    <m/>
    <m/>
    <s v="Levis_R"/>
    <s v="P.O. Massimo Gallorini 379"/>
    <s v="A2"/>
    <s v="Sgt. Franklin Bay 162"/>
    <s v="No Investigation"/>
    <s v="23F = Theft From Motor Vehicle"/>
    <n v="2025"/>
    <n v="4"/>
    <n v="4"/>
    <n v="25"/>
    <n v="25"/>
    <d v="2025-01-25T18:27:00"/>
    <n v="206"/>
    <s v="Suspect description: Possibly male, approximately 5'7'' in height, with a slim build. On 1/26/25 P.O. Papanikolaou and I responded to 206 Stanley Place on a reported theft from auto. Upon arrival, I spoke with the victim, Phyllis Cunningham. The victim reported on 1/25/25 at approximately 20:52 hours she received a text message from her son. The text was a video of an unknown suspect entering her vehicle, New Jersey Registration R36GBB. The listed vehicle was parked in the driveway at 206 Stanley Place. The victim showed me the video that her son texted her. Upon observing the video I observed on 1/25/25 at 18:27 hours the suspect entered the vehicle from the front driver side door, which was left insecure. Later, the suspect was seen on video to be searching through the vehicle. After the incident the victim responded to check her vehicle. Upon inspecting her vehicle nothing appeared to be stolen and no damage was observed. A New Jersey victim notification form was completed. The victim did not request to have the vehicle processed. At this time the victim reported if the suspect could be identified she would pursue a criminal case.  The victim was advised to save the video surveillance of the incident. Sgt. Competiello was advised."/>
    <s v="Vehicle 1: NJ-R36GBB HONDA, CRV"/>
    <s v="suspect description: possibly male, approximately 5'7'' in height, with a slim build suspect entering her vehicle, new jersey registration r36gbb suspect entered the vehicle from the front driver side door, which was left insecure suspect was seen on video to be searching through the vehicle suspect could be identified she would pursue a criminal case"/>
    <s v=""/>
    <s v="C01W04"/>
  </r>
  <r>
    <s v="25-007074"/>
    <x v="1"/>
    <x v="1"/>
    <d v="1899-12-30T18:00:00"/>
    <d v="1899-12-30T18:27:00"/>
    <x v="1"/>
    <s v="January"/>
    <s v="Stanley Pl, 200 Block"/>
    <s v="206 Stanley Place"/>
    <x v="1"/>
    <s v="Burglary - Auto"/>
    <s v="Theft"/>
    <s v=""/>
    <s v="206 Stanley Place, Hackensack, NJ, 07601"/>
    <s v="H3"/>
    <n v="8"/>
    <s v="Suspect description: Possibly male, approximately 5'7'' in height, with a slim build. On 1/26/25 P.O. Papanikolaou and I responded to 206 Stanley Place on a reported theft from auto. Upon arrival, I spoke with the victim, Phyllis Cunningham. The victim reported on 1/25/25 at approximately 20:52 hours she received a text message from her son. The text was a video of an unknown suspect entering her vehicle, New Jersey Registration R36GBB. The listed vehicle was parked in the driveway at 206 Stanley Place. The victim showed me the video that her son texted her. Upon observing the video I observed on 1/25/25 at 18:27 hours the suspect entered the vehicle from the front driver side door, which was left insecure. Later, the suspect was seen on video to be searching through the vehicle. After the incident the victim responded to check her vehicle. Upon inspecting her vehicle nothing appeared to be stolen and no damage was observed. A New Jersey victim notification form was completed. The victim did not request to have the vehicle processed. At this time the victim reported if the suspect could be identified she would pursue a criminal case.  The victim was advised to save the video surveillance of the incident. Sgt. Competiello was advised."/>
    <m/>
    <m/>
    <s v="R36GBB"/>
    <s v="HONDA"/>
    <s v="CRV"/>
    <s v="NJ"/>
    <m/>
    <m/>
    <m/>
    <m/>
    <s v="Levis_R"/>
    <s v="P.O. Massimo Gallorini 379"/>
    <s v="A2"/>
    <s v="Sgt. Franklin Bay 162"/>
    <s v="No Investigation"/>
    <s v="23F = Theft From Motor Vehicle"/>
    <n v="2025"/>
    <n v="4"/>
    <n v="4"/>
    <n v="25"/>
    <n v="25"/>
    <d v="2025-01-25T18:27:00"/>
    <n v="206"/>
    <s v="Suspect description: Possibly male, approximately 5'7'' in height, with a slim build. On 1/26/25 P.O. Papanikolaou and I responded to 206 Stanley Place on a reported theft from auto. Upon arrival, I spoke with the victim, Phyllis Cunningham. The victim reported on 1/25/25 at approximately 20:52 hours she received a text message from her son. The text was a video of an unknown suspect entering her vehicle, New Jersey Registration R36GBB. The listed vehicle was parked in the driveway at 206 Stanley Place. The victim showed me the video that her son texted her. Upon observing the video I observed on 1/25/25 at 18:27 hours the suspect entered the vehicle from the front driver side door, which was left insecure. Later, the suspect was seen on video to be searching through the vehicle. After the incident the victim responded to check her vehicle. Upon inspecting her vehicle nothing appeared to be stolen and no damage was observed. A New Jersey victim notification form was completed. The victim did not request to have the vehicle processed. At this time the victim reported if the suspect could be identified she would pursue a criminal case.  The victim was advised to save the video surveillance of the incident. Sgt. Competiello was advised."/>
    <s v="Vehicle 1: NJ-R36GBB HONDA, CRV"/>
    <s v="suspect description: possibly male, approximately 5'7'' in height, with a slim build suspect entering her vehicle, new jersey registration r36gbb suspect entered the vehicle from the front driver side door, which was left insecure suspect was seen on video to be searching through the vehicle suspect could be identified she would pursue a criminal case"/>
    <s v=""/>
    <s v="C01W04"/>
  </r>
  <r>
    <s v="25-007074"/>
    <x v="1"/>
    <x v="1"/>
    <d v="1899-12-30T18:00:00"/>
    <d v="1899-12-30T18:27:00"/>
    <x v="1"/>
    <s v="January"/>
    <s v="Stanley Pl, 200 Block"/>
    <s v="206 Stanley Place"/>
    <x v="1"/>
    <s v="Burglary - Auto"/>
    <s v="Theft"/>
    <s v=""/>
    <s v="206 Stanley Place, Hackensack, NJ, 07601"/>
    <s v="H3"/>
    <n v="8"/>
    <s v="Suspect description: Possibly male, approximately 5'7'' in height, with a slim build. On 1/26/25 P.O. Papanikolaou and I responded to 206 Stanley Place on a reported theft from auto. Upon arrival, I spoke with the victim, Phyllis Cunningham. The victim reported on 1/25/25 at approximately 20:52 hours she received a text message from her son. The text was a video of an unknown suspect entering her vehicle, New Jersey Registration R36GBB. The listed vehicle was parked in the driveway at 206 Stanley Place. The victim showed me the video that her son texted her. Upon observing the video I observed on 1/25/25 at 18:27 hours the suspect entered the vehicle from the front driver side door, which was left insecure. Later, the suspect was seen on video to be searching through the vehicle. After the incident the victim responded to check her vehicle. Upon inspecting her vehicle nothing appeared to be stolen and no damage was observed. A New Jersey victim notification form was completed. The victim did not request to have the vehicle processed. At this time the victim reported if the suspect could be identified she would pursue a criminal case.  The victim was advised to save the video surveillance of the incident. Sgt. Competiello was advised."/>
    <m/>
    <m/>
    <s v="R36GBB"/>
    <s v="HONDA"/>
    <s v="CRV"/>
    <s v="NJ"/>
    <m/>
    <m/>
    <m/>
    <m/>
    <s v="Levis_R"/>
    <s v="P.O. Massimo Gallorini 379"/>
    <s v="A2"/>
    <s v="Sgt. Franklin Bay 162"/>
    <s v="No Investigation"/>
    <s v="23F = Theft From Motor Vehicle"/>
    <n v="2025"/>
    <n v="4"/>
    <n v="4"/>
    <n v="25"/>
    <n v="25"/>
    <d v="2025-01-25T18:27:00"/>
    <n v="206"/>
    <s v="Suspect description: Possibly male, approximately 5'7'' in height, with a slim build. On 1/26/25 P.O. Papanikolaou and I responded to 206 Stanley Place on a reported theft from auto. Upon arrival, I spoke with the victim, Phyllis Cunningham. The victim reported on 1/25/25 at approximately 20:52 hours she received a text message from her son. The text was a video of an unknown suspect entering her vehicle, New Jersey Registration R36GBB. The listed vehicle was parked in the driveway at 206 Stanley Place. The victim showed me the video that her son texted her. Upon observing the video I observed on 1/25/25 at 18:27 hours the suspect entered the vehicle from the front driver side door, which was left insecure. Later, the suspect was seen on video to be searching through the vehicle. After the incident the victim responded to check her vehicle. Upon inspecting her vehicle nothing appeared to be stolen and no damage was observed. A New Jersey victim notification form was completed. The victim did not request to have the vehicle processed. At this time the victim reported if the suspect could be identified she would pursue a criminal case.  The victim was advised to save the video surveillance of the incident. Sgt. Competiello was advised."/>
    <s v="Vehicle 1: NJ-R36GBB HONDA, CRV"/>
    <s v="suspect description: possibly male, approximately 5'7'' in height, with a slim build suspect entering her vehicle, new jersey registration r36gbb suspect entered the vehicle from the front driver side door, which was left insecure suspect was seen on video to be searching through the vehicle suspect could be identified she would pursue a criminal case"/>
    <s v=""/>
    <s v="C01W04"/>
  </r>
  <r>
    <s v="25-007074"/>
    <x v="1"/>
    <x v="1"/>
    <d v="1899-12-30T18:00:00"/>
    <d v="1899-12-30T18:27:00"/>
    <x v="1"/>
    <s v="January"/>
    <s v="Stanley Pl, 200 Block"/>
    <s v="206 Stanley Place"/>
    <x v="1"/>
    <s v="Burglary - Auto"/>
    <s v="Theft"/>
    <s v=""/>
    <s v="206 Stanley Place, Hackensack, NJ, 07601"/>
    <s v="H3"/>
    <n v="8"/>
    <s v="Suspect description: Possibly male, approximately 5'7'' in height, with a slim build. On 1/26/25 P.O. Papanikolaou and I responded to 206 Stanley Place on a reported theft from auto. Upon arrival, I spoke with the victim, Phyllis Cunningham. The victim reported on 1/25/25 at approximately 20:52 hours she received a text message from her son. The text was a video of an unknown suspect entering her vehicle, New Jersey Registration R36GBB. The listed vehicle was parked in the driveway at 206 Stanley Place. The victim showed me the video that her son texted her. Upon observing the video I observed on 1/25/25 at 18:27 hours the suspect entered the vehicle from the front driver side door, which was left insecure. Later, the suspect was seen on video to be searching through the vehicle. After the incident the victim responded to check her vehicle. Upon inspecting her vehicle nothing appeared to be stolen and no damage was observed. A New Jersey victim notification form was completed. The victim did not request to have the vehicle processed. At this time the victim reported if the suspect could be identified she would pursue a criminal case.  The victim was advised to save the video surveillance of the incident. Sgt. Competiello was advised."/>
    <m/>
    <m/>
    <s v="R36GBB"/>
    <s v="HONDA"/>
    <s v="CRV"/>
    <s v="NJ"/>
    <m/>
    <m/>
    <m/>
    <m/>
    <s v="Levis_R"/>
    <s v="P.O. Massimo Gallorini 379"/>
    <s v="A2"/>
    <s v="Sgt. Franklin Bay 162"/>
    <s v="No Investigation"/>
    <s v="23F = Theft From Motor Vehicle"/>
    <n v="2025"/>
    <n v="4"/>
    <n v="4"/>
    <n v="25"/>
    <n v="25"/>
    <d v="2025-01-25T18:27:00"/>
    <n v="206"/>
    <s v="Suspect description: Possibly male, approximately 5'7'' in height, with a slim build. On 1/26/25 P.O. Papanikolaou and I responded to 206 Stanley Place on a reported theft from auto. Upon arrival, I spoke with the victim, Phyllis Cunningham. The victim reported on 1/25/25 at approximately 20:52 hours she received a text message from her son. The text was a video of an unknown suspect entering her vehicle, New Jersey Registration R36GBB. The listed vehicle was parked in the driveway at 206 Stanley Place. The victim showed me the video that her son texted her. Upon observing the video I observed on 1/25/25 at 18:27 hours the suspect entered the vehicle from the front driver side door, which was left insecure. Later, the suspect was seen on video to be searching through the vehicle. After the incident the victim responded to check her vehicle. Upon inspecting her vehicle nothing appeared to be stolen and no damage was observed. A New Jersey victim notification form was completed. The victim did not request to have the vehicle processed. At this time the victim reported if the suspect could be identified she would pursue a criminal case.  The victim was advised to save the video surveillance of the incident. Sgt. Competiello was advised."/>
    <s v="Vehicle 1: NJ-R36GBB HONDA, CRV"/>
    <s v="suspect description: possibly male, approximately 5'7'' in height, with a slim build suspect entering her vehicle, new jersey registration r36gbb suspect entered the vehicle from the front driver side door, which was left insecure suspect was seen on video to be searching through the vehicle suspect could be identified she would pursue a criminal case"/>
    <s v=""/>
    <s v="C01W04"/>
  </r>
  <r>
    <s v="25-007074"/>
    <x v="1"/>
    <x v="1"/>
    <d v="1899-12-30T18:00:00"/>
    <d v="1899-12-30T18:27:00"/>
    <x v="1"/>
    <s v="January"/>
    <s v="Stanley Pl, 200 Block"/>
    <s v="206 Stanley Place"/>
    <x v="1"/>
    <s v="Burglary - Auto"/>
    <s v="Theft"/>
    <s v=""/>
    <s v="206 Stanley Place, Hackensack, NJ, 07601"/>
    <s v="H3"/>
    <n v="8"/>
    <s v="Suspect description: Possibly male, approximately 5'7'' in height, with a slim build. On 1/26/25 P.O. Papanikolaou and I responded to 206 Stanley Place on a reported theft from auto. Upon arrival, I spoke with the victim, Phyllis Cunningham. The victim reported on 1/25/25 at approximately 20:52 hours she received a text message from her son. The text was a video of an unknown suspect entering her vehicle, New Jersey Registration R36GBB. The listed vehicle was parked in the driveway at 206 Stanley Place. The victim showed me the video that her son texted her. Upon observing the video I observed on 1/25/25 at 18:27 hours the suspect entered the vehicle from the front driver side door, which was left insecure. Later, the suspect was seen on video to be searching through the vehicle. After the incident the victim responded to check her vehicle. Upon inspecting her vehicle nothing appeared to be stolen and no damage was observed. A New Jersey victim notification form was completed. The victim did not request to have the vehicle processed. At this time the victim reported if the suspect could be identified she would pursue a criminal case.  The victim was advised to save the video surveillance of the incident. Sgt. Competiello was advised."/>
    <m/>
    <m/>
    <s v="R36GBB"/>
    <s v="HONDA"/>
    <s v="CRV"/>
    <s v="NJ"/>
    <m/>
    <m/>
    <m/>
    <m/>
    <s v="Levis_R"/>
    <s v="P.O. Massimo Gallorini 379"/>
    <s v="A2"/>
    <s v="Sgt. Franklin Bay 162"/>
    <s v="No Investigation"/>
    <s v="23F = Theft From Motor Vehicle"/>
    <n v="2025"/>
    <n v="4"/>
    <n v="4"/>
    <n v="25"/>
    <n v="25"/>
    <d v="2025-01-25T18:27:00"/>
    <n v="206"/>
    <s v="Suspect description: Possibly male, approximately 5'7'' in height, with a slim build. On 1/26/25 P.O. Papanikolaou and I responded to 206 Stanley Place on a reported theft from auto. Upon arrival, I spoke with the victim, Phyllis Cunningham. The victim reported on 1/25/25 at approximately 20:52 hours she received a text message from her son. The text was a video of an unknown suspect entering her vehicle, New Jersey Registration R36GBB. The listed vehicle was parked in the driveway at 206 Stanley Place. The victim showed me the video that her son texted her. Upon observing the video I observed on 1/25/25 at 18:27 hours the suspect entered the vehicle from the front driver side door, which was left insecure. Later, the suspect was seen on video to be searching through the vehicle. After the incident the victim responded to check her vehicle. Upon inspecting her vehicle nothing appeared to be stolen and no damage was observed. A New Jersey victim notification form was completed. The victim did not request to have the vehicle processed. At this time the victim reported if the suspect could be identified she would pursue a criminal case.  The victim was advised to save the video surveillance of the incident. Sgt. Competiello was advised."/>
    <s v="Vehicle 1: NJ-R36GBB HONDA, CRV"/>
    <s v="suspect description: possibly male, approximately 5'7'' in height, with a slim build suspect entering her vehicle, new jersey registration r36gbb suspect entered the vehicle from the front driver side door, which was left insecure suspect was seen on video to be searching through the vehicle suspect could be identified she would pursue a criminal case"/>
    <s v=""/>
    <s v="C01W04"/>
  </r>
  <r>
    <s v="25-007074"/>
    <x v="1"/>
    <x v="1"/>
    <d v="1899-12-30T18:00:00"/>
    <d v="1899-12-30T18:27:00"/>
    <x v="1"/>
    <s v="January"/>
    <s v="Stanley Pl, 200 Block"/>
    <s v="206 Stanley Place"/>
    <x v="1"/>
    <s v="Burglary - Auto"/>
    <s v="Theft"/>
    <s v=""/>
    <s v="206 Stanley Place, Hackensack, NJ, 07601"/>
    <s v="H3"/>
    <n v="8"/>
    <s v="Suspect description: Possibly male, approximately 5'7'' in height, with a slim build. On 1/26/25 P.O. Papanikolaou and I responded to 206 Stanley Place on a reported theft from auto. Upon arrival, I spoke with the victim, Phyllis Cunningham. The victim reported on 1/25/25 at approximately 20:52 hours she received a text message from her son. The text was a video of an unknown suspect entering her vehicle, New Jersey Registration R36GBB. The listed vehicle was parked in the driveway at 206 Stanley Place. The victim showed me the video that her son texted her. Upon observing the video I observed on 1/25/25 at 18:27 hours the suspect entered the vehicle from the front driver side door, which was left insecure. Later, the suspect was seen on video to be searching through the vehicle. After the incident the victim responded to check her vehicle. Upon inspecting her vehicle nothing appeared to be stolen and no damage was observed. A New Jersey victim notification form was completed. The victim did not request to have the vehicle processed. At this time the victim reported if the suspect could be identified she would pursue a criminal case.  The victim was advised to save the video surveillance of the incident. Sgt. Competiello was advised."/>
    <m/>
    <m/>
    <s v="R36GBB"/>
    <s v="HONDA"/>
    <s v="CRV"/>
    <s v="NJ"/>
    <m/>
    <m/>
    <m/>
    <m/>
    <s v="Levis_R"/>
    <s v="P.O. Massimo Gallorini 379"/>
    <s v="A2"/>
    <s v="Sgt. Franklin Bay 162"/>
    <s v="No Investigation"/>
    <s v="23F = Theft From Motor Vehicle"/>
    <n v="2025"/>
    <n v="4"/>
    <n v="4"/>
    <n v="25"/>
    <n v="25"/>
    <d v="2025-01-25T18:27:00"/>
    <n v="206"/>
    <s v="Suspect description: Possibly male, approximately 5'7'' in height, with a slim build. On 1/26/25 P.O. Papanikolaou and I responded to 206 Stanley Place on a reported theft from auto. Upon arrival, I spoke with the victim, Phyllis Cunningham. The victim reported on 1/25/25 at approximately 20:52 hours she received a text message from her son. The text was a video of an unknown suspect entering her vehicle, New Jersey Registration R36GBB. The listed vehicle was parked in the driveway at 206 Stanley Place. The victim showed me the video that her son texted her. Upon observing the video I observed on 1/25/25 at 18:27 hours the suspect entered the vehicle from the front driver side door, which was left insecure. Later, the suspect was seen on video to be searching through the vehicle. After the incident the victim responded to check her vehicle. Upon inspecting her vehicle nothing appeared to be stolen and no damage was observed. A New Jersey victim notification form was completed. The victim did not request to have the vehicle processed. At this time the victim reported if the suspect could be identified she would pursue a criminal case.  The victim was advised to save the video surveillance of the incident. Sgt. Competiello was advised."/>
    <s v="Vehicle 1: NJ-R36GBB HONDA, CRV"/>
    <s v="suspect description: possibly male, approximately 5'7'' in height, with a slim build suspect entering her vehicle, new jersey registration r36gbb suspect entered the vehicle from the front driver side door, which was left insecure suspect was seen on video to be searching through the vehicle suspect could be identified she would pursue a criminal case"/>
    <s v=""/>
    <s v="C01W04"/>
  </r>
  <r>
    <s v="25-007074"/>
    <x v="1"/>
    <x v="1"/>
    <d v="1899-12-30T18:00:00"/>
    <d v="1899-12-30T18:27:00"/>
    <x v="1"/>
    <s v="January"/>
    <s v="Stanley Pl, 200 Block"/>
    <s v="206 Stanley Place"/>
    <x v="1"/>
    <s v="Burglary - Auto"/>
    <s v="Theft"/>
    <s v=""/>
    <s v="206 Stanley Place, Hackensack, NJ, 07601"/>
    <s v="H3"/>
    <n v="8"/>
    <s v="Suspect description: Possibly male, approximately 5'7'' in height, with a slim build. On 1/26/25 P.O. Papanikolaou and I responded to 206 Stanley Place on a reported theft from auto. Upon arrival, I spoke with the victim, Phyllis Cunningham. The victim reported on 1/25/25 at approximately 20:52 hours she received a text message from her son. The text was a video of an unknown suspect entering her vehicle, New Jersey Registration R36GBB. The listed vehicle was parked in the driveway at 206 Stanley Place. The victim showed me the video that her son texted her. Upon observing the video I observed on 1/25/25 at 18:27 hours the suspect entered the vehicle from the front driver side door, which was left insecure. Later, the suspect was seen on video to be searching through the vehicle. After the incident the victim responded to check her vehicle. Upon inspecting her vehicle nothing appeared to be stolen and no damage was observed. A New Jersey victim notification form was completed. The victim did not request to have the vehicle processed. At this time the victim reported if the suspect could be identified she would pursue a criminal case.  The victim was advised to save the video surveillance of the incident. Sgt. Competiello was advised."/>
    <m/>
    <m/>
    <s v="R36GBB"/>
    <s v="HONDA"/>
    <s v="CRV"/>
    <s v="NJ"/>
    <m/>
    <m/>
    <m/>
    <m/>
    <s v="Levis_R"/>
    <s v="P.O. Massimo Gallorini 379"/>
    <s v="A2"/>
    <s v="Sgt. Franklin Bay 162"/>
    <s v="No Investigation"/>
    <s v="23F = Theft From Motor Vehicle"/>
    <n v="2025"/>
    <n v="4"/>
    <n v="4"/>
    <n v="25"/>
    <n v="25"/>
    <d v="2025-01-25T18:27:00"/>
    <n v="206"/>
    <s v="Suspect description: Possibly male, approximately 5'7'' in height, with a slim build. On 1/26/25 P.O. Papanikolaou and I responded to 206 Stanley Place on a reported theft from auto. Upon arrival, I spoke with the victim, Phyllis Cunningham. The victim reported on 1/25/25 at approximately 20:52 hours she received a text message from her son. The text was a video of an unknown suspect entering her vehicle, New Jersey Registration R36GBB. The listed vehicle was parked in the driveway at 206 Stanley Place. The victim showed me the video that her son texted her. Upon observing the video I observed on 1/25/25 at 18:27 hours the suspect entered the vehicle from the front driver side door, which was left insecure. Later, the suspect was seen on video to be searching through the vehicle. After the incident the victim responded to check her vehicle. Upon inspecting her vehicle nothing appeared to be stolen and no damage was observed. A New Jersey victim notification form was completed. The victim did not request to have the vehicle processed. At this time the victim reported if the suspect could be identified she would pursue a criminal case.  The victim was advised to save the video surveillance of the incident. Sgt. Competiello was advised."/>
    <s v="Vehicle 1: NJ-R36GBB HONDA, CRV"/>
    <s v="suspect description: possibly male, approximately 5'7'' in height, with a slim build suspect entering her vehicle, new jersey registration r36gbb suspect entered the vehicle from the front driver side door, which was left insecure suspect was seen on video to be searching through the vehicle suspect could be identified she would pursue a criminal case"/>
    <s v=""/>
    <s v="C01W04"/>
  </r>
  <r>
    <s v="25-007197"/>
    <x v="2"/>
    <x v="2"/>
    <d v="1899-12-30T20:00:00"/>
    <d v="1899-12-30T20:10:00"/>
    <x v="2"/>
    <s v="January"/>
    <s v="Pangborn Pl, 0 Block"/>
    <s v="5 Pangborn Place"/>
    <x v="1"/>
    <s v="Burglary - Auto"/>
    <s v="Theft"/>
    <s v=""/>
    <s v="5 Pangborn Place, Hackensack, NJ, 07601"/>
    <s v="H2"/>
    <n v="9"/>
    <s v="I responded to the listed location on a reported theft from a motor vehicle. Sgt. Farhi responded to assist. Upon arrival, I spoke with the complainant. She stated that on 01/26/2025 at approximately 20:10 hours, she had turned her vehicle on to heat up. She further stated that she had left the vehicle running with the keys inside when she returned to her apartment for a few moments. The complainant reported that when she returned to the vehicle, the vehicle was still there but the keys were missing.       The complainant stated that no other items appeared to be missing from the vehicle. Furthermore, due to contamination by the complainant, the vehicle was unable to be processed.    The complainant stated that the value of the key fob is approximately $200.00.    The vehicle was parked on Conklin Place, 150 feet east of Pangborn Place, facing west.    A check of the area for cameras revealed one on the Bergen Christian Academies.       A New Jersey Victim Notification Form was completed and provided to the complainant. She was further advised on how to obtain a copy of this report.  Detective Garrett was notified.Vehicle Insurance: GeicoCode :365Policy Number: 6164-87-88-42"/>
    <m/>
    <m/>
    <s v="R97RYW"/>
    <s v="HONDA"/>
    <s v="ODY"/>
    <s v="NJ"/>
    <m/>
    <m/>
    <m/>
    <m/>
    <s v="Deleon_A"/>
    <s v="P.O. Micah Gibson 365"/>
    <s v="A3"/>
    <s v="Det. Matthew Dogali 338"/>
    <s v="Active/Administratively Closed"/>
    <s v="23F = Theft From Motor Vehicle"/>
    <n v="2025"/>
    <n v="5"/>
    <n v="5"/>
    <n v="26"/>
    <n v="26"/>
    <d v="2025-01-26T20:10:00"/>
    <n v="5"/>
    <s v="I responded to the listed location on a reported theft from a motor vehicle. Sgt. Farhi responded to assist. Upon arrival, I spoke with the complainant. She stated that on 01/26/2025 at approximately 20:10 hours, she had turned her vehicle on to heat up. She further stated that she had left the vehicle running with the keys inside when she returned to her apartment for a few moments. The complainant reported that when she returned to the vehicle, the vehicle was still there but the keys were missing.       The complainant stated that no other items appeared to be missing from the vehicle. Furthermore, due to contamination by the complainant, the vehicle was unable to be processed.    The complainant stated that the value of the key fob is approximately $200.00.    The vehicle was parked on Conklin Place, 150 feet east of Pangborn Place, facing west.    A check of the area for cameras revealed one on the Bergen Christian Academies.       A New Jersey Victim Notification Form was completed and provided to the complainant. She was further advised on how to obtain a copy of this report.  Detective Garrett was notified.Vehicle Insurance: GeicoCode :365Policy Number: 6164-87-88-42"/>
    <s v="Vehicle 1: NJ-R97RYW HONDA, ODY"/>
    <s v=""/>
    <s v="$200.00.    The vehicle was parked on Conklin Place, 150 feet east of Pangborn Place, facing west"/>
    <s v="C01W04"/>
  </r>
  <r>
    <s v="25-007197"/>
    <x v="2"/>
    <x v="2"/>
    <d v="1899-12-30T20:00:00"/>
    <d v="1899-12-30T20:10:00"/>
    <x v="2"/>
    <s v="January"/>
    <s v="Pangborn Pl, 0 Block"/>
    <s v="5 Pangborn Place"/>
    <x v="1"/>
    <s v="Burglary - Auto"/>
    <s v="Theft"/>
    <s v=""/>
    <s v="5 Pangborn Place, Hackensack, NJ, 07601"/>
    <s v="H2"/>
    <n v="9"/>
    <s v="I responded to the listed location on a reported theft from a motor vehicle. Sgt. Farhi responded to assist. Upon arrival, I spoke with the complainant. She stated that on 01/26/2025 at approximately 20:10 hours, she had turned her vehicle on to heat up. She further stated that she had left the vehicle running with the keys inside when she returned to her apartment for a few moments. The complainant reported that when she returned to the vehicle, the vehicle was still there but the keys were missing.       The complainant stated that no other items appeared to be missing from the vehicle. Furthermore, due to contamination by the complainant, the vehicle was unable to be processed.    The complainant stated that the value of the key fob is approximately $200.00.    The vehicle was parked on Conklin Place, 150 feet east of Pangborn Place, facing west.    A check of the area for cameras revealed one on the Bergen Christian Academies.       A New Jersey Victim Notification Form was completed and provided to the complainant. She was further advised on how to obtain a copy of this report.  Detective Garrett was notified.Vehicle Insurance: GeicoCode :365Policy Number: 6164-87-88-42"/>
    <m/>
    <m/>
    <s v="R97RYW"/>
    <s v="HONDA"/>
    <s v="ODY"/>
    <s v="NJ"/>
    <m/>
    <m/>
    <m/>
    <m/>
    <s v="Deleon_A"/>
    <s v="P.O. Micah Gibson 365"/>
    <s v="A3"/>
    <s v="Det. Matthew Dogali 338"/>
    <s v="Active/Administratively Closed"/>
    <s v="23F = Theft From Motor Vehicle"/>
    <n v="2025"/>
    <n v="5"/>
    <n v="5"/>
    <n v="26"/>
    <n v="26"/>
    <d v="2025-01-26T20:10:00"/>
    <n v="5"/>
    <s v="I responded to the listed location on a reported theft from a motor vehicle. Sgt. Farhi responded to assist. Upon arrival, I spoke with the complainant. She stated that on 01/26/2025 at approximately 20:10 hours, she had turned her vehicle on to heat up. She further stated that she had left the vehicle running with the keys inside when she returned to her apartment for a few moments. The complainant reported that when she returned to the vehicle, the vehicle was still there but the keys were missing.       The complainant stated that no other items appeared to be missing from the vehicle. Furthermore, due to contamination by the complainant, the vehicle was unable to be processed.    The complainant stated that the value of the key fob is approximately $200.00.    The vehicle was parked on Conklin Place, 150 feet east of Pangborn Place, facing west.    A check of the area for cameras revealed one on the Bergen Christian Academies.       A New Jersey Victim Notification Form was completed and provided to the complainant. She was further advised on how to obtain a copy of this report.  Detective Garrett was notified.Vehicle Insurance: GeicoCode :365Policy Number: 6164-87-88-42"/>
    <s v="Vehicle 1: NJ-R97RYW HONDA, ODY"/>
    <s v=""/>
    <s v="$200.00.    The vehicle was parked on Conklin Place, 150 feet east of Pangborn Place, facing west"/>
    <s v="C01W04"/>
  </r>
  <r>
    <s v="25-007197"/>
    <x v="2"/>
    <x v="2"/>
    <d v="1899-12-30T20:00:00"/>
    <d v="1899-12-30T20:10:00"/>
    <x v="2"/>
    <s v="January"/>
    <s v="Pangborn Pl, 0 Block"/>
    <s v="5 Pangborn Place"/>
    <x v="1"/>
    <s v="Burglary - Auto"/>
    <s v="Theft"/>
    <s v=""/>
    <s v="5 Pangborn Place, Hackensack, NJ, 07601"/>
    <s v="H2"/>
    <n v="9"/>
    <s v="I responded to the listed location on a reported theft from a motor vehicle. Sgt. Farhi responded to assist. Upon arrival, I spoke with the complainant. She stated that on 01/26/2025 at approximately 20:10 hours, she had turned her vehicle on to heat up. She further stated that she had left the vehicle running with the keys inside when she returned to her apartment for a few moments. The complainant reported that when she returned to the vehicle, the vehicle was still there but the keys were missing.       The complainant stated that no other items appeared to be missing from the vehicle. Furthermore, due to contamination by the complainant, the vehicle was unable to be processed.    The complainant stated that the value of the key fob is approximately $200.00.    The vehicle was parked on Conklin Place, 150 feet east of Pangborn Place, facing west.    A check of the area for cameras revealed one on the Bergen Christian Academies.       A New Jersey Victim Notification Form was completed and provided to the complainant. She was further advised on how to obtain a copy of this report.  Detective Garrett was notified.Vehicle Insurance: GeicoCode :365Policy Number: 6164-87-88-42"/>
    <m/>
    <m/>
    <s v="R97RYW"/>
    <s v="HONDA"/>
    <s v="ODY"/>
    <s v="NJ"/>
    <m/>
    <m/>
    <m/>
    <m/>
    <s v="Deleon_A"/>
    <s v="P.O. Micah Gibson 365"/>
    <s v="A3"/>
    <s v="Det. Matthew Dogali 338"/>
    <s v="Active/Administratively Closed"/>
    <s v="23F = Theft From Motor Vehicle"/>
    <n v="2025"/>
    <n v="5"/>
    <n v="5"/>
    <n v="26"/>
    <n v="26"/>
    <d v="2025-01-26T20:10:00"/>
    <n v="5"/>
    <s v="I responded to the listed location on a reported theft from a motor vehicle. Sgt. Farhi responded to assist. Upon arrival, I spoke with the complainant. She stated that on 01/26/2025 at approximately 20:10 hours, she had turned her vehicle on to heat up. She further stated that she had left the vehicle running with the keys inside when she returned to her apartment for a few moments. The complainant reported that when she returned to the vehicle, the vehicle was still there but the keys were missing.       The complainant stated that no other items appeared to be missing from the vehicle. Furthermore, due to contamination by the complainant, the vehicle was unable to be processed.    The complainant stated that the value of the key fob is approximately $200.00.    The vehicle was parked on Conklin Place, 150 feet east of Pangborn Place, facing west.    A check of the area for cameras revealed one on the Bergen Christian Academies.       A New Jersey Victim Notification Form was completed and provided to the complainant. She was further advised on how to obtain a copy of this report.  Detective Garrett was notified.Vehicle Insurance: GeicoCode :365Policy Number: 6164-87-88-42"/>
    <s v="Vehicle 1: NJ-R97RYW HONDA, ODY"/>
    <s v=""/>
    <s v="$200.00.    The vehicle was parked on Conklin Place, 150 feet east of Pangborn Place, facing west"/>
    <s v="C01W04"/>
  </r>
  <r>
    <s v="25-007197"/>
    <x v="2"/>
    <x v="2"/>
    <d v="1899-12-30T20:00:00"/>
    <d v="1899-12-30T20:10:00"/>
    <x v="2"/>
    <s v="January"/>
    <s v="Pangborn Pl, 0 Block"/>
    <s v="5 Pangborn Place"/>
    <x v="1"/>
    <s v="Burglary - Auto"/>
    <s v="Theft"/>
    <s v=""/>
    <s v="5 Pangborn Place, Hackensack, NJ, 07601"/>
    <s v="H2"/>
    <n v="9"/>
    <s v="I responded to the listed location on a reported theft from a motor vehicle. Sgt. Farhi responded to assist. Upon arrival, I spoke with the complainant. She stated that on 01/26/2025 at approximately 20:10 hours, she had turned her vehicle on to heat up. She further stated that she had left the vehicle running with the keys inside when she returned to her apartment for a few moments. The complainant reported that when she returned to the vehicle, the vehicle was still there but the keys were missing.       The complainant stated that no other items appeared to be missing from the vehicle. Furthermore, due to contamination by the complainant, the vehicle was unable to be processed.    The complainant stated that the value of the key fob is approximately $200.00.    The vehicle was parked on Conklin Place, 150 feet east of Pangborn Place, facing west.    A check of the area for cameras revealed one on the Bergen Christian Academies.       A New Jersey Victim Notification Form was completed and provided to the complainant. She was further advised on how to obtain a copy of this report.  Detective Garrett was notified.Vehicle Insurance: GeicoCode :365Policy Number: 6164-87-88-42"/>
    <m/>
    <m/>
    <s v="R97RYW"/>
    <s v="HONDA"/>
    <s v="ODY"/>
    <s v="NJ"/>
    <m/>
    <m/>
    <m/>
    <m/>
    <s v="Deleon_A"/>
    <s v="P.O. Micah Gibson 365"/>
    <s v="A3"/>
    <s v="Det. Matthew Dogali 338"/>
    <s v="Active/Administratively Closed"/>
    <s v="23F = Theft From Motor Vehicle"/>
    <n v="2025"/>
    <n v="5"/>
    <n v="5"/>
    <n v="26"/>
    <n v="26"/>
    <d v="2025-01-26T20:10:00"/>
    <n v="5"/>
    <s v="I responded to the listed location on a reported theft from a motor vehicle. Sgt. Farhi responded to assist. Upon arrival, I spoke with the complainant. She stated that on 01/26/2025 at approximately 20:10 hours, she had turned her vehicle on to heat up. She further stated that she had left the vehicle running with the keys inside when she returned to her apartment for a few moments. The complainant reported that when she returned to the vehicle, the vehicle was still there but the keys were missing.       The complainant stated that no other items appeared to be missing from the vehicle. Furthermore, due to contamination by the complainant, the vehicle was unable to be processed.    The complainant stated that the value of the key fob is approximately $200.00.    The vehicle was parked on Conklin Place, 150 feet east of Pangborn Place, facing west.    A check of the area for cameras revealed one on the Bergen Christian Academies.       A New Jersey Victim Notification Form was completed and provided to the complainant. She was further advised on how to obtain a copy of this report.  Detective Garrett was notified.Vehicle Insurance: GeicoCode :365Policy Number: 6164-87-88-42"/>
    <s v="Vehicle 1: NJ-R97RYW HONDA, ODY"/>
    <s v=""/>
    <s v="$200.00.    The vehicle was parked on Conklin Place, 150 feet east of Pangborn Place, facing west"/>
    <s v="C01W04"/>
  </r>
  <r>
    <s v="25-007197"/>
    <x v="2"/>
    <x v="2"/>
    <d v="1899-12-30T20:00:00"/>
    <d v="1899-12-30T20:10:00"/>
    <x v="2"/>
    <s v="January"/>
    <s v="Pangborn Pl, 0 Block"/>
    <s v="5 Pangborn Place"/>
    <x v="1"/>
    <s v="Burglary - Auto"/>
    <s v="Theft"/>
    <s v=""/>
    <s v="5 Pangborn Place, Hackensack, NJ, 07601"/>
    <s v="H2"/>
    <n v="9"/>
    <s v="I responded to the listed location on a reported theft from a motor vehicle. Sgt. Farhi responded to assist. Upon arrival, I spoke with the complainant. She stated that on 01/26/2025 at approximately 20:10 hours, she had turned her vehicle on to heat up. She further stated that she had left the vehicle running with the keys inside when she returned to her apartment for a few moments. The complainant reported that when she returned to the vehicle, the vehicle was still there but the keys were missing.       The complainant stated that no other items appeared to be missing from the vehicle. Furthermore, due to contamination by the complainant, the vehicle was unable to be processed.    The complainant stated that the value of the key fob is approximately $200.00.    The vehicle was parked on Conklin Place, 150 feet east of Pangborn Place, facing west.    A check of the area for cameras revealed one on the Bergen Christian Academies.       A New Jersey Victim Notification Form was completed and provided to the complainant. She was further advised on how to obtain a copy of this report.  Detective Garrett was notified.Vehicle Insurance: GeicoCode :365Policy Number: 6164-87-88-42"/>
    <m/>
    <m/>
    <s v="R97RYW"/>
    <s v="HONDA"/>
    <s v="ODY"/>
    <s v="NJ"/>
    <m/>
    <m/>
    <m/>
    <m/>
    <s v="Deleon_A"/>
    <s v="P.O. Micah Gibson 365"/>
    <s v="A3"/>
    <s v="Det. Matthew Dogali 338"/>
    <s v="Active/Administratively Closed"/>
    <s v="23F = Theft From Motor Vehicle"/>
    <n v="2025"/>
    <n v="5"/>
    <n v="5"/>
    <n v="26"/>
    <n v="26"/>
    <d v="2025-01-26T20:10:00"/>
    <n v="5"/>
    <s v="I responded to the listed location on a reported theft from a motor vehicle. Sgt. Farhi responded to assist. Upon arrival, I spoke with the complainant. She stated that on 01/26/2025 at approximately 20:10 hours, she had turned her vehicle on to heat up. She further stated that she had left the vehicle running with the keys inside when she returned to her apartment for a few moments. The complainant reported that when she returned to the vehicle, the vehicle was still there but the keys were missing.       The complainant stated that no other items appeared to be missing from the vehicle. Furthermore, due to contamination by the complainant, the vehicle was unable to be processed.    The complainant stated that the value of the key fob is approximately $200.00.    The vehicle was parked on Conklin Place, 150 feet east of Pangborn Place, facing west.    A check of the area for cameras revealed one on the Bergen Christian Academies.       A New Jersey Victim Notification Form was completed and provided to the complainant. She was further advised on how to obtain a copy of this report.  Detective Garrett was notified.Vehicle Insurance: GeicoCode :365Policy Number: 6164-87-88-42"/>
    <s v="Vehicle 1: NJ-R97RYW HONDA, ODY"/>
    <s v=""/>
    <s v="$200.00.    The vehicle was parked on Conklin Place, 150 feet east of Pangborn Place, facing west"/>
    <s v="C01W04"/>
  </r>
  <r>
    <s v="25-007197"/>
    <x v="2"/>
    <x v="2"/>
    <d v="1899-12-30T20:00:00"/>
    <d v="1899-12-30T20:10:00"/>
    <x v="2"/>
    <s v="January"/>
    <s v="Pangborn Pl, 0 Block"/>
    <s v="5 Pangborn Place"/>
    <x v="1"/>
    <s v="Burglary - Auto"/>
    <s v="Theft"/>
    <s v=""/>
    <s v="5 Pangborn Place, Hackensack, NJ, 07601"/>
    <s v="H2"/>
    <n v="9"/>
    <s v="I responded to the listed location on a reported theft from a motor vehicle. Sgt. Farhi responded to assist. Upon arrival, I spoke with the complainant. She stated that on 01/26/2025 at approximately 20:10 hours, she had turned her vehicle on to heat up. She further stated that she had left the vehicle running with the keys inside when she returned to her apartment for a few moments. The complainant reported that when she returned to the vehicle, the vehicle was still there but the keys were missing.       The complainant stated that no other items appeared to be missing from the vehicle. Furthermore, due to contamination by the complainant, the vehicle was unable to be processed.    The complainant stated that the value of the key fob is approximately $200.00.    The vehicle was parked on Conklin Place, 150 feet east of Pangborn Place, facing west.    A check of the area for cameras revealed one on the Bergen Christian Academies.       A New Jersey Victim Notification Form was completed and provided to the complainant. She was further advised on how to obtain a copy of this report.  Detective Garrett was notified.Vehicle Insurance: GeicoCode :365Policy Number: 6164-87-88-42"/>
    <m/>
    <m/>
    <s v="R97RYW"/>
    <s v="HONDA"/>
    <s v="ODY"/>
    <s v="NJ"/>
    <m/>
    <m/>
    <m/>
    <m/>
    <s v="Deleon_A"/>
    <s v="P.O. Micah Gibson 365"/>
    <s v="A3"/>
    <s v="Det. Matthew Dogali 338"/>
    <s v="Active/Administratively Closed"/>
    <s v="23F = Theft From Motor Vehicle"/>
    <n v="2025"/>
    <n v="5"/>
    <n v="5"/>
    <n v="26"/>
    <n v="26"/>
    <d v="2025-01-26T20:10:00"/>
    <n v="5"/>
    <s v="I responded to the listed location on a reported theft from a motor vehicle. Sgt. Farhi responded to assist. Upon arrival, I spoke with the complainant. She stated that on 01/26/2025 at approximately 20:10 hours, she had turned her vehicle on to heat up. She further stated that she had left the vehicle running with the keys inside when she returned to her apartment for a few moments. The complainant reported that when she returned to the vehicle, the vehicle was still there but the keys were missing.       The complainant stated that no other items appeared to be missing from the vehicle. Furthermore, due to contamination by the complainant, the vehicle was unable to be processed.    The complainant stated that the value of the key fob is approximately $200.00.    The vehicle was parked on Conklin Place, 150 feet east of Pangborn Place, facing west.    A check of the area for cameras revealed one on the Bergen Christian Academies.       A New Jersey Victim Notification Form was completed and provided to the complainant. She was further advised on how to obtain a copy of this report.  Detective Garrett was notified.Vehicle Insurance: GeicoCode :365Policy Number: 6164-87-88-42"/>
    <s v="Vehicle 1: NJ-R97RYW HONDA, ODY"/>
    <s v=""/>
    <s v="$200.00.    The vehicle was parked on Conklin Place, 150 feet east of Pangborn Place, facing west"/>
    <s v="C01W04"/>
  </r>
  <r>
    <s v="25-007197"/>
    <x v="2"/>
    <x v="2"/>
    <d v="1899-12-30T20:00:00"/>
    <d v="1899-12-30T20:10:00"/>
    <x v="2"/>
    <s v="January"/>
    <s v="Pangborn Pl, 0 Block"/>
    <s v="5 Pangborn Place"/>
    <x v="1"/>
    <s v="Burglary - Auto"/>
    <s v="Theft"/>
    <s v=""/>
    <s v="5 Pangborn Place, Hackensack, NJ, 07601"/>
    <s v="H2"/>
    <n v="9"/>
    <s v="I responded to the listed location on a reported theft from a motor vehicle. Sgt. Farhi responded to assist. Upon arrival, I spoke with the complainant. She stated that on 01/26/2025 at approximately 20:10 hours, she had turned her vehicle on to heat up. She further stated that she had left the vehicle running with the keys inside when she returned to her apartment for a few moments. The complainant reported that when she returned to the vehicle, the vehicle was still there but the keys were missing.       The complainant stated that no other items appeared to be missing from the vehicle. Furthermore, due to contamination by the complainant, the vehicle was unable to be processed.    The complainant stated that the value of the key fob is approximately $200.00.    The vehicle was parked on Conklin Place, 150 feet east of Pangborn Place, facing west.    A check of the area for cameras revealed one on the Bergen Christian Academies.       A New Jersey Victim Notification Form was completed and provided to the complainant. She was further advised on how to obtain a copy of this report.  Detective Garrett was notified.Vehicle Insurance: GeicoCode :365Policy Number: 6164-87-88-42"/>
    <m/>
    <m/>
    <s v="R97RYW"/>
    <s v="HONDA"/>
    <s v="ODY"/>
    <s v="NJ"/>
    <m/>
    <m/>
    <m/>
    <m/>
    <s v="Deleon_A"/>
    <s v="P.O. Micah Gibson 365"/>
    <s v="A3"/>
    <s v="Det. Matthew Dogali 338"/>
    <s v="Active/Administratively Closed"/>
    <s v="23F = Theft From Motor Vehicle"/>
    <n v="2025"/>
    <n v="5"/>
    <n v="5"/>
    <n v="26"/>
    <n v="26"/>
    <d v="2025-01-26T20:10:00"/>
    <n v="5"/>
    <s v="I responded to the listed location on a reported theft from a motor vehicle. Sgt. Farhi responded to assist. Upon arrival, I spoke with the complainant. She stated that on 01/26/2025 at approximately 20:10 hours, she had turned her vehicle on to heat up. She further stated that she had left the vehicle running with the keys inside when she returned to her apartment for a few moments. The complainant reported that when she returned to the vehicle, the vehicle was still there but the keys were missing.       The complainant stated that no other items appeared to be missing from the vehicle. Furthermore, due to contamination by the complainant, the vehicle was unable to be processed.    The complainant stated that the value of the key fob is approximately $200.00.    The vehicle was parked on Conklin Place, 150 feet east of Pangborn Place, facing west.    A check of the area for cameras revealed one on the Bergen Christian Academies.       A New Jersey Victim Notification Form was completed and provided to the complainant. She was further advised on how to obtain a copy of this report.  Detective Garrett was notified.Vehicle Insurance: GeicoCode :365Policy Number: 6164-87-88-42"/>
    <s v="Vehicle 1: NJ-R97RYW HONDA, ODY"/>
    <s v=""/>
    <s v="$200.00.    The vehicle was parked on Conklin Place, 150 feet east of Pangborn Place, facing west"/>
    <s v="C01W04"/>
  </r>
  <r>
    <s v="25-007197"/>
    <x v="2"/>
    <x v="2"/>
    <d v="1899-12-30T20:00:00"/>
    <d v="1899-12-30T20:10:00"/>
    <x v="2"/>
    <s v="January"/>
    <s v="Pangborn Pl, 0 Block"/>
    <s v="5 Pangborn Place"/>
    <x v="1"/>
    <s v="Burglary - Auto"/>
    <s v="Theft"/>
    <s v=""/>
    <s v="5 Pangborn Place, Hackensack, NJ, 07601"/>
    <s v="H2"/>
    <n v="9"/>
    <s v="I responded to the listed location on a reported theft from a motor vehicle. Sgt. Farhi responded to assist. Upon arrival, I spoke with the complainant. She stated that on 01/26/2025 at approximately 20:10 hours, she had turned her vehicle on to heat up. She further stated that she had left the vehicle running with the keys inside when she returned to her apartment for a few moments. The complainant reported that when she returned to the vehicle, the vehicle was still there but the keys were missing.       The complainant stated that no other items appeared to be missing from the vehicle. Furthermore, due to contamination by the complainant, the vehicle was unable to be processed.    The complainant stated that the value of the key fob is approximately $200.00.    The vehicle was parked on Conklin Place, 150 feet east of Pangborn Place, facing west.    A check of the area for cameras revealed one on the Bergen Christian Academies.       A New Jersey Victim Notification Form was completed and provided to the complainant. She was further advised on how to obtain a copy of this report.  Detective Garrett was notified.Vehicle Insurance: GeicoCode :365Policy Number: 6164-87-88-42"/>
    <m/>
    <m/>
    <s v="R97RYW"/>
    <s v="HONDA"/>
    <s v="ODY"/>
    <s v="NJ"/>
    <m/>
    <m/>
    <m/>
    <m/>
    <s v="Deleon_A"/>
    <s v="P.O. Micah Gibson 365"/>
    <s v="A3"/>
    <s v="Det. Matthew Dogali 338"/>
    <s v="Active/Administratively Closed"/>
    <s v="23F = Theft From Motor Vehicle"/>
    <n v="2025"/>
    <n v="5"/>
    <n v="5"/>
    <n v="26"/>
    <n v="26"/>
    <d v="2025-01-26T20:10:00"/>
    <n v="5"/>
    <s v="I responded to the listed location on a reported theft from a motor vehicle. Sgt. Farhi responded to assist. Upon arrival, I spoke with the complainant. She stated that on 01/26/2025 at approximately 20:10 hours, she had turned her vehicle on to heat up. She further stated that she had left the vehicle running with the keys inside when she returned to her apartment for a few moments. The complainant reported that when she returned to the vehicle, the vehicle was still there but the keys were missing.       The complainant stated that no other items appeared to be missing from the vehicle. Furthermore, due to contamination by the complainant, the vehicle was unable to be processed.    The complainant stated that the value of the key fob is approximately $200.00.    The vehicle was parked on Conklin Place, 150 feet east of Pangborn Place, facing west.    A check of the area for cameras revealed one on the Bergen Christian Academies.       A New Jersey Victim Notification Form was completed and provided to the complainant. She was further advised on how to obtain a copy of this report.  Detective Garrett was notified.Vehicle Insurance: GeicoCode :365Policy Number: 6164-87-88-42"/>
    <s v="Vehicle 1: NJ-R97RYW HONDA, ODY"/>
    <s v=""/>
    <s v="$200.00.    The vehicle was parked on Conklin Place, 150 feet east of Pangborn Place, facing west"/>
    <s v="C01W04"/>
  </r>
  <r>
    <s v="25-007197"/>
    <x v="2"/>
    <x v="2"/>
    <d v="1899-12-30T20:00:00"/>
    <d v="1899-12-30T20:10:00"/>
    <x v="2"/>
    <s v="January"/>
    <s v="Pangborn Pl, 0 Block"/>
    <s v="5 Pangborn Place"/>
    <x v="1"/>
    <s v="Burglary - Auto"/>
    <s v="Theft"/>
    <s v=""/>
    <s v="5 Pangborn Place, Hackensack, NJ, 07601"/>
    <s v="H2"/>
    <n v="9"/>
    <s v="I responded to the listed location on a reported theft from a motor vehicle. Sgt. Farhi responded to assist. Upon arrival, I spoke with the complainant. She stated that on 01/26/2025 at approximately 20:10 hours, she had turned her vehicle on to heat up. She further stated that she had left the vehicle running with the keys inside when she returned to her apartment for a few moments. The complainant reported that when she returned to the vehicle, the vehicle was still there but the keys were missing.       The complainant stated that no other items appeared to be missing from the vehicle. Furthermore, due to contamination by the complainant, the vehicle was unable to be processed.    The complainant stated that the value of the key fob is approximately $200.00.    The vehicle was parked on Conklin Place, 150 feet east of Pangborn Place, facing west.    A check of the area for cameras revealed one on the Bergen Christian Academies.       A New Jersey Victim Notification Form was completed and provided to the complainant. She was further advised on how to obtain a copy of this report.  Detective Garrett was notified.Vehicle Insurance: GeicoCode :365Policy Number: 6164-87-88-42"/>
    <m/>
    <m/>
    <s v="R97RYW"/>
    <s v="HONDA"/>
    <s v="ODY"/>
    <s v="NJ"/>
    <m/>
    <m/>
    <m/>
    <m/>
    <s v="Deleon_A"/>
    <s v="P.O. Micah Gibson 365"/>
    <s v="A3"/>
    <s v="Det. Matthew Dogali 338"/>
    <s v="Active/Administratively Closed"/>
    <s v="23F = Theft From Motor Vehicle"/>
    <n v="2025"/>
    <n v="5"/>
    <n v="5"/>
    <n v="26"/>
    <n v="26"/>
    <d v="2025-01-26T20:10:00"/>
    <n v="5"/>
    <s v="I responded to the listed location on a reported theft from a motor vehicle. Sgt. Farhi responded to assist. Upon arrival, I spoke with the complainant. She stated that on 01/26/2025 at approximately 20:10 hours, she had turned her vehicle on to heat up. She further stated that she had left the vehicle running with the keys inside when she returned to her apartment for a few moments. The complainant reported that when she returned to the vehicle, the vehicle was still there but the keys were missing.       The complainant stated that no other items appeared to be missing from the vehicle. Furthermore, due to contamination by the complainant, the vehicle was unable to be processed.    The complainant stated that the value of the key fob is approximately $200.00.    The vehicle was parked on Conklin Place, 150 feet east of Pangborn Place, facing west.    A check of the area for cameras revealed one on the Bergen Christian Academies.       A New Jersey Victim Notification Form was completed and provided to the complainant. She was further advised on how to obtain a copy of this report.  Detective Garrett was notified.Vehicle Insurance: GeicoCode :365Policy Number: 6164-87-88-42"/>
    <s v="Vehicle 1: NJ-R97RYW HONDA, ODY"/>
    <s v=""/>
    <s v="$200.00.    The vehicle was parked on Conklin Place, 150 feet east of Pangborn Place, facing west"/>
    <s v="C01W04"/>
  </r>
  <r>
    <s v="25-007197"/>
    <x v="2"/>
    <x v="2"/>
    <d v="1899-12-30T20:00:00"/>
    <d v="1899-12-30T20:10:00"/>
    <x v="2"/>
    <s v="January"/>
    <s v="Pangborn Pl, 0 Block"/>
    <s v="5 Pangborn Place"/>
    <x v="1"/>
    <s v="Burglary - Auto"/>
    <s v="Theft"/>
    <s v=""/>
    <s v="5 Pangborn Place, Hackensack, NJ, 07601"/>
    <s v="H2"/>
    <n v="9"/>
    <s v="I responded to the listed location on a reported theft from a motor vehicle. Sgt. Farhi responded to assist. Upon arrival, I spoke with the complainant. She stated that on 01/26/2025 at approximately 20:10 hours, she had turned her vehicle on to heat up. She further stated that she had left the vehicle running with the keys inside when she returned to her apartment for a few moments. The complainant reported that when she returned to the vehicle, the vehicle was still there but the keys were missing.       The complainant stated that no other items appeared to be missing from the vehicle. Furthermore, due to contamination by the complainant, the vehicle was unable to be processed.    The complainant stated that the value of the key fob is approximately $200.00.    The vehicle was parked on Conklin Place, 150 feet east of Pangborn Place, facing west.    A check of the area for cameras revealed one on the Bergen Christian Academies.       A New Jersey Victim Notification Form was completed and provided to the complainant. She was further advised on how to obtain a copy of this report.  Detective Garrett was notified.Vehicle Insurance: GeicoCode :365Policy Number: 6164-87-88-42"/>
    <m/>
    <m/>
    <s v="R97RYW"/>
    <s v="HONDA"/>
    <s v="ODY"/>
    <s v="NJ"/>
    <m/>
    <m/>
    <m/>
    <m/>
    <s v="Deleon_A"/>
    <s v="P.O. Micah Gibson 365"/>
    <s v="A3"/>
    <s v="Det. Matthew Dogali 338"/>
    <s v="Active/Administratively Closed"/>
    <s v="23F = Theft From Motor Vehicle"/>
    <n v="2025"/>
    <n v="5"/>
    <n v="5"/>
    <n v="26"/>
    <n v="26"/>
    <d v="2025-01-26T20:10:00"/>
    <n v="5"/>
    <s v="I responded to the listed location on a reported theft from a motor vehicle. Sgt. Farhi responded to assist. Upon arrival, I spoke with the complainant. She stated that on 01/26/2025 at approximately 20:10 hours, she had turned her vehicle on to heat up. She further stated that she had left the vehicle running with the keys inside when she returned to her apartment for a few moments. The complainant reported that when she returned to the vehicle, the vehicle was still there but the keys were missing.       The complainant stated that no other items appeared to be missing from the vehicle. Furthermore, due to contamination by the complainant, the vehicle was unable to be processed.    The complainant stated that the value of the key fob is approximately $200.00.    The vehicle was parked on Conklin Place, 150 feet east of Pangborn Place, facing west.    A check of the area for cameras revealed one on the Bergen Christian Academies.       A New Jersey Victim Notification Form was completed and provided to the complainant. She was further advised on how to obtain a copy of this report.  Detective Garrett was notified.Vehicle Insurance: GeicoCode :365Policy Number: 6164-87-88-42"/>
    <s v="Vehicle 1: NJ-R97RYW HONDA, ODY"/>
    <s v=""/>
    <s v="$200.00.    The vehicle was parked on Conklin Place, 150 feet east of Pangborn Place, facing west"/>
    <s v="C01W04"/>
  </r>
  <r>
    <s v="25-007197"/>
    <x v="2"/>
    <x v="2"/>
    <d v="1899-12-30T20:00:00"/>
    <d v="1899-12-30T20:10:00"/>
    <x v="2"/>
    <s v="January"/>
    <s v="Pangborn Pl, 0 Block"/>
    <s v="5 Pangborn Place"/>
    <x v="1"/>
    <s v="Burglary - Auto"/>
    <s v="Theft"/>
    <s v=""/>
    <s v="5 Pangborn Place, Hackensack, NJ, 07601"/>
    <s v="H2"/>
    <n v="9"/>
    <s v="I responded to the listed location on a reported theft from a motor vehicle. Sgt. Farhi responded to assist. Upon arrival, I spoke with the complainant. She stated that on 01/26/2025 at approximately 20:10 hours, she had turned her vehicle on to heat up. She further stated that she had left the vehicle running with the keys inside when she returned to her apartment for a few moments. The complainant reported that when she returned to the vehicle, the vehicle was still there but the keys were missing.       The complainant stated that no other items appeared to be missing from the vehicle. Furthermore, due to contamination by the complainant, the vehicle was unable to be processed.    The complainant stated that the value of the key fob is approximately $200.00.    The vehicle was parked on Conklin Place, 150 feet east of Pangborn Place, facing west.    A check of the area for cameras revealed one on the Bergen Christian Academies.       A New Jersey Victim Notification Form was completed and provided to the complainant. She was further advised on how to obtain a copy of this report.  Detective Garrett was notified.Vehicle Insurance: GeicoCode :365Policy Number: 6164-87-88-42"/>
    <m/>
    <m/>
    <s v="R97RYW"/>
    <s v="HONDA"/>
    <s v="ODY"/>
    <s v="NJ"/>
    <m/>
    <m/>
    <m/>
    <m/>
    <s v="Deleon_A"/>
    <s v="P.O. Micah Gibson 365"/>
    <s v="A3"/>
    <s v="Det. Matthew Dogali 338"/>
    <s v="Active/Administratively Closed"/>
    <s v="23F = Theft From Motor Vehicle"/>
    <n v="2025"/>
    <n v="5"/>
    <n v="5"/>
    <n v="26"/>
    <n v="26"/>
    <d v="2025-01-26T20:10:00"/>
    <n v="5"/>
    <s v="I responded to the listed location on a reported theft from a motor vehicle. Sgt. Farhi responded to assist. Upon arrival, I spoke with the complainant. She stated that on 01/26/2025 at approximately 20:10 hours, she had turned her vehicle on to heat up. She further stated that she had left the vehicle running with the keys inside when she returned to her apartment for a few moments. The complainant reported that when she returned to the vehicle, the vehicle was still there but the keys were missing.       The complainant stated that no other items appeared to be missing from the vehicle. Furthermore, due to contamination by the complainant, the vehicle was unable to be processed.    The complainant stated that the value of the key fob is approximately $200.00.    The vehicle was parked on Conklin Place, 150 feet east of Pangborn Place, facing west.    A check of the area for cameras revealed one on the Bergen Christian Academies.       A New Jersey Victim Notification Form was completed and provided to the complainant. She was further advised on how to obtain a copy of this report.  Detective Garrett was notified.Vehicle Insurance: GeicoCode :365Policy Number: 6164-87-88-42"/>
    <s v="Vehicle 1: NJ-R97RYW HONDA, ODY"/>
    <s v=""/>
    <s v="$200.00.    The vehicle was parked on Conklin Place, 150 feet east of Pangborn Place, facing west"/>
    <s v="C01W04"/>
  </r>
  <r>
    <s v="25-007197"/>
    <x v="2"/>
    <x v="2"/>
    <d v="1899-12-30T20:00:00"/>
    <d v="1899-12-30T20:10:00"/>
    <x v="2"/>
    <s v="January"/>
    <s v="Pangborn Pl, 0 Block"/>
    <s v="5 Pangborn Place"/>
    <x v="1"/>
    <s v="Burglary - Auto"/>
    <s v="Theft"/>
    <s v=""/>
    <s v="5 Pangborn Place, Hackensack, NJ, 07601"/>
    <s v="H2"/>
    <n v="9"/>
    <s v="I responded to the listed location on a reported theft from a motor vehicle. Sgt. Farhi responded to assist. Upon arrival, I spoke with the complainant. She stated that on 01/26/2025 at approximately 20:10 hours, she had turned her vehicle on to heat up. She further stated that she had left the vehicle running with the keys inside when she returned to her apartment for a few moments. The complainant reported that when she returned to the vehicle, the vehicle was still there but the keys were missing.       The complainant stated that no other items appeared to be missing from the vehicle. Furthermore, due to contamination by the complainant, the vehicle was unable to be processed.    The complainant stated that the value of the key fob is approximately $200.00.    The vehicle was parked on Conklin Place, 150 feet east of Pangborn Place, facing west.    A check of the area for cameras revealed one on the Bergen Christian Academies.       A New Jersey Victim Notification Form was completed and provided to the complainant. She was further advised on how to obtain a copy of this report.  Detective Garrett was notified.Vehicle Insurance: GeicoCode :365Policy Number: 6164-87-88-42"/>
    <m/>
    <m/>
    <s v="R97RYW"/>
    <s v="HONDA"/>
    <s v="ODY"/>
    <s v="NJ"/>
    <m/>
    <m/>
    <m/>
    <m/>
    <s v="Deleon_A"/>
    <s v="P.O. Micah Gibson 365"/>
    <s v="A3"/>
    <s v="Det. Matthew Dogali 338"/>
    <s v="Active/Administratively Closed"/>
    <s v="23F = Theft From Motor Vehicle"/>
    <n v="2025"/>
    <n v="5"/>
    <n v="5"/>
    <n v="26"/>
    <n v="26"/>
    <d v="2025-01-26T20:10:00"/>
    <n v="5"/>
    <s v="I responded to the listed location on a reported theft from a motor vehicle. Sgt. Farhi responded to assist. Upon arrival, I spoke with the complainant. She stated that on 01/26/2025 at approximately 20:10 hours, she had turned her vehicle on to heat up. She further stated that she had left the vehicle running with the keys inside when she returned to her apartment for a few moments. The complainant reported that when she returned to the vehicle, the vehicle was still there but the keys were missing.       The complainant stated that no other items appeared to be missing from the vehicle. Furthermore, due to contamination by the complainant, the vehicle was unable to be processed.    The complainant stated that the value of the key fob is approximately $200.00.    The vehicle was parked on Conklin Place, 150 feet east of Pangborn Place, facing west.    A check of the area for cameras revealed one on the Bergen Christian Academies.       A New Jersey Victim Notification Form was completed and provided to the complainant. She was further advised on how to obtain a copy of this report.  Detective Garrett was notified.Vehicle Insurance: GeicoCode :365Policy Number: 6164-87-88-42"/>
    <s v="Vehicle 1: NJ-R97RYW HONDA, ODY"/>
    <s v=""/>
    <s v="$200.00.    The vehicle was parked on Conklin Place, 150 feet east of Pangborn Place, facing west"/>
    <s v="C01W04"/>
  </r>
  <r>
    <s v="25-007197"/>
    <x v="2"/>
    <x v="2"/>
    <d v="1899-12-30T20:00:00"/>
    <d v="1899-12-30T20:10:00"/>
    <x v="2"/>
    <s v="January"/>
    <s v="Pangborn Pl, 0 Block"/>
    <s v="5 Pangborn Place"/>
    <x v="1"/>
    <s v="Burglary - Auto"/>
    <s v="Theft"/>
    <s v=""/>
    <s v="5 Pangborn Place, Hackensack, NJ, 07601"/>
    <s v="H2"/>
    <n v="9"/>
    <s v="I responded to the listed location on a reported theft from a motor vehicle. Sgt. Farhi responded to assist. Upon arrival, I spoke with the complainant. She stated that on 01/26/2025 at approximately 20:10 hours, she had turned her vehicle on to heat up. She further stated that she had left the vehicle running with the keys inside when she returned to her apartment for a few moments. The complainant reported that when she returned to the vehicle, the vehicle was still there but the keys were missing.       The complainant stated that no other items appeared to be missing from the vehicle. Furthermore, due to contamination by the complainant, the vehicle was unable to be processed.    The complainant stated that the value of the key fob is approximately $200.00.    The vehicle was parked on Conklin Place, 150 feet east of Pangborn Place, facing west.    A check of the area for cameras revealed one on the Bergen Christian Academies.       A New Jersey Victim Notification Form was completed and provided to the complainant. She was further advised on how to obtain a copy of this report.  Detective Garrett was notified.Vehicle Insurance: GeicoCode :365Policy Number: 6164-87-88-42"/>
    <m/>
    <m/>
    <s v="R97RYW"/>
    <s v="HONDA"/>
    <s v="ODY"/>
    <s v="NJ"/>
    <m/>
    <m/>
    <m/>
    <m/>
    <s v="Deleon_A"/>
    <s v="P.O. Micah Gibson 365"/>
    <s v="A3"/>
    <s v="Det. Matthew Dogali 338"/>
    <s v="Active/Administratively Closed"/>
    <s v="23F = Theft From Motor Vehicle"/>
    <n v="2025"/>
    <n v="5"/>
    <n v="5"/>
    <n v="26"/>
    <n v="26"/>
    <d v="2025-01-26T20:10:00"/>
    <n v="5"/>
    <s v="I responded to the listed location on a reported theft from a motor vehicle. Sgt. Farhi responded to assist. Upon arrival, I spoke with the complainant. She stated that on 01/26/2025 at approximately 20:10 hours, she had turned her vehicle on to heat up. She further stated that she had left the vehicle running with the keys inside when she returned to her apartment for a few moments. The complainant reported that when she returned to the vehicle, the vehicle was still there but the keys were missing.       The complainant stated that no other items appeared to be missing from the vehicle. Furthermore, due to contamination by the complainant, the vehicle was unable to be processed.    The complainant stated that the value of the key fob is approximately $200.00.    The vehicle was parked on Conklin Place, 150 feet east of Pangborn Place, facing west.    A check of the area for cameras revealed one on the Bergen Christian Academies.       A New Jersey Victim Notification Form was completed and provided to the complainant. She was further advised on how to obtain a copy of this report.  Detective Garrett was notified.Vehicle Insurance: GeicoCode :365Policy Number: 6164-87-88-42"/>
    <s v="Vehicle 1: NJ-R97RYW HONDA, ODY"/>
    <s v=""/>
    <s v="$200.00.    The vehicle was parked on Conklin Place, 150 feet east of Pangborn Place, facing west"/>
    <s v="C01W04"/>
  </r>
  <r>
    <s v="25-007197"/>
    <x v="2"/>
    <x v="2"/>
    <d v="1899-12-30T20:00:00"/>
    <d v="1899-12-30T20:10:00"/>
    <x v="2"/>
    <s v="January"/>
    <s v="Pangborn Pl, 0 Block"/>
    <s v="5 Pangborn Place"/>
    <x v="1"/>
    <s v="Burglary - Auto"/>
    <s v="Theft"/>
    <s v=""/>
    <s v="5 Pangborn Place, Hackensack, NJ, 07601"/>
    <s v="H2"/>
    <n v="9"/>
    <s v="I responded to the listed location on a reported theft from a motor vehicle. Sgt. Farhi responded to assist. Upon arrival, I spoke with the complainant. She stated that on 01/26/2025 at approximately 20:10 hours, she had turned her vehicle on to heat up. She further stated that she had left the vehicle running with the keys inside when she returned to her apartment for a few moments. The complainant reported that when she returned to the vehicle, the vehicle was still there but the keys were missing.       The complainant stated that no other items appeared to be missing from the vehicle. Furthermore, due to contamination by the complainant, the vehicle was unable to be processed.    The complainant stated that the value of the key fob is approximately $200.00.    The vehicle was parked on Conklin Place, 150 feet east of Pangborn Place, facing west.    A check of the area for cameras revealed one on the Bergen Christian Academies.       A New Jersey Victim Notification Form was completed and provided to the complainant. She was further advised on how to obtain a copy of this report.  Detective Garrett was notified.Vehicle Insurance: GeicoCode :365Policy Number: 6164-87-88-42"/>
    <m/>
    <m/>
    <s v="R97RYW"/>
    <s v="HONDA"/>
    <s v="ODY"/>
    <s v="NJ"/>
    <m/>
    <m/>
    <m/>
    <m/>
    <s v="Deleon_A"/>
    <s v="P.O. Micah Gibson 365"/>
    <s v="A3"/>
    <s v="Det. Matthew Dogali 338"/>
    <s v="Active/Administratively Closed"/>
    <s v="23F = Theft From Motor Vehicle"/>
    <n v="2025"/>
    <n v="5"/>
    <n v="5"/>
    <n v="26"/>
    <n v="26"/>
    <d v="2025-01-26T20:10:00"/>
    <n v="5"/>
    <s v="I responded to the listed location on a reported theft from a motor vehicle. Sgt. Farhi responded to assist. Upon arrival, I spoke with the complainant. She stated that on 01/26/2025 at approximately 20:10 hours, she had turned her vehicle on to heat up. She further stated that she had left the vehicle running with the keys inside when she returned to her apartment for a few moments. The complainant reported that when she returned to the vehicle, the vehicle was still there but the keys were missing.       The complainant stated that no other items appeared to be missing from the vehicle. Furthermore, due to contamination by the complainant, the vehicle was unable to be processed.    The complainant stated that the value of the key fob is approximately $200.00.    The vehicle was parked on Conklin Place, 150 feet east of Pangborn Place, facing west.    A check of the area for cameras revealed one on the Bergen Christian Academies.       A New Jersey Victim Notification Form was completed and provided to the complainant. She was further advised on how to obtain a copy of this report.  Detective Garrett was notified.Vehicle Insurance: GeicoCode :365Policy Number: 6164-87-88-42"/>
    <s v="Vehicle 1: NJ-R97RYW HONDA, ODY"/>
    <s v=""/>
    <s v="$200.00.    The vehicle was parked on Conklin Place, 150 feet east of Pangborn Place, facing west"/>
    <s v="C01W04"/>
  </r>
  <r>
    <s v="25-007197"/>
    <x v="2"/>
    <x v="2"/>
    <d v="1899-12-30T20:00:00"/>
    <d v="1899-12-30T20:10:00"/>
    <x v="2"/>
    <s v="January"/>
    <s v="Pangborn Pl, 0 Block"/>
    <s v="5 Pangborn Place"/>
    <x v="1"/>
    <s v="Burglary - Auto"/>
    <s v="Theft"/>
    <s v=""/>
    <s v="5 Pangborn Place, Hackensack, NJ, 07601"/>
    <s v="H2"/>
    <n v="9"/>
    <s v="I responded to the listed location on a reported theft from a motor vehicle. Sgt. Farhi responded to assist. Upon arrival, I spoke with the complainant. She stated that on 01/26/2025 at approximately 20:10 hours, she had turned her vehicle on to heat up. She further stated that she had left the vehicle running with the keys inside when she returned to her apartment for a few moments. The complainant reported that when she returned to the vehicle, the vehicle was still there but the keys were missing.       The complainant stated that no other items appeared to be missing from the vehicle. Furthermore, due to contamination by the complainant, the vehicle was unable to be processed.    The complainant stated that the value of the key fob is approximately $200.00.    The vehicle was parked on Conklin Place, 150 feet east of Pangborn Place, facing west.    A check of the area for cameras revealed one on the Bergen Christian Academies.       A New Jersey Victim Notification Form was completed and provided to the complainant. She was further advised on how to obtain a copy of this report.  Detective Garrett was notified.Vehicle Insurance: GeicoCode :365Policy Number: 6164-87-88-42"/>
    <m/>
    <m/>
    <s v="R97RYW"/>
    <s v="HONDA"/>
    <s v="ODY"/>
    <s v="NJ"/>
    <m/>
    <m/>
    <m/>
    <m/>
    <s v="Deleon_A"/>
    <s v="P.O. Micah Gibson 365"/>
    <s v="A3"/>
    <s v="Det. Matthew Dogali 338"/>
    <s v="Active/Administratively Closed"/>
    <s v="23F = Theft From Motor Vehicle"/>
    <n v="2025"/>
    <n v="5"/>
    <n v="5"/>
    <n v="26"/>
    <n v="26"/>
    <d v="2025-01-26T20:10:00"/>
    <n v="5"/>
    <s v="I responded to the listed location on a reported theft from a motor vehicle. Sgt. Farhi responded to assist. Upon arrival, I spoke with the complainant. She stated that on 01/26/2025 at approximately 20:10 hours, she had turned her vehicle on to heat up. She further stated that she had left the vehicle running with the keys inside when she returned to her apartment for a few moments. The complainant reported that when she returned to the vehicle, the vehicle was still there but the keys were missing.       The complainant stated that no other items appeared to be missing from the vehicle. Furthermore, due to contamination by the complainant, the vehicle was unable to be processed.    The complainant stated that the value of the key fob is approximately $200.00.    The vehicle was parked on Conklin Place, 150 feet east of Pangborn Place, facing west.    A check of the area for cameras revealed one on the Bergen Christian Academies.       A New Jersey Victim Notification Form was completed and provided to the complainant. She was further advised on how to obtain a copy of this report.  Detective Garrett was notified.Vehicle Insurance: GeicoCode :365Policy Number: 6164-87-88-42"/>
    <s v="Vehicle 1: NJ-R97RYW HONDA, ODY"/>
    <s v=""/>
    <s v="$200.00.    The vehicle was parked on Conklin Place, 150 feet east of Pangborn Place, facing west"/>
    <s v="C01W04"/>
  </r>
  <r>
    <s v="25-012325"/>
    <x v="3"/>
    <x v="1"/>
    <d v="1899-12-30T16:00:00"/>
    <d v="1899-12-30T16:00:00"/>
    <x v="3"/>
    <s v="February"/>
    <s v="East Pleasantview Avenue &amp; Kipp Street"/>
    <s v="East Pleasantview Avenue &amp; Kipp Street"/>
    <x v="0"/>
    <s v="Burglary - Auto"/>
    <s v=""/>
    <s v=""/>
    <s v="East Pleasantview Avenue &amp; Kipp Street, Hackensack, NJ, 07601"/>
    <s v="F3"/>
    <n v="6"/>
    <s v="I responded to East Pleasantview and Kipp St. on a burglary to auto. Upon arrival I met with the complainant, Mr. Santangelo who is an employee of PSE&amp;G. He stated that he parked and locked his work vehicle (NJ-XGDR55) on 2/13/25 at approximately 1600 hours then returned on 2/14/25 at 0710 hours and noticed the rear passenger side window was completely shattered.     The window was shattered and the unknown suspect(s) were able to unlock the door from the inside and enter the vehicle. Mr. Santangelo reported numerous tools were stolen. Mr. Santangelo touched the inside of the vehicle prior to my arrival, contaminating it making it unable to be processed. Stolen tools:1-Metro Tech 810 Mark out scope- approximately $3,000.001-Heath RMLD- Approximately $8,000.001-Heath gas detector- Approximately $5,000.00                                            Approximate amount stolen: $16,000.00    I did not observe any cameras in the area and the PSE&amp;G vehicle is self insured."/>
    <m/>
    <m/>
    <s v="XGDR55"/>
    <s v="FORD"/>
    <s v="R1Z"/>
    <s v="NJ"/>
    <m/>
    <m/>
    <m/>
    <m/>
    <s v="Swetits_M"/>
    <s v="P.O. Angelo Vicale 370"/>
    <s v="B3"/>
    <s v="Det. Demetrius Carroll 133"/>
    <s v="Active Investigation"/>
    <s v="23F = Theft From Motor Vehicle"/>
    <n v="2025"/>
    <n v="7"/>
    <n v="3"/>
    <n v="13"/>
    <n v="44"/>
    <d v="2025-02-13T16:00:00"/>
    <m/>
    <s v="I responded to East Pleasantview and Kipp St. on a burglary to auto. Upon arrival I met with the complainant, Mr. Santangelo who is an employee of PSE&amp;G. He stated that he parked and locked his work vehicle (NJ-XGDR55) on 2/13/25 at approximately 1600 hours then returned on 2/14/25 at 0710 hours and noticed the rear passenger side window was completely shattered.     The window was shattered and the unknown suspect(s) were able to unlock the door from the inside and enter the vehicle. Mr. Santangelo reported numerous tools were stolen. Mr. Santangelo touched the inside of the vehicle prior to my arrival, contaminating it making it unable to be processed. Stolen tools:1-Metro Tech 810 Mark out scope- approximately $3,000.001-Heath RMLD- Approximately $8,000.001-Heath gas detector- Approximately $5,000.00                                            Approximate amount stolen: $16,000.00    I did not observe any cameras in the area and the PSE&amp;G vehicle is self insured."/>
    <s v="Vehicle 1: NJ-XGDR55 FORD, R1Z"/>
    <s v="suspect(s) were able to unlock the door from the inside and enter the vehicle"/>
    <s v="$3,000.001-Heath RMLD- Approximately  $8,000.001-Heath gas detector- Approximately  $5,000.00                                            Approximate amount stolen:  $16,000.00    I did not observe any cameras in the area and the PSE&amp;G vehicle is self insured."/>
    <s v="C02W07"/>
  </r>
  <r>
    <s v="25-012325"/>
    <x v="3"/>
    <x v="1"/>
    <d v="1899-12-30T16:00:00"/>
    <d v="1899-12-30T16:00:00"/>
    <x v="3"/>
    <s v="February"/>
    <s v="East Pleasantview Avenue &amp; Kipp Street"/>
    <s v="East Pleasantview Avenue &amp; Kipp Street"/>
    <x v="0"/>
    <s v="Burglary - Auto"/>
    <s v=""/>
    <s v=""/>
    <s v="East Pleasantview Avenue &amp; Kipp Street, Hackensack, NJ, 07601"/>
    <s v="F3"/>
    <n v="6"/>
    <s v="I responded to East Pleasantview and Kipp St. on a burglary to auto. Upon arrival I met with the complainant, Mr. Santangelo who is an employee of PSE&amp;G. He stated that he parked and locked his work vehicle (NJ-XGDR55) on 2/13/25 at approximately 1600 hours then returned on 2/14/25 at 0710 hours and noticed the rear passenger side window was completely shattered.     The window was shattered and the unknown suspect(s) were able to unlock the door from the inside and enter the vehicle. Mr. Santangelo reported numerous tools were stolen. Mr. Santangelo touched the inside of the vehicle prior to my arrival, contaminating it making it unable to be processed. Stolen tools:1-Metro Tech 810 Mark out scope- approximately $3,000.001-Heath RMLD- Approximately $8,000.001-Heath gas detector- Approximately $5,000.00                                            Approximate amount stolen: $16,000.00    I did not observe any cameras in the area and the PSE&amp;G vehicle is self insured."/>
    <m/>
    <m/>
    <s v="XGDR55"/>
    <s v="FORD"/>
    <s v="R1Z"/>
    <s v="NJ"/>
    <m/>
    <m/>
    <m/>
    <m/>
    <s v="Swetits_M"/>
    <s v="P.O. Angelo Vicale 370"/>
    <s v="B3"/>
    <s v="Det. Demetrius Carroll 133"/>
    <s v="Active/Administratively Closed"/>
    <s v="23F = Theft From Motor Vehicle"/>
    <n v="2025"/>
    <n v="7"/>
    <n v="3"/>
    <n v="13"/>
    <n v="44"/>
    <d v="2025-02-13T16:00:00"/>
    <m/>
    <s v="I responded to East Pleasantview and Kipp St. on a burglary to auto. Upon arrival I met with the complainant, Mr. Santangelo who is an employee of PSE&amp;G. He stated that he parked and locked his work vehicle (NJ-XGDR55) on 2/13/25 at approximately 1600 hours then returned on 2/14/25 at 0710 hours and noticed the rear passenger side window was completely shattered.     The window was shattered and the unknown suspect(s) were able to unlock the door from the inside and enter the vehicle. Mr. Santangelo reported numerous tools were stolen. Mr. Santangelo touched the inside of the vehicle prior to my arrival, contaminating it making it unable to be processed. Stolen tools:1-Metro Tech 810 Mark out scope- approximately $3,000.001-Heath RMLD- Approximately $8,000.001-Heath gas detector- Approximately $5,000.00                                            Approximate amount stolen: $16,000.00    I did not observe any cameras in the area and the PSE&amp;G vehicle is self insured."/>
    <s v="Vehicle 1: NJ-XGDR55 FORD, R1Z"/>
    <s v="suspect(s) were able to unlock the door from the inside and enter the vehicle"/>
    <s v="$3,000.001-Heath RMLD- Approximately  $8,000.001-Heath gas detector- Approximately  $5,000.00                                            Approximate amount stolen:  $16,000.00    I did not observe any cameras in the area and the PSE&amp;G vehicle is self insured."/>
    <s v="C02W07"/>
  </r>
  <r>
    <s v="25-012325"/>
    <x v="3"/>
    <x v="1"/>
    <d v="1899-12-30T16:00:00"/>
    <d v="1899-12-30T16:00:00"/>
    <x v="3"/>
    <s v="February"/>
    <s v="East Pleasantview Avenue &amp; Kipp Street"/>
    <s v="East Pleasantview Avenue &amp; Kipp Street"/>
    <x v="0"/>
    <s v="Burglary - Auto"/>
    <s v=""/>
    <s v=""/>
    <s v="East Pleasantview Avenue &amp; Kipp Street, Hackensack, NJ, 07601"/>
    <s v="F3"/>
    <n v="6"/>
    <s v="I responded to East Pleasantview and Kipp St. on a burglary to auto. Upon arrival I met with the complainant, Mr. Santangelo who is an employee of PSE&amp;G. He stated that he parked and locked his work vehicle (NJ-XGDR55) on 2/13/25 at approximately 1600 hours then returned on 2/14/25 at 0710 hours and noticed the rear passenger side window was completely shattered.     The window was shattered and the unknown suspect(s) were able to unlock the door from the inside and enter the vehicle. Mr. Santangelo reported numerous tools were stolen. Mr. Santangelo touched the inside of the vehicle prior to my arrival, contaminating it making it unable to be processed. Stolen tools:1-Metro Tech 810 Mark out scope- approximately $3,000.001-Heath RMLD- Approximately $8,000.001-Heath gas detector- Approximately $5,000.00                                            Approximate amount stolen: $16,000.00    I did not observe any cameras in the area and the PSE&amp;G vehicle is self insured."/>
    <m/>
    <m/>
    <s v="XGDR55"/>
    <s v="FORD"/>
    <s v="R1Z"/>
    <s v="NJ"/>
    <m/>
    <m/>
    <m/>
    <m/>
    <s v="Swetits_M"/>
    <s v="P.O. Angelo Vicale 370"/>
    <s v="B3"/>
    <s v="Det. Demetrius Carroll 133"/>
    <s v="Active/Administratively Closed"/>
    <s v="23F = Theft From Motor Vehicle"/>
    <n v="2025"/>
    <n v="7"/>
    <n v="3"/>
    <n v="13"/>
    <n v="44"/>
    <d v="2025-02-13T16:00:00"/>
    <m/>
    <s v="I responded to East Pleasantview and Kipp St. on a burglary to auto. Upon arrival I met with the complainant, Mr. Santangelo who is an employee of PSE&amp;G. He stated that he parked and locked his work vehicle (NJ-XGDR55) on 2/13/25 at approximately 1600 hours then returned on 2/14/25 at 0710 hours and noticed the rear passenger side window was completely shattered.     The window was shattered and the unknown suspect(s) were able to unlock the door from the inside and enter the vehicle. Mr. Santangelo reported numerous tools were stolen. Mr. Santangelo touched the inside of the vehicle prior to my arrival, contaminating it making it unable to be processed. Stolen tools:1-Metro Tech 810 Mark out scope- approximately $3,000.001-Heath RMLD- Approximately $8,000.001-Heath gas detector- Approximately $5,000.00                                            Approximate amount stolen: $16,000.00    I did not observe any cameras in the area and the PSE&amp;G vehicle is self insured."/>
    <s v="Vehicle 1: NJ-XGDR55 FORD, R1Z"/>
    <s v="suspect(s) were able to unlock the door from the inside and enter the vehicle"/>
    <s v="$3,000.001-Heath RMLD- Approximately  $8,000.001-Heath gas detector- Approximately  $5,000.00                                            Approximate amount stolen:  $16,000.00    I did not observe any cameras in the area and the PSE&amp;G vehicle is self insured."/>
    <s v="C02W07"/>
  </r>
  <r>
    <s v="25-012325"/>
    <x v="3"/>
    <x v="1"/>
    <d v="1899-12-30T16:00:00"/>
    <d v="1899-12-30T16:00:00"/>
    <x v="3"/>
    <s v="February"/>
    <s v="East Pleasantview Avenue &amp; Kipp Street"/>
    <s v="East Pleasantview Avenue &amp; Kipp Street"/>
    <x v="0"/>
    <s v="Burglary - Auto"/>
    <s v=""/>
    <s v=""/>
    <s v="East Pleasantview Avenue &amp; Kipp Street, Hackensack, NJ, 07601"/>
    <s v="F3"/>
    <n v="6"/>
    <s v="I responded to East Pleasantview and Kipp St. on a burglary to auto. Upon arrival I met with the complainant, Mr. Santangelo who is an employee of PSE&amp;G. He stated that he parked and locked his work vehicle (NJ-XGDR55) on 2/13/25 at approximately 1600 hours then returned on 2/14/25 at 0710 hours and noticed the rear passenger side window was completely shattered.     The window was shattered and the unknown suspect(s) were able to unlock the door from the inside and enter the vehicle. Mr. Santangelo reported numerous tools were stolen. Mr. Santangelo touched the inside of the vehicle prior to my arrival, contaminating it making it unable to be processed. Stolen tools:1-Metro Tech 810 Mark out scope- approximately $3,000.001-Heath RMLD- Approximately $8,000.001-Heath gas detector- Approximately $5,000.00                                            Approximate amount stolen: $16,000.00    I did not observe any cameras in the area and the PSE&amp;G vehicle is self insured."/>
    <m/>
    <m/>
    <s v="XGDR55"/>
    <s v="FORD"/>
    <s v="R1Z"/>
    <s v="NJ"/>
    <m/>
    <m/>
    <m/>
    <m/>
    <s v="Swetits_M"/>
    <s v="P.O. Angelo Vicale 370"/>
    <s v="B3"/>
    <s v="Det. Demetrius Carroll 133"/>
    <s v="Active/Administratively Closed"/>
    <s v="23F = Theft From Motor Vehicle"/>
    <n v="2025"/>
    <n v="7"/>
    <n v="3"/>
    <n v="13"/>
    <n v="44"/>
    <d v="2025-02-13T16:00:00"/>
    <m/>
    <s v="I responded to East Pleasantview and Kipp St. on a burglary to auto. Upon arrival I met with the complainant, Mr. Santangelo who is an employee of PSE&amp;G. He stated that he parked and locked his work vehicle (NJ-XGDR55) on 2/13/25 at approximately 1600 hours then returned on 2/14/25 at 0710 hours and noticed the rear passenger side window was completely shattered.     The window was shattered and the unknown suspect(s) were able to unlock the door from the inside and enter the vehicle. Mr. Santangelo reported numerous tools were stolen. Mr. Santangelo touched the inside of the vehicle prior to my arrival, contaminating it making it unable to be processed. Stolen tools:1-Metro Tech 810 Mark out scope- approximately $3,000.001-Heath RMLD- Approximately $8,000.001-Heath gas detector- Approximately $5,000.00                                            Approximate amount stolen: $16,000.00    I did not observe any cameras in the area and the PSE&amp;G vehicle is self insured."/>
    <s v="Vehicle 1: NJ-XGDR55 FORD, R1Z"/>
    <s v="suspect(s) were able to unlock the door from the inside and enter the vehicle"/>
    <s v="$3,000.001-Heath RMLD- Approximately  $8,000.001-Heath gas detector- Approximately  $5,000.00                                            Approximate amount stolen:  $16,000.00    I did not observe any cameras in the area and the PSE&amp;G vehicle is self insured."/>
    <s v="C02W07"/>
  </r>
  <r>
    <s v="25-012325"/>
    <x v="3"/>
    <x v="1"/>
    <d v="1899-12-30T16:00:00"/>
    <d v="1899-12-30T16:00:00"/>
    <x v="3"/>
    <s v="February"/>
    <s v="East Pleasantview Avenue &amp; Kipp Street"/>
    <s v="East Pleasantview Avenue &amp; Kipp Street"/>
    <x v="0"/>
    <s v="Burglary - Auto"/>
    <s v=""/>
    <s v=""/>
    <s v="East Pleasantview Avenue &amp; Kipp Street, Hackensack, NJ, 07601"/>
    <s v="F3"/>
    <n v="6"/>
    <s v="I responded to East Pleasantview and Kipp St. on a burglary to auto. Upon arrival I met with the complainant, Mr. Santangelo who is an employee of PSE&amp;G. He stated that he parked and locked his work vehicle (NJ-XGDR55) on 2/13/25 at approximately 1600 hours then returned on 2/14/25 at 0710 hours and noticed the rear passenger side window was completely shattered.     The window was shattered and the unknown suspect(s) were able to unlock the door from the inside and enter the vehicle. Mr. Santangelo reported numerous tools were stolen. Mr. Santangelo touched the inside of the vehicle prior to my arrival, contaminating it making it unable to be processed. Stolen tools:1-Metro Tech 810 Mark out scope- approximately $3,000.001-Heath RMLD- Approximately $8,000.001-Heath gas detector- Approximately $5,000.00                                            Approximate amount stolen: $16,000.00    I did not observe any cameras in the area and the PSE&amp;G vehicle is self insured."/>
    <m/>
    <m/>
    <s v="XGDR55"/>
    <s v="FORD"/>
    <s v="R1Z"/>
    <s v="NJ"/>
    <m/>
    <m/>
    <m/>
    <m/>
    <s v="Swetits_M"/>
    <s v="P.O. Angelo Vicale 370"/>
    <s v="B3"/>
    <s v="Det. Demetrius Carroll 133"/>
    <s v="Active/Administratively Closed"/>
    <s v="23F = Theft From Motor Vehicle"/>
    <n v="2025"/>
    <n v="7"/>
    <n v="3"/>
    <n v="13"/>
    <n v="44"/>
    <d v="2025-02-13T16:00:00"/>
    <m/>
    <s v="I responded to East Pleasantview and Kipp St. on a burglary to auto. Upon arrival I met with the complainant, Mr. Santangelo who is an employee of PSE&amp;G. He stated that he parked and locked his work vehicle (NJ-XGDR55) on 2/13/25 at approximately 1600 hours then returned on 2/14/25 at 0710 hours and noticed the rear passenger side window was completely shattered.     The window was shattered and the unknown suspect(s) were able to unlock the door from the inside and enter the vehicle. Mr. Santangelo reported numerous tools were stolen. Mr. Santangelo touched the inside of the vehicle prior to my arrival, contaminating it making it unable to be processed. Stolen tools:1-Metro Tech 810 Mark out scope- approximately $3,000.001-Heath RMLD- Approximately $8,000.001-Heath gas detector- Approximately $5,000.00                                            Approximate amount stolen: $16,000.00    I did not observe any cameras in the area and the PSE&amp;G vehicle is self insured."/>
    <s v="Vehicle 1: NJ-XGDR55 FORD, R1Z"/>
    <s v="suspect(s) were able to unlock the door from the inside and enter the vehicle"/>
    <s v="$3,000.001-Heath RMLD- Approximately  $8,000.001-Heath gas detector- Approximately  $5,000.00                                            Approximate amount stolen:  $16,000.00    I did not observe any cameras in the area and the PSE&amp;G vehicle is self insured."/>
    <s v="C02W07"/>
  </r>
  <r>
    <s v="25-012325"/>
    <x v="3"/>
    <x v="1"/>
    <d v="1899-12-30T16:00:00"/>
    <d v="1899-12-30T16:00:00"/>
    <x v="3"/>
    <s v="February"/>
    <s v="East Pleasantview Avenue &amp; Kipp Street"/>
    <s v="East Pleasantview Avenue &amp; Kipp Street"/>
    <x v="0"/>
    <s v="Burglary - Auto"/>
    <s v=""/>
    <s v=""/>
    <s v="East Pleasantview Avenue &amp; Kipp Street, Hackensack, NJ, 07601"/>
    <s v="F3"/>
    <n v="6"/>
    <s v="I responded to East Pleasantview and Kipp St. on a burglary to auto. Upon arrival I met with the complainant, Mr. Santangelo who is an employee of PSE&amp;G. He stated that he parked and locked his work vehicle (NJ-XGDR55) on 2/13/25 at approximately 1600 hours then returned on 2/14/25 at 0710 hours and noticed the rear passenger side window was completely shattered.     The window was shattered and the unknown suspect(s) were able to unlock the door from the inside and enter the vehicle. Mr. Santangelo reported numerous tools were stolen. Mr. Santangelo touched the inside of the vehicle prior to my arrival, contaminating it making it unable to be processed. Stolen tools:1-Metro Tech 810 Mark out scope- approximately $3,000.001-Heath RMLD- Approximately $8,000.001-Heath gas detector- Approximately $5,000.00                                            Approximate amount stolen: $16,000.00    I did not observe any cameras in the area and the PSE&amp;G vehicle is self insured."/>
    <m/>
    <m/>
    <s v="XGDR55"/>
    <s v="FORD"/>
    <s v="R1Z"/>
    <s v="NJ"/>
    <m/>
    <m/>
    <m/>
    <m/>
    <s v="Swetits_M"/>
    <s v="P.O. Angelo Vicale 370"/>
    <s v="B3"/>
    <s v="Det. Demetrius Carroll 133"/>
    <s v="Active/Administratively Closed"/>
    <s v="23F = Theft From Motor Vehicle"/>
    <n v="2025"/>
    <n v="7"/>
    <n v="3"/>
    <n v="13"/>
    <n v="44"/>
    <d v="2025-02-13T16:00:00"/>
    <m/>
    <s v="I responded to East Pleasantview and Kipp St. on a burglary to auto. Upon arrival I met with the complainant, Mr. Santangelo who is an employee of PSE&amp;G. He stated that he parked and locked his work vehicle (NJ-XGDR55) on 2/13/25 at approximately 1600 hours then returned on 2/14/25 at 0710 hours and noticed the rear passenger side window was completely shattered.     The window was shattered and the unknown suspect(s) were able to unlock the door from the inside and enter the vehicle. Mr. Santangelo reported numerous tools were stolen. Mr. Santangelo touched the inside of the vehicle prior to my arrival, contaminating it making it unable to be processed. Stolen tools:1-Metro Tech 810 Mark out scope- approximately $3,000.001-Heath RMLD- Approximately $8,000.001-Heath gas detector- Approximately $5,000.00                                            Approximate amount stolen: $16,000.00    I did not observe any cameras in the area and the PSE&amp;G vehicle is self insured."/>
    <s v="Vehicle 1: NJ-XGDR55 FORD, R1Z"/>
    <s v="suspect(s) were able to unlock the door from the inside and enter the vehicle"/>
    <s v="$3,000.001-Heath RMLD- Approximately  $8,000.001-Heath gas detector- Approximately  $5,000.00                                            Approximate amount stolen:  $16,000.00    I did not observe any cameras in the area and the PSE&amp;G vehicle is self insured."/>
    <s v="C02W07"/>
  </r>
  <r>
    <s v="25-012325"/>
    <x v="3"/>
    <x v="1"/>
    <d v="1899-12-30T16:00:00"/>
    <d v="1899-12-30T16:00:00"/>
    <x v="3"/>
    <s v="February"/>
    <s v="East Pleasantview Avenue &amp; Kipp Street"/>
    <s v="East Pleasantview Avenue &amp; Kipp Street"/>
    <x v="0"/>
    <s v="Burglary - Auto"/>
    <s v=""/>
    <s v=""/>
    <s v="East Pleasantview Avenue &amp; Kipp Street, Hackensack, NJ, 07601"/>
    <s v="F3"/>
    <n v="6"/>
    <s v="I responded to East Pleasantview and Kipp St. on a burglary to auto. Upon arrival I met with the complainant, Mr. Santangelo who is an employee of PSE&amp;G. He stated that he parked and locked his work vehicle (NJ-XGDR55) on 2/13/25 at approximately 1600 hours then returned on 2/14/25 at 0710 hours and noticed the rear passenger side window was completely shattered.     The window was shattered and the unknown suspect(s) were able to unlock the door from the inside and enter the vehicle. Mr. Santangelo reported numerous tools were stolen. Mr. Santangelo touched the inside of the vehicle prior to my arrival, contaminating it making it unable to be processed. Stolen tools:1-Metro Tech 810 Mark out scope- approximately $3,000.001-Heath RMLD- Approximately $8,000.001-Heath gas detector- Approximately $5,000.00                                            Approximate amount stolen: $16,000.00    I did not observe any cameras in the area and the PSE&amp;G vehicle is self insured."/>
    <m/>
    <m/>
    <s v="XGDR55"/>
    <s v="FORD"/>
    <s v="R1Z"/>
    <s v="NJ"/>
    <m/>
    <m/>
    <m/>
    <m/>
    <s v="Swetits_M"/>
    <s v="P.O. Angelo Vicale 370"/>
    <s v="B3"/>
    <s v="Det. Demetrius Carroll 133"/>
    <s v="Active Investigation"/>
    <s v="23F = Theft From Motor Vehicle"/>
    <n v="2025"/>
    <n v="7"/>
    <n v="3"/>
    <n v="13"/>
    <n v="44"/>
    <d v="2025-02-13T16:00:00"/>
    <m/>
    <s v="I responded to East Pleasantview and Kipp St. on a burglary to auto. Upon arrival I met with the complainant, Mr. Santangelo who is an employee of PSE&amp;G. He stated that he parked and locked his work vehicle (NJ-XGDR55) on 2/13/25 at approximately 1600 hours then returned on 2/14/25 at 0710 hours and noticed the rear passenger side window was completely shattered.     The window was shattered and the unknown suspect(s) were able to unlock the door from the inside and enter the vehicle. Mr. Santangelo reported numerous tools were stolen. Mr. Santangelo touched the inside of the vehicle prior to my arrival, contaminating it making it unable to be processed. Stolen tools:1-Metro Tech 810 Mark out scope- approximately $3,000.001-Heath RMLD- Approximately $8,000.001-Heath gas detector- Approximately $5,000.00                                            Approximate amount stolen: $16,000.00    I did not observe any cameras in the area and the PSE&amp;G vehicle is self insured."/>
    <s v="Vehicle 1: NJ-XGDR55 FORD, R1Z"/>
    <s v="suspect(s) were able to unlock the door from the inside and enter the vehicle"/>
    <s v="$3,000.001-Heath RMLD- Approximately  $8,000.001-Heath gas detector- Approximately  $5,000.00                                            Approximate amount stolen:  $16,000.00    I did not observe any cameras in the area and the PSE&amp;G vehicle is self insured."/>
    <s v="C02W07"/>
  </r>
  <r>
    <s v="25-012325"/>
    <x v="3"/>
    <x v="1"/>
    <d v="1899-12-30T16:00:00"/>
    <d v="1899-12-30T16:00:00"/>
    <x v="3"/>
    <s v="February"/>
    <s v="East Pleasantview Avenue &amp; Kipp Street"/>
    <s v="East Pleasantview Avenue &amp; Kipp Street"/>
    <x v="0"/>
    <s v="Burglary - Auto"/>
    <s v=""/>
    <s v=""/>
    <s v="East Pleasantview Avenue &amp; Kipp Street, Hackensack, NJ, 07601"/>
    <s v="F3"/>
    <n v="6"/>
    <s v="I responded to East Pleasantview and Kipp St. on a burglary to auto. Upon arrival I met with the complainant, Mr. Santangelo who is an employee of PSE&amp;G. He stated that he parked and locked his work vehicle (NJ-XGDR55) on 2/13/25 at approximately 1600 hours then returned on 2/14/25 at 0710 hours and noticed the rear passenger side window was completely shattered.     The window was shattered and the unknown suspect(s) were able to unlock the door from the inside and enter the vehicle. Mr. Santangelo reported numerous tools were stolen. Mr. Santangelo touched the inside of the vehicle prior to my arrival, contaminating it making it unable to be processed. Stolen tools:1-Metro Tech 810 Mark out scope- approximately $3,000.001-Heath RMLD- Approximately $8,000.001-Heath gas detector- Approximately $5,000.00                                            Approximate amount stolen: $16,000.00    I did not observe any cameras in the area and the PSE&amp;G vehicle is self insured."/>
    <m/>
    <m/>
    <s v="XGDR55"/>
    <s v="FORD"/>
    <s v="R1Z"/>
    <s v="NJ"/>
    <m/>
    <m/>
    <m/>
    <m/>
    <s v="Swetits_M"/>
    <s v="P.O. Angelo Vicale 370"/>
    <s v="B3"/>
    <s v="Det. Demetrius Carroll 133"/>
    <s v="Active/Administratively Closed"/>
    <s v="23F = Theft From Motor Vehicle"/>
    <n v="2025"/>
    <n v="7"/>
    <n v="3"/>
    <n v="13"/>
    <n v="44"/>
    <d v="2025-02-13T16:00:00"/>
    <m/>
    <s v="I responded to East Pleasantview and Kipp St. on a burglary to auto. Upon arrival I met with the complainant, Mr. Santangelo who is an employee of PSE&amp;G. He stated that he parked and locked his work vehicle (NJ-XGDR55) on 2/13/25 at approximately 1600 hours then returned on 2/14/25 at 0710 hours and noticed the rear passenger side window was completely shattered.     The window was shattered and the unknown suspect(s) were able to unlock the door from the inside and enter the vehicle. Mr. Santangelo reported numerous tools were stolen. Mr. Santangelo touched the inside of the vehicle prior to my arrival, contaminating it making it unable to be processed. Stolen tools:1-Metro Tech 810 Mark out scope- approximately $3,000.001-Heath RMLD- Approximately $8,000.001-Heath gas detector- Approximately $5,000.00                                            Approximate amount stolen: $16,000.00    I did not observe any cameras in the area and the PSE&amp;G vehicle is self insured."/>
    <s v="Vehicle 1: NJ-XGDR55 FORD, R1Z"/>
    <s v="suspect(s) were able to unlock the door from the inside and enter the vehicle"/>
    <s v="$3,000.001-Heath RMLD- Approximately  $8,000.001-Heath gas detector- Approximately  $5,000.00                                            Approximate amount stolen:  $16,000.00    I did not observe any cameras in the area and the PSE&amp;G vehicle is self insured."/>
    <s v="C02W07"/>
  </r>
  <r>
    <s v="25-012325"/>
    <x v="3"/>
    <x v="1"/>
    <d v="1899-12-30T16:00:00"/>
    <d v="1899-12-30T16:00:00"/>
    <x v="3"/>
    <s v="February"/>
    <s v="East Pleasantview Avenue &amp; Kipp Street"/>
    <s v="East Pleasantview Avenue &amp; Kipp Street"/>
    <x v="0"/>
    <s v="Burglary - Auto"/>
    <s v=""/>
    <s v=""/>
    <s v="East Pleasantview Avenue &amp; Kipp Street, Hackensack, NJ, 07601"/>
    <s v="F3"/>
    <n v="6"/>
    <s v="I responded to East Pleasantview and Kipp St. on a burglary to auto. Upon arrival I met with the complainant, Mr. Santangelo who is an employee of PSE&amp;G. He stated that he parked and locked his work vehicle (NJ-XGDR55) on 2/13/25 at approximately 1600 hours then returned on 2/14/25 at 0710 hours and noticed the rear passenger side window was completely shattered.     The window was shattered and the unknown suspect(s) were able to unlock the door from the inside and enter the vehicle. Mr. Santangelo reported numerous tools were stolen. Mr. Santangelo touched the inside of the vehicle prior to my arrival, contaminating it making it unable to be processed. Stolen tools:1-Metro Tech 810 Mark out scope- approximately $3,000.001-Heath RMLD- Approximately $8,000.001-Heath gas detector- Approximately $5,000.00                                            Approximate amount stolen: $16,000.00    I did not observe any cameras in the area and the PSE&amp;G vehicle is self insured."/>
    <m/>
    <m/>
    <s v="XGDR55"/>
    <s v="FORD"/>
    <s v="R1Z"/>
    <s v="NJ"/>
    <m/>
    <m/>
    <m/>
    <m/>
    <s v="Swetits_M"/>
    <s v="P.O. Angelo Vicale 370"/>
    <s v="B3"/>
    <s v="Det. Demetrius Carroll 133"/>
    <s v="Active Investigation"/>
    <s v="23F = Theft From Motor Vehicle"/>
    <n v="2025"/>
    <n v="7"/>
    <n v="3"/>
    <n v="13"/>
    <n v="44"/>
    <d v="2025-02-13T16:00:00"/>
    <m/>
    <s v="I responded to East Pleasantview and Kipp St. on a burglary to auto. Upon arrival I met with the complainant, Mr. Santangelo who is an employee of PSE&amp;G. He stated that he parked and locked his work vehicle (NJ-XGDR55) on 2/13/25 at approximately 1600 hours then returned on 2/14/25 at 0710 hours and noticed the rear passenger side window was completely shattered.     The window was shattered and the unknown suspect(s) were able to unlock the door from the inside and enter the vehicle. Mr. Santangelo reported numerous tools were stolen. Mr. Santangelo touched the inside of the vehicle prior to my arrival, contaminating it making it unable to be processed. Stolen tools:1-Metro Tech 810 Mark out scope- approximately $3,000.001-Heath RMLD- Approximately $8,000.001-Heath gas detector- Approximately $5,000.00                                            Approximate amount stolen: $16,000.00    I did not observe any cameras in the area and the PSE&amp;G vehicle is self insured."/>
    <s v="Vehicle 1: NJ-XGDR55 FORD, R1Z"/>
    <s v="suspect(s) were able to unlock the door from the inside and enter the vehicle"/>
    <s v="$3,000.001-Heath RMLD- Approximately  $8,000.001-Heath gas detector- Approximately  $5,000.00                                            Approximate amount stolen:  $16,000.00    I did not observe any cameras in the area and the PSE&amp;G vehicle is self insured."/>
    <s v="C02W07"/>
  </r>
  <r>
    <s v="25-012325"/>
    <x v="3"/>
    <x v="1"/>
    <d v="1899-12-30T16:00:00"/>
    <d v="1899-12-30T16:00:00"/>
    <x v="3"/>
    <s v="February"/>
    <s v="East Pleasantview Avenue &amp; Kipp Street"/>
    <s v="East Pleasantview Avenue &amp; Kipp Street"/>
    <x v="0"/>
    <s v="Burglary - Auto"/>
    <s v=""/>
    <s v=""/>
    <s v="East Pleasantview Avenue &amp; Kipp Street, Hackensack, NJ, 07601"/>
    <s v="F3"/>
    <n v="6"/>
    <s v="I responded to East Pleasantview and Kipp St. on a burglary to auto. Upon arrival I met with the complainant, Mr. Santangelo who is an employee of PSE&amp;G. He stated that he parked and locked his work vehicle (NJ-XGDR55) on 2/13/25 at approximately 1600 hours then returned on 2/14/25 at 0710 hours and noticed the rear passenger side window was completely shattered.     The window was shattered and the unknown suspect(s) were able to unlock the door from the inside and enter the vehicle. Mr. Santangelo reported numerous tools were stolen. Mr. Santangelo touched the inside of the vehicle prior to my arrival, contaminating it making it unable to be processed. Stolen tools:1-Metro Tech 810 Mark out scope- approximately $3,000.001-Heath RMLD- Approximately $8,000.001-Heath gas detector- Approximately $5,000.00                                            Approximate amount stolen: $16,000.00    I did not observe any cameras in the area and the PSE&amp;G vehicle is self insured."/>
    <m/>
    <m/>
    <s v="XGDR55"/>
    <s v="FORD"/>
    <s v="R1Z"/>
    <s v="NJ"/>
    <m/>
    <m/>
    <m/>
    <m/>
    <s v="Swetits_M"/>
    <s v="P.O. Angelo Vicale 370"/>
    <s v="B3"/>
    <s v="Det. Demetrius Carroll 133"/>
    <s v="Active/Administratively Closed"/>
    <s v="23F = Theft From Motor Vehicle"/>
    <n v="2025"/>
    <n v="7"/>
    <n v="3"/>
    <n v="13"/>
    <n v="44"/>
    <d v="2025-02-13T16:00:00"/>
    <m/>
    <s v="I responded to East Pleasantview and Kipp St. on a burglary to auto. Upon arrival I met with the complainant, Mr. Santangelo who is an employee of PSE&amp;G. He stated that he parked and locked his work vehicle (NJ-XGDR55) on 2/13/25 at approximately 1600 hours then returned on 2/14/25 at 0710 hours and noticed the rear passenger side window was completely shattered.     The window was shattered and the unknown suspect(s) were able to unlock the door from the inside and enter the vehicle. Mr. Santangelo reported numerous tools were stolen. Mr. Santangelo touched the inside of the vehicle prior to my arrival, contaminating it making it unable to be processed. Stolen tools:1-Metro Tech 810 Mark out scope- approximately $3,000.001-Heath RMLD- Approximately $8,000.001-Heath gas detector- Approximately $5,000.00                                            Approximate amount stolen: $16,000.00    I did not observe any cameras in the area and the PSE&amp;G vehicle is self insured."/>
    <s v="Vehicle 1: NJ-XGDR55 FORD, R1Z"/>
    <s v="suspect(s) were able to unlock the door from the inside and enter the vehicle"/>
    <s v="$3,000.001-Heath RMLD- Approximately  $8,000.001-Heath gas detector- Approximately  $5,000.00                                            Approximate amount stolen:  $16,000.00    I did not observe any cameras in the area and the PSE&amp;G vehicle is self insured."/>
    <s v="C02W07"/>
  </r>
  <r>
    <s v="25-012325"/>
    <x v="3"/>
    <x v="1"/>
    <d v="1899-12-30T16:00:00"/>
    <d v="1899-12-30T16:00:00"/>
    <x v="3"/>
    <s v="February"/>
    <s v="East Pleasantview Avenue &amp; Kipp Street"/>
    <s v="East Pleasantview Avenue &amp; Kipp Street"/>
    <x v="0"/>
    <s v="Burglary - Auto"/>
    <s v=""/>
    <s v=""/>
    <s v="East Pleasantview Avenue &amp; Kipp Street, Hackensack, NJ, 07601"/>
    <s v="F3"/>
    <n v="6"/>
    <s v="I responded to East Pleasantview and Kipp St. on a burglary to auto. Upon arrival I met with the complainant, Mr. Santangelo who is an employee of PSE&amp;G. He stated that he parked and locked his work vehicle (NJ-XGDR55) on 2/13/25 at approximately 1600 hours then returned on 2/14/25 at 0710 hours and noticed the rear passenger side window was completely shattered.     The window was shattered and the unknown suspect(s) were able to unlock the door from the inside and enter the vehicle. Mr. Santangelo reported numerous tools were stolen. Mr. Santangelo touched the inside of the vehicle prior to my arrival, contaminating it making it unable to be processed. Stolen tools:1-Metro Tech 810 Mark out scope- approximately $3,000.001-Heath RMLD- Approximately $8,000.001-Heath gas detector- Approximately $5,000.00                                            Approximate amount stolen: $16,000.00    I did not observe any cameras in the area and the PSE&amp;G vehicle is self insured."/>
    <m/>
    <m/>
    <s v="XGDR55"/>
    <s v="FORD"/>
    <s v="R1Z"/>
    <s v="NJ"/>
    <m/>
    <m/>
    <m/>
    <m/>
    <s v="Swetits_M"/>
    <s v="P.O. Angelo Vicale 370"/>
    <s v="B3"/>
    <s v="Det. Demetrius Carroll 133"/>
    <s v="Active/Administratively Closed"/>
    <s v="23F = Theft From Motor Vehicle"/>
    <n v="2025"/>
    <n v="7"/>
    <n v="3"/>
    <n v="13"/>
    <n v="44"/>
    <d v="2025-02-13T16:00:00"/>
    <m/>
    <s v="I responded to East Pleasantview and Kipp St. on a burglary to auto. Upon arrival I met with the complainant, Mr. Santangelo who is an employee of PSE&amp;G. He stated that he parked and locked his work vehicle (NJ-XGDR55) on 2/13/25 at approximately 1600 hours then returned on 2/14/25 at 0710 hours and noticed the rear passenger side window was completely shattered.     The window was shattered and the unknown suspect(s) were able to unlock the door from the inside and enter the vehicle. Mr. Santangelo reported numerous tools were stolen. Mr. Santangelo touched the inside of the vehicle prior to my arrival, contaminating it making it unable to be processed. Stolen tools:1-Metro Tech 810 Mark out scope- approximately $3,000.001-Heath RMLD- Approximately $8,000.001-Heath gas detector- Approximately $5,000.00                                            Approximate amount stolen: $16,000.00    I did not observe any cameras in the area and the PSE&amp;G vehicle is self insured."/>
    <s v="Vehicle 1: NJ-XGDR55 FORD, R1Z"/>
    <s v="suspect(s) were able to unlock the door from the inside and enter the vehicle"/>
    <s v="$3,000.001-Heath RMLD- Approximately  $8,000.001-Heath gas detector- Approximately  $5,000.00                                            Approximate amount stolen:  $16,000.00    I did not observe any cameras in the area and the PSE&amp;G vehicle is self insured."/>
    <s v="C02W07"/>
  </r>
  <r>
    <s v="25-012325"/>
    <x v="3"/>
    <x v="1"/>
    <d v="1899-12-30T16:00:00"/>
    <d v="1899-12-30T16:00:00"/>
    <x v="3"/>
    <s v="February"/>
    <s v="East Pleasantview Avenue &amp; Kipp Street"/>
    <s v="East Pleasantview Avenue &amp; Kipp Street"/>
    <x v="0"/>
    <s v="Burglary - Auto"/>
    <s v=""/>
    <s v=""/>
    <s v="East Pleasantview Avenue &amp; Kipp Street, Hackensack, NJ, 07601"/>
    <s v="F3"/>
    <n v="6"/>
    <s v="I responded to East Pleasantview and Kipp St. on a burglary to auto. Upon arrival I met with the complainant, Mr. Santangelo who is an employee of PSE&amp;G. He stated that he parked and locked his work vehicle (NJ-XGDR55) on 2/13/25 at approximately 1600 hours then returned on 2/14/25 at 0710 hours and noticed the rear passenger side window was completely shattered.     The window was shattered and the unknown suspect(s) were able to unlock the door from the inside and enter the vehicle. Mr. Santangelo reported numerous tools were stolen. Mr. Santangelo touched the inside of the vehicle prior to my arrival, contaminating it making it unable to be processed. Stolen tools:1-Metro Tech 810 Mark out scope- approximately $3,000.001-Heath RMLD- Approximately $8,000.001-Heath gas detector- Approximately $5,000.00                                            Approximate amount stolen: $16,000.00    I did not observe any cameras in the area and the PSE&amp;G vehicle is self insured."/>
    <m/>
    <m/>
    <s v="XGDR55"/>
    <s v="FORD"/>
    <s v="R1Z"/>
    <s v="NJ"/>
    <m/>
    <m/>
    <m/>
    <m/>
    <s v="Swetits_M"/>
    <s v="P.O. Angelo Vicale 370"/>
    <s v="B3"/>
    <s v="Det. Demetrius Carroll 133"/>
    <s v="Active/Administratively Closed"/>
    <s v="23F = Theft From Motor Vehicle"/>
    <n v="2025"/>
    <n v="7"/>
    <n v="3"/>
    <n v="13"/>
    <n v="44"/>
    <d v="2025-02-13T16:00:00"/>
    <m/>
    <s v="I responded to East Pleasantview and Kipp St. on a burglary to auto. Upon arrival I met with the complainant, Mr. Santangelo who is an employee of PSE&amp;G. He stated that he parked and locked his work vehicle (NJ-XGDR55) on 2/13/25 at approximately 1600 hours then returned on 2/14/25 at 0710 hours and noticed the rear passenger side window was completely shattered.     The window was shattered and the unknown suspect(s) were able to unlock the door from the inside and enter the vehicle. Mr. Santangelo reported numerous tools were stolen. Mr. Santangelo touched the inside of the vehicle prior to my arrival, contaminating it making it unable to be processed. Stolen tools:1-Metro Tech 810 Mark out scope- approximately $3,000.001-Heath RMLD- Approximately $8,000.001-Heath gas detector- Approximately $5,000.00                                            Approximate amount stolen: $16,000.00    I did not observe any cameras in the area and the PSE&amp;G vehicle is self insured."/>
    <s v="Vehicle 1: NJ-XGDR55 FORD, R1Z"/>
    <s v="suspect(s) were able to unlock the door from the inside and enter the vehicle"/>
    <s v="$3,000.001-Heath RMLD- Approximately  $8,000.001-Heath gas detector- Approximately  $5,000.00                                            Approximate amount stolen:  $16,000.00    I did not observe any cameras in the area and the PSE&amp;G vehicle is self insured."/>
    <s v="C02W07"/>
  </r>
  <r>
    <s v="25-012325"/>
    <x v="3"/>
    <x v="1"/>
    <d v="1899-12-30T16:00:00"/>
    <d v="1899-12-30T16:00:00"/>
    <x v="3"/>
    <s v="February"/>
    <s v="East Pleasantview Avenue &amp; Kipp Street"/>
    <s v="East Pleasantview Avenue &amp; Kipp Street"/>
    <x v="0"/>
    <s v="Burglary - Auto"/>
    <s v=""/>
    <s v=""/>
    <s v="East Pleasantview Avenue &amp; Kipp Street, Hackensack, NJ, 07601"/>
    <s v="F3"/>
    <n v="6"/>
    <s v="I responded to East Pleasantview and Kipp St. on a burglary to auto. Upon arrival I met with the complainant, Mr. Santangelo who is an employee of PSE&amp;G. He stated that he parked and locked his work vehicle (NJ-XGDR55) on 2/13/25 at approximately 1600 hours then returned on 2/14/25 at 0710 hours and noticed the rear passenger side window was completely shattered.     The window was shattered and the unknown suspect(s) were able to unlock the door from the inside and enter the vehicle. Mr. Santangelo reported numerous tools were stolen. Mr. Santangelo touched the inside of the vehicle prior to my arrival, contaminating it making it unable to be processed. Stolen tools:1-Metro Tech 810 Mark out scope- approximately $3,000.001-Heath RMLD- Approximately $8,000.001-Heath gas detector- Approximately $5,000.00                                            Approximate amount stolen: $16,000.00    I did not observe any cameras in the area and the PSE&amp;G vehicle is self insured."/>
    <m/>
    <m/>
    <s v="XGDR55"/>
    <s v="FORD"/>
    <s v="R1Z"/>
    <s v="NJ"/>
    <m/>
    <m/>
    <m/>
    <m/>
    <s v="Swetits_M"/>
    <s v="P.O. Angelo Vicale 370"/>
    <s v="B3"/>
    <s v="Det. Demetrius Carroll 133"/>
    <s v="Active/Administratively Closed"/>
    <s v="23F = Theft From Motor Vehicle"/>
    <n v="2025"/>
    <n v="7"/>
    <n v="3"/>
    <n v="13"/>
    <n v="44"/>
    <d v="2025-02-13T16:00:00"/>
    <m/>
    <s v="I responded to East Pleasantview and Kipp St. on a burglary to auto. Upon arrival I met with the complainant, Mr. Santangelo who is an employee of PSE&amp;G. He stated that he parked and locked his work vehicle (NJ-XGDR55) on 2/13/25 at approximately 1600 hours then returned on 2/14/25 at 0710 hours and noticed the rear passenger side window was completely shattered.     The window was shattered and the unknown suspect(s) were able to unlock the door from the inside and enter the vehicle. Mr. Santangelo reported numerous tools were stolen. Mr. Santangelo touched the inside of the vehicle prior to my arrival, contaminating it making it unable to be processed. Stolen tools:1-Metro Tech 810 Mark out scope- approximately $3,000.001-Heath RMLD- Approximately $8,000.001-Heath gas detector- Approximately $5,000.00                                            Approximate amount stolen: $16,000.00    I did not observe any cameras in the area and the PSE&amp;G vehicle is self insured."/>
    <s v="Vehicle 1: NJ-XGDR55 FORD, R1Z"/>
    <s v="suspect(s) were able to unlock the door from the inside and enter the vehicle"/>
    <s v="$3,000.001-Heath RMLD- Approximately  $8,000.001-Heath gas detector- Approximately  $5,000.00                                            Approximate amount stolen:  $16,000.00    I did not observe any cameras in the area and the PSE&amp;G vehicle is self insured."/>
    <s v="C02W07"/>
  </r>
  <r>
    <s v="25-012325"/>
    <x v="3"/>
    <x v="1"/>
    <d v="1899-12-30T16:00:00"/>
    <d v="1899-12-30T16:00:00"/>
    <x v="3"/>
    <s v="February"/>
    <s v="East Pleasantview Avenue &amp; Kipp Street"/>
    <s v="East Pleasantview Avenue &amp; Kipp Street"/>
    <x v="0"/>
    <s v="Burglary - Auto"/>
    <s v=""/>
    <s v=""/>
    <s v="East Pleasantview Avenue &amp; Kipp Street, Hackensack, NJ, 07601"/>
    <s v="F3"/>
    <n v="6"/>
    <s v="I responded to East Pleasantview and Kipp St. on a burglary to auto. Upon arrival I met with the complainant, Mr. Santangelo who is an employee of PSE&amp;G. He stated that he parked and locked his work vehicle (NJ-XGDR55) on 2/13/25 at approximately 1600 hours then returned on 2/14/25 at 0710 hours and noticed the rear passenger side window was completely shattered.     The window was shattered and the unknown suspect(s) were able to unlock the door from the inside and enter the vehicle. Mr. Santangelo reported numerous tools were stolen. Mr. Santangelo touched the inside of the vehicle prior to my arrival, contaminating it making it unable to be processed. Stolen tools:1-Metro Tech 810 Mark out scope- approximately $3,000.001-Heath RMLD- Approximately $8,000.001-Heath gas detector- Approximately $5,000.00                                            Approximate amount stolen: $16,000.00    I did not observe any cameras in the area and the PSE&amp;G vehicle is self insured."/>
    <m/>
    <m/>
    <s v="XGDR55"/>
    <s v="FORD"/>
    <s v="R1Z"/>
    <s v="NJ"/>
    <m/>
    <m/>
    <m/>
    <m/>
    <s v="Swetits_M"/>
    <s v="P.O. Angelo Vicale 370"/>
    <s v="B3"/>
    <s v="Det. Demetrius Carroll 133"/>
    <s v="Active/Administratively Closed"/>
    <s v="23F = Theft From Motor Vehicle"/>
    <n v="2025"/>
    <n v="7"/>
    <n v="3"/>
    <n v="13"/>
    <n v="44"/>
    <d v="2025-02-13T16:00:00"/>
    <m/>
    <s v="I responded to East Pleasantview and Kipp St. on a burglary to auto. Upon arrival I met with the complainant, Mr. Santangelo who is an employee of PSE&amp;G. He stated that he parked and locked his work vehicle (NJ-XGDR55) on 2/13/25 at approximately 1600 hours then returned on 2/14/25 at 0710 hours and noticed the rear passenger side window was completely shattered.     The window was shattered and the unknown suspect(s) were able to unlock the door from the inside and enter the vehicle. Mr. Santangelo reported numerous tools were stolen. Mr. Santangelo touched the inside of the vehicle prior to my arrival, contaminating it making it unable to be processed. Stolen tools:1-Metro Tech 810 Mark out scope- approximately $3,000.001-Heath RMLD- Approximately $8,000.001-Heath gas detector- Approximately $5,000.00                                            Approximate amount stolen: $16,000.00    I did not observe any cameras in the area and the PSE&amp;G vehicle is self insured."/>
    <s v="Vehicle 1: NJ-XGDR55 FORD, R1Z"/>
    <s v="suspect(s) were able to unlock the door from the inside and enter the vehicle"/>
    <s v="$3,000.001-Heath RMLD- Approximately  $8,000.001-Heath gas detector- Approximately  $5,000.00                                            Approximate amount stolen:  $16,000.00    I did not observe any cameras in the area and the PSE&amp;G vehicle is self insured."/>
    <s v="C02W07"/>
  </r>
  <r>
    <s v="25-012325"/>
    <x v="3"/>
    <x v="1"/>
    <d v="1899-12-30T16:00:00"/>
    <d v="1899-12-30T16:00:00"/>
    <x v="3"/>
    <s v="February"/>
    <s v="East Pleasantview Avenue &amp; Kipp Street"/>
    <s v="East Pleasantview Avenue &amp; Kipp Street"/>
    <x v="0"/>
    <s v="Burglary - Auto"/>
    <s v=""/>
    <s v=""/>
    <s v="East Pleasantview Avenue &amp; Kipp Street, Hackensack, NJ, 07601"/>
    <s v="F3"/>
    <n v="6"/>
    <s v="I responded to East Pleasantview and Kipp St. on a burglary to auto. Upon arrival I met with the complainant, Mr. Santangelo who is an employee of PSE&amp;G. He stated that he parked and locked his work vehicle (NJ-XGDR55) on 2/13/25 at approximately 1600 hours then returned on 2/14/25 at 0710 hours and noticed the rear passenger side window was completely shattered.     The window was shattered and the unknown suspect(s) were able to unlock the door from the inside and enter the vehicle. Mr. Santangelo reported numerous tools were stolen. Mr. Santangelo touched the inside of the vehicle prior to my arrival, contaminating it making it unable to be processed. Stolen tools:1-Metro Tech 810 Mark out scope- approximately $3,000.001-Heath RMLD- Approximately $8,000.001-Heath gas detector- Approximately $5,000.00                                            Approximate amount stolen: $16,000.00    I did not observe any cameras in the area and the PSE&amp;G vehicle is self insured."/>
    <m/>
    <m/>
    <s v="XGDR55"/>
    <s v="FORD"/>
    <s v="R1Z"/>
    <s v="NJ"/>
    <m/>
    <m/>
    <m/>
    <m/>
    <s v="Swetits_M"/>
    <s v="P.O. Angelo Vicale 370"/>
    <s v="B3"/>
    <s v="Det. Demetrius Carroll 133"/>
    <s v="Active/Administratively Closed"/>
    <s v="23F = Theft From Motor Vehicle"/>
    <n v="2025"/>
    <n v="7"/>
    <n v="3"/>
    <n v="13"/>
    <n v="44"/>
    <d v="2025-02-13T16:00:00"/>
    <m/>
    <s v="I responded to East Pleasantview and Kipp St. on a burglary to auto. Upon arrival I met with the complainant, Mr. Santangelo who is an employee of PSE&amp;G. He stated that he parked and locked his work vehicle (NJ-XGDR55) on 2/13/25 at approximately 1600 hours then returned on 2/14/25 at 0710 hours and noticed the rear passenger side window was completely shattered.     The window was shattered and the unknown suspect(s) were able to unlock the door from the inside and enter the vehicle. Mr. Santangelo reported numerous tools were stolen. Mr. Santangelo touched the inside of the vehicle prior to my arrival, contaminating it making it unable to be processed. Stolen tools:1-Metro Tech 810 Mark out scope- approximately $3,000.001-Heath RMLD- Approximately $8,000.001-Heath gas detector- Approximately $5,000.00                                            Approximate amount stolen: $16,000.00    I did not observe any cameras in the area and the PSE&amp;G vehicle is self insured."/>
    <s v="Vehicle 1: NJ-XGDR55 FORD, R1Z"/>
    <s v="suspect(s) were able to unlock the door from the inside and enter the vehicle"/>
    <s v="$3,000.001-Heath RMLD- Approximately  $8,000.001-Heath gas detector- Approximately  $5,000.00                                            Approximate amount stolen:  $16,000.00    I did not observe any cameras in the area and the PSE&amp;G vehicle is self insured."/>
    <s v="C02W07"/>
  </r>
  <r>
    <s v="25-018160"/>
    <x v="4"/>
    <x v="2"/>
    <d v="1899-12-30T22:00:00"/>
    <d v="1899-12-30T22:35:45"/>
    <x v="3"/>
    <s v="March"/>
    <s v="Central Ave, 200 Block"/>
    <s v="216 Central Avenue"/>
    <x v="0"/>
    <s v="Burglary - Auto"/>
    <s v=""/>
    <s v=""/>
    <s v="216 Central Avenue, Hackensack, NJ, 07601"/>
    <s v="H3"/>
    <n v="8"/>
    <s v="Suspect: Black male with a beard wearing a gray hooded sweatshirt. Possibly named Mike Williams.      I responded to the listed location, 216 Central Avenue, on a report of burglary to auto. Upon arrival, I was met by the victim, Michael Gibson, who stated his black wallet (valued at $10.00 USD) was taken from his vehicles glove box. The victim advised me the wallet contained approximately 3 credit cards, 3 debit cards and $8.00 USD. The victim further stated while he was at home he received a notification from his bank of suspicious credit card use. The victim responded back to his vehicle which was parked in front of his residence (348 1st Street),  and observed his vehicle to have been rummaged through with items removed from his glove box and placed on the driver's seat. No damage to the vehicle was reported. When the victim was notified of the suspicious charges, he was informed one of his debit cards was used at the Central Avenue Mini Market. The victim drove his vehicle to the Central Avenue mini mart to locate the suspect which was unsuccessful.     While on scene, I observed a video of the suspect completing a purchase at the listed location. I further observed a receipt of the transaction signed with the name &quot;Mike Williams&quot; used as the signature for the transaction. The video and photo of the receipt was E-Mailed to detectives by the victim. Total amount spent by the suspect was approximately $102.33 USD. The victim was advised to complete a fraud packet for a follow up report. The victim was further advised to cancel all of his stolen credit/debit cards and monitor his credit for at least 30 days.      I requested a supervisor and Sgt. Farhi responded. Det./Sgt. Williams was notified of the the incident by Sgt. Farhi. P.O. DeOliveira responded to assist.The vehicle was unable to be processed due to the complainant entering and moving his vehicle. A victim notification form was completed and a copy was given to the victim."/>
    <m/>
    <m/>
    <s v="R64NVW"/>
    <s v="FORD"/>
    <s v="EXP"/>
    <s v="NJ"/>
    <m/>
    <m/>
    <m/>
    <m/>
    <s v="Farhi_B"/>
    <s v="P.O. Ruben Almonte 359"/>
    <s v="A3"/>
    <s v="Det. John Tanucilli 335"/>
    <s v="Active Investigation"/>
    <s v="23F = Theft From Motor Vehicle"/>
    <n v="2025"/>
    <n v="10"/>
    <n v="2"/>
    <n v="6"/>
    <n v="65"/>
    <d v="2025-03-06T22:35:00"/>
    <n v="216"/>
    <s v="Suspect: Black male with a beard wearing a gray hooded sweatshirt. Possibly named Mike Williams.      I responded to the listed location, 216 Central Avenue, on a report of burglary to auto. Upon arrival, I was met by the victim, Michael Gibson, who stated his black wallet (valued at $10.00 USD) was taken from his vehicles glove box. The victim advised me the wallet contained approximately 3 credit cards, 3 debit cards and $8.00 USD. The victim further stated while he was at home he received a notification from his bank of suspicious credit card use. The victim responded back to his vehicle which was parked in front of his residence (348 1st Street),  and observed his vehicle to have been rummaged through with items removed from his glove box and placed on the driver's seat. No damage to the vehicle was reported. When the victim was notified of the suspicious charges, he was informed one of his debit cards was used at the Central Avenue Mini Market. The victim drove his vehicle to the Central Avenue mini mart to locate the suspect which was unsuccessful.     While on scene, I observed a video of the suspect completing a purchase at the listed location. I further observed a receipt of the transaction signed with the name &quot;Mike Williams&quot; used as the signature for the transaction. The video and photo of the receipt was E-Mailed to detectives by the victim. Total amount spent by the suspect was approximately $102.33 USD. The victim was advised to complete a fraud packet for a follow up report. The victim was further advised to cancel all of his stolen credit/debit cards and monitor his credit for at least 30 days.      I requested a supervisor and Sgt. Farhi responded. Det./Sgt. Williams was notified of the the incident by Sgt. Farhi. P.O. DeOliveira responded to assist.The vehicle was unable to be processed due to the complainant entering and moving his vehicle. A victim notification form was completed and a copy was given to the victim."/>
    <s v="Vehicle 1: NJ-R64NVW FORD, EXP"/>
    <s v="suspect: black male with a beard wearing a gray hooded sweatshirt suspect which was unsuccessful suspect completing a purchase at the listed location suspect was approximately $102"/>
    <s v="$10.00 USD) was taken from his vehicles glove box. The victim advised me the wallet contained approximately 3 credit cards, 3 debit cards and  $8.00 USD. The victim further stated while he was at home he received a notification from his bank of suspicious credit card use $102.33 USD. The victim was advised to complete a fraud packet for a follow up report"/>
    <s v="C03W10"/>
  </r>
  <r>
    <s v="25-018160"/>
    <x v="4"/>
    <x v="2"/>
    <d v="1899-12-30T22:00:00"/>
    <d v="1899-12-30T22:35:45"/>
    <x v="3"/>
    <s v="March"/>
    <s v="Central Ave, 200 Block"/>
    <s v="216 Central Avenue"/>
    <x v="0"/>
    <s v="Burglary - Auto"/>
    <s v=""/>
    <s v=""/>
    <s v="216 Central Avenue, Hackensack, NJ, 07601"/>
    <s v="H3"/>
    <n v="8"/>
    <s v="Suspect: Black male with a beard wearing a gray hooded sweatshirt. Possibly named Mike Williams.      I responded to the listed location, 216 Central Avenue, on a report of burglary to auto. Upon arrival, I was met by the victim, Michael Gibson, who stated his black wallet (valued at $10.00 USD) was taken from his vehicles glove box. The victim advised me the wallet contained approximately 3 credit cards, 3 debit cards and $8.00 USD. The victim further stated while he was at home he received a notification from his bank of suspicious credit card use. The victim responded back to his vehicle which was parked in front of his residence (348 1st Street),  and observed his vehicle to have been rummaged through with items removed from his glove box and placed on the driver's seat. No damage to the vehicle was reported. When the victim was notified of the suspicious charges, he was informed one of his debit cards was used at the Central Avenue Mini Market. The victim drove his vehicle to the Central Avenue mini mart to locate the suspect which was unsuccessful.     While on scene, I observed a video of the suspect completing a purchase at the listed location. I further observed a receipt of the transaction signed with the name &quot;Mike Williams&quot; used as the signature for the transaction. The video and photo of the receipt was E-Mailed to detectives by the victim. Total amount spent by the suspect was approximately $102.33 USD. The victim was advised to complete a fraud packet for a follow up report. The victim was further advised to cancel all of his stolen credit/debit cards and monitor his credit for at least 30 days.      I requested a supervisor and Sgt. Farhi responded. Det./Sgt. Williams was notified of the the incident by Sgt. Farhi. P.O. DeOliveira responded to assist.The vehicle was unable to be processed due to the complainant entering and moving his vehicle. A victim notification form was completed and a copy was given to the victim."/>
    <m/>
    <m/>
    <s v="R64NVW"/>
    <s v="FORD"/>
    <s v="EXP"/>
    <s v="NJ"/>
    <m/>
    <m/>
    <m/>
    <m/>
    <s v="Farhi_B"/>
    <s v="P.O. Ruben Almonte 359"/>
    <s v="A3"/>
    <s v="Det. John Tanucilli 335"/>
    <s v="Active Investigation"/>
    <s v="23F = Theft From Motor Vehicle"/>
    <n v="2025"/>
    <n v="10"/>
    <n v="2"/>
    <n v="6"/>
    <n v="65"/>
    <d v="2025-03-06T22:35:00"/>
    <n v="216"/>
    <s v="Suspect: Black male with a beard wearing a gray hooded sweatshirt. Possibly named Mike Williams.      I responded to the listed location, 216 Central Avenue, on a report of burglary to auto. Upon arrival, I was met by the victim, Michael Gibson, who stated his black wallet (valued at $10.00 USD) was taken from his vehicles glove box. The victim advised me the wallet contained approximately 3 credit cards, 3 debit cards and $8.00 USD. The victim further stated while he was at home he received a notification from his bank of suspicious credit card use. The victim responded back to his vehicle which was parked in front of his residence (348 1st Street),  and observed his vehicle to have been rummaged through with items removed from his glove box and placed on the driver's seat. No damage to the vehicle was reported. When the victim was notified of the suspicious charges, he was informed one of his debit cards was used at the Central Avenue Mini Market. The victim drove his vehicle to the Central Avenue mini mart to locate the suspect which was unsuccessful.     While on scene, I observed a video of the suspect completing a purchase at the listed location. I further observed a receipt of the transaction signed with the name &quot;Mike Williams&quot; used as the signature for the transaction. The video and photo of the receipt was E-Mailed to detectives by the victim. Total amount spent by the suspect was approximately $102.33 USD. The victim was advised to complete a fraud packet for a follow up report. The victim was further advised to cancel all of his stolen credit/debit cards and monitor his credit for at least 30 days.      I requested a supervisor and Sgt. Farhi responded. Det./Sgt. Williams was notified of the the incident by Sgt. Farhi. P.O. DeOliveira responded to assist.The vehicle was unable to be processed due to the complainant entering and moving his vehicle. A victim notification form was completed and a copy was given to the victim."/>
    <s v="Vehicle 1: NJ-R64NVW FORD, EXP"/>
    <s v="suspect: black male with a beard wearing a gray hooded sweatshirt suspect which was unsuccessful suspect completing a purchase at the listed location suspect was approximately $102"/>
    <s v="$10.00 USD) was taken from his vehicles glove box. The victim advised me the wallet contained approximately 3 credit cards, 3 debit cards and  $8.00 USD. The victim further stated while he was at home he received a notification from his bank of suspicious credit card use $102.33 USD. The victim was advised to complete a fraud packet for a follow up report"/>
    <s v="C03W10"/>
  </r>
  <r>
    <s v="25-018160"/>
    <x v="4"/>
    <x v="2"/>
    <d v="1899-12-30T22:00:00"/>
    <d v="1899-12-30T22:35:45"/>
    <x v="3"/>
    <s v="March"/>
    <s v="Central Ave, 200 Block"/>
    <s v="216 Central Avenue"/>
    <x v="0"/>
    <s v="Burglary - Auto"/>
    <s v=""/>
    <s v=""/>
    <s v="216 Central Avenue, Hackensack, NJ, 07601"/>
    <s v="H3"/>
    <n v="8"/>
    <s v="Suspect: Black male with a beard wearing a gray hooded sweatshirt. Possibly named Mike Williams.      I responded to the listed location, 216 Central Avenue, on a report of burglary to auto. Upon arrival, I was met by the victim, Michael Gibson, who stated his black wallet (valued at $10.00 USD) was taken from his vehicles glove box. The victim advised me the wallet contained approximately 3 credit cards, 3 debit cards and $8.00 USD. The victim further stated while he was at home he received a notification from his bank of suspicious credit card use. The victim responded back to his vehicle which was parked in front of his residence (348 1st Street),  and observed his vehicle to have been rummaged through with items removed from his glove box and placed on the driver's seat. No damage to the vehicle was reported. When the victim was notified of the suspicious charges, he was informed one of his debit cards was used at the Central Avenue Mini Market. The victim drove his vehicle to the Central Avenue mini mart to locate the suspect which was unsuccessful.     While on scene, I observed a video of the suspect completing a purchase at the listed location. I further observed a receipt of the transaction signed with the name &quot;Mike Williams&quot; used as the signature for the transaction. The video and photo of the receipt was E-Mailed to detectives by the victim. Total amount spent by the suspect was approximately $102.33 USD. The victim was advised to complete a fraud packet for a follow up report. The victim was further advised to cancel all of his stolen credit/debit cards and monitor his credit for at least 30 days.      I requested a supervisor and Sgt. Farhi responded. Det./Sgt. Williams was notified of the the incident by Sgt. Farhi. P.O. DeOliveira responded to assist.The vehicle was unable to be processed due to the complainant entering and moving his vehicle. A victim notification form was completed and a copy was given to the victim."/>
    <m/>
    <m/>
    <s v="R64NVW"/>
    <s v="FORD"/>
    <s v="EXP"/>
    <s v="NJ"/>
    <m/>
    <m/>
    <m/>
    <m/>
    <s v="Farhi_B"/>
    <s v="P.O. Ruben Almonte 359"/>
    <s v="A3"/>
    <s v="Det. John Tanucilli 335"/>
    <s v="Active Investigation"/>
    <s v="23F = Theft From Motor Vehicle"/>
    <n v="2025"/>
    <n v="10"/>
    <n v="2"/>
    <n v="6"/>
    <n v="65"/>
    <d v="2025-03-06T22:35:00"/>
    <n v="216"/>
    <s v="Suspect: Black male with a beard wearing a gray hooded sweatshirt. Possibly named Mike Williams.      I responded to the listed location, 216 Central Avenue, on a report of burglary to auto. Upon arrival, I was met by the victim, Michael Gibson, who stated his black wallet (valued at $10.00 USD) was taken from his vehicles glove box. The victim advised me the wallet contained approximately 3 credit cards, 3 debit cards and $8.00 USD. The victim further stated while he was at home he received a notification from his bank of suspicious credit card use. The victim responded back to his vehicle which was parked in front of his residence (348 1st Street),  and observed his vehicle to have been rummaged through with items removed from his glove box and placed on the driver's seat. No damage to the vehicle was reported. When the victim was notified of the suspicious charges, he was informed one of his debit cards was used at the Central Avenue Mini Market. The victim drove his vehicle to the Central Avenue mini mart to locate the suspect which was unsuccessful.     While on scene, I observed a video of the suspect completing a purchase at the listed location. I further observed a receipt of the transaction signed with the name &quot;Mike Williams&quot; used as the signature for the transaction. The video and photo of the receipt was E-Mailed to detectives by the victim. Total amount spent by the suspect was approximately $102.33 USD. The victim was advised to complete a fraud packet for a follow up report. The victim was further advised to cancel all of his stolen credit/debit cards and monitor his credit for at least 30 days.      I requested a supervisor and Sgt. Farhi responded. Det./Sgt. Williams was notified of the the incident by Sgt. Farhi. P.O. DeOliveira responded to assist.The vehicle was unable to be processed due to the complainant entering and moving his vehicle. A victim notification form was completed and a copy was given to the victim."/>
    <s v="Vehicle 1: NJ-R64NVW FORD, EXP"/>
    <s v="suspect: black male with a beard wearing a gray hooded sweatshirt suspect which was unsuccessful suspect completing a purchase at the listed location suspect was approximately $102"/>
    <s v="$10.00 USD) was taken from his vehicles glove box. The victim advised me the wallet contained approximately 3 credit cards, 3 debit cards and  $8.00 USD. The victim further stated while he was at home he received a notification from his bank of suspicious credit card use $102.33 USD. The victim was advised to complete a fraud packet for a follow up report"/>
    <s v="C03W10"/>
  </r>
  <r>
    <s v="25-018160"/>
    <x v="4"/>
    <x v="2"/>
    <d v="1899-12-30T22:00:00"/>
    <d v="1899-12-30T22:35:45"/>
    <x v="3"/>
    <s v="March"/>
    <s v="Central Ave, 200 Block"/>
    <s v="216 Central Avenue"/>
    <x v="0"/>
    <s v="Burglary - Auto"/>
    <s v=""/>
    <s v=""/>
    <s v="216 Central Avenue, Hackensack, NJ, 07601"/>
    <s v="H3"/>
    <n v="8"/>
    <s v="Suspect: Black male with a beard wearing a gray hooded sweatshirt. Possibly named Mike Williams.      I responded to the listed location, 216 Central Avenue, on a report of burglary to auto. Upon arrival, I was met by the victim, Michael Gibson, who stated his black wallet (valued at $10.00 USD) was taken from his vehicles glove box. The victim advised me the wallet contained approximately 3 credit cards, 3 debit cards and $8.00 USD. The victim further stated while he was at home he received a notification from his bank of suspicious credit card use. The victim responded back to his vehicle which was parked in front of his residence (348 1st Street),  and observed his vehicle to have been rummaged through with items removed from his glove box and placed on the driver's seat. No damage to the vehicle was reported. When the victim was notified of the suspicious charges, he was informed one of his debit cards was used at the Central Avenue Mini Market. The victim drove his vehicle to the Central Avenue mini mart to locate the suspect which was unsuccessful.     While on scene, I observed a video of the suspect completing a purchase at the listed location. I further observed a receipt of the transaction signed with the name &quot;Mike Williams&quot; used as the signature for the transaction. The video and photo of the receipt was E-Mailed to detectives by the victim. Total amount spent by the suspect was approximately $102.33 USD. The victim was advised to complete a fraud packet for a follow up report. The victim was further advised to cancel all of his stolen credit/debit cards and monitor his credit for at least 30 days.      I requested a supervisor and Sgt. Farhi responded. Det./Sgt. Williams was notified of the the incident by Sgt. Farhi. P.O. DeOliveira responded to assist.The vehicle was unable to be processed due to the complainant entering and moving his vehicle. A victim notification form was completed and a copy was given to the victim."/>
    <m/>
    <m/>
    <s v="R64NVW"/>
    <s v="FORD"/>
    <s v="EXP"/>
    <s v="NJ"/>
    <m/>
    <m/>
    <m/>
    <m/>
    <s v="Farhi_B"/>
    <s v="P.O. Ruben Almonte 359"/>
    <s v="A3"/>
    <s v="Det. John Tanucilli 335"/>
    <s v="Active Investigation"/>
    <s v="23F = Theft From Motor Vehicle"/>
    <n v="2025"/>
    <n v="10"/>
    <n v="2"/>
    <n v="6"/>
    <n v="65"/>
    <d v="2025-03-06T22:35:00"/>
    <n v="216"/>
    <s v="Suspect: Black male with a beard wearing a gray hooded sweatshirt. Possibly named Mike Williams.      I responded to the listed location, 216 Central Avenue, on a report of burglary to auto. Upon arrival, I was met by the victim, Michael Gibson, who stated his black wallet (valued at $10.00 USD) was taken from his vehicles glove box. The victim advised me the wallet contained approximately 3 credit cards, 3 debit cards and $8.00 USD. The victim further stated while he was at home he received a notification from his bank of suspicious credit card use. The victim responded back to his vehicle which was parked in front of his residence (348 1st Street),  and observed his vehicle to have been rummaged through with items removed from his glove box and placed on the driver's seat. No damage to the vehicle was reported. When the victim was notified of the suspicious charges, he was informed one of his debit cards was used at the Central Avenue Mini Market. The victim drove his vehicle to the Central Avenue mini mart to locate the suspect which was unsuccessful.     While on scene, I observed a video of the suspect completing a purchase at the listed location. I further observed a receipt of the transaction signed with the name &quot;Mike Williams&quot; used as the signature for the transaction. The video and photo of the receipt was E-Mailed to detectives by the victim. Total amount spent by the suspect was approximately $102.33 USD. The victim was advised to complete a fraud packet for a follow up report. The victim was further advised to cancel all of his stolen credit/debit cards and monitor his credit for at least 30 days.      I requested a supervisor and Sgt. Farhi responded. Det./Sgt. Williams was notified of the the incident by Sgt. Farhi. P.O. DeOliveira responded to assist.The vehicle was unable to be processed due to the complainant entering and moving his vehicle. A victim notification form was completed and a copy was given to the victim."/>
    <s v="Vehicle 1: NJ-R64NVW FORD, EXP"/>
    <s v="suspect: black male with a beard wearing a gray hooded sweatshirt suspect which was unsuccessful suspect completing a purchase at the listed location suspect was approximately $102"/>
    <s v="$10.00 USD) was taken from his vehicles glove box. The victim advised me the wallet contained approximately 3 credit cards, 3 debit cards and  $8.00 USD. The victim further stated while he was at home he received a notification from his bank of suspicious credit card use $102.33 USD. The victim was advised to complete a fraud packet for a follow up report"/>
    <s v="C03W10"/>
  </r>
  <r>
    <s v="25-018160"/>
    <x v="4"/>
    <x v="2"/>
    <d v="1899-12-30T22:00:00"/>
    <d v="1899-12-30T22:35:45"/>
    <x v="3"/>
    <s v="March"/>
    <s v="Central Ave, 200 Block"/>
    <s v="216 Central Avenue"/>
    <x v="0"/>
    <s v="Burglary - Auto"/>
    <s v=""/>
    <s v=""/>
    <s v="216 Central Avenue, Hackensack, NJ, 07601"/>
    <s v="H3"/>
    <n v="8"/>
    <s v="Suspect: Black male with a beard wearing a gray hooded sweatshirt. Possibly named Mike Williams.      I responded to the listed location, 216 Central Avenue, on a report of burglary to auto. Upon arrival, I was met by the victim, Michael Gibson, who stated his black wallet (valued at $10.00 USD) was taken from his vehicles glove box. The victim advised me the wallet contained approximately 3 credit cards, 3 debit cards and $8.00 USD. The victim further stated while he was at home he received a notification from his bank of suspicious credit card use. The victim responded back to his vehicle which was parked in front of his residence (348 1st Street),  and observed his vehicle to have been rummaged through with items removed from his glove box and placed on the driver's seat. No damage to the vehicle was reported. When the victim was notified of the suspicious charges, he was informed one of his debit cards was used at the Central Avenue Mini Market. The victim drove his vehicle to the Central Avenue mini mart to locate the suspect which was unsuccessful.     While on scene, I observed a video of the suspect completing a purchase at the listed location. I further observed a receipt of the transaction signed with the name &quot;Mike Williams&quot; used as the signature for the transaction. The video and photo of the receipt was E-Mailed to detectives by the victim. Total amount spent by the suspect was approximately $102.33 USD. The victim was advised to complete a fraud packet for a follow up report. The victim was further advised to cancel all of his stolen credit/debit cards and monitor his credit for at least 30 days.      I requested a supervisor and Sgt. Farhi responded. Det./Sgt. Williams was notified of the the incident by Sgt. Farhi. P.O. DeOliveira responded to assist.The vehicle was unable to be processed due to the complainant entering and moving his vehicle. A victim notification form was completed and a copy was given to the victim."/>
    <m/>
    <m/>
    <s v="R64NVW"/>
    <s v="FORD"/>
    <s v="EXP"/>
    <s v="NJ"/>
    <m/>
    <m/>
    <m/>
    <m/>
    <s v="Farhi_B"/>
    <s v="P.O. Ruben Almonte 359"/>
    <s v="A3"/>
    <s v="Det. John Tanucilli 335"/>
    <s v="Active Investigation"/>
    <s v="23F = Theft From Motor Vehicle"/>
    <n v="2025"/>
    <n v="10"/>
    <n v="2"/>
    <n v="6"/>
    <n v="65"/>
    <d v="2025-03-06T22:35:00"/>
    <n v="216"/>
    <s v="Suspect: Black male with a beard wearing a gray hooded sweatshirt. Possibly named Mike Williams.      I responded to the listed location, 216 Central Avenue, on a report of burglary to auto. Upon arrival, I was met by the victim, Michael Gibson, who stated his black wallet (valued at $10.00 USD) was taken from his vehicles glove box. The victim advised me the wallet contained approximately 3 credit cards, 3 debit cards and $8.00 USD. The victim further stated while he was at home he received a notification from his bank of suspicious credit card use. The victim responded back to his vehicle which was parked in front of his residence (348 1st Street),  and observed his vehicle to have been rummaged through with items removed from his glove box and placed on the driver's seat. No damage to the vehicle was reported. When the victim was notified of the suspicious charges, he was informed one of his debit cards was used at the Central Avenue Mini Market. The victim drove his vehicle to the Central Avenue mini mart to locate the suspect which was unsuccessful.     While on scene, I observed a video of the suspect completing a purchase at the listed location. I further observed a receipt of the transaction signed with the name &quot;Mike Williams&quot; used as the signature for the transaction. The video and photo of the receipt was E-Mailed to detectives by the victim. Total amount spent by the suspect was approximately $102.33 USD. The victim was advised to complete a fraud packet for a follow up report. The victim was further advised to cancel all of his stolen credit/debit cards and monitor his credit for at least 30 days.      I requested a supervisor and Sgt. Farhi responded. Det./Sgt. Williams was notified of the the incident by Sgt. Farhi. P.O. DeOliveira responded to assist.The vehicle was unable to be processed due to the complainant entering and moving his vehicle. A victim notification form was completed and a copy was given to the victim."/>
    <s v="Vehicle 1: NJ-R64NVW FORD, EXP"/>
    <s v="suspect: black male with a beard wearing a gray hooded sweatshirt suspect which was unsuccessful suspect completing a purchase at the listed location suspect was approximately $102"/>
    <s v="$10.00 USD) was taken from his vehicles glove box. The victim advised me the wallet contained approximately 3 credit cards, 3 debit cards and  $8.00 USD. The victim further stated while he was at home he received a notification from his bank of suspicious credit card use $102.33 USD. The victim was advised to complete a fraud packet for a follow up report"/>
    <s v="C03W10"/>
  </r>
  <r>
    <s v="25-018160"/>
    <x v="4"/>
    <x v="2"/>
    <d v="1899-12-30T22:00:00"/>
    <d v="1899-12-30T22:35:45"/>
    <x v="3"/>
    <s v="March"/>
    <s v="Central Ave, 200 Block"/>
    <s v="216 Central Avenue"/>
    <x v="0"/>
    <s v="Burglary - Auto"/>
    <s v=""/>
    <s v=""/>
    <s v="216 Central Avenue, Hackensack, NJ, 07601"/>
    <s v="H3"/>
    <n v="8"/>
    <s v="Suspect: Black male with a beard wearing a gray hooded sweatshirt. Possibly named Mike Williams.      I responded to the listed location, 216 Central Avenue, on a report of burglary to auto. Upon arrival, I was met by the victim, Michael Gibson, who stated his black wallet (valued at $10.00 USD) was taken from his vehicles glove box. The victim advised me the wallet contained approximately 3 credit cards, 3 debit cards and $8.00 USD. The victim further stated while he was at home he received a notification from his bank of suspicious credit card use. The victim responded back to his vehicle which was parked in front of his residence (348 1st Street),  and observed his vehicle to have been rummaged through with items removed from his glove box and placed on the driver's seat. No damage to the vehicle was reported. When the victim was notified of the suspicious charges, he was informed one of his debit cards was used at the Central Avenue Mini Market. The victim drove his vehicle to the Central Avenue mini mart to locate the suspect which was unsuccessful.     While on scene, I observed a video of the suspect completing a purchase at the listed location. I further observed a receipt of the transaction signed with the name &quot;Mike Williams&quot; used as the signature for the transaction. The video and photo of the receipt was E-Mailed to detectives by the victim. Total amount spent by the suspect was approximately $102.33 USD. The victim was advised to complete a fraud packet for a follow up report. The victim was further advised to cancel all of his stolen credit/debit cards and monitor his credit for at least 30 days.      I requested a supervisor and Sgt. Farhi responded. Det./Sgt. Williams was notified of the the incident by Sgt. Farhi. P.O. DeOliveira responded to assist.The vehicle was unable to be processed due to the complainant entering and moving his vehicle. A victim notification form was completed and a copy was given to the victim."/>
    <m/>
    <m/>
    <s v="R64NVW"/>
    <s v="FORD"/>
    <s v="EXP"/>
    <s v="NJ"/>
    <m/>
    <m/>
    <m/>
    <m/>
    <s v="Farhi_B"/>
    <s v="P.O. Ruben Almonte 359"/>
    <s v="A3"/>
    <s v="Det. John Tanucilli 335"/>
    <s v="Active Investigation"/>
    <s v="23F = Theft From Motor Vehicle"/>
    <n v="2025"/>
    <n v="10"/>
    <n v="2"/>
    <n v="6"/>
    <n v="65"/>
    <d v="2025-03-06T22:35:00"/>
    <n v="216"/>
    <s v="Suspect: Black male with a beard wearing a gray hooded sweatshirt. Possibly named Mike Williams.      I responded to the listed location, 216 Central Avenue, on a report of burglary to auto. Upon arrival, I was met by the victim, Michael Gibson, who stated his black wallet (valued at $10.00 USD) was taken from his vehicles glove box. The victim advised me the wallet contained approximately 3 credit cards, 3 debit cards and $8.00 USD. The victim further stated while he was at home he received a notification from his bank of suspicious credit card use. The victim responded back to his vehicle which was parked in front of his residence (348 1st Street),  and observed his vehicle to have been rummaged through with items removed from his glove box and placed on the driver's seat. No damage to the vehicle was reported. When the victim was notified of the suspicious charges, he was informed one of his debit cards was used at the Central Avenue Mini Market. The victim drove his vehicle to the Central Avenue mini mart to locate the suspect which was unsuccessful.     While on scene, I observed a video of the suspect completing a purchase at the listed location. I further observed a receipt of the transaction signed with the name &quot;Mike Williams&quot; used as the signature for the transaction. The video and photo of the receipt was E-Mailed to detectives by the victim. Total amount spent by the suspect was approximately $102.33 USD. The victim was advised to complete a fraud packet for a follow up report. The victim was further advised to cancel all of his stolen credit/debit cards and monitor his credit for at least 30 days.      I requested a supervisor and Sgt. Farhi responded. Det./Sgt. Williams was notified of the the incident by Sgt. Farhi. P.O. DeOliveira responded to assist.The vehicle was unable to be processed due to the complainant entering and moving his vehicle. A victim notification form was completed and a copy was given to the victim."/>
    <s v="Vehicle 1: NJ-R64NVW FORD, EXP"/>
    <s v="suspect: black male with a beard wearing a gray hooded sweatshirt suspect which was unsuccessful suspect completing a purchase at the listed location suspect was approximately $102"/>
    <s v="$10.00 USD) was taken from his vehicles glove box. The victim advised me the wallet contained approximately 3 credit cards, 3 debit cards and  $8.00 USD. The victim further stated while he was at home he received a notification from his bank of suspicious credit card use $102.33 USD. The victim was advised to complete a fraud packet for a follow up report"/>
    <s v="C03W10"/>
  </r>
  <r>
    <s v="25-018160"/>
    <x v="4"/>
    <x v="2"/>
    <d v="1899-12-30T22:00:00"/>
    <d v="1899-12-30T22:35:45"/>
    <x v="3"/>
    <s v="March"/>
    <s v="Central Ave, 200 Block"/>
    <s v="216 Central Avenue"/>
    <x v="0"/>
    <s v="Burglary - Auto"/>
    <s v=""/>
    <s v=""/>
    <s v="216 Central Avenue, Hackensack, NJ, 07601"/>
    <s v="H3"/>
    <n v="8"/>
    <s v="Suspect: Black male with a beard wearing a gray hooded sweatshirt. Possibly named Mike Williams.      I responded to the listed location, 216 Central Avenue, on a report of burglary to auto. Upon arrival, I was met by the victim, Michael Gibson, who stated his black wallet (valued at $10.00 USD) was taken from his vehicles glove box. The victim advised me the wallet contained approximately 3 credit cards, 3 debit cards and $8.00 USD. The victim further stated while he was at home he received a notification from his bank of suspicious credit card use. The victim responded back to his vehicle which was parked in front of his residence (348 1st Street),  and observed his vehicle to have been rummaged through with items removed from his glove box and placed on the driver's seat. No damage to the vehicle was reported. When the victim was notified of the suspicious charges, he was informed one of his debit cards was used at the Central Avenue Mini Market. The victim drove his vehicle to the Central Avenue mini mart to locate the suspect which was unsuccessful.     While on scene, I observed a video of the suspect completing a purchase at the listed location. I further observed a receipt of the transaction signed with the name &quot;Mike Williams&quot; used as the signature for the transaction. The video and photo of the receipt was E-Mailed to detectives by the victim. Total amount spent by the suspect was approximately $102.33 USD. The victim was advised to complete a fraud packet for a follow up report. The victim was further advised to cancel all of his stolen credit/debit cards and monitor his credit for at least 30 days.      I requested a supervisor and Sgt. Farhi responded. Det./Sgt. Williams was notified of the the incident by Sgt. Farhi. P.O. DeOliveira responded to assist.The vehicle was unable to be processed due to the complainant entering and moving his vehicle. A victim notification form was completed and a copy was given to the victim."/>
    <m/>
    <m/>
    <s v="R64NVW"/>
    <s v="FORD"/>
    <s v="EXP"/>
    <s v="NJ"/>
    <m/>
    <m/>
    <m/>
    <m/>
    <s v="Farhi_B"/>
    <s v="P.O. Ruben Almonte 359"/>
    <s v="A3"/>
    <s v="Det. John Tanucilli 335"/>
    <s v="Active Investigation"/>
    <s v="23F = Theft From Motor Vehicle"/>
    <n v="2025"/>
    <n v="10"/>
    <n v="2"/>
    <n v="6"/>
    <n v="65"/>
    <d v="2025-03-06T22:35:00"/>
    <n v="216"/>
    <s v="Suspect: Black male with a beard wearing a gray hooded sweatshirt. Possibly named Mike Williams.      I responded to the listed location, 216 Central Avenue, on a report of burglary to auto. Upon arrival, I was met by the victim, Michael Gibson, who stated his black wallet (valued at $10.00 USD) was taken from his vehicles glove box. The victim advised me the wallet contained approximately 3 credit cards, 3 debit cards and $8.00 USD. The victim further stated while he was at home he received a notification from his bank of suspicious credit card use. The victim responded back to his vehicle which was parked in front of his residence (348 1st Street),  and observed his vehicle to have been rummaged through with items removed from his glove box and placed on the driver's seat. No damage to the vehicle was reported. When the victim was notified of the suspicious charges, he was informed one of his debit cards was used at the Central Avenue Mini Market. The victim drove his vehicle to the Central Avenue mini mart to locate the suspect which was unsuccessful.     While on scene, I observed a video of the suspect completing a purchase at the listed location. I further observed a receipt of the transaction signed with the name &quot;Mike Williams&quot; used as the signature for the transaction. The video and photo of the receipt was E-Mailed to detectives by the victim. Total amount spent by the suspect was approximately $102.33 USD. The victim was advised to complete a fraud packet for a follow up report. The victim was further advised to cancel all of his stolen credit/debit cards and monitor his credit for at least 30 days.      I requested a supervisor and Sgt. Farhi responded. Det./Sgt. Williams was notified of the the incident by Sgt. Farhi. P.O. DeOliveira responded to assist.The vehicle was unable to be processed due to the complainant entering and moving his vehicle. A victim notification form was completed and a copy was given to the victim."/>
    <s v="Vehicle 1: NJ-R64NVW FORD, EXP"/>
    <s v="suspect: black male with a beard wearing a gray hooded sweatshirt suspect which was unsuccessful suspect completing a purchase at the listed location suspect was approximately $102"/>
    <s v="$10.00 USD) was taken from his vehicles glove box. The victim advised me the wallet contained approximately 3 credit cards, 3 debit cards and  $8.00 USD. The victim further stated while he was at home he received a notification from his bank of suspicious credit card use $102.33 USD. The victim was advised to complete a fraud packet for a follow up report"/>
    <s v="C03W10"/>
  </r>
  <r>
    <s v="25-018160"/>
    <x v="4"/>
    <x v="2"/>
    <d v="1899-12-30T22:00:00"/>
    <d v="1899-12-30T22:35:45"/>
    <x v="3"/>
    <s v="March"/>
    <s v="Central Ave, 200 Block"/>
    <s v="216 Central Avenue"/>
    <x v="0"/>
    <s v="Burglary - Auto"/>
    <s v=""/>
    <s v=""/>
    <s v="216 Central Avenue, Hackensack, NJ, 07601"/>
    <s v="H3"/>
    <n v="8"/>
    <s v="Suspect: Black male with a beard wearing a gray hooded sweatshirt. Possibly named Mike Williams.      I responded to the listed location, 216 Central Avenue, on a report of burglary to auto. Upon arrival, I was met by the victim, Michael Gibson, who stated his black wallet (valued at $10.00 USD) was taken from his vehicles glove box. The victim advised me the wallet contained approximately 3 credit cards, 3 debit cards and $8.00 USD. The victim further stated while he was at home he received a notification from his bank of suspicious credit card use. The victim responded back to his vehicle which was parked in front of his residence (348 1st Street),  and observed his vehicle to have been rummaged through with items removed from his glove box and placed on the driver's seat. No damage to the vehicle was reported. When the victim was notified of the suspicious charges, he was informed one of his debit cards was used at the Central Avenue Mini Market. The victim drove his vehicle to the Central Avenue mini mart to locate the suspect which was unsuccessful.     While on scene, I observed a video of the suspect completing a purchase at the listed location. I further observed a receipt of the transaction signed with the name &quot;Mike Williams&quot; used as the signature for the transaction. The video and photo of the receipt was E-Mailed to detectives by the victim. Total amount spent by the suspect was approximately $102.33 USD. The victim was advised to complete a fraud packet for a follow up report. The victim was further advised to cancel all of his stolen credit/debit cards and monitor his credit for at least 30 days.      I requested a supervisor and Sgt. Farhi responded. Det./Sgt. Williams was notified of the the incident by Sgt. Farhi. P.O. DeOliveira responded to assist.The vehicle was unable to be processed due to the complainant entering and moving his vehicle. A victim notification form was completed and a copy was given to the victim."/>
    <m/>
    <m/>
    <s v="R64NVW"/>
    <s v="FORD"/>
    <s v="EXP"/>
    <s v="NJ"/>
    <m/>
    <m/>
    <m/>
    <m/>
    <s v="Farhi_B"/>
    <s v="P.O. Ruben Almonte 359"/>
    <s v="A3"/>
    <s v="Det. John Tanucilli 335"/>
    <s v="Active Investigation"/>
    <s v="23F = Theft From Motor Vehicle"/>
    <n v="2025"/>
    <n v="10"/>
    <n v="2"/>
    <n v="6"/>
    <n v="65"/>
    <d v="2025-03-06T22:35:00"/>
    <n v="216"/>
    <s v="Suspect: Black male with a beard wearing a gray hooded sweatshirt. Possibly named Mike Williams.      I responded to the listed location, 216 Central Avenue, on a report of burglary to auto. Upon arrival, I was met by the victim, Michael Gibson, who stated his black wallet (valued at $10.00 USD) was taken from his vehicles glove box. The victim advised me the wallet contained approximately 3 credit cards, 3 debit cards and $8.00 USD. The victim further stated while he was at home he received a notification from his bank of suspicious credit card use. The victim responded back to his vehicle which was parked in front of his residence (348 1st Street),  and observed his vehicle to have been rummaged through with items removed from his glove box and placed on the driver's seat. No damage to the vehicle was reported. When the victim was notified of the suspicious charges, he was informed one of his debit cards was used at the Central Avenue Mini Market. The victim drove his vehicle to the Central Avenue mini mart to locate the suspect which was unsuccessful.     While on scene, I observed a video of the suspect completing a purchase at the listed location. I further observed a receipt of the transaction signed with the name &quot;Mike Williams&quot; used as the signature for the transaction. The video and photo of the receipt was E-Mailed to detectives by the victim. Total amount spent by the suspect was approximately $102.33 USD. The victim was advised to complete a fraud packet for a follow up report. The victim was further advised to cancel all of his stolen credit/debit cards and monitor his credit for at least 30 days.      I requested a supervisor and Sgt. Farhi responded. Det./Sgt. Williams was notified of the the incident by Sgt. Farhi. P.O. DeOliveira responded to assist.The vehicle was unable to be processed due to the complainant entering and moving his vehicle. A victim notification form was completed and a copy was given to the victim."/>
    <s v="Vehicle 1: NJ-R64NVW FORD, EXP"/>
    <s v="suspect: black male with a beard wearing a gray hooded sweatshirt suspect which was unsuccessful suspect completing a purchase at the listed location suspect was approximately $102"/>
    <s v="$10.00 USD) was taken from his vehicles glove box. The victim advised me the wallet contained approximately 3 credit cards, 3 debit cards and  $8.00 USD. The victim further stated while he was at home he received a notification from his bank of suspicious credit card use $102.33 USD. The victim was advised to complete a fraud packet for a follow up report"/>
    <s v="C03W10"/>
  </r>
  <r>
    <s v="25-018160"/>
    <x v="4"/>
    <x v="2"/>
    <d v="1899-12-30T22:00:00"/>
    <d v="1899-12-30T22:35:45"/>
    <x v="3"/>
    <s v="March"/>
    <s v="Central Ave, 200 Block"/>
    <s v="216 Central Avenue"/>
    <x v="0"/>
    <s v="Burglary - Auto"/>
    <s v=""/>
    <s v=""/>
    <s v="216 Central Avenue, Hackensack, NJ, 07601"/>
    <s v="H3"/>
    <n v="8"/>
    <s v="Suspect: Black male with a beard wearing a gray hooded sweatshirt. Possibly named Mike Williams.      I responded to the listed location, 216 Central Avenue, on a report of burglary to auto. Upon arrival, I was met by the victim, Michael Gibson, who stated his black wallet (valued at $10.00 USD) was taken from his vehicles glove box. The victim advised me the wallet contained approximately 3 credit cards, 3 debit cards and $8.00 USD. The victim further stated while he was at home he received a notification from his bank of suspicious credit card use. The victim responded back to his vehicle which was parked in front of his residence (348 1st Street),  and observed his vehicle to have been rummaged through with items removed from his glove box and placed on the driver's seat. No damage to the vehicle was reported. When the victim was notified of the suspicious charges, he was informed one of his debit cards was used at the Central Avenue Mini Market. The victim drove his vehicle to the Central Avenue mini mart to locate the suspect which was unsuccessful.     While on scene, I observed a video of the suspect completing a purchase at the listed location. I further observed a receipt of the transaction signed with the name &quot;Mike Williams&quot; used as the signature for the transaction. The video and photo of the receipt was E-Mailed to detectives by the victim. Total amount spent by the suspect was approximately $102.33 USD. The victim was advised to complete a fraud packet for a follow up report. The victim was further advised to cancel all of his stolen credit/debit cards and monitor his credit for at least 30 days.      I requested a supervisor and Sgt. Farhi responded. Det./Sgt. Williams was notified of the the incident by Sgt. Farhi. P.O. DeOliveira responded to assist.The vehicle was unable to be processed due to the complainant entering and moving his vehicle. A victim notification form was completed and a copy was given to the victim."/>
    <m/>
    <m/>
    <s v="R64NVW"/>
    <s v="FORD"/>
    <s v="EXP"/>
    <s v="NJ"/>
    <m/>
    <m/>
    <m/>
    <m/>
    <s v="Farhi_B"/>
    <s v="P.O. Ruben Almonte 359"/>
    <s v="A3"/>
    <s v="Det. John Tanucilli 335"/>
    <s v="Active Investigation"/>
    <s v="23F = Theft From Motor Vehicle"/>
    <n v="2025"/>
    <n v="10"/>
    <n v="2"/>
    <n v="6"/>
    <n v="65"/>
    <d v="2025-03-06T22:35:00"/>
    <n v="216"/>
    <s v="Suspect: Black male with a beard wearing a gray hooded sweatshirt. Possibly named Mike Williams.      I responded to the listed location, 216 Central Avenue, on a report of burglary to auto. Upon arrival, I was met by the victim, Michael Gibson, who stated his black wallet (valued at $10.00 USD) was taken from his vehicles glove box. The victim advised me the wallet contained approximately 3 credit cards, 3 debit cards and $8.00 USD. The victim further stated while he was at home he received a notification from his bank of suspicious credit card use. The victim responded back to his vehicle which was parked in front of his residence (348 1st Street),  and observed his vehicle to have been rummaged through with items removed from his glove box and placed on the driver's seat. No damage to the vehicle was reported. When the victim was notified of the suspicious charges, he was informed one of his debit cards was used at the Central Avenue Mini Market. The victim drove his vehicle to the Central Avenue mini mart to locate the suspect which was unsuccessful.     While on scene, I observed a video of the suspect completing a purchase at the listed location. I further observed a receipt of the transaction signed with the name &quot;Mike Williams&quot; used as the signature for the transaction. The video and photo of the receipt was E-Mailed to detectives by the victim. Total amount spent by the suspect was approximately $102.33 USD. The victim was advised to complete a fraud packet for a follow up report. The victim was further advised to cancel all of his stolen credit/debit cards and monitor his credit for at least 30 days.      I requested a supervisor and Sgt. Farhi responded. Det./Sgt. Williams was notified of the the incident by Sgt. Farhi. P.O. DeOliveira responded to assist.The vehicle was unable to be processed due to the complainant entering and moving his vehicle. A victim notification form was completed and a copy was given to the victim."/>
    <s v="Vehicle 1: NJ-R64NVW FORD, EXP"/>
    <s v="suspect: black male with a beard wearing a gray hooded sweatshirt suspect which was unsuccessful suspect completing a purchase at the listed location suspect was approximately $102"/>
    <s v="$10.00 USD) was taken from his vehicles glove box. The victim advised me the wallet contained approximately 3 credit cards, 3 debit cards and  $8.00 USD. The victim further stated while he was at home he received a notification from his bank of suspicious credit card use $102.33 USD. The victim was advised to complete a fraud packet for a follow up report"/>
    <s v="C03W10"/>
  </r>
  <r>
    <s v="25-018160"/>
    <x v="4"/>
    <x v="2"/>
    <d v="1899-12-30T22:00:00"/>
    <d v="1899-12-30T22:35:45"/>
    <x v="3"/>
    <s v="March"/>
    <s v="Central Ave, 200 Block"/>
    <s v="216 Central Avenue"/>
    <x v="0"/>
    <s v="Burglary - Auto"/>
    <s v=""/>
    <s v=""/>
    <s v="216 Central Avenue, Hackensack, NJ, 07601"/>
    <s v="H3"/>
    <n v="8"/>
    <s v="Suspect: Black male with a beard wearing a gray hooded sweatshirt. Possibly named Mike Williams.      I responded to the listed location, 216 Central Avenue, on a report of burglary to auto. Upon arrival, I was met by the victim, Michael Gibson, who stated his black wallet (valued at $10.00 USD) was taken from his vehicles glove box. The victim advised me the wallet contained approximately 3 credit cards, 3 debit cards and $8.00 USD. The victim further stated while he was at home he received a notification from his bank of suspicious credit card use. The victim responded back to his vehicle which was parked in front of his residence (348 1st Street),  and observed his vehicle to have been rummaged through with items removed from his glove box and placed on the driver's seat. No damage to the vehicle was reported. When the victim was notified of the suspicious charges, he was informed one of his debit cards was used at the Central Avenue Mini Market. The victim drove his vehicle to the Central Avenue mini mart to locate the suspect which was unsuccessful.     While on scene, I observed a video of the suspect completing a purchase at the listed location. I further observed a receipt of the transaction signed with the name &quot;Mike Williams&quot; used as the signature for the transaction. The video and photo of the receipt was E-Mailed to detectives by the victim. Total amount spent by the suspect was approximately $102.33 USD. The victim was advised to complete a fraud packet for a follow up report. The victim was further advised to cancel all of his stolen credit/debit cards and monitor his credit for at least 30 days.      I requested a supervisor and Sgt. Farhi responded. Det./Sgt. Williams was notified of the the incident by Sgt. Farhi. P.O. DeOliveira responded to assist.The vehicle was unable to be processed due to the complainant entering and moving his vehicle. A victim notification form was completed and a copy was given to the victim."/>
    <m/>
    <m/>
    <s v="R64NVW"/>
    <s v="FORD"/>
    <s v="EXP"/>
    <s v="NJ"/>
    <m/>
    <m/>
    <m/>
    <m/>
    <s v="Farhi_B"/>
    <s v="P.O. Ruben Almonte 359"/>
    <s v="A3"/>
    <s v="Det. John Tanucilli 335"/>
    <s v="Active Investigation"/>
    <s v="23F = Theft From Motor Vehicle"/>
    <n v="2025"/>
    <n v="10"/>
    <n v="2"/>
    <n v="6"/>
    <n v="65"/>
    <d v="2025-03-06T22:35:00"/>
    <n v="216"/>
    <s v="Suspect: Black male with a beard wearing a gray hooded sweatshirt. Possibly named Mike Williams.      I responded to the listed location, 216 Central Avenue, on a report of burglary to auto. Upon arrival, I was met by the victim, Michael Gibson, who stated his black wallet (valued at $10.00 USD) was taken from his vehicles glove box. The victim advised me the wallet contained approximately 3 credit cards, 3 debit cards and $8.00 USD. The victim further stated while he was at home he received a notification from his bank of suspicious credit card use. The victim responded back to his vehicle which was parked in front of his residence (348 1st Street),  and observed his vehicle to have been rummaged through with items removed from his glove box and placed on the driver's seat. No damage to the vehicle was reported. When the victim was notified of the suspicious charges, he was informed one of his debit cards was used at the Central Avenue Mini Market. The victim drove his vehicle to the Central Avenue mini mart to locate the suspect which was unsuccessful.     While on scene, I observed a video of the suspect completing a purchase at the listed location. I further observed a receipt of the transaction signed with the name &quot;Mike Williams&quot; used as the signature for the transaction. The video and photo of the receipt was E-Mailed to detectives by the victim. Total amount spent by the suspect was approximately $102.33 USD. The victim was advised to complete a fraud packet for a follow up report. The victim was further advised to cancel all of his stolen credit/debit cards and monitor his credit for at least 30 days.      I requested a supervisor and Sgt. Farhi responded. Det./Sgt. Williams was notified of the the incident by Sgt. Farhi. P.O. DeOliveira responded to assist.The vehicle was unable to be processed due to the complainant entering and moving his vehicle. A victim notification form was completed and a copy was given to the victim."/>
    <s v="Vehicle 1: NJ-R64NVW FORD, EXP"/>
    <s v="suspect: black male with a beard wearing a gray hooded sweatshirt suspect which was unsuccessful suspect completing a purchase at the listed location suspect was approximately $102"/>
    <s v="$10.00 USD) was taken from his vehicles glove box. The victim advised me the wallet contained approximately 3 credit cards, 3 debit cards and  $8.00 USD. The victim further stated while he was at home he received a notification from his bank of suspicious credit card use $102.33 USD. The victim was advised to complete a fraud packet for a follow up report"/>
    <s v="C03W10"/>
  </r>
  <r>
    <s v="25-018160"/>
    <x v="4"/>
    <x v="2"/>
    <d v="1899-12-30T22:00:00"/>
    <d v="1899-12-30T22:35:45"/>
    <x v="3"/>
    <s v="March"/>
    <s v="Central Ave, 200 Block"/>
    <s v="216 Central Avenue"/>
    <x v="0"/>
    <s v="Burglary - Auto"/>
    <s v=""/>
    <s v=""/>
    <s v="216 Central Avenue, Hackensack, NJ, 07601"/>
    <s v="H3"/>
    <n v="8"/>
    <s v="Suspect: Black male with a beard wearing a gray hooded sweatshirt. Possibly named Mike Williams.      I responded to the listed location, 216 Central Avenue, on a report of burglary to auto. Upon arrival, I was met by the victim, Michael Gibson, who stated his black wallet (valued at $10.00 USD) was taken from his vehicles glove box. The victim advised me the wallet contained approximately 3 credit cards, 3 debit cards and $8.00 USD. The victim further stated while he was at home he received a notification from his bank of suspicious credit card use. The victim responded back to his vehicle which was parked in front of his residence (348 1st Street),  and observed his vehicle to have been rummaged through with items removed from his glove box and placed on the driver's seat. No damage to the vehicle was reported. When the victim was notified of the suspicious charges, he was informed one of his debit cards was used at the Central Avenue Mini Market. The victim drove his vehicle to the Central Avenue mini mart to locate the suspect which was unsuccessful.     While on scene, I observed a video of the suspect completing a purchase at the listed location. I further observed a receipt of the transaction signed with the name &quot;Mike Williams&quot; used as the signature for the transaction. The video and photo of the receipt was E-Mailed to detectives by the victim. Total amount spent by the suspect was approximately $102.33 USD. The victim was advised to complete a fraud packet for a follow up report. The victim was further advised to cancel all of his stolen credit/debit cards and monitor his credit for at least 30 days.      I requested a supervisor and Sgt. Farhi responded. Det./Sgt. Williams was notified of the the incident by Sgt. Farhi. P.O. DeOliveira responded to assist.The vehicle was unable to be processed due to the complainant entering and moving his vehicle. A victim notification form was completed and a copy was given to the victim."/>
    <m/>
    <m/>
    <s v="R64NVW"/>
    <s v="FORD"/>
    <s v="EXP"/>
    <s v="NJ"/>
    <m/>
    <m/>
    <m/>
    <m/>
    <s v="Farhi_B"/>
    <s v="P.O. Ruben Almonte 359"/>
    <s v="A3"/>
    <s v="Det. John Tanucilli 335"/>
    <s v="Active Investigation"/>
    <s v="23F = Theft From Motor Vehicle"/>
    <n v="2025"/>
    <n v="10"/>
    <n v="2"/>
    <n v="6"/>
    <n v="65"/>
    <d v="2025-03-06T22:35:00"/>
    <n v="216"/>
    <s v="Suspect: Black male with a beard wearing a gray hooded sweatshirt. Possibly named Mike Williams.      I responded to the listed location, 216 Central Avenue, on a report of burglary to auto. Upon arrival, I was met by the victim, Michael Gibson, who stated his black wallet (valued at $10.00 USD) was taken from his vehicles glove box. The victim advised me the wallet contained approximately 3 credit cards, 3 debit cards and $8.00 USD. The victim further stated while he was at home he received a notification from his bank of suspicious credit card use. The victim responded back to his vehicle which was parked in front of his residence (348 1st Street),  and observed his vehicle to have been rummaged through with items removed from his glove box and placed on the driver's seat. No damage to the vehicle was reported. When the victim was notified of the suspicious charges, he was informed one of his debit cards was used at the Central Avenue Mini Market. The victim drove his vehicle to the Central Avenue mini mart to locate the suspect which was unsuccessful.     While on scene, I observed a video of the suspect completing a purchase at the listed location. I further observed a receipt of the transaction signed with the name &quot;Mike Williams&quot; used as the signature for the transaction. The video and photo of the receipt was E-Mailed to detectives by the victim. Total amount spent by the suspect was approximately $102.33 USD. The victim was advised to complete a fraud packet for a follow up report. The victim was further advised to cancel all of his stolen credit/debit cards and monitor his credit for at least 30 days.      I requested a supervisor and Sgt. Farhi responded. Det./Sgt. Williams was notified of the the incident by Sgt. Farhi. P.O. DeOliveira responded to assist.The vehicle was unable to be processed due to the complainant entering and moving his vehicle. A victim notification form was completed and a copy was given to the victim."/>
    <s v="Vehicle 1: NJ-R64NVW FORD, EXP"/>
    <s v="suspect: black male with a beard wearing a gray hooded sweatshirt suspect which was unsuccessful suspect completing a purchase at the listed location suspect was approximately $102"/>
    <s v="$10.00 USD) was taken from his vehicles glove box. The victim advised me the wallet contained approximately 3 credit cards, 3 debit cards and  $8.00 USD. The victim further stated while he was at home he received a notification from his bank of suspicious credit card use $102.33 USD. The victim was advised to complete a fraud packet for a follow up report"/>
    <s v="C03W10"/>
  </r>
  <r>
    <s v="25-018160"/>
    <x v="4"/>
    <x v="2"/>
    <d v="1899-12-30T22:00:00"/>
    <d v="1899-12-30T22:35:45"/>
    <x v="3"/>
    <s v="March"/>
    <s v="Central Ave, 200 Block"/>
    <s v="216 Central Avenue"/>
    <x v="0"/>
    <s v="Burglary - Auto"/>
    <s v=""/>
    <s v=""/>
    <s v="216 Central Avenue, Hackensack, NJ, 07601"/>
    <s v="H3"/>
    <n v="8"/>
    <s v="Suspect: Black male with a beard wearing a gray hooded sweatshirt. Possibly named Mike Williams.      I responded to the listed location, 216 Central Avenue, on a report of burglary to auto. Upon arrival, I was met by the victim, Michael Gibson, who stated his black wallet (valued at $10.00 USD) was taken from his vehicles glove box. The victim advised me the wallet contained approximately 3 credit cards, 3 debit cards and $8.00 USD. The victim further stated while he was at home he received a notification from his bank of suspicious credit card use. The victim responded back to his vehicle which was parked in front of his residence (348 1st Street),  and observed his vehicle to have been rummaged through with items removed from his glove box and placed on the driver's seat. No damage to the vehicle was reported. When the victim was notified of the suspicious charges, he was informed one of his debit cards was used at the Central Avenue Mini Market. The victim drove his vehicle to the Central Avenue mini mart to locate the suspect which was unsuccessful.     While on scene, I observed a video of the suspect completing a purchase at the listed location. I further observed a receipt of the transaction signed with the name &quot;Mike Williams&quot; used as the signature for the transaction. The video and photo of the receipt was E-Mailed to detectives by the victim. Total amount spent by the suspect was approximately $102.33 USD. The victim was advised to complete a fraud packet for a follow up report. The victim was further advised to cancel all of his stolen credit/debit cards and monitor his credit for at least 30 days.      I requested a supervisor and Sgt. Farhi responded. Det./Sgt. Williams was notified of the the incident by Sgt. Farhi. P.O. DeOliveira responded to assist.The vehicle was unable to be processed due to the complainant entering and moving his vehicle. A victim notification form was completed and a copy was given to the victim."/>
    <m/>
    <m/>
    <s v="R64NVW"/>
    <s v="FORD"/>
    <s v="EXP"/>
    <s v="NJ"/>
    <m/>
    <m/>
    <m/>
    <m/>
    <s v="Farhi_B"/>
    <s v="P.O. Ruben Almonte 359"/>
    <s v="A3"/>
    <s v="Det. John Tanucilli 335"/>
    <s v="Active Investigation"/>
    <m/>
    <n v="2025"/>
    <n v="10"/>
    <n v="2"/>
    <n v="6"/>
    <n v="65"/>
    <d v="2025-03-06T22:35:00"/>
    <n v="216"/>
    <s v="Suspect: Black male with a beard wearing a gray hooded sweatshirt. Possibly named Mike Williams.      I responded to the listed location, 216 Central Avenue, on a report of burglary to auto. Upon arrival, I was met by the victim, Michael Gibson, who stated his black wallet (valued at $10.00 USD) was taken from his vehicles glove box. The victim advised me the wallet contained approximately 3 credit cards, 3 debit cards and $8.00 USD. The victim further stated while he was at home he received a notification from his bank of suspicious credit card use. The victim responded back to his vehicle which was parked in front of his residence (348 1st Street),  and observed his vehicle to have been rummaged through with items removed from his glove box and placed on the driver's seat. No damage to the vehicle was reported. When the victim was notified of the suspicious charges, he was informed one of his debit cards was used at the Central Avenue Mini Market. The victim drove his vehicle to the Central Avenue mini mart to locate the suspect which was unsuccessful.     While on scene, I observed a video of the suspect completing a purchase at the listed location. I further observed a receipt of the transaction signed with the name &quot;Mike Williams&quot; used as the signature for the transaction. The video and photo of the receipt was E-Mailed to detectives by the victim. Total amount spent by the suspect was approximately $102.33 USD. The victim was advised to complete a fraud packet for a follow up report. The victim was further advised to cancel all of his stolen credit/debit cards and monitor his credit for at least 30 days.      I requested a supervisor and Sgt. Farhi responded. Det./Sgt. Williams was notified of the the incident by Sgt. Farhi. P.O. DeOliveira responded to assist.The vehicle was unable to be processed due to the complainant entering and moving his vehicle. A victim notification form was completed and a copy was given to the victim."/>
    <s v="Vehicle 1: NJ-R64NVW FORD, EXP"/>
    <s v="suspect: black male with a beard wearing a gray hooded sweatshirt suspect which was unsuccessful suspect completing a purchase at the listed location suspect was approximately $102"/>
    <s v="$10.00 USD) was taken from his vehicles glove box. The victim advised me the wallet contained approximately 3 credit cards, 3 debit cards and  $8.00 USD. The victim further stated while he was at home he received a notification from his bank of suspicious credit card use $102.33 USD. The victim was advised to complete a fraud packet for a follow up report"/>
    <s v="C03W10"/>
  </r>
  <r>
    <s v="25-018160"/>
    <x v="4"/>
    <x v="2"/>
    <d v="1899-12-30T22:00:00"/>
    <d v="1899-12-30T22:35:45"/>
    <x v="3"/>
    <s v="March"/>
    <s v="Central Ave, 200 Block"/>
    <s v="216 Central Avenue"/>
    <x v="0"/>
    <s v="Burglary - Auto"/>
    <s v=""/>
    <s v=""/>
    <s v="216 Central Avenue, Hackensack, NJ, 07601"/>
    <s v="H3"/>
    <n v="8"/>
    <s v="Suspect: Black male with a beard wearing a gray hooded sweatshirt. Possibly named Mike Williams.      I responded to the listed location, 216 Central Avenue, on a report of burglary to auto. Upon arrival, I was met by the victim, Michael Gibson, who stated his black wallet (valued at $10.00 USD) was taken from his vehicles glove box. The victim advised me the wallet contained approximately 3 credit cards, 3 debit cards and $8.00 USD. The victim further stated while he was at home he received a notification from his bank of suspicious credit card use. The victim responded back to his vehicle which was parked in front of his residence (348 1st Street),  and observed his vehicle to have been rummaged through with items removed from his glove box and placed on the driver's seat. No damage to the vehicle was reported. When the victim was notified of the suspicious charges, he was informed one of his debit cards was used at the Central Avenue Mini Market. The victim drove his vehicle to the Central Avenue mini mart to locate the suspect which was unsuccessful.     While on scene, I observed a video of the suspect completing a purchase at the listed location. I further observed a receipt of the transaction signed with the name &quot;Mike Williams&quot; used as the signature for the transaction. The video and photo of the receipt was E-Mailed to detectives by the victim. Total amount spent by the suspect was approximately $102.33 USD. The victim was advised to complete a fraud packet for a follow up report. The victim was further advised to cancel all of his stolen credit/debit cards and monitor his credit for at least 30 days.      I requested a supervisor and Sgt. Farhi responded. Det./Sgt. Williams was notified of the the incident by Sgt. Farhi. P.O. DeOliveira responded to assist.The vehicle was unable to be processed due to the complainant entering and moving his vehicle. A victim notification form was completed and a copy was given to the victim."/>
    <m/>
    <m/>
    <s v="R64NVW"/>
    <s v="FORD"/>
    <s v="EXP"/>
    <s v="NJ"/>
    <m/>
    <m/>
    <m/>
    <m/>
    <s v="Farhi_B"/>
    <s v="P.O. Ruben Almonte 359"/>
    <s v="A3"/>
    <s v="Det. John Tanucilli 335"/>
    <s v="Active Investigation"/>
    <m/>
    <n v="2025"/>
    <n v="10"/>
    <n v="2"/>
    <n v="6"/>
    <n v="65"/>
    <d v="2025-03-06T22:35:00"/>
    <n v="216"/>
    <s v="Suspect: Black male with a beard wearing a gray hooded sweatshirt. Possibly named Mike Williams.      I responded to the listed location, 216 Central Avenue, on a report of burglary to auto. Upon arrival, I was met by the victim, Michael Gibson, who stated his black wallet (valued at $10.00 USD) was taken from his vehicles glove box. The victim advised me the wallet contained approximately 3 credit cards, 3 debit cards and $8.00 USD. The victim further stated while he was at home he received a notification from his bank of suspicious credit card use. The victim responded back to his vehicle which was parked in front of his residence (348 1st Street),  and observed his vehicle to have been rummaged through with items removed from his glove box and placed on the driver's seat. No damage to the vehicle was reported. When the victim was notified of the suspicious charges, he was informed one of his debit cards was used at the Central Avenue Mini Market. The victim drove his vehicle to the Central Avenue mini mart to locate the suspect which was unsuccessful.     While on scene, I observed a video of the suspect completing a purchase at the listed location. I further observed a receipt of the transaction signed with the name &quot;Mike Williams&quot; used as the signature for the transaction. The video and photo of the receipt was E-Mailed to detectives by the victim. Total amount spent by the suspect was approximately $102.33 USD. The victim was advised to complete a fraud packet for a follow up report. The victim was further advised to cancel all of his stolen credit/debit cards and monitor his credit for at least 30 days.      I requested a supervisor and Sgt. Farhi responded. Det./Sgt. Williams was notified of the the incident by Sgt. Farhi. P.O. DeOliveira responded to assist.The vehicle was unable to be processed due to the complainant entering and moving his vehicle. A victim notification form was completed and a copy was given to the victim."/>
    <s v="Vehicle 1: NJ-R64NVW FORD, EXP"/>
    <s v="suspect: black male with a beard wearing a gray hooded sweatshirt suspect which was unsuccessful suspect completing a purchase at the listed location suspect was approximately $102"/>
    <s v="$10.00 USD) was taken from his vehicles glove box. The victim advised me the wallet contained approximately 3 credit cards, 3 debit cards and  $8.00 USD. The victim further stated while he was at home he received a notification from his bank of suspicious credit card use $102.33 USD. The victim was advised to complete a fraud packet for a follow up report"/>
    <s v="C03W10"/>
  </r>
  <r>
    <s v="25-018160"/>
    <x v="4"/>
    <x v="2"/>
    <d v="1899-12-30T22:00:00"/>
    <d v="1899-12-30T22:35:45"/>
    <x v="3"/>
    <s v="March"/>
    <s v="Central Ave, 200 Block"/>
    <s v="216 Central Avenue"/>
    <x v="0"/>
    <s v="Burglary - Auto"/>
    <s v=""/>
    <s v=""/>
    <s v="216 Central Avenue, Hackensack, NJ, 07601"/>
    <s v="H3"/>
    <n v="8"/>
    <s v="Suspect: Black male with a beard wearing a gray hooded sweatshirt. Possibly named Mike Williams.      I responded to the listed location, 216 Central Avenue, on a report of burglary to auto. Upon arrival, I was met by the victim, Michael Gibson, who stated his black wallet (valued at $10.00 USD) was taken from his vehicles glove box. The victim advised me the wallet contained approximately 3 credit cards, 3 debit cards and $8.00 USD. The victim further stated while he was at home he received a notification from his bank of suspicious credit card use. The victim responded back to his vehicle which was parked in front of his residence (348 1st Street),  and observed his vehicle to have been rummaged through with items removed from his glove box and placed on the driver's seat. No damage to the vehicle was reported. When the victim was notified of the suspicious charges, he was informed one of his debit cards was used at the Central Avenue Mini Market. The victim drove his vehicle to the Central Avenue mini mart to locate the suspect which was unsuccessful.     While on scene, I observed a video of the suspect completing a purchase at the listed location. I further observed a receipt of the transaction signed with the name &quot;Mike Williams&quot; used as the signature for the transaction. The video and photo of the receipt was E-Mailed to detectives by the victim. Total amount spent by the suspect was approximately $102.33 USD. The victim was advised to complete a fraud packet for a follow up report. The victim was further advised to cancel all of his stolen credit/debit cards and monitor his credit for at least 30 days.      I requested a supervisor and Sgt. Farhi responded. Det./Sgt. Williams was notified of the the incident by Sgt. Farhi. P.O. DeOliveira responded to assist.The vehicle was unable to be processed due to the complainant entering and moving his vehicle. A victim notification form was completed and a copy was given to the victim."/>
    <m/>
    <m/>
    <s v="R64NVW"/>
    <s v="FORD"/>
    <s v="EXP"/>
    <s v="NJ"/>
    <m/>
    <m/>
    <m/>
    <m/>
    <s v="Farhi_B"/>
    <s v="P.O. Ruben Almonte 359"/>
    <s v="A3"/>
    <s v="Det. John Tanucilli 335"/>
    <s v="Active Investigation"/>
    <s v="23F = Theft From Motor Vehicle"/>
    <n v="2025"/>
    <n v="10"/>
    <n v="2"/>
    <n v="6"/>
    <n v="65"/>
    <d v="2025-03-06T22:35:00"/>
    <n v="216"/>
    <s v="Suspect: Black male with a beard wearing a gray hooded sweatshirt. Possibly named Mike Williams.      I responded to the listed location, 216 Central Avenue, on a report of burglary to auto. Upon arrival, I was met by the victim, Michael Gibson, who stated his black wallet (valued at $10.00 USD) was taken from his vehicles glove box. The victim advised me the wallet contained approximately 3 credit cards, 3 debit cards and $8.00 USD. The victim further stated while he was at home he received a notification from his bank of suspicious credit card use. The victim responded back to his vehicle which was parked in front of his residence (348 1st Street),  and observed his vehicle to have been rummaged through with items removed from his glove box and placed on the driver's seat. No damage to the vehicle was reported. When the victim was notified of the suspicious charges, he was informed one of his debit cards was used at the Central Avenue Mini Market. The victim drove his vehicle to the Central Avenue mini mart to locate the suspect which was unsuccessful.     While on scene, I observed a video of the suspect completing a purchase at the listed location. I further observed a receipt of the transaction signed with the name &quot;Mike Williams&quot; used as the signature for the transaction. The video and photo of the receipt was E-Mailed to detectives by the victim. Total amount spent by the suspect was approximately $102.33 USD. The victim was advised to complete a fraud packet for a follow up report. The victim was further advised to cancel all of his stolen credit/debit cards and monitor his credit for at least 30 days.      I requested a supervisor and Sgt. Farhi responded. Det./Sgt. Williams was notified of the the incident by Sgt. Farhi. P.O. DeOliveira responded to assist.The vehicle was unable to be processed due to the complainant entering and moving his vehicle. A victim notification form was completed and a copy was given to the victim."/>
    <s v="Vehicle 1: NJ-R64NVW FORD, EXP"/>
    <s v="suspect: black male with a beard wearing a gray hooded sweatshirt suspect which was unsuccessful suspect completing a purchase at the listed location suspect was approximately $102"/>
    <s v="$10.00 USD) was taken from his vehicles glove box. The victim advised me the wallet contained approximately 3 credit cards, 3 debit cards and  $8.00 USD. The victim further stated while he was at home he received a notification from his bank of suspicious credit card use $102.33 USD. The victim was advised to complete a fraud packet for a follow up report"/>
    <s v="C03W10"/>
  </r>
  <r>
    <s v="25-019245"/>
    <x v="5"/>
    <x v="1"/>
    <d v="1899-12-30T19:00:00"/>
    <d v="1899-12-30T19:30:00"/>
    <x v="2"/>
    <s v="March"/>
    <s v="American Legion Drive, 200 Block"/>
    <s v="282 American Legion Drive"/>
    <x v="0"/>
    <s v="Burglary - Auto"/>
    <s v=""/>
    <s v=""/>
    <s v="282 American Legion Drive, Hackensack, NJ, 07601"/>
    <s v="G3"/>
    <n v="7"/>
    <s v="On March 10, 2025, P.O. small and I responded to 282 American Legion Drive for a burglary to auto report. Upon our arrival, we met with the complainant, Luis Cela. He is Juan Cela-Saula's brother (Victim). The complainant stated the victim responded to his vehicle this morning and observed the interior of his vehicle in complete disarray while attempting to leave for work. After exiting his parking spot, the victim then changed his mind and contacted the complainant to file a report on his behalf because he had to go to work. The complainant had to park the vehicle in another spot on American Legion Drive because the vehicle was moved by the victim prior to his departure.      The complainant stated the victim parked his vehicle bearing NJ/K46PXJ on American Legion Drive on 03/9/2025 at approximately 1930 hours and noticed the vehicle was burglarized at 0830 hours today. The victim stated approximately $250.00 dollars in miscellaneous tools were missing from the vehicle. We did not observe any visible damage or forced entry to the doors' exterior. The victim believes he locked his vehicle when he parked it. Detective Sgt. Williams was notified. Sgt. Ghirardi and Sgt. Donnerstag responded.      The victim does not want the vehicle to be processed. The victim would like to sign complaints if the suspect is identified. A New Jersey Victim Notification Form was completed and provided to the victim.     State of New Jersey Insurance, policy number LCP699-4257-606 and insurance code 258."/>
    <m/>
    <m/>
    <s v="K46PXJ"/>
    <s v="HYN"/>
    <s v="TIB"/>
    <s v="NJ"/>
    <m/>
    <m/>
    <m/>
    <m/>
    <s v="Klosk_J"/>
    <s v="P.O. Peter Voorhis 380"/>
    <s v="B1"/>
    <s v="Det. Demetrius Carroll 133"/>
    <s v="Active/Administratively Closed"/>
    <s v="23F = Theft From Motor Vehicle"/>
    <n v="2025"/>
    <n v="11"/>
    <n v="3"/>
    <n v="9"/>
    <n v="68"/>
    <d v="2025-03-09T19:30:00"/>
    <n v="282"/>
    <s v="On March 10, 2025, P.O. small and I responded to 282 American Legion Drive for a burglary to auto report. Upon our arrival, we met with the complainant, Luis Cela. He is Juan Cela-Saula's brother (Victim). The complainant stated the victim responded to his vehicle this morning and observed the interior of his vehicle in complete disarray while attempting to leave for work. After exiting his parking spot, the victim then changed his mind and contacted the complainant to file a report on his behalf because he had to go to work. The complainant had to park the vehicle in another spot on American Legion Drive because the vehicle was moved by the victim prior to his departure.      The complainant stated the victim parked his vehicle bearing NJ/K46PXJ on American Legion Drive on 03/9/2025 at approximately 1930 hours and noticed the vehicle was burglarized at 0830 hours today. The victim stated approximately $250.00 dollars in miscellaneous tools were missing from the vehicle. We did not observe any visible damage or forced entry to the doors' exterior. The victim believes he locked his vehicle when he parked it. Detective Sgt. Williams was notified. Sgt. Ghirardi and Sgt. Donnerstag responded.      The victim does not want the vehicle to be processed. The victim would like to sign complaints if the suspect is identified. A New Jersey Victim Notification Form was completed and provided to the victim.     State of New Jersey Insurance, policy number LCP699-4257-606 and insurance code 258."/>
    <s v="Vehicle 1: NJ-K46PXJ HYN, TIB"/>
    <s v="suspect is identified"/>
    <s v="$250.00 dollars in miscellaneous tools were missing from the vehicle. We did not observe any visible damage or forced entry to the doors' exterior"/>
    <s v="C03W10"/>
  </r>
  <r>
    <s v="25-019245"/>
    <x v="5"/>
    <x v="1"/>
    <d v="1899-12-30T19:00:00"/>
    <d v="1899-12-30T19:30:00"/>
    <x v="2"/>
    <s v="March"/>
    <s v="American Legion Drive, 200 Block"/>
    <s v="282 American Legion Drive"/>
    <x v="0"/>
    <s v="Burglary - Auto"/>
    <s v=""/>
    <s v=""/>
    <s v="282 American Legion Drive, Hackensack, NJ, 07601"/>
    <s v="G3"/>
    <n v="7"/>
    <s v="On March 10, 2025, P.O. small and I responded to 282 American Legion Drive for a burglary to auto report. Upon our arrival, we met with the complainant, Luis Cela. He is Juan Cela-Saula's brother (Victim). The complainant stated the victim responded to his vehicle this morning and observed the interior of his vehicle in complete disarray while attempting to leave for work. After exiting his parking spot, the victim then changed his mind and contacted the complainant to file a report on his behalf because he had to go to work. The complainant had to park the vehicle in another spot on American Legion Drive because the vehicle was moved by the victim prior to his departure.      The complainant stated the victim parked his vehicle bearing NJ/K46PXJ on American Legion Drive on 03/9/2025 at approximately 1930 hours and noticed the vehicle was burglarized at 0830 hours today. The victim stated approximately $250.00 dollars in miscellaneous tools were missing from the vehicle. We did not observe any visible damage or forced entry to the doors' exterior. The victim believes he locked his vehicle when he parked it. Detective Sgt. Williams was notified. Sgt. Ghirardi and Sgt. Donnerstag responded.      The victim does not want the vehicle to be processed. The victim would like to sign complaints if the suspect is identified. A New Jersey Victim Notification Form was completed and provided to the victim.     State of New Jersey Insurance, policy number LCP699-4257-606 and insurance code 258."/>
    <m/>
    <m/>
    <s v="K46PXJ"/>
    <s v="HYN"/>
    <s v="TIB"/>
    <s v="NJ"/>
    <m/>
    <m/>
    <m/>
    <m/>
    <s v="Klosk_J"/>
    <s v="P.O. Peter Voorhis 380"/>
    <s v="B1"/>
    <s v="Det. Demetrius Carroll 133"/>
    <s v="Active/Administratively Closed"/>
    <s v="23F = Theft From Motor Vehicle"/>
    <n v="2025"/>
    <n v="11"/>
    <n v="3"/>
    <n v="9"/>
    <n v="68"/>
    <d v="2025-03-09T19:30:00"/>
    <n v="282"/>
    <s v="On March 10, 2025, P.O. small and I responded to 282 American Legion Drive for a burglary to auto report. Upon our arrival, we met with the complainant, Luis Cela. He is Juan Cela-Saula's brother (Victim). The complainant stated the victim responded to his vehicle this morning and observed the interior of his vehicle in complete disarray while attempting to leave for work. After exiting his parking spot, the victim then changed his mind and contacted the complainant to file a report on his behalf because he had to go to work. The complainant had to park the vehicle in another spot on American Legion Drive because the vehicle was moved by the victim prior to his departure.      The complainant stated the victim parked his vehicle bearing NJ/K46PXJ on American Legion Drive on 03/9/2025 at approximately 1930 hours and noticed the vehicle was burglarized at 0830 hours today. The victim stated approximately $250.00 dollars in miscellaneous tools were missing from the vehicle. We did not observe any visible damage or forced entry to the doors' exterior. The victim believes he locked his vehicle when he parked it. Detective Sgt. Williams was notified. Sgt. Ghirardi and Sgt. Donnerstag responded.      The victim does not want the vehicle to be processed. The victim would like to sign complaints if the suspect is identified. A New Jersey Victim Notification Form was completed and provided to the victim.     State of New Jersey Insurance, policy number LCP699-4257-606 and insurance code 258."/>
    <s v="Vehicle 1: NJ-K46PXJ HYN, TIB"/>
    <s v="suspect is identified"/>
    <s v="$250.00 dollars in miscellaneous tools were missing from the vehicle. We did not observe any visible damage or forced entry to the doors' exterior"/>
    <s v="C03W10"/>
  </r>
  <r>
    <s v="25-019245"/>
    <x v="5"/>
    <x v="1"/>
    <d v="1899-12-30T19:00:00"/>
    <d v="1899-12-30T19:30:00"/>
    <x v="2"/>
    <s v="March"/>
    <s v="American Legion Drive, 200 Block"/>
    <s v="282 American Legion Drive"/>
    <x v="0"/>
    <s v="Burglary - Auto"/>
    <s v=""/>
    <s v=""/>
    <s v="282 American Legion Drive, Hackensack, NJ, 07601"/>
    <s v="G3"/>
    <n v="7"/>
    <s v="On March 10, 2025, P.O. small and I responded to 282 American Legion Drive for a burglary to auto report. Upon our arrival, we met with the complainant, Luis Cela. He is Juan Cela-Saula's brother (Victim). The complainant stated the victim responded to his vehicle this morning and observed the interior of his vehicle in complete disarray while attempting to leave for work. After exiting his parking spot, the victim then changed his mind and contacted the complainant to file a report on his behalf because he had to go to work. The complainant had to park the vehicle in another spot on American Legion Drive because the vehicle was moved by the victim prior to his departure.      The complainant stated the victim parked his vehicle bearing NJ/K46PXJ on American Legion Drive on 03/9/2025 at approximately 1930 hours and noticed the vehicle was burglarized at 0830 hours today. The victim stated approximately $250.00 dollars in miscellaneous tools were missing from the vehicle. We did not observe any visible damage or forced entry to the doors' exterior. The victim believes he locked his vehicle when he parked it. Detective Sgt. Williams was notified. Sgt. Ghirardi and Sgt. Donnerstag responded.      The victim does not want the vehicle to be processed. The victim would like to sign complaints if the suspect is identified. A New Jersey Victim Notification Form was completed and provided to the victim.     State of New Jersey Insurance, policy number LCP699-4257-606 and insurance code 258."/>
    <m/>
    <m/>
    <s v="K46PXJ"/>
    <s v="HYN"/>
    <s v="TIB"/>
    <s v="NJ"/>
    <m/>
    <m/>
    <m/>
    <m/>
    <s v="Klosk_J"/>
    <s v="P.O. Peter Voorhis 380"/>
    <s v="B1"/>
    <s v="Det. Demetrius Carroll 133"/>
    <s v="Active/Administratively Closed"/>
    <s v="23F = Theft From Motor Vehicle"/>
    <n v="2025"/>
    <n v="11"/>
    <n v="3"/>
    <n v="9"/>
    <n v="68"/>
    <d v="2025-03-09T19:30:00"/>
    <n v="282"/>
    <s v="On March 10, 2025, P.O. small and I responded to 282 American Legion Drive for a burglary to auto report. Upon our arrival, we met with the complainant, Luis Cela. He is Juan Cela-Saula's brother (Victim). The complainant stated the victim responded to his vehicle this morning and observed the interior of his vehicle in complete disarray while attempting to leave for work. After exiting his parking spot, the victim then changed his mind and contacted the complainant to file a report on his behalf because he had to go to work. The complainant had to park the vehicle in another spot on American Legion Drive because the vehicle was moved by the victim prior to his departure.      The complainant stated the victim parked his vehicle bearing NJ/K46PXJ on American Legion Drive on 03/9/2025 at approximately 1930 hours and noticed the vehicle was burglarized at 0830 hours today. The victim stated approximately $250.00 dollars in miscellaneous tools were missing from the vehicle. We did not observe any visible damage or forced entry to the doors' exterior. The victim believes he locked his vehicle when he parked it. Detective Sgt. Williams was notified. Sgt. Ghirardi and Sgt. Donnerstag responded.      The victim does not want the vehicle to be processed. The victim would like to sign complaints if the suspect is identified. A New Jersey Victim Notification Form was completed and provided to the victim.     State of New Jersey Insurance, policy number LCP699-4257-606 and insurance code 258."/>
    <s v="Vehicle 1: NJ-K46PXJ HYN, TIB"/>
    <s v="suspect is identified"/>
    <s v="$250.00 dollars in miscellaneous tools were missing from the vehicle. We did not observe any visible damage or forced entry to the doors' exterior"/>
    <s v="C03W10"/>
  </r>
  <r>
    <s v="25-019245"/>
    <x v="5"/>
    <x v="1"/>
    <d v="1899-12-30T19:00:00"/>
    <d v="1899-12-30T19:30:00"/>
    <x v="2"/>
    <s v="March"/>
    <s v="American Legion Drive, 200 Block"/>
    <s v="282 American Legion Drive"/>
    <x v="0"/>
    <s v="Burglary - Auto"/>
    <s v=""/>
    <s v=""/>
    <s v="282 American Legion Drive, Hackensack, NJ, 07601"/>
    <s v="G3"/>
    <n v="7"/>
    <s v="On March 10, 2025, P.O. small and I responded to 282 American Legion Drive for a burglary to auto report. Upon our arrival, we met with the complainant, Luis Cela. He is Juan Cela-Saula's brother (Victim). The complainant stated the victim responded to his vehicle this morning and observed the interior of his vehicle in complete disarray while attempting to leave for work. After exiting his parking spot, the victim then changed his mind and contacted the complainant to file a report on his behalf because he had to go to work. The complainant had to park the vehicle in another spot on American Legion Drive because the vehicle was moved by the victim prior to his departure.      The complainant stated the victim parked his vehicle bearing NJ/K46PXJ on American Legion Drive on 03/9/2025 at approximately 1930 hours and noticed the vehicle was burglarized at 0830 hours today. The victim stated approximately $250.00 dollars in miscellaneous tools were missing from the vehicle. We did not observe any visible damage or forced entry to the doors' exterior. The victim believes he locked his vehicle when he parked it. Detective Sgt. Williams was notified. Sgt. Ghirardi and Sgt. Donnerstag responded.      The victim does not want the vehicle to be processed. The victim would like to sign complaints if the suspect is identified. A New Jersey Victim Notification Form was completed and provided to the victim.     State of New Jersey Insurance, policy number LCP699-4257-606 and insurance code 258."/>
    <m/>
    <m/>
    <s v="K46PXJ"/>
    <s v="HYN"/>
    <s v="TIB"/>
    <s v="NJ"/>
    <m/>
    <m/>
    <m/>
    <m/>
    <s v="Klosk_J"/>
    <s v="P.O. Peter Voorhis 380"/>
    <s v="B1"/>
    <s v="Det. Demetrius Carroll 133"/>
    <s v="Active/Administratively Closed"/>
    <s v="23F = Theft From Motor Vehicle"/>
    <n v="2025"/>
    <n v="11"/>
    <n v="3"/>
    <n v="9"/>
    <n v="68"/>
    <d v="2025-03-09T19:30:00"/>
    <n v="282"/>
    <s v="On March 10, 2025, P.O. small and I responded to 282 American Legion Drive for a burglary to auto report. Upon our arrival, we met with the complainant, Luis Cela. He is Juan Cela-Saula's brother (Victim). The complainant stated the victim responded to his vehicle this morning and observed the interior of his vehicle in complete disarray while attempting to leave for work. After exiting his parking spot, the victim then changed his mind and contacted the complainant to file a report on his behalf because he had to go to work. The complainant had to park the vehicle in another spot on American Legion Drive because the vehicle was moved by the victim prior to his departure.      The complainant stated the victim parked his vehicle bearing NJ/K46PXJ on American Legion Drive on 03/9/2025 at approximately 1930 hours and noticed the vehicle was burglarized at 0830 hours today. The victim stated approximately $250.00 dollars in miscellaneous tools were missing from the vehicle. We did not observe any visible damage or forced entry to the doors' exterior. The victim believes he locked his vehicle when he parked it. Detective Sgt. Williams was notified. Sgt. Ghirardi and Sgt. Donnerstag responded.      The victim does not want the vehicle to be processed. The victim would like to sign complaints if the suspect is identified. A New Jersey Victim Notification Form was completed and provided to the victim.     State of New Jersey Insurance, policy number LCP699-4257-606 and insurance code 258."/>
    <s v="Vehicle 1: NJ-K46PXJ HYN, TIB"/>
    <s v="suspect is identified"/>
    <s v="$250.00 dollars in miscellaneous tools were missing from the vehicle. We did not observe any visible damage or forced entry to the doors' exterior"/>
    <s v="C03W10"/>
  </r>
  <r>
    <s v="25-019245"/>
    <x v="5"/>
    <x v="1"/>
    <d v="1899-12-30T19:00:00"/>
    <d v="1899-12-30T19:30:00"/>
    <x v="2"/>
    <s v="March"/>
    <s v="American Legion Drive, 200 Block"/>
    <s v="282 American Legion Drive"/>
    <x v="0"/>
    <s v="Burglary - Auto"/>
    <s v=""/>
    <s v=""/>
    <s v="282 American Legion Drive, Hackensack, NJ, 07601"/>
    <s v="G3"/>
    <n v="7"/>
    <s v="On March 10, 2025, P.O. small and I responded to 282 American Legion Drive for a burglary to auto report. Upon our arrival, we met with the complainant, Luis Cela. He is Juan Cela-Saula's brother (Victim). The complainant stated the victim responded to his vehicle this morning and observed the interior of his vehicle in complete disarray while attempting to leave for work. After exiting his parking spot, the victim then changed his mind and contacted the complainant to file a report on his behalf because he had to go to work. The complainant had to park the vehicle in another spot on American Legion Drive because the vehicle was moved by the victim prior to his departure.      The complainant stated the victim parked his vehicle bearing NJ/K46PXJ on American Legion Drive on 03/9/2025 at approximately 1930 hours and noticed the vehicle was burglarized at 0830 hours today. The victim stated approximately $250.00 dollars in miscellaneous tools were missing from the vehicle. We did not observe any visible damage or forced entry to the doors' exterior. The victim believes he locked his vehicle when he parked it. Detective Sgt. Williams was notified. Sgt. Ghirardi and Sgt. Donnerstag responded.      The victim does not want the vehicle to be processed. The victim would like to sign complaints if the suspect is identified. A New Jersey Victim Notification Form was completed and provided to the victim.     State of New Jersey Insurance, policy number LCP699-4257-606 and insurance code 258."/>
    <m/>
    <m/>
    <s v="K46PXJ"/>
    <s v="HYN"/>
    <s v="TIB"/>
    <s v="NJ"/>
    <m/>
    <m/>
    <m/>
    <m/>
    <s v="Klosk_J"/>
    <s v="P.O. Peter Voorhis 380"/>
    <s v="B1"/>
    <m/>
    <m/>
    <m/>
    <n v="2025"/>
    <n v="11"/>
    <n v="3"/>
    <n v="9"/>
    <n v="68"/>
    <d v="2025-03-09T19:30:00"/>
    <n v="282"/>
    <s v="On March 10, 2025, P.O. small and I responded to 282 American Legion Drive for a burglary to auto report. Upon our arrival, we met with the complainant, Luis Cela. He is Juan Cela-Saula's brother (Victim). The complainant stated the victim responded to his vehicle this morning and observed the interior of his vehicle in complete disarray while attempting to leave for work. After exiting his parking spot, the victim then changed his mind and contacted the complainant to file a report on his behalf because he had to go to work. The complainant had to park the vehicle in another spot on American Legion Drive because the vehicle was moved by the victim prior to his departure.      The complainant stated the victim parked his vehicle bearing NJ/K46PXJ on American Legion Drive on 03/9/2025 at approximately 1930 hours and noticed the vehicle was burglarized at 0830 hours today. The victim stated approximately $250.00 dollars in miscellaneous tools were missing from the vehicle. We did not observe any visible damage or forced entry to the doors' exterior. The victim believes he locked his vehicle when he parked it. Detective Sgt. Williams was notified. Sgt. Ghirardi and Sgt. Donnerstag responded.      The victim does not want the vehicle to be processed. The victim would like to sign complaints if the suspect is identified. A New Jersey Victim Notification Form was completed and provided to the victim.     State of New Jersey Insurance, policy number LCP699-4257-606 and insurance code 258."/>
    <s v="Vehicle 1: NJ-K46PXJ HYN, TIB"/>
    <s v="suspect is identified"/>
    <s v="$250.00 dollars in miscellaneous tools were missing from the vehicle. We did not observe any visible damage or forced entry to the doors' exterior"/>
    <s v="C03W10"/>
  </r>
  <r>
    <s v="25-019245"/>
    <x v="5"/>
    <x v="1"/>
    <d v="1899-12-30T19:00:00"/>
    <d v="1899-12-30T19:30:00"/>
    <x v="2"/>
    <s v="March"/>
    <s v="American Legion Drive, 200 Block"/>
    <s v="282 American Legion Drive"/>
    <x v="0"/>
    <s v="Burglary - Auto"/>
    <s v=""/>
    <s v=""/>
    <s v="282 American Legion Drive, Hackensack, NJ, 07601"/>
    <s v="G3"/>
    <n v="7"/>
    <s v="On March 10, 2025, P.O. small and I responded to 282 American Legion Drive for a burglary to auto report. Upon our arrival, we met with the complainant, Luis Cela. He is Juan Cela-Saula's brother (Victim). The complainant stated the victim responded to his vehicle this morning and observed the interior of his vehicle in complete disarray while attempting to leave for work. After exiting his parking spot, the victim then changed his mind and contacted the complainant to file a report on his behalf because he had to go to work. The complainant had to park the vehicle in another spot on American Legion Drive because the vehicle was moved by the victim prior to his departure.      The complainant stated the victim parked his vehicle bearing NJ/K46PXJ on American Legion Drive on 03/9/2025 at approximately 1930 hours and noticed the vehicle was burglarized at 0830 hours today. The victim stated approximately $250.00 dollars in miscellaneous tools were missing from the vehicle. We did not observe any visible damage or forced entry to the doors' exterior. The victim believes he locked his vehicle when he parked it. Detective Sgt. Williams was notified. Sgt. Ghirardi and Sgt. Donnerstag responded.      The victim does not want the vehicle to be processed. The victim would like to sign complaints if the suspect is identified. A New Jersey Victim Notification Form was completed and provided to the victim.     State of New Jersey Insurance, policy number LCP699-4257-606 and insurance code 258."/>
    <m/>
    <m/>
    <s v="K46PXJ"/>
    <s v="HYN"/>
    <s v="TIB"/>
    <s v="NJ"/>
    <m/>
    <m/>
    <m/>
    <m/>
    <s v="Klosk_J"/>
    <s v="P.O. Peter Voorhis 380"/>
    <s v="B1"/>
    <s v="Det. Demetrius Carroll 133"/>
    <s v="Active/Administratively Closed"/>
    <s v="23F = Theft From Motor Vehicle"/>
    <n v="2025"/>
    <n v="11"/>
    <n v="3"/>
    <n v="9"/>
    <n v="68"/>
    <d v="2025-03-09T19:30:00"/>
    <n v="282"/>
    <s v="On March 10, 2025, P.O. small and I responded to 282 American Legion Drive for a burglary to auto report. Upon our arrival, we met with the complainant, Luis Cela. He is Juan Cela-Saula's brother (Victim). The complainant stated the victim responded to his vehicle this morning and observed the interior of his vehicle in complete disarray while attempting to leave for work. After exiting his parking spot, the victim then changed his mind and contacted the complainant to file a report on his behalf because he had to go to work. The complainant had to park the vehicle in another spot on American Legion Drive because the vehicle was moved by the victim prior to his departure.      The complainant stated the victim parked his vehicle bearing NJ/K46PXJ on American Legion Drive on 03/9/2025 at approximately 1930 hours and noticed the vehicle was burglarized at 0830 hours today. The victim stated approximately $250.00 dollars in miscellaneous tools were missing from the vehicle. We did not observe any visible damage or forced entry to the doors' exterior. The victim believes he locked his vehicle when he parked it. Detective Sgt. Williams was notified. Sgt. Ghirardi and Sgt. Donnerstag responded.      The victim does not want the vehicle to be processed. The victim would like to sign complaints if the suspect is identified. A New Jersey Victim Notification Form was completed and provided to the victim.     State of New Jersey Insurance, policy number LCP699-4257-606 and insurance code 258."/>
    <s v="Vehicle 1: NJ-K46PXJ HYN, TIB"/>
    <s v="suspect is identified"/>
    <s v="$250.00 dollars in miscellaneous tools were missing from the vehicle. We did not observe any visible damage or forced entry to the doors' exterior"/>
    <s v="C03W10"/>
  </r>
  <r>
    <s v="25-019245"/>
    <x v="5"/>
    <x v="1"/>
    <d v="1899-12-30T19:00:00"/>
    <d v="1899-12-30T19:30:00"/>
    <x v="2"/>
    <s v="March"/>
    <s v="American Legion Drive, 200 Block"/>
    <s v="282 American Legion Drive"/>
    <x v="0"/>
    <s v="Burglary - Auto"/>
    <s v=""/>
    <s v=""/>
    <s v="282 American Legion Drive, Hackensack, NJ, 07601"/>
    <s v="G3"/>
    <n v="7"/>
    <s v="On March 10, 2025, P.O. small and I responded to 282 American Legion Drive for a burglary to auto report. Upon our arrival, we met with the complainant, Luis Cela. He is Juan Cela-Saula's brother (Victim). The complainant stated the victim responded to his vehicle this morning and observed the interior of his vehicle in complete disarray while attempting to leave for work. After exiting his parking spot, the victim then changed his mind and contacted the complainant to file a report on his behalf because he had to go to work. The complainant had to park the vehicle in another spot on American Legion Drive because the vehicle was moved by the victim prior to his departure.      The complainant stated the victim parked his vehicle bearing NJ/K46PXJ on American Legion Drive on 03/9/2025 at approximately 1930 hours and noticed the vehicle was burglarized at 0830 hours today. The victim stated approximately $250.00 dollars in miscellaneous tools were missing from the vehicle. We did not observe any visible damage or forced entry to the doors' exterior. The victim believes he locked his vehicle when he parked it. Detective Sgt. Williams was notified. Sgt. Ghirardi and Sgt. Donnerstag responded.      The victim does not want the vehicle to be processed. The victim would like to sign complaints if the suspect is identified. A New Jersey Victim Notification Form was completed and provided to the victim.     State of New Jersey Insurance, policy number LCP699-4257-606 and insurance code 258."/>
    <m/>
    <m/>
    <s v="K46PXJ"/>
    <s v="HYN"/>
    <s v="TIB"/>
    <s v="NJ"/>
    <m/>
    <m/>
    <m/>
    <m/>
    <s v="Klosk_J"/>
    <s v="P.O. Peter Voorhis 380"/>
    <s v="B1"/>
    <s v="Det. Demetrius Carroll 133"/>
    <s v="Active/Administratively Closed"/>
    <s v="23F = Theft From Motor Vehicle"/>
    <n v="2025"/>
    <n v="11"/>
    <n v="3"/>
    <n v="9"/>
    <n v="68"/>
    <d v="2025-03-09T19:30:00"/>
    <n v="282"/>
    <s v="On March 10, 2025, P.O. small and I responded to 282 American Legion Drive for a burglary to auto report. Upon our arrival, we met with the complainant, Luis Cela. He is Juan Cela-Saula's brother (Victim). The complainant stated the victim responded to his vehicle this morning and observed the interior of his vehicle in complete disarray while attempting to leave for work. After exiting his parking spot, the victim then changed his mind and contacted the complainant to file a report on his behalf because he had to go to work. The complainant had to park the vehicle in another spot on American Legion Drive because the vehicle was moved by the victim prior to his departure.      The complainant stated the victim parked his vehicle bearing NJ/K46PXJ on American Legion Drive on 03/9/2025 at approximately 1930 hours and noticed the vehicle was burglarized at 0830 hours today. The victim stated approximately $250.00 dollars in miscellaneous tools were missing from the vehicle. We did not observe any visible damage or forced entry to the doors' exterior. The victim believes he locked his vehicle when he parked it. Detective Sgt. Williams was notified. Sgt. Ghirardi and Sgt. Donnerstag responded.      The victim does not want the vehicle to be processed. The victim would like to sign complaints if the suspect is identified. A New Jersey Victim Notification Form was completed and provided to the victim.     State of New Jersey Insurance, policy number LCP699-4257-606 and insurance code 258."/>
    <s v="Vehicle 1: NJ-K46PXJ HYN, TIB"/>
    <s v="suspect is identified"/>
    <s v="$250.00 dollars in miscellaneous tools were missing from the vehicle. We did not observe any visible damage or forced entry to the doors' exterior"/>
    <s v="C03W10"/>
  </r>
  <r>
    <s v="25-019245"/>
    <x v="5"/>
    <x v="1"/>
    <d v="1899-12-30T19:00:00"/>
    <d v="1899-12-30T19:30:00"/>
    <x v="2"/>
    <s v="March"/>
    <s v="American Legion Drive, 200 Block"/>
    <s v="282 American Legion Drive"/>
    <x v="0"/>
    <s v="Burglary - Auto"/>
    <s v=""/>
    <s v=""/>
    <s v="282 American Legion Drive, Hackensack, NJ, 07601"/>
    <s v="G3"/>
    <n v="7"/>
    <s v="On March 10, 2025, P.O. small and I responded to 282 American Legion Drive for a burglary to auto report. Upon our arrival, we met with the complainant, Luis Cela. He is Juan Cela-Saula's brother (Victim). The complainant stated the victim responded to his vehicle this morning and observed the interior of his vehicle in complete disarray while attempting to leave for work. After exiting his parking spot, the victim then changed his mind and contacted the complainant to file a report on his behalf because he had to go to work. The complainant had to park the vehicle in another spot on American Legion Drive because the vehicle was moved by the victim prior to his departure.      The complainant stated the victim parked his vehicle bearing NJ/K46PXJ on American Legion Drive on 03/9/2025 at approximately 1930 hours and noticed the vehicle was burglarized at 0830 hours today. The victim stated approximately $250.00 dollars in miscellaneous tools were missing from the vehicle. We did not observe any visible damage or forced entry to the doors' exterior. The victim believes he locked his vehicle when he parked it. Detective Sgt. Williams was notified. Sgt. Ghirardi and Sgt. Donnerstag responded.      The victim does not want the vehicle to be processed. The victim would like to sign complaints if the suspect is identified. A New Jersey Victim Notification Form was completed and provided to the victim.     State of New Jersey Insurance, policy number LCP699-4257-606 and insurance code 258."/>
    <m/>
    <m/>
    <s v="K46PXJ"/>
    <s v="HYN"/>
    <s v="TIB"/>
    <s v="NJ"/>
    <m/>
    <m/>
    <m/>
    <m/>
    <s v="Klosk_J"/>
    <s v="P.O. Peter Voorhis 380"/>
    <s v="B1"/>
    <s v="Det. Demetrius Carroll 133"/>
    <s v="Active Investigation"/>
    <m/>
    <n v="2025"/>
    <n v="11"/>
    <n v="3"/>
    <n v="9"/>
    <n v="68"/>
    <d v="2025-03-09T19:30:00"/>
    <n v="282"/>
    <s v="On March 10, 2025, P.O. small and I responded to 282 American Legion Drive for a burglary to auto report. Upon our arrival, we met with the complainant, Luis Cela. He is Juan Cela-Saula's brother (Victim). The complainant stated the victim responded to his vehicle this morning and observed the interior of his vehicle in complete disarray while attempting to leave for work. After exiting his parking spot, the victim then changed his mind and contacted the complainant to file a report on his behalf because he had to go to work. The complainant had to park the vehicle in another spot on American Legion Drive because the vehicle was moved by the victim prior to his departure.      The complainant stated the victim parked his vehicle bearing NJ/K46PXJ on American Legion Drive on 03/9/2025 at approximately 1930 hours and noticed the vehicle was burglarized at 0830 hours today. The victim stated approximately $250.00 dollars in miscellaneous tools were missing from the vehicle. We did not observe any visible damage or forced entry to the doors' exterior. The victim believes he locked his vehicle when he parked it. Detective Sgt. Williams was notified. Sgt. Ghirardi and Sgt. Donnerstag responded.      The victim does not want the vehicle to be processed. The victim would like to sign complaints if the suspect is identified. A New Jersey Victim Notification Form was completed and provided to the victim.     State of New Jersey Insurance, policy number LCP699-4257-606 and insurance code 258."/>
    <s v="Vehicle 1: NJ-K46PXJ HYN, TIB"/>
    <s v="suspect is identified"/>
    <s v="$250.00 dollars in miscellaneous tools were missing from the vehicle. We did not observe any visible damage or forced entry to the doors' exterior"/>
    <s v="C03W10"/>
  </r>
  <r>
    <s v="25-019245"/>
    <x v="5"/>
    <x v="1"/>
    <d v="1899-12-30T19:00:00"/>
    <d v="1899-12-30T19:30:00"/>
    <x v="2"/>
    <s v="March"/>
    <s v="American Legion Drive, 200 Block"/>
    <s v="282 American Legion Drive"/>
    <x v="0"/>
    <s v="Burglary - Auto"/>
    <s v=""/>
    <s v=""/>
    <s v="282 American Legion Drive, Hackensack, NJ, 07601"/>
    <s v="G3"/>
    <n v="7"/>
    <s v="On March 10, 2025, P.O. small and I responded to 282 American Legion Drive for a burglary to auto report. Upon our arrival, we met with the complainant, Luis Cela. He is Juan Cela-Saula's brother (Victim). The complainant stated the victim responded to his vehicle this morning and observed the interior of his vehicle in complete disarray while attempting to leave for work. After exiting his parking spot, the victim then changed his mind and contacted the complainant to file a report on his behalf because he had to go to work. The complainant had to park the vehicle in another spot on American Legion Drive because the vehicle was moved by the victim prior to his departure.      The complainant stated the victim parked his vehicle bearing NJ/K46PXJ on American Legion Drive on 03/9/2025 at approximately 1930 hours and noticed the vehicle was burglarized at 0830 hours today. The victim stated approximately $250.00 dollars in miscellaneous tools were missing from the vehicle. We did not observe any visible damage or forced entry to the doors' exterior. The victim believes he locked his vehicle when he parked it. Detective Sgt. Williams was notified. Sgt. Ghirardi and Sgt. Donnerstag responded.      The victim does not want the vehicle to be processed. The victim would like to sign complaints if the suspect is identified. A New Jersey Victim Notification Form was completed and provided to the victim.     State of New Jersey Insurance, policy number LCP699-4257-606 and insurance code 258."/>
    <m/>
    <m/>
    <s v="K46PXJ"/>
    <s v="HYN"/>
    <s v="TIB"/>
    <s v="NJ"/>
    <m/>
    <m/>
    <m/>
    <m/>
    <s v="Klosk_J"/>
    <s v="P.O. Peter Voorhis 380"/>
    <s v="B1"/>
    <s v="Det. Demetrius Carroll 133"/>
    <s v="Active/Administratively Closed"/>
    <s v="23F = Theft From Motor Vehicle"/>
    <n v="2025"/>
    <n v="11"/>
    <n v="3"/>
    <n v="9"/>
    <n v="68"/>
    <d v="2025-03-09T19:30:00"/>
    <n v="282"/>
    <s v="On March 10, 2025, P.O. small and I responded to 282 American Legion Drive for a burglary to auto report. Upon our arrival, we met with the complainant, Luis Cela. He is Juan Cela-Saula's brother (Victim). The complainant stated the victim responded to his vehicle this morning and observed the interior of his vehicle in complete disarray while attempting to leave for work. After exiting his parking spot, the victim then changed his mind and contacted the complainant to file a report on his behalf because he had to go to work. The complainant had to park the vehicle in another spot on American Legion Drive because the vehicle was moved by the victim prior to his departure.      The complainant stated the victim parked his vehicle bearing NJ/K46PXJ on American Legion Drive on 03/9/2025 at approximately 1930 hours and noticed the vehicle was burglarized at 0830 hours today. The victim stated approximately $250.00 dollars in miscellaneous tools were missing from the vehicle. We did not observe any visible damage or forced entry to the doors' exterior. The victim believes he locked his vehicle when he parked it. Detective Sgt. Williams was notified. Sgt. Ghirardi and Sgt. Donnerstag responded.      The victim does not want the vehicle to be processed. The victim would like to sign complaints if the suspect is identified. A New Jersey Victim Notification Form was completed and provided to the victim.     State of New Jersey Insurance, policy number LCP699-4257-606 and insurance code 258."/>
    <s v="Vehicle 1: NJ-K46PXJ HYN, TIB"/>
    <s v="suspect is identified"/>
    <s v="$250.00 dollars in miscellaneous tools were missing from the vehicle. We did not observe any visible damage or forced entry to the doors' exterior"/>
    <s v="C03W10"/>
  </r>
  <r>
    <s v="25-019245"/>
    <x v="5"/>
    <x v="1"/>
    <d v="1899-12-30T19:00:00"/>
    <d v="1899-12-30T19:30:00"/>
    <x v="2"/>
    <s v="March"/>
    <s v="American Legion Drive, 200 Block"/>
    <s v="282 American Legion Drive"/>
    <x v="0"/>
    <s v="Burglary - Auto"/>
    <s v=""/>
    <s v=""/>
    <s v="282 American Legion Drive, Hackensack, NJ, 07601"/>
    <s v="G3"/>
    <n v="7"/>
    <s v="On March 10, 2025, P.O. small and I responded to 282 American Legion Drive for a burglary to auto report. Upon our arrival, we met with the complainant, Luis Cela. He is Juan Cela-Saula's brother (Victim). The complainant stated the victim responded to his vehicle this morning and observed the interior of his vehicle in complete disarray while attempting to leave for work. After exiting his parking spot, the victim then changed his mind and contacted the complainant to file a report on his behalf because he had to go to work. The complainant had to park the vehicle in another spot on American Legion Drive because the vehicle was moved by the victim prior to his departure.      The complainant stated the victim parked his vehicle bearing NJ/K46PXJ on American Legion Drive on 03/9/2025 at approximately 1930 hours and noticed the vehicle was burglarized at 0830 hours today. The victim stated approximately $250.00 dollars in miscellaneous tools were missing from the vehicle. We did not observe any visible damage or forced entry to the doors' exterior. The victim believes he locked his vehicle when he parked it. Detective Sgt. Williams was notified. Sgt. Ghirardi and Sgt. Donnerstag responded.      The victim does not want the vehicle to be processed. The victim would like to sign complaints if the suspect is identified. A New Jersey Victim Notification Form was completed and provided to the victim.     State of New Jersey Insurance, policy number LCP699-4257-606 and insurance code 258."/>
    <m/>
    <m/>
    <s v="K46PXJ"/>
    <s v="HYN"/>
    <s v="TIB"/>
    <s v="NJ"/>
    <m/>
    <m/>
    <m/>
    <m/>
    <s v="Klosk_J"/>
    <s v="P.O. Peter Voorhis 380"/>
    <s v="B1"/>
    <s v="Det. Demetrius Carroll 133"/>
    <s v="Active/Administratively Closed"/>
    <s v="23F = Theft From Motor Vehicle"/>
    <n v="2025"/>
    <n v="11"/>
    <n v="3"/>
    <n v="9"/>
    <n v="68"/>
    <d v="2025-03-09T19:30:00"/>
    <n v="282"/>
    <s v="On March 10, 2025, P.O. small and I responded to 282 American Legion Drive for a burglary to auto report. Upon our arrival, we met with the complainant, Luis Cela. He is Juan Cela-Saula's brother (Victim). The complainant stated the victim responded to his vehicle this morning and observed the interior of his vehicle in complete disarray while attempting to leave for work. After exiting his parking spot, the victim then changed his mind and contacted the complainant to file a report on his behalf because he had to go to work. The complainant had to park the vehicle in another spot on American Legion Drive because the vehicle was moved by the victim prior to his departure.      The complainant stated the victim parked his vehicle bearing NJ/K46PXJ on American Legion Drive on 03/9/2025 at approximately 1930 hours and noticed the vehicle was burglarized at 0830 hours today. The victim stated approximately $250.00 dollars in miscellaneous tools were missing from the vehicle. We did not observe any visible damage or forced entry to the doors' exterior. The victim believes he locked his vehicle when he parked it. Detective Sgt. Williams was notified. Sgt. Ghirardi and Sgt. Donnerstag responded.      The victim does not want the vehicle to be processed. The victim would like to sign complaints if the suspect is identified. A New Jersey Victim Notification Form was completed and provided to the victim.     State of New Jersey Insurance, policy number LCP699-4257-606 and insurance code 258."/>
    <s v="Vehicle 1: NJ-K46PXJ HYN, TIB"/>
    <s v="suspect is identified"/>
    <s v="$250.00 dollars in miscellaneous tools were missing from the vehicle. We did not observe any visible damage or forced entry to the doors' exterior"/>
    <s v="C03W10"/>
  </r>
  <r>
    <s v="25-019245"/>
    <x v="5"/>
    <x v="1"/>
    <d v="1899-12-30T19:00:00"/>
    <d v="1899-12-30T19:30:00"/>
    <x v="2"/>
    <s v="March"/>
    <s v="American Legion Drive, 200 Block"/>
    <s v="282 American Legion Drive"/>
    <x v="0"/>
    <s v="Burglary - Auto"/>
    <s v=""/>
    <s v=""/>
    <s v="282 American Legion Drive, Hackensack, NJ, 07601"/>
    <s v="G3"/>
    <n v="7"/>
    <s v="On March 10, 2025, P.O. small and I responded to 282 American Legion Drive for a burglary to auto report. Upon our arrival, we met with the complainant, Luis Cela. He is Juan Cela-Saula's brother (Victim). The complainant stated the victim responded to his vehicle this morning and observed the interior of his vehicle in complete disarray while attempting to leave for work. After exiting his parking spot, the victim then changed his mind and contacted the complainant to file a report on his behalf because he had to go to work. The complainant had to park the vehicle in another spot on American Legion Drive because the vehicle was moved by the victim prior to his departure.      The complainant stated the victim parked his vehicle bearing NJ/K46PXJ on American Legion Drive on 03/9/2025 at approximately 1930 hours and noticed the vehicle was burglarized at 0830 hours today. The victim stated approximately $250.00 dollars in miscellaneous tools were missing from the vehicle. We did not observe any visible damage or forced entry to the doors' exterior. The victim believes he locked his vehicle when he parked it. Detective Sgt. Williams was notified. Sgt. Ghirardi and Sgt. Donnerstag responded.      The victim does not want the vehicle to be processed. The victim would like to sign complaints if the suspect is identified. A New Jersey Victim Notification Form was completed and provided to the victim.     State of New Jersey Insurance, policy number LCP699-4257-606 and insurance code 258."/>
    <m/>
    <m/>
    <s v="K46PXJ"/>
    <s v="HYN"/>
    <s v="TIB"/>
    <s v="NJ"/>
    <m/>
    <m/>
    <m/>
    <m/>
    <s v="Klosk_J"/>
    <s v="P.O. Peter Voorhis 380"/>
    <s v="B1"/>
    <s v="Det. Demetrius Carroll 133"/>
    <s v="Active/Administratively Closed"/>
    <s v="23F = Theft From Motor Vehicle"/>
    <n v="2025"/>
    <n v="11"/>
    <n v="3"/>
    <n v="9"/>
    <n v="68"/>
    <d v="2025-03-09T19:30:00"/>
    <n v="282"/>
    <s v="On March 10, 2025, P.O. small and I responded to 282 American Legion Drive for a burglary to auto report. Upon our arrival, we met with the complainant, Luis Cela. He is Juan Cela-Saula's brother (Victim). The complainant stated the victim responded to his vehicle this morning and observed the interior of his vehicle in complete disarray while attempting to leave for work. After exiting his parking spot, the victim then changed his mind and contacted the complainant to file a report on his behalf because he had to go to work. The complainant had to park the vehicle in another spot on American Legion Drive because the vehicle was moved by the victim prior to his departure.      The complainant stated the victim parked his vehicle bearing NJ/K46PXJ on American Legion Drive on 03/9/2025 at approximately 1930 hours and noticed the vehicle was burglarized at 0830 hours today. The victim stated approximately $250.00 dollars in miscellaneous tools were missing from the vehicle. We did not observe any visible damage or forced entry to the doors' exterior. The victim believes he locked his vehicle when he parked it. Detective Sgt. Williams was notified. Sgt. Ghirardi and Sgt. Donnerstag responded.      The victim does not want the vehicle to be processed. The victim would like to sign complaints if the suspect is identified. A New Jersey Victim Notification Form was completed and provided to the victim.     State of New Jersey Insurance, policy number LCP699-4257-606 and insurance code 258."/>
    <s v="Vehicle 1: NJ-K46PXJ HYN, TIB"/>
    <s v="suspect is identified"/>
    <s v="$250.00 dollars in miscellaneous tools were missing from the vehicle. We did not observe any visible damage or forced entry to the doors' exterior"/>
    <s v="C03W10"/>
  </r>
  <r>
    <s v="25-019245"/>
    <x v="5"/>
    <x v="1"/>
    <d v="1899-12-30T19:00:00"/>
    <d v="1899-12-30T19:30:00"/>
    <x v="2"/>
    <s v="March"/>
    <s v="American Legion Drive, 200 Block"/>
    <s v="282 American Legion Drive"/>
    <x v="0"/>
    <s v="Burglary - Auto"/>
    <s v=""/>
    <s v=""/>
    <s v="282 American Legion Drive, Hackensack, NJ, 07601"/>
    <s v="G3"/>
    <n v="7"/>
    <s v="On March 10, 2025, P.O. small and I responded to 282 American Legion Drive for a burglary to auto report. Upon our arrival, we met with the complainant, Luis Cela. He is Juan Cela-Saula's brother (Victim). The complainant stated the victim responded to his vehicle this morning and observed the interior of his vehicle in complete disarray while attempting to leave for work. After exiting his parking spot, the victim then changed his mind and contacted the complainant to file a report on his behalf because he had to go to work. The complainant had to park the vehicle in another spot on American Legion Drive because the vehicle was moved by the victim prior to his departure.      The complainant stated the victim parked his vehicle bearing NJ/K46PXJ on American Legion Drive on 03/9/2025 at approximately 1930 hours and noticed the vehicle was burglarized at 0830 hours today. The victim stated approximately $250.00 dollars in miscellaneous tools were missing from the vehicle. We did not observe any visible damage or forced entry to the doors' exterior. The victim believes he locked his vehicle when he parked it. Detective Sgt. Williams was notified. Sgt. Ghirardi and Sgt. Donnerstag responded.      The victim does not want the vehicle to be processed. The victim would like to sign complaints if the suspect is identified. A New Jersey Victim Notification Form was completed and provided to the victim.     State of New Jersey Insurance, policy number LCP699-4257-606 and insurance code 258."/>
    <m/>
    <m/>
    <s v="K46PXJ"/>
    <s v="HYN"/>
    <s v="TIB"/>
    <s v="NJ"/>
    <m/>
    <m/>
    <m/>
    <m/>
    <s v="Klosk_J"/>
    <s v="P.O. Peter Voorhis 380"/>
    <s v="B1"/>
    <s v="Det. Demetrius Carroll 133"/>
    <s v="Active/Administratively Closed"/>
    <s v="23F = Theft From Motor Vehicle"/>
    <n v="2025"/>
    <n v="11"/>
    <n v="3"/>
    <n v="9"/>
    <n v="68"/>
    <d v="2025-03-09T19:30:00"/>
    <n v="282"/>
    <s v="On March 10, 2025, P.O. small and I responded to 282 American Legion Drive for a burglary to auto report. Upon our arrival, we met with the complainant, Luis Cela. He is Juan Cela-Saula's brother (Victim). The complainant stated the victim responded to his vehicle this morning and observed the interior of his vehicle in complete disarray while attempting to leave for work. After exiting his parking spot, the victim then changed his mind and contacted the complainant to file a report on his behalf because he had to go to work. The complainant had to park the vehicle in another spot on American Legion Drive because the vehicle was moved by the victim prior to his departure.      The complainant stated the victim parked his vehicle bearing NJ/K46PXJ on American Legion Drive on 03/9/2025 at approximately 1930 hours and noticed the vehicle was burglarized at 0830 hours today. The victim stated approximately $250.00 dollars in miscellaneous tools were missing from the vehicle. We did not observe any visible damage or forced entry to the doors' exterior. The victim believes he locked his vehicle when he parked it. Detective Sgt. Williams was notified. Sgt. Ghirardi and Sgt. Donnerstag responded.      The victim does not want the vehicle to be processed. The victim would like to sign complaints if the suspect is identified. A New Jersey Victim Notification Form was completed and provided to the victim.     State of New Jersey Insurance, policy number LCP699-4257-606 and insurance code 258."/>
    <s v="Vehicle 1: NJ-K46PXJ HYN, TIB"/>
    <s v="suspect is identified"/>
    <s v="$250.00 dollars in miscellaneous tools were missing from the vehicle. We did not observe any visible damage or forced entry to the doors' exterior"/>
    <s v="C03W10"/>
  </r>
  <r>
    <s v="25-019245"/>
    <x v="5"/>
    <x v="1"/>
    <d v="1899-12-30T19:00:00"/>
    <d v="1899-12-30T19:30:00"/>
    <x v="2"/>
    <s v="March"/>
    <s v="American Legion Drive, 200 Block"/>
    <s v="282 American Legion Drive"/>
    <x v="0"/>
    <s v="Burglary - Auto"/>
    <s v=""/>
    <s v=""/>
    <s v="282 American Legion Drive, Hackensack, NJ, 07601"/>
    <s v="G3"/>
    <n v="7"/>
    <s v="On March 10, 2025, P.O. small and I responded to 282 American Legion Drive for a burglary to auto report. Upon our arrival, we met with the complainant, Luis Cela. He is Juan Cela-Saula's brother (Victim). The complainant stated the victim responded to his vehicle this morning and observed the interior of his vehicle in complete disarray while attempting to leave for work. After exiting his parking spot, the victim then changed his mind and contacted the complainant to file a report on his behalf because he had to go to work. The complainant had to park the vehicle in another spot on American Legion Drive because the vehicle was moved by the victim prior to his departure.      The complainant stated the victim parked his vehicle bearing NJ/K46PXJ on American Legion Drive on 03/9/2025 at approximately 1930 hours and noticed the vehicle was burglarized at 0830 hours today. The victim stated approximately $250.00 dollars in miscellaneous tools were missing from the vehicle. We did not observe any visible damage or forced entry to the doors' exterior. The victim believes he locked his vehicle when he parked it. Detective Sgt. Williams was notified. Sgt. Ghirardi and Sgt. Donnerstag responded.      The victim does not want the vehicle to be processed. The victim would like to sign complaints if the suspect is identified. A New Jersey Victim Notification Form was completed and provided to the victim.     State of New Jersey Insurance, policy number LCP699-4257-606 and insurance code 258."/>
    <m/>
    <m/>
    <s v="K46PXJ"/>
    <s v="HYN"/>
    <s v="TIB"/>
    <s v="NJ"/>
    <m/>
    <m/>
    <m/>
    <m/>
    <s v="Klosk_J"/>
    <s v="P.O. Peter Voorhis 380"/>
    <s v="B1"/>
    <s v="Det. Demetrius Carroll 133"/>
    <s v="Active/Administratively Closed"/>
    <s v="23F = Theft From Motor Vehicle"/>
    <n v="2025"/>
    <n v="11"/>
    <n v="3"/>
    <n v="9"/>
    <n v="68"/>
    <d v="2025-03-09T19:30:00"/>
    <n v="282"/>
    <s v="On March 10, 2025, P.O. small and I responded to 282 American Legion Drive for a burglary to auto report. Upon our arrival, we met with the complainant, Luis Cela. He is Juan Cela-Saula's brother (Victim). The complainant stated the victim responded to his vehicle this morning and observed the interior of his vehicle in complete disarray while attempting to leave for work. After exiting his parking spot, the victim then changed his mind and contacted the complainant to file a report on his behalf because he had to go to work. The complainant had to park the vehicle in another spot on American Legion Drive because the vehicle was moved by the victim prior to his departure.      The complainant stated the victim parked his vehicle bearing NJ/K46PXJ on American Legion Drive on 03/9/2025 at approximately 1930 hours and noticed the vehicle was burglarized at 0830 hours today. The victim stated approximately $250.00 dollars in miscellaneous tools were missing from the vehicle. We did not observe any visible damage or forced entry to the doors' exterior. The victim believes he locked his vehicle when he parked it. Detective Sgt. Williams was notified. Sgt. Ghirardi and Sgt. Donnerstag responded.      The victim does not want the vehicle to be processed. The victim would like to sign complaints if the suspect is identified. A New Jersey Victim Notification Form was completed and provided to the victim.     State of New Jersey Insurance, policy number LCP699-4257-606 and insurance code 258."/>
    <s v="Vehicle 1: NJ-K46PXJ HYN, TIB"/>
    <s v="suspect is identified"/>
    <s v="$250.00 dollars in miscellaneous tools were missing from the vehicle. We did not observe any visible damage or forced entry to the doors' exterior"/>
    <s v="C03W10"/>
  </r>
  <r>
    <s v="25-019245"/>
    <x v="5"/>
    <x v="1"/>
    <d v="1899-12-30T19:00:00"/>
    <d v="1899-12-30T19:30:00"/>
    <x v="2"/>
    <s v="March"/>
    <s v="American Legion Drive, 200 Block"/>
    <s v="282 American Legion Drive"/>
    <x v="0"/>
    <s v="Burglary - Auto"/>
    <s v=""/>
    <s v=""/>
    <s v="282 American Legion Drive, Hackensack, NJ, 07601"/>
    <s v="G3"/>
    <n v="7"/>
    <s v="On March 10, 2025, P.O. small and I responded to 282 American Legion Drive for a burglary to auto report. Upon our arrival, we met with the complainant, Luis Cela. He is Juan Cela-Saula's brother (Victim). The complainant stated the victim responded to his vehicle this morning and observed the interior of his vehicle in complete disarray while attempting to leave for work. After exiting his parking spot, the victim then changed his mind and contacted the complainant to file a report on his behalf because he had to go to work. The complainant had to park the vehicle in another spot on American Legion Drive because the vehicle was moved by the victim prior to his departure.      The complainant stated the victim parked his vehicle bearing NJ/K46PXJ on American Legion Drive on 03/9/2025 at approximately 1930 hours and noticed the vehicle was burglarized at 0830 hours today. The victim stated approximately $250.00 dollars in miscellaneous tools were missing from the vehicle. We did not observe any visible damage or forced entry to the doors' exterior. The victim believes he locked his vehicle when he parked it. Detective Sgt. Williams was notified. Sgt. Ghirardi and Sgt. Donnerstag responded.      The victim does not want the vehicle to be processed. The victim would like to sign complaints if the suspect is identified. A New Jersey Victim Notification Form was completed and provided to the victim.     State of New Jersey Insurance, policy number LCP699-4257-606 and insurance code 258."/>
    <m/>
    <m/>
    <s v="K46PXJ"/>
    <s v="HYN"/>
    <s v="TIB"/>
    <s v="NJ"/>
    <m/>
    <m/>
    <m/>
    <m/>
    <s v="Klosk_J"/>
    <s v="P.O. Peter Voorhis 380"/>
    <s v="B1"/>
    <s v="Det. Demetrius Carroll 133"/>
    <s v="Active/Administratively Closed"/>
    <s v="23F = Theft From Motor Vehicle"/>
    <n v="2025"/>
    <n v="11"/>
    <n v="3"/>
    <n v="9"/>
    <n v="68"/>
    <d v="2025-03-09T19:30:00"/>
    <n v="282"/>
    <s v="On March 10, 2025, P.O. small and I responded to 282 American Legion Drive for a burglary to auto report. Upon our arrival, we met with the complainant, Luis Cela. He is Juan Cela-Saula's brother (Victim). The complainant stated the victim responded to his vehicle this morning and observed the interior of his vehicle in complete disarray while attempting to leave for work. After exiting his parking spot, the victim then changed his mind and contacted the complainant to file a report on his behalf because he had to go to work. The complainant had to park the vehicle in another spot on American Legion Drive because the vehicle was moved by the victim prior to his departure.      The complainant stated the victim parked his vehicle bearing NJ/K46PXJ on American Legion Drive on 03/9/2025 at approximately 1930 hours and noticed the vehicle was burglarized at 0830 hours today. The victim stated approximately $250.00 dollars in miscellaneous tools were missing from the vehicle. We did not observe any visible damage or forced entry to the doors' exterior. The victim believes he locked his vehicle when he parked it. Detective Sgt. Williams was notified. Sgt. Ghirardi and Sgt. Donnerstag responded.      The victim does not want the vehicle to be processed. The victim would like to sign complaints if the suspect is identified. A New Jersey Victim Notification Form was completed and provided to the victim.     State of New Jersey Insurance, policy number LCP699-4257-606 and insurance code 258."/>
    <s v="Vehicle 1: NJ-K46PXJ HYN, TIB"/>
    <s v="suspect is identified"/>
    <s v="$250.00 dollars in miscellaneous tools were missing from the vehicle. We did not observe any visible damage or forced entry to the doors' exterior"/>
    <s v="C03W10"/>
  </r>
  <r>
    <s v="25-019756"/>
    <x v="6"/>
    <x v="0"/>
    <d v="1899-12-30T14:00:00"/>
    <d v="1899-12-30T14:30:00"/>
    <x v="4"/>
    <s v="March"/>
    <s v="Anderson St, 100 Block"/>
    <s v="123 Anderson Street"/>
    <x v="0"/>
    <s v="Burglary - Auto"/>
    <s v=""/>
    <s v=""/>
    <s v="123 Anderson Street, Hackensack, NJ, 07601"/>
    <s v="H3"/>
    <n v="8"/>
    <s v="***Spanish Speaking Only***      On March 11, 2025, at approximately 1430 hours the complainant responded to Hackensack Police Department Headquarters to report a burglary from auto. The complainant reported that he parked his vehicle bearing NJ-K87VEF in the parking lot of 123 Anderson Street facing East (in front of the railroad tracks) at approximately 13:30 hours. He reported that he did not lock the door prior to leaving. The complainant reported that at approximately 14:30 hours he responded back to his vehicle and noticed that his wallet (yellow leather) was missing, along with $200.00 dollars. He reported that he left his wallet with the $200.00 in the middle console which was visible to any passerby.        Due to the victim reporting that he contaminated the area/vehicle, he was not offered to have his vehicle to be fingerprinted by BCI. The victim reported there was no damage or forced entry to his vehicle. The New Jersey Victim Notification Form was completed and a copy was provided to the victim. He was advised on how to obtain a new drivers license. He was advised on how to sign complaints against the suspects should they be identified."/>
    <m/>
    <m/>
    <s v="K87VEF"/>
    <s v="SUBARU"/>
    <s v="TRI"/>
    <s v="NJ"/>
    <m/>
    <m/>
    <m/>
    <m/>
    <s v="Bay_F"/>
    <s v="P.O. Denisse Caero 367"/>
    <s v="B2"/>
    <s v="Det. Gunther Lara-Nunez 351"/>
    <s v="Active/Administratively Closed"/>
    <s v="23F = Theft From Motor Vehicle"/>
    <n v="2025"/>
    <n v="11"/>
    <n v="3"/>
    <n v="11"/>
    <n v="70"/>
    <d v="2025-03-11T14:30:00"/>
    <n v="123"/>
    <s v="***Spanish Speaking Only***      On March 11, 2025, at approximately 1430 hours the complainant responded to Hackensack Police Department Headquarters to report a burglary from auto. The complainant reported that he parked his vehicle bearing NJ-K87VEF in the parking lot of 123 Anderson Street facing East (in front of the railroad tracks) at approximately 13:30 hours. He reported that he did not lock the door prior to leaving. The complainant reported that at approximately 14:30 hours he responded back to his vehicle and noticed that his wallet (yellow leather) was missing, along with $200.00 dollars. He reported that he left his wallet with the $200.00 in the middle console which was visible to any passerby.        Due to the victim reporting that he contaminated the area/vehicle, he was not offered to have his vehicle to be fingerprinted by BCI. The victim reported there was no damage or forced entry to his vehicle. The New Jersey Victim Notification Form was completed and a copy was provided to the victim. He was advised on how to obtain a new drivers license. He was advised on how to sign complaints against the suspects should they be identified."/>
    <s v="Vehicle 1: NJ-K87VEF SUBARU, TRI"/>
    <s v="suspects should they be identified"/>
    <s v="$200.00 dollars. He reported that he left his wallet with the  $200.00 in the middle console which was visible to any passerby.        Due to the victim reporting that he contaminated the area/vehicle, he was not offered to have his vehicle to be fingerprinted by BCI"/>
    <s v="C03W11"/>
  </r>
  <r>
    <s v="25-019756"/>
    <x v="6"/>
    <x v="0"/>
    <d v="1899-12-30T14:00:00"/>
    <d v="1899-12-30T14:30:00"/>
    <x v="4"/>
    <s v="March"/>
    <s v="Anderson St, 100 Block"/>
    <s v="123 Anderson Street"/>
    <x v="0"/>
    <s v="Burglary - Auto"/>
    <s v=""/>
    <s v=""/>
    <s v="123 Anderson Street, Hackensack, NJ, 07601"/>
    <s v="H3"/>
    <n v="8"/>
    <s v="***Spanish Speaking Only***      On March 11, 2025, at approximately 1430 hours the complainant responded to Hackensack Police Department Headquarters to report a burglary from auto. The complainant reported that he parked his vehicle bearing NJ-K87VEF in the parking lot of 123 Anderson Street facing East (in front of the railroad tracks) at approximately 13:30 hours. He reported that he did not lock the door prior to leaving. The complainant reported that at approximately 14:30 hours he responded back to his vehicle and noticed that his wallet (yellow leather) was missing, along with $200.00 dollars. He reported that he left his wallet with the $200.00 in the middle console which was visible to any passerby.        Due to the victim reporting that he contaminated the area/vehicle, he was not offered to have his vehicle to be fingerprinted by BCI. The victim reported there was no damage or forced entry to his vehicle. The New Jersey Victim Notification Form was completed and a copy was provided to the victim. He was advised on how to obtain a new drivers license. He was advised on how to sign complaints against the suspects should they be identified."/>
    <m/>
    <m/>
    <s v="K87VEF"/>
    <s v="SUBARU"/>
    <s v="TRI"/>
    <s v="NJ"/>
    <m/>
    <m/>
    <m/>
    <m/>
    <s v="Bay_F"/>
    <s v="P.O. Denisse Caero 367"/>
    <s v="B2"/>
    <s v="Det. Gunther Lara-Nunez 351"/>
    <s v="Active/Administratively Closed"/>
    <s v="23F = Theft From Motor Vehicle"/>
    <n v="2025"/>
    <n v="11"/>
    <n v="3"/>
    <n v="11"/>
    <n v="70"/>
    <d v="2025-03-11T14:30:00"/>
    <n v="123"/>
    <s v="***Spanish Speaking Only***      On March 11, 2025, at approximately 1430 hours the complainant responded to Hackensack Police Department Headquarters to report a burglary from auto. The complainant reported that he parked his vehicle bearing NJ-K87VEF in the parking lot of 123 Anderson Street facing East (in front of the railroad tracks) at approximately 13:30 hours. He reported that he did not lock the door prior to leaving. The complainant reported that at approximately 14:30 hours he responded back to his vehicle and noticed that his wallet (yellow leather) was missing, along with $200.00 dollars. He reported that he left his wallet with the $200.00 in the middle console which was visible to any passerby.        Due to the victim reporting that he contaminated the area/vehicle, he was not offered to have his vehicle to be fingerprinted by BCI. The victim reported there was no damage or forced entry to his vehicle. The New Jersey Victim Notification Form was completed and a copy was provided to the victim. He was advised on how to obtain a new drivers license. He was advised on how to sign complaints against the suspects should they be identified."/>
    <s v="Vehicle 1: NJ-K87VEF SUBARU, TRI"/>
    <s v="suspects should they be identified"/>
    <s v="$200.00 dollars. He reported that he left his wallet with the  $200.00 in the middle console which was visible to any passerby.        Due to the victim reporting that he contaminated the area/vehicle, he was not offered to have his vehicle to be fingerprinted by BCI"/>
    <s v="C03W11"/>
  </r>
  <r>
    <s v="25-019756"/>
    <x v="6"/>
    <x v="0"/>
    <d v="1899-12-30T14:00:00"/>
    <d v="1899-12-30T14:30:00"/>
    <x v="4"/>
    <s v="March"/>
    <s v="Anderson St, 100 Block"/>
    <s v="123 Anderson Street"/>
    <x v="0"/>
    <s v="Burglary - Auto"/>
    <s v=""/>
    <s v=""/>
    <s v="123 Anderson Street, Hackensack, NJ, 07601"/>
    <s v="H3"/>
    <n v="8"/>
    <s v="***Spanish Speaking Only***      On March 11, 2025, at approximately 1430 hours the complainant responded to Hackensack Police Department Headquarters to report a burglary from auto. The complainant reported that he parked his vehicle bearing NJ-K87VEF in the parking lot of 123 Anderson Street facing East (in front of the railroad tracks) at approximately 13:30 hours. He reported that he did not lock the door prior to leaving. The complainant reported that at approximately 14:30 hours he responded back to his vehicle and noticed that his wallet (yellow leather) was missing, along with $200.00 dollars. He reported that he left his wallet with the $200.00 in the middle console which was visible to any passerby.        Due to the victim reporting that he contaminated the area/vehicle, he was not offered to have his vehicle to be fingerprinted by BCI. The victim reported there was no damage or forced entry to his vehicle. The New Jersey Victim Notification Form was completed and a copy was provided to the victim. He was advised on how to obtain a new drivers license. He was advised on how to sign complaints against the suspects should they be identified."/>
    <m/>
    <m/>
    <s v="K87VEF"/>
    <s v="SUBARU"/>
    <s v="TRI"/>
    <s v="NJ"/>
    <m/>
    <m/>
    <m/>
    <m/>
    <s v="Bay_F"/>
    <s v="P.O. Denisse Caero 367"/>
    <s v="B2"/>
    <s v="Det. Gunther Lara-Nunez 351"/>
    <s v="Active/Administratively Closed"/>
    <s v="23F = Theft From Motor Vehicle"/>
    <n v="2025"/>
    <n v="11"/>
    <n v="3"/>
    <n v="11"/>
    <n v="70"/>
    <d v="2025-03-11T14:30:00"/>
    <n v="123"/>
    <s v="***Spanish Speaking Only***      On March 11, 2025, at approximately 1430 hours the complainant responded to Hackensack Police Department Headquarters to report a burglary from auto. The complainant reported that he parked his vehicle bearing NJ-K87VEF in the parking lot of 123 Anderson Street facing East (in front of the railroad tracks) at approximately 13:30 hours. He reported that he did not lock the door prior to leaving. The complainant reported that at approximately 14:30 hours he responded back to his vehicle and noticed that his wallet (yellow leather) was missing, along with $200.00 dollars. He reported that he left his wallet with the $200.00 in the middle console which was visible to any passerby.        Due to the victim reporting that he contaminated the area/vehicle, he was not offered to have his vehicle to be fingerprinted by BCI. The victim reported there was no damage or forced entry to his vehicle. The New Jersey Victim Notification Form was completed and a copy was provided to the victim. He was advised on how to obtain a new drivers license. He was advised on how to sign complaints against the suspects should they be identified."/>
    <s v="Vehicle 1: NJ-K87VEF SUBARU, TRI"/>
    <s v="suspects should they be identified"/>
    <s v="$200.00 dollars. He reported that he left his wallet with the  $200.00 in the middle console which was visible to any passerby.        Due to the victim reporting that he contaminated the area/vehicle, he was not offered to have his vehicle to be fingerprinted by BCI"/>
    <s v="C03W11"/>
  </r>
  <r>
    <s v="25-019756"/>
    <x v="6"/>
    <x v="0"/>
    <d v="1899-12-30T14:00:00"/>
    <d v="1899-12-30T14:30:00"/>
    <x v="4"/>
    <s v="March"/>
    <s v="Anderson St, 100 Block"/>
    <s v="123 Anderson Street"/>
    <x v="0"/>
    <s v="Burglary - Auto"/>
    <s v=""/>
    <s v=""/>
    <s v="123 Anderson Street, Hackensack, NJ, 07601"/>
    <s v="H3"/>
    <n v="8"/>
    <s v="***Spanish Speaking Only***      On March 11, 2025, at approximately 1430 hours the complainant responded to Hackensack Police Department Headquarters to report a burglary from auto. The complainant reported that he parked his vehicle bearing NJ-K87VEF in the parking lot of 123 Anderson Street facing East (in front of the railroad tracks) at approximately 13:30 hours. He reported that he did not lock the door prior to leaving. The complainant reported that at approximately 14:30 hours he responded back to his vehicle and noticed that his wallet (yellow leather) was missing, along with $200.00 dollars. He reported that he left his wallet with the $200.00 in the middle console which was visible to any passerby.        Due to the victim reporting that he contaminated the area/vehicle, he was not offered to have his vehicle to be fingerprinted by BCI. The victim reported there was no damage or forced entry to his vehicle. The New Jersey Victim Notification Form was completed and a copy was provided to the victim. He was advised on how to obtain a new drivers license. He was advised on how to sign complaints against the suspects should they be identified."/>
    <m/>
    <m/>
    <s v="K87VEF"/>
    <s v="SUBARU"/>
    <s v="TRI"/>
    <s v="NJ"/>
    <m/>
    <m/>
    <m/>
    <m/>
    <s v="Bay_F"/>
    <s v="P.O. Denisse Caero 367"/>
    <s v="B2"/>
    <s v="Det. Gunther Lara-Nunez 351"/>
    <s v="Active/Administratively Closed"/>
    <s v="23F = Theft From Motor Vehicle"/>
    <n v="2025"/>
    <n v="11"/>
    <n v="3"/>
    <n v="11"/>
    <n v="70"/>
    <d v="2025-03-11T14:30:00"/>
    <n v="123"/>
    <s v="***Spanish Speaking Only***      On March 11, 2025, at approximately 1430 hours the complainant responded to Hackensack Police Department Headquarters to report a burglary from auto. The complainant reported that he parked his vehicle bearing NJ-K87VEF in the parking lot of 123 Anderson Street facing East (in front of the railroad tracks) at approximately 13:30 hours. He reported that he did not lock the door prior to leaving. The complainant reported that at approximately 14:30 hours he responded back to his vehicle and noticed that his wallet (yellow leather) was missing, along with $200.00 dollars. He reported that he left his wallet with the $200.00 in the middle console which was visible to any passerby.        Due to the victim reporting that he contaminated the area/vehicle, he was not offered to have his vehicle to be fingerprinted by BCI. The victim reported there was no damage or forced entry to his vehicle. The New Jersey Victim Notification Form was completed and a copy was provided to the victim. He was advised on how to obtain a new drivers license. He was advised on how to sign complaints against the suspects should they be identified."/>
    <s v="Vehicle 1: NJ-K87VEF SUBARU, TRI"/>
    <s v="suspects should they be identified"/>
    <s v="$200.00 dollars. He reported that he left his wallet with the  $200.00 in the middle console which was visible to any passerby.        Due to the victim reporting that he contaminated the area/vehicle, he was not offered to have his vehicle to be fingerprinted by BCI"/>
    <s v="C03W11"/>
  </r>
  <r>
    <s v="25-019756"/>
    <x v="6"/>
    <x v="0"/>
    <d v="1899-12-30T14:00:00"/>
    <d v="1899-12-30T14:30:00"/>
    <x v="4"/>
    <s v="March"/>
    <s v="Anderson St, 100 Block"/>
    <s v="123 Anderson Street"/>
    <x v="0"/>
    <s v="Burglary - Auto"/>
    <s v=""/>
    <s v=""/>
    <s v="123 Anderson Street, Hackensack, NJ, 07601"/>
    <s v="H3"/>
    <n v="8"/>
    <s v="***Spanish Speaking Only***      On March 11, 2025, at approximately 1430 hours the complainant responded to Hackensack Police Department Headquarters to report a burglary from auto. The complainant reported that he parked his vehicle bearing NJ-K87VEF in the parking lot of 123 Anderson Street facing East (in front of the railroad tracks) at approximately 13:30 hours. He reported that he did not lock the door prior to leaving. The complainant reported that at approximately 14:30 hours he responded back to his vehicle and noticed that his wallet (yellow leather) was missing, along with $200.00 dollars. He reported that he left his wallet with the $200.00 in the middle console which was visible to any passerby.        Due to the victim reporting that he contaminated the area/vehicle, he was not offered to have his vehicle to be fingerprinted by BCI. The victim reported there was no damage or forced entry to his vehicle. The New Jersey Victim Notification Form was completed and a copy was provided to the victim. He was advised on how to obtain a new drivers license. He was advised on how to sign complaints against the suspects should they be identified."/>
    <m/>
    <m/>
    <s v="K87VEF"/>
    <s v="SUBARU"/>
    <s v="TRI"/>
    <s v="NJ"/>
    <m/>
    <m/>
    <m/>
    <m/>
    <s v="Bay_F"/>
    <s v="P.O. Denisse Caero 367"/>
    <s v="B2"/>
    <s v="Det. Gunther Lara-Nunez 351"/>
    <s v="Active Investigation"/>
    <s v="23F = Theft From Motor Vehicle"/>
    <n v="2025"/>
    <n v="11"/>
    <n v="3"/>
    <n v="11"/>
    <n v="70"/>
    <d v="2025-03-11T14:30:00"/>
    <n v="123"/>
    <s v="***Spanish Speaking Only***      On March 11, 2025, at approximately 1430 hours the complainant responded to Hackensack Police Department Headquarters to report a burglary from auto. The complainant reported that he parked his vehicle bearing NJ-K87VEF in the parking lot of 123 Anderson Street facing East (in front of the railroad tracks) at approximately 13:30 hours. He reported that he did not lock the door prior to leaving. The complainant reported that at approximately 14:30 hours he responded back to his vehicle and noticed that his wallet (yellow leather) was missing, along with $200.00 dollars. He reported that he left his wallet with the $200.00 in the middle console which was visible to any passerby.        Due to the victim reporting that he contaminated the area/vehicle, he was not offered to have his vehicle to be fingerprinted by BCI. The victim reported there was no damage or forced entry to his vehicle. The New Jersey Victim Notification Form was completed and a copy was provided to the victim. He was advised on how to obtain a new drivers license. He was advised on how to sign complaints against the suspects should they be identified."/>
    <s v="Vehicle 1: NJ-K87VEF SUBARU, TRI"/>
    <s v="suspects should they be identified"/>
    <s v="$200.00 dollars. He reported that he left his wallet with the  $200.00 in the middle console which was visible to any passerby.        Due to the victim reporting that he contaminated the area/vehicle, he was not offered to have his vehicle to be fingerprinted by BCI"/>
    <s v="C03W11"/>
  </r>
  <r>
    <s v="25-019756"/>
    <x v="6"/>
    <x v="0"/>
    <d v="1899-12-30T14:00:00"/>
    <d v="1899-12-30T14:30:00"/>
    <x v="4"/>
    <s v="March"/>
    <s v="Anderson St, 100 Block"/>
    <s v="123 Anderson Street"/>
    <x v="0"/>
    <s v="Burglary - Auto"/>
    <s v=""/>
    <s v=""/>
    <s v="123 Anderson Street, Hackensack, NJ, 07601"/>
    <s v="H3"/>
    <n v="8"/>
    <s v="***Spanish Speaking Only***      On March 11, 2025, at approximately 1430 hours the complainant responded to Hackensack Police Department Headquarters to report a burglary from auto. The complainant reported that he parked his vehicle bearing NJ-K87VEF in the parking lot of 123 Anderson Street facing East (in front of the railroad tracks) at approximately 13:30 hours. He reported that he did not lock the door prior to leaving. The complainant reported that at approximately 14:30 hours he responded back to his vehicle and noticed that his wallet (yellow leather) was missing, along with $200.00 dollars. He reported that he left his wallet with the $200.00 in the middle console which was visible to any passerby.        Due to the victim reporting that he contaminated the area/vehicle, he was not offered to have his vehicle to be fingerprinted by BCI. The victim reported there was no damage or forced entry to his vehicle. The New Jersey Victim Notification Form was completed and a copy was provided to the victim. He was advised on how to obtain a new drivers license. He was advised on how to sign complaints against the suspects should they be identified."/>
    <m/>
    <m/>
    <s v="K87VEF"/>
    <s v="SUBARU"/>
    <s v="TRI"/>
    <s v="NJ"/>
    <m/>
    <m/>
    <m/>
    <m/>
    <s v="Bay_F"/>
    <s v="P.O. Denisse Caero 367"/>
    <s v="B2"/>
    <s v="Det. Gunther Lara-Nunez 351"/>
    <s v="Active/Administratively Closed"/>
    <s v="23F = Theft From Motor Vehicle"/>
    <n v="2025"/>
    <n v="11"/>
    <n v="3"/>
    <n v="11"/>
    <n v="70"/>
    <d v="2025-03-11T14:30:00"/>
    <n v="123"/>
    <s v="***Spanish Speaking Only***      On March 11, 2025, at approximately 1430 hours the complainant responded to Hackensack Police Department Headquarters to report a burglary from auto. The complainant reported that he parked his vehicle bearing NJ-K87VEF in the parking lot of 123 Anderson Street facing East (in front of the railroad tracks) at approximately 13:30 hours. He reported that he did not lock the door prior to leaving. The complainant reported that at approximately 14:30 hours he responded back to his vehicle and noticed that his wallet (yellow leather) was missing, along with $200.00 dollars. He reported that he left his wallet with the $200.00 in the middle console which was visible to any passerby.        Due to the victim reporting that he contaminated the area/vehicle, he was not offered to have his vehicle to be fingerprinted by BCI. The victim reported there was no damage or forced entry to his vehicle. The New Jersey Victim Notification Form was completed and a copy was provided to the victim. He was advised on how to obtain a new drivers license. He was advised on how to sign complaints against the suspects should they be identified."/>
    <s v="Vehicle 1: NJ-K87VEF SUBARU, TRI"/>
    <s v="suspects should they be identified"/>
    <s v="$200.00 dollars. He reported that he left his wallet with the  $200.00 in the middle console which was visible to any passerby.        Due to the victim reporting that he contaminated the area/vehicle, he was not offered to have his vehicle to be fingerprinted by BCI"/>
    <s v="C03W11"/>
  </r>
  <r>
    <s v="25-019756"/>
    <x v="6"/>
    <x v="0"/>
    <d v="1899-12-30T14:00:00"/>
    <d v="1899-12-30T14:30:00"/>
    <x v="4"/>
    <s v="March"/>
    <s v="Anderson St, 100 Block"/>
    <s v="123 Anderson Street"/>
    <x v="0"/>
    <s v="Burglary - Auto"/>
    <s v=""/>
    <s v=""/>
    <s v="123 Anderson Street, Hackensack, NJ, 07601"/>
    <s v="H3"/>
    <n v="8"/>
    <s v="***Spanish Speaking Only***      On March 11, 2025, at approximately 1430 hours the complainant responded to Hackensack Police Department Headquarters to report a burglary from auto. The complainant reported that he parked his vehicle bearing NJ-K87VEF in the parking lot of 123 Anderson Street facing East (in front of the railroad tracks) at approximately 13:30 hours. He reported that he did not lock the door prior to leaving. The complainant reported that at approximately 14:30 hours he responded back to his vehicle and noticed that his wallet (yellow leather) was missing, along with $200.00 dollars. He reported that he left his wallet with the $200.00 in the middle console which was visible to any passerby.        Due to the victim reporting that he contaminated the area/vehicle, he was not offered to have his vehicle to be fingerprinted by BCI. The victim reported there was no damage or forced entry to his vehicle. The New Jersey Victim Notification Form was completed and a copy was provided to the victim. He was advised on how to obtain a new drivers license. He was advised on how to sign complaints against the suspects should they be identified."/>
    <m/>
    <m/>
    <s v="K87VEF"/>
    <s v="SUBARU"/>
    <s v="TRI"/>
    <s v="NJ"/>
    <m/>
    <m/>
    <m/>
    <m/>
    <s v="Bay_F"/>
    <s v="P.O. Denisse Caero 367"/>
    <s v="B2"/>
    <s v="Det. Gunther Lara-Nunez 351"/>
    <s v="Active Investigation"/>
    <s v="23F = Theft From Motor Vehicle"/>
    <n v="2025"/>
    <n v="11"/>
    <n v="3"/>
    <n v="11"/>
    <n v="70"/>
    <d v="2025-03-11T14:30:00"/>
    <n v="123"/>
    <s v="***Spanish Speaking Only***      On March 11, 2025, at approximately 1430 hours the complainant responded to Hackensack Police Department Headquarters to report a burglary from auto. The complainant reported that he parked his vehicle bearing NJ-K87VEF in the parking lot of 123 Anderson Street facing East (in front of the railroad tracks) at approximately 13:30 hours. He reported that he did not lock the door prior to leaving. The complainant reported that at approximately 14:30 hours he responded back to his vehicle and noticed that his wallet (yellow leather) was missing, along with $200.00 dollars. He reported that he left his wallet with the $200.00 in the middle console which was visible to any passerby.        Due to the victim reporting that he contaminated the area/vehicle, he was not offered to have his vehicle to be fingerprinted by BCI. The victim reported there was no damage or forced entry to his vehicle. The New Jersey Victim Notification Form was completed and a copy was provided to the victim. He was advised on how to obtain a new drivers license. He was advised on how to sign complaints against the suspects should they be identified."/>
    <s v="Vehicle 1: NJ-K87VEF SUBARU, TRI"/>
    <s v="suspects should they be identified"/>
    <s v="$200.00 dollars. He reported that he left his wallet with the  $200.00 in the middle console which was visible to any passerby.        Due to the victim reporting that he contaminated the area/vehicle, he was not offered to have his vehicle to be fingerprinted by BCI"/>
    <s v="C03W11"/>
  </r>
  <r>
    <s v="25-019756"/>
    <x v="6"/>
    <x v="0"/>
    <d v="1899-12-30T14:00:00"/>
    <d v="1899-12-30T14:30:00"/>
    <x v="4"/>
    <s v="March"/>
    <s v="Anderson St, 100 Block"/>
    <s v="123 Anderson Street"/>
    <x v="0"/>
    <s v="Burglary - Auto"/>
    <s v=""/>
    <s v=""/>
    <s v="123 Anderson Street, Hackensack, NJ, 07601"/>
    <s v="H3"/>
    <n v="8"/>
    <s v="***Spanish Speaking Only***      On March 11, 2025, at approximately 1430 hours the complainant responded to Hackensack Police Department Headquarters to report a burglary from auto. The complainant reported that he parked his vehicle bearing NJ-K87VEF in the parking lot of 123 Anderson Street facing East (in front of the railroad tracks) at approximately 13:30 hours. He reported that he did not lock the door prior to leaving. The complainant reported that at approximately 14:30 hours he responded back to his vehicle and noticed that his wallet (yellow leather) was missing, along with $200.00 dollars. He reported that he left his wallet with the $200.00 in the middle console which was visible to any passerby.        Due to the victim reporting that he contaminated the area/vehicle, he was not offered to have his vehicle to be fingerprinted by BCI. The victim reported there was no damage or forced entry to his vehicle. The New Jersey Victim Notification Form was completed and a copy was provided to the victim. He was advised on how to obtain a new drivers license. He was advised on how to sign complaints against the suspects should they be identified."/>
    <m/>
    <m/>
    <s v="K87VEF"/>
    <s v="SUBARU"/>
    <s v="TRI"/>
    <s v="NJ"/>
    <m/>
    <m/>
    <m/>
    <m/>
    <s v="Bay_F"/>
    <s v="P.O. Denisse Caero 367"/>
    <s v="B2"/>
    <s v="Det. Gunther Lara-Nunez 351"/>
    <s v="Active/Administratively Closed"/>
    <s v="23F = Theft From Motor Vehicle"/>
    <n v="2025"/>
    <n v="11"/>
    <n v="3"/>
    <n v="11"/>
    <n v="70"/>
    <d v="2025-03-11T14:30:00"/>
    <n v="123"/>
    <s v="***Spanish Speaking Only***      On March 11, 2025, at approximately 1430 hours the complainant responded to Hackensack Police Department Headquarters to report a burglary from auto. The complainant reported that he parked his vehicle bearing NJ-K87VEF in the parking lot of 123 Anderson Street facing East (in front of the railroad tracks) at approximately 13:30 hours. He reported that he did not lock the door prior to leaving. The complainant reported that at approximately 14:30 hours he responded back to his vehicle and noticed that his wallet (yellow leather) was missing, along with $200.00 dollars. He reported that he left his wallet with the $200.00 in the middle console which was visible to any passerby.        Due to the victim reporting that he contaminated the area/vehicle, he was not offered to have his vehicle to be fingerprinted by BCI. The victim reported there was no damage or forced entry to his vehicle. The New Jersey Victim Notification Form was completed and a copy was provided to the victim. He was advised on how to obtain a new drivers license. He was advised on how to sign complaints against the suspects should they be identified."/>
    <s v="Vehicle 1: NJ-K87VEF SUBARU, TRI"/>
    <s v="suspects should they be identified"/>
    <s v="$200.00 dollars. He reported that he left his wallet with the  $200.00 in the middle console which was visible to any passerby.        Due to the victim reporting that he contaminated the area/vehicle, he was not offered to have his vehicle to be fingerprinted by BCI"/>
    <s v="C03W11"/>
  </r>
  <r>
    <s v="25-019756"/>
    <x v="6"/>
    <x v="0"/>
    <d v="1899-12-30T14:00:00"/>
    <d v="1899-12-30T14:30:00"/>
    <x v="4"/>
    <s v="March"/>
    <s v="Anderson St, 100 Block"/>
    <s v="123 Anderson Street"/>
    <x v="0"/>
    <s v="Burglary - Auto"/>
    <s v=""/>
    <s v=""/>
    <s v="123 Anderson Street, Hackensack, NJ, 07601"/>
    <s v="H3"/>
    <n v="8"/>
    <s v="***Spanish Speaking Only***      On March 11, 2025, at approximately 1430 hours the complainant responded to Hackensack Police Department Headquarters to report a burglary from auto. The complainant reported that he parked his vehicle bearing NJ-K87VEF in the parking lot of 123 Anderson Street facing East (in front of the railroad tracks) at approximately 13:30 hours. He reported that he did not lock the door prior to leaving. The complainant reported that at approximately 14:30 hours he responded back to his vehicle and noticed that his wallet (yellow leather) was missing, along with $200.00 dollars. He reported that he left his wallet with the $200.00 in the middle console which was visible to any passerby.        Due to the victim reporting that he contaminated the area/vehicle, he was not offered to have his vehicle to be fingerprinted by BCI. The victim reported there was no damage or forced entry to his vehicle. The New Jersey Victim Notification Form was completed and a copy was provided to the victim. He was advised on how to obtain a new drivers license. He was advised on how to sign complaints against the suspects should they be identified."/>
    <m/>
    <m/>
    <s v="K87VEF"/>
    <s v="SUBARU"/>
    <s v="TRI"/>
    <s v="NJ"/>
    <m/>
    <m/>
    <m/>
    <m/>
    <s v="Bay_F"/>
    <s v="P.O. Denisse Caero 367"/>
    <s v="B2"/>
    <s v="Det. Gunther Lara-Nunez 351"/>
    <s v="Active/Administratively Closed"/>
    <s v="23F = Theft From Motor Vehicle"/>
    <n v="2025"/>
    <n v="11"/>
    <n v="3"/>
    <n v="11"/>
    <n v="70"/>
    <d v="2025-03-11T14:30:00"/>
    <n v="123"/>
    <s v="***Spanish Speaking Only***      On March 11, 2025, at approximately 1430 hours the complainant responded to Hackensack Police Department Headquarters to report a burglary from auto. The complainant reported that he parked his vehicle bearing NJ-K87VEF in the parking lot of 123 Anderson Street facing East (in front of the railroad tracks) at approximately 13:30 hours. He reported that he did not lock the door prior to leaving. The complainant reported that at approximately 14:30 hours he responded back to his vehicle and noticed that his wallet (yellow leather) was missing, along with $200.00 dollars. He reported that he left his wallet with the $200.00 in the middle console which was visible to any passerby.        Due to the victim reporting that he contaminated the area/vehicle, he was not offered to have his vehicle to be fingerprinted by BCI. The victim reported there was no damage or forced entry to his vehicle. The New Jersey Victim Notification Form was completed and a copy was provided to the victim. He was advised on how to obtain a new drivers license. He was advised on how to sign complaints against the suspects should they be identified."/>
    <s v="Vehicle 1: NJ-K87VEF SUBARU, TRI"/>
    <s v="suspects should they be identified"/>
    <s v="$200.00 dollars. He reported that he left his wallet with the  $200.00 in the middle console which was visible to any passerby.        Due to the victim reporting that he contaminated the area/vehicle, he was not offered to have his vehicle to be fingerprinted by BCI"/>
    <s v="C03W11"/>
  </r>
  <r>
    <s v="25-019756"/>
    <x v="6"/>
    <x v="0"/>
    <d v="1899-12-30T14:00:00"/>
    <d v="1899-12-30T14:30:00"/>
    <x v="4"/>
    <s v="March"/>
    <s v="Anderson St, 100 Block"/>
    <s v="123 Anderson Street"/>
    <x v="0"/>
    <s v="Burglary - Auto"/>
    <s v=""/>
    <s v=""/>
    <s v="123 Anderson Street, Hackensack, NJ, 07601"/>
    <s v="H3"/>
    <n v="8"/>
    <s v="***Spanish Speaking Only***      On March 11, 2025, at approximately 1430 hours the complainant responded to Hackensack Police Department Headquarters to report a burglary from auto. The complainant reported that he parked his vehicle bearing NJ-K87VEF in the parking lot of 123 Anderson Street facing East (in front of the railroad tracks) at approximately 13:30 hours. He reported that he did not lock the door prior to leaving. The complainant reported that at approximately 14:30 hours he responded back to his vehicle and noticed that his wallet (yellow leather) was missing, along with $200.00 dollars. He reported that he left his wallet with the $200.00 in the middle console which was visible to any passerby.        Due to the victim reporting that he contaminated the area/vehicle, he was not offered to have his vehicle to be fingerprinted by BCI. The victim reported there was no damage or forced entry to his vehicle. The New Jersey Victim Notification Form was completed and a copy was provided to the victim. He was advised on how to obtain a new drivers license. He was advised on how to sign complaints against the suspects should they be identified."/>
    <m/>
    <m/>
    <s v="K87VEF"/>
    <s v="SUBARU"/>
    <s v="TRI"/>
    <s v="NJ"/>
    <m/>
    <m/>
    <m/>
    <m/>
    <s v="Bay_F"/>
    <s v="P.O. Denisse Caero 367"/>
    <s v="B2"/>
    <s v="Det. Gunther Lara-Nunez 351"/>
    <s v="Active/Administratively Closed"/>
    <s v="23F = Theft From Motor Vehicle"/>
    <n v="2025"/>
    <n v="11"/>
    <n v="3"/>
    <n v="11"/>
    <n v="70"/>
    <d v="2025-03-11T14:30:00"/>
    <n v="123"/>
    <s v="***Spanish Speaking Only***      On March 11, 2025, at approximately 1430 hours the complainant responded to Hackensack Police Department Headquarters to report a burglary from auto. The complainant reported that he parked his vehicle bearing NJ-K87VEF in the parking lot of 123 Anderson Street facing East (in front of the railroad tracks) at approximately 13:30 hours. He reported that he did not lock the door prior to leaving. The complainant reported that at approximately 14:30 hours he responded back to his vehicle and noticed that his wallet (yellow leather) was missing, along with $200.00 dollars. He reported that he left his wallet with the $200.00 in the middle console which was visible to any passerby.        Due to the victim reporting that he contaminated the area/vehicle, he was not offered to have his vehicle to be fingerprinted by BCI. The victim reported there was no damage or forced entry to his vehicle. The New Jersey Victim Notification Form was completed and a copy was provided to the victim. He was advised on how to obtain a new drivers license. He was advised on how to sign complaints against the suspects should they be identified."/>
    <s v="Vehicle 1: NJ-K87VEF SUBARU, TRI"/>
    <s v="suspects should they be identified"/>
    <s v="$200.00 dollars. He reported that he left his wallet with the  $200.00 in the middle console which was visible to any passerby.        Due to the victim reporting that he contaminated the area/vehicle, he was not offered to have his vehicle to be fingerprinted by BCI"/>
    <s v="C03W11"/>
  </r>
  <r>
    <s v="25-019756"/>
    <x v="6"/>
    <x v="0"/>
    <d v="1899-12-30T14:00:00"/>
    <d v="1899-12-30T14:30:00"/>
    <x v="4"/>
    <s v="March"/>
    <s v="Anderson St, 100 Block"/>
    <s v="123 Anderson Street"/>
    <x v="0"/>
    <s v="Burglary - Auto"/>
    <s v=""/>
    <s v=""/>
    <s v="123 Anderson Street, Hackensack, NJ, 07601"/>
    <s v="H3"/>
    <n v="8"/>
    <s v="***Spanish Speaking Only***      On March 11, 2025, at approximately 1430 hours the complainant responded to Hackensack Police Department Headquarters to report a burglary from auto. The complainant reported that he parked his vehicle bearing NJ-K87VEF in the parking lot of 123 Anderson Street facing East (in front of the railroad tracks) at approximately 13:30 hours. He reported that he did not lock the door prior to leaving. The complainant reported that at approximately 14:30 hours he responded back to his vehicle and noticed that his wallet (yellow leather) was missing, along with $200.00 dollars. He reported that he left his wallet with the $200.00 in the middle console which was visible to any passerby.        Due to the victim reporting that he contaminated the area/vehicle, he was not offered to have his vehicle to be fingerprinted by BCI. The victim reported there was no damage or forced entry to his vehicle. The New Jersey Victim Notification Form was completed and a copy was provided to the victim. He was advised on how to obtain a new drivers license. He was advised on how to sign complaints against the suspects should they be identified."/>
    <m/>
    <m/>
    <s v="K87VEF"/>
    <s v="SUBARU"/>
    <s v="TRI"/>
    <s v="NJ"/>
    <m/>
    <m/>
    <m/>
    <m/>
    <s v="Bay_F"/>
    <s v="P.O. Denisse Caero 367"/>
    <s v="B2"/>
    <s v="Det. Gunther Lara-Nunez 351"/>
    <s v="Active/Administratively Closed"/>
    <s v="23F = Theft From Motor Vehicle"/>
    <n v="2025"/>
    <n v="11"/>
    <n v="3"/>
    <n v="11"/>
    <n v="70"/>
    <d v="2025-03-11T14:30:00"/>
    <n v="123"/>
    <s v="***Spanish Speaking Only***      On March 11, 2025, at approximately 1430 hours the complainant responded to Hackensack Police Department Headquarters to report a burglary from auto. The complainant reported that he parked his vehicle bearing NJ-K87VEF in the parking lot of 123 Anderson Street facing East (in front of the railroad tracks) at approximately 13:30 hours. He reported that he did not lock the door prior to leaving. The complainant reported that at approximately 14:30 hours he responded back to his vehicle and noticed that his wallet (yellow leather) was missing, along with $200.00 dollars. He reported that he left his wallet with the $200.00 in the middle console which was visible to any passerby.        Due to the victim reporting that he contaminated the area/vehicle, he was not offered to have his vehicle to be fingerprinted by BCI. The victim reported there was no damage or forced entry to his vehicle. The New Jersey Victim Notification Form was completed and a copy was provided to the victim. He was advised on how to obtain a new drivers license. He was advised on how to sign complaints against the suspects should they be identified."/>
    <s v="Vehicle 1: NJ-K87VEF SUBARU, TRI"/>
    <s v="suspects should they be identified"/>
    <s v="$200.00 dollars. He reported that he left his wallet with the  $200.00 in the middle console which was visible to any passerby.        Due to the victim reporting that he contaminated the area/vehicle, he was not offered to have his vehicle to be fingerprinted by BCI"/>
    <s v="C03W11"/>
  </r>
  <r>
    <s v="25-019756"/>
    <x v="6"/>
    <x v="0"/>
    <d v="1899-12-30T14:00:00"/>
    <d v="1899-12-30T14:30:00"/>
    <x v="4"/>
    <s v="March"/>
    <s v="Anderson St, 100 Block"/>
    <s v="123 Anderson Street"/>
    <x v="0"/>
    <s v="Burglary - Auto"/>
    <s v=""/>
    <s v=""/>
    <s v="123 Anderson Street, Hackensack, NJ, 07601"/>
    <s v="H3"/>
    <n v="8"/>
    <s v="***Spanish Speaking Only***      On March 11, 2025, at approximately 1430 hours the complainant responded to Hackensack Police Department Headquarters to report a burglary from auto. The complainant reported that he parked his vehicle bearing NJ-K87VEF in the parking lot of 123 Anderson Street facing East (in front of the railroad tracks) at approximately 13:30 hours. He reported that he did not lock the door prior to leaving. The complainant reported that at approximately 14:30 hours he responded back to his vehicle and noticed that his wallet (yellow leather) was missing, along with $200.00 dollars. He reported that he left his wallet with the $200.00 in the middle console which was visible to any passerby.        Due to the victim reporting that he contaminated the area/vehicle, he was not offered to have his vehicle to be fingerprinted by BCI. The victim reported there was no damage or forced entry to his vehicle. The New Jersey Victim Notification Form was completed and a copy was provided to the victim. He was advised on how to obtain a new drivers license. He was advised on how to sign complaints against the suspects should they be identified."/>
    <m/>
    <m/>
    <s v="K87VEF"/>
    <s v="SUBARU"/>
    <s v="TRI"/>
    <s v="NJ"/>
    <m/>
    <m/>
    <m/>
    <m/>
    <s v="Bay_F"/>
    <s v="P.O. Denisse Caero 367"/>
    <s v="B2"/>
    <s v="Det. Gunther Lara-Nunez 351"/>
    <s v="Active/Administratively Closed"/>
    <s v="23F = Theft From Motor Vehicle"/>
    <n v="2025"/>
    <n v="11"/>
    <n v="3"/>
    <n v="11"/>
    <n v="70"/>
    <d v="2025-03-11T14:30:00"/>
    <n v="123"/>
    <s v="***Spanish Speaking Only***      On March 11, 2025, at approximately 1430 hours the complainant responded to Hackensack Police Department Headquarters to report a burglary from auto. The complainant reported that he parked his vehicle bearing NJ-K87VEF in the parking lot of 123 Anderson Street facing East (in front of the railroad tracks) at approximately 13:30 hours. He reported that he did not lock the door prior to leaving. The complainant reported that at approximately 14:30 hours he responded back to his vehicle and noticed that his wallet (yellow leather) was missing, along with $200.00 dollars. He reported that he left his wallet with the $200.00 in the middle console which was visible to any passerby.        Due to the victim reporting that he contaminated the area/vehicle, he was not offered to have his vehicle to be fingerprinted by BCI. The victim reported there was no damage or forced entry to his vehicle. The New Jersey Victim Notification Form was completed and a copy was provided to the victim. He was advised on how to obtain a new drivers license. He was advised on how to sign complaints against the suspects should they be identified."/>
    <s v="Vehicle 1: NJ-K87VEF SUBARU, TRI"/>
    <s v="suspects should they be identified"/>
    <s v="$200.00 dollars. He reported that he left his wallet with the  $200.00 in the middle console which was visible to any passerby.        Due to the victim reporting that he contaminated the area/vehicle, he was not offered to have his vehicle to be fingerprinted by BCI"/>
    <s v="C03W11"/>
  </r>
  <r>
    <s v="25-023424"/>
    <x v="7"/>
    <x v="3"/>
    <d v="1899-12-30T04:00:00"/>
    <d v="1899-12-30T04:10:00"/>
    <x v="2"/>
    <s v="March"/>
    <s v="Pulaski Pl, 0 Block"/>
    <s v="24 Pulaski Place"/>
    <x v="2"/>
    <s v="Burglary - Auto"/>
    <s v="Criminal Mischief - Vehicle"/>
    <s v=""/>
    <s v="24 Pulaski Place, Hackensack, NJ, 07601"/>
    <s v="E3"/>
    <n v="5"/>
    <s v="Suspect Vehicle Description: White 4-door SUV, possibly a Honda CRV or Toyota style SUV.      I responded to the listed location on a reported burglary from auto. Upon arrival, I spoke with the victim. He stated that, on 03/23/2025 at approximately 0415 hours, he had awoke to the sound of his vehicle alarm sounding. He further stated that when he looked outside, he observed the suspect vehicle parked next to his, facing west. The victim reported that upon seeing him, the suspect vehicle fled the scene, traveling west on Pulaski Place towards an unknown direction.   The victim stated that his vehicle had been broken into, as I observed the driver side door lock to be dislodged. He further stated that he had entered the vehicle via the driver side prior to my arrival and located a wrench in the driver seat that was not his. He reported that the suspect also damaged the steering wheel and ignition system to his vehicle.        Upon confirming that the victim did not want the vehicle processed, he entered his vehicle and verified that no items of his were missing. The victim reported that a cane, located in the console between the driver and passenger seats, was not his. The cane and wrench were then secured as evidence.        P.O. Rodriguez responded with the patrol camera on scene. I then took seven photos (placard included) of the scene. It should be noted that I secured the cane prior to P.O. Rodriguez's arrival on scene. The original position of the cane was captured on my body worn camera.        A search of the area for cameras yielded the following: 32 Pulaski Place, 29 Pulaski Place,18 Pulaski Place,17 Pulaski Place, and 15 Pulaski Place.       The victim stated that the approximate cost to repair his vehicle is $1,000.00.         A New Jersey Victim Notification Form was completed and provided to the victim. He was advised on how to obtain a copy of  this report.      The cane and wrench were secured in evidence locker number one.Insurance Info: 908340839Company Code: 135"/>
    <m/>
    <m/>
    <s v="M88KXU"/>
    <s v="FORD"/>
    <s v="ECO"/>
    <s v="NJ"/>
    <m/>
    <m/>
    <m/>
    <m/>
    <s v="Competiello_Fa"/>
    <s v="P.O. Micah Gibson 365"/>
    <s v="A3"/>
    <s v="Det. Demetrius Carroll 133"/>
    <s v="Active/Administratively Closed"/>
    <s v="23F = Theft From Motor Vehicle"/>
    <n v="2025"/>
    <n v="13"/>
    <n v="5"/>
    <n v="23"/>
    <n v="82"/>
    <d v="2025-03-23T04:10:00"/>
    <n v="24"/>
    <s v="Suspect Vehicle Description: White 4-door SUV, possibly a Honda CRV or Toyota style SUV.      I responded to the listed location on a reported burglary from auto. Upon arrival, I spoke with the victim. He stated that, on 03/23/2025 at approximately 0415 hours, he had awoke to the sound of his vehicle alarm sounding. He further stated that when he looked outside, he observed the suspect vehicle parked next to his, facing west. The victim reported that upon seeing him, the suspect vehicle fled the scene, traveling west on Pulaski Place towards an unknown direction.   The victim stated that his vehicle had been broken into, as I observed the driver side door lock to be dislodged. He further stated that he had entered the vehicle via the driver side prior to my arrival and located a wrench in the driver seat that was not his. He reported that the suspect also damaged the steering wheel and ignition system to his vehicle.        Upon confirming that the victim did not want the vehicle processed, he entered his vehicle and verified that no items of his were missing. The victim reported that a cane, located in the console between the driver and passenger seats, was not his. The cane and wrench were then secured as evidence.        P.O. Rodriguez responded with the patrol camera on scene. I then took seven photos (placard included) of the scene. It should be noted that I secured the cane prior to P.O. Rodriguez's arrival on scene. The original position of the cane was captured on my body worn camera.        A search of the area for cameras yielded the following: 32 Pulaski Place, 29 Pulaski Place,18 Pulaski Place,17 Pulaski Place, and 15 Pulaski Place.       The victim stated that the approximate cost to repair his vehicle is $1,000.00.         A New Jersey Victim Notification Form was completed and provided to the victim. He was advised on how to obtain a copy of  this report.      The cane and wrench were secured in evidence locker number one.Insurance Info: 908340839Company Code: 135"/>
    <s v="Vehicle 1: NJ-M88KXU FORD, ECO"/>
    <s v="suspect vehicle description: white 4-door suv, possibly a honda crv or toyota style suv suspect vehicle parked next to his, facing west suspect vehicle fled the scene, traveling west on pulaski place towards an unknown direction suspect also damaged the steering wheel and ignition system to his vehicle"/>
    <s v="$1,000.00.         A New Jersey Victim Notification Form was completed and provided to the victim"/>
    <s v="C03W12"/>
  </r>
  <r>
    <s v="25-023424"/>
    <x v="7"/>
    <x v="3"/>
    <d v="1899-12-30T04:00:00"/>
    <d v="1899-12-30T04:10:00"/>
    <x v="2"/>
    <s v="March"/>
    <s v="Pulaski Pl, 0 Block"/>
    <s v="24 Pulaski Place"/>
    <x v="2"/>
    <s v="Burglary - Auto"/>
    <s v="Criminal Mischief - Vehicle"/>
    <s v=""/>
    <s v="24 Pulaski Place, Hackensack, NJ, 07601"/>
    <s v="E3"/>
    <n v="5"/>
    <s v="Suspect Vehicle Description: White 4-door SUV, possibly a Honda CRV or Toyota style SUV.      I responded to the listed location on a reported burglary from auto. Upon arrival, I spoke with the victim. He stated that, on 03/23/2025 at approximately 0415 hours, he had awoke to the sound of his vehicle alarm sounding. He further stated that when he looked outside, he observed the suspect vehicle parked next to his, facing west. The victim reported that upon seeing him, the suspect vehicle fled the scene, traveling west on Pulaski Place towards an unknown direction.   The victim stated that his vehicle had been broken into, as I observed the driver side door lock to be dislodged. He further stated that he had entered the vehicle via the driver side prior to my arrival and located a wrench in the driver seat that was not his. He reported that the suspect also damaged the steering wheel and ignition system to his vehicle.        Upon confirming that the victim did not want the vehicle processed, he entered his vehicle and verified that no items of his were missing. The victim reported that a cane, located in the console between the driver and passenger seats, was not his. The cane and wrench were then secured as evidence.        P.O. Rodriguez responded with the patrol camera on scene. I then took seven photos (placard included) of the scene. It should be noted that I secured the cane prior to P.O. Rodriguez's arrival on scene. The original position of the cane was captured on my body worn camera.        A search of the area for cameras yielded the following: 32 Pulaski Place, 29 Pulaski Place,18 Pulaski Place,17 Pulaski Place, and 15 Pulaski Place.       The victim stated that the approximate cost to repair his vehicle is $1,000.00.         A New Jersey Victim Notification Form was completed and provided to the victim. He was advised on how to obtain a copy of  this report.      The cane and wrench were secured in evidence locker number one.Insurance Info: 908340839Company Code: 135"/>
    <m/>
    <m/>
    <s v="M88KXU"/>
    <s v="FORD"/>
    <s v="ECO"/>
    <s v="NJ"/>
    <m/>
    <m/>
    <m/>
    <m/>
    <s v="Competiello_Fa"/>
    <s v="P.O. Micah Gibson 365"/>
    <s v="A3"/>
    <s v="Det. Demetrius Carroll 133"/>
    <s v="Active/Administratively Closed"/>
    <s v="23F = Theft From Motor Vehicle"/>
    <n v="2025"/>
    <n v="13"/>
    <n v="5"/>
    <n v="23"/>
    <n v="82"/>
    <d v="2025-03-23T04:10:00"/>
    <n v="24"/>
    <s v="Suspect Vehicle Description: White 4-door SUV, possibly a Honda CRV or Toyota style SUV.      I responded to the listed location on a reported burglary from auto. Upon arrival, I spoke with the victim. He stated that, on 03/23/2025 at approximately 0415 hours, he had awoke to the sound of his vehicle alarm sounding. He further stated that when he looked outside, he observed the suspect vehicle parked next to his, facing west. The victim reported that upon seeing him, the suspect vehicle fled the scene, traveling west on Pulaski Place towards an unknown direction.   The victim stated that his vehicle had been broken into, as I observed the driver side door lock to be dislodged. He further stated that he had entered the vehicle via the driver side prior to my arrival and located a wrench in the driver seat that was not his. He reported that the suspect also damaged the steering wheel and ignition system to his vehicle.        Upon confirming that the victim did not want the vehicle processed, he entered his vehicle and verified that no items of his were missing. The victim reported that a cane, located in the console between the driver and passenger seats, was not his. The cane and wrench were then secured as evidence.        P.O. Rodriguez responded with the patrol camera on scene. I then took seven photos (placard included) of the scene. It should be noted that I secured the cane prior to P.O. Rodriguez's arrival on scene. The original position of the cane was captured on my body worn camera.        A search of the area for cameras yielded the following: 32 Pulaski Place, 29 Pulaski Place,18 Pulaski Place,17 Pulaski Place, and 15 Pulaski Place.       The victim stated that the approximate cost to repair his vehicle is $1,000.00.         A New Jersey Victim Notification Form was completed and provided to the victim. He was advised on how to obtain a copy of  this report.      The cane and wrench were secured in evidence locker number one.Insurance Info: 908340839Company Code: 135"/>
    <s v="Vehicle 1: NJ-M88KXU FORD, ECO"/>
    <s v="suspect vehicle description: white 4-door suv, possibly a honda crv or toyota style suv suspect vehicle parked next to his, facing west suspect vehicle fled the scene, traveling west on pulaski place towards an unknown direction suspect also damaged the steering wheel and ignition system to his vehicle"/>
    <s v="$1,000.00.         A New Jersey Victim Notification Form was completed and provided to the victim"/>
    <s v="C03W12"/>
  </r>
  <r>
    <s v="25-023424"/>
    <x v="7"/>
    <x v="3"/>
    <d v="1899-12-30T04:00:00"/>
    <d v="1899-12-30T04:10:00"/>
    <x v="2"/>
    <s v="March"/>
    <s v="Pulaski Pl, 0 Block"/>
    <s v="24 Pulaski Place"/>
    <x v="2"/>
    <s v="Burglary - Auto"/>
    <s v="Criminal Mischief - Vehicle"/>
    <s v=""/>
    <s v="24 Pulaski Place, Hackensack, NJ, 07601"/>
    <s v="E3"/>
    <n v="5"/>
    <s v="Suspect Vehicle Description: White 4-door SUV, possibly a Honda CRV or Toyota style SUV.      I responded to the listed location on a reported burglary from auto. Upon arrival, I spoke with the victim. He stated that, on 03/23/2025 at approximately 0415 hours, he had awoke to the sound of his vehicle alarm sounding. He further stated that when he looked outside, he observed the suspect vehicle parked next to his, facing west. The victim reported that upon seeing him, the suspect vehicle fled the scene, traveling west on Pulaski Place towards an unknown direction.   The victim stated that his vehicle had been broken into, as I observed the driver side door lock to be dislodged. He further stated that he had entered the vehicle via the driver side prior to my arrival and located a wrench in the driver seat that was not his. He reported that the suspect also damaged the steering wheel and ignition system to his vehicle.        Upon confirming that the victim did not want the vehicle processed, he entered his vehicle and verified that no items of his were missing. The victim reported that a cane, located in the console between the driver and passenger seats, was not his. The cane and wrench were then secured as evidence.        P.O. Rodriguez responded with the patrol camera on scene. I then took seven photos (placard included) of the scene. It should be noted that I secured the cane prior to P.O. Rodriguez's arrival on scene. The original position of the cane was captured on my body worn camera.        A search of the area for cameras yielded the following: 32 Pulaski Place, 29 Pulaski Place,18 Pulaski Place,17 Pulaski Place, and 15 Pulaski Place.       The victim stated that the approximate cost to repair his vehicle is $1,000.00.         A New Jersey Victim Notification Form was completed and provided to the victim. He was advised on how to obtain a copy of  this report.      The cane and wrench were secured in evidence locker number one.Insurance Info: 908340839Company Code: 135"/>
    <m/>
    <m/>
    <s v="M88KXU"/>
    <s v="FORD"/>
    <s v="ECO"/>
    <s v="NJ"/>
    <m/>
    <m/>
    <m/>
    <m/>
    <s v="Competiello_Fa"/>
    <s v="P.O. Micah Gibson 365"/>
    <s v="A3"/>
    <s v="Det. Demetrius Carroll 133"/>
    <s v="Active/Administratively Closed"/>
    <s v="23F = Theft From Motor Vehicle"/>
    <n v="2025"/>
    <n v="13"/>
    <n v="5"/>
    <n v="23"/>
    <n v="82"/>
    <d v="2025-03-23T04:10:00"/>
    <n v="24"/>
    <s v="Suspect Vehicle Description: White 4-door SUV, possibly a Honda CRV or Toyota style SUV.      I responded to the listed location on a reported burglary from auto. Upon arrival, I spoke with the victim. He stated that, on 03/23/2025 at approximately 0415 hours, he had awoke to the sound of his vehicle alarm sounding. He further stated that when he looked outside, he observed the suspect vehicle parked next to his, facing west. The victim reported that upon seeing him, the suspect vehicle fled the scene, traveling west on Pulaski Place towards an unknown direction.   The victim stated that his vehicle had been broken into, as I observed the driver side door lock to be dislodged. He further stated that he had entered the vehicle via the driver side prior to my arrival and located a wrench in the driver seat that was not his. He reported that the suspect also damaged the steering wheel and ignition system to his vehicle.        Upon confirming that the victim did not want the vehicle processed, he entered his vehicle and verified that no items of his were missing. The victim reported that a cane, located in the console between the driver and passenger seats, was not his. The cane and wrench were then secured as evidence.        P.O. Rodriguez responded with the patrol camera on scene. I then took seven photos (placard included) of the scene. It should be noted that I secured the cane prior to P.O. Rodriguez's arrival on scene. The original position of the cane was captured on my body worn camera.        A search of the area for cameras yielded the following: 32 Pulaski Place, 29 Pulaski Place,18 Pulaski Place,17 Pulaski Place, and 15 Pulaski Place.       The victim stated that the approximate cost to repair his vehicle is $1,000.00.         A New Jersey Victim Notification Form was completed and provided to the victim. He was advised on how to obtain a copy of  this report.      The cane and wrench were secured in evidence locker number one.Insurance Info: 908340839Company Code: 135"/>
    <s v="Vehicle 1: NJ-M88KXU FORD, ECO"/>
    <s v="suspect vehicle description: white 4-door suv, possibly a honda crv or toyota style suv suspect vehicle parked next to his, facing west suspect vehicle fled the scene, traveling west on pulaski place towards an unknown direction suspect also damaged the steering wheel and ignition system to his vehicle"/>
    <s v="$1,000.00.         A New Jersey Victim Notification Form was completed and provided to the victim"/>
    <s v="C03W12"/>
  </r>
  <r>
    <s v="25-023424"/>
    <x v="7"/>
    <x v="3"/>
    <d v="1899-12-30T04:00:00"/>
    <d v="1899-12-30T04:10:00"/>
    <x v="2"/>
    <s v="March"/>
    <s v="Pulaski Pl, 0 Block"/>
    <s v="24 Pulaski Place"/>
    <x v="2"/>
    <s v="Burglary - Auto"/>
    <s v="Criminal Mischief - Vehicle"/>
    <s v=""/>
    <s v="24 Pulaski Place, Hackensack, NJ, 07601"/>
    <s v="E3"/>
    <n v="5"/>
    <s v="Suspect Vehicle Description: White 4-door SUV, possibly a Honda CRV or Toyota style SUV.      I responded to the listed location on a reported burglary from auto. Upon arrival, I spoke with the victim. He stated that, on 03/23/2025 at approximately 0415 hours, he had awoke to the sound of his vehicle alarm sounding. He further stated that when he looked outside, he observed the suspect vehicle parked next to his, facing west. The victim reported that upon seeing him, the suspect vehicle fled the scene, traveling west on Pulaski Place towards an unknown direction.   The victim stated that his vehicle had been broken into, as I observed the driver side door lock to be dislodged. He further stated that he had entered the vehicle via the driver side prior to my arrival and located a wrench in the driver seat that was not his. He reported that the suspect also damaged the steering wheel and ignition system to his vehicle.        Upon confirming that the victim did not want the vehicle processed, he entered his vehicle and verified that no items of his were missing. The victim reported that a cane, located in the console between the driver and passenger seats, was not his. The cane and wrench were then secured as evidence.        P.O. Rodriguez responded with the patrol camera on scene. I then took seven photos (placard included) of the scene. It should be noted that I secured the cane prior to P.O. Rodriguez's arrival on scene. The original position of the cane was captured on my body worn camera.        A search of the area for cameras yielded the following: 32 Pulaski Place, 29 Pulaski Place,18 Pulaski Place,17 Pulaski Place, and 15 Pulaski Place.       The victim stated that the approximate cost to repair his vehicle is $1,000.00.         A New Jersey Victim Notification Form was completed and provided to the victim. He was advised on how to obtain a copy of  this report.      The cane and wrench were secured in evidence locker number one.Insurance Info: 908340839Company Code: 135"/>
    <m/>
    <m/>
    <s v="M88KXU"/>
    <s v="FORD"/>
    <s v="ECO"/>
    <s v="NJ"/>
    <m/>
    <m/>
    <m/>
    <m/>
    <s v="Competiello_Fa"/>
    <s v="P.O. Micah Gibson 365"/>
    <s v="A3"/>
    <s v="Det. Demetrius Carroll 133"/>
    <s v="Active/Administratively Closed"/>
    <s v="23F = Theft From Motor Vehicle"/>
    <n v="2025"/>
    <n v="13"/>
    <n v="5"/>
    <n v="23"/>
    <n v="82"/>
    <d v="2025-03-23T04:10:00"/>
    <n v="24"/>
    <s v="Suspect Vehicle Description: White 4-door SUV, possibly a Honda CRV or Toyota style SUV.      I responded to the listed location on a reported burglary from auto. Upon arrival, I spoke with the victim. He stated that, on 03/23/2025 at approximately 0415 hours, he had awoke to the sound of his vehicle alarm sounding. He further stated that when he looked outside, he observed the suspect vehicle parked next to his, facing west. The victim reported that upon seeing him, the suspect vehicle fled the scene, traveling west on Pulaski Place towards an unknown direction.   The victim stated that his vehicle had been broken into, as I observed the driver side door lock to be dislodged. He further stated that he had entered the vehicle via the driver side prior to my arrival and located a wrench in the driver seat that was not his. He reported that the suspect also damaged the steering wheel and ignition system to his vehicle.        Upon confirming that the victim did not want the vehicle processed, he entered his vehicle and verified that no items of his were missing. The victim reported that a cane, located in the console between the driver and passenger seats, was not his. The cane and wrench were then secured as evidence.        P.O. Rodriguez responded with the patrol camera on scene. I then took seven photos (placard included) of the scene. It should be noted that I secured the cane prior to P.O. Rodriguez's arrival on scene. The original position of the cane was captured on my body worn camera.        A search of the area for cameras yielded the following: 32 Pulaski Place, 29 Pulaski Place,18 Pulaski Place,17 Pulaski Place, and 15 Pulaski Place.       The victim stated that the approximate cost to repair his vehicle is $1,000.00.         A New Jersey Victim Notification Form was completed and provided to the victim. He was advised on how to obtain a copy of  this report.      The cane and wrench were secured in evidence locker number one.Insurance Info: 908340839Company Code: 135"/>
    <s v="Vehicle 1: NJ-M88KXU FORD, ECO"/>
    <s v="suspect vehicle description: white 4-door suv, possibly a honda crv or toyota style suv suspect vehicle parked next to his, facing west suspect vehicle fled the scene, traveling west on pulaski place towards an unknown direction suspect also damaged the steering wheel and ignition system to his vehicle"/>
    <s v="$1,000.00.         A New Jersey Victim Notification Form was completed and provided to the victim"/>
    <s v="C03W12"/>
  </r>
  <r>
    <s v="25-023424"/>
    <x v="7"/>
    <x v="3"/>
    <d v="1899-12-30T04:00:00"/>
    <d v="1899-12-30T04:10:00"/>
    <x v="2"/>
    <s v="March"/>
    <s v="Pulaski Pl, 0 Block"/>
    <s v="24 Pulaski Place"/>
    <x v="2"/>
    <s v="Burglary - Auto"/>
    <s v="Criminal Mischief - Vehicle"/>
    <s v=""/>
    <s v="24 Pulaski Place, Hackensack, NJ, 07601"/>
    <s v="E3"/>
    <n v="5"/>
    <s v="Suspect Vehicle Description: White 4-door SUV, possibly a Honda CRV or Toyota style SUV.      I responded to the listed location on a reported burglary from auto. Upon arrival, I spoke with the victim. He stated that, on 03/23/2025 at approximately 0415 hours, he had awoke to the sound of his vehicle alarm sounding. He further stated that when he looked outside, he observed the suspect vehicle parked next to his, facing west. The victim reported that upon seeing him, the suspect vehicle fled the scene, traveling west on Pulaski Place towards an unknown direction.   The victim stated that his vehicle had been broken into, as I observed the driver side door lock to be dislodged. He further stated that he had entered the vehicle via the driver side prior to my arrival and located a wrench in the driver seat that was not his. He reported that the suspect also damaged the steering wheel and ignition system to his vehicle.        Upon confirming that the victim did not want the vehicle processed, he entered his vehicle and verified that no items of his were missing. The victim reported that a cane, located in the console between the driver and passenger seats, was not his. The cane and wrench were then secured as evidence.        P.O. Rodriguez responded with the patrol camera on scene. I then took seven photos (placard included) of the scene. It should be noted that I secured the cane prior to P.O. Rodriguez's arrival on scene. The original position of the cane was captured on my body worn camera.        A search of the area for cameras yielded the following: 32 Pulaski Place, 29 Pulaski Place,18 Pulaski Place,17 Pulaski Place, and 15 Pulaski Place.       The victim stated that the approximate cost to repair his vehicle is $1,000.00.         A New Jersey Victim Notification Form was completed and provided to the victim. He was advised on how to obtain a copy of  this report.      The cane and wrench were secured in evidence locker number one.Insurance Info: 908340839Company Code: 135"/>
    <m/>
    <m/>
    <s v="M88KXU"/>
    <s v="FORD"/>
    <s v="ECO"/>
    <s v="NJ"/>
    <m/>
    <m/>
    <m/>
    <m/>
    <s v="Competiello_Fa"/>
    <s v="P.O. Micah Gibson 365"/>
    <s v="A3"/>
    <s v="Det. Demetrius Carroll 133"/>
    <s v="Active/Administratively Closed"/>
    <s v="23F = Theft From Motor Vehicle"/>
    <n v="2025"/>
    <n v="13"/>
    <n v="5"/>
    <n v="23"/>
    <n v="82"/>
    <d v="2025-03-23T04:10:00"/>
    <n v="24"/>
    <s v="Suspect Vehicle Description: White 4-door SUV, possibly a Honda CRV or Toyota style SUV.      I responded to the listed location on a reported burglary from auto. Upon arrival, I spoke with the victim. He stated that, on 03/23/2025 at approximately 0415 hours, he had awoke to the sound of his vehicle alarm sounding. He further stated that when he looked outside, he observed the suspect vehicle parked next to his, facing west. The victim reported that upon seeing him, the suspect vehicle fled the scene, traveling west on Pulaski Place towards an unknown direction.   The victim stated that his vehicle had been broken into, as I observed the driver side door lock to be dislodged. He further stated that he had entered the vehicle via the driver side prior to my arrival and located a wrench in the driver seat that was not his. He reported that the suspect also damaged the steering wheel and ignition system to his vehicle.        Upon confirming that the victim did not want the vehicle processed, he entered his vehicle and verified that no items of his were missing. The victim reported that a cane, located in the console between the driver and passenger seats, was not his. The cane and wrench were then secured as evidence.        P.O. Rodriguez responded with the patrol camera on scene. I then took seven photos (placard included) of the scene. It should be noted that I secured the cane prior to P.O. Rodriguez's arrival on scene. The original position of the cane was captured on my body worn camera.        A search of the area for cameras yielded the following: 32 Pulaski Place, 29 Pulaski Place,18 Pulaski Place,17 Pulaski Place, and 15 Pulaski Place.       The victim stated that the approximate cost to repair his vehicle is $1,000.00.         A New Jersey Victim Notification Form was completed and provided to the victim. He was advised on how to obtain a copy of  this report.      The cane and wrench were secured in evidence locker number one.Insurance Info: 908340839Company Code: 135"/>
    <s v="Vehicle 1: NJ-M88KXU FORD, ECO"/>
    <s v="suspect vehicle description: white 4-door suv, possibly a honda crv or toyota style suv suspect vehicle parked next to his, facing west suspect vehicle fled the scene, traveling west on pulaski place towards an unknown direction suspect also damaged the steering wheel and ignition system to his vehicle"/>
    <s v="$1,000.00.         A New Jersey Victim Notification Form was completed and provided to the victim"/>
    <s v="C03W12"/>
  </r>
  <r>
    <s v="25-023424"/>
    <x v="7"/>
    <x v="3"/>
    <d v="1899-12-30T04:00:00"/>
    <d v="1899-12-30T04:10:00"/>
    <x v="2"/>
    <s v="March"/>
    <s v="Pulaski Pl, 0 Block"/>
    <s v="24 Pulaski Place"/>
    <x v="2"/>
    <s v="Burglary - Auto"/>
    <s v="Criminal Mischief - Vehicle"/>
    <s v=""/>
    <s v="24 Pulaski Place, Hackensack, NJ, 07601"/>
    <s v="E3"/>
    <n v="5"/>
    <s v="Suspect Vehicle Description: White 4-door SUV, possibly a Honda CRV or Toyota style SUV.      I responded to the listed location on a reported burglary from auto. Upon arrival, I spoke with the victim. He stated that, on 03/23/2025 at approximately 0415 hours, he had awoke to the sound of his vehicle alarm sounding. He further stated that when he looked outside, he observed the suspect vehicle parked next to his, facing west. The victim reported that upon seeing him, the suspect vehicle fled the scene, traveling west on Pulaski Place towards an unknown direction.   The victim stated that his vehicle had been broken into, as I observed the driver side door lock to be dislodged. He further stated that he had entered the vehicle via the driver side prior to my arrival and located a wrench in the driver seat that was not his. He reported that the suspect also damaged the steering wheel and ignition system to his vehicle.        Upon confirming that the victim did not want the vehicle processed, he entered his vehicle and verified that no items of his were missing. The victim reported that a cane, located in the console between the driver and passenger seats, was not his. The cane and wrench were then secured as evidence.        P.O. Rodriguez responded with the patrol camera on scene. I then took seven photos (placard included) of the scene. It should be noted that I secured the cane prior to P.O. Rodriguez's arrival on scene. The original position of the cane was captured on my body worn camera.        A search of the area for cameras yielded the following: 32 Pulaski Place, 29 Pulaski Place,18 Pulaski Place,17 Pulaski Place, and 15 Pulaski Place.       The victim stated that the approximate cost to repair his vehicle is $1,000.00.         A New Jersey Victim Notification Form was completed and provided to the victim. He was advised on how to obtain a copy of  this report.      The cane and wrench were secured in evidence locker number one.Insurance Info: 908340839Company Code: 135"/>
    <m/>
    <m/>
    <s v="M88KXU"/>
    <s v="FORD"/>
    <s v="ECO"/>
    <s v="NJ"/>
    <m/>
    <m/>
    <m/>
    <m/>
    <s v="Competiello_Fa"/>
    <s v="P.O. Micah Gibson 365"/>
    <s v="A3"/>
    <s v="Det. Demetrius Carroll 133"/>
    <s v="Active/Administratively Closed"/>
    <s v="23F = Theft From Motor Vehicle"/>
    <n v="2025"/>
    <n v="13"/>
    <n v="5"/>
    <n v="23"/>
    <n v="82"/>
    <d v="2025-03-23T04:10:00"/>
    <n v="24"/>
    <s v="Suspect Vehicle Description: White 4-door SUV, possibly a Honda CRV or Toyota style SUV.      I responded to the listed location on a reported burglary from auto. Upon arrival, I spoke with the victim. He stated that, on 03/23/2025 at approximately 0415 hours, he had awoke to the sound of his vehicle alarm sounding. He further stated that when he looked outside, he observed the suspect vehicle parked next to his, facing west. The victim reported that upon seeing him, the suspect vehicle fled the scene, traveling west on Pulaski Place towards an unknown direction.   The victim stated that his vehicle had been broken into, as I observed the driver side door lock to be dislodged. He further stated that he had entered the vehicle via the driver side prior to my arrival and located a wrench in the driver seat that was not his. He reported that the suspect also damaged the steering wheel and ignition system to his vehicle.        Upon confirming that the victim did not want the vehicle processed, he entered his vehicle and verified that no items of his were missing. The victim reported that a cane, located in the console between the driver and passenger seats, was not his. The cane and wrench were then secured as evidence.        P.O. Rodriguez responded with the patrol camera on scene. I then took seven photos (placard included) of the scene. It should be noted that I secured the cane prior to P.O. Rodriguez's arrival on scene. The original position of the cane was captured on my body worn camera.        A search of the area for cameras yielded the following: 32 Pulaski Place, 29 Pulaski Place,18 Pulaski Place,17 Pulaski Place, and 15 Pulaski Place.       The victim stated that the approximate cost to repair his vehicle is $1,000.00.         A New Jersey Victim Notification Form was completed and provided to the victim. He was advised on how to obtain a copy of  this report.      The cane and wrench were secured in evidence locker number one.Insurance Info: 908340839Company Code: 135"/>
    <s v="Vehicle 1: NJ-M88KXU FORD, ECO"/>
    <s v="suspect vehicle description: white 4-door suv, possibly a honda crv or toyota style suv suspect vehicle parked next to his, facing west suspect vehicle fled the scene, traveling west on pulaski place towards an unknown direction suspect also damaged the steering wheel and ignition system to his vehicle"/>
    <s v="$1,000.00.         A New Jersey Victim Notification Form was completed and provided to the victim"/>
    <s v="C03W12"/>
  </r>
  <r>
    <s v="25-023424"/>
    <x v="7"/>
    <x v="3"/>
    <d v="1899-12-30T04:00:00"/>
    <d v="1899-12-30T04:10:00"/>
    <x v="2"/>
    <s v="March"/>
    <s v="Pulaski Pl, 0 Block"/>
    <s v="24 Pulaski Place"/>
    <x v="2"/>
    <s v="Burglary - Auto"/>
    <s v="Criminal Mischief - Vehicle"/>
    <s v=""/>
    <s v="24 Pulaski Place, Hackensack, NJ, 07601"/>
    <s v="E3"/>
    <n v="5"/>
    <s v="Suspect Vehicle Description: White 4-door SUV, possibly a Honda CRV or Toyota style SUV.      I responded to the listed location on a reported burglary from auto. Upon arrival, I spoke with the victim. He stated that, on 03/23/2025 at approximately 0415 hours, he had awoke to the sound of his vehicle alarm sounding. He further stated that when he looked outside, he observed the suspect vehicle parked next to his, facing west. The victim reported that upon seeing him, the suspect vehicle fled the scene, traveling west on Pulaski Place towards an unknown direction.   The victim stated that his vehicle had been broken into, as I observed the driver side door lock to be dislodged. He further stated that he had entered the vehicle via the driver side prior to my arrival and located a wrench in the driver seat that was not his. He reported that the suspect also damaged the steering wheel and ignition system to his vehicle.        Upon confirming that the victim did not want the vehicle processed, he entered his vehicle and verified that no items of his were missing. The victim reported that a cane, located in the console between the driver and passenger seats, was not his. The cane and wrench were then secured as evidence.        P.O. Rodriguez responded with the patrol camera on scene. I then took seven photos (placard included) of the scene. It should be noted that I secured the cane prior to P.O. Rodriguez's arrival on scene. The original position of the cane was captured on my body worn camera.        A search of the area for cameras yielded the following: 32 Pulaski Place, 29 Pulaski Place,18 Pulaski Place,17 Pulaski Place, and 15 Pulaski Place.       The victim stated that the approximate cost to repair his vehicle is $1,000.00.         A New Jersey Victim Notification Form was completed and provided to the victim. He was advised on how to obtain a copy of  this report.      The cane and wrench were secured in evidence locker number one.Insurance Info: 908340839Company Code: 135"/>
    <m/>
    <m/>
    <s v="M88KXU"/>
    <s v="FORD"/>
    <s v="ECO"/>
    <s v="NJ"/>
    <m/>
    <m/>
    <m/>
    <m/>
    <s v="Competiello_Fa"/>
    <s v="P.O. Micah Gibson 365"/>
    <s v="A3"/>
    <s v="Det. Demetrius Carroll 133"/>
    <s v="Active Investigation"/>
    <m/>
    <n v="2025"/>
    <n v="13"/>
    <n v="5"/>
    <n v="23"/>
    <n v="82"/>
    <d v="2025-03-23T04:10:00"/>
    <n v="24"/>
    <s v="Suspect Vehicle Description: White 4-door SUV, possibly a Honda CRV or Toyota style SUV.      I responded to the listed location on a reported burglary from auto. Upon arrival, I spoke with the victim. He stated that, on 03/23/2025 at approximately 0415 hours, he had awoke to the sound of his vehicle alarm sounding. He further stated that when he looked outside, he observed the suspect vehicle parked next to his, facing west. The victim reported that upon seeing him, the suspect vehicle fled the scene, traveling west on Pulaski Place towards an unknown direction.   The victim stated that his vehicle had been broken into, as I observed the driver side door lock to be dislodged. He further stated that he had entered the vehicle via the driver side prior to my arrival and located a wrench in the driver seat that was not his. He reported that the suspect also damaged the steering wheel and ignition system to his vehicle.        Upon confirming that the victim did not want the vehicle processed, he entered his vehicle and verified that no items of his were missing. The victim reported that a cane, located in the console between the driver and passenger seats, was not his. The cane and wrench were then secured as evidence.        P.O. Rodriguez responded with the patrol camera on scene. I then took seven photos (placard included) of the scene. It should be noted that I secured the cane prior to P.O. Rodriguez's arrival on scene. The original position of the cane was captured on my body worn camera.        A search of the area for cameras yielded the following: 32 Pulaski Place, 29 Pulaski Place,18 Pulaski Place,17 Pulaski Place, and 15 Pulaski Place.       The victim stated that the approximate cost to repair his vehicle is $1,000.00.         A New Jersey Victim Notification Form was completed and provided to the victim. He was advised on how to obtain a copy of  this report.      The cane and wrench were secured in evidence locker number one.Insurance Info: 908340839Company Code: 135"/>
    <s v="Vehicle 1: NJ-M88KXU FORD, ECO"/>
    <s v="suspect vehicle description: white 4-door suv, possibly a honda crv or toyota style suv suspect vehicle parked next to his, facing west suspect vehicle fled the scene, traveling west on pulaski place towards an unknown direction suspect also damaged the steering wheel and ignition system to his vehicle"/>
    <s v="$1,000.00.         A New Jersey Victim Notification Form was completed and provided to the victim"/>
    <s v="C03W12"/>
  </r>
  <r>
    <s v="25-023424"/>
    <x v="7"/>
    <x v="3"/>
    <d v="1899-12-30T04:00:00"/>
    <d v="1899-12-30T04:10:00"/>
    <x v="2"/>
    <s v="March"/>
    <s v="Pulaski Pl, 0 Block"/>
    <s v="24 Pulaski Place"/>
    <x v="2"/>
    <s v="Burglary - Auto"/>
    <s v="Criminal Mischief - Vehicle"/>
    <s v=""/>
    <s v="24 Pulaski Place, Hackensack, NJ, 07601"/>
    <s v="E3"/>
    <n v="5"/>
    <s v="Suspect Vehicle Description: White 4-door SUV, possibly a Honda CRV or Toyota style SUV.      I responded to the listed location on a reported burglary from auto. Upon arrival, I spoke with the victim. He stated that, on 03/23/2025 at approximately 0415 hours, he had awoke to the sound of his vehicle alarm sounding. He further stated that when he looked outside, he observed the suspect vehicle parked next to his, facing west. The victim reported that upon seeing him, the suspect vehicle fled the scene, traveling west on Pulaski Place towards an unknown direction.   The victim stated that his vehicle had been broken into, as I observed the driver side door lock to be dislodged. He further stated that he had entered the vehicle via the driver side prior to my arrival and located a wrench in the driver seat that was not his. He reported that the suspect also damaged the steering wheel and ignition system to his vehicle.        Upon confirming that the victim did not want the vehicle processed, he entered his vehicle and verified that no items of his were missing. The victim reported that a cane, located in the console between the driver and passenger seats, was not his. The cane and wrench were then secured as evidence.        P.O. Rodriguez responded with the patrol camera on scene. I then took seven photos (placard included) of the scene. It should be noted that I secured the cane prior to P.O. Rodriguez's arrival on scene. The original position of the cane was captured on my body worn camera.        A search of the area for cameras yielded the following: 32 Pulaski Place, 29 Pulaski Place,18 Pulaski Place,17 Pulaski Place, and 15 Pulaski Place.       The victim stated that the approximate cost to repair his vehicle is $1,000.00.         A New Jersey Victim Notification Form was completed and provided to the victim. He was advised on how to obtain a copy of  this report.      The cane and wrench were secured in evidence locker number one.Insurance Info: 908340839Company Code: 135"/>
    <m/>
    <m/>
    <s v="M88KXU"/>
    <s v="FORD"/>
    <s v="ECO"/>
    <s v="NJ"/>
    <m/>
    <m/>
    <m/>
    <m/>
    <s v="Competiello_Fa"/>
    <s v="P.O. Micah Gibson 365"/>
    <s v="A3"/>
    <s v="Det. Demetrius Carroll 133"/>
    <s v="Active/Administratively Closed"/>
    <s v="23F = Theft From Motor Vehicle"/>
    <n v="2025"/>
    <n v="13"/>
    <n v="5"/>
    <n v="23"/>
    <n v="82"/>
    <d v="2025-03-23T04:10:00"/>
    <n v="24"/>
    <s v="Suspect Vehicle Description: White 4-door SUV, possibly a Honda CRV or Toyota style SUV.      I responded to the listed location on a reported burglary from auto. Upon arrival, I spoke with the victim. He stated that, on 03/23/2025 at approximately 0415 hours, he had awoke to the sound of his vehicle alarm sounding. He further stated that when he looked outside, he observed the suspect vehicle parked next to his, facing west. The victim reported that upon seeing him, the suspect vehicle fled the scene, traveling west on Pulaski Place towards an unknown direction.   The victim stated that his vehicle had been broken into, as I observed the driver side door lock to be dislodged. He further stated that he had entered the vehicle via the driver side prior to my arrival and located a wrench in the driver seat that was not his. He reported that the suspect also damaged the steering wheel and ignition system to his vehicle.        Upon confirming that the victim did not want the vehicle processed, he entered his vehicle and verified that no items of his were missing. The victim reported that a cane, located in the console between the driver and passenger seats, was not his. The cane and wrench were then secured as evidence.        P.O. Rodriguez responded with the patrol camera on scene. I then took seven photos (placard included) of the scene. It should be noted that I secured the cane prior to P.O. Rodriguez's arrival on scene. The original position of the cane was captured on my body worn camera.        A search of the area for cameras yielded the following: 32 Pulaski Place, 29 Pulaski Place,18 Pulaski Place,17 Pulaski Place, and 15 Pulaski Place.       The victim stated that the approximate cost to repair his vehicle is $1,000.00.         A New Jersey Victim Notification Form was completed and provided to the victim. He was advised on how to obtain a copy of  this report.      The cane and wrench were secured in evidence locker number one.Insurance Info: 908340839Company Code: 135"/>
    <s v="Vehicle 1: NJ-M88KXU FORD, ECO"/>
    <s v="suspect vehicle description: white 4-door suv, possibly a honda crv or toyota style suv suspect vehicle parked next to his, facing west suspect vehicle fled the scene, traveling west on pulaski place towards an unknown direction suspect also damaged the steering wheel and ignition system to his vehicle"/>
    <s v="$1,000.00.         A New Jersey Victim Notification Form was completed and provided to the victim"/>
    <s v="C03W12"/>
  </r>
  <r>
    <s v="25-023424"/>
    <x v="7"/>
    <x v="3"/>
    <d v="1899-12-30T04:00:00"/>
    <d v="1899-12-30T04:10:00"/>
    <x v="2"/>
    <s v="March"/>
    <s v="Pulaski Pl, 0 Block"/>
    <s v="24 Pulaski Place"/>
    <x v="2"/>
    <s v="Burglary - Auto"/>
    <s v="Criminal Mischief - Vehicle"/>
    <s v=""/>
    <s v="24 Pulaski Place, Hackensack, NJ, 07601"/>
    <s v="E3"/>
    <n v="5"/>
    <s v="Suspect Vehicle Description: White 4-door SUV, possibly a Honda CRV or Toyota style SUV.      I responded to the listed location on a reported burglary from auto. Upon arrival, I spoke with the victim. He stated that, on 03/23/2025 at approximately 0415 hours, he had awoke to the sound of his vehicle alarm sounding. He further stated that when he looked outside, he observed the suspect vehicle parked next to his, facing west. The victim reported that upon seeing him, the suspect vehicle fled the scene, traveling west on Pulaski Place towards an unknown direction.   The victim stated that his vehicle had been broken into, as I observed the driver side door lock to be dislodged. He further stated that he had entered the vehicle via the driver side prior to my arrival and located a wrench in the driver seat that was not his. He reported that the suspect also damaged the steering wheel and ignition system to his vehicle.        Upon confirming that the victim did not want the vehicle processed, he entered his vehicle and verified that no items of his were missing. The victim reported that a cane, located in the console between the driver and passenger seats, was not his. The cane and wrench were then secured as evidence.        P.O. Rodriguez responded with the patrol camera on scene. I then took seven photos (placard included) of the scene. It should be noted that I secured the cane prior to P.O. Rodriguez's arrival on scene. The original position of the cane was captured on my body worn camera.        A search of the area for cameras yielded the following: 32 Pulaski Place, 29 Pulaski Place,18 Pulaski Place,17 Pulaski Place, and 15 Pulaski Place.       The victim stated that the approximate cost to repair his vehicle is $1,000.00.         A New Jersey Victim Notification Form was completed and provided to the victim. He was advised on how to obtain a copy of  this report.      The cane and wrench were secured in evidence locker number one.Insurance Info: 908340839Company Code: 135"/>
    <m/>
    <m/>
    <s v="M88KXU"/>
    <s v="FORD"/>
    <s v="ECO"/>
    <s v="NJ"/>
    <m/>
    <m/>
    <m/>
    <m/>
    <s v="Competiello_Fa"/>
    <s v="P.O. Micah Gibson 365"/>
    <s v="A3"/>
    <s v="Det. Demetrius Carroll 133"/>
    <s v="Active/Administratively Closed"/>
    <s v="23F = Theft From Motor Vehicle"/>
    <n v="2025"/>
    <n v="13"/>
    <n v="5"/>
    <n v="23"/>
    <n v="82"/>
    <d v="2025-03-23T04:10:00"/>
    <n v="24"/>
    <s v="Suspect Vehicle Description: White 4-door SUV, possibly a Honda CRV or Toyota style SUV.      I responded to the listed location on a reported burglary from auto. Upon arrival, I spoke with the victim. He stated that, on 03/23/2025 at approximately 0415 hours, he had awoke to the sound of his vehicle alarm sounding. He further stated that when he looked outside, he observed the suspect vehicle parked next to his, facing west. The victim reported that upon seeing him, the suspect vehicle fled the scene, traveling west on Pulaski Place towards an unknown direction.   The victim stated that his vehicle had been broken into, as I observed the driver side door lock to be dislodged. He further stated that he had entered the vehicle via the driver side prior to my arrival and located a wrench in the driver seat that was not his. He reported that the suspect also damaged the steering wheel and ignition system to his vehicle.        Upon confirming that the victim did not want the vehicle processed, he entered his vehicle and verified that no items of his were missing. The victim reported that a cane, located in the console between the driver and passenger seats, was not his. The cane and wrench were then secured as evidence.        P.O. Rodriguez responded with the patrol camera on scene. I then took seven photos (placard included) of the scene. It should be noted that I secured the cane prior to P.O. Rodriguez's arrival on scene. The original position of the cane was captured on my body worn camera.        A search of the area for cameras yielded the following: 32 Pulaski Place, 29 Pulaski Place,18 Pulaski Place,17 Pulaski Place, and 15 Pulaski Place.       The victim stated that the approximate cost to repair his vehicle is $1,000.00.         A New Jersey Victim Notification Form was completed and provided to the victim. He was advised on how to obtain a copy of  this report.      The cane and wrench were secured in evidence locker number one.Insurance Info: 908340839Company Code: 135"/>
    <s v="Vehicle 1: NJ-M88KXU FORD, ECO"/>
    <s v="suspect vehicle description: white 4-door suv, possibly a honda crv or toyota style suv suspect vehicle parked next to his, facing west suspect vehicle fled the scene, traveling west on pulaski place towards an unknown direction suspect also damaged the steering wheel and ignition system to his vehicle"/>
    <s v="$1,000.00.         A New Jersey Victim Notification Form was completed and provided to the victim"/>
    <s v="C03W12"/>
  </r>
  <r>
    <s v="25-023424"/>
    <x v="7"/>
    <x v="3"/>
    <d v="1899-12-30T04:00:00"/>
    <d v="1899-12-30T04:10:00"/>
    <x v="2"/>
    <s v="March"/>
    <s v="Pulaski Pl, 0 Block"/>
    <s v="24 Pulaski Place"/>
    <x v="2"/>
    <s v="Burglary - Auto"/>
    <s v="Criminal Mischief - Vehicle"/>
    <s v=""/>
    <s v="24 Pulaski Place, Hackensack, NJ, 07601"/>
    <s v="E3"/>
    <n v="5"/>
    <s v="Suspect Vehicle Description: White 4-door SUV, possibly a Honda CRV or Toyota style SUV.      I responded to the listed location on a reported burglary from auto. Upon arrival, I spoke with the victim. He stated that, on 03/23/2025 at approximately 0415 hours, he had awoke to the sound of his vehicle alarm sounding. He further stated that when he looked outside, he observed the suspect vehicle parked next to his, facing west. The victim reported that upon seeing him, the suspect vehicle fled the scene, traveling west on Pulaski Place towards an unknown direction.   The victim stated that his vehicle had been broken into, as I observed the driver side door lock to be dislodged. He further stated that he had entered the vehicle via the driver side prior to my arrival and located a wrench in the driver seat that was not his. He reported that the suspect also damaged the steering wheel and ignition system to his vehicle.        Upon confirming that the victim did not want the vehicle processed, he entered his vehicle and verified that no items of his were missing. The victim reported that a cane, located in the console between the driver and passenger seats, was not his. The cane and wrench were then secured as evidence.        P.O. Rodriguez responded with the patrol camera on scene. I then took seven photos (placard included) of the scene. It should be noted that I secured the cane prior to P.O. Rodriguez's arrival on scene. The original position of the cane was captured on my body worn camera.        A search of the area for cameras yielded the following: 32 Pulaski Place, 29 Pulaski Place,18 Pulaski Place,17 Pulaski Place, and 15 Pulaski Place.       The victim stated that the approximate cost to repair his vehicle is $1,000.00.         A New Jersey Victim Notification Form was completed and provided to the victim. He was advised on how to obtain a copy of  this report.      The cane and wrench were secured in evidence locker number one.Insurance Info: 908340839Company Code: 135"/>
    <m/>
    <m/>
    <s v="M88KXU"/>
    <s v="FORD"/>
    <s v="ECO"/>
    <s v="NJ"/>
    <m/>
    <m/>
    <m/>
    <m/>
    <s v="Competiello_Fa"/>
    <s v="P.O. Micah Gibson 365"/>
    <s v="A3"/>
    <s v="Det. Demetrius Carroll 133"/>
    <s v="Active/Administratively Closed"/>
    <s v="23F = Theft From Motor Vehicle"/>
    <n v="2025"/>
    <n v="13"/>
    <n v="5"/>
    <n v="23"/>
    <n v="82"/>
    <d v="2025-03-23T04:10:00"/>
    <n v="24"/>
    <s v="Suspect Vehicle Description: White 4-door SUV, possibly a Honda CRV or Toyota style SUV.      I responded to the listed location on a reported burglary from auto. Upon arrival, I spoke with the victim. He stated that, on 03/23/2025 at approximately 0415 hours, he had awoke to the sound of his vehicle alarm sounding. He further stated that when he looked outside, he observed the suspect vehicle parked next to his, facing west. The victim reported that upon seeing him, the suspect vehicle fled the scene, traveling west on Pulaski Place towards an unknown direction.   The victim stated that his vehicle had been broken into, as I observed the driver side door lock to be dislodged. He further stated that he had entered the vehicle via the driver side prior to my arrival and located a wrench in the driver seat that was not his. He reported that the suspect also damaged the steering wheel and ignition system to his vehicle.        Upon confirming that the victim did not want the vehicle processed, he entered his vehicle and verified that no items of his were missing. The victim reported that a cane, located in the console between the driver and passenger seats, was not his. The cane and wrench were then secured as evidence.        P.O. Rodriguez responded with the patrol camera on scene. I then took seven photos (placard included) of the scene. It should be noted that I secured the cane prior to P.O. Rodriguez's arrival on scene. The original position of the cane was captured on my body worn camera.        A search of the area for cameras yielded the following: 32 Pulaski Place, 29 Pulaski Place,18 Pulaski Place,17 Pulaski Place, and 15 Pulaski Place.       The victim stated that the approximate cost to repair his vehicle is $1,000.00.         A New Jersey Victim Notification Form was completed and provided to the victim. He was advised on how to obtain a copy of  this report.      The cane and wrench were secured in evidence locker number one.Insurance Info: 908340839Company Code: 135"/>
    <s v="Vehicle 1: NJ-M88KXU FORD, ECO"/>
    <s v="suspect vehicle description: white 4-door suv, possibly a honda crv or toyota style suv suspect vehicle parked next to his, facing west suspect vehicle fled the scene, traveling west on pulaski place towards an unknown direction suspect also damaged the steering wheel and ignition system to his vehicle"/>
    <s v="$1,000.00.         A New Jersey Victim Notification Form was completed and provided to the victim"/>
    <s v="C03W12"/>
  </r>
  <r>
    <s v="25-026113"/>
    <x v="8"/>
    <x v="1"/>
    <d v="1899-12-30T18:00:00"/>
    <d v="1899-12-30T18:00:00"/>
    <x v="0"/>
    <s v="March"/>
    <s v="Lookout Ave, 300 Block"/>
    <s v="310 Lookout Avenue"/>
    <x v="0"/>
    <s v="Burglary - Auto"/>
    <s v=""/>
    <s v=""/>
    <s v="310 Lookout Avenue, Hackensack, NJ, 07601"/>
    <s v="I2"/>
    <m/>
    <s v="While on scene investigating a separate incident (OCA 25-026103), Sgt. Donnerstag located the listed vehicle with its drivers side window smashed in. The interior of the vehicle appeared to be rummaged through. The registered owner of the vehicle, Ms. Olga Balakova was contacted and responded to the vehicle's location. She stated she parked her car at approximately 1800 hours.     Ms. Balakova gave consent to Det. Tanucilli to have the vehicle processed. Bergen County Sheriffs BCI detective's Stefanic # 1954 and Anastasio # 1766 were already on scene to process a separate vehicle ( see case # 25-026103 ). The vehicle was processed by Bergen County Sheriffs BCI on scene, see their case number 2025-0206 for further.  Ms. Balakova stated that only a few dollars in change appeared to be missing. She was not sure of the exact amount, but stated it was only one or two dollars total. The total cost of damage is unknown at the time.      The scene was turned over to Det. Tanucilli."/>
    <n v="2"/>
    <n v="0"/>
    <s v="IMKR57"/>
    <s v="NISSAN"/>
    <s v="ROGUE"/>
    <s v="NJ"/>
    <m/>
    <m/>
    <m/>
    <m/>
    <s v="Farhi_B"/>
    <s v="P.O. Matthew Antista 135"/>
    <s v="A4"/>
    <s v="Det. John Tanucilli 335"/>
    <s v="Complaint Signed"/>
    <s v="290 = Destruction/Damage/Vandalism of Property"/>
    <n v="2025"/>
    <n v="14"/>
    <n v="6"/>
    <n v="31"/>
    <n v="90"/>
    <d v="2025-03-31T18:00:00"/>
    <n v="310"/>
    <s v="While on scene investigating a separate incident (OCA 25-026103), Sgt. Donnerstag located the listed vehicle with its drivers side window smashed in. The interior of the vehicle appeared to be rummaged through. The registered owner of the vehicle, Ms. Olga Balakova was contacted and responded to the vehicle's location. She stated she parked her car at approximately 1800 hours.     Ms. Balakova gave consent to Det. Tanucilli to have the vehicle processed. Bergen County Sheriffs BCI detective's Stefanic # 1954 and Anastasio # 1766 were already on scene to process a separate vehicle ( see case # 25-026103 ). The vehicle was processed by Bergen County Sheriffs BCI on scene, see their case number 2025-0206 for further.  Ms. Balakova stated that only a few dollars in change appeared to be missing. She was not sure of the exact amount, but stated it was only one or two dollars total. The total cost of damage is unknown at the time.      The scene was turned over to Det. Tanucilli."/>
    <s v="Vehicle 1: NJ-IMKR57 NISSAN, ROGUE"/>
    <s v=""/>
    <s v=""/>
    <s v="C04W13"/>
  </r>
  <r>
    <s v="25-026103"/>
    <x v="8"/>
    <x v="2"/>
    <d v="1899-12-30T20:00:00"/>
    <d v="1899-12-30T20:00:00"/>
    <x v="0"/>
    <s v="March"/>
    <s v="Lookout Ave, 300 Block"/>
    <s v="310 Lookout Avenue"/>
    <x v="0"/>
    <s v="Burglary - Auto"/>
    <s v=""/>
    <s v=""/>
    <s v="310 Lookout Avenue, Hackensack, NJ, 07601"/>
    <s v="I2"/>
    <n v="9"/>
    <s v="I responded on the report of a suspicious incident. Upon arrival, I met with Yuri Vasilevski. He stated his vehicle window was broken and his belongings were on the ground. Sgt. Donnerstag arrived on scene to assist. The victim, Mr. Vasilevski, stated he parked his vehicle at approximately 2000 hours. When he returned to the vehicle, he found it had been broken into.     Det. Tanucilli was contacted and arrived on scene. It should be noted that while on scene Sgt. Donnerstag located another vehicle which appeared to be broken into (see case # 25-026113). Mr. Vasilevski gave consent to Det. Tanucilli to have the vehicle processed. Bergen County Sheriffs BCI detectives Stefanic and Anastasio responded to the scene and processed the vehicle (OCA 2025-0207). The victim stated five (5) dollars in 1 dollar bills of US currency were taken from the center console of his vehicle. Total value amount of repairs are unknown at this time.   The scene was turned over to Det. Tanucilli."/>
    <n v="5"/>
    <n v="0"/>
    <s v="UTU50W"/>
    <s v="NISSAN"/>
    <s v="RGE"/>
    <s v="NJ"/>
    <m/>
    <m/>
    <m/>
    <m/>
    <s v="Farhi_B"/>
    <s v="P.O. Matthew Antista 135"/>
    <s v="A4"/>
    <s v="Det. John Tanucilli 335"/>
    <s v="Complaint Signed"/>
    <s v="290 = Destruction/Damage/Vandalism of Property"/>
    <n v="2025"/>
    <n v="14"/>
    <n v="6"/>
    <n v="31"/>
    <n v="90"/>
    <d v="2025-03-31T20:00:00"/>
    <n v="310"/>
    <s v="I responded on the report of a suspicious incident. Upon arrival, I met with Yuri Vasilevski. He stated his vehicle window was broken and his belongings were on the ground. Sgt. Donnerstag arrived on scene to assist. The victim, Mr. Vasilevski, stated he parked his vehicle at approximately 2000 hours. When he returned to the vehicle, he found it had been broken into.     Det. Tanucilli was contacted and arrived on scene. It should be noted that while on scene Sgt. Donnerstag located another vehicle which appeared to be broken into (see case # 25-026113). Mr. Vasilevski gave consent to Det. Tanucilli to have the vehicle processed. Bergen County Sheriffs BCI detectives Stefanic and Anastasio responded to the scene and processed the vehicle (OCA 2025-0207). The victim stated five (5) dollars in 1 dollar bills of US currency were taken from the center console of his vehicle. Total value amount of repairs are unknown at this time.   The scene was turned over to Det. Tanucilli."/>
    <s v="Vehicle 1: NJ-UTU50W NISSAN, RGE"/>
    <s v=""/>
    <s v=""/>
    <s v="C04W13"/>
  </r>
  <r>
    <s v="25-026113"/>
    <x v="8"/>
    <x v="1"/>
    <d v="1899-12-30T18:00:00"/>
    <d v="1899-12-30T18:00:00"/>
    <x v="0"/>
    <s v="March"/>
    <s v="Lookout Ave, 300 Block"/>
    <s v="310 Lookout Avenue"/>
    <x v="0"/>
    <s v="Burglary - Auto"/>
    <s v=""/>
    <s v=""/>
    <s v="310 Lookout Avenue, Hackensack, NJ, 07601"/>
    <s v="I2"/>
    <m/>
    <s v="While on scene investigating a separate incident (OCA 25-026103), Sgt. Donnerstag located the listed vehicle with its drivers side window smashed in. The interior of the vehicle appeared to be rummaged through. The registered owner of the vehicle, Ms. Olga Balakova was contacted and responded to the vehicle's location. She stated she parked her car at approximately 1800 hours.     Ms. Balakova gave consent to Det. Tanucilli to have the vehicle processed. Bergen County Sheriffs BCI detective's Stefanic # 1954 and Anastasio # 1766 were already on scene to process a separate vehicle ( see case # 25-026103 ). The vehicle was processed by Bergen County Sheriffs BCI on scene, see their case number 2025-0206 for further.  Ms. Balakova stated that only a few dollars in change appeared to be missing. She was not sure of the exact amount, but stated it was only one or two dollars total. The total cost of damage is unknown at the time.      The scene was turned over to Det. Tanucilli."/>
    <n v="2"/>
    <n v="0"/>
    <s v="IMKR57"/>
    <s v="NISSAN"/>
    <s v="ROGUE"/>
    <s v="NJ"/>
    <m/>
    <m/>
    <m/>
    <m/>
    <s v="Farhi_B"/>
    <s v="P.O. Matthew Antista 135"/>
    <s v="A4"/>
    <s v="Det. John Tanucilli 335"/>
    <s v="Complaint Signed"/>
    <s v="290 = Destruction/Damage/Vandalism of Property"/>
    <n v="2025"/>
    <n v="14"/>
    <n v="6"/>
    <n v="31"/>
    <n v="90"/>
    <d v="2025-03-31T18:00:00"/>
    <n v="310"/>
    <s v="While on scene investigating a separate incident (OCA 25-026103), Sgt. Donnerstag located the listed vehicle with its drivers side window smashed in. The interior of the vehicle appeared to be rummaged through. The registered owner of the vehicle, Ms. Olga Balakova was contacted and responded to the vehicle's location. She stated she parked her car at approximately 1800 hours.     Ms. Balakova gave consent to Det. Tanucilli to have the vehicle processed. Bergen County Sheriffs BCI detective's Stefanic # 1954 and Anastasio # 1766 were already on scene to process a separate vehicle ( see case # 25-026103 ). The vehicle was processed by Bergen County Sheriffs BCI on scene, see their case number 2025-0206 for further.  Ms. Balakova stated that only a few dollars in change appeared to be missing. She was not sure of the exact amount, but stated it was only one or two dollars total. The total cost of damage is unknown at the time.      The scene was turned over to Det. Tanucilli."/>
    <s v="Vehicle 1: NJ-IMKR57 NISSAN, ROGUE"/>
    <s v=""/>
    <s v=""/>
    <s v="C04W13"/>
  </r>
  <r>
    <s v="25-026113"/>
    <x v="8"/>
    <x v="1"/>
    <d v="1899-12-30T18:00:00"/>
    <d v="1899-12-30T18:00:00"/>
    <x v="0"/>
    <s v="March"/>
    <s v="Lookout Ave, 300 Block"/>
    <s v="310 Lookout Avenue"/>
    <x v="0"/>
    <s v="Burglary - Auto"/>
    <s v=""/>
    <s v=""/>
    <s v="310 Lookout Avenue, Hackensack, NJ, 07601"/>
    <s v="I2"/>
    <m/>
    <s v="While on scene investigating a separate incident (OCA 25-026103), Sgt. Donnerstag located the listed vehicle with its drivers side window smashed in. The interior of the vehicle appeared to be rummaged through. The registered owner of the vehicle, Ms. Olga Balakova was contacted and responded to the vehicle's location. She stated she parked her car at approximately 1800 hours.     Ms. Balakova gave consent to Det. Tanucilli to have the vehicle processed. Bergen County Sheriffs BCI detective's Stefanic # 1954 and Anastasio # 1766 were already on scene to process a separate vehicle ( see case # 25-026103 ). The vehicle was processed by Bergen County Sheriffs BCI on scene, see their case number 2025-0206 for further.  Ms. Balakova stated that only a few dollars in change appeared to be missing. She was not sure of the exact amount, but stated it was only one or two dollars total. The total cost of damage is unknown at the time.      The scene was turned over to Det. Tanucilli."/>
    <n v="2"/>
    <n v="0"/>
    <s v="IMKR57"/>
    <s v="NISSAN"/>
    <s v="ROGUE"/>
    <s v="NJ"/>
    <m/>
    <m/>
    <m/>
    <m/>
    <s v="Farhi_B"/>
    <s v="P.O. Matthew Antista 135"/>
    <s v="A4"/>
    <s v="Det. John Tanucilli 335"/>
    <s v="Complaint Signed"/>
    <s v="290 = Destruction/Damage/Vandalism of Property"/>
    <n v="2025"/>
    <n v="14"/>
    <n v="6"/>
    <n v="31"/>
    <n v="90"/>
    <d v="2025-03-31T18:00:00"/>
    <n v="310"/>
    <s v="While on scene investigating a separate incident (OCA 25-026103), Sgt. Donnerstag located the listed vehicle with its drivers side window smashed in. The interior of the vehicle appeared to be rummaged through. The registered owner of the vehicle, Ms. Olga Balakova was contacted and responded to the vehicle's location. She stated she parked her car at approximately 1800 hours.     Ms. Balakova gave consent to Det. Tanucilli to have the vehicle processed. Bergen County Sheriffs BCI detective's Stefanic # 1954 and Anastasio # 1766 were already on scene to process a separate vehicle ( see case # 25-026103 ). The vehicle was processed by Bergen County Sheriffs BCI on scene, see their case number 2025-0206 for further.  Ms. Balakova stated that only a few dollars in change appeared to be missing. She was not sure of the exact amount, but stated it was only one or two dollars total. The total cost of damage is unknown at the time.      The scene was turned over to Det. Tanucilli."/>
    <s v="Vehicle 1: NJ-IMKR57 NISSAN, ROGUE"/>
    <s v=""/>
    <s v=""/>
    <s v="C04W13"/>
  </r>
  <r>
    <s v="25-026103"/>
    <x v="8"/>
    <x v="2"/>
    <d v="1899-12-30T20:00:00"/>
    <d v="1899-12-30T20:00:00"/>
    <x v="0"/>
    <s v="March"/>
    <s v="Lookout Ave, 300 Block"/>
    <s v="310 Lookout Avenue"/>
    <x v="0"/>
    <s v="Burglary - Auto"/>
    <s v=""/>
    <s v=""/>
    <s v="310 Lookout Avenue, Hackensack, NJ, 07601"/>
    <s v="I2"/>
    <n v="9"/>
    <s v="I responded on the report of a suspicious incident. Upon arrival, I met with Yuri Vasilevski. He stated his vehicle window was broken and his belongings were on the ground. Sgt. Donnerstag arrived on scene to assist. The victim, Mr. Vasilevski, stated he parked his vehicle at approximately 2000 hours. When he returned to the vehicle, he found it had been broken into.     Det. Tanucilli was contacted and arrived on scene. It should be noted that while on scene Sgt. Donnerstag located another vehicle which appeared to be broken into (see case # 25-026113). Mr. Vasilevski gave consent to Det. Tanucilli to have the vehicle processed. Bergen County Sheriffs BCI detectives Stefanic and Anastasio responded to the scene and processed the vehicle (OCA 2025-0207). The victim stated five (5) dollars in 1 dollar bills of US currency were taken from the center console of his vehicle. Total value amount of repairs are unknown at this time.   The scene was turned over to Det. Tanucilli."/>
    <n v="5"/>
    <n v="0"/>
    <s v="UTU50W"/>
    <s v="NISSAN"/>
    <s v="RGE"/>
    <s v="NJ"/>
    <m/>
    <m/>
    <m/>
    <m/>
    <s v="Farhi_B"/>
    <s v="P.O. Matthew Antista 135"/>
    <s v="A4"/>
    <s v="Det. John Tanucilli 335"/>
    <s v="Complaint Signed"/>
    <s v="290 = Destruction/Damage/Vandalism of Property"/>
    <n v="2025"/>
    <n v="14"/>
    <n v="6"/>
    <n v="31"/>
    <n v="90"/>
    <d v="2025-03-31T20:00:00"/>
    <n v="310"/>
    <s v="I responded on the report of a suspicious incident. Upon arrival, I met with Yuri Vasilevski. He stated his vehicle window was broken and his belongings were on the ground. Sgt. Donnerstag arrived on scene to assist. The victim, Mr. Vasilevski, stated he parked his vehicle at approximately 2000 hours. When he returned to the vehicle, he found it had been broken into.     Det. Tanucilli was contacted and arrived on scene. It should be noted that while on scene Sgt. Donnerstag located another vehicle which appeared to be broken into (see case # 25-026113). Mr. Vasilevski gave consent to Det. Tanucilli to have the vehicle processed. Bergen County Sheriffs BCI detectives Stefanic and Anastasio responded to the scene and processed the vehicle (OCA 2025-0207). The victim stated five (5) dollars in 1 dollar bills of US currency were taken from the center console of his vehicle. Total value amount of repairs are unknown at this time.   The scene was turned over to Det. Tanucilli."/>
    <s v="Vehicle 1: NJ-UTU50W NISSAN, RGE"/>
    <s v=""/>
    <s v=""/>
    <s v="C04W13"/>
  </r>
  <r>
    <s v="25-026113"/>
    <x v="8"/>
    <x v="1"/>
    <d v="1899-12-30T18:00:00"/>
    <d v="1899-12-30T18:00:00"/>
    <x v="0"/>
    <s v="March"/>
    <s v="Lookout Ave, 300 Block"/>
    <s v="310 Lookout Avenue"/>
    <x v="0"/>
    <s v="Burglary - Auto"/>
    <s v=""/>
    <s v=""/>
    <s v="310 Lookout Avenue, Hackensack, NJ, 07601"/>
    <s v="I2"/>
    <m/>
    <s v="While on scene investigating a separate incident (OCA 25-026103), Sgt. Donnerstag located the listed vehicle with its drivers side window smashed in. The interior of the vehicle appeared to be rummaged through. The registered owner of the vehicle, Ms. Olga Balakova was contacted and responded to the vehicle's location. She stated she parked her car at approximately 1800 hours.     Ms. Balakova gave consent to Det. Tanucilli to have the vehicle processed. Bergen County Sheriffs BCI detective's Stefanic # 1954 and Anastasio # 1766 were already on scene to process a separate vehicle ( see case # 25-026103 ). The vehicle was processed by Bergen County Sheriffs BCI on scene, see their case number 2025-0206 for further.  Ms. Balakova stated that only a few dollars in change appeared to be missing. She was not sure of the exact amount, but stated it was only one or two dollars total. The total cost of damage is unknown at the time.      The scene was turned over to Det. Tanucilli."/>
    <n v="2"/>
    <n v="0"/>
    <s v="IMKR57"/>
    <s v="NISSAN"/>
    <s v="ROGUE"/>
    <s v="NJ"/>
    <m/>
    <m/>
    <m/>
    <m/>
    <s v="Farhi_B"/>
    <s v="P.O. Matthew Antista 135"/>
    <s v="A4"/>
    <s v="Det. John Tanucilli 335"/>
    <s v="Complaint Signed"/>
    <s v="290 = Destruction/Damage/Vandalism of Property"/>
    <n v="2025"/>
    <n v="14"/>
    <n v="6"/>
    <n v="31"/>
    <n v="90"/>
    <d v="2025-03-31T18:00:00"/>
    <n v="310"/>
    <s v="While on scene investigating a separate incident (OCA 25-026103), Sgt. Donnerstag located the listed vehicle with its drivers side window smashed in. The interior of the vehicle appeared to be rummaged through. The registered owner of the vehicle, Ms. Olga Balakova was contacted and responded to the vehicle's location. She stated she parked her car at approximately 1800 hours.     Ms. Balakova gave consent to Det. Tanucilli to have the vehicle processed. Bergen County Sheriffs BCI detective's Stefanic # 1954 and Anastasio # 1766 were already on scene to process a separate vehicle ( see case # 25-026103 ). The vehicle was processed by Bergen County Sheriffs BCI on scene, see their case number 2025-0206 for further.  Ms. Balakova stated that only a few dollars in change appeared to be missing. She was not sure of the exact amount, but stated it was only one or two dollars total. The total cost of damage is unknown at the time.      The scene was turned over to Det. Tanucilli."/>
    <s v="Vehicle 1: NJ-IMKR57 NISSAN, ROGUE"/>
    <s v=""/>
    <s v=""/>
    <s v="C04W13"/>
  </r>
  <r>
    <s v="25-026113"/>
    <x v="8"/>
    <x v="1"/>
    <d v="1899-12-30T18:00:00"/>
    <d v="1899-12-30T18:00:00"/>
    <x v="0"/>
    <s v="March"/>
    <s v="Lookout Ave, 300 Block"/>
    <s v="310 Lookout Avenue"/>
    <x v="0"/>
    <s v="Burglary - Auto"/>
    <s v=""/>
    <s v=""/>
    <s v="310 Lookout Avenue, Hackensack, NJ, 07601"/>
    <s v="I2"/>
    <m/>
    <s v="While on scene investigating a separate incident (OCA 25-026103), Sgt. Donnerstag located the listed vehicle with its drivers side window smashed in. The interior of the vehicle appeared to be rummaged through. The registered owner of the vehicle, Ms. Olga Balakova was contacted and responded to the vehicle's location. She stated she parked her car at approximately 1800 hours.     Ms. Balakova gave consent to Det. Tanucilli to have the vehicle processed. Bergen County Sheriffs BCI detective's Stefanic # 1954 and Anastasio # 1766 were already on scene to process a separate vehicle ( see case # 25-026103 ). The vehicle was processed by Bergen County Sheriffs BCI on scene, see their case number 2025-0206 for further.  Ms. Balakova stated that only a few dollars in change appeared to be missing. She was not sure of the exact amount, but stated it was only one or two dollars total. The total cost of damage is unknown at the time.      The scene was turned over to Det. Tanucilli."/>
    <n v="2"/>
    <n v="0"/>
    <s v="IMKR57"/>
    <s v="NISSAN"/>
    <s v="ROGUE"/>
    <s v="NJ"/>
    <m/>
    <m/>
    <m/>
    <m/>
    <s v="Farhi_B"/>
    <s v="P.O. Matthew Antista 135"/>
    <s v="A4"/>
    <s v="Det. John Tanucilli 335"/>
    <s v="Active Investigation"/>
    <s v="290 = Destruction/Damage/Vandalism of Property"/>
    <n v="2025"/>
    <n v="14"/>
    <n v="6"/>
    <n v="31"/>
    <n v="90"/>
    <d v="2025-03-31T18:00:00"/>
    <n v="310"/>
    <s v="While on scene investigating a separate incident (OCA 25-026103), Sgt. Donnerstag located the listed vehicle with its drivers side window smashed in. The interior of the vehicle appeared to be rummaged through. The registered owner of the vehicle, Ms. Olga Balakova was contacted and responded to the vehicle's location. She stated she parked her car at approximately 1800 hours.     Ms. Balakova gave consent to Det. Tanucilli to have the vehicle processed. Bergen County Sheriffs BCI detective's Stefanic # 1954 and Anastasio # 1766 were already on scene to process a separate vehicle ( see case # 25-026103 ). The vehicle was processed by Bergen County Sheriffs BCI on scene, see their case number 2025-0206 for further.  Ms. Balakova stated that only a few dollars in change appeared to be missing. She was not sure of the exact amount, but stated it was only one or two dollars total. The total cost of damage is unknown at the time.      The scene was turned over to Det. Tanucilli."/>
    <s v="Vehicle 1: NJ-IMKR57 NISSAN, ROGUE"/>
    <s v=""/>
    <s v=""/>
    <s v="C04W13"/>
  </r>
  <r>
    <s v="25-026103"/>
    <x v="8"/>
    <x v="2"/>
    <d v="1899-12-30T20:00:00"/>
    <d v="1899-12-30T20:00:00"/>
    <x v="0"/>
    <s v="March"/>
    <s v="Lookout Ave, 300 Block"/>
    <s v="310 Lookout Avenue"/>
    <x v="0"/>
    <s v="Burglary - Auto"/>
    <s v=""/>
    <s v=""/>
    <s v="310 Lookout Avenue, Hackensack, NJ, 07601"/>
    <s v="I2"/>
    <n v="9"/>
    <s v="I responded on the report of a suspicious incident. Upon arrival, I met with Yuri Vasilevski. He stated his vehicle window was broken and his belongings were on the ground. Sgt. Donnerstag arrived on scene to assist. The victim, Mr. Vasilevski, stated he parked his vehicle at approximately 2000 hours. When he returned to the vehicle, he found it had been broken into.     Det. Tanucilli was contacted and arrived on scene. It should be noted that while on scene Sgt. Donnerstag located another vehicle which appeared to be broken into (see case # 25-026113). Mr. Vasilevski gave consent to Det. Tanucilli to have the vehicle processed. Bergen County Sheriffs BCI detectives Stefanic and Anastasio responded to the scene and processed the vehicle (OCA 2025-0207). The victim stated five (5) dollars in 1 dollar bills of US currency were taken from the center console of his vehicle. Total value amount of repairs are unknown at this time.   The scene was turned over to Det. Tanucilli."/>
    <n v="5"/>
    <n v="0"/>
    <s v="UTU50W"/>
    <s v="NISSAN"/>
    <s v="RGE"/>
    <s v="NJ"/>
    <m/>
    <m/>
    <m/>
    <m/>
    <s v="Farhi_B"/>
    <s v="P.O. Matthew Antista 135"/>
    <s v="A4"/>
    <s v="Det. John Tanucilli 335"/>
    <s v="Complaint Signed"/>
    <s v="290 = Destruction/Damage/Vandalism of Property"/>
    <n v="2025"/>
    <n v="14"/>
    <n v="6"/>
    <n v="31"/>
    <n v="90"/>
    <d v="2025-03-31T20:00:00"/>
    <n v="310"/>
    <s v="I responded on the report of a suspicious incident. Upon arrival, I met with Yuri Vasilevski. He stated his vehicle window was broken and his belongings were on the ground. Sgt. Donnerstag arrived on scene to assist. The victim, Mr. Vasilevski, stated he parked his vehicle at approximately 2000 hours. When he returned to the vehicle, he found it had been broken into.     Det. Tanucilli was contacted and arrived on scene. It should be noted that while on scene Sgt. Donnerstag located another vehicle which appeared to be broken into (see case # 25-026113). Mr. Vasilevski gave consent to Det. Tanucilli to have the vehicle processed. Bergen County Sheriffs BCI detectives Stefanic and Anastasio responded to the scene and processed the vehicle (OCA 2025-0207). The victim stated five (5) dollars in 1 dollar bills of US currency were taken from the center console of his vehicle. Total value amount of repairs are unknown at this time.   The scene was turned over to Det. Tanucilli."/>
    <s v="Vehicle 1: NJ-UTU50W NISSAN, RGE"/>
    <s v=""/>
    <s v=""/>
    <s v="C04W13"/>
  </r>
  <r>
    <s v="25-026103"/>
    <x v="8"/>
    <x v="2"/>
    <d v="1899-12-30T20:00:00"/>
    <d v="1899-12-30T20:00:00"/>
    <x v="0"/>
    <s v="March"/>
    <s v="Lookout Ave, 300 Block"/>
    <s v="310 Lookout Avenue"/>
    <x v="0"/>
    <s v="Burglary - Auto"/>
    <s v=""/>
    <s v=""/>
    <s v="310 Lookout Avenue, Hackensack, NJ, 07601"/>
    <s v="I2"/>
    <n v="9"/>
    <s v="I responded on the report of a suspicious incident. Upon arrival, I met with Yuri Vasilevski. He stated his vehicle window was broken and his belongings were on the ground. Sgt. Donnerstag arrived on scene to assist. The victim, Mr. Vasilevski, stated he parked his vehicle at approximately 2000 hours. When he returned to the vehicle, he found it had been broken into.     Det. Tanucilli was contacted and arrived on scene. It should be noted that while on scene Sgt. Donnerstag located another vehicle which appeared to be broken into (see case # 25-026113). Mr. Vasilevski gave consent to Det. Tanucilli to have the vehicle processed. Bergen County Sheriffs BCI detectives Stefanic and Anastasio responded to the scene and processed the vehicle (OCA 2025-0207). The victim stated five (5) dollars in 1 dollar bills of US currency were taken from the center console of his vehicle. Total value amount of repairs are unknown at this time.   The scene was turned over to Det. Tanucilli."/>
    <n v="5"/>
    <n v="0"/>
    <s v="UTU50W"/>
    <s v="NISSAN"/>
    <s v="RGE"/>
    <s v="NJ"/>
    <m/>
    <m/>
    <m/>
    <m/>
    <s v="Farhi_B"/>
    <s v="P.O. Matthew Antista 135"/>
    <s v="A4"/>
    <s v="Det. John Tanucilli 335"/>
    <s v="Complaint Signed"/>
    <s v="290 = Destruction/Damage/Vandalism of Property"/>
    <n v="2025"/>
    <n v="14"/>
    <n v="6"/>
    <n v="31"/>
    <n v="90"/>
    <d v="2025-03-31T20:00:00"/>
    <n v="310"/>
    <s v="I responded on the report of a suspicious incident. Upon arrival, I met with Yuri Vasilevski. He stated his vehicle window was broken and his belongings were on the ground. Sgt. Donnerstag arrived on scene to assist. The victim, Mr. Vasilevski, stated he parked his vehicle at approximately 2000 hours. When he returned to the vehicle, he found it had been broken into.     Det. Tanucilli was contacted and arrived on scene. It should be noted that while on scene Sgt. Donnerstag located another vehicle which appeared to be broken into (see case # 25-026113). Mr. Vasilevski gave consent to Det. Tanucilli to have the vehicle processed. Bergen County Sheriffs BCI detectives Stefanic and Anastasio responded to the scene and processed the vehicle (OCA 2025-0207). The victim stated five (5) dollars in 1 dollar bills of US currency were taken from the center console of his vehicle. Total value amount of repairs are unknown at this time.   The scene was turned over to Det. Tanucilli."/>
    <s v="Vehicle 1: NJ-UTU50W NISSAN, RGE"/>
    <s v=""/>
    <s v=""/>
    <s v="C04W13"/>
  </r>
  <r>
    <s v="25-026103"/>
    <x v="8"/>
    <x v="2"/>
    <d v="1899-12-30T20:00:00"/>
    <d v="1899-12-30T20:00:00"/>
    <x v="0"/>
    <s v="March"/>
    <s v="Lookout Ave, 300 Block"/>
    <s v="310 Lookout Avenue"/>
    <x v="0"/>
    <s v="Burglary - Auto"/>
    <s v=""/>
    <s v=""/>
    <s v="310 Lookout Avenue, Hackensack, NJ, 07601"/>
    <s v="I2"/>
    <n v="9"/>
    <s v="I responded on the report of a suspicious incident. Upon arrival, I met with Yuri Vasilevski. He stated his vehicle window was broken and his belongings were on the ground. Sgt. Donnerstag arrived on scene to assist. The victim, Mr. Vasilevski, stated he parked his vehicle at approximately 2000 hours. When he returned to the vehicle, he found it had been broken into.     Det. Tanucilli was contacted and arrived on scene. It should be noted that while on scene Sgt. Donnerstag located another vehicle which appeared to be broken into (see case # 25-026113). Mr. Vasilevski gave consent to Det. Tanucilli to have the vehicle processed. Bergen County Sheriffs BCI detectives Stefanic and Anastasio responded to the scene and processed the vehicle (OCA 2025-0207). The victim stated five (5) dollars in 1 dollar bills of US currency were taken from the center console of his vehicle. Total value amount of repairs are unknown at this time.   The scene was turned over to Det. Tanucilli."/>
    <n v="5"/>
    <n v="0"/>
    <s v="UTU50W"/>
    <s v="NISSAN"/>
    <s v="RGE"/>
    <s v="NJ"/>
    <m/>
    <m/>
    <m/>
    <m/>
    <s v="Farhi_B"/>
    <s v="P.O. Matthew Antista 135"/>
    <s v="A4"/>
    <s v="Det. John Tanucilli 335"/>
    <s v="Active Investigation"/>
    <s v="290 = Destruction/Damage/Vandalism of Property"/>
    <n v="2025"/>
    <n v="14"/>
    <n v="6"/>
    <n v="31"/>
    <n v="90"/>
    <d v="2025-03-31T20:00:00"/>
    <n v="310"/>
    <s v="I responded on the report of a suspicious incident. Upon arrival, I met with Yuri Vasilevski. He stated his vehicle window was broken and his belongings were on the ground. Sgt. Donnerstag arrived on scene to assist. The victim, Mr. Vasilevski, stated he parked his vehicle at approximately 2000 hours. When he returned to the vehicle, he found it had been broken into.     Det. Tanucilli was contacted and arrived on scene. It should be noted that while on scene Sgt. Donnerstag located another vehicle which appeared to be broken into (see case # 25-026113). Mr. Vasilevski gave consent to Det. Tanucilli to have the vehicle processed. Bergen County Sheriffs BCI detectives Stefanic and Anastasio responded to the scene and processed the vehicle (OCA 2025-0207). The victim stated five (5) dollars in 1 dollar bills of US currency were taken from the center console of his vehicle. Total value amount of repairs are unknown at this time.   The scene was turned over to Det. Tanucilli."/>
    <s v="Vehicle 1: NJ-UTU50W NISSAN, RGE"/>
    <s v=""/>
    <s v=""/>
    <s v="C04W13"/>
  </r>
  <r>
    <s v="25-026103"/>
    <x v="8"/>
    <x v="2"/>
    <d v="1899-12-30T20:00:00"/>
    <d v="1899-12-30T20:00:00"/>
    <x v="0"/>
    <s v="March"/>
    <s v="Lookout Ave, 300 Block"/>
    <s v="310 Lookout Avenue"/>
    <x v="0"/>
    <s v="Burglary - Auto"/>
    <s v=""/>
    <s v=""/>
    <s v="310 Lookout Avenue, Hackensack, NJ, 07601"/>
    <s v="I2"/>
    <n v="9"/>
    <s v="I responded on the report of a suspicious incident. Upon arrival, I met with Yuri Vasilevski. He stated his vehicle window was broken and his belongings were on the ground. Sgt. Donnerstag arrived on scene to assist. The victim, Mr. Vasilevski, stated he parked his vehicle at approximately 2000 hours. When he returned to the vehicle, he found it had been broken into.     Det. Tanucilli was contacted and arrived on scene. It should be noted that while on scene Sgt. Donnerstag located another vehicle which appeared to be broken into (see case # 25-026113). Mr. Vasilevski gave consent to Det. Tanucilli to have the vehicle processed. Bergen County Sheriffs BCI detectives Stefanic and Anastasio responded to the scene and processed the vehicle (OCA 2025-0207). The victim stated five (5) dollars in 1 dollar bills of US currency were taken from the center console of his vehicle. Total value amount of repairs are unknown at this time.   The scene was turned over to Det. Tanucilli."/>
    <n v="5"/>
    <n v="0"/>
    <s v="UTU50W"/>
    <s v="NISSAN"/>
    <s v="RGE"/>
    <s v="NJ"/>
    <m/>
    <m/>
    <m/>
    <m/>
    <s v="Farhi_B"/>
    <s v="P.O. Matthew Antista 135"/>
    <s v="A4"/>
    <s v="Det. John Tanucilli 335"/>
    <s v="Complaint Signed"/>
    <s v="290 = Destruction/Damage/Vandalism of Property"/>
    <n v="2025"/>
    <n v="14"/>
    <n v="6"/>
    <n v="31"/>
    <n v="90"/>
    <d v="2025-03-31T20:00:00"/>
    <n v="310"/>
    <s v="I responded on the report of a suspicious incident. Upon arrival, I met with Yuri Vasilevski. He stated his vehicle window was broken and his belongings were on the ground. Sgt. Donnerstag arrived on scene to assist. The victim, Mr. Vasilevski, stated he parked his vehicle at approximately 2000 hours. When he returned to the vehicle, he found it had been broken into.     Det. Tanucilli was contacted and arrived on scene. It should be noted that while on scene Sgt. Donnerstag located another vehicle which appeared to be broken into (see case # 25-026113). Mr. Vasilevski gave consent to Det. Tanucilli to have the vehicle processed. Bergen County Sheriffs BCI detectives Stefanic and Anastasio responded to the scene and processed the vehicle (OCA 2025-0207). The victim stated five (5) dollars in 1 dollar bills of US currency were taken from the center console of his vehicle. Total value amount of repairs are unknown at this time.   The scene was turned over to Det. Tanucilli."/>
    <s v="Vehicle 1: NJ-UTU50W NISSAN, RGE"/>
    <s v=""/>
    <s v=""/>
    <s v="C04W13"/>
  </r>
  <r>
    <s v="25-026113"/>
    <x v="8"/>
    <x v="1"/>
    <d v="1899-12-30T18:00:00"/>
    <d v="1899-12-30T18:00:00"/>
    <x v="0"/>
    <s v="March"/>
    <s v="Lookout Ave, 300 Block"/>
    <s v="310 Lookout Avenue"/>
    <x v="0"/>
    <s v="Burglary - Auto"/>
    <s v=""/>
    <s v=""/>
    <s v="310 Lookout Avenue, Hackensack, NJ, 07601"/>
    <s v="I2"/>
    <m/>
    <s v="While on scene investigating a separate incident (OCA 25-026103), Sgt. Donnerstag located the listed vehicle with its drivers side window smashed in. The interior of the vehicle appeared to be rummaged through. The registered owner of the vehicle, Ms. Olga Balakova was contacted and responded to the vehicle's location. She stated she parked her car at approximately 1800 hours.     Ms. Balakova gave consent to Det. Tanucilli to have the vehicle processed. Bergen County Sheriffs BCI detective's Stefanic # 1954 and Anastasio # 1766 were already on scene to process a separate vehicle ( see case # 25-026103 ). The vehicle was processed by Bergen County Sheriffs BCI on scene, see their case number 2025-0206 for further.  Ms. Balakova stated that only a few dollars in change appeared to be missing. She was not sure of the exact amount, but stated it was only one or two dollars total. The total cost of damage is unknown at the time.      The scene was turned over to Det. Tanucilli."/>
    <n v="2"/>
    <n v="0"/>
    <s v="IMKR57"/>
    <s v="NISSAN"/>
    <s v="ROGUE"/>
    <s v="NJ"/>
    <m/>
    <m/>
    <m/>
    <m/>
    <s v="Farhi_B"/>
    <s v="P.O. Matthew Antista 135"/>
    <s v="A4"/>
    <s v="Det. John Tanucilli 335"/>
    <s v="Complaint Signed"/>
    <s v="290 = Destruction/Damage/Vandalism of Property"/>
    <n v="2025"/>
    <n v="14"/>
    <n v="6"/>
    <n v="31"/>
    <n v="90"/>
    <d v="2025-03-31T18:00:00"/>
    <n v="310"/>
    <s v="While on scene investigating a separate incident (OCA 25-026103), Sgt. Donnerstag located the listed vehicle with its drivers side window smashed in. The interior of the vehicle appeared to be rummaged through. The registered owner of the vehicle, Ms. Olga Balakova was contacted and responded to the vehicle's location. She stated she parked her car at approximately 1800 hours.     Ms. Balakova gave consent to Det. Tanucilli to have the vehicle processed. Bergen County Sheriffs BCI detective's Stefanic # 1954 and Anastasio # 1766 were already on scene to process a separate vehicle ( see case # 25-026103 ). The vehicle was processed by Bergen County Sheriffs BCI on scene, see their case number 2025-0206 for further.  Ms. Balakova stated that only a few dollars in change appeared to be missing. She was not sure of the exact amount, but stated it was only one or two dollars total. The total cost of damage is unknown at the time.      The scene was turned over to Det. Tanucilli."/>
    <s v="Vehicle 1: NJ-IMKR57 NISSAN, ROGUE"/>
    <s v=""/>
    <s v=""/>
    <s v="C04W13"/>
  </r>
  <r>
    <s v="25-026113"/>
    <x v="8"/>
    <x v="1"/>
    <d v="1899-12-30T18:00:00"/>
    <d v="1899-12-30T18:00:00"/>
    <x v="0"/>
    <s v="March"/>
    <s v="Lookout Ave, 300 Block"/>
    <s v="310 Lookout Avenue"/>
    <x v="0"/>
    <s v="Burglary - Auto"/>
    <s v=""/>
    <s v=""/>
    <s v="310 Lookout Avenue, Hackensack, NJ, 07601"/>
    <s v="I2"/>
    <m/>
    <s v="While on scene investigating a separate incident (OCA 25-026103), Sgt. Donnerstag located the listed vehicle with its drivers side window smashed in. The interior of the vehicle appeared to be rummaged through. The registered owner of the vehicle, Ms. Olga Balakova was contacted and responded to the vehicle's location. She stated she parked her car at approximately 1800 hours.     Ms. Balakova gave consent to Det. Tanucilli to have the vehicle processed. Bergen County Sheriffs BCI detective's Stefanic # 1954 and Anastasio # 1766 were already on scene to process a separate vehicle ( see case # 25-026103 ). The vehicle was processed by Bergen County Sheriffs BCI on scene, see their case number 2025-0206 for further.  Ms. Balakova stated that only a few dollars in change appeared to be missing. She was not sure of the exact amount, but stated it was only one or two dollars total. The total cost of damage is unknown at the time.      The scene was turned over to Det. Tanucilli."/>
    <n v="2"/>
    <n v="0"/>
    <s v="IMKR57"/>
    <s v="NISSAN"/>
    <s v="ROGUE"/>
    <s v="NJ"/>
    <m/>
    <m/>
    <m/>
    <m/>
    <s v="Farhi_B"/>
    <s v="P.O. Matthew Antista 135"/>
    <s v="A4"/>
    <s v="Det. John Tanucilli 335"/>
    <s v="Active Investigation"/>
    <s v="290 = Destruction/Damage/Vandalism of Property"/>
    <n v="2025"/>
    <n v="14"/>
    <n v="6"/>
    <n v="31"/>
    <n v="90"/>
    <d v="2025-03-31T18:00:00"/>
    <n v="310"/>
    <s v="While on scene investigating a separate incident (OCA 25-026103), Sgt. Donnerstag located the listed vehicle with its drivers side window smashed in. The interior of the vehicle appeared to be rummaged through. The registered owner of the vehicle, Ms. Olga Balakova was contacted and responded to the vehicle's location. She stated she parked her car at approximately 1800 hours.     Ms. Balakova gave consent to Det. Tanucilli to have the vehicle processed. Bergen County Sheriffs BCI detective's Stefanic # 1954 and Anastasio # 1766 were already on scene to process a separate vehicle ( see case # 25-026103 ). The vehicle was processed by Bergen County Sheriffs BCI on scene, see their case number 2025-0206 for further.  Ms. Balakova stated that only a few dollars in change appeared to be missing. She was not sure of the exact amount, but stated it was only one or two dollars total. The total cost of damage is unknown at the time.      The scene was turned over to Det. Tanucilli."/>
    <s v="Vehicle 1: NJ-IMKR57 NISSAN, ROGUE"/>
    <s v=""/>
    <s v=""/>
    <s v="C04W13"/>
  </r>
  <r>
    <s v="25-026103"/>
    <x v="8"/>
    <x v="2"/>
    <d v="1899-12-30T20:00:00"/>
    <d v="1899-12-30T20:00:00"/>
    <x v="0"/>
    <s v="March"/>
    <s v="Lookout Ave, 300 Block"/>
    <s v="310 Lookout Avenue"/>
    <x v="0"/>
    <s v="Burglary - Auto"/>
    <s v=""/>
    <s v=""/>
    <s v="310 Lookout Avenue, Hackensack, NJ, 07601"/>
    <s v="I2"/>
    <n v="9"/>
    <s v="I responded on the report of a suspicious incident. Upon arrival, I met with Yuri Vasilevski. He stated his vehicle window was broken and his belongings were on the ground. Sgt. Donnerstag arrived on scene to assist. The victim, Mr. Vasilevski, stated he parked his vehicle at approximately 2000 hours. When he returned to the vehicle, he found it had been broken into.     Det. Tanucilli was contacted and arrived on scene. It should be noted that while on scene Sgt. Donnerstag located another vehicle which appeared to be broken into (see case # 25-026113). Mr. Vasilevski gave consent to Det. Tanucilli to have the vehicle processed. Bergen County Sheriffs BCI detectives Stefanic and Anastasio responded to the scene and processed the vehicle (OCA 2025-0207). The victim stated five (5) dollars in 1 dollar bills of US currency were taken from the center console of his vehicle. Total value amount of repairs are unknown at this time.   The scene was turned over to Det. Tanucilli."/>
    <n v="5"/>
    <n v="0"/>
    <s v="UTU50W"/>
    <s v="NISSAN"/>
    <s v="RGE"/>
    <s v="NJ"/>
    <m/>
    <m/>
    <m/>
    <m/>
    <s v="Farhi_B"/>
    <s v="P.O. Matthew Antista 135"/>
    <s v="A4"/>
    <s v="Det. John Tanucilli 335"/>
    <s v="Active Investigation"/>
    <s v="290 = Destruction/Damage/Vandalism of Property"/>
    <n v="2025"/>
    <n v="14"/>
    <n v="6"/>
    <n v="31"/>
    <n v="90"/>
    <d v="2025-03-31T20:00:00"/>
    <n v="310"/>
    <s v="I responded on the report of a suspicious incident. Upon arrival, I met with Yuri Vasilevski. He stated his vehicle window was broken and his belongings were on the ground. Sgt. Donnerstag arrived on scene to assist. The victim, Mr. Vasilevski, stated he parked his vehicle at approximately 2000 hours. When he returned to the vehicle, he found it had been broken into.     Det. Tanucilli was contacted and arrived on scene. It should be noted that while on scene Sgt. Donnerstag located another vehicle which appeared to be broken into (see case # 25-026113). Mr. Vasilevski gave consent to Det. Tanucilli to have the vehicle processed. Bergen County Sheriffs BCI detectives Stefanic and Anastasio responded to the scene and processed the vehicle (OCA 2025-0207). The victim stated five (5) dollars in 1 dollar bills of US currency were taken from the center console of his vehicle. Total value amount of repairs are unknown at this time.   The scene was turned over to Det. Tanucilli."/>
    <s v="Vehicle 1: NJ-UTU50W NISSAN, RGE"/>
    <s v=""/>
    <s v=""/>
    <s v="C04W13"/>
  </r>
  <r>
    <s v="25-026357"/>
    <x v="9"/>
    <x v="2"/>
    <d v="1899-12-30T20:00:00"/>
    <d v="1899-12-30T20:28:40"/>
    <x v="4"/>
    <s v="April"/>
    <s v="Prospect Ave, 0 Block"/>
    <s v="77 Prospect Avenue"/>
    <x v="0"/>
    <s v="Burglary - Auto"/>
    <s v=""/>
    <s v=""/>
    <s v="77 Prospect Avenue, Hackensack, NJ, 07601"/>
    <s v="G4"/>
    <n v="7"/>
    <s v="On April 1, 2025 P.O Deoliveira and I responded to 77 Prospect Avenue on a report of a burglary to Auto. Upon arrival, we were met by the victim Jaime Laracuente and the building super Mark Muci. The victim advised us that he was contacted by Mr. Muci about his vehicle being burglarized. Mr. Muci was contacted by another tenant in the building who discovered that the victims window passenger side window was broken into. The vehicle was discovered to be burglarized at approximately 20:10 hours tonight. When the victim was asked, he stated he parked his vehicle in the rear lot of 77 Prospect Avenue at around 17:00 hours on 03/31/2025 and has not used it since. The victim provided me with his vehicle registration (NJ:U57SNU) and insurance (Code 012:   #908248625).I advised Headquarters and Sgt. Farhi responded to the scene. At this time the victim stated that he did not enter his vehicle but stated that their were no items of value when the burglary occurred. The area was canvassed with no signs of additional vehicles being burglarized and no surveillance camera's on the property. Det. Tanucilli was contacted and responded to the scene.The victim requested that his vehicle be processed for evidence and Bergen County BCI was contacted. The victim completed a consent to search form on scene. At approximately 21:33 hours BCI Det. Stefanic and Anastasio responded to the scene and processed the vehicle. Their case number is 2025-0208. The scene was then turned over to the registered owner. A victim notification form was completed and provided to the victim."/>
    <m/>
    <m/>
    <s v="U57SNU"/>
    <s v="MAZDA"/>
    <s v="C30"/>
    <s v="NJ"/>
    <m/>
    <m/>
    <m/>
    <m/>
    <s v="Deleon_A"/>
    <s v="P.O. Anzour Marza 356"/>
    <s v="A3"/>
    <s v="Det. John Tanucilli 335"/>
    <s v="Active/Administratively Closed"/>
    <s v="23F = Theft From Motor Vehicle"/>
    <n v="2025"/>
    <n v="14"/>
    <n v="1"/>
    <n v="1"/>
    <n v="91"/>
    <d v="2025-04-01T20:28:00"/>
    <n v="77"/>
    <s v="On April 1, 2025 P.O Deoliveira and I responded to 77 Prospect Avenue on a report of a burglary to Auto. Upon arrival, we were met by the victim Jaime Laracuente and the building super Mark Muci. The victim advised us that he was contacted by Mr. Muci about his vehicle being burglarized. Mr. Muci was contacted by another tenant in the building who discovered that the victims window passenger side window was broken into. The vehicle was discovered to be burglarized at approximately 20:10 hours tonight. When the victim was asked, he stated he parked his vehicle in the rear lot of 77 Prospect Avenue at around 17:00 hours on 03/31/2025 and has not used it since. The victim provided me with his vehicle registration (NJ:U57SNU) and insurance (Code 012:   #908248625).I advised Headquarters and Sgt. Farhi responded to the scene. At this time the victim stated that he did not enter his vehicle but stated that their were no items of value when the burglary occurred. The area was canvassed with no signs of additional vehicles being burglarized and no surveillance camera's on the property. Det. Tanucilli was contacted and responded to the scene.The victim requested that his vehicle be processed for evidence and Bergen County BCI was contacted. The victim completed a consent to search form on scene. At approximately 21:33 hours BCI Det. Stefanic and Anastasio responded to the scene and processed the vehicle. Their case number is 2025-0208. The scene was then turned over to the registered owner. A victim notification form was completed and provided to the victim."/>
    <s v="Vehicle 1: NJ-U57SNU MAZDA, C30"/>
    <s v=""/>
    <s v=""/>
    <s v="C04W14"/>
  </r>
  <r>
    <s v="25-026357"/>
    <x v="9"/>
    <x v="2"/>
    <d v="1899-12-30T20:00:00"/>
    <d v="1899-12-30T20:28:40"/>
    <x v="4"/>
    <s v="April"/>
    <s v="Prospect Ave, 0 Block"/>
    <s v="77 Prospect Avenue"/>
    <x v="0"/>
    <s v="Burglary - Auto"/>
    <s v=""/>
    <s v=""/>
    <s v="77 Prospect Avenue, Hackensack, NJ, 07601"/>
    <s v="G4"/>
    <n v="7"/>
    <s v="On April 1, 2025 P.O Deoliveira and I responded to 77 Prospect Avenue on a report of a burglary to Auto. Upon arrival, we were met by the victim Jaime Laracuente and the building super Mark Muci. The victim advised us that he was contacted by Mr. Muci about his vehicle being burglarized. Mr. Muci was contacted by another tenant in the building who discovered that the victims window passenger side window was broken into. The vehicle was discovered to be burglarized at approximately 20:10 hours tonight. When the victim was asked, he stated he parked his vehicle in the rear lot of 77 Prospect Avenue at around 17:00 hours on 03/31/2025 and has not used it since. The victim provided me with his vehicle registration (NJ:U57SNU) and insurance (Code 012:   #908248625).I advised Headquarters and Sgt. Farhi responded to the scene. At this time the victim stated that he did not enter his vehicle but stated that their were no items of value when the burglary occurred. The area was canvassed with no signs of additional vehicles being burglarized and no surveillance camera's on the property. Det. Tanucilli was contacted and responded to the scene.The victim requested that his vehicle be processed for evidence and Bergen County BCI was contacted. The victim completed a consent to search form on scene. At approximately 21:33 hours BCI Det. Stefanic and Anastasio responded to the scene and processed the vehicle. Their case number is 2025-0208. The scene was then turned over to the registered owner. A victim notification form was completed and provided to the victim."/>
    <m/>
    <m/>
    <s v="U57SNU"/>
    <s v="MAZDA"/>
    <s v="C30"/>
    <s v="NJ"/>
    <m/>
    <m/>
    <m/>
    <m/>
    <s v="Deleon_A"/>
    <s v="P.O. Anzour Marza 356"/>
    <s v="A3"/>
    <s v="Det. John Tanucilli 335"/>
    <s v="Active/Administratively Closed"/>
    <m/>
    <n v="2025"/>
    <n v="14"/>
    <n v="1"/>
    <n v="1"/>
    <n v="91"/>
    <d v="2025-04-01T20:28:00"/>
    <n v="77"/>
    <s v="On April 1, 2025 P.O Deoliveira and I responded to 77 Prospect Avenue on a report of a burglary to Auto. Upon arrival, we were met by the victim Jaime Laracuente and the building super Mark Muci. The victim advised us that he was contacted by Mr. Muci about his vehicle being burglarized. Mr. Muci was contacted by another tenant in the building who discovered that the victims window passenger side window was broken into. The vehicle was discovered to be burglarized at approximately 20:10 hours tonight. When the victim was asked, he stated he parked his vehicle in the rear lot of 77 Prospect Avenue at around 17:00 hours on 03/31/2025 and has not used it since. The victim provided me with his vehicle registration (NJ:U57SNU) and insurance (Code 012:   #908248625).I advised Headquarters and Sgt. Farhi responded to the scene. At this time the victim stated that he did not enter his vehicle but stated that their were no items of value when the burglary occurred. The area was canvassed with no signs of additional vehicles being burglarized and no surveillance camera's on the property. Det. Tanucilli was contacted and responded to the scene.The victim requested that his vehicle be processed for evidence and Bergen County BCI was contacted. The victim completed a consent to search form on scene. At approximately 21:33 hours BCI Det. Stefanic and Anastasio responded to the scene and processed the vehicle. Their case number is 2025-0208. The scene was then turned over to the registered owner. A victim notification form was completed and provided to the victim."/>
    <s v="Vehicle 1: NJ-U57SNU MAZDA, C30"/>
    <s v=""/>
    <s v=""/>
    <s v="C04W14"/>
  </r>
  <r>
    <s v="25-026357"/>
    <x v="9"/>
    <x v="2"/>
    <d v="1899-12-30T20:00:00"/>
    <d v="1899-12-30T20:28:40"/>
    <x v="4"/>
    <s v="April"/>
    <s v="Prospect Ave, 0 Block"/>
    <s v="77 Prospect Avenue"/>
    <x v="0"/>
    <s v="Burglary - Auto"/>
    <s v=""/>
    <s v=""/>
    <s v="77 Prospect Avenue, Hackensack, NJ, 07601"/>
    <s v="G4"/>
    <n v="7"/>
    <s v="On April 1, 2025 P.O Deoliveira and I responded to 77 Prospect Avenue on a report of a burglary to Auto. Upon arrival, we were met by the victim Jaime Laracuente and the building super Mark Muci. The victim advised us that he was contacted by Mr. Muci about his vehicle being burglarized. Mr. Muci was contacted by another tenant in the building who discovered that the victims window passenger side window was broken into. The vehicle was discovered to be burglarized at approximately 20:10 hours tonight. When the victim was asked, he stated he parked his vehicle in the rear lot of 77 Prospect Avenue at around 17:00 hours on 03/31/2025 and has not used it since. The victim provided me with his vehicle registration (NJ:U57SNU) and insurance (Code 012:   #908248625).I advised Headquarters and Sgt. Farhi responded to the scene. At this time the victim stated that he did not enter his vehicle but stated that their were no items of value when the burglary occurred. The area was canvassed with no signs of additional vehicles being burglarized and no surveillance camera's on the property. Det. Tanucilli was contacted and responded to the scene.The victim requested that his vehicle be processed for evidence and Bergen County BCI was contacted. The victim completed a consent to search form on scene. At approximately 21:33 hours BCI Det. Stefanic and Anastasio responded to the scene and processed the vehicle. Their case number is 2025-0208. The scene was then turned over to the registered owner. A victim notification form was completed and provided to the victim."/>
    <m/>
    <m/>
    <s v="U57SNU"/>
    <s v="MAZDA"/>
    <s v="C30"/>
    <s v="NJ"/>
    <m/>
    <m/>
    <m/>
    <m/>
    <s v="Deleon_A"/>
    <s v="P.O. Anzour Marza 356"/>
    <s v="A3"/>
    <s v="Det. John Tanucilli 335"/>
    <s v="Active/Administratively Closed"/>
    <m/>
    <n v="2025"/>
    <n v="14"/>
    <n v="1"/>
    <n v="1"/>
    <n v="91"/>
    <d v="2025-04-01T20:28:00"/>
    <n v="77"/>
    <s v="On April 1, 2025 P.O Deoliveira and I responded to 77 Prospect Avenue on a report of a burglary to Auto. Upon arrival, we were met by the victim Jaime Laracuente and the building super Mark Muci. The victim advised us that he was contacted by Mr. Muci about his vehicle being burglarized. Mr. Muci was contacted by another tenant in the building who discovered that the victims window passenger side window was broken into. The vehicle was discovered to be burglarized at approximately 20:10 hours tonight. When the victim was asked, he stated he parked his vehicle in the rear lot of 77 Prospect Avenue at around 17:00 hours on 03/31/2025 and has not used it since. The victim provided me with his vehicle registration (NJ:U57SNU) and insurance (Code 012:   #908248625).I advised Headquarters and Sgt. Farhi responded to the scene. At this time the victim stated that he did not enter his vehicle but stated that their were no items of value when the burglary occurred. The area was canvassed with no signs of additional vehicles being burglarized and no surveillance camera's on the property. Det. Tanucilli was contacted and responded to the scene.The victim requested that his vehicle be processed for evidence and Bergen County BCI was contacted. The victim completed a consent to search form on scene. At approximately 21:33 hours BCI Det. Stefanic and Anastasio responded to the scene and processed the vehicle. Their case number is 2025-0208. The scene was then turned over to the registered owner. A victim notification form was completed and provided to the victim."/>
    <s v="Vehicle 1: NJ-U57SNU MAZDA, C30"/>
    <s v=""/>
    <s v=""/>
    <s v="C04W14"/>
  </r>
  <r>
    <s v="25-026357"/>
    <x v="9"/>
    <x v="2"/>
    <d v="1899-12-30T20:00:00"/>
    <d v="1899-12-30T20:28:40"/>
    <x v="4"/>
    <s v="April"/>
    <s v="Prospect Ave, 0 Block"/>
    <s v="77 Prospect Avenue"/>
    <x v="0"/>
    <s v="Burglary - Auto"/>
    <s v=""/>
    <s v=""/>
    <s v="77 Prospect Avenue, Hackensack, NJ, 07601"/>
    <s v="G4"/>
    <n v="7"/>
    <s v="On April 1, 2025 P.O Deoliveira and I responded to 77 Prospect Avenue on a report of a burglary to Auto. Upon arrival, we were met by the victim Jaime Laracuente and the building super Mark Muci. The victim advised us that he was contacted by Mr. Muci about his vehicle being burglarized. Mr. Muci was contacted by another tenant in the building who discovered that the victims window passenger side window was broken into. The vehicle was discovered to be burglarized at approximately 20:10 hours tonight. When the victim was asked, he stated he parked his vehicle in the rear lot of 77 Prospect Avenue at around 17:00 hours on 03/31/2025 and has not used it since. The victim provided me with his vehicle registration (NJ:U57SNU) and insurance (Code 012:   #908248625).I advised Headquarters and Sgt. Farhi responded to the scene. At this time the victim stated that he did not enter his vehicle but stated that their were no items of value when the burglary occurred. The area was canvassed with no signs of additional vehicles being burglarized and no surveillance camera's on the property. Det. Tanucilli was contacted and responded to the scene.The victim requested that his vehicle be processed for evidence and Bergen County BCI was contacted. The victim completed a consent to search form on scene. At approximately 21:33 hours BCI Det. Stefanic and Anastasio responded to the scene and processed the vehicle. Their case number is 2025-0208. The scene was then turned over to the registered owner. A victim notification form was completed and provided to the victim."/>
    <m/>
    <m/>
    <s v="U57SNU"/>
    <s v="MAZDA"/>
    <s v="C30"/>
    <s v="NJ"/>
    <m/>
    <m/>
    <m/>
    <m/>
    <s v="Deleon_A"/>
    <s v="P.O. Anzour Marza 356"/>
    <s v="A3"/>
    <s v="Det. John Tanucilli 335"/>
    <s v="Active/Administratively Closed"/>
    <s v="23F = Theft From Motor Vehicle"/>
    <n v="2025"/>
    <n v="14"/>
    <n v="1"/>
    <n v="1"/>
    <n v="91"/>
    <d v="2025-04-01T20:28:00"/>
    <n v="77"/>
    <s v="On April 1, 2025 P.O Deoliveira and I responded to 77 Prospect Avenue on a report of a burglary to Auto. Upon arrival, we were met by the victim Jaime Laracuente and the building super Mark Muci. The victim advised us that he was contacted by Mr. Muci about his vehicle being burglarized. Mr. Muci was contacted by another tenant in the building who discovered that the victims window passenger side window was broken into. The vehicle was discovered to be burglarized at approximately 20:10 hours tonight. When the victim was asked, he stated he parked his vehicle in the rear lot of 77 Prospect Avenue at around 17:00 hours on 03/31/2025 and has not used it since. The victim provided me with his vehicle registration (NJ:U57SNU) and insurance (Code 012:   #908248625).I advised Headquarters and Sgt. Farhi responded to the scene. At this time the victim stated that he did not enter his vehicle but stated that their were no items of value when the burglary occurred. The area was canvassed with no signs of additional vehicles being burglarized and no surveillance camera's on the property. Det. Tanucilli was contacted and responded to the scene.The victim requested that his vehicle be processed for evidence and Bergen County BCI was contacted. The victim completed a consent to search form on scene. At approximately 21:33 hours BCI Det. Stefanic and Anastasio responded to the scene and processed the vehicle. Their case number is 2025-0208. The scene was then turned over to the registered owner. A victim notification form was completed and provided to the victim."/>
    <s v="Vehicle 1: NJ-U57SNU MAZDA, C30"/>
    <s v=""/>
    <s v=""/>
    <s v="C04W14"/>
  </r>
  <r>
    <s v="25-026357"/>
    <x v="9"/>
    <x v="2"/>
    <d v="1899-12-30T20:00:00"/>
    <d v="1899-12-30T20:28:40"/>
    <x v="4"/>
    <s v="April"/>
    <s v="Prospect Ave, 0 Block"/>
    <s v="77 Prospect Avenue"/>
    <x v="0"/>
    <s v="Burglary - Auto"/>
    <s v=""/>
    <s v=""/>
    <s v="77 Prospect Avenue, Hackensack, NJ, 07601"/>
    <s v="G4"/>
    <n v="7"/>
    <s v="On April 1, 2025 P.O Deoliveira and I responded to 77 Prospect Avenue on a report of a burglary to Auto. Upon arrival, we were met by the victim Jaime Laracuente and the building super Mark Muci. The victim advised us that he was contacted by Mr. Muci about his vehicle being burglarized. Mr. Muci was contacted by another tenant in the building who discovered that the victims window passenger side window was broken into. The vehicle was discovered to be burglarized at approximately 20:10 hours tonight. When the victim was asked, he stated he parked his vehicle in the rear lot of 77 Prospect Avenue at around 17:00 hours on 03/31/2025 and has not used it since. The victim provided me with his vehicle registration (NJ:U57SNU) and insurance (Code 012:   #908248625).I advised Headquarters and Sgt. Farhi responded to the scene. At this time the victim stated that he did not enter his vehicle but stated that their were no items of value when the burglary occurred. The area was canvassed with no signs of additional vehicles being burglarized and no surveillance camera's on the property. Det. Tanucilli was contacted and responded to the scene.The victim requested that his vehicle be processed for evidence and Bergen County BCI was contacted. The victim completed a consent to search form on scene. At approximately 21:33 hours BCI Det. Stefanic and Anastasio responded to the scene and processed the vehicle. Their case number is 2025-0208. The scene was then turned over to the registered owner. A victim notification form was completed and provided to the victim."/>
    <m/>
    <m/>
    <s v="U57SNU"/>
    <s v="MAZDA"/>
    <s v="C30"/>
    <s v="NJ"/>
    <m/>
    <m/>
    <m/>
    <m/>
    <s v="Deleon_A"/>
    <s v="P.O. Anzour Marza 356"/>
    <s v="A3"/>
    <s v="Det. John Tanucilli 335"/>
    <s v="Active/Administratively Closed"/>
    <s v="23F = Theft From Motor Vehicle"/>
    <n v="2025"/>
    <n v="14"/>
    <n v="1"/>
    <n v="1"/>
    <n v="91"/>
    <d v="2025-04-01T20:28:00"/>
    <n v="77"/>
    <s v="On April 1, 2025 P.O Deoliveira and I responded to 77 Prospect Avenue on a report of a burglary to Auto. Upon arrival, we were met by the victim Jaime Laracuente and the building super Mark Muci. The victim advised us that he was contacted by Mr. Muci about his vehicle being burglarized. Mr. Muci was contacted by another tenant in the building who discovered that the victims window passenger side window was broken into. The vehicle was discovered to be burglarized at approximately 20:10 hours tonight. When the victim was asked, he stated he parked his vehicle in the rear lot of 77 Prospect Avenue at around 17:00 hours on 03/31/2025 and has not used it since. The victim provided me with his vehicle registration (NJ:U57SNU) and insurance (Code 012:   #908248625).I advised Headquarters and Sgt. Farhi responded to the scene. At this time the victim stated that he did not enter his vehicle but stated that their were no items of value when the burglary occurred. The area was canvassed with no signs of additional vehicles being burglarized and no surveillance camera's on the property. Det. Tanucilli was contacted and responded to the scene.The victim requested that his vehicle be processed for evidence and Bergen County BCI was contacted. The victim completed a consent to search form on scene. At approximately 21:33 hours BCI Det. Stefanic and Anastasio responded to the scene and processed the vehicle. Their case number is 2025-0208. The scene was then turned over to the registered owner. A victim notification form was completed and provided to the victim."/>
    <s v="Vehicle 1: NJ-U57SNU MAZDA, C30"/>
    <s v=""/>
    <s v=""/>
    <s v="C04W14"/>
  </r>
  <r>
    <s v="25-026357"/>
    <x v="9"/>
    <x v="2"/>
    <d v="1899-12-30T20:00:00"/>
    <d v="1899-12-30T20:28:40"/>
    <x v="4"/>
    <s v="April"/>
    <s v="Prospect Ave, 0 Block"/>
    <s v="77 Prospect Avenue"/>
    <x v="0"/>
    <s v="Burglary - Auto"/>
    <s v=""/>
    <s v=""/>
    <s v="77 Prospect Avenue, Hackensack, NJ, 07601"/>
    <s v="G4"/>
    <n v="7"/>
    <s v="On April 1, 2025 P.O Deoliveira and I responded to 77 Prospect Avenue on a report of a burglary to Auto. Upon arrival, we were met by the victim Jaime Laracuente and the building super Mark Muci. The victim advised us that he was contacted by Mr. Muci about his vehicle being burglarized. Mr. Muci was contacted by another tenant in the building who discovered that the victims window passenger side window was broken into. The vehicle was discovered to be burglarized at approximately 20:10 hours tonight. When the victim was asked, he stated he parked his vehicle in the rear lot of 77 Prospect Avenue at around 17:00 hours on 03/31/2025 and has not used it since. The victim provided me with his vehicle registration (NJ:U57SNU) and insurance (Code 012:   #908248625).I advised Headquarters and Sgt. Farhi responded to the scene. At this time the victim stated that he did not enter his vehicle but stated that their were no items of value when the burglary occurred. The area was canvassed with no signs of additional vehicles being burglarized and no surveillance camera's on the property. Det. Tanucilli was contacted and responded to the scene.The victim requested that his vehicle be processed for evidence and Bergen County BCI was contacted. The victim completed a consent to search form on scene. At approximately 21:33 hours BCI Det. Stefanic and Anastasio responded to the scene and processed the vehicle. Their case number is 2025-0208. The scene was then turned over to the registered owner. A victim notification form was completed and provided to the victim."/>
    <m/>
    <m/>
    <s v="U57SNU"/>
    <s v="MAZDA"/>
    <s v="C30"/>
    <s v="NJ"/>
    <m/>
    <m/>
    <m/>
    <m/>
    <s v="Deleon_A"/>
    <s v="P.O. Anzour Marza 356"/>
    <s v="A3"/>
    <s v="Det. John Tanucilli 335"/>
    <s v="Active/Administratively Closed"/>
    <s v="23F = Theft From Motor Vehicle"/>
    <n v="2025"/>
    <n v="14"/>
    <n v="1"/>
    <n v="1"/>
    <n v="91"/>
    <d v="2025-04-01T20:28:00"/>
    <n v="77"/>
    <s v="On April 1, 2025 P.O Deoliveira and I responded to 77 Prospect Avenue on a report of a burglary to Auto. Upon arrival, we were met by the victim Jaime Laracuente and the building super Mark Muci. The victim advised us that he was contacted by Mr. Muci about his vehicle being burglarized. Mr. Muci was contacted by another tenant in the building who discovered that the victims window passenger side window was broken into. The vehicle was discovered to be burglarized at approximately 20:10 hours tonight. When the victim was asked, he stated he parked his vehicle in the rear lot of 77 Prospect Avenue at around 17:00 hours on 03/31/2025 and has not used it since. The victim provided me with his vehicle registration (NJ:U57SNU) and insurance (Code 012:   #908248625).I advised Headquarters and Sgt. Farhi responded to the scene. At this time the victim stated that he did not enter his vehicle but stated that their were no items of value when the burglary occurred. The area was canvassed with no signs of additional vehicles being burglarized and no surveillance camera's on the property. Det. Tanucilli was contacted and responded to the scene.The victim requested that his vehicle be processed for evidence and Bergen County BCI was contacted. The victim completed a consent to search form on scene. At approximately 21:33 hours BCI Det. Stefanic and Anastasio responded to the scene and processed the vehicle. Their case number is 2025-0208. The scene was then turned over to the registered owner. A victim notification form was completed and provided to the victim."/>
    <s v="Vehicle 1: NJ-U57SNU MAZDA, C30"/>
    <s v=""/>
    <s v=""/>
    <s v="C04W14"/>
  </r>
  <r>
    <s v="25-026357"/>
    <x v="9"/>
    <x v="2"/>
    <d v="1899-12-30T20:00:00"/>
    <d v="1899-12-30T20:28:40"/>
    <x v="4"/>
    <s v="April"/>
    <s v="Prospect Ave, 0 Block"/>
    <s v="77 Prospect Avenue"/>
    <x v="0"/>
    <s v="Burglary - Auto"/>
    <s v=""/>
    <s v=""/>
    <s v="77 Prospect Avenue, Hackensack, NJ, 07601"/>
    <s v="G4"/>
    <n v="7"/>
    <s v="On April 1, 2025 P.O Deoliveira and I responded to 77 Prospect Avenue on a report of a burglary to Auto. Upon arrival, we were met by the victim Jaime Laracuente and the building super Mark Muci. The victim advised us that he was contacted by Mr. Muci about his vehicle being burglarized. Mr. Muci was contacted by another tenant in the building who discovered that the victims window passenger side window was broken into. The vehicle was discovered to be burglarized at approximately 20:10 hours tonight. When the victim was asked, he stated he parked his vehicle in the rear lot of 77 Prospect Avenue at around 17:00 hours on 03/31/2025 and has not used it since. The victim provided me with his vehicle registration (NJ:U57SNU) and insurance (Code 012:   #908248625).I advised Headquarters and Sgt. Farhi responded to the scene. At this time the victim stated that he did not enter his vehicle but stated that their were no items of value when the burglary occurred. The area was canvassed with no signs of additional vehicles being burglarized and no surveillance camera's on the property. Det. Tanucilli was contacted and responded to the scene.The victim requested that his vehicle be processed for evidence and Bergen County BCI was contacted. The victim completed a consent to search form on scene. At approximately 21:33 hours BCI Det. Stefanic and Anastasio responded to the scene and processed the vehicle. Their case number is 2025-0208. The scene was then turned over to the registered owner. A victim notification form was completed and provided to the victim."/>
    <m/>
    <m/>
    <s v="U57SNU"/>
    <s v="MAZDA"/>
    <s v="C30"/>
    <s v="NJ"/>
    <m/>
    <m/>
    <m/>
    <m/>
    <s v="Deleon_A"/>
    <s v="P.O. Anzour Marza 356"/>
    <s v="A3"/>
    <s v="Det. John Tanucilli 335"/>
    <s v="Active/Administratively Closed"/>
    <s v="23F = Theft From Motor Vehicle"/>
    <n v="2025"/>
    <n v="14"/>
    <n v="1"/>
    <n v="1"/>
    <n v="91"/>
    <d v="2025-04-01T20:28:00"/>
    <n v="77"/>
    <s v="On April 1, 2025 P.O Deoliveira and I responded to 77 Prospect Avenue on a report of a burglary to Auto. Upon arrival, we were met by the victim Jaime Laracuente and the building super Mark Muci. The victim advised us that he was contacted by Mr. Muci about his vehicle being burglarized. Mr. Muci was contacted by another tenant in the building who discovered that the victims window passenger side window was broken into. The vehicle was discovered to be burglarized at approximately 20:10 hours tonight. When the victim was asked, he stated he parked his vehicle in the rear lot of 77 Prospect Avenue at around 17:00 hours on 03/31/2025 and has not used it since. The victim provided me with his vehicle registration (NJ:U57SNU) and insurance (Code 012:   #908248625).I advised Headquarters and Sgt. Farhi responded to the scene. At this time the victim stated that he did not enter his vehicle but stated that their were no items of value when the burglary occurred. The area was canvassed with no signs of additional vehicles being burglarized and no surveillance camera's on the property. Det. Tanucilli was contacted and responded to the scene.The victim requested that his vehicle be processed for evidence and Bergen County BCI was contacted. The victim completed a consent to search form on scene. At approximately 21:33 hours BCI Det. Stefanic and Anastasio responded to the scene and processed the vehicle. Their case number is 2025-0208. The scene was then turned over to the registered owner. A victim notification form was completed and provided to the victim."/>
    <s v="Vehicle 1: NJ-U57SNU MAZDA, C30"/>
    <s v=""/>
    <s v=""/>
    <s v="C04W14"/>
  </r>
  <r>
    <s v="25-029155"/>
    <x v="10"/>
    <x v="2"/>
    <d v="1899-12-30T23:00:00"/>
    <d v="1899-12-30T23:10:00"/>
    <x v="5"/>
    <s v="April"/>
    <s v="Summit Ave, 200 Block"/>
    <s v="283 Summit Avenue"/>
    <x v="0"/>
    <s v="Burglary - Auto"/>
    <s v=""/>
    <s v=""/>
    <s v="283 Summit Avenue, Hackensack, NJ, 07601"/>
    <s v="H5"/>
    <n v="8"/>
    <s v="On April 10, 2025, I responded to the listed location on a report of a Burglary to Auto. Upon arrival, I met with the victim, Stein Saboae. The victim reported a Burglary to his auto bearing NJ registration Z73VFP. The victim reported his ring camera captures a young white male approximately 15-17 years of age, last seen wearing a neon green and gray jacket with dark pants and a helmet. The unknown suspect is observed on a black scooter riding down into the victim's driveway at 2310 hours and ride back out at 2311 hours. The ring camera located at the backdoor captured him opening the driver side door. The victim reports his Oakley clear green lenses glasses missing out of the vehicle. The victim reported the value of the Oakley glasses are $395.00 dollars. Sgt. Tovbin also responded. The victim does not wish to have his vehicle processed. The victim received a  completed victim notification form. The surveillance footage was emailed to detectives division with  the case number. Det. Sgt. Williams was notified."/>
    <m/>
    <m/>
    <s v="Z73VFP"/>
    <s v="CHEVROLET"/>
    <s v="SUB"/>
    <s v="NJ"/>
    <m/>
    <m/>
    <m/>
    <m/>
    <s v="Bay_F"/>
    <s v="P.O. Roselys Salas 369"/>
    <s v="B4"/>
    <s v="Det. Gunther Lara-Nunez 351"/>
    <s v="Active Investigation"/>
    <m/>
    <n v="2025"/>
    <n v="15"/>
    <n v="2"/>
    <n v="9"/>
    <n v="99"/>
    <d v="2025-04-09T23:10:00"/>
    <n v="283"/>
    <s v="On April 10, 2025, I responded to the listed location on a report of a Burglary to Auto. Upon arrival, I met with the victim, Stein Saboae. The victim reported a Burglary to his auto bearing NJ registration Z73VFP. The victim reported his ring camera captures a young white male approximately 15-17 years of age, last seen wearing a neon green and gray jacket with dark pants and a helmet. The unknown suspect is observed on a black scooter riding down into the victim's driveway at 2310 hours and ride back out at 2311 hours. The ring camera located at the backdoor captured him opening the driver side door. The victim reports his Oakley clear green lenses glasses missing out of the vehicle. The victim reported the value of the Oakley glasses are $395.00 dollars. Sgt. Tovbin also responded. The victim does not wish to have his vehicle processed. The victim received a  completed victim notification form. The surveillance footage was emailed to detectives division with  the case number. Det. Sgt. Williams was notified."/>
    <s v="Vehicle 1: NJ-Z73VFP CHEVROLET, SUB"/>
    <s v="suspect is observed on a black scooter riding down into the victim's driveway at 2310 hours and ride back out at 2311 hours"/>
    <s v="$395.00 dollars. Sgt"/>
    <s v="C04W15"/>
  </r>
  <r>
    <s v="25-029155"/>
    <x v="10"/>
    <x v="2"/>
    <d v="1899-12-30T23:00:00"/>
    <d v="1899-12-30T23:10:00"/>
    <x v="5"/>
    <s v="April"/>
    <s v="Summit Ave, 200 Block"/>
    <s v="283 Summit Avenue"/>
    <x v="0"/>
    <s v="Burglary - Auto"/>
    <s v=""/>
    <s v=""/>
    <s v="283 Summit Avenue, Hackensack, NJ, 07601"/>
    <s v="H5"/>
    <n v="8"/>
    <s v="On April 10, 2025, I responded to the listed location on a report of a Burglary to Auto. Upon arrival, I met with the victim, Stein Saboae. The victim reported a Burglary to his auto bearing NJ registration Z73VFP. The victim reported his ring camera captures a young white male approximately 15-17 years of age, last seen wearing a neon green and gray jacket with dark pants and a helmet. The unknown suspect is observed on a black scooter riding down into the victim's driveway at 2310 hours and ride back out at 2311 hours. The ring camera located at the backdoor captured him opening the driver side door. The victim reports his Oakley clear green lenses glasses missing out of the vehicle. The victim reported the value of the Oakley glasses are $395.00 dollars. Sgt. Tovbin also responded. The victim does not wish to have his vehicle processed. The victim received a  completed victim notification form. The surveillance footage was emailed to detectives division with  the case number. Det. Sgt. Williams was notified."/>
    <m/>
    <m/>
    <s v="Z73VFP"/>
    <s v="CHEVROLET"/>
    <s v="SUB"/>
    <s v="NJ"/>
    <m/>
    <m/>
    <m/>
    <m/>
    <s v="Bay_F"/>
    <s v="P.O. Roselys Salas 369"/>
    <s v="B4"/>
    <s v="Det. Gunther Lara-Nunez 351"/>
    <s v="Active Investigation"/>
    <s v="23F = Theft From Motor Vehicle"/>
    <n v="2025"/>
    <n v="15"/>
    <n v="2"/>
    <n v="9"/>
    <n v="99"/>
    <d v="2025-04-09T23:10:00"/>
    <n v="283"/>
    <s v="On April 10, 2025, I responded to the listed location on a report of a Burglary to Auto. Upon arrival, I met with the victim, Stein Saboae. The victim reported a Burglary to his auto bearing NJ registration Z73VFP. The victim reported his ring camera captures a young white male approximately 15-17 years of age, last seen wearing a neon green and gray jacket with dark pants and a helmet. The unknown suspect is observed on a black scooter riding down into the victim's driveway at 2310 hours and ride back out at 2311 hours. The ring camera located at the backdoor captured him opening the driver side door. The victim reports his Oakley clear green lenses glasses missing out of the vehicle. The victim reported the value of the Oakley glasses are $395.00 dollars. Sgt. Tovbin also responded. The victim does not wish to have his vehicle processed. The victim received a  completed victim notification form. The surveillance footage was emailed to detectives division with  the case number. Det. Sgt. Williams was notified."/>
    <s v="Vehicle 1: NJ-Z73VFP CHEVROLET, SUB"/>
    <s v="suspect is observed on a black scooter riding down into the victim's driveway at 2310 hours and ride back out at 2311 hours"/>
    <s v="$395.00 dollars. Sgt"/>
    <s v="C04W1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3EF82DD-A285-4FF9-B154-8B7841EA0D6E}" name="PT_BUR_AUTO_YTD" cacheId="4"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location ref="A4:G9" firstHeaderRow="1" firstDataRow="2" firstDataCol="1" rowPageCount="2" colPageCount="1"/>
  <pivotFields count="45">
    <pivotField dataField="1" compact="0" outline="0" showAll="0"/>
    <pivotField axis="axisPage" compact="0" numFmtId="14" outline="0" multipleItemSelectionAllowed="1" showAll="0">
      <items count="12">
        <item x="0"/>
        <item x="1"/>
        <item x="2"/>
        <item x="3"/>
        <item x="4"/>
        <item x="5"/>
        <item x="6"/>
        <item x="7"/>
        <item x="8"/>
        <item x="9"/>
        <item x="10"/>
        <item t="default"/>
      </items>
    </pivotField>
    <pivotField name="Time of Day" axis="axisRow" compact="0" outline="0" showAll="0">
      <items count="5">
        <item x="0"/>
        <item x="1"/>
        <item x="3"/>
        <item x="2"/>
        <item t="default"/>
      </items>
    </pivotField>
    <pivotField compact="0" numFmtId="164" outline="0" showAll="0"/>
    <pivotField compact="0" numFmtId="164" outline="0" showAll="0"/>
    <pivotField axis="axisCol" compact="0" outline="0" showAll="0" nonAutoSortDefault="1">
      <items count="12">
        <item m="1" x="8"/>
        <item m="1" x="6"/>
        <item m="1" x="10"/>
        <item m="1" x="9"/>
        <item m="1" x="7"/>
        <item x="2"/>
        <item x="0"/>
        <item x="4"/>
        <item x="5"/>
        <item x="3"/>
        <item x="1"/>
        <item t="default"/>
      </items>
    </pivotField>
    <pivotField compact="0" outline="0" showAll="0"/>
    <pivotField compact="0" outline="0" showAll="0"/>
    <pivotField compact="0" outline="0" showAll="0"/>
    <pivotField axis="axisPage" compact="0" outline="0" showAll="0">
      <items count="4">
        <item x="0"/>
        <item x="1"/>
        <item x="2"/>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numFmtId="22"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2"/>
  </rowFields>
  <rowItems count="4">
    <i>
      <x/>
    </i>
    <i>
      <x v="1"/>
    </i>
    <i>
      <x v="2"/>
    </i>
    <i>
      <x v="3"/>
    </i>
  </rowItems>
  <colFields count="1">
    <field x="5"/>
  </colFields>
  <colItems count="6">
    <i>
      <x v="5"/>
    </i>
    <i>
      <x v="6"/>
    </i>
    <i>
      <x v="7"/>
    </i>
    <i>
      <x v="8"/>
    </i>
    <i>
      <x v="9"/>
    </i>
    <i>
      <x v="10"/>
    </i>
  </colItems>
  <pageFields count="2">
    <pageField fld="1" hier="-1"/>
    <pageField fld="9" hier="-1"/>
  </pageFields>
  <dataFields count="1">
    <dataField name="Count of Case Number" fld="0" subtotal="count" baseField="0" baseItem="0"/>
  </dataFields>
  <formats count="28">
    <format dxfId="679">
      <pivotArea dataOnly="0" labelOnly="1" outline="0" fieldPosition="0">
        <references count="1">
          <reference field="5" count="0"/>
        </references>
      </pivotArea>
    </format>
    <format dxfId="678">
      <pivotArea type="origin" dataOnly="0" labelOnly="1" outline="0" fieldPosition="0"/>
    </format>
    <format dxfId="677">
      <pivotArea field="5" type="button" dataOnly="0" labelOnly="1" outline="0" axis="axisCol" fieldPosition="0"/>
    </format>
    <format dxfId="676">
      <pivotArea type="topRight" dataOnly="0" labelOnly="1" outline="0" fieldPosition="0"/>
    </format>
    <format dxfId="675">
      <pivotArea dataOnly="0" labelOnly="1" outline="0" fieldPosition="0">
        <references count="1">
          <reference field="5" count="0"/>
        </references>
      </pivotArea>
    </format>
    <format dxfId="674">
      <pivotArea type="origin" dataOnly="0" labelOnly="1" outline="0" fieldPosition="0"/>
    </format>
    <format dxfId="673">
      <pivotArea field="5" type="button" dataOnly="0" labelOnly="1" outline="0" axis="axisCol" fieldPosition="0"/>
    </format>
    <format dxfId="672">
      <pivotArea type="topRight" dataOnly="0" labelOnly="1" outline="0" fieldPosition="0"/>
    </format>
    <format dxfId="671">
      <pivotArea type="origin" dataOnly="0" labelOnly="1" outline="0" fieldPosition="0"/>
    </format>
    <format dxfId="670">
      <pivotArea field="5" type="button" dataOnly="0" labelOnly="1" outline="0" axis="axisCol" fieldPosition="0"/>
    </format>
    <format dxfId="669">
      <pivotArea type="origin" dataOnly="0" labelOnly="1" outline="0" fieldPosition="0"/>
    </format>
    <format dxfId="668">
      <pivotArea field="5" type="button" dataOnly="0" labelOnly="1" outline="0" axis="axisCol" fieldPosition="0"/>
    </format>
    <format dxfId="667">
      <pivotArea type="topRight" dataOnly="0" labelOnly="1" outline="0" fieldPosition="0"/>
    </format>
    <format dxfId="666">
      <pivotArea outline="0" collapsedLevelsAreSubtotals="1" fieldPosition="0"/>
    </format>
    <format dxfId="665">
      <pivotArea dataOnly="0" labelOnly="1" outline="0" fieldPosition="0">
        <references count="1">
          <reference field="2" count="0"/>
        </references>
      </pivotArea>
    </format>
    <format dxfId="664">
      <pivotArea dataOnly="0" labelOnly="1" outline="0" fieldPosition="0">
        <references count="1">
          <reference field="2" count="0"/>
        </references>
      </pivotArea>
    </format>
    <format dxfId="663">
      <pivotArea field="2" type="button" dataOnly="0" labelOnly="1" outline="0" axis="axisRow" fieldPosition="0"/>
    </format>
    <format dxfId="662">
      <pivotArea type="origin" dataOnly="0" labelOnly="1" outline="0" fieldPosition="0"/>
    </format>
    <format dxfId="661">
      <pivotArea field="5" type="button" dataOnly="0" labelOnly="1" outline="0" axis="axisCol" fieldPosition="0"/>
    </format>
    <format dxfId="660">
      <pivotArea type="topRight" dataOnly="0" labelOnly="1" outline="0" fieldPosition="0"/>
    </format>
    <format dxfId="659">
      <pivotArea type="all" dataOnly="0" outline="0" fieldPosition="0"/>
    </format>
    <format dxfId="658">
      <pivotArea outline="0" collapsedLevelsAreSubtotals="1" fieldPosition="0"/>
    </format>
    <format dxfId="657">
      <pivotArea type="origin" dataOnly="0" labelOnly="1" outline="0" fieldPosition="0"/>
    </format>
    <format dxfId="656">
      <pivotArea field="5" type="button" dataOnly="0" labelOnly="1" outline="0" axis="axisCol" fieldPosition="0"/>
    </format>
    <format dxfId="655">
      <pivotArea type="topRight" dataOnly="0" labelOnly="1" outline="0" fieldPosition="0"/>
    </format>
    <format dxfId="654">
      <pivotArea field="2" type="button" dataOnly="0" labelOnly="1" outline="0" axis="axisRow" fieldPosition="0"/>
    </format>
    <format dxfId="653">
      <pivotArea dataOnly="0" labelOnly="1" outline="0" fieldPosition="0">
        <references count="1">
          <reference field="2" count="0"/>
        </references>
      </pivotArea>
    </format>
    <format dxfId="652">
      <pivotArea dataOnly="0" labelOnly="1" outline="0" fieldPosition="0">
        <references count="1">
          <reference field="5" count="0"/>
        </references>
      </pivotArea>
    </format>
  </formats>
  <pivotTableStyleInfo name="PivotStyleLight15"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85A78C4-3C6E-4DC8-8FB5-16CBF0864303}" name="PT_BUR_AUTO_28D" cacheId="4"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location ref="A27:E31" firstHeaderRow="1" firstDataRow="2" firstDataCol="1" rowPageCount="2" colPageCount="1"/>
  <pivotFields count="45">
    <pivotField dataField="1" compact="0" outline="0" showAll="0"/>
    <pivotField axis="axisPage" compact="0" numFmtId="14" outline="0" multipleItemSelectionAllowed="1" showAll="0">
      <items count="12">
        <item h="1" x="0"/>
        <item h="1" x="1"/>
        <item h="1" x="2"/>
        <item h="1" x="3"/>
        <item h="1" x="4"/>
        <item h="1" x="5"/>
        <item h="1" x="6"/>
        <item x="7"/>
        <item x="8"/>
        <item x="9"/>
        <item x="10"/>
        <item t="default"/>
      </items>
    </pivotField>
    <pivotField name="Time of Day" axis="axisRow" compact="0" outline="0" showAll="0">
      <items count="5">
        <item x="0"/>
        <item x="1"/>
        <item x="3"/>
        <item x="2"/>
        <item t="default"/>
      </items>
    </pivotField>
    <pivotField compact="0" numFmtId="164" outline="0" showAll="0"/>
    <pivotField compact="0" numFmtId="164" outline="0" showAll="0"/>
    <pivotField axis="axisCol" compact="0" outline="0" showAll="0" nonAutoSortDefault="1">
      <items count="12">
        <item m="1" x="8"/>
        <item m="1" x="6"/>
        <item m="1" x="10"/>
        <item m="1" x="9"/>
        <item m="1" x="7"/>
        <item x="2"/>
        <item x="0"/>
        <item x="4"/>
        <item x="3"/>
        <item x="1"/>
        <item x="5"/>
        <item t="default"/>
      </items>
    </pivotField>
    <pivotField compact="0" outline="0" showAll="0"/>
    <pivotField compact="0" outline="0" showAll="0"/>
    <pivotField compact="0" outline="0" showAll="0"/>
    <pivotField axis="axisPage" compact="0" outline="0" showAll="0">
      <items count="4">
        <item x="0"/>
        <item x="1"/>
        <item x="2"/>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numFmtId="22"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2"/>
  </rowFields>
  <rowItems count="3">
    <i>
      <x v="1"/>
    </i>
    <i>
      <x v="2"/>
    </i>
    <i>
      <x v="3"/>
    </i>
  </rowItems>
  <colFields count="1">
    <field x="5"/>
  </colFields>
  <colItems count="4">
    <i>
      <x v="5"/>
    </i>
    <i>
      <x v="6"/>
    </i>
    <i>
      <x v="7"/>
    </i>
    <i>
      <x v="10"/>
    </i>
  </colItems>
  <pageFields count="2">
    <pageField fld="1" hier="-1"/>
    <pageField fld="9" hier="-1"/>
  </pageFields>
  <dataFields count="1">
    <dataField name="Count of Case Number" fld="0" subtotal="count" baseField="0" baseItem="0"/>
  </dataFields>
  <formats count="29">
    <format dxfId="708">
      <pivotArea dataOnly="0" labelOnly="1" outline="0" fieldPosition="0">
        <references count="1">
          <reference field="5" count="0"/>
        </references>
      </pivotArea>
    </format>
    <format dxfId="707">
      <pivotArea type="origin" dataOnly="0" labelOnly="1" outline="0" fieldPosition="0"/>
    </format>
    <format dxfId="706">
      <pivotArea field="5" type="button" dataOnly="0" labelOnly="1" outline="0" axis="axisCol" fieldPosition="0"/>
    </format>
    <format dxfId="705">
      <pivotArea type="topRight" dataOnly="0" labelOnly="1" outline="0" fieldPosition="0"/>
    </format>
    <format dxfId="704">
      <pivotArea dataOnly="0" labelOnly="1" outline="0" fieldPosition="0">
        <references count="1">
          <reference field="5" count="0"/>
        </references>
      </pivotArea>
    </format>
    <format dxfId="703">
      <pivotArea type="origin" dataOnly="0" labelOnly="1" outline="0" fieldPosition="0"/>
    </format>
    <format dxfId="702">
      <pivotArea field="5" type="button" dataOnly="0" labelOnly="1" outline="0" axis="axisCol" fieldPosition="0"/>
    </format>
    <format dxfId="701">
      <pivotArea type="topRight" dataOnly="0" labelOnly="1" outline="0" fieldPosition="0"/>
    </format>
    <format dxfId="700">
      <pivotArea type="origin" dataOnly="0" labelOnly="1" outline="0" fieldPosition="0"/>
    </format>
    <format dxfId="699">
      <pivotArea field="5" type="button" dataOnly="0" labelOnly="1" outline="0" axis="axisCol" fieldPosition="0"/>
    </format>
    <format dxfId="698">
      <pivotArea type="origin" dataOnly="0" labelOnly="1" outline="0" fieldPosition="0"/>
    </format>
    <format dxfId="697">
      <pivotArea field="5" type="button" dataOnly="0" labelOnly="1" outline="0" axis="axisCol" fieldPosition="0"/>
    </format>
    <format dxfId="696">
      <pivotArea type="topRight" dataOnly="0" labelOnly="1" outline="0" fieldPosition="0"/>
    </format>
    <format dxfId="695">
      <pivotArea outline="0" collapsedLevelsAreSubtotals="1" fieldPosition="0"/>
    </format>
    <format dxfId="694">
      <pivotArea dataOnly="0" labelOnly="1" outline="0" fieldPosition="0">
        <references count="1">
          <reference field="2" count="0"/>
        </references>
      </pivotArea>
    </format>
    <format dxfId="693">
      <pivotArea dataOnly="0" labelOnly="1" outline="0" fieldPosition="0">
        <references count="1">
          <reference field="2" count="0"/>
        </references>
      </pivotArea>
    </format>
    <format dxfId="692">
      <pivotArea field="2" type="button" dataOnly="0" labelOnly="1" outline="0" axis="axisRow" fieldPosition="0"/>
    </format>
    <format dxfId="691">
      <pivotArea type="origin" dataOnly="0" labelOnly="1" outline="0" fieldPosition="0"/>
    </format>
    <format dxfId="690">
      <pivotArea field="5" type="button" dataOnly="0" labelOnly="1" outline="0" axis="axisCol" fieldPosition="0"/>
    </format>
    <format dxfId="689">
      <pivotArea type="topRight" dataOnly="0" labelOnly="1" outline="0" fieldPosition="0"/>
    </format>
    <format dxfId="688">
      <pivotArea type="all" dataOnly="0" outline="0" fieldPosition="0"/>
    </format>
    <format dxfId="687">
      <pivotArea outline="0" collapsedLevelsAreSubtotals="1" fieldPosition="0"/>
    </format>
    <format dxfId="686">
      <pivotArea type="origin" dataOnly="0" labelOnly="1" outline="0" fieldPosition="0"/>
    </format>
    <format dxfId="685">
      <pivotArea field="5" type="button" dataOnly="0" labelOnly="1" outline="0" axis="axisCol" fieldPosition="0"/>
    </format>
    <format dxfId="684">
      <pivotArea type="topRight" dataOnly="0" labelOnly="1" outline="0" fieldPosition="0"/>
    </format>
    <format dxfId="683">
      <pivotArea field="2" type="button" dataOnly="0" labelOnly="1" outline="0" axis="axisRow" fieldPosition="0"/>
    </format>
    <format dxfId="682">
      <pivotArea dataOnly="0" labelOnly="1" outline="0" fieldPosition="0">
        <references count="1">
          <reference field="2" count="0"/>
        </references>
      </pivotArea>
    </format>
    <format dxfId="681">
      <pivotArea dataOnly="0" labelOnly="1" outline="0" fieldPosition="0">
        <references count="1">
          <reference field="5" count="0"/>
        </references>
      </pivotArea>
    </format>
    <format dxfId="680">
      <pivotArea dataOnly="0" labelOnly="1" outline="0" fieldPosition="0">
        <references count="1">
          <reference field="1" count="0"/>
        </references>
      </pivotArea>
    </format>
  </formats>
  <pivotTableStyleInfo name="PivotStyleLight15"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B1221F7-7AFD-4EBB-8253-1C3F30C98535}" name="PivotTable7"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location ref="A4:G9" firstHeaderRow="1" firstDataRow="2" firstDataCol="1" rowPageCount="2" colPageCount="1"/>
  <pivotFields count="54">
    <pivotField dataField="1" compact="0" outline="0" showAll="0"/>
    <pivotField axis="axisPage" compact="0" numFmtId="14" outline="0" showAll="0">
      <items count="12">
        <item m="1" x="9"/>
        <item x="0"/>
        <item x="1"/>
        <item x="2"/>
        <item x="3"/>
        <item x="4"/>
        <item x="5"/>
        <item m="1" x="10"/>
        <item x="6"/>
        <item x="7"/>
        <item x="8"/>
        <item t="default"/>
      </items>
    </pivotField>
    <pivotField compact="0" outline="0" showAll="0">
      <items count="6">
        <item x="2"/>
        <item x="1"/>
        <item x="0"/>
        <item x="3"/>
        <item m="1" x="4"/>
        <item t="default"/>
      </items>
    </pivotField>
    <pivotField compact="0" numFmtId="164" outline="0" showAll="0"/>
    <pivotField compact="0" numFmtId="164" outline="0" showAll="0"/>
    <pivotField axis="axisCol" compact="0" outline="0" showAll="0">
      <items count="13">
        <item m="1" x="10"/>
        <item m="1" x="11"/>
        <item m="1" x="9"/>
        <item m="1" x="6"/>
        <item m="1" x="8"/>
        <item m="1" x="7"/>
        <item x="4"/>
        <item x="5"/>
        <item x="3"/>
        <item x="0"/>
        <item x="2"/>
        <item x="1"/>
        <item t="default"/>
      </items>
    </pivotField>
    <pivotField compact="0" outline="0" showAll="0"/>
    <pivotField compact="0" outline="0" showAll="0"/>
    <pivotField compact="0" outline="0" showAll="0"/>
    <pivotField axis="axisPage" compact="0" outline="0" showAll="0">
      <items count="8">
        <item x="1"/>
        <item x="2"/>
        <item x="0"/>
        <item m="1" x="4"/>
        <item m="1" x="5"/>
        <item m="1" x="6"/>
        <item x="3"/>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numFmtId="14" outline="0" showAll="0"/>
    <pivotField compact="0" numFmtId="22" outline="0" showAll="0"/>
    <pivotField compact="0" outline="0" showAll="0"/>
    <pivotField compact="0" outline="0" showAll="0"/>
    <pivotField compact="0" numFmtId="14" outline="0" showAll="0"/>
    <pivotField compact="0" numFmtId="22" outline="0" showAll="0"/>
    <pivotField compact="0" outline="0" showAll="0"/>
    <pivotField compact="0" outline="0" showAll="0"/>
    <pivotField compact="0" outline="0" showAll="0"/>
    <pivotField compact="0" outline="0" showAll="0"/>
    <pivotField compact="0" outline="0" showAll="0"/>
    <pivotField compact="0" numFmtId="22" outline="0" showAll="0"/>
    <pivotField compact="0" outline="0" showAll="0"/>
    <pivotField compact="0" outline="0" showAll="0"/>
    <pivotField compact="0" outline="0" showAll="0"/>
    <pivotField compact="0" outline="0" showAll="0"/>
    <pivotField compact="0" outline="0" showAll="0"/>
    <pivotField compact="0" outline="0" showAll="0"/>
    <pivotField name="Time of Day" axis="axisRow" compact="0" outline="0" showAll="0">
      <items count="5">
        <item x="0"/>
        <item x="2"/>
        <item x="1"/>
        <item x="3"/>
        <item t="default"/>
      </items>
    </pivotField>
  </pivotFields>
  <rowFields count="1">
    <field x="53"/>
  </rowFields>
  <rowItems count="4">
    <i>
      <x/>
    </i>
    <i>
      <x v="1"/>
    </i>
    <i>
      <x v="2"/>
    </i>
    <i>
      <x v="3"/>
    </i>
  </rowItems>
  <colFields count="1">
    <field x="5"/>
  </colFields>
  <colItems count="6">
    <i>
      <x v="6"/>
    </i>
    <i>
      <x v="7"/>
    </i>
    <i>
      <x v="8"/>
    </i>
    <i>
      <x v="9"/>
    </i>
    <i>
      <x v="10"/>
    </i>
    <i>
      <x v="11"/>
    </i>
  </colItems>
  <pageFields count="2">
    <pageField fld="1" hier="-1"/>
    <pageField fld="9" hier="-1"/>
  </pageFields>
  <dataFields count="1">
    <dataField name="Count of Case Number" fld="0" subtotal="count" baseField="0" baseItem="0"/>
  </dataFields>
  <formats count="23">
    <format dxfId="519">
      <pivotArea type="all" dataOnly="0" outline="0" fieldPosition="0"/>
    </format>
    <format dxfId="518">
      <pivotArea outline="0" collapsedLevelsAreSubtotals="1" fieldPosition="0"/>
    </format>
    <format dxfId="517">
      <pivotArea type="origin" dataOnly="0" labelOnly="1" outline="0" fieldPosition="0"/>
    </format>
    <format dxfId="516">
      <pivotArea field="5" type="button" dataOnly="0" labelOnly="1" outline="0" axis="axisCol" fieldPosition="0"/>
    </format>
    <format dxfId="515">
      <pivotArea type="topRight" dataOnly="0" labelOnly="1" outline="0" fieldPosition="0"/>
    </format>
    <format dxfId="514">
      <pivotArea field="2" type="button" dataOnly="0" labelOnly="1" outline="0"/>
    </format>
    <format dxfId="513">
      <pivotArea dataOnly="0" labelOnly="1" outline="0" fieldPosition="0">
        <references count="1">
          <reference field="5" count="0"/>
        </references>
      </pivotArea>
    </format>
    <format dxfId="512">
      <pivotArea type="all" dataOnly="0" outline="0" fieldPosition="0"/>
    </format>
    <format dxfId="511">
      <pivotArea outline="0" collapsedLevelsAreSubtotals="1" fieldPosition="0"/>
    </format>
    <format dxfId="510">
      <pivotArea type="topRight" dataOnly="0" labelOnly="1" outline="0" fieldPosition="0"/>
    </format>
    <format dxfId="509">
      <pivotArea field="2" type="button" dataOnly="0" labelOnly="1" outline="0"/>
    </format>
    <format dxfId="508">
      <pivotArea dataOnly="0" labelOnly="1" outline="0" fieldPosition="0">
        <references count="1">
          <reference field="5" count="0"/>
        </references>
      </pivotArea>
    </format>
    <format dxfId="507">
      <pivotArea field="2" type="button" dataOnly="0" labelOnly="1" outline="0"/>
    </format>
    <format dxfId="506">
      <pivotArea dataOnly="0" labelOnly="1" outline="0" fieldPosition="0">
        <references count="1">
          <reference field="5" count="1">
            <x v="6"/>
          </reference>
        </references>
      </pivotArea>
    </format>
    <format dxfId="505">
      <pivotArea field="2" type="button" dataOnly="0" labelOnly="1" outline="0"/>
    </format>
    <format dxfId="504">
      <pivotArea dataOnly="0" labelOnly="1" outline="0" fieldPosition="0">
        <references count="1">
          <reference field="5" count="1">
            <x v="6"/>
          </reference>
        </references>
      </pivotArea>
    </format>
    <format dxfId="503">
      <pivotArea field="53" type="button" dataOnly="0" labelOnly="1" outline="0" axis="axisRow" fieldPosition="0"/>
    </format>
    <format dxfId="502">
      <pivotArea type="origin" dataOnly="0" labelOnly="1" outline="0" fieldPosition="0"/>
    </format>
    <format dxfId="501">
      <pivotArea field="5" type="button" dataOnly="0" labelOnly="1" outline="0" axis="axisCol" fieldPosition="0"/>
    </format>
    <format dxfId="500">
      <pivotArea type="origin" dataOnly="0" labelOnly="1" outline="0" fieldPosition="0"/>
    </format>
    <format dxfId="499">
      <pivotArea field="5" type="button" dataOnly="0" labelOnly="1" outline="0" axis="axisCol" fieldPosition="0"/>
    </format>
    <format dxfId="498">
      <pivotArea field="53" type="button" dataOnly="0" labelOnly="1" outline="0" axis="axisRow" fieldPosition="0"/>
    </format>
    <format dxfId="497">
      <pivotArea dataOnly="0" labelOnly="1" outline="0" fieldPosition="0">
        <references count="1">
          <reference field="5" count="0"/>
        </references>
      </pivotArea>
    </format>
  </formats>
  <pivotTableStyleInfo name="PivotStyleLight15"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E75AD3E-0796-491C-90E9-FFF3729F2E6D}" name="PivotTable2"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location ref="A26:D29" firstHeaderRow="1" firstDataRow="2" firstDataCol="1" rowPageCount="2" colPageCount="1"/>
  <pivotFields count="54">
    <pivotField dataField="1" compact="0" outline="0" showAll="0"/>
    <pivotField axis="axisPage" compact="0" numFmtId="14" outline="0" multipleItemSelectionAllowed="1" showAll="0">
      <items count="12">
        <item m="1" x="9"/>
        <item h="1" x="0"/>
        <item h="1" x="1"/>
        <item h="1" x="2"/>
        <item h="1" x="3"/>
        <item h="1" x="4"/>
        <item h="1" x="5"/>
        <item m="1" x="10"/>
        <item x="6"/>
        <item x="7"/>
        <item x="8"/>
        <item t="default"/>
      </items>
    </pivotField>
    <pivotField compact="0" outline="0" showAll="0">
      <items count="6">
        <item x="2"/>
        <item x="1"/>
        <item x="0"/>
        <item x="3"/>
        <item m="1" x="4"/>
        <item t="default"/>
      </items>
    </pivotField>
    <pivotField compact="0" numFmtId="164" outline="0" showAll="0"/>
    <pivotField compact="0" numFmtId="164" outline="0" showAll="0"/>
    <pivotField axis="axisCol" compact="0" outline="0" showAll="0">
      <items count="13">
        <item m="1" x="10"/>
        <item m="1" x="11"/>
        <item m="1" x="9"/>
        <item m="1" x="6"/>
        <item m="1" x="8"/>
        <item m="1" x="7"/>
        <item x="4"/>
        <item x="5"/>
        <item x="3"/>
        <item x="0"/>
        <item x="2"/>
        <item x="1"/>
        <item t="default"/>
      </items>
    </pivotField>
    <pivotField compact="0" outline="0" showAll="0"/>
    <pivotField compact="0" outline="0" showAll="0"/>
    <pivotField compact="0" outline="0" showAll="0"/>
    <pivotField axis="axisPage" compact="0" outline="0" showAll="0">
      <items count="8">
        <item x="1"/>
        <item x="2"/>
        <item x="0"/>
        <item m="1" x="4"/>
        <item m="1" x="5"/>
        <item m="1" x="6"/>
        <item x="3"/>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numFmtId="14" outline="0" showAll="0"/>
    <pivotField compact="0" numFmtId="22" outline="0" showAll="0"/>
    <pivotField compact="0" outline="0" showAll="0"/>
    <pivotField compact="0" outline="0" showAll="0"/>
    <pivotField compact="0" numFmtId="14" outline="0" showAll="0"/>
    <pivotField compact="0" numFmtId="22" outline="0" showAll="0"/>
    <pivotField compact="0" outline="0" showAll="0"/>
    <pivotField compact="0" outline="0" showAll="0"/>
    <pivotField compact="0" outline="0" showAll="0"/>
    <pivotField compact="0" outline="0" showAll="0"/>
    <pivotField compact="0" outline="0" showAll="0"/>
    <pivotField compact="0" numFmtId="22" outline="0" showAll="0"/>
    <pivotField compact="0" outline="0" showAll="0"/>
    <pivotField compact="0" outline="0" showAll="0"/>
    <pivotField compact="0" outline="0" showAll="0"/>
    <pivotField compact="0" outline="0" showAll="0"/>
    <pivotField compact="0" outline="0" showAll="0"/>
    <pivotField compact="0" outline="0" showAll="0"/>
    <pivotField name="Time of Day" axis="axisRow" compact="0" outline="0" showAll="0">
      <items count="5">
        <item x="0"/>
        <item x="2"/>
        <item x="1"/>
        <item x="3"/>
        <item t="default"/>
      </items>
    </pivotField>
  </pivotFields>
  <rowFields count="1">
    <field x="53"/>
  </rowFields>
  <rowItems count="2">
    <i>
      <x/>
    </i>
    <i>
      <x v="3"/>
    </i>
  </rowItems>
  <colFields count="1">
    <field x="5"/>
  </colFields>
  <colItems count="3">
    <i>
      <x v="6"/>
    </i>
    <i>
      <x v="7"/>
    </i>
    <i>
      <x v="9"/>
    </i>
  </colItems>
  <pageFields count="2">
    <pageField fld="1" hier="-1"/>
    <pageField fld="9" hier="-1"/>
  </pageFields>
  <dataFields count="1">
    <dataField name="Count of Case Number" fld="0" subtotal="count" baseField="0" baseItem="0"/>
  </dataFields>
  <formats count="23">
    <format dxfId="542">
      <pivotArea type="all" dataOnly="0" outline="0" fieldPosition="0"/>
    </format>
    <format dxfId="541">
      <pivotArea outline="0" collapsedLevelsAreSubtotals="1" fieldPosition="0"/>
    </format>
    <format dxfId="540">
      <pivotArea type="origin" dataOnly="0" labelOnly="1" outline="0" fieldPosition="0"/>
    </format>
    <format dxfId="539">
      <pivotArea field="5" type="button" dataOnly="0" labelOnly="1" outline="0" axis="axisCol" fieldPosition="0"/>
    </format>
    <format dxfId="538">
      <pivotArea type="topRight" dataOnly="0" labelOnly="1" outline="0" fieldPosition="0"/>
    </format>
    <format dxfId="537">
      <pivotArea field="2" type="button" dataOnly="0" labelOnly="1" outline="0"/>
    </format>
    <format dxfId="536">
      <pivotArea dataOnly="0" labelOnly="1" outline="0" fieldPosition="0">
        <references count="1">
          <reference field="5" count="0"/>
        </references>
      </pivotArea>
    </format>
    <format dxfId="535">
      <pivotArea type="all" dataOnly="0" outline="0" fieldPosition="0"/>
    </format>
    <format dxfId="534">
      <pivotArea outline="0" collapsedLevelsAreSubtotals="1" fieldPosition="0"/>
    </format>
    <format dxfId="533">
      <pivotArea type="topRight" dataOnly="0" labelOnly="1" outline="0" fieldPosition="0"/>
    </format>
    <format dxfId="532">
      <pivotArea field="2" type="button" dataOnly="0" labelOnly="1" outline="0"/>
    </format>
    <format dxfId="531">
      <pivotArea dataOnly="0" labelOnly="1" outline="0" fieldPosition="0">
        <references count="1">
          <reference field="5" count="0"/>
        </references>
      </pivotArea>
    </format>
    <format dxfId="530">
      <pivotArea field="2" type="button" dataOnly="0" labelOnly="1" outline="0"/>
    </format>
    <format dxfId="529">
      <pivotArea dataOnly="0" labelOnly="1" outline="0" fieldPosition="0">
        <references count="1">
          <reference field="5" count="1">
            <x v="6"/>
          </reference>
        </references>
      </pivotArea>
    </format>
    <format dxfId="528">
      <pivotArea field="2" type="button" dataOnly="0" labelOnly="1" outline="0"/>
    </format>
    <format dxfId="527">
      <pivotArea dataOnly="0" labelOnly="1" outline="0" fieldPosition="0">
        <references count="1">
          <reference field="5" count="1">
            <x v="6"/>
          </reference>
        </references>
      </pivotArea>
    </format>
    <format dxfId="526">
      <pivotArea field="53" type="button" dataOnly="0" labelOnly="1" outline="0" axis="axisRow" fieldPosition="0"/>
    </format>
    <format dxfId="525">
      <pivotArea type="origin" dataOnly="0" labelOnly="1" outline="0" fieldPosition="0"/>
    </format>
    <format dxfId="524">
      <pivotArea field="5" type="button" dataOnly="0" labelOnly="1" outline="0" axis="axisCol" fieldPosition="0"/>
    </format>
    <format dxfId="523">
      <pivotArea type="origin" dataOnly="0" labelOnly="1" outline="0" fieldPosition="0"/>
    </format>
    <format dxfId="522">
      <pivotArea field="5" type="button" dataOnly="0" labelOnly="1" outline="0" axis="axisCol" fieldPosition="0"/>
    </format>
    <format dxfId="521">
      <pivotArea field="53" type="button" dataOnly="0" labelOnly="1" outline="0" axis="axisRow" fieldPosition="0"/>
    </format>
    <format dxfId="520">
      <pivotArea dataOnly="0" labelOnly="1" outline="0" fieldPosition="0">
        <references count="1">
          <reference field="5" count="0"/>
        </references>
      </pivotArea>
    </format>
  </formats>
  <pivotTableStyleInfo name="PivotStyleLight15"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C817224-8BFD-4766-B599-43771F6EB7FF}" name="PivotTable3" cacheId="2"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location ref="A36:B39" firstHeaderRow="1" firstDataRow="2" firstDataCol="1" rowPageCount="2" colPageCount="1"/>
  <pivotFields count="54">
    <pivotField dataField="1" compact="0" outline="0" showAll="0"/>
    <pivotField axis="axisPage" compact="0" numFmtId="14" outline="0" multipleItemSelectionAllowed="1" showAll="0">
      <items count="14">
        <item h="1" x="0"/>
        <item h="1" x="1"/>
        <item h="1" x="2"/>
        <item h="1" x="3"/>
        <item h="1" x="4"/>
        <item h="1" x="5"/>
        <item h="1" x="6"/>
        <item h="1" x="7"/>
        <item h="1" x="8"/>
        <item h="1" x="9"/>
        <item h="1" x="10"/>
        <item x="11"/>
        <item x="12"/>
        <item t="default"/>
      </items>
    </pivotField>
    <pivotField compact="0" outline="0" showAll="0">
      <items count="7">
        <item x="4"/>
        <item x="5"/>
        <item x="3"/>
        <item x="1"/>
        <item x="2"/>
        <item x="0"/>
        <item t="default"/>
      </items>
    </pivotField>
    <pivotField compact="0" numFmtId="164" outline="0" showAll="0"/>
    <pivotField compact="0" numFmtId="164" outline="0" showAll="0"/>
    <pivotField axis="axisCol" compact="0" outline="0" showAll="0">
      <items count="11">
        <item m="1" x="9"/>
        <item m="1" x="7"/>
        <item m="1" x="6"/>
        <item m="1" x="5"/>
        <item m="1" x="8"/>
        <item x="4"/>
        <item x="2"/>
        <item x="1"/>
        <item x="0"/>
        <item x="3"/>
        <item t="default"/>
      </items>
    </pivotField>
    <pivotField compact="0" outline="0" showAll="0"/>
    <pivotField compact="0" outline="0" showAll="0"/>
    <pivotField compact="0" outline="0" showAll="0"/>
    <pivotField axis="axisPage" compact="0" outline="0" showAll="0">
      <items count="4">
        <item x="0"/>
        <item x="2"/>
        <item x="1"/>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numFmtId="14" outline="0" showAll="0"/>
    <pivotField compact="0" numFmtId="22" outline="0" showAll="0"/>
    <pivotField compact="0" outline="0" showAll="0"/>
    <pivotField compact="0" outline="0" showAll="0"/>
    <pivotField compact="0" numFmtId="14" outline="0" showAll="0"/>
    <pivotField compact="0" numFmtId="22" outline="0" showAll="0"/>
    <pivotField compact="0" outline="0" showAll="0"/>
    <pivotField compact="0" outline="0" showAll="0"/>
    <pivotField compact="0" outline="0" showAll="0"/>
    <pivotField compact="0" outline="0" showAll="0"/>
    <pivotField compact="0" outline="0" showAll="0"/>
    <pivotField compact="0" numFmtId="22"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7">
        <item x="1"/>
        <item x="4"/>
        <item x="2"/>
        <item x="5"/>
        <item x="3"/>
        <item x="0"/>
        <item t="default"/>
      </items>
    </pivotField>
  </pivotFields>
  <rowFields count="1">
    <field x="53"/>
  </rowFields>
  <rowItems count="2">
    <i>
      <x v="3"/>
    </i>
    <i>
      <x v="5"/>
    </i>
  </rowItems>
  <colFields count="1">
    <field x="5"/>
  </colFields>
  <colItems count="1">
    <i>
      <x v="8"/>
    </i>
  </colItems>
  <pageFields count="2">
    <pageField fld="1" hier="-1"/>
    <pageField fld="9" hier="-1"/>
  </pageFields>
  <dataFields count="1">
    <dataField name="Count of Case Number" fld="0" subtotal="count" baseField="0" baseItem="0"/>
  </dataFields>
  <formats count="15">
    <format dxfId="369">
      <pivotArea type="all" dataOnly="0" outline="0" fieldPosition="0"/>
    </format>
    <format dxfId="368">
      <pivotArea outline="0" collapsedLevelsAreSubtotals="1" fieldPosition="0"/>
    </format>
    <format dxfId="367">
      <pivotArea type="origin" dataOnly="0" labelOnly="1" outline="0" fieldPosition="0"/>
    </format>
    <format dxfId="366">
      <pivotArea field="5" type="button" dataOnly="0" labelOnly="1" outline="0" axis="axisCol" fieldPosition="0"/>
    </format>
    <format dxfId="365">
      <pivotArea type="topRight" dataOnly="0" labelOnly="1" outline="0" fieldPosition="0"/>
    </format>
    <format dxfId="364">
      <pivotArea field="2" type="button" dataOnly="0" labelOnly="1" outline="0"/>
    </format>
    <format dxfId="363">
      <pivotArea dataOnly="0" labelOnly="1" outline="0" fieldPosition="0">
        <references count="1">
          <reference field="5" count="0"/>
        </references>
      </pivotArea>
    </format>
    <format dxfId="362">
      <pivotArea type="all" dataOnly="0" outline="0" fieldPosition="0"/>
    </format>
    <format dxfId="361">
      <pivotArea outline="0" collapsedLevelsAreSubtotals="1" fieldPosition="0"/>
    </format>
    <format dxfId="360">
      <pivotArea type="origin" dataOnly="0" labelOnly="1" outline="0" fieldPosition="0"/>
    </format>
    <format dxfId="359">
      <pivotArea field="5" type="button" dataOnly="0" labelOnly="1" outline="0" axis="axisCol" fieldPosition="0"/>
    </format>
    <format dxfId="358">
      <pivotArea type="topRight" dataOnly="0" labelOnly="1" outline="0" fieldPosition="0"/>
    </format>
    <format dxfId="357">
      <pivotArea field="2" type="button" dataOnly="0" labelOnly="1" outline="0"/>
    </format>
    <format dxfId="356">
      <pivotArea dataOnly="0" labelOnly="1" outline="0" fieldPosition="0">
        <references count="1">
          <reference field="5" count="0"/>
        </references>
      </pivotArea>
    </format>
    <format dxfId="355">
      <pivotArea field="5" type="button" dataOnly="0" labelOnly="1" outline="0" axis="axisCol" fieldPosition="0"/>
    </format>
  </formats>
  <pivotTableStyleInfo name="PivotStyleLight15"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EC1DB5B-DD5C-48A5-ABA1-E9DF7B78C36B}" name="PivotTable4" cacheId="2"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location ref="A4:F11" firstHeaderRow="1" firstDataRow="2" firstDataCol="1" rowPageCount="2" colPageCount="1"/>
  <pivotFields count="54">
    <pivotField dataField="1" compact="0" outline="0" showAll="0"/>
    <pivotField axis="axisPage" compact="0" numFmtId="14" outline="0" showAll="0">
      <items count="14">
        <item x="0"/>
        <item x="1"/>
        <item x="2"/>
        <item x="3"/>
        <item x="4"/>
        <item x="5"/>
        <item x="6"/>
        <item x="7"/>
        <item x="8"/>
        <item x="9"/>
        <item x="10"/>
        <item x="11"/>
        <item x="12"/>
        <item t="default"/>
      </items>
    </pivotField>
    <pivotField compact="0" outline="0" showAll="0">
      <items count="7">
        <item x="4"/>
        <item x="5"/>
        <item x="3"/>
        <item x="1"/>
        <item x="2"/>
        <item x="0"/>
        <item t="default"/>
      </items>
    </pivotField>
    <pivotField compact="0" numFmtId="164" outline="0" showAll="0"/>
    <pivotField compact="0" numFmtId="164" outline="0" showAll="0"/>
    <pivotField axis="axisCol" compact="0" outline="0" showAll="0">
      <items count="11">
        <item m="1" x="9"/>
        <item m="1" x="7"/>
        <item m="1" x="6"/>
        <item m="1" x="5"/>
        <item m="1" x="8"/>
        <item x="4"/>
        <item x="2"/>
        <item x="1"/>
        <item x="0"/>
        <item x="3"/>
        <item t="default"/>
      </items>
    </pivotField>
    <pivotField compact="0" outline="0" showAll="0"/>
    <pivotField compact="0" outline="0" showAll="0"/>
    <pivotField compact="0" outline="0" showAll="0"/>
    <pivotField axis="axisPage" compact="0" outline="0" showAll="0">
      <items count="4">
        <item x="0"/>
        <item x="2"/>
        <item x="1"/>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numFmtId="14" outline="0" showAll="0"/>
    <pivotField compact="0" numFmtId="22" outline="0" showAll="0"/>
    <pivotField compact="0" outline="0" showAll="0"/>
    <pivotField compact="0" outline="0" showAll="0"/>
    <pivotField compact="0" numFmtId="14" outline="0" showAll="0"/>
    <pivotField compact="0" numFmtId="22" outline="0" showAll="0"/>
    <pivotField compact="0" outline="0" showAll="0"/>
    <pivotField compact="0" outline="0" showAll="0"/>
    <pivotField compact="0" outline="0" showAll="0"/>
    <pivotField compact="0" outline="0" showAll="0"/>
    <pivotField compact="0" outline="0" showAll="0"/>
    <pivotField compact="0" numFmtId="22"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7">
        <item x="1"/>
        <item x="4"/>
        <item x="2"/>
        <item x="5"/>
        <item x="3"/>
        <item x="0"/>
        <item t="default"/>
      </items>
    </pivotField>
  </pivotFields>
  <rowFields count="1">
    <field x="53"/>
  </rowFields>
  <rowItems count="6">
    <i>
      <x/>
    </i>
    <i>
      <x v="1"/>
    </i>
    <i>
      <x v="2"/>
    </i>
    <i>
      <x v="3"/>
    </i>
    <i>
      <x v="4"/>
    </i>
    <i>
      <x v="5"/>
    </i>
  </rowItems>
  <colFields count="1">
    <field x="5"/>
  </colFields>
  <colItems count="5">
    <i>
      <x v="5"/>
    </i>
    <i>
      <x v="6"/>
    </i>
    <i>
      <x v="7"/>
    </i>
    <i>
      <x v="8"/>
    </i>
    <i>
      <x v="9"/>
    </i>
  </colItems>
  <pageFields count="2">
    <pageField fld="1" hier="-1"/>
    <pageField fld="9" hier="-1"/>
  </pageFields>
  <dataFields count="1">
    <dataField name="Count of Case Number" fld="0" subtotal="count" baseField="0" baseItem="0"/>
  </dataFields>
  <formats count="15">
    <format dxfId="384">
      <pivotArea type="all" dataOnly="0" outline="0" fieldPosition="0"/>
    </format>
    <format dxfId="383">
      <pivotArea outline="0" collapsedLevelsAreSubtotals="1" fieldPosition="0"/>
    </format>
    <format dxfId="382">
      <pivotArea type="origin" dataOnly="0" labelOnly="1" outline="0" fieldPosition="0"/>
    </format>
    <format dxfId="381">
      <pivotArea field="5" type="button" dataOnly="0" labelOnly="1" outline="0" axis="axisCol" fieldPosition="0"/>
    </format>
    <format dxfId="380">
      <pivotArea type="topRight" dataOnly="0" labelOnly="1" outline="0" fieldPosition="0"/>
    </format>
    <format dxfId="379">
      <pivotArea field="2" type="button" dataOnly="0" labelOnly="1" outline="0"/>
    </format>
    <format dxfId="378">
      <pivotArea dataOnly="0" labelOnly="1" outline="0" fieldPosition="0">
        <references count="1">
          <reference field="5" count="0"/>
        </references>
      </pivotArea>
    </format>
    <format dxfId="377">
      <pivotArea type="all" dataOnly="0" outline="0" fieldPosition="0"/>
    </format>
    <format dxfId="376">
      <pivotArea outline="0" collapsedLevelsAreSubtotals="1" fieldPosition="0"/>
    </format>
    <format dxfId="375">
      <pivotArea type="origin" dataOnly="0" labelOnly="1" outline="0" fieldPosition="0"/>
    </format>
    <format dxfId="374">
      <pivotArea field="5" type="button" dataOnly="0" labelOnly="1" outline="0" axis="axisCol" fieldPosition="0"/>
    </format>
    <format dxfId="373">
      <pivotArea type="topRight" dataOnly="0" labelOnly="1" outline="0" fieldPosition="0"/>
    </format>
    <format dxfId="372">
      <pivotArea field="2" type="button" dataOnly="0" labelOnly="1" outline="0"/>
    </format>
    <format dxfId="371">
      <pivotArea dataOnly="0" labelOnly="1" outline="0" fieldPosition="0">
        <references count="1">
          <reference field="5" count="0"/>
        </references>
      </pivotArea>
    </format>
    <format dxfId="370">
      <pivotArea field="5" type="button" dataOnly="0" labelOnly="1" outline="0" axis="axisCol" fieldPosition="0"/>
    </format>
  </formats>
  <pivotTableStyleInfo name="PivotStyleLight15"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C30614A-783E-48F4-9FB6-079B38B3E8BC}" name="PivotTable5"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rowHeaderCaption="Time of Day">
  <location ref="J4:N10" firstHeaderRow="1" firstDataRow="2" firstDataCol="1" rowPageCount="1" colPageCount="1"/>
  <pivotFields count="46">
    <pivotField dataField="1" showAll="0" defaultSubtotal="0"/>
    <pivotField axis="axisPage" numFmtId="14" showAll="0" defaultSubtotal="0">
      <items count="8">
        <item x="0"/>
        <item x="1"/>
        <item x="2"/>
        <item x="3"/>
        <item x="4"/>
        <item x="5"/>
        <item x="6"/>
        <item x="7"/>
      </items>
    </pivotField>
    <pivotField axis="axisRow" showAll="0" defaultSubtotal="0">
      <items count="5">
        <item x="0"/>
        <item x="3"/>
        <item x="2"/>
        <item x="4"/>
        <item x="1"/>
      </items>
    </pivotField>
    <pivotField numFmtId="172" showAll="0" defaultSubtotal="0"/>
    <pivotField numFmtId="172" showAll="0" defaultSubtotal="0"/>
    <pivotField axis="axisCol" showAll="0" defaultSubtotal="0">
      <items count="4">
        <item x="3"/>
        <item x="0"/>
        <item x="1"/>
        <item x="2"/>
      </items>
    </pivotField>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numFmtId="22" showAll="0" defaultSubtotal="0"/>
    <pivotField showAll="0" defaultSubtotal="0"/>
    <pivotField showAll="0" defaultSubtotal="0"/>
    <pivotField showAll="0" defaultSubtotal="0"/>
    <pivotField showAll="0" defaultSubtotal="0"/>
    <pivotField showAll="0" defaultSubtotal="0"/>
    <pivotField showAll="0" defaultSubtotal="0"/>
  </pivotFields>
  <rowFields count="1">
    <field x="2"/>
  </rowFields>
  <rowItems count="5">
    <i>
      <x/>
    </i>
    <i>
      <x v="1"/>
    </i>
    <i>
      <x v="2"/>
    </i>
    <i>
      <x v="3"/>
    </i>
    <i>
      <x v="4"/>
    </i>
  </rowItems>
  <colFields count="1">
    <field x="5"/>
  </colFields>
  <colItems count="4">
    <i>
      <x/>
    </i>
    <i>
      <x v="1"/>
    </i>
    <i>
      <x v="2"/>
    </i>
    <i>
      <x v="3"/>
    </i>
  </colItems>
  <pageFields count="1">
    <pageField fld="1" hier="-1"/>
  </pageFields>
  <dataFields count="1">
    <dataField name="Count of Case Number" fld="0" subtotal="count" baseField="0" baseItem="0"/>
  </dataFields>
  <formats count="6">
    <format dxfId="248">
      <pivotArea type="origin" dataOnly="0" labelOnly="1" outline="0" fieldPosition="0"/>
    </format>
    <format dxfId="247">
      <pivotArea field="5" type="button" dataOnly="0" labelOnly="1" outline="0" axis="axisCol" fieldPosition="0"/>
    </format>
    <format dxfId="246">
      <pivotArea type="origin" dataOnly="0" labelOnly="1" outline="0" fieldPosition="0"/>
    </format>
    <format dxfId="245">
      <pivotArea field="5" type="button" dataOnly="0" labelOnly="1" outline="0" axis="axisCol" fieldPosition="0"/>
    </format>
    <format dxfId="244">
      <pivotArea field="2" type="button" dataOnly="0" labelOnly="1" outline="0" axis="axisRow" fieldPosition="0"/>
    </format>
    <format dxfId="243">
      <pivotArea dataOnly="0" labelOnly="1" fieldPosition="0">
        <references count="1">
          <reference field="5" count="0"/>
        </references>
      </pivotArea>
    </format>
  </formats>
  <pivotTableStyleInfo name="PivotStyleLight3"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C41D53D-B595-42CD-841E-6A1C6A8C0037}" name="PivotTable4"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rowHeaderCaption="Time of Day">
  <location ref="A4:B6" firstHeaderRow="1" firstDataRow="2" firstDataCol="1" rowPageCount="1" colPageCount="1"/>
  <pivotFields count="46">
    <pivotField dataField="1" showAll="0" defaultSubtotal="0"/>
    <pivotField axis="axisPage" numFmtId="14" multipleItemSelectionAllowed="1" showAll="0" defaultSubtotal="0">
      <items count="8">
        <item h="1" x="0"/>
        <item h="1" x="1"/>
        <item h="1" x="2"/>
        <item h="1" x="3"/>
        <item h="1" x="4"/>
        <item h="1" x="5"/>
        <item h="1" x="6"/>
        <item x="7"/>
      </items>
    </pivotField>
    <pivotField axis="axisRow" showAll="0" defaultSubtotal="0">
      <items count="5">
        <item x="0"/>
        <item x="3"/>
        <item x="2"/>
        <item x="4"/>
        <item x="1"/>
      </items>
    </pivotField>
    <pivotField numFmtId="172" showAll="0" defaultSubtotal="0"/>
    <pivotField numFmtId="172" showAll="0" defaultSubtotal="0"/>
    <pivotField axis="axisCol" showAll="0" defaultSubtotal="0">
      <items count="4">
        <item x="3"/>
        <item x="0"/>
        <item x="1"/>
        <item x="2"/>
      </items>
    </pivotField>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numFmtId="22" showAll="0" defaultSubtotal="0"/>
    <pivotField showAll="0" defaultSubtotal="0"/>
    <pivotField showAll="0" defaultSubtotal="0"/>
    <pivotField showAll="0" defaultSubtotal="0"/>
    <pivotField showAll="0" defaultSubtotal="0"/>
    <pivotField showAll="0" defaultSubtotal="0"/>
    <pivotField showAll="0" defaultSubtotal="0"/>
  </pivotFields>
  <rowFields count="1">
    <field x="2"/>
  </rowFields>
  <rowItems count="1">
    <i>
      <x v="3"/>
    </i>
  </rowItems>
  <colFields count="1">
    <field x="5"/>
  </colFields>
  <colItems count="1">
    <i>
      <x v="2"/>
    </i>
  </colItems>
  <pageFields count="1">
    <pageField fld="1" hier="-1"/>
  </pageFields>
  <dataFields count="1">
    <dataField name="Count of Case Number" fld="0" subtotal="count" baseField="0" baseItem="0"/>
  </dataFields>
  <formats count="6">
    <format dxfId="254">
      <pivotArea type="origin" dataOnly="0" labelOnly="1" outline="0" fieldPosition="0"/>
    </format>
    <format dxfId="253">
      <pivotArea field="5" type="button" dataOnly="0" labelOnly="1" outline="0" axis="axisCol" fieldPosition="0"/>
    </format>
    <format dxfId="252">
      <pivotArea type="origin" dataOnly="0" labelOnly="1" outline="0" fieldPosition="0"/>
    </format>
    <format dxfId="251">
      <pivotArea field="5" type="button" dataOnly="0" labelOnly="1" outline="0" axis="axisCol" fieldPosition="0"/>
    </format>
    <format dxfId="250">
      <pivotArea field="2" type="button" dataOnly="0" labelOnly="1" outline="0" axis="axisRow" fieldPosition="0"/>
    </format>
    <format dxfId="249">
      <pivotArea dataOnly="0" labelOnly="1" fieldPosition="0">
        <references count="1">
          <reference field="5" count="0"/>
        </references>
      </pivotArea>
    </format>
  </formats>
  <pivotTableStyleInfo name="PivotStyleLight3"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8C299E4-67B0-4755-A415-8C78441B315A}" name="PivotTable1" cacheId="3"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location ref="A4:E7" firstHeaderRow="1" firstDataRow="2" firstDataCol="1" rowPageCount="2" colPageCount="1"/>
  <pivotFields count="54">
    <pivotField dataField="1" compact="0" outline="0" showAll="0" defaultSubtotal="0"/>
    <pivotField axis="axisPage" compact="0" numFmtId="14" outline="0" showAll="0" defaultSubtotal="0">
      <items count="5">
        <item x="0"/>
        <item x="1"/>
        <item x="2"/>
        <item x="3"/>
        <item x="4"/>
      </items>
    </pivotField>
    <pivotField compact="0" outline="0" showAll="0" defaultSubtotal="0"/>
    <pivotField compact="0" numFmtId="164" outline="0" showAll="0" defaultSubtotal="0">
      <items count="5">
        <item x="3"/>
        <item x="0"/>
        <item x="1"/>
        <item x="2"/>
        <item x="4"/>
      </items>
    </pivotField>
    <pivotField compact="0" numFmtId="164" outline="0" showAll="0" defaultSubtotal="0"/>
    <pivotField axis="axisCol" compact="0" outline="0" showAll="0" defaultSubtotal="0">
      <items count="7">
        <item m="1" x="6"/>
        <item m="1" x="4"/>
        <item m="1" x="5"/>
        <item x="2"/>
        <item x="0"/>
        <item x="3"/>
        <item x="1"/>
      </items>
    </pivotField>
    <pivotField compact="0" outline="0" showAll="0" defaultSubtotal="0"/>
    <pivotField compact="0" outline="0" showAll="0" defaultSubtotal="0"/>
    <pivotField compact="0" outline="0" showAll="0" defaultSubtotal="0"/>
    <pivotField axis="axisPage" compact="0" outline="0" showAll="0" defaultSubtotal="0">
      <items count="5">
        <item x="0"/>
        <item x="2"/>
        <item x="3"/>
        <item x="1"/>
        <item x="4"/>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numFmtId="14" outline="0" showAll="0" defaultSubtotal="0"/>
    <pivotField compact="0" numFmtId="22" outline="0" showAll="0" defaultSubtotal="0"/>
    <pivotField compact="0" outline="0" showAll="0" defaultSubtotal="0"/>
    <pivotField compact="0" outline="0" showAll="0" defaultSubtotal="0"/>
    <pivotField compact="0" numFmtId="14" outline="0" showAll="0" defaultSubtotal="0"/>
    <pivotField compact="0" numFmtId="22"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numFmtId="22"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name="Time of Day" axis="axisRow" compact="0" outline="0" showAll="0" defaultSubtotal="0">
      <items count="2">
        <item x="0"/>
        <item x="1"/>
      </items>
    </pivotField>
  </pivotFields>
  <rowFields count="1">
    <field x="53"/>
  </rowFields>
  <rowItems count="2">
    <i>
      <x/>
    </i>
    <i>
      <x v="1"/>
    </i>
  </rowItems>
  <colFields count="1">
    <field x="5"/>
  </colFields>
  <colItems count="4">
    <i>
      <x v="3"/>
    </i>
    <i>
      <x v="4"/>
    </i>
    <i>
      <x v="5"/>
    </i>
    <i>
      <x v="6"/>
    </i>
  </colItems>
  <pageFields count="2">
    <pageField fld="1" hier="-1"/>
    <pageField fld="9" hier="-1"/>
  </pageFields>
  <dataFields count="1">
    <dataField name="Count of Case Number" fld="0" subtotal="count" baseField="0" baseItem="0"/>
  </dataFields>
  <formats count="26">
    <format dxfId="98">
      <pivotArea type="all" dataOnly="0" outline="0" fieldPosition="0"/>
    </format>
    <format dxfId="97">
      <pivotArea outline="0" collapsedLevelsAreSubtotals="1" fieldPosition="0"/>
    </format>
    <format dxfId="96">
      <pivotArea type="origin" dataOnly="0" labelOnly="1" outline="0" fieldPosition="0"/>
    </format>
    <format dxfId="95">
      <pivotArea field="5" type="button" dataOnly="0" labelOnly="1" outline="0" axis="axisCol" fieldPosition="0"/>
    </format>
    <format dxfId="94">
      <pivotArea type="topRight" dataOnly="0" labelOnly="1" outline="0" fieldPosition="0"/>
    </format>
    <format dxfId="93">
      <pivotArea field="3" type="button" dataOnly="0" labelOnly="1" outline="0"/>
    </format>
    <format dxfId="92">
      <pivotArea dataOnly="0" labelOnly="1" grandRow="1" outline="0" fieldPosition="0"/>
    </format>
    <format dxfId="91">
      <pivotArea dataOnly="0" labelOnly="1" outline="0" fieldPosition="0">
        <references count="1">
          <reference field="5" count="0"/>
        </references>
      </pivotArea>
    </format>
    <format dxfId="90">
      <pivotArea dataOnly="0" labelOnly="1" grandCol="1" outline="0" fieldPosition="0"/>
    </format>
    <format dxfId="89">
      <pivotArea type="all" dataOnly="0" outline="0" fieldPosition="0"/>
    </format>
    <format dxfId="88">
      <pivotArea outline="0" collapsedLevelsAreSubtotals="1" fieldPosition="0"/>
    </format>
    <format dxfId="87">
      <pivotArea type="origin" dataOnly="0" labelOnly="1" outline="0" fieldPosition="0"/>
    </format>
    <format dxfId="86">
      <pivotArea field="5" type="button" dataOnly="0" labelOnly="1" outline="0" axis="axisCol" fieldPosition="0"/>
    </format>
    <format dxfId="85">
      <pivotArea type="topRight" dataOnly="0" labelOnly="1" outline="0" fieldPosition="0"/>
    </format>
    <format dxfId="84">
      <pivotArea field="3" type="button" dataOnly="0" labelOnly="1" outline="0"/>
    </format>
    <format dxfId="83">
      <pivotArea dataOnly="0" labelOnly="1" grandRow="1" outline="0" fieldPosition="0"/>
    </format>
    <format dxfId="82">
      <pivotArea dataOnly="0" labelOnly="1" outline="0" fieldPosition="0">
        <references count="1">
          <reference field="5" count="0"/>
        </references>
      </pivotArea>
    </format>
    <format dxfId="81">
      <pivotArea dataOnly="0" labelOnly="1" grandCol="1" outline="0" fieldPosition="0"/>
    </format>
    <format dxfId="80">
      <pivotArea type="all" dataOnly="0" outline="0" fieldPosition="0"/>
    </format>
    <format dxfId="79">
      <pivotArea outline="0" collapsedLevelsAreSubtotals="1" fieldPosition="0"/>
    </format>
    <format dxfId="78">
      <pivotArea type="origin" dataOnly="0" labelOnly="1" outline="0" fieldPosition="0"/>
    </format>
    <format dxfId="77">
      <pivotArea field="5" type="button" dataOnly="0" labelOnly="1" outline="0" axis="axisCol" fieldPosition="0"/>
    </format>
    <format dxfId="76">
      <pivotArea type="topRight" dataOnly="0" labelOnly="1" outline="0" fieldPosition="0"/>
    </format>
    <format dxfId="75">
      <pivotArea field="53" type="button" dataOnly="0" labelOnly="1" outline="0" axis="axisRow" fieldPosition="0"/>
    </format>
    <format dxfId="74">
      <pivotArea dataOnly="0" labelOnly="1" outline="0" fieldPosition="0">
        <references count="1">
          <reference field="53" count="0"/>
        </references>
      </pivotArea>
    </format>
    <format dxfId="73">
      <pivotArea dataOnly="0" labelOnly="1" outline="0" fieldPosition="0">
        <references count="1">
          <reference field="5" count="0"/>
        </references>
      </pivotArea>
    </format>
  </formats>
  <pivotTableStyleInfo name="PivotStyleLight15"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9337213E-1F1E-45A7-9C6A-40C01C74092A}" name="PivotTable6" cacheId="3"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location ref="J4:K6" firstHeaderRow="1" firstDataRow="2" firstDataCol="1" rowPageCount="2" colPageCount="1"/>
  <pivotFields count="54">
    <pivotField dataField="1" compact="0" outline="0" showAll="0" defaultSubtotal="0"/>
    <pivotField axis="axisPage" compact="0" numFmtId="14" outline="0" multipleItemSelectionAllowed="1" showAll="0" defaultSubtotal="0">
      <items count="5">
        <item h="1" x="0"/>
        <item h="1" x="1"/>
        <item h="1" x="2"/>
        <item h="1" x="3"/>
        <item x="4"/>
      </items>
    </pivotField>
    <pivotField compact="0" outline="0" showAll="0" defaultSubtotal="0"/>
    <pivotField compact="0" numFmtId="164" outline="0" showAll="0" defaultSubtotal="0">
      <items count="5">
        <item x="3"/>
        <item x="0"/>
        <item x="1"/>
        <item x="2"/>
        <item x="4"/>
      </items>
    </pivotField>
    <pivotField compact="0" numFmtId="164" outline="0" showAll="0" defaultSubtotal="0"/>
    <pivotField axis="axisCol" compact="0" outline="0" showAll="0" defaultSubtotal="0">
      <items count="7">
        <item m="1" x="6"/>
        <item m="1" x="4"/>
        <item m="1" x="5"/>
        <item x="2"/>
        <item x="0"/>
        <item x="3"/>
        <item x="1"/>
      </items>
    </pivotField>
    <pivotField compact="0" outline="0" showAll="0" defaultSubtotal="0"/>
    <pivotField compact="0" outline="0" showAll="0" defaultSubtotal="0"/>
    <pivotField compact="0" outline="0" showAll="0" defaultSubtotal="0"/>
    <pivotField axis="axisPage" compact="0" outline="0" showAll="0" defaultSubtotal="0">
      <items count="5">
        <item x="0"/>
        <item x="2"/>
        <item x="3"/>
        <item x="1"/>
        <item x="4"/>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numFmtId="14" outline="0" showAll="0" defaultSubtotal="0"/>
    <pivotField compact="0" numFmtId="22" outline="0" showAll="0" defaultSubtotal="0"/>
    <pivotField compact="0" outline="0" showAll="0" defaultSubtotal="0"/>
    <pivotField compact="0" outline="0" showAll="0" defaultSubtotal="0"/>
    <pivotField compact="0" numFmtId="14" outline="0" showAll="0" defaultSubtotal="0"/>
    <pivotField compact="0" numFmtId="22"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numFmtId="22"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name="Time of Day" axis="axisRow" compact="0" outline="0" showAll="0" defaultSubtotal="0">
      <items count="2">
        <item x="0"/>
        <item x="1"/>
      </items>
    </pivotField>
  </pivotFields>
  <rowFields count="1">
    <field x="53"/>
  </rowFields>
  <rowItems count="1">
    <i>
      <x v="1"/>
    </i>
  </rowItems>
  <colFields count="1">
    <field x="5"/>
  </colFields>
  <colItems count="1">
    <i>
      <x v="5"/>
    </i>
  </colItems>
  <pageFields count="2">
    <pageField fld="1" hier="-1"/>
    <pageField fld="9" hier="-1"/>
  </pageFields>
  <dataFields count="1">
    <dataField name="Count of Case Number" fld="0" subtotal="count" baseField="0" baseItem="0"/>
  </dataFields>
  <formats count="27">
    <format dxfId="125">
      <pivotArea type="all" dataOnly="0" outline="0" fieldPosition="0"/>
    </format>
    <format dxfId="124">
      <pivotArea type="origin" dataOnly="0" labelOnly="1" outline="0" fieldPosition="0"/>
    </format>
    <format dxfId="123">
      <pivotArea field="5" type="button" dataOnly="0" labelOnly="1" outline="0" axis="axisCol" fieldPosition="0"/>
    </format>
    <format dxfId="122">
      <pivotArea type="topRight" dataOnly="0" labelOnly="1" outline="0" fieldPosition="0"/>
    </format>
    <format dxfId="121">
      <pivotArea field="3" type="button" dataOnly="0" labelOnly="1" outline="0"/>
    </format>
    <format dxfId="120">
      <pivotArea dataOnly="0" labelOnly="1" grandRow="1" outline="0" fieldPosition="0"/>
    </format>
    <format dxfId="119">
      <pivotArea dataOnly="0" labelOnly="1" outline="0" fieldPosition="0">
        <references count="1">
          <reference field="5" count="0"/>
        </references>
      </pivotArea>
    </format>
    <format dxfId="118">
      <pivotArea dataOnly="0" labelOnly="1" grandCol="1" outline="0" fieldPosition="0"/>
    </format>
    <format dxfId="117">
      <pivotArea type="all" dataOnly="0" outline="0" fieldPosition="0"/>
    </format>
    <format dxfId="116">
      <pivotArea type="origin" dataOnly="0" labelOnly="1" outline="0" fieldPosition="0"/>
    </format>
    <format dxfId="115">
      <pivotArea field="5" type="button" dataOnly="0" labelOnly="1" outline="0" axis="axisCol" fieldPosition="0"/>
    </format>
    <format dxfId="114">
      <pivotArea type="topRight" dataOnly="0" labelOnly="1" outline="0" fieldPosition="0"/>
    </format>
    <format dxfId="113">
      <pivotArea field="3" type="button" dataOnly="0" labelOnly="1" outline="0"/>
    </format>
    <format dxfId="112">
      <pivotArea dataOnly="0" labelOnly="1" grandRow="1" outline="0" fieldPosition="0"/>
    </format>
    <format dxfId="111">
      <pivotArea dataOnly="0" labelOnly="1" outline="0" fieldPosition="0">
        <references count="1">
          <reference field="5" count="0"/>
        </references>
      </pivotArea>
    </format>
    <format dxfId="110">
      <pivotArea dataOnly="0" labelOnly="1" grandCol="1" outline="0" fieldPosition="0"/>
    </format>
    <format dxfId="109">
      <pivotArea type="all" dataOnly="0" outline="0" fieldPosition="0"/>
    </format>
    <format dxfId="108">
      <pivotArea outline="0" collapsedLevelsAreSubtotals="1" fieldPosition="0"/>
    </format>
    <format dxfId="107">
      <pivotArea type="origin" dataOnly="0" labelOnly="1" outline="0" fieldPosition="0"/>
    </format>
    <format dxfId="106">
      <pivotArea field="5" type="button" dataOnly="0" labelOnly="1" outline="0" axis="axisCol" fieldPosition="0"/>
    </format>
    <format dxfId="105">
      <pivotArea field="53" type="button" dataOnly="0" labelOnly="1" outline="0" axis="axisRow" fieldPosition="0"/>
    </format>
    <format dxfId="104">
      <pivotArea dataOnly="0" labelOnly="1" outline="0" fieldPosition="0">
        <references count="1">
          <reference field="53" count="1">
            <x v="1"/>
          </reference>
        </references>
      </pivotArea>
    </format>
    <format dxfId="103">
      <pivotArea dataOnly="0" labelOnly="1" outline="0" fieldPosition="0">
        <references count="1">
          <reference field="5" count="1">
            <x v="5"/>
          </reference>
        </references>
      </pivotArea>
    </format>
    <format dxfId="102">
      <pivotArea outline="0" collapsedLevelsAreSubtotals="1" fieldPosition="0"/>
    </format>
    <format dxfId="101">
      <pivotArea field="53" type="button" dataOnly="0" labelOnly="1" outline="0" axis="axisRow" fieldPosition="0"/>
    </format>
    <format dxfId="100">
      <pivotArea dataOnly="0" labelOnly="1" outline="0" fieldPosition="0">
        <references count="1">
          <reference field="53" count="1">
            <x v="1"/>
          </reference>
        </references>
      </pivotArea>
    </format>
    <format dxfId="99">
      <pivotArea dataOnly="0" labelOnly="1" outline="0" fieldPosition="0">
        <references count="1">
          <reference field="5" count="1">
            <x v="5"/>
          </reference>
        </references>
      </pivotArea>
    </format>
  </formats>
  <pivotTableStyleInfo name="PivotStyleLight15"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4" connectionId="10" xr16:uid="{348EA3C6-B88C-43C7-92D6-D64F0BA658AC}" autoFormatId="16" applyNumberFormats="0" applyBorderFormats="0" applyFontFormats="0" applyPatternFormats="0" applyAlignmentFormats="0" applyWidthHeightFormats="0">
  <queryTableRefresh nextId="49">
    <queryTableFields count="48">
      <queryTableField id="1" name="Case Number" tableColumnId="1"/>
      <queryTableField id="2" name="BLOCK" tableColumnId="2"/>
      <queryTableField id="3" name="TIME_OF_DAY" tableColumnId="3"/>
      <queryTableField id="4" name="Location" tableColumnId="4"/>
      <queryTableField id="5" name="ALL_INCIDENTS" tableColumnId="5"/>
      <queryTableField id="6" name="Incident Type_1" tableColumnId="6"/>
      <queryTableField id="7" name="Incident Type_2" tableColumnId="7"/>
      <queryTableField id="8" name="Incident Type_3" tableColumnId="8"/>
      <queryTableField id="9" name="FullAddress" tableColumnId="9"/>
      <queryTableField id="10" name="Grid" tableColumnId="10"/>
      <queryTableField id="11" name="Zone" tableColumnId="11"/>
      <queryTableField id="12" name="Narrative" tableColumnId="12"/>
      <queryTableField id="13" name="Total Value Stolen" tableColumnId="13"/>
      <queryTableField id="14" name="Total Value Recover" tableColumnId="14"/>
      <queryTableField id="15" name="Registration 1" tableColumnId="15"/>
      <queryTableField id="16" name="Make1" tableColumnId="16"/>
      <queryTableField id="17" name="Model1" tableColumnId="17"/>
      <queryTableField id="18" name="Reg State 1" tableColumnId="18"/>
      <queryTableField id="19" name="Registration 2" tableColumnId="19"/>
      <queryTableField id="20" name="Reg State 2" tableColumnId="20"/>
      <queryTableField id="21" name="Make2" tableColumnId="21"/>
      <queryTableField id="22" name="Model2" tableColumnId="22"/>
      <queryTableField id="23" name="Reviewed By" tableColumnId="23"/>
      <queryTableField id="24" name="CompleteCalc" tableColumnId="24"/>
      <queryTableField id="25" name="Officer of Record" tableColumnId="25"/>
      <queryTableField id="26" name="Squad" tableColumnId="26"/>
      <queryTableField id="27" name="Det_Assigned" tableColumnId="27"/>
      <queryTableField id="28" name="Case_Status" tableColumnId="28"/>
      <queryTableField id="29" name="NIBRS Classification" tableColumnId="29"/>
      <queryTableField id="30" name="CASE_NUMBER_LENGTH" tableColumnId="30"/>
      <queryTableField id="31" name="Year" tableColumnId="31"/>
      <queryTableField id="32" name="St#" tableColumnId="32"/>
      <queryTableField id="33" name="Notes" tableColumnId="33"/>
      <queryTableField id="34" name="VEHICLE" tableColumnId="34"/>
      <queryTableField id="35" name="Suspect" tableColumnId="35"/>
      <queryTableField id="36" name="TOTAL_STOLEN_AMOUNT" tableColumnId="36"/>
      <queryTableField id="37" name="INC_DATE" tableColumnId="37"/>
      <queryTableField id="38" name="TOD" tableColumnId="38"/>
      <queryTableField id="39" name="Start of Hour" tableColumnId="39"/>
      <queryTableField id="40" name="INC_TIME" tableColumnId="40"/>
      <queryTableField id="41" name="Day Name" tableColumnId="41"/>
      <queryTableField id="42" name="Month Name" tableColumnId="42"/>
      <queryTableField id="43" name="Week of Year" tableColumnId="43"/>
      <queryTableField id="44" name="Week of Month" tableColumnId="44"/>
      <queryTableField id="45" name="Day" tableColumnId="45"/>
      <queryTableField id="46" name="Day of Year" tableColumnId="46"/>
      <queryTableField id="47" name="INC_DATE_AND_TIME" tableColumnId="47"/>
      <queryTableField id="48" name="REPORT_CYCLE" tableColumnId="48"/>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5" connectionId="9" xr16:uid="{36E45637-61F3-468B-84FF-021DC345956C}" autoFormatId="16" applyNumberFormats="0" applyBorderFormats="0" applyFontFormats="0" applyPatternFormats="0" applyAlignmentFormats="0" applyWidthHeightFormats="0">
  <queryTableRefresh nextId="49">
    <queryTableFields count="48">
      <queryTableField id="1" name="Case Number" tableColumnId="1"/>
      <queryTableField id="2" name="BLOCK" tableColumnId="2"/>
      <queryTableField id="3" name="TIME_OF_DAY" tableColumnId="3"/>
      <queryTableField id="4" name="Location" tableColumnId="4"/>
      <queryTableField id="5" name="ALL_INCIDENTS" tableColumnId="5"/>
      <queryTableField id="6" name="Incident Type_1" tableColumnId="6"/>
      <queryTableField id="7" name="Incident Type_2" tableColumnId="7"/>
      <queryTableField id="8" name="Incident Type_3" tableColumnId="8"/>
      <queryTableField id="9" name="FullAddress" tableColumnId="9"/>
      <queryTableField id="10" name="Grid" tableColumnId="10"/>
      <queryTableField id="11" name="Zone" tableColumnId="11"/>
      <queryTableField id="12" name="Narrative" tableColumnId="12"/>
      <queryTableField id="13" name="Total Value Stolen" tableColumnId="13"/>
      <queryTableField id="14" name="Total Value Recover" tableColumnId="14"/>
      <queryTableField id="15" name="Registration 1" tableColumnId="15"/>
      <queryTableField id="16" name="Make1" tableColumnId="16"/>
      <queryTableField id="17" name="Model1" tableColumnId="17"/>
      <queryTableField id="18" name="Reg State 1" tableColumnId="18"/>
      <queryTableField id="19" name="Registration 2" tableColumnId="19"/>
      <queryTableField id="20" name="Reg State 2" tableColumnId="20"/>
      <queryTableField id="21" name="Make2" tableColumnId="21"/>
      <queryTableField id="22" name="Model2" tableColumnId="22"/>
      <queryTableField id="23" name="Reviewed By" tableColumnId="23"/>
      <queryTableField id="24" name="CompleteCalc" tableColumnId="24"/>
      <queryTableField id="25" name="Officer of Record" tableColumnId="25"/>
      <queryTableField id="26" name="Squad" tableColumnId="26"/>
      <queryTableField id="27" name="Det_Assigned" tableColumnId="27"/>
      <queryTableField id="28" name="Case_Status" tableColumnId="28"/>
      <queryTableField id="29" name="NIBRS Classification" tableColumnId="29"/>
      <queryTableField id="30" name="CASE_NUMBER_LENGTH" tableColumnId="30"/>
      <queryTableField id="31" name="Year" tableColumnId="31"/>
      <queryTableField id="32" name="St#" tableColumnId="32"/>
      <queryTableField id="33" name="Notes" tableColumnId="33"/>
      <queryTableField id="34" name="VEHICLE" tableColumnId="34"/>
      <queryTableField id="35" name="Suspect" tableColumnId="35"/>
      <queryTableField id="36" name="TOTAL_STOLEN_AMOUNT" tableColumnId="36"/>
      <queryTableField id="37" name="INC_DATE" tableColumnId="37"/>
      <queryTableField id="38" name="TOD" tableColumnId="38"/>
      <queryTableField id="39" name="Start of Hour" tableColumnId="39"/>
      <queryTableField id="40" name="INC_TIME" tableColumnId="40"/>
      <queryTableField id="41" name="Day Name" tableColumnId="41"/>
      <queryTableField id="42" name="Month Name" tableColumnId="42"/>
      <queryTableField id="43" name="Week of Year" tableColumnId="43"/>
      <queryTableField id="44" name="Week of Month" tableColumnId="44"/>
      <queryTableField id="45" name="Day" tableColumnId="45"/>
      <queryTableField id="46" name="Day of Year" tableColumnId="46"/>
      <queryTableField id="47" name="INC_DATE_AND_TIME" tableColumnId="47"/>
      <queryTableField id="48" name="REPORT_CYCLE" tableColumnId="48"/>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2" connectionId="3" xr16:uid="{E36C3D5E-A89C-4A83-BA0C-7A59259D7EBF}" autoFormatId="16" applyNumberFormats="0" applyBorderFormats="0" applyFontFormats="0" applyPatternFormats="0" applyAlignmentFormats="0" applyWidthHeightFormats="0">
  <queryTableRefresh nextId="112">
    <queryTableFields count="45">
      <queryTableField id="1" name="Case Number" tableColumnId="1"/>
      <queryTableField id="6" name="INC_DATE" tableColumnId="6"/>
      <queryTableField id="48" name="TIME_OF_DAY" tableColumnId="48"/>
      <queryTableField id="2" name="Start of Hour" tableColumnId="2"/>
      <queryTableField id="3" name="INC_TIME" tableColumnId="3"/>
      <queryTableField id="4" name="Day Name" tableColumnId="4"/>
      <queryTableField id="5" name="Month Name" tableColumnId="5"/>
      <queryTableField id="47" name="BLOCK" tableColumnId="47"/>
      <queryTableField id="7" name="Location" tableColumnId="7"/>
      <queryTableField id="9" name="ALL_INCIDENTS" tableColumnId="9"/>
      <queryTableField id="8" name="Incident Type_1" tableColumnId="8"/>
      <queryTableField id="10" name="Incident Type_2" tableColumnId="10"/>
      <queryTableField id="11" name="Incident Type_3" tableColumnId="11"/>
      <queryTableField id="12" name="FullAddress" tableColumnId="12"/>
      <queryTableField id="13" name="Grid" tableColumnId="13"/>
      <queryTableField id="14" name="Zone" tableColumnId="14"/>
      <queryTableField id="15" name="Narrative" tableColumnId="15"/>
      <queryTableField id="16" name="Total Value Stolen" tableColumnId="16"/>
      <queryTableField id="17" name="Total Value Recover" tableColumnId="17"/>
      <queryTableField id="18" name="Registration 1" tableColumnId="18"/>
      <queryTableField id="19" name="Make1" tableColumnId="19"/>
      <queryTableField id="20" name="Model1" tableColumnId="20"/>
      <queryTableField id="21" name="Reg State 1" tableColumnId="21"/>
      <queryTableField id="22" name="Registration 2" tableColumnId="22"/>
      <queryTableField id="23" name="Reg State 2" tableColumnId="23"/>
      <queryTableField id="24" name="Make2" tableColumnId="24"/>
      <queryTableField id="25" name="Model2" tableColumnId="25"/>
      <queryTableField id="26" name="Reviewed By" tableColumnId="26"/>
      <queryTableField id="28" name="Officer of Record" tableColumnId="28"/>
      <queryTableField id="29" name="Squad" tableColumnId="29"/>
      <queryTableField id="30" name="Det_Assigned" tableColumnId="30"/>
      <queryTableField id="31" name="Case_Status" tableColumnId="31"/>
      <queryTableField id="32" name="NIBRS Classification" tableColumnId="32"/>
      <queryTableField id="40" name="Year" tableColumnId="40"/>
      <queryTableField id="41" name="Week of Year" tableColumnId="41"/>
      <queryTableField id="42" name="Week of Month" tableColumnId="42"/>
      <queryTableField id="43" name="Day" tableColumnId="43"/>
      <queryTableField id="44" name="Day of Year" tableColumnId="44"/>
      <queryTableField id="45" name="INC_DATE_AND_TIME" tableColumnId="45"/>
      <queryTableField id="46" name="St#" tableColumnId="46"/>
      <queryTableField id="108" name="Notes" tableColumnId="49"/>
      <queryTableField id="50" name="VEHICLE" tableColumnId="50"/>
      <queryTableField id="51" name="Suspect" tableColumnId="51"/>
      <queryTableField id="52" name="TOTAL_STOLEN_AMOUNT" tableColumnId="52"/>
      <queryTableField id="53" name="REPORT_CYCLE" tableColumnId="53"/>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3" connectionId="5" xr16:uid="{44A96AE3-E9A4-4E0B-BDFD-5B9DD009DACE}" autoFormatId="16" applyNumberFormats="0" applyBorderFormats="0" applyFontFormats="0" applyPatternFormats="0" applyAlignmentFormats="0" applyWidthHeightFormats="0">
  <queryTableRefresh nextId="25">
    <queryTableFields count="15">
      <queryTableField id="1" name="Block Incident Occurred On" tableColumnId="1"/>
      <queryTableField id="2" name="Incident Date" tableColumnId="2"/>
      <queryTableField id="3" name="Day of Week" tableColumnId="3"/>
      <queryTableField id="4" name="Time of Day Incident Occurred" tableColumnId="4"/>
      <queryTableField id="5" name="Victim's Vehicle Description" tableColumnId="5"/>
      <queryTableField id="7" name="Vehicle Was Parked" tableColumnId="7"/>
      <queryTableField id="8" name="Entry Method" tableColumnId="8"/>
      <queryTableField id="9" name="Damage to Vehicle" tableColumnId="9"/>
      <queryTableField id="10" name="Suspect Description" tableColumnId="10"/>
      <queryTableField id="11" name="Suspect Vehicle Description" tableColumnId="11"/>
      <queryTableField id="12" name="Items Stolen" tableColumnId="12"/>
      <queryTableField id="13" name="Value of Stolen Property" tableColumnId="13"/>
      <queryTableField id="14" name="Keys with Vehicle" tableColumnId="14"/>
      <queryTableField id="15" name="Offense Completed" tableColumnId="15"/>
      <queryTableField id="6" name="Notes" tableColumnId="6"/>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6" connectionId="31" xr16:uid="{091701AC-7440-44EC-8CBC-F15969D18E45}" autoFormatId="16" applyNumberFormats="0" applyBorderFormats="0" applyFontFormats="0" applyPatternFormats="0" applyAlignmentFormats="0" applyWidthHeightFormats="0">
  <queryTableRefresh nextId="16">
    <queryTableFields count="8">
      <queryTableField id="14" name="CaseID" tableColumnId="14"/>
      <queryTableField id="1" name="Block" tableColumnId="1"/>
      <queryTableField id="2" name="Incident Date" tableColumnId="2"/>
      <queryTableField id="3" name="Day of Week" tableColumnId="3"/>
      <queryTableField id="4" name="Time of Day" tableColumnId="4"/>
      <queryTableField id="5" name="Suspect" tableColumnId="5"/>
      <queryTableField id="11" name="Property Stolen" tableColumnId="11"/>
      <queryTableField id="13" name="Notes" tableColumnId="13"/>
    </queryTableFields>
  </queryTableRefresh>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ExternalData_3" connectionId="6" xr16:uid="{1535C284-9D16-4C61-940C-BE409E77425D}" autoFormatId="16" applyNumberFormats="0" applyBorderFormats="0" applyFontFormats="0" applyPatternFormats="0" applyAlignmentFormats="0" applyWidthHeightFormats="0">
  <queryTableRefresh nextId="111">
    <queryTableFields count="54">
      <queryTableField id="1" name="Case Number" tableColumnId="1"/>
      <queryTableField id="6" name="INC_DATE" tableColumnId="6"/>
      <queryTableField id="57" name="TOD" tableColumnId="54"/>
      <queryTableField id="2" name="Start of Hour" tableColumnId="2"/>
      <queryTableField id="3" name="INC_TIME" tableColumnId="3"/>
      <queryTableField id="4" name="Day Name" tableColumnId="4"/>
      <queryTableField id="5" name="Month Name" tableColumnId="5"/>
      <queryTableField id="47" name="BLOCK" tableColumnId="47"/>
      <queryTableField id="7" name="Location" tableColumnId="7"/>
      <queryTableField id="9" name="ALL_INCIDENTS" tableColumnId="9"/>
      <queryTableField id="8" name="Incident Type_1" tableColumnId="8"/>
      <queryTableField id="10" name="Incident Type_2" tableColumnId="10"/>
      <queryTableField id="11" name="Incident Type_3" tableColumnId="11"/>
      <queryTableField id="12" name="FullAddress" tableColumnId="12"/>
      <queryTableField id="13" name="Grid" tableColumnId="13"/>
      <queryTableField id="14" name="Zone" tableColumnId="14"/>
      <queryTableField id="15" name="Narrative" tableColumnId="15"/>
      <queryTableField id="16" name="Total Value Stolen" tableColumnId="16"/>
      <queryTableField id="17" name="Total Value Recover" tableColumnId="17"/>
      <queryTableField id="18" name="Registration 1" tableColumnId="18"/>
      <queryTableField id="19" name="Make1" tableColumnId="19"/>
      <queryTableField id="20" name="Model1" tableColumnId="20"/>
      <queryTableField id="21" name="Reg State 1" tableColumnId="21"/>
      <queryTableField id="22" name="Registration 2" tableColumnId="22"/>
      <queryTableField id="23" name="Reg State 2" tableColumnId="23"/>
      <queryTableField id="24" name="Make2" tableColumnId="24"/>
      <queryTableField id="25" name="Model2" tableColumnId="25"/>
      <queryTableField id="26" name="Reviewed By" tableColumnId="26"/>
      <queryTableField id="27" name="CompleteCalc" tableColumnId="27"/>
      <queryTableField id="28" name="Officer of Record" tableColumnId="28"/>
      <queryTableField id="29" name="Squad" tableColumnId="29"/>
      <queryTableField id="30" name="Det_Assigned" tableColumnId="30"/>
      <queryTableField id="31" name="Case_Status" tableColumnId="31"/>
      <queryTableField id="32" name="NIBRS Classification" tableColumnId="32"/>
      <queryTableField id="33" name="CASE_NUMBER_LENGTH" tableColumnId="33"/>
      <queryTableField id="34" name="Incident Date" tableColumnId="34"/>
      <queryTableField id="35" name="Incident Time" tableColumnId="35"/>
      <queryTableField id="36" name="Incident Date_Between" tableColumnId="36"/>
      <queryTableField id="37" name="Incident Time_Between" tableColumnId="37"/>
      <queryTableField id="38" name="Report Date" tableColumnId="38"/>
      <queryTableField id="39" name="Report Time" tableColumnId="39"/>
      <queryTableField id="40" name="Year" tableColumnId="40"/>
      <queryTableField id="41" name="Week of Year" tableColumnId="41"/>
      <queryTableField id="42" name="Week of Month" tableColumnId="42"/>
      <queryTableField id="43" name="Day" tableColumnId="43"/>
      <queryTableField id="44" name="Day of Year" tableColumnId="44"/>
      <queryTableField id="45" name="INC_DATE_AND_TIME" tableColumnId="45"/>
      <queryTableField id="46" name="St#" tableColumnId="46"/>
      <queryTableField id="108" name="Notes" tableColumnId="49"/>
      <queryTableField id="50" name="VEHICLE" tableColumnId="50"/>
      <queryTableField id="51" name="Suspect" tableColumnId="51"/>
      <queryTableField id="52" name="TOTAL_STOLEN_AMOUNT" tableColumnId="52"/>
      <queryTableField id="53" name="REPORT_CYCLE" tableColumnId="53"/>
      <queryTableField id="48" name="TIME_OF_DAY" tableColumnId="48"/>
    </queryTableFields>
  </queryTableRefresh>
</queryTable>
</file>

<file path=xl/queryTables/queryTable7.xml><?xml version="1.0" encoding="utf-8"?>
<queryTable xmlns="http://schemas.openxmlformats.org/spreadsheetml/2006/main" xmlns:mc="http://schemas.openxmlformats.org/markup-compatibility/2006" xmlns:xr16="http://schemas.microsoft.com/office/spreadsheetml/2017/revision16" mc:Ignorable="xr16" name="ExternalData_4" connectionId="8" xr16:uid="{68333D4D-65F4-437C-BF11-B026542F3F85}" autoFormatId="16" applyNumberFormats="0" applyBorderFormats="0" applyFontFormats="0" applyPatternFormats="0" applyAlignmentFormats="0" applyWidthHeightFormats="0">
  <queryTableRefresh nextId="14">
    <queryTableFields count="13">
      <queryTableField id="1" name="Block" tableColumnId="1"/>
      <queryTableField id="2" name="Incident Date" tableColumnId="2"/>
      <queryTableField id="3" name="Day of Week" tableColumnId="3"/>
      <queryTableField id="4" name="Time of Day" tableColumnId="4"/>
      <queryTableField id="5" name="Suspect" tableColumnId="5"/>
      <queryTableField id="6" name="Involved Vehicle" tableColumnId="6"/>
      <queryTableField id="7" name="Method of Entry" tableColumnId="7"/>
      <queryTableField id="8" name="Point of Entry" tableColumnId="8"/>
      <queryTableField id="9" name="Point of Exit" tableColumnId="9"/>
      <queryTableField id="10" name="Type of Structure" tableColumnId="10"/>
      <queryTableField id="11" name="Property Stolen" tableColumnId="11"/>
      <queryTableField id="12" name="Security Measures Present" tableColumnId="12"/>
      <queryTableField id="13" name="Notes" tableColumnId="13"/>
    </queryTableFields>
  </queryTableRefresh>
</queryTable>
</file>

<file path=xl/queryTables/queryTable8.xml><?xml version="1.0" encoding="utf-8"?>
<queryTable xmlns="http://schemas.openxmlformats.org/spreadsheetml/2006/main" xmlns:mc="http://schemas.openxmlformats.org/markup-compatibility/2006" xmlns:xr16="http://schemas.microsoft.com/office/spreadsheetml/2017/revision16" mc:Ignorable="xr16" name="ExternalData_5" connectionId="7" xr16:uid="{AF88F29F-E89A-4C1D-9908-70747B7EE1D4}" autoFormatId="16" applyNumberFormats="0" applyBorderFormats="0" applyFontFormats="0" applyPatternFormats="0" applyAlignmentFormats="0" applyWidthHeightFormats="0">
  <queryTableRefresh nextId="14">
    <queryTableFields count="13">
      <queryTableField id="1" name="Block" tableColumnId="1"/>
      <queryTableField id="2" name="Incident Date" tableColumnId="2"/>
      <queryTableField id="3" name="Day of Week" tableColumnId="3"/>
      <queryTableField id="4" name="Time of Day" tableColumnId="4"/>
      <queryTableField id="5" name="Suspect" tableColumnId="5"/>
      <queryTableField id="6" name="Involved Vehicle" tableColumnId="6"/>
      <queryTableField id="7" name="Method of Entry" tableColumnId="7"/>
      <queryTableField id="8" name="Point of Entry" tableColumnId="8"/>
      <queryTableField id="9" name="Point of Exit" tableColumnId="9"/>
      <queryTableField id="10" name="Type of Structure" tableColumnId="10"/>
      <queryTableField id="11" name="Property Stolen" tableColumnId="11"/>
      <queryTableField id="12" name="Security Measures Present" tableColumnId="12"/>
      <queryTableField id="13" name="Notes" tableColumnId="13"/>
    </queryTableFields>
  </queryTableRefresh>
</queryTable>
</file>

<file path=xl/queryTables/queryTable9.xml><?xml version="1.0" encoding="utf-8"?>
<queryTable xmlns="http://schemas.openxmlformats.org/spreadsheetml/2006/main" xmlns:mc="http://schemas.openxmlformats.org/markup-compatibility/2006" xmlns:xr16="http://schemas.microsoft.com/office/spreadsheetml/2017/revision16" mc:Ignorable="xr16" name="ExternalData_5" connectionId="20" xr16:uid="{0677BE91-4D61-4337-BBBD-82298BA30184}" autoFormatId="16" applyNumberFormats="0" applyBorderFormats="0" applyFontFormats="0" applyPatternFormats="0" applyAlignmentFormats="0" applyWidthHeightFormats="0">
  <queryTableRefresh nextId="112">
    <queryTableFields count="55">
      <queryTableField id="1" name="Case Number" tableColumnId="1"/>
      <queryTableField id="6" name="INC_DATE" tableColumnId="6"/>
      <queryTableField id="57" name="TOD" tableColumnId="54"/>
      <queryTableField id="2" name="Start of Hour" tableColumnId="2"/>
      <queryTableField id="3" name="INC_TIME" tableColumnId="3"/>
      <queryTableField id="4" name="Day Name" tableColumnId="4"/>
      <queryTableField id="5" name="Month Name" tableColumnId="5"/>
      <queryTableField id="47" name="BLOCK" tableColumnId="47"/>
      <queryTableField id="7" name="Location" tableColumnId="7"/>
      <queryTableField id="9" name="ALL_INCIDENTS" tableColumnId="9"/>
      <queryTableField id="8" name="Incident Type_1" tableColumnId="8"/>
      <queryTableField id="10" name="Incident Type_2" tableColumnId="10"/>
      <queryTableField id="11" name="Incident Type_3" tableColumnId="11"/>
      <queryTableField id="12" name="FullAddress" tableColumnId="12"/>
      <queryTableField id="13" name="Grid" tableColumnId="13"/>
      <queryTableField id="14" name="Zone" tableColumnId="14"/>
      <queryTableField id="15" name="Narrative" tableColumnId="15"/>
      <queryTableField id="16" name="Total Value Stolen" tableColumnId="16"/>
      <queryTableField id="17" name="Total Value Recover" tableColumnId="17"/>
      <queryTableField id="18" name="Registration 1" tableColumnId="18"/>
      <queryTableField id="19" name="Make1" tableColumnId="19"/>
      <queryTableField id="20" name="Model1" tableColumnId="20"/>
      <queryTableField id="21" name="Reg State 1" tableColumnId="21"/>
      <queryTableField id="22" name="Registration 2" tableColumnId="22"/>
      <queryTableField id="23" name="Reg State 2" tableColumnId="23"/>
      <queryTableField id="24" name="Make2" tableColumnId="24"/>
      <queryTableField id="25" name="Model2" tableColumnId="25"/>
      <queryTableField id="26" name="Reviewed By" tableColumnId="26"/>
      <queryTableField id="27" name="CompleteCalc" tableColumnId="27"/>
      <queryTableField id="28" name="Officer of Record" tableColumnId="28"/>
      <queryTableField id="29" name="Squad" tableColumnId="29"/>
      <queryTableField id="30" name="Det_Assigned" tableColumnId="30"/>
      <queryTableField id="31" name="Case_Status" tableColumnId="31"/>
      <queryTableField id="32" name="NIBRS Classification" tableColumnId="32"/>
      <queryTableField id="33" name="CASE_NUMBER_LENGTH" tableColumnId="33"/>
      <queryTableField id="34" name="Incident Date" tableColumnId="34"/>
      <queryTableField id="35" name="Incident Time" tableColumnId="35"/>
      <queryTableField id="36" name="Incident Date_Between" tableColumnId="36"/>
      <queryTableField id="37" name="Incident Time_Between" tableColumnId="37"/>
      <queryTableField id="38" name="Report Date" tableColumnId="38"/>
      <queryTableField id="39" name="Report Time" tableColumnId="39"/>
      <queryTableField id="40" name="Year" tableColumnId="40"/>
      <queryTableField id="41" name="Week of Year" tableColumnId="41"/>
      <queryTableField id="42" name="Week of Month" tableColumnId="42"/>
      <queryTableField id="43" name="Day" tableColumnId="43"/>
      <queryTableField id="44" name="Day of Year" tableColumnId="44"/>
      <queryTableField id="45" name="INC_DATE_AND_TIME" tableColumnId="45"/>
      <queryTableField id="46" name="St#" tableColumnId="46"/>
      <queryTableField id="108" name="Notes" tableColumnId="49"/>
      <queryTableField id="50" name="VEHICLE" tableColumnId="50"/>
      <queryTableField id="51" name="Suspect" tableColumnId="51"/>
      <queryTableField id="52" name="TOTAL_STOLEN_AMOUNT" tableColumnId="52"/>
      <queryTableField id="53" name="REPORT_CYCLE" tableColumnId="53"/>
      <queryTableField id="48" name="TIME_OF_DAY" tableColumnId="48"/>
      <queryTableField id="111" name="Case Number - Copy" tableColumnId="55"/>
    </queryTableFields>
  </queryTableRefresh>
</queryTable>
</file>

<file path=xl/queryTables/queryTable10.xml><?xml version="1.0" encoding="utf-8"?>
<queryTable xmlns="http://schemas.openxmlformats.org/spreadsheetml/2006/main" xmlns:mc="http://schemas.openxmlformats.org/markup-compatibility/2006" xmlns:xr16="http://schemas.microsoft.com/office/spreadsheetml/2017/revision16" mc:Ignorable="xr16" name="ExternalData_1" connectionId="22" xr16:uid="{0F394113-ABCD-450D-B34F-C5DD1AC43206}" autoFormatId="16" applyNumberFormats="0" applyBorderFormats="0" applyFontFormats="0" applyPatternFormats="0" applyAlignmentFormats="0" applyWidthHeightFormats="0">
  <queryTableRefresh nextId="13">
    <queryTableFields count="12">
      <queryTableField id="1" name="Block Incident Occurred On" tableColumnId="1"/>
      <queryTableField id="2" name="Incident Date" tableColumnId="2"/>
      <queryTableField id="3" name="Day of Week" tableColumnId="3"/>
      <queryTableField id="4" name="Time of Day Incident Occurred" tableColumnId="4"/>
      <queryTableField id="5" name="Victim's Vehicle Description" tableColumnId="5"/>
      <queryTableField id="6" name="Notes" tableColumnId="6"/>
      <queryTableField id="7" name="Vehicle Was Parked" tableColumnId="7"/>
      <queryTableField id="8" name="Entry Method" tableColumnId="8"/>
      <queryTableField id="9" name="Suspect Description" tableColumnId="9"/>
      <queryTableField id="10" name="Suspect Vehicle Description" tableColumnId="10"/>
      <queryTableField id="11" name="Keys with Vehicle" tableColumnId="11"/>
      <queryTableField id="12" name="Offense Completed" tableColumnId="12"/>
    </queryTableFields>
  </queryTableRefresh>
</queryTable>
</file>

<file path=xl/queryTables/queryTable11.xml><?xml version="1.0" encoding="utf-8"?>
<queryTable xmlns="http://schemas.openxmlformats.org/spreadsheetml/2006/main" xmlns:mc="http://schemas.openxmlformats.org/markup-compatibility/2006" xmlns:xr16="http://schemas.microsoft.com/office/spreadsheetml/2017/revision16" mc:Ignorable="xr16" name="ExternalData_5" connectionId="21" xr16:uid="{8C86DA6E-FF41-4DB9-8446-9CC7D3354652}" autoFormatId="16" applyNumberFormats="0" applyBorderFormats="0" applyFontFormats="0" applyPatternFormats="0" applyAlignmentFormats="0" applyWidthHeightFormats="0">
  <queryTableRefresh nextId="13">
    <queryTableFields count="12">
      <queryTableField id="1" name="Block Incident Occurred On" tableColumnId="1"/>
      <queryTableField id="2" name="Incident Date" tableColumnId="2"/>
      <queryTableField id="3" name="Day of Week" tableColumnId="3"/>
      <queryTableField id="4" name="Time of Day Incident Occurred" tableColumnId="4"/>
      <queryTableField id="5" name="Victim's Vehicle Description" tableColumnId="5"/>
      <queryTableField id="6" name="Notes" tableColumnId="6"/>
      <queryTableField id="7" name="Vehicle Was Parked" tableColumnId="7"/>
      <queryTableField id="8" name="Entry Method" tableColumnId="8"/>
      <queryTableField id="9" name="Suspect Description" tableColumnId="9"/>
      <queryTableField id="10" name="Suspect Vehicle Description" tableColumnId="10"/>
      <queryTableField id="11" name="Keys with Vehicle" tableColumnId="11"/>
      <queryTableField id="12" name="Offense Completed" tableColumnId="12"/>
    </queryTableFields>
  </queryTableRefresh>
</queryTable>
</file>

<file path=xl/queryTables/queryTable12.xml><?xml version="1.0" encoding="utf-8"?>
<queryTable xmlns="http://schemas.openxmlformats.org/spreadsheetml/2006/main" xmlns:mc="http://schemas.openxmlformats.org/markup-compatibility/2006" xmlns:xr16="http://schemas.microsoft.com/office/spreadsheetml/2017/revision16" mc:Ignorable="xr16" name="ExternalData_2" connectionId="24" xr16:uid="{63423EAB-6A24-4E1D-826D-906302979DD4}" autoFormatId="16" applyNumberFormats="0" applyBorderFormats="0" applyFontFormats="0" applyPatternFormats="0" applyAlignmentFormats="0" applyWidthHeightFormats="0">
  <queryTableRefresh nextId="47">
    <queryTableFields count="46">
      <queryTableField id="1" name="Case Number" tableColumnId="1"/>
      <queryTableField id="2" name="INC_DATE" tableColumnId="2"/>
      <queryTableField id="3" name="TIME_OF_DAY" tableColumnId="3"/>
      <queryTableField id="4" name="Start of Hour" tableColumnId="4"/>
      <queryTableField id="5" name="INC_TIME" tableColumnId="5"/>
      <queryTableField id="6" name="Day Name" tableColumnId="6"/>
      <queryTableField id="7" name="Month Name" tableColumnId="7"/>
      <queryTableField id="8" name="BLOCK" tableColumnId="8"/>
      <queryTableField id="9" name="Location" tableColumnId="9"/>
      <queryTableField id="10" name="ALL_INCIDENTS" tableColumnId="10"/>
      <queryTableField id="11" name="Incident Type_1" tableColumnId="11"/>
      <queryTableField id="12" name="Incident Type_2" tableColumnId="12"/>
      <queryTableField id="13" name="Incident Type_3" tableColumnId="13"/>
      <queryTableField id="14" name="FullAddress" tableColumnId="14"/>
      <queryTableField id="15" name="Grid" tableColumnId="15"/>
      <queryTableField id="16" name="Zone" tableColumnId="16"/>
      <queryTableField id="17" name="Narrative" tableColumnId="17"/>
      <queryTableField id="18" name="Total Value Stolen" tableColumnId="18"/>
      <queryTableField id="19" name="Total Value Recover" tableColumnId="19"/>
      <queryTableField id="20" name="Registration 1" tableColumnId="20"/>
      <queryTableField id="21" name="Make1" tableColumnId="21"/>
      <queryTableField id="22" name="Model1" tableColumnId="22"/>
      <queryTableField id="23" name="Reg State 1" tableColumnId="23"/>
      <queryTableField id="24" name="Registration 2" tableColumnId="24"/>
      <queryTableField id="25" name="Reg State 2" tableColumnId="25"/>
      <queryTableField id="26" name="Make2" tableColumnId="26"/>
      <queryTableField id="27" name="Model2" tableColumnId="27"/>
      <queryTableField id="28" name="Reviewed By" tableColumnId="28"/>
      <queryTableField id="29" name="CompleteCalc" tableColumnId="29"/>
      <queryTableField id="30" name="Officer of Record" tableColumnId="30"/>
      <queryTableField id="31" name="Squad" tableColumnId="31"/>
      <queryTableField id="32" name="Det_Assigned" tableColumnId="32"/>
      <queryTableField id="33" name="Case_Status" tableColumnId="33"/>
      <queryTableField id="34" name="NIBRS Classification" tableColumnId="34"/>
      <queryTableField id="35" name="Year" tableColumnId="35"/>
      <queryTableField id="36" name="Week of Year" tableColumnId="36"/>
      <queryTableField id="37" name="Week of Month" tableColumnId="37"/>
      <queryTableField id="38" name="Day" tableColumnId="38"/>
      <queryTableField id="39" name="Day of Year" tableColumnId="39"/>
      <queryTableField id="40" name="INC_DATE_AND_TIME" tableColumnId="40"/>
      <queryTableField id="41" name="St#" tableColumnId="41"/>
      <queryTableField id="42" name="Notes" tableColumnId="42"/>
      <queryTableField id="43" name="VEHICLE" tableColumnId="43"/>
      <queryTableField id="44" name="Suspect" tableColumnId="44"/>
      <queryTableField id="45" name="TOTAL_STOLEN_AMOUNT" tableColumnId="45"/>
      <queryTableField id="46" name="REPORT_CYCLE" tableColumnId="46"/>
    </queryTableFields>
  </queryTableRefresh>
</queryTable>
</file>

<file path=xl/queryTables/queryTable13.xml><?xml version="1.0" encoding="utf-8"?>
<queryTable xmlns="http://schemas.openxmlformats.org/spreadsheetml/2006/main" xmlns:mc="http://schemas.openxmlformats.org/markup-compatibility/2006" xmlns:xr16="http://schemas.microsoft.com/office/spreadsheetml/2017/revision16" mc:Ignorable="xr16" name="ExternalData_2" connectionId="25" xr16:uid="{DE7A5609-A24D-4851-9C51-CEEE9D9712F8}" autoFormatId="16" applyNumberFormats="0" applyBorderFormats="0" applyFontFormats="0" applyPatternFormats="0" applyAlignmentFormats="0" applyWidthHeightFormats="0">
  <queryTableRefresh nextId="17">
    <queryTableFields count="16">
      <queryTableField id="1" name="BLOCK" tableColumnId="1"/>
      <queryTableField id="2" name="INC_DATE" tableColumnId="2"/>
      <queryTableField id="3" name="Day Name" tableColumnId="3"/>
      <queryTableField id="4" name="TIME_OF_DAY" tableColumnId="4"/>
      <queryTableField id="5" name="Suspect" tableColumnId="5"/>
      <queryTableField id="6" name="VEHICLE" tableColumnId="6"/>
      <queryTableField id="7" name="TOTAL_STOLEN_AMOUNT" tableColumnId="7"/>
      <queryTableField id="8" name="Narrative" tableColumnId="8"/>
      <queryTableField id="9" name="Location Type" tableColumnId="9"/>
      <queryTableField id="10" name="Type Weapon" tableColumnId="10"/>
      <queryTableField id="11" name="Type of Victim" tableColumnId="11"/>
      <queryTableField id="12" name="Type Injury" tableColumnId="12"/>
      <queryTableField id="13" name="Property Stolen" tableColumnId="13"/>
      <queryTableField id="14" name="Offender Suspected of Using" tableColumnId="14"/>
      <queryTableField id="15" name="Relationship of Victim to Offender" tableColumnId="15"/>
      <queryTableField id="16" name="Offense Completed" tableColumnId="16"/>
    </queryTableFields>
  </queryTableRefresh>
</queryTable>
</file>

<file path=xl/queryTables/queryTable14.xml><?xml version="1.0" encoding="utf-8"?>
<queryTable xmlns="http://schemas.openxmlformats.org/spreadsheetml/2006/main" xmlns:mc="http://schemas.openxmlformats.org/markup-compatibility/2006" xmlns:xr16="http://schemas.microsoft.com/office/spreadsheetml/2017/revision16" mc:Ignorable="xr16" name="ExternalData_1" connectionId="26" xr16:uid="{88D66F49-C0FC-498C-87A4-24936885D602}" autoFormatId="16" applyNumberFormats="0" applyBorderFormats="0" applyFontFormats="0" applyPatternFormats="0" applyAlignmentFormats="0" applyWidthHeightFormats="0">
  <queryTableRefresh nextId="36">
    <queryTableFields count="16">
      <queryTableField id="18" name="BLOCK" tableColumnId="18"/>
      <queryTableField id="19" name="INC_DATE" tableColumnId="19"/>
      <queryTableField id="20" name="Day Name" tableColumnId="20"/>
      <queryTableField id="21" name="TIME_OF_DAY" tableColumnId="21"/>
      <queryTableField id="22" name="Suspect" tableColumnId="22"/>
      <queryTableField id="23" name="VEHICLE" tableColumnId="23"/>
      <queryTableField id="24" name="TOTAL_STOLEN_AMOUNT" tableColumnId="24"/>
      <queryTableField id="25" name="Narrative" tableColumnId="25"/>
      <queryTableField id="6" name="Location Type" tableColumnId="6"/>
      <queryTableField id="9" name="Type Weapon" tableColumnId="9"/>
      <queryTableField id="10" name="Type of Victim" tableColumnId="10"/>
      <queryTableField id="11" name="Type Injury" tableColumnId="11"/>
      <queryTableField id="26" name="Property Stolen" tableColumnId="26"/>
      <queryTableField id="14" name="Offender Suspected of Using" tableColumnId="14"/>
      <queryTableField id="15" name="Relationship of Victim to Offender" tableColumnId="15"/>
      <queryTableField id="16" name="Offense Completed" tableColumnId="16"/>
    </queryTableFields>
  </queryTableRefresh>
</queryTable>
</file>

<file path=xl/queryTables/queryTable15.xml><?xml version="1.0" encoding="utf-8"?>
<queryTable xmlns="http://schemas.openxmlformats.org/spreadsheetml/2006/main" xmlns:mc="http://schemas.openxmlformats.org/markup-compatibility/2006" xmlns:xr16="http://schemas.microsoft.com/office/spreadsheetml/2017/revision16" mc:Ignorable="xr16" name="ExternalData_6" connectionId="30" xr16:uid="{308AC9F4-3E59-47A9-8B79-AD02AC86BC3C}" autoFormatId="16" applyNumberFormats="0" applyBorderFormats="0" applyFontFormats="0" applyPatternFormats="0" applyAlignmentFormats="0" applyWidthHeightFormats="0">
  <queryTableRefresh nextId="111">
    <queryTableFields count="54">
      <queryTableField id="1" name="Case Number" tableColumnId="1"/>
      <queryTableField id="6" name="INC_DATE" tableColumnId="6"/>
      <queryTableField id="57" name="TOD" tableColumnId="54"/>
      <queryTableField id="2" name="Start of Hour" tableColumnId="2"/>
      <queryTableField id="3" name="INC_TIME" tableColumnId="3"/>
      <queryTableField id="4" name="Day Name" tableColumnId="4"/>
      <queryTableField id="5" name="Month Name" tableColumnId="5"/>
      <queryTableField id="47" name="BLOCK" tableColumnId="47"/>
      <queryTableField id="7" name="Location" tableColumnId="7"/>
      <queryTableField id="9" name="ALL_INCIDENTS" tableColumnId="9"/>
      <queryTableField id="8" name="Incident Type_1" tableColumnId="8"/>
      <queryTableField id="10" name="Incident Type_2" tableColumnId="10"/>
      <queryTableField id="11" name="Incident Type_3" tableColumnId="11"/>
      <queryTableField id="12" name="FullAddress" tableColumnId="12"/>
      <queryTableField id="13" name="Grid" tableColumnId="13"/>
      <queryTableField id="14" name="Zone" tableColumnId="14"/>
      <queryTableField id="15" name="Narrative" tableColumnId="15"/>
      <queryTableField id="16" name="Total Value Stolen" tableColumnId="16"/>
      <queryTableField id="17" name="Total Value Recover" tableColumnId="17"/>
      <queryTableField id="18" name="Registration 1" tableColumnId="18"/>
      <queryTableField id="19" name="Make1" tableColumnId="19"/>
      <queryTableField id="20" name="Model1" tableColumnId="20"/>
      <queryTableField id="21" name="Reg State 1" tableColumnId="21"/>
      <queryTableField id="22" name="Registration 2" tableColumnId="22"/>
      <queryTableField id="23" name="Reg State 2" tableColumnId="23"/>
      <queryTableField id="24" name="Make2" tableColumnId="24"/>
      <queryTableField id="25" name="Model2" tableColumnId="25"/>
      <queryTableField id="26" name="Reviewed By" tableColumnId="26"/>
      <queryTableField id="27" name="CompleteCalc" tableColumnId="27"/>
      <queryTableField id="28" name="Officer of Record" tableColumnId="28"/>
      <queryTableField id="29" name="Squad" tableColumnId="29"/>
      <queryTableField id="30" name="Det_Assigned" tableColumnId="30"/>
      <queryTableField id="31" name="Case_Status" tableColumnId="31"/>
      <queryTableField id="32" name="NIBRS Classification" tableColumnId="32"/>
      <queryTableField id="33" name="CASE_NUMBER_LENGTH" tableColumnId="33"/>
      <queryTableField id="34" name="Incident Date" tableColumnId="34"/>
      <queryTableField id="35" name="Incident Time" tableColumnId="35"/>
      <queryTableField id="36" name="Incident Date_Between" tableColumnId="36"/>
      <queryTableField id="37" name="Incident Time_Between" tableColumnId="37"/>
      <queryTableField id="38" name="Report Date" tableColumnId="38"/>
      <queryTableField id="39" name="Report Time" tableColumnId="39"/>
      <queryTableField id="40" name="Year" tableColumnId="40"/>
      <queryTableField id="41" name="Week of Year" tableColumnId="41"/>
      <queryTableField id="42" name="Week of Month" tableColumnId="42"/>
      <queryTableField id="43" name="Day" tableColumnId="43"/>
      <queryTableField id="44" name="Day of Year" tableColumnId="44"/>
      <queryTableField id="45" name="INC_DATE_AND_TIME" tableColumnId="45"/>
      <queryTableField id="46" name="St#" tableColumnId="46"/>
      <queryTableField id="108" name="Notes" tableColumnId="49"/>
      <queryTableField id="50" name="VEHICLE" tableColumnId="50"/>
      <queryTableField id="51" name="Suspect" tableColumnId="51"/>
      <queryTableField id="52" name="TOTAL_STOLEN_AMOUNT" tableColumnId="52"/>
      <queryTableField id="53" name="REPORT_CYCLE" tableColumnId="53"/>
      <queryTableField id="48" name="TIME_OF_DAY" tableColumnId="48"/>
    </queryTableFields>
  </queryTableRefresh>
</queryTable>
</file>

<file path=xl/queryTables/queryTable16.xml><?xml version="1.0" encoding="utf-8"?>
<queryTable xmlns="http://schemas.openxmlformats.org/spreadsheetml/2006/main" xmlns:mc="http://schemas.openxmlformats.org/markup-compatibility/2006" xmlns:xr16="http://schemas.microsoft.com/office/spreadsheetml/2017/revision16" mc:Ignorable="xr16" name="ExternalData_7" connectionId="29" xr16:uid="{89DFD8F8-3F94-41D9-968D-26CB67D9B130}" autoFormatId="16" applyNumberFormats="0" applyBorderFormats="0" applyFontFormats="0" applyPatternFormats="0" applyAlignmentFormats="0" applyWidthHeightFormats="0">
  <queryTableRefresh nextId="16">
    <queryTableFields count="15">
      <queryTableField id="1" name="BLOCK" tableColumnId="1"/>
      <queryTableField id="2" name="INC_DATE" tableColumnId="2"/>
      <queryTableField id="3" name="Day Name" tableColumnId="3"/>
      <queryTableField id="4" name="TIME_OF_DAY" tableColumnId="4"/>
      <queryTableField id="5" name="Suspect" tableColumnId="5"/>
      <queryTableField id="6" name="Vehicle Involved" tableColumnId="6"/>
      <queryTableField id="7" name="Type of Offense" tableColumnId="7"/>
      <queryTableField id="8" name="Victim-Offender Relationship" tableColumnId="8"/>
      <queryTableField id="9" name="Location Type" tableColumnId="9"/>
      <queryTableField id="10" name="Method of Coercion" tableColumnId="10"/>
      <queryTableField id="11" name="Multiple Offenders vs. Single Offender" tableColumnId="11"/>
      <queryTableField id="12" name="Repeat Offender or Known Suspect" tableColumnId="12"/>
      <queryTableField id="13" name="Use of Technology" tableColumnId="13"/>
      <queryTableField id="14" name="Victim Demographics" tableColumnId="14"/>
      <queryTableField id="15" name="Narrative" tableColumnId="15"/>
    </queryTableFields>
  </queryTableRefresh>
</queryTable>
</file>

<file path=xl/queryTables/queryTable17.xml><?xml version="1.0" encoding="utf-8"?>
<queryTable xmlns="http://schemas.openxmlformats.org/spreadsheetml/2006/main" xmlns:mc="http://schemas.openxmlformats.org/markup-compatibility/2006" xmlns:xr16="http://schemas.microsoft.com/office/spreadsheetml/2017/revision16" mc:Ignorable="xr16" name="ExternalData_3" connectionId="28" xr16:uid="{D2567F86-ACAE-431A-AE18-3280B2A49207}" autoFormatId="16" applyNumberFormats="0" applyBorderFormats="0" applyFontFormats="0" applyPatternFormats="0" applyAlignmentFormats="0" applyWidthHeightFormats="0">
  <queryTableRefresh nextId="16">
    <queryTableFields count="15">
      <queryTableField id="1" name="BLOCK" tableColumnId="1"/>
      <queryTableField id="2" name="INC_DATE" tableColumnId="2"/>
      <queryTableField id="3" name="Day Name" tableColumnId="3"/>
      <queryTableField id="4" name="TIME_OF_DAY" tableColumnId="4"/>
      <queryTableField id="5" name="Suspect" tableColumnId="5"/>
      <queryTableField id="6" name="Vehicle Involved" tableColumnId="6"/>
      <queryTableField id="7" name="Type of Offense" tableColumnId="7"/>
      <queryTableField id="8" name="Victim-Offender Relationship" tableColumnId="8"/>
      <queryTableField id="9" name="Location Type" tableColumnId="9"/>
      <queryTableField id="10" name="Method of Coercion" tableColumnId="10"/>
      <queryTableField id="11" name="Multiple Offenders vs. Single Offender" tableColumnId="11"/>
      <queryTableField id="12" name="Repeat Offender or Known Suspect" tableColumnId="12"/>
      <queryTableField id="13" name="Use of Technology" tableColumnId="13"/>
      <queryTableField id="14" name="Victim Demographics" tableColumnId="14"/>
      <queryTableField id="15" name="Narrative" tableColumnId="15"/>
    </queryTableFields>
  </queryTableRefresh>
</queryTable>
</file>

<file path=xl/queryTables/queryTable18.xml><?xml version="1.0" encoding="utf-8"?>
<queryTable xmlns="http://schemas.openxmlformats.org/spreadsheetml/2006/main" xmlns:mc="http://schemas.openxmlformats.org/markup-compatibility/2006" xmlns:xr16="http://schemas.microsoft.com/office/spreadsheetml/2017/revision16" mc:Ignorable="xr16" name="ExternalData_2" connectionId="13" xr16:uid="{8EC7E6AF-D1F4-4A7C-8E6A-3D38BF7726A3}" autoFormatId="16" applyNumberFormats="0" applyBorderFormats="0" applyFontFormats="0" applyPatternFormats="0" applyAlignmentFormats="0" applyWidthHeightFormats="0">
  <queryTableRefresh nextId="54">
    <queryTableFields count="53">
      <queryTableField id="1" name="Case Number" tableColumnId="1"/>
      <queryTableField id="2" name="BLOCK" tableColumnId="2"/>
      <queryTableField id="3" name="TIME_OF_DAY" tableColumnId="3"/>
      <queryTableField id="4" name="Location" tableColumnId="4"/>
      <queryTableField id="5" name="ALL_INCIDENTS" tableColumnId="5"/>
      <queryTableField id="6" name="Incident Type_1" tableColumnId="6"/>
      <queryTableField id="7" name="Incident Type_2" tableColumnId="7"/>
      <queryTableField id="8" name="Incident Type_3" tableColumnId="8"/>
      <queryTableField id="9" name="FullAddress" tableColumnId="9"/>
      <queryTableField id="10" name="Grid" tableColumnId="10"/>
      <queryTableField id="11" name="Zone" tableColumnId="11"/>
      <queryTableField id="12" name="Narrative" tableColumnId="12"/>
      <queryTableField id="13" name="Total Value Stolen" tableColumnId="13"/>
      <queryTableField id="14" name="Total Value Recover" tableColumnId="14"/>
      <queryTableField id="15" name="Registration 1" tableColumnId="15"/>
      <queryTableField id="16" name="Make1" tableColumnId="16"/>
      <queryTableField id="17" name="Model1" tableColumnId="17"/>
      <queryTableField id="18" name="Reg State 1" tableColumnId="18"/>
      <queryTableField id="19" name="Registration 2" tableColumnId="19"/>
      <queryTableField id="20" name="Reg State 2" tableColumnId="20"/>
      <queryTableField id="21" name="Make2" tableColumnId="21"/>
      <queryTableField id="22" name="Model2" tableColumnId="22"/>
      <queryTableField id="23" name="Reviewed By" tableColumnId="23"/>
      <queryTableField id="24" name="CompleteCalc" tableColumnId="24"/>
      <queryTableField id="25" name="Officer of Record" tableColumnId="25"/>
      <queryTableField id="26" name="Squad" tableColumnId="26"/>
      <queryTableField id="27" name="Det_Assigned" tableColumnId="27"/>
      <queryTableField id="28" name="Case_Status" tableColumnId="28"/>
      <queryTableField id="29" name="NIBRS Classification" tableColumnId="29"/>
      <queryTableField id="30" name="CASE_NUMBER_LENGTH" tableColumnId="30"/>
      <queryTableField id="31" name="Incident Date" tableColumnId="31"/>
      <queryTableField id="32" name="Incident Time" tableColumnId="32"/>
      <queryTableField id="33" name="Incident Date_Between" tableColumnId="33"/>
      <queryTableField id="34" name="Incident Time_Between" tableColumnId="34"/>
      <queryTableField id="35" name="Report Date" tableColumnId="35"/>
      <queryTableField id="36" name="Report Time" tableColumnId="36"/>
      <queryTableField id="37" name="Year" tableColumnId="37"/>
      <queryTableField id="38" name="St#" tableColumnId="38"/>
      <queryTableField id="39" name="Notes" tableColumnId="39"/>
      <queryTableField id="40" name="VEHICLE" tableColumnId="40"/>
      <queryTableField id="41" name="Suspect" tableColumnId="41"/>
      <queryTableField id="42" name="TOTAL_STOLEN_AMOUNT" tableColumnId="42"/>
      <queryTableField id="43" name="INC_DATE" tableColumnId="43"/>
      <queryTableField id="44" name="Start of Hour" tableColumnId="44"/>
      <queryTableField id="45" name="INC_TIME" tableColumnId="45"/>
      <queryTableField id="46" name="Day Name" tableColumnId="46"/>
      <queryTableField id="47" name="Month Name" tableColumnId="47"/>
      <queryTableField id="48" name="Week of Year" tableColumnId="48"/>
      <queryTableField id="49" name="Week of Month" tableColumnId="49"/>
      <queryTableField id="50" name="Day" tableColumnId="50"/>
      <queryTableField id="51" name="Day of Year" tableColumnId="51"/>
      <queryTableField id="52" name="INC_DATE_AND_TIME" tableColumnId="52"/>
      <queryTableField id="53" name="REPORT_CYCLE" tableColumnId="53"/>
    </queryTableFields>
  </queryTableRefresh>
</queryTable>
</file>

<file path=xl/queryTables/queryTable19.xml><?xml version="1.0" encoding="utf-8"?>
<queryTable xmlns="http://schemas.openxmlformats.org/spreadsheetml/2006/main" xmlns:mc="http://schemas.openxmlformats.org/markup-compatibility/2006" xmlns:xr16="http://schemas.microsoft.com/office/spreadsheetml/2017/revision16" mc:Ignorable="xr16" name="ExternalData_2" firstBackgroundRefresh="1" connectionId="16" xr16:uid="{8C63A8C7-5FFF-45FB-867A-FE26937F7E97}" autoFormatId="16" applyNumberFormats="0" applyBorderFormats="0" applyFontFormats="0" applyPatternFormats="0" applyAlignmentFormats="0" applyWidthHeightFormats="0">
  <queryTableRefresh>
    <queryTableFields/>
  </queryTableRefresh>
</queryTable>
</file>

<file path=xl/queryTables/queryTable20.xml><?xml version="1.0" encoding="utf-8"?>
<queryTable xmlns="http://schemas.openxmlformats.org/spreadsheetml/2006/main" xmlns:mc="http://schemas.openxmlformats.org/markup-compatibility/2006" xmlns:xr16="http://schemas.microsoft.com/office/spreadsheetml/2017/revision16" mc:Ignorable="xr16" name="ExternalData_2" connectionId="2" xr16:uid="{FFC8CED9-CE19-448A-966C-58E02C3F3F6D}" autoFormatId="16" applyNumberFormats="0" applyBorderFormats="0" applyFontFormats="0" applyPatternFormats="0" applyAlignmentFormats="0" applyWidthHeightFormats="0">
  <queryTableRefresh nextId="23">
    <queryTableFields count="22">
      <queryTableField id="1" name="Date" tableColumnId="1"/>
      <queryTableField id="2" name="Start of Year" tableColumnId="2"/>
      <queryTableField id="3" name="End of Year" tableColumnId="3"/>
      <queryTableField id="4" name="Year" tableColumnId="4"/>
      <queryTableField id="5" name="Month" tableColumnId="5"/>
      <queryTableField id="6" name="Start of Month" tableColumnId="6"/>
      <queryTableField id="7" name="End of Month" tableColumnId="7"/>
      <queryTableField id="8" name="Days in Month" tableColumnId="8"/>
      <queryTableField id="9" name="Month Name" tableColumnId="9"/>
      <queryTableField id="10" name="Quarter" tableColumnId="10"/>
      <queryTableField id="11" name="Start of Quarter" tableColumnId="11"/>
      <queryTableField id="12" name="End of Quarter" tableColumnId="12"/>
      <queryTableField id="13" name="Week of Year" tableColumnId="13"/>
      <queryTableField id="14" name="Week of Month" tableColumnId="14"/>
      <queryTableField id="15" name="Start of Week" tableColumnId="15"/>
      <queryTableField id="16" name="End of Week" tableColumnId="16"/>
      <queryTableField id="17" name="Day" tableColumnId="17"/>
      <queryTableField id="18" name="Day of Week" tableColumnId="18"/>
      <queryTableField id="19" name="Day of Year" tableColumnId="19"/>
      <queryTableField id="20" name="Start of Day" tableColumnId="20"/>
      <queryTableField id="21" name="End of Day" tableColumnId="21"/>
      <queryTableField id="22" name="Day Name" tableColumnId="22"/>
    </queryTableFields>
  </queryTableRefresh>
</queryTable>
</file>

<file path=xl/queryTables/queryTable21.xml><?xml version="1.0" encoding="utf-8"?>
<queryTable xmlns="http://schemas.openxmlformats.org/spreadsheetml/2006/main" xmlns:mc="http://schemas.openxmlformats.org/markup-compatibility/2006" xmlns:xr16="http://schemas.microsoft.com/office/spreadsheetml/2017/revision16" mc:Ignorable="xr16" name="ExternalData_6" connectionId="12" xr16:uid="{A742C186-3179-448A-B71B-310F54CF7FBF}" autoFormatId="16" applyNumberFormats="0" applyBorderFormats="0" applyFontFormats="0" applyPatternFormats="0" applyAlignmentFormats="0" applyWidthHeightFormats="0">
  <queryTableRefresh nextId="39">
    <queryTableFields count="38">
      <queryTableField id="1" name="CaseNumber" tableColumnId="1"/>
      <queryTableField id="2" name="IncidentDate" tableColumnId="2"/>
      <queryTableField id="3" name="IncidentTime" tableColumnId="3"/>
      <queryTableField id="4" name="IncidentDateBetween" tableColumnId="4"/>
      <queryTableField id="5" name="IncidentTimeBetween" tableColumnId="5"/>
      <queryTableField id="6" name="ReportDate" tableColumnId="6"/>
      <queryTableField id="7" name="ReportTime" tableColumnId="7"/>
      <queryTableField id="8" name="IncidentType1" tableColumnId="8"/>
      <queryTableField id="9" name="IncidentType2" tableColumnId="9"/>
      <queryTableField id="10" name="IncidentType3" tableColumnId="10"/>
      <queryTableField id="11" name="FullAddress" tableColumnId="11"/>
      <queryTableField id="12" name="Grid" tableColumnId="12"/>
      <queryTableField id="13" name="Zone" tableColumnId="13"/>
      <queryTableField id="14" name="Narrative" tableColumnId="14"/>
      <queryTableField id="15" name="TotalValueStolen" tableColumnId="15"/>
      <queryTableField id="16" name="TotalValueRecover" tableColumnId="16"/>
      <queryTableField id="17" name="Registration1" tableColumnId="17"/>
      <queryTableField id="18" name="Make1" tableColumnId="18"/>
      <queryTableField id="19" name="Model1" tableColumnId="19"/>
      <queryTableField id="20" name="RegState1" tableColumnId="20"/>
      <queryTableField id="21" name="Registration2" tableColumnId="21"/>
      <queryTableField id="22" name="RegState2" tableColumnId="22"/>
      <queryTableField id="23" name="Make2" tableColumnId="23"/>
      <queryTableField id="24" name="Model2" tableColumnId="24"/>
      <queryTableField id="25" name="ReviewedBy" tableColumnId="25"/>
      <queryTableField id="26" name="CompleteCalc" tableColumnId="26"/>
      <queryTableField id="27" name="OfficerOfRecord" tableColumnId="27"/>
      <queryTableField id="28" name="Squad" tableColumnId="28"/>
      <queryTableField id="29" name="Det_Assigned" tableColumnId="29"/>
      <queryTableField id="30" name="Case_Status" tableColumnId="30"/>
      <queryTableField id="31" name="NibrsClassification" tableColumnId="31"/>
      <queryTableField id="32" name="CaseNumberLength" tableColumnId="32"/>
      <queryTableField id="33" name="IncDate" tableColumnId="33"/>
      <queryTableField id="34" name="IncDateError" tableColumnId="34"/>
      <queryTableField id="35" name="IncTime" tableColumnId="35"/>
      <queryTableField id="36" name="IncTimeError" tableColumnId="36"/>
      <queryTableField id="37" name="StartOfHour" tableColumnId="37"/>
      <queryTableField id="38" name="StartOfHourError" tableColumnId="38"/>
    </queryTableFields>
  </queryTableRefresh>
</queryTable>
</file>

<file path=xl/queryTables/queryTable22.xml><?xml version="1.0" encoding="utf-8"?>
<queryTable xmlns="http://schemas.openxmlformats.org/spreadsheetml/2006/main" xmlns:mc="http://schemas.openxmlformats.org/markup-compatibility/2006" xmlns:xr16="http://schemas.microsoft.com/office/spreadsheetml/2017/revision16" mc:Ignorable="xr16" name="ExternalData_5" firstBackgroundRefresh="1" connectionId="11" xr16:uid="{8EFAB7A0-50A9-4DE9-BEB2-BD8ED456D90B}" autoFormatId="16" applyNumberFormats="0" applyBorderFormats="0" applyFontFormats="0" applyPatternFormats="0" applyAlignmentFormats="0" applyWidthHeightFormats="0">
  <queryTableRefresh>
    <queryTableFields/>
  </queryTableRefresh>
</queryTable>
</file>

<file path=xl/queryTables/queryTable23.xml><?xml version="1.0" encoding="utf-8"?>
<queryTable xmlns="http://schemas.openxmlformats.org/spreadsheetml/2006/main" xmlns:mc="http://schemas.openxmlformats.org/markup-compatibility/2006" xmlns:xr16="http://schemas.microsoft.com/office/spreadsheetml/2017/revision16" mc:Ignorable="xr16" name="ExternalData_4" firstBackgroundRefresh="1" connectionId="18" xr16:uid="{306460CE-FCE1-45FD-97FC-B10914120013}" autoFormatId="16" applyNumberFormats="0" applyBorderFormats="0" applyFontFormats="0" applyPatternFormats="0" applyAlignmentFormats="0" applyWidthHeightFormats="0">
  <queryTableRefresh>
    <queryTableFields/>
  </queryTableRefresh>
</queryTable>
</file>

<file path=xl/queryTables/queryTable24.xml><?xml version="1.0" encoding="utf-8"?>
<queryTable xmlns="http://schemas.openxmlformats.org/spreadsheetml/2006/main" xmlns:mc="http://schemas.openxmlformats.org/markup-compatibility/2006" xmlns:xr16="http://schemas.microsoft.com/office/spreadsheetml/2017/revision16" mc:Ignorable="xr16" name="ExternalData_3" firstBackgroundRefresh="1" connectionId="19" xr16:uid="{0F2D6ABE-3A33-40E7-A639-359CFFB2A9E8}" autoFormatId="16" applyNumberFormats="0" applyBorderFormats="0" applyFontFormats="0" applyPatternFormats="0" applyAlignmentFormats="0" applyWidthHeightFormats="0">
  <queryTableRefresh>
    <queryTableFields/>
  </queryTableRefresh>
</queryTable>
</file>

<file path=xl/queryTables/queryTable25.xml><?xml version="1.0" encoding="utf-8"?>
<queryTable xmlns="http://schemas.openxmlformats.org/spreadsheetml/2006/main" xmlns:mc="http://schemas.openxmlformats.org/markup-compatibility/2006" xmlns:xr16="http://schemas.microsoft.com/office/spreadsheetml/2017/revision16" mc:Ignorable="xr16" name="ExternalData_2" firstBackgroundRefresh="1" connectionId="17" xr16:uid="{BE071311-DDBD-41F0-BBDA-8D54127CE1A8}" autoFormatId="16" applyNumberFormats="0" applyBorderFormats="0" applyFontFormats="0" applyPatternFormats="0" applyAlignmentFormats="0" applyWidthHeightFormats="0">
  <queryTableRefresh>
    <queryTableFields/>
  </queryTableRefresh>
</queryTable>
</file>

<file path=xl/queryTables/queryTable26.xml><?xml version="1.0" encoding="utf-8"?>
<queryTable xmlns="http://schemas.openxmlformats.org/spreadsheetml/2006/main" xmlns:mc="http://schemas.openxmlformats.org/markup-compatibility/2006" xmlns:xr16="http://schemas.microsoft.com/office/spreadsheetml/2017/revision16" mc:Ignorable="xr16" name="ExternalData_1" connectionId="14" xr16:uid="{9791A67D-24EB-43A4-8B5A-327AF9B69B51}" autoFormatId="16" applyNumberFormats="0" applyBorderFormats="0" applyFontFormats="0" applyPatternFormats="0" applyAlignmentFormats="0" applyWidthHeightFormats="0">
  <queryTableRefresh nextId="195">
    <queryTableFields count="13">
      <queryTableField id="182" name="Name" tableColumnId="1"/>
      <queryTableField id="183" name="Extension" tableColumnId="2"/>
      <queryTableField id="184" name="Date accessed" tableColumnId="3"/>
      <queryTableField id="185" name="Date modified" tableColumnId="4"/>
      <queryTableField id="186" name="Date created" tableColumnId="5"/>
      <queryTableField id="187" name="Folder Path" tableColumnId="6"/>
      <queryTableField id="188" name="CaseNumber" tableColumnId="7"/>
      <queryTableField id="189" name="FullAddress" tableColumnId="8"/>
      <queryTableField id="190" name="CaseNumberLength" tableColumnId="9"/>
      <queryTableField id="191" name="IncDate" tableColumnId="10"/>
      <queryTableField id="192" name="IncTime" tableColumnId="11"/>
      <queryTableField id="193" name="StartOfHour" tableColumnId="12"/>
      <queryTableField id="194" name="TimeOfDay" tableColumnId="13"/>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_rels/table7.xml.rels><?xml version="1.0" encoding="UTF-8" standalone="yes"?>
<Relationships xmlns="http://schemas.openxmlformats.org/package/2006/relationships"><Relationship Id="rId1" Type="http://schemas.openxmlformats.org/officeDocument/2006/relationships/queryTable" Target="../queryTables/queryTable6.xml"/></Relationships>
</file>

<file path=xl/tables/_rels/table8.xml.rels><?xml version="1.0" encoding="UTF-8" standalone="yes"?>
<Relationships xmlns="http://schemas.openxmlformats.org/package/2006/relationships"><Relationship Id="rId1" Type="http://schemas.openxmlformats.org/officeDocument/2006/relationships/queryTable" Target="../queryTables/queryTable7.xml"/></Relationships>
</file>

<file path=xl/tables/_rels/table9.xml.rels><?xml version="1.0" encoding="UTF-8" standalone="yes"?>
<Relationships xmlns="http://schemas.openxmlformats.org/package/2006/relationships"><Relationship Id="rId1" Type="http://schemas.openxmlformats.org/officeDocument/2006/relationships/queryTable" Target="../queryTables/queryTable8.xml"/></Relationships>
</file>

<file path=xl/tables/_rels/table11.xml.rels><?xml version="1.0" encoding="UTF-8" standalone="yes"?>
<Relationships xmlns="http://schemas.openxmlformats.org/package/2006/relationships"><Relationship Id="rId1" Type="http://schemas.openxmlformats.org/officeDocument/2006/relationships/queryTable" Target="../queryTables/queryTable9.xml"/></Relationships>
</file>

<file path=xl/tables/_rels/table12.xml.rels><?xml version="1.0" encoding="UTF-8" standalone="yes"?>
<Relationships xmlns="http://schemas.openxmlformats.org/package/2006/relationships"><Relationship Id="rId1" Type="http://schemas.openxmlformats.org/officeDocument/2006/relationships/queryTable" Target="../queryTables/queryTable10.xml"/></Relationships>
</file>

<file path=xl/tables/_rels/table13.xml.rels><?xml version="1.0" encoding="UTF-8" standalone="yes"?>
<Relationships xmlns="http://schemas.openxmlformats.org/package/2006/relationships"><Relationship Id="rId1" Type="http://schemas.openxmlformats.org/officeDocument/2006/relationships/queryTable" Target="../queryTables/queryTable11.xml"/></Relationships>
</file>

<file path=xl/tables/_rels/table17.xml.rels><?xml version="1.0" encoding="UTF-8" standalone="yes"?>
<Relationships xmlns="http://schemas.openxmlformats.org/package/2006/relationships"><Relationship Id="rId1" Type="http://schemas.openxmlformats.org/officeDocument/2006/relationships/queryTable" Target="../queryTables/queryTable12.xml"/></Relationships>
</file>

<file path=xl/tables/_rels/table18.xml.rels><?xml version="1.0" encoding="UTF-8" standalone="yes"?>
<Relationships xmlns="http://schemas.openxmlformats.org/package/2006/relationships"><Relationship Id="rId1" Type="http://schemas.openxmlformats.org/officeDocument/2006/relationships/queryTable" Target="../queryTables/queryTable13.xml"/></Relationships>
</file>

<file path=xl/tables/_rels/table19.xml.rels><?xml version="1.0" encoding="UTF-8" standalone="yes"?>
<Relationships xmlns="http://schemas.openxmlformats.org/package/2006/relationships"><Relationship Id="rId1" Type="http://schemas.openxmlformats.org/officeDocument/2006/relationships/queryTable" Target="../queryTables/queryTable14.xml"/></Relationships>
</file>

<file path=xl/tables/_rels/table23.xml.rels><?xml version="1.0" encoding="UTF-8" standalone="yes"?>
<Relationships xmlns="http://schemas.openxmlformats.org/package/2006/relationships"><Relationship Id="rId1" Type="http://schemas.openxmlformats.org/officeDocument/2006/relationships/queryTable" Target="../queryTables/queryTable15.xml"/></Relationships>
</file>

<file path=xl/tables/_rels/table24.xml.rels><?xml version="1.0" encoding="UTF-8" standalone="yes"?>
<Relationships xmlns="http://schemas.openxmlformats.org/package/2006/relationships"><Relationship Id="rId1" Type="http://schemas.openxmlformats.org/officeDocument/2006/relationships/queryTable" Target="../queryTables/queryTable16.xml"/></Relationships>
</file>

<file path=xl/tables/_rels/table25.xml.rels><?xml version="1.0" encoding="UTF-8" standalone="yes"?>
<Relationships xmlns="http://schemas.openxmlformats.org/package/2006/relationships"><Relationship Id="rId1" Type="http://schemas.openxmlformats.org/officeDocument/2006/relationships/queryTable" Target="../queryTables/queryTable17.xml"/></Relationships>
</file>

<file path=xl/tables/_rels/table26.xml.rels><?xml version="1.0" encoding="UTF-8" standalone="yes"?>
<Relationships xmlns="http://schemas.openxmlformats.org/package/2006/relationships"><Relationship Id="rId1" Type="http://schemas.openxmlformats.org/officeDocument/2006/relationships/queryTable" Target="../queryTables/queryTable18.xml"/></Relationships>
</file>

<file path=xl/tables/_rels/table27.xml.rels><?xml version="1.0" encoding="UTF-8" standalone="yes"?>
<Relationships xmlns="http://schemas.openxmlformats.org/package/2006/relationships"><Relationship Id="rId1" Type="http://schemas.openxmlformats.org/officeDocument/2006/relationships/queryTable" Target="../queryTables/queryTable20.xml"/></Relationships>
</file>

<file path=xl/tables/_rels/table28.xml.rels><?xml version="1.0" encoding="UTF-8" standalone="yes"?>
<Relationships xmlns="http://schemas.openxmlformats.org/package/2006/relationships"><Relationship Id="rId1" Type="http://schemas.openxmlformats.org/officeDocument/2006/relationships/queryTable" Target="../queryTables/queryTable21.xml"/></Relationships>
</file>

<file path=xl/tables/_rels/table29.xml.rels><?xml version="1.0" encoding="UTF-8" standalone="yes"?>
<Relationships xmlns="http://schemas.openxmlformats.org/package/2006/relationships"><Relationship Id="rId1" Type="http://schemas.openxmlformats.org/officeDocument/2006/relationships/queryTable" Target="../queryTables/queryTable26.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DE606ADA-6299-4695-9D6A-C33CF80F9CFC}" name="Current_7D" displayName="Current_7D" ref="A1:AV6" tableType="queryTable" totalsRowShown="0" headerRowDxfId="872" dataDxfId="871">
  <autoFilter ref="A1:AV6" xr:uid="{DE606ADA-6299-4695-9D6A-C33CF80F9CFC}"/>
  <tableColumns count="48">
    <tableColumn id="1" xr3:uid="{60CED06B-EAC4-453F-820E-7CA9ED432754}" uniqueName="1" name="Case Number" queryTableFieldId="1" dataDxfId="870"/>
    <tableColumn id="2" xr3:uid="{4A6EF9B4-8709-4062-9FA5-81A5EA0582E6}" uniqueName="2" name="BLOCK" queryTableFieldId="2" dataDxfId="869"/>
    <tableColumn id="3" xr3:uid="{8AB4D782-E02A-4E1F-87B8-94D56E08BB9A}" uniqueName="3" name="TIME_OF_DAY" queryTableFieldId="3" dataDxfId="868"/>
    <tableColumn id="4" xr3:uid="{C6AB6839-8ACE-40EF-887E-9A542F7DFA21}" uniqueName="4" name="Location" queryTableFieldId="4" dataDxfId="867"/>
    <tableColumn id="5" xr3:uid="{73FB37A2-477D-4D0A-9ABE-D88600CCEE11}" uniqueName="5" name="ALL_INCIDENTS" queryTableFieldId="5" dataDxfId="866"/>
    <tableColumn id="6" xr3:uid="{18A06E04-04FF-4520-9E17-50D675E80D4A}" uniqueName="6" name="Incident Type_1" queryTableFieldId="6" dataDxfId="865"/>
    <tableColumn id="7" xr3:uid="{747A192D-232C-40BE-A8D7-6DABD3EF7A45}" uniqueName="7" name="Incident Type_2" queryTableFieldId="7" dataDxfId="864"/>
    <tableColumn id="8" xr3:uid="{65E7D6D6-16E1-4E01-A29B-D46C146A83A4}" uniqueName="8" name="Incident Type_3" queryTableFieldId="8" dataDxfId="863"/>
    <tableColumn id="9" xr3:uid="{8CF95D40-C3A6-4FBA-839C-57BF1651619D}" uniqueName="9" name="FullAddress" queryTableFieldId="9" dataDxfId="862"/>
    <tableColumn id="10" xr3:uid="{957CC518-1B10-4D77-8977-76FB67447B1B}" uniqueName="10" name="Grid" queryTableFieldId="10" dataDxfId="861"/>
    <tableColumn id="11" xr3:uid="{6D10092B-3E78-4E6E-A0F2-1F20E3CF4BC6}" uniqueName="11" name="Zone" queryTableFieldId="11" dataDxfId="860"/>
    <tableColumn id="12" xr3:uid="{C4A2E204-6D16-4D7D-ACBA-A4DCD91E10F7}" uniqueName="12" name="Narrative" queryTableFieldId="12" dataDxfId="859"/>
    <tableColumn id="13" xr3:uid="{F8B730E8-3A8B-4FEA-8721-1BA92D4954F4}" uniqueName="13" name="Total Value Stolen" queryTableFieldId="13" dataDxfId="858"/>
    <tableColumn id="14" xr3:uid="{01F801C0-89F0-4BAE-B1A0-520E908E2D23}" uniqueName="14" name="Total Value Recover" queryTableFieldId="14" dataDxfId="857"/>
    <tableColumn id="15" xr3:uid="{41E0D133-91C1-4926-8A55-11FC0C54F042}" uniqueName="15" name="Registration 1" queryTableFieldId="15" dataDxfId="856"/>
    <tableColumn id="16" xr3:uid="{B89EFFE5-44CB-47C7-B367-EA422715C0E0}" uniqueName="16" name="Make1" queryTableFieldId="16" dataDxfId="855"/>
    <tableColumn id="17" xr3:uid="{893BB1F4-36A8-4C69-AD4F-D0F2A15E48B2}" uniqueName="17" name="Model1" queryTableFieldId="17" dataDxfId="854"/>
    <tableColumn id="18" xr3:uid="{4AA2DFCA-5FF9-4758-95BF-6A6A63D90797}" uniqueName="18" name="Reg State 1" queryTableFieldId="18" dataDxfId="853"/>
    <tableColumn id="19" xr3:uid="{2C91B01B-F39F-4935-A498-5BEBED4FA7D8}" uniqueName="19" name="Registration 2" queryTableFieldId="19" dataDxfId="852"/>
    <tableColumn id="20" xr3:uid="{D686F9D0-0C90-41D6-B561-297F499346D1}" uniqueName="20" name="Reg State 2" queryTableFieldId="20" dataDxfId="851"/>
    <tableColumn id="21" xr3:uid="{E7149AD4-B8B0-4ED7-B186-8726AEF2D052}" uniqueName="21" name="Make2" queryTableFieldId="21" dataDxfId="850"/>
    <tableColumn id="22" xr3:uid="{1E0B721C-2120-4382-8B6B-8F37D3CB16D4}" uniqueName="22" name="Model2" queryTableFieldId="22" dataDxfId="849"/>
    <tableColumn id="23" xr3:uid="{00EAC8B9-F5FF-4444-99E6-2026BEF61D4C}" uniqueName="23" name="Reviewed By" queryTableFieldId="23" dataDxfId="848"/>
    <tableColumn id="24" xr3:uid="{8BFC5CAB-93ED-4B44-BBDF-EBCA8106A523}" uniqueName="24" name="CompleteCalc" queryTableFieldId="24" dataDxfId="847"/>
    <tableColumn id="25" xr3:uid="{D0EC5703-E18E-44C5-AFAB-FA69F5DC8FA2}" uniqueName="25" name="Officer of Record" queryTableFieldId="25" dataDxfId="846"/>
    <tableColumn id="26" xr3:uid="{8406E036-6EBA-462F-A13A-6AE15C30B03F}" uniqueName="26" name="Squad" queryTableFieldId="26" dataDxfId="845"/>
    <tableColumn id="27" xr3:uid="{6751C271-A9FB-4654-A382-82C840BAE76E}" uniqueName="27" name="Det_Assigned" queryTableFieldId="27" dataDxfId="844"/>
    <tableColumn id="28" xr3:uid="{C938C524-C3E5-4336-8E12-8273E6E4C539}" uniqueName="28" name="Case_Status" queryTableFieldId="28" dataDxfId="843"/>
    <tableColumn id="29" xr3:uid="{8A1A58C8-64D7-4C77-B769-42ED4BAB1A15}" uniqueName="29" name="NIBRS Classification" queryTableFieldId="29" dataDxfId="842"/>
    <tableColumn id="30" xr3:uid="{17268280-2CE1-4FC4-9A31-ED3B5D4C73F9}" uniqueName="30" name="CASE_NUMBER_LENGTH" queryTableFieldId="30" dataDxfId="841"/>
    <tableColumn id="31" xr3:uid="{83A125B5-F47D-41E7-A85D-706277E5B831}" uniqueName="31" name="Year" queryTableFieldId="31" dataDxfId="840"/>
    <tableColumn id="32" xr3:uid="{A9D65CA5-C5CF-498D-895F-33E825A9FEA1}" uniqueName="32" name="St#" queryTableFieldId="32" dataDxfId="839"/>
    <tableColumn id="33" xr3:uid="{26645767-735A-45FA-B8C0-3D262E25B362}" uniqueName="33" name="Notes" queryTableFieldId="33" dataDxfId="838"/>
    <tableColumn id="34" xr3:uid="{0D48BF07-16EA-4060-803D-A61FE83A9380}" uniqueName="34" name="VEHICLE" queryTableFieldId="34" dataDxfId="837"/>
    <tableColumn id="35" xr3:uid="{641CCC95-C742-4C86-8CC7-C031DDC22E68}" uniqueName="35" name="Suspect" queryTableFieldId="35" dataDxfId="836"/>
    <tableColumn id="36" xr3:uid="{F3971CDA-B57D-459A-B67C-C52EF4680960}" uniqueName="36" name="TOTAL_STOLEN_AMOUNT" queryTableFieldId="36" dataDxfId="835"/>
    <tableColumn id="37" xr3:uid="{FEF5916A-675B-4213-AE98-ADED49AC7AAA}" uniqueName="37" name="INC_DATE" queryTableFieldId="37" dataDxfId="834"/>
    <tableColumn id="38" xr3:uid="{C8A4AB81-9780-4F26-907F-3F1551D76FF4}" uniqueName="38" name="TOD" queryTableFieldId="38" dataDxfId="833"/>
    <tableColumn id="39" xr3:uid="{C719D596-9EF7-492B-87D3-678D7F897B4E}" uniqueName="39" name="Start of Hour" queryTableFieldId="39" dataDxfId="832"/>
    <tableColumn id="40" xr3:uid="{42C37F77-9E3A-4F37-9438-8110F204241B}" uniqueName="40" name="INC_TIME" queryTableFieldId="40" dataDxfId="831"/>
    <tableColumn id="41" xr3:uid="{603E6717-A7D7-4FA5-BA3F-39464B4E022D}" uniqueName="41" name="Day Name" queryTableFieldId="41" dataDxfId="830"/>
    <tableColumn id="42" xr3:uid="{FDF41397-7361-4149-A231-4AC35EC5042F}" uniqueName="42" name="Month Name" queryTableFieldId="42" dataDxfId="829"/>
    <tableColumn id="43" xr3:uid="{AD81A433-A776-4A1B-B368-CC0C612EB77D}" uniqueName="43" name="Week of Year" queryTableFieldId="43" dataDxfId="828"/>
    <tableColumn id="44" xr3:uid="{9A2E7EC3-E260-4155-B278-7639BCE0680A}" uniqueName="44" name="Week of Month" queryTableFieldId="44" dataDxfId="827"/>
    <tableColumn id="45" xr3:uid="{21FD9CD2-ED04-41B2-90BE-D535FAFF4235}" uniqueName="45" name="Day" queryTableFieldId="45" dataDxfId="826"/>
    <tableColumn id="46" xr3:uid="{DB63FB98-A952-4872-A3FA-B6550A607474}" uniqueName="46" name="Day of Year" queryTableFieldId="46" dataDxfId="825"/>
    <tableColumn id="47" xr3:uid="{1552530B-FA53-45F0-B956-838DDC12130F}" uniqueName="47" name="INC_DATE_AND_TIME" queryTableFieldId="47" dataDxfId="824"/>
    <tableColumn id="48" xr3:uid="{ACD2E2FB-3A32-4056-83E6-718C7601269F}" uniqueName="48" name="REPORT_CYCLE" queryTableFieldId="48" dataDxfId="823"/>
  </tableColumns>
  <tableStyleInfo name="TableStyleLight15 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445029C-EA82-4077-BDF0-09FA4CF318CC}" name="Current_28D_" displayName="Current_28D_" ref="A1:AV22" tableType="queryTable" totalsRowShown="0" headerRowDxfId="822" dataDxfId="821">
  <autoFilter ref="A1:AV22" xr:uid="{0445029C-EA82-4077-BDF0-09FA4CF318CC}"/>
  <tableColumns count="48">
    <tableColumn id="1" xr3:uid="{69A69A35-977E-4556-9A97-9732A9D1F31F}" uniqueName="1" name="Case Number" queryTableFieldId="1" dataDxfId="820"/>
    <tableColumn id="2" xr3:uid="{08C0369C-8E42-46D3-9DDE-92E92F88406A}" uniqueName="2" name="BLOCK" queryTableFieldId="2" dataDxfId="819"/>
    <tableColumn id="3" xr3:uid="{4B4016E7-5E86-40D0-8D3F-1889FEE381FF}" uniqueName="3" name="TIME_OF_DAY" queryTableFieldId="3" dataDxfId="818"/>
    <tableColumn id="4" xr3:uid="{593A6D4A-B6AC-4BC6-9BCE-BD12A3E2EE73}" uniqueName="4" name="Location" queryTableFieldId="4" dataDxfId="817"/>
    <tableColumn id="5" xr3:uid="{C732D735-2E23-4051-A0FA-021EC8B1C067}" uniqueName="5" name="ALL_INCIDENTS" queryTableFieldId="5" dataDxfId="816"/>
    <tableColumn id="6" xr3:uid="{9FC1250D-5038-4CC3-AEC5-25E120DFD744}" uniqueName="6" name="Incident Type_1" queryTableFieldId="6" dataDxfId="815"/>
    <tableColumn id="7" xr3:uid="{FDD19ECA-0AF6-4863-AF03-D81C521DB9FD}" uniqueName="7" name="Incident Type_2" queryTableFieldId="7" dataDxfId="814"/>
    <tableColumn id="8" xr3:uid="{683377A7-D6A0-419E-81E0-9BB9A90512E8}" uniqueName="8" name="Incident Type_3" queryTableFieldId="8" dataDxfId="813"/>
    <tableColumn id="9" xr3:uid="{786BB945-6093-45DD-A18C-1A1EFEBC246C}" uniqueName="9" name="FullAddress" queryTableFieldId="9" dataDxfId="812"/>
    <tableColumn id="10" xr3:uid="{56C21E25-0A3D-4F4E-9800-6D728D4195FC}" uniqueName="10" name="Grid" queryTableFieldId="10" dataDxfId="811"/>
    <tableColumn id="11" xr3:uid="{82D32DA7-E683-4BE9-8F1D-EACE321B3EF4}" uniqueName="11" name="Zone" queryTableFieldId="11" dataDxfId="810"/>
    <tableColumn id="12" xr3:uid="{71AC7C65-8727-4711-A9B5-95298FA0DA44}" uniqueName="12" name="Narrative" queryTableFieldId="12" dataDxfId="809"/>
    <tableColumn id="13" xr3:uid="{8184DE8D-5A0E-47A2-A705-C9E463572DE6}" uniqueName="13" name="Total Value Stolen" queryTableFieldId="13" dataDxfId="808"/>
    <tableColumn id="14" xr3:uid="{E981516E-B0B1-4162-867D-036F57723E25}" uniqueName="14" name="Total Value Recover" queryTableFieldId="14" dataDxfId="807"/>
    <tableColumn id="15" xr3:uid="{CA30F125-69F3-488F-B8F3-65063FC06FAE}" uniqueName="15" name="Registration 1" queryTableFieldId="15" dataDxfId="806"/>
    <tableColumn id="16" xr3:uid="{21C1A2F7-E4DD-42AE-BE2F-0AED205CF0C4}" uniqueName="16" name="Make1" queryTableFieldId="16" dataDxfId="805"/>
    <tableColumn id="17" xr3:uid="{1CD79772-EC83-4710-9D61-6F44872569B4}" uniqueName="17" name="Model1" queryTableFieldId="17" dataDxfId="804"/>
    <tableColumn id="18" xr3:uid="{05BE9081-D11F-4C13-A94A-AC1849A91FAA}" uniqueName="18" name="Reg State 1" queryTableFieldId="18" dataDxfId="803"/>
    <tableColumn id="19" xr3:uid="{81B4FEA3-2F82-4B36-A653-460E1E51B504}" uniqueName="19" name="Registration 2" queryTableFieldId="19" dataDxfId="802"/>
    <tableColumn id="20" xr3:uid="{9315AFC3-BDED-4993-8D37-203AD9AFFEDC}" uniqueName="20" name="Reg State 2" queryTableFieldId="20" dataDxfId="801"/>
    <tableColumn id="21" xr3:uid="{45EE1543-53AD-44DA-BAFB-B6689DEDBBC1}" uniqueName="21" name="Make2" queryTableFieldId="21" dataDxfId="800"/>
    <tableColumn id="22" xr3:uid="{650FA678-50CA-40C4-A2DE-D119A4F0A9C1}" uniqueName="22" name="Model2" queryTableFieldId="22" dataDxfId="799"/>
    <tableColumn id="23" xr3:uid="{C900389B-6449-4A46-9675-EA03FFABE2C6}" uniqueName="23" name="Reviewed By" queryTableFieldId="23" dataDxfId="798"/>
    <tableColumn id="24" xr3:uid="{2047E768-5579-4D6A-9B97-DD4BDDC90961}" uniqueName="24" name="CompleteCalc" queryTableFieldId="24" dataDxfId="797"/>
    <tableColumn id="25" xr3:uid="{530230D2-2CAC-41D1-9E7D-83DD567F148B}" uniqueName="25" name="Officer of Record" queryTableFieldId="25" dataDxfId="796"/>
    <tableColumn id="26" xr3:uid="{47C7097F-CD39-4932-960E-99091EEC7546}" uniqueName="26" name="Squad" queryTableFieldId="26" dataDxfId="795"/>
    <tableColumn id="27" xr3:uid="{FB20B121-2AFD-46DA-93E5-26943B7C26FE}" uniqueName="27" name="Det_Assigned" queryTableFieldId="27" dataDxfId="794"/>
    <tableColumn id="28" xr3:uid="{3040DCD6-CED1-49D2-8FF0-FAAFFB750050}" uniqueName="28" name="Case_Status" queryTableFieldId="28" dataDxfId="793"/>
    <tableColumn id="29" xr3:uid="{41638542-1B18-401B-8540-30D1D3DCDFFC}" uniqueName="29" name="NIBRS Classification" queryTableFieldId="29" dataDxfId="792"/>
    <tableColumn id="30" xr3:uid="{94AFE940-3A78-4168-9DC8-FD3B3753EA6A}" uniqueName="30" name="CASE_NUMBER_LENGTH" queryTableFieldId="30" dataDxfId="791"/>
    <tableColumn id="31" xr3:uid="{6B8895A1-C8B5-4976-B301-ED2B3994FCDB}" uniqueName="31" name="Year" queryTableFieldId="31" dataDxfId="790"/>
    <tableColumn id="32" xr3:uid="{EFDF7214-FEB8-44E6-8605-DE089C47F1D6}" uniqueName="32" name="St#" queryTableFieldId="32" dataDxfId="789"/>
    <tableColumn id="33" xr3:uid="{9DD49F18-CE0C-4185-BEE2-B8A6C20252C5}" uniqueName="33" name="Notes" queryTableFieldId="33" dataDxfId="788"/>
    <tableColumn id="34" xr3:uid="{31E932FE-12E7-4FE3-BFDC-26F368CAFA99}" uniqueName="34" name="VEHICLE" queryTableFieldId="34" dataDxfId="787"/>
    <tableColumn id="35" xr3:uid="{D1396A49-7D0F-4E76-8062-694D30422685}" uniqueName="35" name="Suspect" queryTableFieldId="35" dataDxfId="786"/>
    <tableColumn id="36" xr3:uid="{32E790B7-CEFE-4DA6-ADC1-CF8C2FE7C8F7}" uniqueName="36" name="TOTAL_STOLEN_AMOUNT" queryTableFieldId="36" dataDxfId="785"/>
    <tableColumn id="37" xr3:uid="{D4FED1B1-77AD-453E-9A1E-F70D5E59ED55}" uniqueName="37" name="INC_DATE" queryTableFieldId="37" dataDxfId="784"/>
    <tableColumn id="38" xr3:uid="{6D4759BE-E979-4F8A-B071-DBF8A0F3BE44}" uniqueName="38" name="TOD" queryTableFieldId="38" dataDxfId="783"/>
    <tableColumn id="39" xr3:uid="{D8288FFB-DE54-472D-84F0-2057B7E6865F}" uniqueName="39" name="Start of Hour" queryTableFieldId="39" dataDxfId="782"/>
    <tableColumn id="40" xr3:uid="{54A3C7B3-74EB-4323-88D7-DE17966B70F5}" uniqueName="40" name="INC_TIME" queryTableFieldId="40" dataDxfId="781"/>
    <tableColumn id="41" xr3:uid="{FF7D7883-8014-4499-8AFE-FC0FE9600282}" uniqueName="41" name="Day Name" queryTableFieldId="41" dataDxfId="780"/>
    <tableColumn id="42" xr3:uid="{7043B1BC-307D-4E18-8775-93A424E77AB3}" uniqueName="42" name="Month Name" queryTableFieldId="42" dataDxfId="779"/>
    <tableColumn id="43" xr3:uid="{4F9C232B-CC94-4F06-A080-9B395359CF86}" uniqueName="43" name="Week of Year" queryTableFieldId="43" dataDxfId="778"/>
    <tableColumn id="44" xr3:uid="{755C089D-1754-4EA7-8ABE-709D80F9B30A}" uniqueName="44" name="Week of Month" queryTableFieldId="44" dataDxfId="777"/>
    <tableColumn id="45" xr3:uid="{A88E11C3-5EC5-4E76-B68B-D928189CF8FB}" uniqueName="45" name="Day" queryTableFieldId="45" dataDxfId="776"/>
    <tableColumn id="46" xr3:uid="{3DD6859D-53EC-4796-AB04-033150BCE3BD}" uniqueName="46" name="Day of Year" queryTableFieldId="46" dataDxfId="775"/>
    <tableColumn id="47" xr3:uid="{77574ACE-20F6-4EAD-A6C1-9A4E9FCE2EE7}" uniqueName="47" name="INC_DATE_AND_TIME" queryTableFieldId="47" dataDxfId="774"/>
    <tableColumn id="48" xr3:uid="{CA323C1B-DB0B-4C23-93CB-E33449AD4995}" uniqueName="48" name="REPORT_CYCLE" queryTableFieldId="48" dataDxfId="773"/>
  </tableColumns>
  <tableStyleInfo name="TableStyleLight15 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53B4D5E-C410-487A-BBAF-F19B83C60366}" name="Bur_Auto" displayName="Bur_Auto" ref="A1:AS13" tableType="queryTable" totalsRowShown="0" headerRowDxfId="772" dataDxfId="771">
  <autoFilter ref="A1:AS13" xr:uid="{053B4D5E-C410-487A-BBAF-F19B83C60366}"/>
  <tableColumns count="45">
    <tableColumn id="1" xr3:uid="{FACFC861-1620-40BD-950E-E20853CEDE8D}" uniqueName="1" name="Case Number" queryTableFieldId="1" dataDxfId="770"/>
    <tableColumn id="6" xr3:uid="{FDAC213A-693D-47F2-A727-78E05BADFCE5}" uniqueName="6" name="INC_DATE" queryTableFieldId="6" dataDxfId="769"/>
    <tableColumn id="48" xr3:uid="{63862322-9A57-414B-82BE-92A0375CE84B}" uniqueName="48" name="TIME_OF_DAY" queryTableFieldId="48" dataDxfId="768"/>
    <tableColumn id="2" xr3:uid="{9742BAFE-0E5B-4B5E-869A-22E19C40F353}" uniqueName="2" name="Start of Hour" queryTableFieldId="2" dataDxfId="767"/>
    <tableColumn id="3" xr3:uid="{63AAD30B-832D-4367-B05E-FBE90CBF7432}" uniqueName="3" name="INC_TIME" queryTableFieldId="3" dataDxfId="766"/>
    <tableColumn id="4" xr3:uid="{437D069E-5E44-4D48-8713-FEB12322B831}" uniqueName="4" name="Day Name" queryTableFieldId="4" dataDxfId="765"/>
    <tableColumn id="5" xr3:uid="{F22A587A-1AC0-4ED2-BB61-A25EA201651D}" uniqueName="5" name="Month Name" queryTableFieldId="5" dataDxfId="764"/>
    <tableColumn id="47" xr3:uid="{D2F99258-E6F4-45DE-8665-8F54BCC909AB}" uniqueName="47" name="BLOCK" queryTableFieldId="47" dataDxfId="763"/>
    <tableColumn id="7" xr3:uid="{23412795-3C5C-4E2A-9919-B98C62A75D08}" uniqueName="7" name="Location" queryTableFieldId="7" dataDxfId="762"/>
    <tableColumn id="9" xr3:uid="{C0F0C169-D837-4C9E-AB09-8C1D99D91596}" uniqueName="9" name="ALL_INCIDENTS" queryTableFieldId="9" dataDxfId="761"/>
    <tableColumn id="8" xr3:uid="{887AEAD5-2EE6-4CE8-B63E-F34A4013598D}" uniqueName="8" name="Incident Type_1" queryTableFieldId="8" dataDxfId="760"/>
    <tableColumn id="10" xr3:uid="{7C706C07-C6A9-4B55-B12B-B1EC640BB510}" uniqueName="10" name="Incident Type_2" queryTableFieldId="10" dataDxfId="759"/>
    <tableColumn id="11" xr3:uid="{F3806DE8-88F3-43EF-B3ED-0B00EA0C5B06}" uniqueName="11" name="Incident Type_3" queryTableFieldId="11" dataDxfId="758"/>
    <tableColumn id="12" xr3:uid="{2D137194-07CE-44BF-B991-4DC064083B2F}" uniqueName="12" name="FullAddress" queryTableFieldId="12" dataDxfId="757"/>
    <tableColumn id="13" xr3:uid="{8A7A3242-2964-4403-A82F-2C0BBD0A6E23}" uniqueName="13" name="Grid" queryTableFieldId="13" dataDxfId="756"/>
    <tableColumn id="14" xr3:uid="{A362B5CB-0CC8-4CB4-BBC1-73B64D5C13F7}" uniqueName="14" name="Zone" queryTableFieldId="14" dataDxfId="755"/>
    <tableColumn id="15" xr3:uid="{E1F30827-C2EA-441F-BD35-CB496B001448}" uniqueName="15" name="Narrative" queryTableFieldId="15" dataDxfId="754"/>
    <tableColumn id="16" xr3:uid="{975068BA-A059-498B-AF9A-9041339A5EB4}" uniqueName="16" name="Total Value Stolen" queryTableFieldId="16" dataDxfId="753"/>
    <tableColumn id="17" xr3:uid="{F655ADE8-2EC8-4201-AF47-04D14250510D}" uniqueName="17" name="Total Value Recover" queryTableFieldId="17" dataDxfId="752"/>
    <tableColumn id="18" xr3:uid="{C8696408-8459-49C0-A2B1-C77A7E8802CB}" uniqueName="18" name="Registration 1" queryTableFieldId="18" dataDxfId="751"/>
    <tableColumn id="19" xr3:uid="{2CF01599-CADC-43A5-9982-F679A114208D}" uniqueName="19" name="Make1" queryTableFieldId="19" dataDxfId="750"/>
    <tableColumn id="20" xr3:uid="{8BEE1F97-52E1-49A0-822D-71406A448AD5}" uniqueName="20" name="Model1" queryTableFieldId="20" dataDxfId="749"/>
    <tableColumn id="21" xr3:uid="{991E9F53-0B16-43C7-BC83-8C933A9EAF48}" uniqueName="21" name="Reg State 1" queryTableFieldId="21" dataDxfId="748"/>
    <tableColumn id="22" xr3:uid="{196A4EFA-8AE5-4359-A05A-E5856FD86ED3}" uniqueName="22" name="Registration 2" queryTableFieldId="22" dataDxfId="747"/>
    <tableColumn id="23" xr3:uid="{09BFE387-258E-4028-912E-F42848FC1FB8}" uniqueName="23" name="Reg State 2" queryTableFieldId="23" dataDxfId="746"/>
    <tableColumn id="24" xr3:uid="{999E3F07-7593-49A2-B8BA-CE172835F480}" uniqueName="24" name="Make2" queryTableFieldId="24" dataDxfId="745"/>
    <tableColumn id="25" xr3:uid="{EC6C6216-F333-4EE1-8A1C-34E8C49FD1BF}" uniqueName="25" name="Model2" queryTableFieldId="25" dataDxfId="744"/>
    <tableColumn id="26" xr3:uid="{E69827BB-9FFF-4842-AACE-96129A23C8F0}" uniqueName="26" name="Reviewed By" queryTableFieldId="26" dataDxfId="743"/>
    <tableColumn id="28" xr3:uid="{0A0186FF-651D-489A-A310-98C2FD6D65A1}" uniqueName="28" name="Officer of Record" queryTableFieldId="28" dataDxfId="742"/>
    <tableColumn id="29" xr3:uid="{96757894-775B-442E-809C-6B97BD573DC0}" uniqueName="29" name="Squad" queryTableFieldId="29" dataDxfId="741"/>
    <tableColumn id="30" xr3:uid="{6318B82C-473C-44D6-9464-C32015D30AF6}" uniqueName="30" name="Det_Assigned" queryTableFieldId="30" dataDxfId="740"/>
    <tableColumn id="31" xr3:uid="{254BA949-002B-4681-BF1C-D67BB17DCD44}" uniqueName="31" name="Case_Status" queryTableFieldId="31" dataDxfId="739"/>
    <tableColumn id="32" xr3:uid="{B2F06823-4098-42B9-947E-DB3B89C54414}" uniqueName="32" name="NIBRS Classification" queryTableFieldId="32" dataDxfId="738"/>
    <tableColumn id="40" xr3:uid="{680BBDF2-B758-4577-BD0C-C162EFF9409E}" uniqueName="40" name="Year" queryTableFieldId="40" dataDxfId="737"/>
    <tableColumn id="41" xr3:uid="{A837D56A-5CBE-499C-A4F2-CC38DA30A593}" uniqueName="41" name="Week of Year" queryTableFieldId="41" dataDxfId="736"/>
    <tableColumn id="42" xr3:uid="{4D75D3C2-8786-40BF-B97B-D0EE0432B82D}" uniqueName="42" name="Week of Month" queryTableFieldId="42" dataDxfId="735"/>
    <tableColumn id="43" xr3:uid="{1D4F9BBB-5892-474F-BE57-70EA5EEF1794}" uniqueName="43" name="Day" queryTableFieldId="43" dataDxfId="734"/>
    <tableColumn id="44" xr3:uid="{90001A85-63F5-42C1-A0AA-B5EF7CEAC611}" uniqueName="44" name="Day of Year" queryTableFieldId="44" dataDxfId="733"/>
    <tableColumn id="45" xr3:uid="{11B2CB0E-C8BB-41E3-8BD8-DB730FB6DFEB}" uniqueName="45" name="INC_DATE_AND_TIME" queryTableFieldId="45" dataDxfId="732"/>
    <tableColumn id="46" xr3:uid="{B8E6382D-A067-404B-86B9-4993AE799355}" uniqueName="46" name="St#" queryTableFieldId="46" dataDxfId="731"/>
    <tableColumn id="49" xr3:uid="{48D4137F-198F-4529-92F8-BDA08563A6B7}" uniqueName="49" name="Notes" queryTableFieldId="108" dataDxfId="730"/>
    <tableColumn id="50" xr3:uid="{3049FA7E-2B3D-4825-BA0A-8C9537F88D77}" uniqueName="50" name="VEHICLE" queryTableFieldId="50" dataDxfId="729"/>
    <tableColumn id="51" xr3:uid="{1227B6EC-3B2B-400B-B915-A91EFE2CC2D2}" uniqueName="51" name="Suspect" queryTableFieldId="51" dataDxfId="728"/>
    <tableColumn id="52" xr3:uid="{883FCCCA-106B-4935-ACD4-2CDDB39CF55E}" uniqueName="52" name="TOTAL_STOLEN_AMOUNT" queryTableFieldId="52" dataDxfId="727"/>
    <tableColumn id="53" xr3:uid="{6456B8EA-5D36-4659-A4F9-64A6114BF6EE}" uniqueName="53" name="REPORT_CYCLE" queryTableFieldId="53" dataDxfId="726"/>
  </tableColumns>
  <tableStyleInfo name="TableStyleLight2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B6A53909-38FC-4AC5-97EA-B21B88C6642E}" name="Bur_Auto_7D" displayName="Bur_Auto_7D" ref="A1:O2" tableType="queryTable" totalsRowShown="0" headerRowDxfId="725" dataDxfId="724">
  <autoFilter ref="A1:O2" xr:uid="{B6A53909-38FC-4AC5-97EA-B21B88C6642E}"/>
  <tableColumns count="15">
    <tableColumn id="1" xr3:uid="{ECDF7BB0-09B2-43DE-A354-9058D18A589E}" uniqueName="1" name="Block Incident Occurred On" queryTableFieldId="1" dataDxfId="723"/>
    <tableColumn id="2" xr3:uid="{AA58CE8E-C4E4-4DD6-837B-96CD8EBA533A}" uniqueName="2" name="Incident Date" queryTableFieldId="2" dataDxfId="722"/>
    <tableColumn id="3" xr3:uid="{00E52B2C-07F5-4860-AB91-71438153626E}" uniqueName="3" name="Day of Week" queryTableFieldId="3" dataDxfId="721"/>
    <tableColumn id="4" xr3:uid="{FC4A00AF-FC7A-4CDC-9B1E-D81AAE2B9126}" uniqueName="4" name="Time of Day Incident Occurred" queryTableFieldId="4" dataDxfId="720"/>
    <tableColumn id="5" xr3:uid="{459A1D10-4C01-43D7-B77A-7E35028C8BA8}" uniqueName="5" name="Victim's Vehicle Description" queryTableFieldId="5" dataDxfId="719"/>
    <tableColumn id="7" xr3:uid="{3BB8ED52-7655-4E6E-9C04-133EBEBF3B4C}" uniqueName="7" name="Vehicle Was Parked" queryTableFieldId="7" dataDxfId="718"/>
    <tableColumn id="8" xr3:uid="{43FE979C-0792-4382-9C5E-FB1F7BEC09D9}" uniqueName="8" name="Entry Method" queryTableFieldId="8" dataDxfId="717"/>
    <tableColumn id="9" xr3:uid="{89DA9597-B3CE-467B-912D-D787FDC46A6E}" uniqueName="9" name="Damage to Vehicle" queryTableFieldId="9" dataDxfId="716"/>
    <tableColumn id="10" xr3:uid="{9AB34402-D56D-49EF-B71E-D68E20A02258}" uniqueName="10" name="Suspect Description" queryTableFieldId="10" dataDxfId="715"/>
    <tableColumn id="11" xr3:uid="{61668263-7DF6-40CD-BACF-63E2EBA91BD6}" uniqueName="11" name="Suspect Vehicle Description" queryTableFieldId="11" dataDxfId="714"/>
    <tableColumn id="12" xr3:uid="{1A026041-CE9A-46BA-8320-0654CA55D35A}" uniqueName="12" name="Items Stolen" queryTableFieldId="12" dataDxfId="713"/>
    <tableColumn id="13" xr3:uid="{0D828EDD-5E41-45B5-A44A-312378F6B0D1}" uniqueName="13" name="Value of Stolen Property" queryTableFieldId="13" dataDxfId="712"/>
    <tableColumn id="14" xr3:uid="{401F2D1B-E41B-4821-A7FB-77BE5D239A52}" uniqueName="14" name="Keys with Vehicle" queryTableFieldId="14" dataDxfId="711"/>
    <tableColumn id="15" xr3:uid="{66187DCB-EA89-469F-92CE-D883B72ABFFD}" uniqueName="15" name="Offense Completed" queryTableFieldId="15" dataDxfId="710"/>
    <tableColumn id="6" xr3:uid="{173FEAC5-1FEA-454C-B199-9DD15DD04C5F}" uniqueName="6" name="Notes" queryTableFieldId="6" dataDxfId="709"/>
  </tableColumns>
  <tableStyleInfo name="TableStyleLight18 3 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85124254-843D-4925-808B-81581425B9C5}" name="REPORT_BUR_AUTO_7DAY" displayName="REPORT_BUR_AUTO_7DAY" ref="N1:AB2" totalsRowShown="0" headerRowDxfId="651" dataDxfId="650">
  <autoFilter ref="N1:AB2" xr:uid="{85124254-843D-4925-808B-81581425B9C5}">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autoFilter>
  <tableColumns count="15">
    <tableColumn id="1" xr3:uid="{EF7505E7-9D87-4C36-971A-B41530B0B7F6}" name="Block Incident Occurred On" dataDxfId="649"/>
    <tableColumn id="2" xr3:uid="{8922ED49-8F2E-4BF3-8E78-C8046E91BC0E}" name="Incident Date" dataDxfId="648"/>
    <tableColumn id="7" xr3:uid="{BBCF45BD-A2C3-4288-AA29-9D030301F35D}" name="Day of Week" dataDxfId="647"/>
    <tableColumn id="8" xr3:uid="{5FAD7BA0-72E7-4C32-B18F-39817BA1FE2E}" name="Time of Day Incident Occurred" dataDxfId="646"/>
    <tableColumn id="4" xr3:uid="{6D689E85-5A34-4E9C-A668-00E0889BCCAB}" name="Victim's Vehicle Description" dataDxfId="645"/>
    <tableColumn id="6" xr3:uid="{F42BEC7C-6526-44A8-AB91-17FC20818C34}" name="Vehicle Was Parked" dataDxfId="644"/>
    <tableColumn id="5" xr3:uid="{CFC7FF41-F7FC-4CDE-BD79-0667900FCBCC}" name="Entry Method" dataDxfId="643"/>
    <tableColumn id="9" xr3:uid="{00D11AA5-84CE-42B3-864B-635554C068C5}" name="Damage to Vehicle" dataDxfId="642"/>
    <tableColumn id="10" xr3:uid="{5D4117CA-0AB2-45E2-9046-55BF9807163B}" name="Suspect Description" dataDxfId="641"/>
    <tableColumn id="11" xr3:uid="{3BE4B175-BF08-4118-9ACC-49D200953A0D}" name="Suspect Vehicle Description" dataDxfId="640"/>
    <tableColumn id="12" xr3:uid="{5FF668F4-962D-48B3-B268-88F2E0A6108E}" name="Items Stolen" dataDxfId="639"/>
    <tableColumn id="13" xr3:uid="{E6B22A5D-DEB2-441A-ACEF-AF7F2AFE02F2}" name="Value of Stolen Property" dataDxfId="638"/>
    <tableColumn id="14" xr3:uid="{27E2A757-9324-4E40-BDAC-429A19FFE2BC}" name="Keys with Vehicle" dataDxfId="637"/>
    <tableColumn id="15" xr3:uid="{92696B52-EA75-4B05-AD99-65A1C7C77B9E}" name="Offense Completed" dataDxfId="636"/>
    <tableColumn id="16" xr3:uid="{9430299B-427C-4895-A43A-823B06AB5121}" name="Notes" dataDxfId="635"/>
  </tableColumns>
  <tableStyleInfo name="TableStyleLight18 3"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A21EBBB8-BD36-40C6-9B91-F4B334BD2AE7}" name="TestBur_C_R_28D__2" displayName="TestBur_C_R_28D__2" ref="A1:H7" tableType="queryTable" totalsRowShown="0">
  <autoFilter ref="A1:H7" xr:uid="{A21EBBB8-BD36-40C6-9B91-F4B334BD2AE7}"/>
  <tableColumns count="8">
    <tableColumn id="14" xr3:uid="{E1944B9C-0E6C-4687-9CE3-92F6FEA904CE}" uniqueName="14" name="CaseID" queryTableFieldId="14"/>
    <tableColumn id="1" xr3:uid="{7A5C1ED7-7682-4D19-A9AD-401BB706D6F5}" uniqueName="1" name="Block" queryTableFieldId="1" dataDxfId="634"/>
    <tableColumn id="2" xr3:uid="{33438211-9C07-48A5-A5B5-2D472E44C10D}" uniqueName="2" name="Incident Date" queryTableFieldId="2" dataDxfId="633"/>
    <tableColumn id="3" xr3:uid="{9472C38C-6062-4C14-9F67-AB426096063A}" uniqueName="3" name="Day of Week" queryTableFieldId="3" dataDxfId="632"/>
    <tableColumn id="4" xr3:uid="{4749A001-7F85-446F-98CB-E2C0EEB5EB8B}" uniqueName="4" name="Time of Day" queryTableFieldId="4" dataDxfId="631"/>
    <tableColumn id="5" xr3:uid="{6A651A7F-F4B3-4533-8D92-C101A177B15D}" uniqueName="5" name="Suspect" queryTableFieldId="5" dataDxfId="630"/>
    <tableColumn id="11" xr3:uid="{B916FEE6-672C-47CC-A522-12B086DACD4C}" uniqueName="11" name="Property Stolen" queryTableFieldId="11" dataDxfId="629"/>
    <tableColumn id="13" xr3:uid="{F8B0CCE6-B7B9-4690-97CF-3F15E4080B6C}" uniqueName="13" name="Notes" queryTableFieldId="13" dataDxfId="628"/>
  </tableColumns>
  <tableStyleInfo name="TableStyleMedium7"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EC8FF4D6-6BA4-492D-A0B0-0BB53664764A}" name="Bur_C_R" displayName="Bur_C_R" ref="A1:BB13" tableType="queryTable" totalsRowShown="0" headerRowDxfId="627" dataDxfId="626">
  <autoFilter ref="A1:BB13" xr:uid="{EC8FF4D6-6BA4-492D-A0B0-0BB53664764A}"/>
  <tableColumns count="54">
    <tableColumn id="1" xr3:uid="{16E625DC-0955-49F1-AB69-650CF5856D1B}" uniqueName="1" name="Case Number" queryTableFieldId="1" dataDxfId="625"/>
    <tableColumn id="6" xr3:uid="{CF98D3C0-01E0-4FF8-A8D9-DCED1069D0B4}" uniqueName="6" name="INC_DATE" queryTableFieldId="6" dataDxfId="624"/>
    <tableColumn id="54" xr3:uid="{68D4522E-642C-4F9C-8B19-E8B91DB669E4}" uniqueName="54" name="TOD" queryTableFieldId="57" dataDxfId="623"/>
    <tableColumn id="2" xr3:uid="{8D9E0F70-1346-4113-8977-93A5E30EFC2D}" uniqueName="2" name="Start of Hour" queryTableFieldId="2" dataDxfId="622"/>
    <tableColumn id="3" xr3:uid="{B3FAB0AF-3E56-4961-AB13-7525264E4D7D}" uniqueName="3" name="INC_TIME" queryTableFieldId="3" dataDxfId="621"/>
    <tableColumn id="4" xr3:uid="{CA148942-3F6E-469F-B3BD-0A6F747BAC1B}" uniqueName="4" name="Day Name" queryTableFieldId="4" dataDxfId="620"/>
    <tableColumn id="5" xr3:uid="{E4EA3C2D-621C-447E-BAB8-2423CABD3B94}" uniqueName="5" name="Month Name" queryTableFieldId="5" dataDxfId="619"/>
    <tableColumn id="47" xr3:uid="{814D4605-8093-45F5-8D78-E60996FC14ED}" uniqueName="47" name="BLOCK" queryTableFieldId="47" dataDxfId="618"/>
    <tableColumn id="7" xr3:uid="{D09BB27C-B738-4903-A27E-68F458EB8E59}" uniqueName="7" name="Location" queryTableFieldId="7" dataDxfId="617"/>
    <tableColumn id="9" xr3:uid="{A17D7FA9-684E-426F-A7D0-8A0E15608037}" uniqueName="9" name="ALL_INCIDENTS" queryTableFieldId="9" dataDxfId="616"/>
    <tableColumn id="8" xr3:uid="{0BFC020F-BAFC-4DC0-9872-417BCDE3B939}" uniqueName="8" name="Incident Type_1" queryTableFieldId="8" dataDxfId="615"/>
    <tableColumn id="10" xr3:uid="{71C7C73E-8083-4B03-B225-95C21866A4ED}" uniqueName="10" name="Incident Type_2" queryTableFieldId="10" dataDxfId="614"/>
    <tableColumn id="11" xr3:uid="{21630D2C-C346-434C-AE15-2EEF69DBE8E0}" uniqueName="11" name="Incident Type_3" queryTableFieldId="11" dataDxfId="613"/>
    <tableColumn id="12" xr3:uid="{1949663D-3FB0-4810-98E3-CDDF6EE60B42}" uniqueName="12" name="FullAddress" queryTableFieldId="12" dataDxfId="612"/>
    <tableColumn id="13" xr3:uid="{1D46F593-A691-4E30-91FF-4D7F956CF5E9}" uniqueName="13" name="Grid" queryTableFieldId="13" dataDxfId="611"/>
    <tableColumn id="14" xr3:uid="{75B23C7E-D288-409D-B298-6C2AC71254A5}" uniqueName="14" name="Zone" queryTableFieldId="14" dataDxfId="610"/>
    <tableColumn id="15" xr3:uid="{7844AE2F-8BA2-4DAF-BA9F-0B962A4C2BC2}" uniqueName="15" name="Narrative" queryTableFieldId="15" dataDxfId="609"/>
    <tableColumn id="16" xr3:uid="{13DA8775-BB2E-4C3D-B04B-698ABCFD00E0}" uniqueName="16" name="Total Value Stolen" queryTableFieldId="16" dataDxfId="608"/>
    <tableColumn id="17" xr3:uid="{93A79F59-2887-4486-A6E7-A993B9B7BDCA}" uniqueName="17" name="Total Value Recover" queryTableFieldId="17" dataDxfId="607"/>
    <tableColumn id="18" xr3:uid="{0682A0B6-6670-4C4D-B552-6DCC6C617B20}" uniqueName="18" name="Registration 1" queryTableFieldId="18" dataDxfId="606"/>
    <tableColumn id="19" xr3:uid="{8AF4413B-2839-4D89-A31D-7483171CDAD4}" uniqueName="19" name="Make1" queryTableFieldId="19" dataDxfId="605"/>
    <tableColumn id="20" xr3:uid="{8AE8FAD6-2206-43F7-B5E7-CF64B91959B5}" uniqueName="20" name="Model1" queryTableFieldId="20" dataDxfId="604"/>
    <tableColumn id="21" xr3:uid="{74E1142C-03CF-4680-ADA7-D3F87741B5BA}" uniqueName="21" name="Reg State 1" queryTableFieldId="21" dataDxfId="603"/>
    <tableColumn id="22" xr3:uid="{AAF1BE72-2E81-428C-8F4C-E6BE6AA4C83E}" uniqueName="22" name="Registration 2" queryTableFieldId="22" dataDxfId="602"/>
    <tableColumn id="23" xr3:uid="{F9F84BC3-99EF-4096-9D38-212AC49B9CC1}" uniqueName="23" name="Reg State 2" queryTableFieldId="23" dataDxfId="601"/>
    <tableColumn id="24" xr3:uid="{F7A40287-2B8C-4DF2-9323-2985D8B34071}" uniqueName="24" name="Make2" queryTableFieldId="24" dataDxfId="600"/>
    <tableColumn id="25" xr3:uid="{1E6E5D55-3AF3-49D6-B6A9-2F70E9DE0CFC}" uniqueName="25" name="Model2" queryTableFieldId="25" dataDxfId="599"/>
    <tableColumn id="26" xr3:uid="{97DDD738-D060-4060-91A5-AB2F9782D22B}" uniqueName="26" name="Reviewed By" queryTableFieldId="26" dataDxfId="598"/>
    <tableColumn id="27" xr3:uid="{CE36F7A5-0CC2-4F6A-A48F-A026D612D269}" uniqueName="27" name="CompleteCalc" queryTableFieldId="27" dataDxfId="597"/>
    <tableColumn id="28" xr3:uid="{CC2AB227-D340-4144-908C-1A00C81596B4}" uniqueName="28" name="Officer of Record" queryTableFieldId="28" dataDxfId="596"/>
    <tableColumn id="29" xr3:uid="{469570DE-F497-4275-BD15-101564149F63}" uniqueName="29" name="Squad" queryTableFieldId="29" dataDxfId="595"/>
    <tableColumn id="30" xr3:uid="{AC035AE3-9F3F-4F92-98F2-B999DA9BB775}" uniqueName="30" name="Det_Assigned" queryTableFieldId="30" dataDxfId="594"/>
    <tableColumn id="31" xr3:uid="{8A8B2799-2A38-4C2B-BE09-B73546C116E2}" uniqueName="31" name="Case_Status" queryTableFieldId="31" dataDxfId="593"/>
    <tableColumn id="32" xr3:uid="{3AE7FA64-DB16-4A13-A58D-58EAE6C0FF79}" uniqueName="32" name="NIBRS Classification" queryTableFieldId="32" dataDxfId="592"/>
    <tableColumn id="33" xr3:uid="{D0AD3108-1B2A-44F3-BBB8-81B49ADFFABD}" uniqueName="33" name="CASE_NUMBER_LENGTH" queryTableFieldId="33" dataDxfId="591"/>
    <tableColumn id="34" xr3:uid="{513A4BBD-0CD1-463A-83F4-3E4C26270225}" uniqueName="34" name="Incident Date" queryTableFieldId="34" dataDxfId="590"/>
    <tableColumn id="35" xr3:uid="{4D282A22-8AE9-442D-A050-5E938438CE02}" uniqueName="35" name="Incident Time" queryTableFieldId="35" dataDxfId="589"/>
    <tableColumn id="36" xr3:uid="{6726503D-DAAF-497D-AB7F-7FAE89FC6086}" uniqueName="36" name="Incident Date_Between" queryTableFieldId="36" dataDxfId="588"/>
    <tableColumn id="37" xr3:uid="{130F4AB9-5B66-4C12-BECF-8247DFA16561}" uniqueName="37" name="Incident Time_Between" queryTableFieldId="37" dataDxfId="587"/>
    <tableColumn id="38" xr3:uid="{1FB19AB5-9847-4FAB-B848-DF0DAEF4711E}" uniqueName="38" name="Report Date" queryTableFieldId="38" dataDxfId="586"/>
    <tableColumn id="39" xr3:uid="{69D79C85-395C-40A6-A279-011931533C6B}" uniqueName="39" name="Report Time" queryTableFieldId="39" dataDxfId="585"/>
    <tableColumn id="40" xr3:uid="{BAD12639-B39C-4117-8AC2-4E14F7FD07C0}" uniqueName="40" name="Year" queryTableFieldId="40" dataDxfId="584"/>
    <tableColumn id="41" xr3:uid="{06AAF14B-6C83-4C19-A01F-EBD46C53E3B3}" uniqueName="41" name="Week of Year" queryTableFieldId="41" dataDxfId="583"/>
    <tableColumn id="42" xr3:uid="{B02DCF2B-6EC4-441D-86C6-567ACF4F1A4F}" uniqueName="42" name="Week of Month" queryTableFieldId="42" dataDxfId="582"/>
    <tableColumn id="43" xr3:uid="{37A6B7A3-6E86-478B-9F92-E62203FE1710}" uniqueName="43" name="Day" queryTableFieldId="43" dataDxfId="581"/>
    <tableColumn id="44" xr3:uid="{69F3F87E-5D9B-4D96-88A6-E2E1534540F9}" uniqueName="44" name="Day of Year" queryTableFieldId="44" dataDxfId="580"/>
    <tableColumn id="45" xr3:uid="{80523FFF-C072-4CA6-A30B-D040784BC180}" uniqueName="45" name="INC_DATE_AND_TIME" queryTableFieldId="45" dataDxfId="579"/>
    <tableColumn id="46" xr3:uid="{2D3BDBE5-8CDC-4CA8-B03F-C336A45AE83E}" uniqueName="46" name="St#" queryTableFieldId="46" dataDxfId="578"/>
    <tableColumn id="49" xr3:uid="{9EDA1613-3E7B-481B-A13B-6E018838065F}" uniqueName="49" name="Notes" queryTableFieldId="108"/>
    <tableColumn id="50" xr3:uid="{B68FDF78-77F7-4606-B378-226C255935B1}" uniqueName="50" name="VEHICLE" queryTableFieldId="50" dataDxfId="577"/>
    <tableColumn id="51" xr3:uid="{76F7FDF4-841B-4146-ACB6-029031989A1A}" uniqueName="51" name="Suspect" queryTableFieldId="51" dataDxfId="576"/>
    <tableColumn id="52" xr3:uid="{526549FB-A153-46C6-9BFA-2D93C7D20A48}" uniqueName="52" name="TOTAL_STOLEN_AMOUNT" queryTableFieldId="52" dataDxfId="575"/>
    <tableColumn id="53" xr3:uid="{D30FDD77-F23D-4CE7-A940-AAE90C28AAC3}" uniqueName="53" name="REPORT_CYCLE" queryTableFieldId="53" dataDxfId="574"/>
    <tableColumn id="48" xr3:uid="{98A2612F-0368-4891-BD1A-2BAB58A23118}" uniqueName="48" name="TIME_OF_DAY" queryTableFieldId="48" dataDxfId="573"/>
  </tableColumns>
  <tableStyleInfo name="TableStyleLight19 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D57BBC7A-280E-4099-AA6F-27F719BF1A08}" name="Bur_C_R_7D" displayName="Bur_C_R_7D" ref="A1:M3" tableType="queryTable" totalsRowShown="0" headerRowDxfId="572" dataDxfId="571">
  <autoFilter ref="A1:M3" xr:uid="{D57BBC7A-280E-4099-AA6F-27F719BF1A08}"/>
  <tableColumns count="13">
    <tableColumn id="1" xr3:uid="{35BCBE54-4ACB-42C2-BB07-2BE6AA66764A}" uniqueName="1" name="Block" queryTableFieldId="1" dataDxfId="570"/>
    <tableColumn id="2" xr3:uid="{1B98F914-98A9-4FC3-B5AF-6501EEA206AC}" uniqueName="2" name="Incident Date" queryTableFieldId="2" dataDxfId="569"/>
    <tableColumn id="3" xr3:uid="{DDE70FF3-CB2E-4831-AC12-F73DD7EA6611}" uniqueName="3" name="Day of Week" queryTableFieldId="3" dataDxfId="568"/>
    <tableColumn id="4" xr3:uid="{F9A0C0C4-08A2-46AF-9114-3B19651E7BCF}" uniqueName="4" name="Time of Day" queryTableFieldId="4" dataDxfId="567"/>
    <tableColumn id="5" xr3:uid="{3CB12032-84FA-4501-A1AC-88CD0CEA1CDD}" uniqueName="5" name="Suspect" queryTableFieldId="5" dataDxfId="566"/>
    <tableColumn id="6" xr3:uid="{730606B2-AEA3-4B44-8901-D23E9933459D}" uniqueName="6" name="Involved Vehicle" queryTableFieldId="6" dataDxfId="565"/>
    <tableColumn id="7" xr3:uid="{C5AC1087-99BD-4372-AF51-B5FE3D1A7696}" uniqueName="7" name="Method of Entry" queryTableFieldId="7" dataDxfId="564"/>
    <tableColumn id="8" xr3:uid="{84649AEA-B3EE-4D0B-AB77-32BD4810C3C0}" uniqueName="8" name="Point of Entry" queryTableFieldId="8" dataDxfId="563"/>
    <tableColumn id="9" xr3:uid="{6D74D020-5A87-44B2-A0E2-2B1E8B954F1B}" uniqueName="9" name="Point of Exit" queryTableFieldId="9" dataDxfId="562"/>
    <tableColumn id="10" xr3:uid="{4317A96E-B6F7-42FF-B5AC-7A918DD3EBD6}" uniqueName="10" name="Type of Structure" queryTableFieldId="10" dataDxfId="561"/>
    <tableColumn id="11" xr3:uid="{23C60155-B048-4CC3-B3D6-821E667CE0AE}" uniqueName="11" name="Property Stolen" queryTableFieldId="11" dataDxfId="560"/>
    <tableColumn id="12" xr3:uid="{59902CBA-A200-46FD-86A6-7FCD25540E0D}" uniqueName="12" name="Security Measures Present" queryTableFieldId="12" dataDxfId="559"/>
    <tableColumn id="13" xr3:uid="{EBC8130C-1FC4-42B9-AA46-E3CACF90D451}" uniqueName="13" name="Notes" queryTableFieldId="13" dataDxfId="558"/>
  </tableColumns>
  <tableStyleInfo name="TableStyleLight15 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9C1F8F90-81B4-474B-A780-E87CE39EE8F6}" name="Bur_C_R_28D" displayName="Bur_C_R_28D" ref="A1:M7" tableType="queryTable" totalsRowShown="0" headerRowDxfId="557" dataDxfId="556">
  <autoFilter ref="A1:M7" xr:uid="{9C1F8F90-81B4-474B-A780-E87CE39EE8F6}"/>
  <tableColumns count="13">
    <tableColumn id="1" xr3:uid="{353914BB-DE81-481F-A99D-70829510932D}" uniqueName="1" name="Block" queryTableFieldId="1" dataDxfId="555"/>
    <tableColumn id="2" xr3:uid="{B3CEBE3C-CFB7-4A4C-AF49-31DEDF05AF7A}" uniqueName="2" name="Incident Date" queryTableFieldId="2" dataDxfId="554"/>
    <tableColumn id="3" xr3:uid="{12CDC25E-7BDA-4920-B44E-6094ACBCC32B}" uniqueName="3" name="Day of Week" queryTableFieldId="3" dataDxfId="553"/>
    <tableColumn id="4" xr3:uid="{D444BC2F-9E02-4605-8ED6-6FF6F7507AB1}" uniqueName="4" name="Time of Day" queryTableFieldId="4" dataDxfId="552"/>
    <tableColumn id="5" xr3:uid="{B821814E-9FF0-4341-996D-B1D01C7D8C60}" uniqueName="5" name="Suspect" queryTableFieldId="5" dataDxfId="551"/>
    <tableColumn id="6" xr3:uid="{54368473-9BD1-4957-8A80-14BE0B5E0C36}" uniqueName="6" name="Involved Vehicle" queryTableFieldId="6" dataDxfId="550"/>
    <tableColumn id="7" xr3:uid="{B7C80BAD-00E5-4867-BCE9-7FF96E220317}" uniqueName="7" name="Method of Entry" queryTableFieldId="7" dataDxfId="549"/>
    <tableColumn id="8" xr3:uid="{5C4EA840-6E3F-4ADF-A60E-61AB3361D172}" uniqueName="8" name="Point of Entry" queryTableFieldId="8" dataDxfId="548"/>
    <tableColumn id="9" xr3:uid="{32922EF1-051C-4D76-805B-0DBF76571F7D}" uniqueName="9" name="Point of Exit" queryTableFieldId="9" dataDxfId="547"/>
    <tableColumn id="10" xr3:uid="{1E50403E-9209-43CC-8998-4449287D8A16}" uniqueName="10" name="Type of Structure" queryTableFieldId="10" dataDxfId="546"/>
    <tableColumn id="11" xr3:uid="{C021A4E7-2521-411A-8180-1D987B086929}" uniqueName="11" name="Property Stolen" queryTableFieldId="11" dataDxfId="545"/>
    <tableColumn id="12" xr3:uid="{83AF1D75-C6B2-44FF-810C-3203BFB23BD5}" uniqueName="12" name="Security Measures Present" queryTableFieldId="12" dataDxfId="544"/>
    <tableColumn id="13" xr3:uid="{9ED1A2FC-E217-438C-8AAF-D85D0D2BDE6D}" uniqueName="13" name="Notes" queryTableFieldId="13" dataDxfId="543"/>
  </tableColumns>
  <tableStyleInfo name="TableStyleLight15 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9" xr:uid="{0CD1384B-A78D-4D22-BF57-57527D4538F7}" name="Bur_C_R50" displayName="Bur_C_R50" ref="M1:BN11" totalsRowShown="0" headerRowDxfId="496" dataDxfId="495">
  <autoFilter ref="M1:BN11" xr:uid="{0CD1384B-A78D-4D22-BF57-57527D4538F7}"/>
  <tableColumns count="54">
    <tableColumn id="1" xr3:uid="{8DBFF80D-CDA3-4C7D-AFE4-25A7FA949C0B}" name="Case Number" dataDxfId="494"/>
    <tableColumn id="2" xr3:uid="{4B32C307-04B2-4E06-879B-1C47990EA447}" name="INC_DATE" dataDxfId="493"/>
    <tableColumn id="3" xr3:uid="{CCF5552A-3101-409C-A2CC-C594719C0C08}" name="TOD"/>
    <tableColumn id="4" xr3:uid="{52CEF72F-8DCC-4716-B0D5-FD829FE089F0}" name="Start of Hour" dataDxfId="492"/>
    <tableColumn id="5" xr3:uid="{B5BBE312-A7A7-4128-A0FF-7C93D3392031}" name="INC_TIME" dataDxfId="491"/>
    <tableColumn id="6" xr3:uid="{8FDC614B-9734-4F3C-BDEE-32628643507F}" name="Day Name"/>
    <tableColumn id="7" xr3:uid="{8DD8AAA6-626D-4F8A-BFE4-1F82FD5910B0}" name="Month Name"/>
    <tableColumn id="8" xr3:uid="{CDD352D5-7E11-43C1-845D-17992AD9660D}" name="BLOCK"/>
    <tableColumn id="9" xr3:uid="{A02FD012-D329-4E11-BFBA-1A87102F8B0F}" name="Location"/>
    <tableColumn id="10" xr3:uid="{01DB759B-82E5-4732-A377-079EB612A673}" name="ALL_INCIDENTS"/>
    <tableColumn id="11" xr3:uid="{F7F1E8E6-7715-433A-96FA-F6F739EEE905}" name="Incident Type_1" dataDxfId="490"/>
    <tableColumn id="12" xr3:uid="{1E716A9F-A0A5-460A-B0DF-1B111A11665F}" name="Incident Type_2" dataDxfId="489"/>
    <tableColumn id="13" xr3:uid="{313D146B-E0C1-4017-BB83-19CC998A33D9}" name="Incident Type_3" dataDxfId="488"/>
    <tableColumn id="14" xr3:uid="{2DC8E3D3-788F-43B8-AE69-2ACA178F2A0F}" name="FullAddress" dataDxfId="487"/>
    <tableColumn id="47" xr3:uid="{68B5AC45-3887-4434-A52D-46D8A7638E59}" name="Grid" dataDxfId="486"/>
    <tableColumn id="54" xr3:uid="{EF527E54-F354-46AE-8575-50C41228F173}" name="Zone"/>
    <tableColumn id="15" xr3:uid="{ABD40984-83CE-4CB0-A5D8-EB6ACB59F210}" name="Narrative" dataDxfId="485"/>
    <tableColumn id="16" xr3:uid="{38AE268A-E478-4035-998A-80465ACA29B7}" name="Total Value Stolen" dataDxfId="484"/>
    <tableColumn id="17" xr3:uid="{9AA31042-4C8A-417A-8BCC-B20C2AC6E42C}" name="Total Value Recover" dataDxfId="483"/>
    <tableColumn id="18" xr3:uid="{5C70B1F7-2EC4-4E4C-8740-3E96795DF8B1}" name="Registration 1" dataDxfId="482"/>
    <tableColumn id="19" xr3:uid="{06376A9B-1CF9-430C-A35F-AA069A6AA6C1}" name="Make1" dataDxfId="481"/>
    <tableColumn id="20" xr3:uid="{99421096-9242-4098-8FCD-C26C9FD574CD}" name="Model1" dataDxfId="480"/>
    <tableColumn id="21" xr3:uid="{331137EF-4C13-4DDC-B80D-D98644B30E12}" name="Reg State 1" dataDxfId="479"/>
    <tableColumn id="22" xr3:uid="{2BC76BE6-D952-4844-9566-C8F8CA75A344}" name="Registration 2" dataDxfId="478"/>
    <tableColumn id="23" xr3:uid="{BC00D1E6-5798-4D3C-B256-1EC44782A776}" name="Reg State 2" dataDxfId="477"/>
    <tableColumn id="24" xr3:uid="{8336147A-DCE5-4596-A1FF-FD55C43DC5FD}" name="Make2" dataDxfId="476"/>
    <tableColumn id="25" xr3:uid="{8B591E20-AFE1-4590-A3DD-8861C4C76BBA}" name="Model2" dataDxfId="475"/>
    <tableColumn id="26" xr3:uid="{917BD22A-1A91-40C1-9350-139744ECF24E}" name="Reviewed By" dataDxfId="474"/>
    <tableColumn id="27" xr3:uid="{8943FF1F-0B49-4252-AC6A-30B17CAF51E8}" name="CompleteCalc" dataDxfId="473"/>
    <tableColumn id="28" xr3:uid="{FCB4ABCF-9B7F-494A-A132-87CD59849845}" name="Officer of Record" dataDxfId="472"/>
    <tableColumn id="29" xr3:uid="{51679C79-217D-43C7-8E77-A252FA0185F3}" name="Squad" dataDxfId="471"/>
    <tableColumn id="30" xr3:uid="{5387C2E1-5463-4E1C-9742-15D9035EC8ED}" name="Det_Assigned" dataDxfId="470"/>
    <tableColumn id="31" xr3:uid="{E7153E2D-F428-4051-9826-59761DC427AA}" name="Case_Status" dataDxfId="469"/>
    <tableColumn id="32" xr3:uid="{CD2BAF2F-1A1B-49DC-8BC9-87C1FEDF9130}" name="NIBRS Classification" dataDxfId="468"/>
    <tableColumn id="33" xr3:uid="{1E1CA433-54D2-4A4F-A7D7-6AC1E3B21E32}" name="CASE_NUMBER_LENGTH" dataDxfId="467"/>
    <tableColumn id="34" xr3:uid="{8CC3CDA9-58F3-4615-B536-288F40633174}" name="Incident Date" dataDxfId="466"/>
    <tableColumn id="35" xr3:uid="{FD2B7F2D-B418-4E3B-A557-CA5398F4AC12}" name="Incident Time" dataDxfId="465"/>
    <tableColumn id="36" xr3:uid="{BF36C18E-15FE-4A62-8C3E-CCF246CFCD10}" name="Incident Date_Between" dataDxfId="464"/>
    <tableColumn id="37" xr3:uid="{6EE80A5B-99D0-44C0-829A-9534D2520FC9}" name="Incident Time_Between" dataDxfId="463"/>
    <tableColumn id="38" xr3:uid="{D64E25F8-19E5-4E37-87C2-05A9A8469D28}" name="Report Date" dataDxfId="462"/>
    <tableColumn id="39" xr3:uid="{A179B8AD-FD56-4C02-A308-C2332AD2778E}" name="Report Time" dataDxfId="461"/>
    <tableColumn id="40" xr3:uid="{DDB04E3D-06C9-440D-89ED-D617DF343DF3}" name="Year" dataDxfId="460"/>
    <tableColumn id="41" xr3:uid="{AC5909CE-A646-441A-BBC3-BF6792B94BA5}" name="Week of Year" dataDxfId="459"/>
    <tableColumn id="42" xr3:uid="{EDD8C9F0-0663-4A97-BD40-C66FB4F4088D}" name="Week of Month" dataDxfId="458"/>
    <tableColumn id="43" xr3:uid="{CD74AE42-0764-4E41-A6A6-13F76DD8434A}" name="Day" dataDxfId="457"/>
    <tableColumn id="44" xr3:uid="{484AE78D-1C83-4F29-BAC9-5CB3211FAF60}" name="Day of Year" dataDxfId="456"/>
    <tableColumn id="45" xr3:uid="{65FB300B-DB45-4A1C-BD01-4C93BBC4CC5E}" name="INC_DATE_AND_TIME" dataDxfId="455"/>
    <tableColumn id="46" xr3:uid="{07CB8E68-106E-4105-91A7-1DF1FBCEECF0}" name="St#" dataDxfId="454"/>
    <tableColumn id="49" xr3:uid="{3CCCD671-FD9B-4A69-952F-3CD5F70038EF}" name="Notes"/>
    <tableColumn id="50" xr3:uid="{9CD9617D-EAB7-4438-980F-EE64B74254B7}" name="VEHICLE" dataDxfId="453"/>
    <tableColumn id="51" xr3:uid="{3F2DD14E-E4E0-48BD-AAFC-5C72983BF6E9}" name="Suspect" dataDxfId="452"/>
    <tableColumn id="52" xr3:uid="{F63BDAC3-68F7-4E8C-8C72-8298FD2096C2}" name="TOTAL_STOLEN_AMOUNT" dataDxfId="451"/>
    <tableColumn id="53" xr3:uid="{D7C6EC5E-2C28-409D-BBB5-BF00DE5841CE}" name="REPORT_CYCLE" dataDxfId="450"/>
    <tableColumn id="48" xr3:uid="{956E24E5-8802-4C79-8C12-49C651855486}" name="TIME_OF_DAY" dataDxfId="449"/>
  </tableColumns>
  <tableStyleInfo name="TableStyleLight19 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718F869A-197A-4B64-9E4D-EC0C13C5F163}" name="MV_Theft" displayName="MV_Theft" ref="A1:BC15" tableType="queryTable" totalsRowShown="0" headerRowDxfId="448" dataDxfId="447">
  <autoFilter ref="A1:BC15" xr:uid="{718F869A-197A-4B64-9E4D-EC0C13C5F163}"/>
  <tableColumns count="55">
    <tableColumn id="1" xr3:uid="{68F19ACD-8591-43B8-86C4-C1750AC92E5A}" uniqueName="1" name="Case Number" queryTableFieldId="1" dataDxfId="446"/>
    <tableColumn id="6" xr3:uid="{B9D07CAD-BB49-4E7F-BD6E-14F2BAC25C7A}" uniqueName="6" name="INC_DATE" queryTableFieldId="6" dataDxfId="445"/>
    <tableColumn id="54" xr3:uid="{FE985AB7-8798-4C12-93F6-ACAADF5DC6DE}" uniqueName="54" name="TOD" queryTableFieldId="57" dataDxfId="444"/>
    <tableColumn id="2" xr3:uid="{4E87DBA6-F157-42EC-A3AB-D5803DFFAF0A}" uniqueName="2" name="Start of Hour" queryTableFieldId="2" dataDxfId="443"/>
    <tableColumn id="3" xr3:uid="{36CE75EC-25A1-44E7-BF97-7FA63DF913C1}" uniqueName="3" name="INC_TIME" queryTableFieldId="3" dataDxfId="442"/>
    <tableColumn id="4" xr3:uid="{1AE878EB-84B7-464F-A299-399796BB92B6}" uniqueName="4" name="Day Name" queryTableFieldId="4" dataDxfId="441"/>
    <tableColumn id="5" xr3:uid="{AC360330-DB55-4C2C-8A52-06AC5226E556}" uniqueName="5" name="Month Name" queryTableFieldId="5" dataDxfId="440"/>
    <tableColumn id="47" xr3:uid="{750965E7-EEE6-484A-B193-C12F5C896E71}" uniqueName="47" name="BLOCK" queryTableFieldId="47" dataDxfId="439"/>
    <tableColumn id="7" xr3:uid="{83CE3D3B-BAA3-4FD3-BE57-E096F383789B}" uniqueName="7" name="Location" queryTableFieldId="7" dataDxfId="438"/>
    <tableColumn id="9" xr3:uid="{340C6EAD-61C5-4A24-A4A5-44F546EAF403}" uniqueName="9" name="ALL_INCIDENTS" queryTableFieldId="9" dataDxfId="437"/>
    <tableColumn id="8" xr3:uid="{472008AF-A9FA-4AFD-A871-771A10F623A4}" uniqueName="8" name="Incident Type_1" queryTableFieldId="8" dataDxfId="436"/>
    <tableColumn id="10" xr3:uid="{8063488B-57CB-4D58-A6E8-CBA2329E2355}" uniqueName="10" name="Incident Type_2" queryTableFieldId="10" dataDxfId="435"/>
    <tableColumn id="11" xr3:uid="{AD5A3834-6D79-4810-BFAD-6E1C0B607325}" uniqueName="11" name="Incident Type_3" queryTableFieldId="11" dataDxfId="434"/>
    <tableColumn id="12" xr3:uid="{04B9C486-97BA-4C82-BE3C-F807D2EEE0BE}" uniqueName="12" name="FullAddress" queryTableFieldId="12" dataDxfId="433"/>
    <tableColumn id="13" xr3:uid="{AF817964-DC6E-4957-9ADB-3E8AA9A64BE0}" uniqueName="13" name="Grid" queryTableFieldId="13" dataDxfId="432"/>
    <tableColumn id="14" xr3:uid="{73B897D9-09D6-4BE7-9A05-68DFFAB3014E}" uniqueName="14" name="Zone" queryTableFieldId="14" dataDxfId="431"/>
    <tableColumn id="15" xr3:uid="{A034AA57-73FD-41D9-AF57-F9DA1FF1F62D}" uniqueName="15" name="Narrative" queryTableFieldId="15" dataDxfId="430"/>
    <tableColumn id="16" xr3:uid="{4C296E01-9404-4292-A2CB-C49F13A59B78}" uniqueName="16" name="Total Value Stolen" queryTableFieldId="16" dataDxfId="429"/>
    <tableColumn id="17" xr3:uid="{CC394FAC-5582-4117-8693-95A9DFC01E81}" uniqueName="17" name="Total Value Recover" queryTableFieldId="17" dataDxfId="428"/>
    <tableColumn id="18" xr3:uid="{3BEEFE52-969B-4DEE-A9EB-62D22EBA6DB5}" uniqueName="18" name="Registration 1" queryTableFieldId="18" dataDxfId="427"/>
    <tableColumn id="19" xr3:uid="{E1508B58-E538-444B-BC20-487BC015CDA1}" uniqueName="19" name="Make1" queryTableFieldId="19" dataDxfId="426"/>
    <tableColumn id="20" xr3:uid="{524F554A-4C46-4EC6-A378-C497D5DF1A0A}" uniqueName="20" name="Model1" queryTableFieldId="20" dataDxfId="425"/>
    <tableColumn id="21" xr3:uid="{67F5E8BB-0319-4DA3-BE91-03A6FF527DB8}" uniqueName="21" name="Reg State 1" queryTableFieldId="21" dataDxfId="424"/>
    <tableColumn id="22" xr3:uid="{C22FCF13-98DC-4083-B129-4BCCE99EAD0A}" uniqueName="22" name="Registration 2" queryTableFieldId="22" dataDxfId="423"/>
    <tableColumn id="23" xr3:uid="{17277D70-AA2B-4F33-8877-A0553AC64313}" uniqueName="23" name="Reg State 2" queryTableFieldId="23" dataDxfId="422"/>
    <tableColumn id="24" xr3:uid="{650C50C8-D50E-44A3-BA85-FCC5C0E35C00}" uniqueName="24" name="Make2" queryTableFieldId="24" dataDxfId="421"/>
    <tableColumn id="25" xr3:uid="{67C3106F-1DFC-418F-A9FE-42564160C77D}" uniqueName="25" name="Model2" queryTableFieldId="25" dataDxfId="420"/>
    <tableColumn id="26" xr3:uid="{D3A075A8-F186-447E-8D7C-DFA109CA0D85}" uniqueName="26" name="Reviewed By" queryTableFieldId="26" dataDxfId="419"/>
    <tableColumn id="27" xr3:uid="{CCB6BE88-E62B-4428-ADDD-66C5BC7CC24B}" uniqueName="27" name="CompleteCalc" queryTableFieldId="27" dataDxfId="418"/>
    <tableColumn id="28" xr3:uid="{BD3D2995-8E9D-451B-BD84-99C30739F762}" uniqueName="28" name="Officer of Record" queryTableFieldId="28" dataDxfId="417"/>
    <tableColumn id="29" xr3:uid="{9134B2C3-FD73-4162-9487-543B92E8F94F}" uniqueName="29" name="Squad" queryTableFieldId="29" dataDxfId="416"/>
    <tableColumn id="30" xr3:uid="{9FC5793D-EA56-44D6-B1DE-A5CF4968D1FD}" uniqueName="30" name="Det_Assigned" queryTableFieldId="30" dataDxfId="415"/>
    <tableColumn id="31" xr3:uid="{320921C8-E54A-4532-A87C-CA0FE97DFC90}" uniqueName="31" name="Case_Status" queryTableFieldId="31" dataDxfId="414"/>
    <tableColumn id="32" xr3:uid="{FF8304FE-D456-4BCB-B892-252480C4B481}" uniqueName="32" name="NIBRS Classification" queryTableFieldId="32" dataDxfId="413"/>
    <tableColumn id="33" xr3:uid="{9FE9CE43-995A-44E0-98C0-9A2FA9ECCE09}" uniqueName="33" name="CASE_NUMBER_LENGTH" queryTableFieldId="33" dataDxfId="412"/>
    <tableColumn id="34" xr3:uid="{AC087898-A5D3-43DD-99FC-61DB4A4C4766}" uniqueName="34" name="Incident Date" queryTableFieldId="34" dataDxfId="411"/>
    <tableColumn id="35" xr3:uid="{25D7DA37-36B5-45DB-98ED-D6221AECFD26}" uniqueName="35" name="Incident Time" queryTableFieldId="35" dataDxfId="410"/>
    <tableColumn id="36" xr3:uid="{5840A410-83F8-4C54-A3DB-F7E50A1070C8}" uniqueName="36" name="Incident Date_Between" queryTableFieldId="36" dataDxfId="409"/>
    <tableColumn id="37" xr3:uid="{3BF704D2-B8FE-4E85-AA94-86239A9A9DCA}" uniqueName="37" name="Incident Time_Between" queryTableFieldId="37" dataDxfId="408"/>
    <tableColumn id="38" xr3:uid="{A8B124E7-D790-4422-87C8-CAA317EEEF5A}" uniqueName="38" name="Report Date" queryTableFieldId="38" dataDxfId="407"/>
    <tableColumn id="39" xr3:uid="{83D241A6-1759-44B4-AED7-FA87465B64B5}" uniqueName="39" name="Report Time" queryTableFieldId="39" dataDxfId="406"/>
    <tableColumn id="40" xr3:uid="{7766AE60-B84F-4DE4-BEC1-D8637C007F5A}" uniqueName="40" name="Year" queryTableFieldId="40" dataDxfId="405"/>
    <tableColumn id="41" xr3:uid="{399A1633-B3B8-4FD1-AF20-1D38A651864F}" uniqueName="41" name="Week of Year" queryTableFieldId="41" dataDxfId="404"/>
    <tableColumn id="42" xr3:uid="{AF887992-8877-4C34-ABFC-FB2FE5A12E6B}" uniqueName="42" name="Week of Month" queryTableFieldId="42" dataDxfId="403"/>
    <tableColumn id="43" xr3:uid="{DCFF5E3A-0776-4CDC-8D35-BE33A6AF7AA3}" uniqueName="43" name="Day" queryTableFieldId="43" dataDxfId="402"/>
    <tableColumn id="44" xr3:uid="{2E9ACF79-0F39-4034-B5BA-3EAD0BFC537A}" uniqueName="44" name="Day of Year" queryTableFieldId="44" dataDxfId="401"/>
    <tableColumn id="45" xr3:uid="{CF35EBCC-36DD-45D2-8462-19321498EA10}" uniqueName="45" name="INC_DATE_AND_TIME" queryTableFieldId="45" dataDxfId="400"/>
    <tableColumn id="46" xr3:uid="{21081BB2-5062-42B7-8CE5-FC135BC51223}" uniqueName="46" name="St#" queryTableFieldId="46" dataDxfId="399"/>
    <tableColumn id="49" xr3:uid="{BE854BD7-B465-4C48-859A-9BB58B3628BE}" uniqueName="49" name="Notes" queryTableFieldId="108"/>
    <tableColumn id="50" xr3:uid="{8EC3E711-DAFA-4CD0-B294-4AB79A7BD385}" uniqueName="50" name="VEHICLE" queryTableFieldId="50" dataDxfId="398"/>
    <tableColumn id="51" xr3:uid="{9ED69E8A-3CD0-4B04-8B9A-403A579EB338}" uniqueName="51" name="Suspect" queryTableFieldId="51" dataDxfId="397"/>
    <tableColumn id="52" xr3:uid="{F8D0F7BD-F6D5-4D67-A017-A9103EE66490}" uniqueName="52" name="TOTAL_STOLEN_AMOUNT" queryTableFieldId="52" dataDxfId="396"/>
    <tableColumn id="53" xr3:uid="{0B6D52A5-9862-451D-AB3C-0D9E6CDB24F5}" uniqueName="53" name="REPORT_CYCLE" queryTableFieldId="53" dataDxfId="395"/>
    <tableColumn id="48" xr3:uid="{AEA630BB-6CF2-4C1D-9E61-781260C5B6F3}" uniqueName="48" name="TIME_OF_DAY" queryTableFieldId="48" dataDxfId="394"/>
    <tableColumn id="55" xr3:uid="{E636599F-BF93-4D30-94D3-414B3DA8D88A}" uniqueName="55" name="Case Number - Copy" queryTableFieldId="111" dataDxfId="393"/>
  </tableColumns>
  <tableStyleInfo name="TableStyleLight16 2"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705361F7-3D31-4430-9A99-F6F9C2F5E732}" name="MV_THEFT_7D" displayName="MV_THEFT_7D" ref="A1:L2" tableType="queryTable" insertRow="1" totalsRowShown="0">
  <autoFilter ref="A1:L2" xr:uid="{705361F7-3D31-4430-9A99-F6F9C2F5E732}"/>
  <tableColumns count="12">
    <tableColumn id="1" xr3:uid="{A58ABFB6-7A84-49CA-9685-21B3443EB889}" uniqueName="1" name="Block Incident Occurred On" queryTableFieldId="1"/>
    <tableColumn id="2" xr3:uid="{61377378-4794-46A0-92A5-425F47634183}" uniqueName="2" name="Incident Date" queryTableFieldId="2" dataDxfId="392"/>
    <tableColumn id="3" xr3:uid="{19813640-2ED6-4740-BCCE-2F4AF0911D67}" uniqueName="3" name="Day of Week" queryTableFieldId="3"/>
    <tableColumn id="4" xr3:uid="{328DC77C-9DF3-4CCF-A836-C83BF9263F1A}" uniqueName="4" name="Time of Day Incident Occurred" queryTableFieldId="4"/>
    <tableColumn id="5" xr3:uid="{4DB94B46-666B-4973-82E4-ADC1CEA5022A}" uniqueName="5" name="Victim's Vehicle Description" queryTableFieldId="5"/>
    <tableColumn id="6" xr3:uid="{86C56CA5-045D-46F0-B143-D5725E15E1AC}" uniqueName="6" name="Notes" queryTableFieldId="6"/>
    <tableColumn id="7" xr3:uid="{0838E640-9249-4CFF-9F85-74E60D6D2431}" uniqueName="7" name="Vehicle Was Parked" queryTableFieldId="7"/>
    <tableColumn id="8" xr3:uid="{8178DC66-4917-4372-A50C-F0FAB8D6DF66}" uniqueName="8" name="Entry Method" queryTableFieldId="8"/>
    <tableColumn id="9" xr3:uid="{29A3732B-CF01-43E5-8C55-CD9F6DA13DA6}" uniqueName="9" name="Suspect Description" queryTableFieldId="9"/>
    <tableColumn id="10" xr3:uid="{3B3C8BC5-7800-4EDE-889C-649E69C2AD79}" uniqueName="10" name="Suspect Vehicle Description" queryTableFieldId="10"/>
    <tableColumn id="11" xr3:uid="{28D51C0F-9BF9-4E92-853B-18D8F98603E3}" uniqueName="11" name="Keys with Vehicle" queryTableFieldId="11"/>
    <tableColumn id="12" xr3:uid="{C0F4315D-27E2-4947-B9D4-BF05B5BEDE2D}" uniqueName="12" name="Offense Completed" queryTableFieldId="12"/>
  </tableColumns>
  <tableStyleInfo name="TableStyleMedium7"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A9153EC-4A32-4D88-B985-B166C68288B9}" name="MV_THEFT_28D" displayName="MV_THEFT_28D" ref="A1:L2" tableType="queryTable" totalsRowShown="0">
  <autoFilter ref="A1:L2" xr:uid="{0A9153EC-4A32-4D88-B985-B166C68288B9}"/>
  <tableColumns count="12">
    <tableColumn id="1" xr3:uid="{66DB8253-7BC2-4EC3-B0F0-7F320BF47016}" uniqueName="1" name="Block Incident Occurred On" queryTableFieldId="1"/>
    <tableColumn id="2" xr3:uid="{6C87132E-22D0-44B0-90F7-94D73FF09887}" uniqueName="2" name="Incident Date" queryTableFieldId="2" dataDxfId="391"/>
    <tableColumn id="3" xr3:uid="{D3B6E5EB-BF02-4964-8550-49B83F9D54FD}" uniqueName="3" name="Day of Week" queryTableFieldId="3"/>
    <tableColumn id="4" xr3:uid="{5BBAC9AB-59EA-4F15-B6FF-5D88DBC950F8}" uniqueName="4" name="Time of Day Incident Occurred" queryTableFieldId="4"/>
    <tableColumn id="5" xr3:uid="{53ECB38B-4A6C-4DC2-94F1-DB78C87AED31}" uniqueName="5" name="Victim's Vehicle Description" queryTableFieldId="5"/>
    <tableColumn id="6" xr3:uid="{E8989E99-1747-490F-AC56-6F2621731130}" uniqueName="6" name="Notes" queryTableFieldId="6"/>
    <tableColumn id="7" xr3:uid="{ACB36F80-FD8A-444A-B4D8-41BD09BC9343}" uniqueName="7" name="Vehicle Was Parked" queryTableFieldId="7" dataDxfId="390"/>
    <tableColumn id="8" xr3:uid="{8DC36048-C0D1-4512-AD57-1B4B2122EDBE}" uniqueName="8" name="Entry Method" queryTableFieldId="8" dataDxfId="389"/>
    <tableColumn id="9" xr3:uid="{19349211-4929-4389-A685-30472982E4AD}" uniqueName="9" name="Suspect Description" queryTableFieldId="9" dataDxfId="388"/>
    <tableColumn id="10" xr3:uid="{3E68DEAC-81A6-4536-94E0-1D8B2919B4DB}" uniqueName="10" name="Suspect Vehicle Description" queryTableFieldId="10" dataDxfId="387"/>
    <tableColumn id="11" xr3:uid="{19CDD132-68CE-4FA7-A10B-1AF652F797F3}" uniqueName="11" name="Keys with Vehicle" queryTableFieldId="11" dataDxfId="386"/>
    <tableColumn id="12" xr3:uid="{63122123-9E16-48F4-B1C9-2AB875925F9C}" uniqueName="12" name="Offense Completed" queryTableFieldId="12" dataDxfId="385"/>
  </tableColumns>
  <tableStyleInfo name="TableStyleMedium7"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28836C0E-E0E7-43BF-B8C0-549158AC5B64}" name="REPORT_MV_THEFT_7DAY" displayName="REPORT_MV_THEFT_7DAY" ref="N1:Y2" totalsRowShown="0" headerRowDxfId="354" dataDxfId="353">
  <autoFilter ref="N1:Y2" xr:uid="{28836C0E-E0E7-43BF-B8C0-549158AC5B64}">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autoFilter>
  <tableColumns count="12">
    <tableColumn id="1" xr3:uid="{F8C724B5-ABCC-4544-B1D2-314C0DCC6173}" name="Block Incident Occurred On" dataDxfId="352"/>
    <tableColumn id="2" xr3:uid="{FCBD60E4-FDA1-4C22-8114-B3A4638A5053}" name="Incident Date" dataDxfId="351"/>
    <tableColumn id="4" xr3:uid="{83072423-3F56-437A-8B53-A0B62F7E5CEC}" name="Day of Week" dataDxfId="350"/>
    <tableColumn id="5" xr3:uid="{991BB020-FA7B-4F57-8C59-E64F9D441DD8}" name="Time of Day Incident Occurred" dataDxfId="349"/>
    <tableColumn id="6" xr3:uid="{A966EB65-EBE2-40AD-9716-557EE330186F}" name="Victim's Vehicle Description" dataDxfId="348"/>
    <tableColumn id="7" xr3:uid="{55C176C1-15FC-4193-B73E-3EB2C43EED65}" name="Vehicle Was Parked" dataDxfId="347"/>
    <tableColumn id="8" xr3:uid="{5718917F-5577-44D8-B871-4977052C0FEE}" name="Entry Method" dataDxfId="346"/>
    <tableColumn id="9" xr3:uid="{2171FBD8-F516-4833-A23F-42FD1447DC26}" name="Suspect Description" dataDxfId="345"/>
    <tableColumn id="10" xr3:uid="{306C62DF-3060-438A-AF9F-40FD97CD6344}" name="Suspect Vehicle Description" dataDxfId="344"/>
    <tableColumn id="11" xr3:uid="{2A55305B-6FB2-488B-B7B6-B85B837DA4EE}" name="Keys with Vehicle" dataDxfId="343"/>
    <tableColumn id="12" xr3:uid="{F8D8D813-D137-4128-A4A9-B50224598331}" name="Offense Completed" dataDxfId="342"/>
    <tableColumn id="13" xr3:uid="{FA18570B-CFE5-48F5-B71F-AFF5D35F1106}" name="Notes" dataDxfId="341"/>
  </tableColumns>
  <tableStyleInfo name="TableStyleLight18 3"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0" xr:uid="{73D55BF0-7D09-488D-A7E3-2CBDFD9B249C}" name="Table50" displayName="Table50" ref="A18:H24" totalsRowShown="0" headerRowDxfId="340" dataDxfId="339">
  <autoFilter ref="A18:H24" xr:uid="{73D55BF0-7D09-488D-A7E3-2CBDFD9B249C}">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F627771F-08B7-4FC1-9BA8-2BF5CA54BE8E}" name="Time of Day" dataDxfId="338"/>
    <tableColumn id="2" xr3:uid="{12B1A7C0-0F91-43C4-BFA4-18A7CF621CA3}" name="Sun" dataDxfId="337"/>
    <tableColumn id="3" xr3:uid="{D372D0A5-4EB5-4D56-9F51-0B9CF67B2AE3}" name="Mon" dataDxfId="336"/>
    <tableColumn id="4" xr3:uid="{060A74ED-1E99-48E1-828B-CF6BF4715640}" name="Tue" dataDxfId="335"/>
    <tableColumn id="5" xr3:uid="{2AEB883B-2268-4D60-9244-7F3A74F75B60}" name="Wed"/>
    <tableColumn id="6" xr3:uid="{2B5A110A-6BCC-4B02-B586-E78B75EACCA1}" name="Thu" dataDxfId="334"/>
    <tableColumn id="7" xr3:uid="{3B397982-882E-422B-B343-300DA9985A6B}" name="Fri" dataDxfId="333"/>
    <tableColumn id="8" xr3:uid="{70243F55-CFBF-4715-B115-95F2A7FAF72B}" name="Sat" dataDxfId="332"/>
  </tableColumns>
  <tableStyleInfo name="TableStyleLight18 3 2"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1" xr:uid="{378CC723-6D94-4B51-8E0D-2F60222512A6}" name="Table5052" displayName="Table5052" ref="A45:H47" totalsRowShown="0" headerRowDxfId="331" dataDxfId="330">
  <autoFilter ref="A45:H47" xr:uid="{378CC723-6D94-4B51-8E0D-2F60222512A6}">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AF71DE92-5364-4020-91ED-D67258075F1E}" name="Time of Day" dataDxfId="329"/>
    <tableColumn id="2" xr3:uid="{83B1D184-D64E-4CCC-9953-E1A94CFCE6DF}" name="Sun" dataDxfId="328"/>
    <tableColumn id="3" xr3:uid="{1F7E15D6-2743-4CD3-BD8C-5A818074698E}" name="Mon" dataDxfId="327"/>
    <tableColumn id="4" xr3:uid="{47E1E444-BF65-4070-BA44-BB907240AE89}" name="Tue" dataDxfId="326"/>
    <tableColumn id="5" xr3:uid="{B76591E8-7184-43A0-B060-DDFBC11BFEAA}" name="Wed"/>
    <tableColumn id="6" xr3:uid="{D63E857D-390D-4FA4-9635-64859A277F04}" name="Thu" dataDxfId="325"/>
    <tableColumn id="7" xr3:uid="{A25FE166-5356-4932-AE56-52A197D96748}" name="Fri" dataDxfId="324"/>
    <tableColumn id="8" xr3:uid="{9C26DFAD-EC17-47BA-88E1-07B4AB560432}" name="Sat" dataDxfId="323"/>
  </tableColumns>
  <tableStyleInfo name="TableStyleLight18 3 2"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8BB279AC-52B2-442E-BBFC-63D5AB146188}" name="Robbery" displayName="Robbery" ref="A1:AT10" tableType="queryTable" totalsRowShown="0" headerRowDxfId="322" dataDxfId="321">
  <autoFilter ref="A1:AT10" xr:uid="{8BB279AC-52B2-442E-BBFC-63D5AB146188}"/>
  <tableColumns count="46">
    <tableColumn id="1" xr3:uid="{90C22703-56E5-4A18-B1EE-31761338E647}" uniqueName="1" name="Case Number" queryTableFieldId="1" dataDxfId="320"/>
    <tableColumn id="2" xr3:uid="{9734790C-B06C-46F7-AD42-AA303AB7E86B}" uniqueName="2" name="INC_DATE" queryTableFieldId="2" dataDxfId="319"/>
    <tableColumn id="3" xr3:uid="{7D2A8B3E-9CB6-40E3-A26E-D15834B8A86A}" uniqueName="3" name="TIME_OF_DAY" queryTableFieldId="3" dataDxfId="318"/>
    <tableColumn id="4" xr3:uid="{7A544C83-81F9-497A-9F8C-97A7DE5DB46C}" uniqueName="4" name="Start of Hour" queryTableFieldId="4" dataDxfId="317"/>
    <tableColumn id="5" xr3:uid="{B7FA88C9-C0F7-4E12-9254-D7642E16014F}" uniqueName="5" name="INC_TIME" queryTableFieldId="5" dataDxfId="316"/>
    <tableColumn id="6" xr3:uid="{0EB4B2B0-951D-46BE-B712-1BB55D8D5E78}" uniqueName="6" name="Day Name" queryTableFieldId="6" dataDxfId="315"/>
    <tableColumn id="7" xr3:uid="{54485369-7F83-4DAC-95F9-89EA41E1DBBC}" uniqueName="7" name="Month Name" queryTableFieldId="7" dataDxfId="314"/>
    <tableColumn id="8" xr3:uid="{3FEFF2DB-FC8C-49B9-ADDC-632C1D59C63B}" uniqueName="8" name="BLOCK" queryTableFieldId="8" dataDxfId="313"/>
    <tableColumn id="9" xr3:uid="{55978BDC-7B33-48A6-A0B9-850D486E9843}" uniqueName="9" name="Location" queryTableFieldId="9" dataDxfId="312"/>
    <tableColumn id="10" xr3:uid="{BA423D0B-AAA5-4235-AF3F-3BBF372E4FA1}" uniqueName="10" name="ALL_INCIDENTS" queryTableFieldId="10" dataDxfId="311"/>
    <tableColumn id="11" xr3:uid="{61410127-1230-4DD7-8461-90C5AE1FA82A}" uniqueName="11" name="Incident Type_1" queryTableFieldId="11" dataDxfId="310"/>
    <tableColumn id="12" xr3:uid="{EF948221-58D9-46E8-9501-191F23283477}" uniqueName="12" name="Incident Type_2" queryTableFieldId="12" dataDxfId="309"/>
    <tableColumn id="13" xr3:uid="{F1E37141-9AF9-4F05-ACE2-9E2FBE824DF0}" uniqueName="13" name="Incident Type_3" queryTableFieldId="13" dataDxfId="308"/>
    <tableColumn id="14" xr3:uid="{02C5E70C-BF91-4EAB-9264-15F78ACF50F2}" uniqueName="14" name="FullAddress" queryTableFieldId="14" dataDxfId="307"/>
    <tableColumn id="15" xr3:uid="{8D9489E5-0D5C-4878-8913-E6C37E558C4E}" uniqueName="15" name="Grid" queryTableFieldId="15" dataDxfId="306"/>
    <tableColumn id="16" xr3:uid="{29C3F894-40C7-4E01-B99C-6990C947EA7B}" uniqueName="16" name="Zone" queryTableFieldId="16" dataDxfId="305"/>
    <tableColumn id="17" xr3:uid="{7DC25ED0-1355-4C0B-99C0-95A30DDE697F}" uniqueName="17" name="Narrative" queryTableFieldId="17" dataDxfId="304"/>
    <tableColumn id="18" xr3:uid="{31EAA628-75A0-454A-923D-7C96849E8F3D}" uniqueName="18" name="Total Value Stolen" queryTableFieldId="18" dataDxfId="303"/>
    <tableColumn id="19" xr3:uid="{A3557077-A5B9-4525-BAFF-C1807AC1B6DA}" uniqueName="19" name="Total Value Recover" queryTableFieldId="19" dataDxfId="302"/>
    <tableColumn id="20" xr3:uid="{DA539379-489B-4502-865C-5FF334130B23}" uniqueName="20" name="Registration 1" queryTableFieldId="20" dataDxfId="301"/>
    <tableColumn id="21" xr3:uid="{4B69E808-0DCA-4340-959E-584AAE4C5865}" uniqueName="21" name="Make1" queryTableFieldId="21" dataDxfId="300"/>
    <tableColumn id="22" xr3:uid="{52A56F6E-C7F7-4FB5-8AC9-305A293D9D2D}" uniqueName="22" name="Model1" queryTableFieldId="22" dataDxfId="299"/>
    <tableColumn id="23" xr3:uid="{6F5ACAFA-C92A-45FA-84E3-D1C59629F78B}" uniqueName="23" name="Reg State 1" queryTableFieldId="23" dataDxfId="298"/>
    <tableColumn id="24" xr3:uid="{B1C71CF7-2A69-48BE-8EB4-758B5EE9E3F4}" uniqueName="24" name="Registration 2" queryTableFieldId="24" dataDxfId="297"/>
    <tableColumn id="25" xr3:uid="{C7F914D5-EAF7-4C38-ACD8-D0AC0B36911D}" uniqueName="25" name="Reg State 2" queryTableFieldId="25" dataDxfId="296"/>
    <tableColumn id="26" xr3:uid="{9711BFC9-D736-49A0-BE3C-ECE9E81A9FBC}" uniqueName="26" name="Make2" queryTableFieldId="26" dataDxfId="295"/>
    <tableColumn id="27" xr3:uid="{E22A9642-5806-4242-AECE-4A259BAE9211}" uniqueName="27" name="Model2" queryTableFieldId="27" dataDxfId="294"/>
    <tableColumn id="28" xr3:uid="{32422197-D539-4565-97F1-8DA97C038477}" uniqueName="28" name="Reviewed By" queryTableFieldId="28" dataDxfId="293"/>
    <tableColumn id="29" xr3:uid="{7019F959-4654-4767-BE6F-5529A18F754F}" uniqueName="29" name="CompleteCalc" queryTableFieldId="29" dataDxfId="292"/>
    <tableColumn id="30" xr3:uid="{EAFA4B53-593D-46DD-897E-D2CE77124CD7}" uniqueName="30" name="Officer of Record" queryTableFieldId="30" dataDxfId="291"/>
    <tableColumn id="31" xr3:uid="{DB00A108-983C-48DB-84D8-87D52D581A1C}" uniqueName="31" name="Squad" queryTableFieldId="31" dataDxfId="290"/>
    <tableColumn id="32" xr3:uid="{CA1C9772-41B6-414E-A1F0-2CF88C5188B1}" uniqueName="32" name="Det_Assigned" queryTableFieldId="32" dataDxfId="289"/>
    <tableColumn id="33" xr3:uid="{5D909967-38E5-4271-8328-37FF1F8EF2A8}" uniqueName="33" name="Case_Status" queryTableFieldId="33" dataDxfId="288"/>
    <tableColumn id="34" xr3:uid="{98D6E0F5-8C41-474C-B0E5-EFD4FB54DC05}" uniqueName="34" name="NIBRS Classification" queryTableFieldId="34" dataDxfId="287"/>
    <tableColumn id="35" xr3:uid="{CADADFE5-AF38-416E-B8BC-E3B289115E1D}" uniqueName="35" name="Year" queryTableFieldId="35" dataDxfId="286"/>
    <tableColumn id="36" xr3:uid="{1E1EB327-0487-45BF-9CC7-0EBA80F163EF}" uniqueName="36" name="Week of Year" queryTableFieldId="36" dataDxfId="285"/>
    <tableColumn id="37" xr3:uid="{B0B162E6-DAC6-4407-9EAA-8A4DC5397C68}" uniqueName="37" name="Week of Month" queryTableFieldId="37" dataDxfId="284"/>
    <tableColumn id="38" xr3:uid="{66CEA174-74CC-4A6B-8D06-3511F4C9744A}" uniqueName="38" name="Day" queryTableFieldId="38" dataDxfId="283"/>
    <tableColumn id="39" xr3:uid="{8AE5D97E-65D5-46F1-A02D-90B1EAFF9DB5}" uniqueName="39" name="Day of Year" queryTableFieldId="39" dataDxfId="282"/>
    <tableColumn id="40" xr3:uid="{79A3BB33-3965-4296-A5C5-5AC1898C7744}" uniqueName="40" name="INC_DATE_AND_TIME" queryTableFieldId="40" dataDxfId="281"/>
    <tableColumn id="41" xr3:uid="{7B997C5E-DDEC-455C-9C4D-D76CDEED5A20}" uniqueName="41" name="St#" queryTableFieldId="41" dataDxfId="280"/>
    <tableColumn id="42" xr3:uid="{254452D3-0A8B-4BB2-8BFC-1C267ED9B4B4}" uniqueName="42" name="Notes" queryTableFieldId="42" dataDxfId="279"/>
    <tableColumn id="43" xr3:uid="{E6DE252F-B189-45B2-A5E4-525D35050313}" uniqueName="43" name="VEHICLE" queryTableFieldId="43" dataDxfId="278"/>
    <tableColumn id="44" xr3:uid="{8D3E2E15-34F9-420C-9712-6EEA7DE38327}" uniqueName="44" name="Suspect" queryTableFieldId="44" dataDxfId="277"/>
    <tableColumn id="45" xr3:uid="{BBF1774D-5998-40A3-9F6C-5044DE56192F}" uniqueName="45" name="TOTAL_STOLEN_AMOUNT" queryTableFieldId="45" dataDxfId="276"/>
    <tableColumn id="46" xr3:uid="{C5FB11B2-3064-4A1E-B330-913271C1BBAC}" uniqueName="46" name="REPORT_CYCLE" queryTableFieldId="46" dataDxfId="275"/>
  </tableColumns>
  <tableStyleInfo name="TableStyleLight17 2"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EBF347C0-EF05-428D-86B5-2888BB0B69E4}" name="Robbery_28D" displayName="Robbery_28D" ref="A1:P2" tableType="queryTable" totalsRowShown="0">
  <autoFilter ref="A1:P2" xr:uid="{EBF347C0-EF05-428D-86B5-2888BB0B69E4}"/>
  <tableColumns count="16">
    <tableColumn id="1" xr3:uid="{25F35C73-7573-488B-B850-F6929E1082C6}" uniqueName="1" name="BLOCK" queryTableFieldId="1"/>
    <tableColumn id="2" xr3:uid="{BBAF0F84-C1B1-4470-8127-9A5267784CD8}" uniqueName="2" name="INC_DATE" queryTableFieldId="2" dataDxfId="274"/>
    <tableColumn id="3" xr3:uid="{3A650C85-781E-4E63-B844-034EB4F96D2E}" uniqueName="3" name="Day Name" queryTableFieldId="3"/>
    <tableColumn id="4" xr3:uid="{5F54220E-D654-483B-AFEE-F65C3C109133}" uniqueName="4" name="TIME_OF_DAY" queryTableFieldId="4"/>
    <tableColumn id="5" xr3:uid="{4CAC3426-3EC1-44EC-AEB6-5B12C49CAC34}" uniqueName="5" name="Suspect" queryTableFieldId="5"/>
    <tableColumn id="6" xr3:uid="{5C73609A-D71F-4FF1-9D8E-267F330C9551}" uniqueName="6" name="VEHICLE" queryTableFieldId="6"/>
    <tableColumn id="7" xr3:uid="{4A68BE89-FA9E-457E-B715-AB740252B4B8}" uniqueName="7" name="TOTAL_STOLEN_AMOUNT" queryTableFieldId="7"/>
    <tableColumn id="8" xr3:uid="{E35F0BA7-89B5-4D1A-A950-D32F8963ACAB}" uniqueName="8" name="Narrative" queryTableFieldId="8" dataDxfId="273"/>
    <tableColumn id="9" xr3:uid="{327ACD89-BEE9-4679-893E-21E1CEA1F2C2}" uniqueName="9" name="Location Type" queryTableFieldId="9" dataDxfId="272"/>
    <tableColumn id="10" xr3:uid="{BA071943-8360-4A79-B8C1-0AFF63B9209B}" uniqueName="10" name="Type Weapon" queryTableFieldId="10" dataDxfId="271"/>
    <tableColumn id="11" xr3:uid="{AF246168-73D8-47FE-9DFB-8174C6AE8340}" uniqueName="11" name="Type of Victim" queryTableFieldId="11" dataDxfId="270"/>
    <tableColumn id="12" xr3:uid="{CF49CAC6-6419-4D3D-82A3-CBC5E6048BD9}" uniqueName="12" name="Type Injury" queryTableFieldId="12" dataDxfId="269"/>
    <tableColumn id="13" xr3:uid="{7E430213-EEBF-4CD3-B070-2EBE2589431B}" uniqueName="13" name="Property Stolen" queryTableFieldId="13" dataDxfId="268"/>
    <tableColumn id="14" xr3:uid="{9401E649-A794-4AF0-9844-4622C7D2988C}" uniqueName="14" name="Offender Suspected of Using" queryTableFieldId="14" dataDxfId="267"/>
    <tableColumn id="15" xr3:uid="{33CE9EBC-9E98-43BF-90FE-2577BC7617B8}" uniqueName="15" name="Relationship of Victim to Offender" queryTableFieldId="15" dataDxfId="266"/>
    <tableColumn id="16" xr3:uid="{AFB6AB6E-7B89-4B76-89B1-771D63476A8B}" uniqueName="16" name="Offense Completed" queryTableFieldId="16" dataDxfId="265"/>
  </tableColumns>
  <tableStyleInfo name="TableStyleMedium7"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353244D1-A2B2-43AC-A125-ACABE9F40B9A}" name="Robbery_7D" displayName="Robbery_7D" ref="A1:P2" tableType="queryTable" insertRow="1" totalsRowShown="0" headerRowDxfId="264" dataDxfId="263">
  <autoFilter ref="A1:P2" xr:uid="{353244D1-A2B2-43AC-A125-ACABE9F40B9A}">
    <filterColumn colId="8" hiddenButton="1"/>
    <filterColumn colId="9" hiddenButton="1"/>
    <filterColumn colId="10" hiddenButton="1"/>
    <filterColumn colId="11" hiddenButton="1"/>
    <filterColumn colId="13" hiddenButton="1"/>
    <filterColumn colId="14" hiddenButton="1"/>
    <filterColumn colId="15" hiddenButton="1"/>
  </autoFilter>
  <tableColumns count="16">
    <tableColumn id="18" xr3:uid="{745DC68E-7DBD-4152-84D0-BCCE6CEF6590}" uniqueName="18" name="BLOCK" queryTableFieldId="18"/>
    <tableColumn id="19" xr3:uid="{1B859F54-34C0-4D11-BFE5-83B83B99A73E}" uniqueName="19" name="INC_DATE" queryTableFieldId="19" dataDxfId="262"/>
    <tableColumn id="20" xr3:uid="{9EAEDAFE-0B7D-4156-B2A9-93E56CD60158}" uniqueName="20" name="Day Name" queryTableFieldId="20"/>
    <tableColumn id="21" xr3:uid="{CA8353A1-E446-43A9-912E-BCD95A4B46C5}" uniqueName="21" name="TIME_OF_DAY" queryTableFieldId="21"/>
    <tableColumn id="22" xr3:uid="{196FA59C-E137-43F6-8403-2A45B8AE1122}" uniqueName="22" name="Suspect" queryTableFieldId="22"/>
    <tableColumn id="23" xr3:uid="{62BF206F-6DF9-4A83-A8B7-8B01443E9765}" uniqueName="23" name="VEHICLE" queryTableFieldId="23"/>
    <tableColumn id="24" xr3:uid="{7335EB9E-1AE2-4DC2-B2C9-7738420B75D2}" uniqueName="24" name="TOTAL_STOLEN_AMOUNT" queryTableFieldId="24"/>
    <tableColumn id="25" xr3:uid="{42812E09-484C-49DE-91AE-B46A9E5C9804}" uniqueName="25" name="Narrative" queryTableFieldId="25"/>
    <tableColumn id="6" xr3:uid="{13DC53FF-C424-4054-8590-38B4923127C9}" uniqueName="6" name="Location Type" queryTableFieldId="6" dataDxfId="261"/>
    <tableColumn id="9" xr3:uid="{9D5CA3FB-CDA7-4036-9535-4EBF9B72884F}" uniqueName="9" name="Type Weapon" queryTableFieldId="9" dataDxfId="260"/>
    <tableColumn id="10" xr3:uid="{4ADB6FBA-8F23-4815-A39D-63D408E3535E}" uniqueName="10" name="Type of Victim" queryTableFieldId="10" dataDxfId="259"/>
    <tableColumn id="11" xr3:uid="{244B99DE-7C6D-448C-A79A-B7EAD2714759}" uniqueName="11" name="Type Injury" queryTableFieldId="11" dataDxfId="258"/>
    <tableColumn id="26" xr3:uid="{E9F141AC-571E-442E-A523-3CF256021B61}" uniqueName="26" name="Property Stolen" queryTableFieldId="26"/>
    <tableColumn id="14" xr3:uid="{951D91C0-A35F-4496-91A1-40C331C5C42F}" uniqueName="14" name="Offender Suspected of Using" queryTableFieldId="14" dataDxfId="257"/>
    <tableColumn id="15" xr3:uid="{E0EF63CE-6B48-4F72-A836-E8F0187C6F3E}" uniqueName="15" name="Relationship of Victim to Offender" queryTableFieldId="15" dataDxfId="256"/>
    <tableColumn id="16" xr3:uid="{94EDA250-56AE-43C3-8C02-B1D2939B0C4C}" uniqueName="16" name="Offense Completed" queryTableFieldId="16" dataDxfId="255"/>
  </tableColumns>
  <tableStyleInfo name="TableStyleLight17 2"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2BDD3E61-701F-4993-8BC5-4D3982743002}" name="_Robbery_7D" displayName="_Robbery_7D" ref="Y2:AO3" insertRow="1" totalsRowShown="0" headerRowDxfId="242" dataDxfId="241">
  <autoFilter ref="Y2:AO3" xr:uid="{2BDD3E61-701F-4993-8BC5-4D3982743002}">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autoFilter>
  <tableColumns count="17">
    <tableColumn id="1" xr3:uid="{9DEFAC9D-A928-4EAF-B85D-3845F9139F6A}" name="Case Number" dataDxfId="240"/>
    <tableColumn id="2" xr3:uid="{A844315F-CEB5-4C81-AF8B-410180135367}" name="Block Incident Occurred On" dataDxfId="239"/>
    <tableColumn id="3" xr3:uid="{306A22F8-5244-4619-9370-9DB8D064C265}" name="Incident Date" dataDxfId="238"/>
    <tableColumn id="4" xr3:uid="{32F522D5-CD8D-4956-99F9-72B3BC1A7B19}" name="Day of Week" dataDxfId="237"/>
    <tableColumn id="5" xr3:uid="{F7836F69-5ABB-4A3A-8160-7253758030C8}" name="Time of Day Incident Occurred" dataDxfId="236"/>
    <tableColumn id="6" xr3:uid="{B0ADFEA7-75D5-4127-B7B6-2DACF9810B5A}" name="Location Type" dataDxfId="235"/>
    <tableColumn id="7" xr3:uid="{43A251DD-0473-4D0E-BEF0-308BBDED5842}" name="Suspect Description" dataDxfId="234"/>
    <tableColumn id="8" xr3:uid="{7F00E3FF-F12E-49E3-B6A9-AD673AB8020C}" name="Suspect Vehicle Description" dataDxfId="233"/>
    <tableColumn id="9" xr3:uid="{EB6D08CF-51CD-4A94-9533-F08CE71BFC7F}" name="Type Weapon" dataDxfId="232"/>
    <tableColumn id="10" xr3:uid="{EDE99988-0E3C-4D20-AD40-CEC726ECBCC4}" name="Type of Victim" dataDxfId="231"/>
    <tableColumn id="11" xr3:uid="{A2A0B8A9-E5AE-4756-88F1-A50B17F5B3BB}" name="Type Injury" dataDxfId="230"/>
    <tableColumn id="12" xr3:uid="{1BB22354-EAF9-43E6-9643-9D911F73B081}" name="Propert Stolen" dataDxfId="229"/>
    <tableColumn id="13" xr3:uid="{37292318-D281-4BAF-970A-7AA2BA212B4E}" name="Property Value" dataDxfId="228"/>
    <tableColumn id="14" xr3:uid="{841BEF18-F30A-4B3A-A108-7BAEEDEE9673}" name="Offender Suspected of Using" dataDxfId="227"/>
    <tableColumn id="15" xr3:uid="{2BAC3C02-AEA2-4149-9855-3A7427D1B8C7}" name="Relationship of Victim to Offender" dataDxfId="226"/>
    <tableColumn id="16" xr3:uid="{25E549F1-259B-4147-893F-0FB15C98CA90}" name="Offense Completed" dataDxfId="225"/>
    <tableColumn id="17" xr3:uid="{EF188BD4-2BF4-4B58-93D3-825EF5DF9D51}" name="Notes" dataDxfId="224"/>
  </tableColumns>
  <tableStyleInfo name="TableStyleLight18 3"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6ACCBD09-7F8A-4474-9551-0C592C13B595}" name="Table710121754" displayName="Table710121754" ref="AH21:AO26" totalsRowShown="0" headerRowDxfId="223" dataDxfId="222">
  <autoFilter ref="AH21:AO26" xr:uid="{6ACCBD09-7F8A-4474-9551-0C592C13B595}">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6976B3F7-9772-44F7-A0BE-31D9306904D5}" name="Time of Day" dataDxfId="221"/>
    <tableColumn id="2" xr3:uid="{838FEC1C-111A-4FB3-A030-7EA9FC412B79}" name="Sun" dataDxfId="220"/>
    <tableColumn id="3" xr3:uid="{AC2068D6-A156-4C86-BAF6-27D86A828FE6}" name="Mon" dataDxfId="219"/>
    <tableColumn id="4" xr3:uid="{DB4DC03B-FA2F-4E64-B97A-63AA72A3F072}" name="Tue" dataDxfId="218"/>
    <tableColumn id="7" xr3:uid="{A6062050-8743-4CC4-9D10-5D21C62CF4B0}" name="Wed" dataDxfId="217"/>
    <tableColumn id="8" xr3:uid="{935F9016-0DDA-473B-BB3C-727BEAE4797D}" name="Thu" dataDxfId="216"/>
    <tableColumn id="6" xr3:uid="{6D05B401-E30B-4E07-92FB-91E8CD455166}" name="Fri" dataDxfId="215"/>
    <tableColumn id="5" xr3:uid="{7DBBA2D7-BE50-4277-B1C7-3CA3801B21AC}" name="Sat" dataDxfId="214"/>
  </tableColumns>
  <tableStyleInfo name="TableStyleLight1"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F711E4CF-174E-4A7B-9809-C405A94A14D2}" name="Table71012171855" displayName="Table71012171855" ref="AH32:AO35" totalsRowShown="0" headerRowDxfId="213" dataDxfId="212">
  <autoFilter ref="AH32:AO35" xr:uid="{F711E4CF-174E-4A7B-9809-C405A94A14D2}">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8C366358-AB3F-431F-84A8-B52490B1EDC6}" name="Time of Day" dataDxfId="211"/>
    <tableColumn id="2" xr3:uid="{1BD7A548-3902-472B-9248-FCC252C57859}" name="Sun" dataDxfId="210"/>
    <tableColumn id="3" xr3:uid="{46850428-56AB-4AE8-B35C-EB6F928A357E}" name="Mon" dataDxfId="209"/>
    <tableColumn id="4" xr3:uid="{657AA1E2-2425-40A7-8BB2-793A9CF9A5D1}" name="Tue" dataDxfId="208"/>
    <tableColumn id="5" xr3:uid="{F31C300E-CDD7-4408-A263-2D8B34FB99A2}" name="Wed" dataDxfId="207"/>
    <tableColumn id="6" xr3:uid="{143B97B1-1ED9-4275-AD5E-BC1660467509}" name="Thu" dataDxfId="206"/>
    <tableColumn id="7" xr3:uid="{0BB5AE1E-D776-4AA7-9EAE-A3CBEAACA1EB}" name="Fri" dataDxfId="205"/>
    <tableColumn id="8" xr3:uid="{75EE53E8-F9EC-43E6-A907-6579EE7E3CB5}" name="Sat" dataDxfId="204"/>
  </tableColumns>
  <tableStyleInfo name="TableStyleLight1"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BABAD972-EAE6-4813-87B6-022CC258E60F}" name="Sexual_Offenses" displayName="Sexual_Offenses" ref="A1:BB7" tableType="queryTable" totalsRowShown="0" headerRowDxfId="203" dataDxfId="202">
  <autoFilter ref="A1:BB7" xr:uid="{BABAD972-EAE6-4813-87B6-022CC258E60F}"/>
  <tableColumns count="54">
    <tableColumn id="1" xr3:uid="{828FAC3C-454B-4867-A3DC-1E5C6BF35DD9}" uniqueName="1" name="Case Number" queryTableFieldId="1" dataDxfId="201"/>
    <tableColumn id="6" xr3:uid="{2F8B2D60-678E-43F4-85F7-9B08B61CAE27}" uniqueName="6" name="INC_DATE" queryTableFieldId="6" dataDxfId="200"/>
    <tableColumn id="54" xr3:uid="{E23542B4-CBDC-4026-B47E-91C729080A11}" uniqueName="54" name="TOD" queryTableFieldId="57" dataDxfId="199"/>
    <tableColumn id="2" xr3:uid="{CE7E25EA-1D84-47E8-962F-BE2F98D97F97}" uniqueName="2" name="Start of Hour" queryTableFieldId="2" dataDxfId="198"/>
    <tableColumn id="3" xr3:uid="{DCC58FEF-5E40-4878-9C3E-DE18A2ED1806}" uniqueName="3" name="INC_TIME" queryTableFieldId="3" dataDxfId="197"/>
    <tableColumn id="4" xr3:uid="{9696AF7A-C11C-4348-92E1-E03FF1241885}" uniqueName="4" name="Day Name" queryTableFieldId="4" dataDxfId="196"/>
    <tableColumn id="5" xr3:uid="{3198D833-F74E-4382-9604-B5249BF999AF}" uniqueName="5" name="Month Name" queryTableFieldId="5" dataDxfId="195"/>
    <tableColumn id="47" xr3:uid="{C7BA5A82-71EE-40D3-A7DC-9F5CBA2C0F33}" uniqueName="47" name="BLOCK" queryTableFieldId="47" dataDxfId="194"/>
    <tableColumn id="7" xr3:uid="{55C00C56-5396-48D1-BA8B-6A965BA44FDD}" uniqueName="7" name="Location" queryTableFieldId="7" dataDxfId="193"/>
    <tableColumn id="9" xr3:uid="{57E3FA00-A958-4D1F-B440-DC70C06D2C5D}" uniqueName="9" name="ALL_INCIDENTS" queryTableFieldId="9" dataDxfId="192"/>
    <tableColumn id="8" xr3:uid="{214928D9-1F12-4F32-8874-12E118212AD6}" uniqueName="8" name="Incident Type_1" queryTableFieldId="8" dataDxfId="191"/>
    <tableColumn id="10" xr3:uid="{60988C8F-123F-47FC-99C3-EFEE1A8B5E0A}" uniqueName="10" name="Incident Type_2" queryTableFieldId="10" dataDxfId="190"/>
    <tableColumn id="11" xr3:uid="{E9156A06-4CFE-4E19-828E-53E171F20AA0}" uniqueName="11" name="Incident Type_3" queryTableFieldId="11" dataDxfId="189"/>
    <tableColumn id="12" xr3:uid="{EEAD8174-D5EA-4D73-8D1C-59506B25461D}" uniqueName="12" name="FullAddress" queryTableFieldId="12" dataDxfId="188"/>
    <tableColumn id="13" xr3:uid="{7BCB2E40-7BB9-4A81-80CF-4E6876375E02}" uniqueName="13" name="Grid" queryTableFieldId="13" dataDxfId="187"/>
    <tableColumn id="14" xr3:uid="{1614033D-473A-463A-9CBE-D0C482696EFC}" uniqueName="14" name="Zone" queryTableFieldId="14" dataDxfId="186"/>
    <tableColumn id="15" xr3:uid="{5093BFA3-1273-4460-BEAD-0A440985D8B5}" uniqueName="15" name="Narrative" queryTableFieldId="15" dataDxfId="185"/>
    <tableColumn id="16" xr3:uid="{CD5D9C7C-5AD5-4EB6-A4AD-AA3AE8CE123C}" uniqueName="16" name="Total Value Stolen" queryTableFieldId="16" dataDxfId="184"/>
    <tableColumn id="17" xr3:uid="{92C09011-0119-4667-BAB7-DC35C84323F3}" uniqueName="17" name="Total Value Recover" queryTableFieldId="17" dataDxfId="183"/>
    <tableColumn id="18" xr3:uid="{37314363-1B92-4D9C-8EC8-F3B54905DA76}" uniqueName="18" name="Registration 1" queryTableFieldId="18" dataDxfId="182"/>
    <tableColumn id="19" xr3:uid="{ADFAEB2E-F032-4451-9985-80BDDB2387AF}" uniqueName="19" name="Make1" queryTableFieldId="19" dataDxfId="181"/>
    <tableColumn id="20" xr3:uid="{BBE1358C-9650-4BA2-816F-A0F485D12B5D}" uniqueName="20" name="Model1" queryTableFieldId="20" dataDxfId="180"/>
    <tableColumn id="21" xr3:uid="{B8EA1582-4544-44F0-ACC0-C3A4254E1187}" uniqueName="21" name="Reg State 1" queryTableFieldId="21" dataDxfId="179"/>
    <tableColumn id="22" xr3:uid="{60626B22-84B3-4581-A1E6-328A47C238C0}" uniqueName="22" name="Registration 2" queryTableFieldId="22" dataDxfId="178"/>
    <tableColumn id="23" xr3:uid="{50F54256-BC58-4084-8B74-A37BBB1ABFAC}" uniqueName="23" name="Reg State 2" queryTableFieldId="23" dataDxfId="177"/>
    <tableColumn id="24" xr3:uid="{CC671173-D7D6-468E-879A-67743CEB308C}" uniqueName="24" name="Make2" queryTableFieldId="24" dataDxfId="176"/>
    <tableColumn id="25" xr3:uid="{CB50913C-1698-4040-AB96-4AB67C5D506B}" uniqueName="25" name="Model2" queryTableFieldId="25" dataDxfId="175"/>
    <tableColumn id="26" xr3:uid="{D5B8F8B7-6C5A-4FCA-94CA-BB79942B43FA}" uniqueName="26" name="Reviewed By" queryTableFieldId="26" dataDxfId="174"/>
    <tableColumn id="27" xr3:uid="{397DFC85-E7D9-4AC3-A392-470EBD59ADDC}" uniqueName="27" name="CompleteCalc" queryTableFieldId="27" dataDxfId="173"/>
    <tableColumn id="28" xr3:uid="{6398B9BA-D786-4D37-8456-4989F08FFE13}" uniqueName="28" name="Officer of Record" queryTableFieldId="28" dataDxfId="172"/>
    <tableColumn id="29" xr3:uid="{C79915D4-CAC4-4428-9459-333C333CC7CC}" uniqueName="29" name="Squad" queryTableFieldId="29" dataDxfId="171"/>
    <tableColumn id="30" xr3:uid="{7D335CF8-A65B-47E1-8C2B-09B23E3EBB26}" uniqueName="30" name="Det_Assigned" queryTableFieldId="30" dataDxfId="170"/>
    <tableColumn id="31" xr3:uid="{138A5348-A97B-4075-89AA-DE75446ED7B0}" uniqueName="31" name="Case_Status" queryTableFieldId="31" dataDxfId="169"/>
    <tableColumn id="32" xr3:uid="{ED4BC83F-2C6C-471C-BD42-820A47F5DB38}" uniqueName="32" name="NIBRS Classification" queryTableFieldId="32" dataDxfId="168"/>
    <tableColumn id="33" xr3:uid="{1A7B8231-5DE9-4B60-AE2E-E5DD1A93ACFB}" uniqueName="33" name="CASE_NUMBER_LENGTH" queryTableFieldId="33" dataDxfId="167"/>
    <tableColumn id="34" xr3:uid="{1E951FEA-8A03-416D-991A-739972E90E50}" uniqueName="34" name="Incident Date" queryTableFieldId="34" dataDxfId="166"/>
    <tableColumn id="35" xr3:uid="{F5D6FE3C-855B-4968-A6D8-530D0099E6A7}" uniqueName="35" name="Incident Time" queryTableFieldId="35" dataDxfId="165"/>
    <tableColumn id="36" xr3:uid="{422F4B77-C6E4-4AF6-B230-60BAFCA168F6}" uniqueName="36" name="Incident Date_Between" queryTableFieldId="36" dataDxfId="164"/>
    <tableColumn id="37" xr3:uid="{A269ABB3-EA8B-4246-8CA1-5739789AEA4A}" uniqueName="37" name="Incident Time_Between" queryTableFieldId="37" dataDxfId="163"/>
    <tableColumn id="38" xr3:uid="{ED7D542B-9121-461C-8C4C-37BC34622310}" uniqueName="38" name="Report Date" queryTableFieldId="38" dataDxfId="162"/>
    <tableColumn id="39" xr3:uid="{9411CF40-5E43-4C0A-B407-1CA08CA231FC}" uniqueName="39" name="Report Time" queryTableFieldId="39" dataDxfId="161"/>
    <tableColumn id="40" xr3:uid="{6908A8E6-DABE-47C0-BF2B-7E554846CBFA}" uniqueName="40" name="Year" queryTableFieldId="40" dataDxfId="160"/>
    <tableColumn id="41" xr3:uid="{7FFEA673-85EB-4487-8263-9FED808FD47B}" uniqueName="41" name="Week of Year" queryTableFieldId="41" dataDxfId="159"/>
    <tableColumn id="42" xr3:uid="{2B455EAA-349B-46EF-8BA1-1159A0E3B466}" uniqueName="42" name="Week of Month" queryTableFieldId="42" dataDxfId="158"/>
    <tableColumn id="43" xr3:uid="{4A0161CA-AAD8-49D0-B710-16322512E0E0}" uniqueName="43" name="Day" queryTableFieldId="43" dataDxfId="157"/>
    <tableColumn id="44" xr3:uid="{861F7B9B-2B79-44E6-A0D9-EC4BF3C2FBB0}" uniqueName="44" name="Day of Year" queryTableFieldId="44" dataDxfId="156"/>
    <tableColumn id="45" xr3:uid="{354C645C-DC94-4AFE-8030-5BB7261A3CE4}" uniqueName="45" name="INC_DATE_AND_TIME" queryTableFieldId="45" dataDxfId="155"/>
    <tableColumn id="46" xr3:uid="{BA40A361-8E8B-45B2-929F-BB81575255CC}" uniqueName="46" name="St#" queryTableFieldId="46" dataDxfId="154"/>
    <tableColumn id="49" xr3:uid="{C2F27E9D-41B0-4B90-B3A5-BF64896F104C}" uniqueName="49" name="Notes" queryTableFieldId="108"/>
    <tableColumn id="50" xr3:uid="{54F414B7-4DF3-4A76-98E5-DC7ABF2A3219}" uniqueName="50" name="VEHICLE" queryTableFieldId="50" dataDxfId="153"/>
    <tableColumn id="51" xr3:uid="{2F66C72F-E323-47C1-8F19-E0EA8E48568E}" uniqueName="51" name="Suspect" queryTableFieldId="51" dataDxfId="152"/>
    <tableColumn id="52" xr3:uid="{441B4C60-5216-44D7-9024-94C0C88854FE}" uniqueName="52" name="TOTAL_STOLEN_AMOUNT" queryTableFieldId="52" dataDxfId="151"/>
    <tableColumn id="53" xr3:uid="{16930ECB-AF0C-4A03-8BD5-C1D7464E3E4E}" uniqueName="53" name="REPORT_CYCLE" queryTableFieldId="53" dataDxfId="150"/>
    <tableColumn id="48" xr3:uid="{2CE119B8-6F22-4E73-BE49-BA6E7E271EE8}" uniqueName="48" name="TIME_OF_DAY" queryTableFieldId="48" dataDxfId="149"/>
  </tableColumns>
  <tableStyleInfo name="TableStyleLight18 2"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5DF54B57-68F8-4564-A385-4EE252F6D53D}" name="Sex_Off_7D_1" displayName="Sex_Off_7D_1" ref="A1:O2" tableType="queryTable" insertRow="1" totalsRowShown="0" headerRowDxfId="148" dataDxfId="147">
  <autoFilter ref="A1:O2" xr:uid="{5DF54B57-68F8-4564-A385-4EE252F6D53D}">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autoFilter>
  <tableColumns count="15">
    <tableColumn id="1" xr3:uid="{287D0217-4903-49B3-A4F0-16FEAA5CD77E}" uniqueName="1" name="BLOCK" queryTableFieldId="1" dataDxfId="146"/>
    <tableColumn id="2" xr3:uid="{62DDED00-CB1A-4B86-A5D8-3E8F5280B54B}" uniqueName="2" name="INC_DATE" queryTableFieldId="2" dataDxfId="145"/>
    <tableColumn id="3" xr3:uid="{B027949E-736D-4594-8856-8E306A45B9F6}" uniqueName="3" name="Day Name" queryTableFieldId="3" dataDxfId="144"/>
    <tableColumn id="4" xr3:uid="{A441ADF8-C3A7-4618-BC57-35111A1237C1}" uniqueName="4" name="TIME_OF_DAY" queryTableFieldId="4" dataDxfId="143"/>
    <tableColumn id="5" xr3:uid="{31DAB1C8-4B00-4237-A579-6A4E95043230}" uniqueName="5" name="Suspect" queryTableFieldId="5" dataDxfId="142"/>
    <tableColumn id="6" xr3:uid="{555586C9-9DFB-4E1A-9E15-EF4AFC09E94E}" uniqueName="6" name="Vehicle Involved" queryTableFieldId="6" dataDxfId="141"/>
    <tableColumn id="7" xr3:uid="{209B663B-3F30-46E6-99E3-F90A3DEDA1FD}" uniqueName="7" name="Type of Offense" queryTableFieldId="7" dataDxfId="140"/>
    <tableColumn id="8" xr3:uid="{98D1E15F-18C3-4E5C-91EE-9F770FAE415E}" uniqueName="8" name="Victim-Offender Relationship" queryTableFieldId="8" dataDxfId="139"/>
    <tableColumn id="9" xr3:uid="{123DBFC7-D70D-4E56-A8C0-8E380ABE88E1}" uniqueName="9" name="Location Type" queryTableFieldId="9" dataDxfId="138"/>
    <tableColumn id="10" xr3:uid="{CA50429D-1600-47EA-8D94-1486C692AEB6}" uniqueName="10" name="Method of Coercion" queryTableFieldId="10" dataDxfId="137"/>
    <tableColumn id="11" xr3:uid="{E3EBA9C4-C641-46FA-A10A-B156F31D6524}" uniqueName="11" name="Multiple Offenders vs. Single Offender" queryTableFieldId="11" dataDxfId="136"/>
    <tableColumn id="12" xr3:uid="{BE3A6A66-85C5-4640-9A62-8FF04C4A99C7}" uniqueName="12" name="Repeat Offender or Known Suspect" queryTableFieldId="12" dataDxfId="135"/>
    <tableColumn id="13" xr3:uid="{2077C0F8-546B-4884-A172-5D82E70F7FCE}" uniqueName="13" name="Use of Technology" queryTableFieldId="13" dataDxfId="134"/>
    <tableColumn id="14" xr3:uid="{FA663CFA-09BA-47F0-9FA0-6C02EB9BCDCB}" uniqueName="14" name="Victim Demographics" queryTableFieldId="14" dataDxfId="133"/>
    <tableColumn id="15" xr3:uid="{0FABAC51-9926-48BA-BB25-12654F76B43E}" uniqueName="15" name="Narrative" queryTableFieldId="15" dataDxfId="132"/>
  </tableColumns>
  <tableStyleInfo name="TableStyleLight18 3"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6D588453-06D7-47AF-B4ED-49F18FAA6947}" name="Sex_Off_28D" displayName="Sex_Off_28D" ref="A1:O2" tableType="queryTable" totalsRowShown="0">
  <autoFilter ref="A1:O2" xr:uid="{6D588453-06D7-47AF-B4ED-49F18FAA6947}"/>
  <tableColumns count="15">
    <tableColumn id="1" xr3:uid="{54D8B04F-1855-4CB6-80FB-55A4182F537B}" uniqueName="1" name="BLOCK" queryTableFieldId="1" dataDxfId="131"/>
    <tableColumn id="2" xr3:uid="{270B4649-DDDB-42B4-A769-D60E221EE02A}" uniqueName="2" name="INC_DATE" queryTableFieldId="2" dataDxfId="130"/>
    <tableColumn id="3" xr3:uid="{5805A5CB-79C0-4FFF-968D-1B1F7CA44A75}" uniqueName="3" name="Day Name" queryTableFieldId="3" dataDxfId="129"/>
    <tableColumn id="4" xr3:uid="{D7AF301E-994F-4C21-AFE4-5D17D8FE9EA8}" uniqueName="4" name="TIME_OF_DAY" queryTableFieldId="4" dataDxfId="128"/>
    <tableColumn id="5" xr3:uid="{EF743E79-2A3C-4742-A206-5359D9CC742C}" uniqueName="5" name="Suspect" queryTableFieldId="5" dataDxfId="127"/>
    <tableColumn id="6" xr3:uid="{203F3AF7-E5CD-47F0-9B48-C6FEF0AC9AD3}" uniqueName="6" name="Vehicle Involved" queryTableFieldId="6"/>
    <tableColumn id="7" xr3:uid="{2D1D68DA-BA9C-4DB9-9423-EF9758416E18}" uniqueName="7" name="Type of Offense" queryTableFieldId="7"/>
    <tableColumn id="8" xr3:uid="{5B9D8EE3-84F2-4214-895D-0607E4665492}" uniqueName="8" name="Victim-Offender Relationship" queryTableFieldId="8"/>
    <tableColumn id="9" xr3:uid="{FDAE0C42-ACBA-4D79-8887-BE65AF9CA641}" uniqueName="9" name="Location Type" queryTableFieldId="9"/>
    <tableColumn id="10" xr3:uid="{0E2405CD-5EA9-469C-9D78-699664180D8F}" uniqueName="10" name="Method of Coercion" queryTableFieldId="10"/>
    <tableColumn id="11" xr3:uid="{853BEA0A-519B-4EF2-9EBC-1214CB404E5F}" uniqueName="11" name="Multiple Offenders vs. Single Offender" queryTableFieldId="11"/>
    <tableColumn id="12" xr3:uid="{8EF871DA-BF91-4ABE-8E84-E8FDBB97ED1B}" uniqueName="12" name="Repeat Offender or Known Suspect" queryTableFieldId="12"/>
    <tableColumn id="13" xr3:uid="{A5F6A426-9F30-4E15-833C-3B7FAF5E90DA}" uniqueName="13" name="Use of Technology" queryTableFieldId="13"/>
    <tableColumn id="14" xr3:uid="{732D1803-4F8F-4B0F-974D-535D1D8749AF}" uniqueName="14" name="Victim Demographics" queryTableFieldId="14"/>
    <tableColumn id="15" xr3:uid="{0553828A-8436-4AC7-9061-9F4C8F4B4E0E}" uniqueName="15" name="Narrative" queryTableFieldId="15" dataDxfId="126"/>
  </tableColumns>
  <tableStyleInfo name="TableStyleMedium7"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CB1421D6-49A5-4C19-8054-CA2AEBB6C3EB}" name="ESRI_Export" displayName="ESRI_Export" ref="A1:BA61" tableType="queryTable" totalsRowShown="0">
  <autoFilter ref="A1:BA61" xr:uid="{CB1421D6-49A5-4C19-8054-CA2AEBB6C3EB}"/>
  <tableColumns count="53">
    <tableColumn id="1" xr3:uid="{1A260135-7C1F-4549-9904-CE739FD5EC03}" uniqueName="1" name="Case Number" queryTableFieldId="1" dataDxfId="72"/>
    <tableColumn id="2" xr3:uid="{4DD7E842-2F60-411B-B9F6-3C281ECAC31F}" uniqueName="2" name="BLOCK" queryTableFieldId="2"/>
    <tableColumn id="3" xr3:uid="{4C9B663C-D3D7-4259-8B0C-5229E5DA4498}" uniqueName="3" name="TIME_OF_DAY" queryTableFieldId="3"/>
    <tableColumn id="4" xr3:uid="{2DE8D3E1-FBEC-457F-B356-86209B39902B}" uniqueName="4" name="Location" queryTableFieldId="4"/>
    <tableColumn id="5" xr3:uid="{A29DC2A6-88B5-40DA-9292-7E4EDD937C4F}" uniqueName="5" name="ALL_INCIDENTS" queryTableFieldId="5"/>
    <tableColumn id="6" xr3:uid="{89DFD9AD-35B0-49E9-B322-B5332B20849E}" uniqueName="6" name="Incident Type_1" queryTableFieldId="6" dataDxfId="71"/>
    <tableColumn id="7" xr3:uid="{C529407F-93C6-44E2-A4B2-37DF973107AD}" uniqueName="7" name="Incident Type_2" queryTableFieldId="7" dataDxfId="70"/>
    <tableColumn id="8" xr3:uid="{A5C9DA51-3B47-4D4A-9728-E38676530B2A}" uniqueName="8" name="Incident Type_3" queryTableFieldId="8" dataDxfId="69"/>
    <tableColumn id="9" xr3:uid="{C0D96BA2-D73F-4F63-AF89-D200CDE2DC90}" uniqueName="9" name="FullAddress" queryTableFieldId="9" dataDxfId="68"/>
    <tableColumn id="10" xr3:uid="{3D4CF968-E25F-4F08-99D1-C58E4A2AD324}" uniqueName="10" name="Grid" queryTableFieldId="10" dataDxfId="67"/>
    <tableColumn id="11" xr3:uid="{2593D1C7-B10C-45C6-8DAB-264F25F98141}" uniqueName="11" name="Zone" queryTableFieldId="11"/>
    <tableColumn id="12" xr3:uid="{2ED77724-690B-4403-8785-7415706FD483}" uniqueName="12" name="Narrative" queryTableFieldId="12" dataDxfId="66"/>
    <tableColumn id="13" xr3:uid="{BE1573E4-230E-4143-AD28-F66AFD8FD9C6}" uniqueName="13" name="Total Value Stolen" queryTableFieldId="13"/>
    <tableColumn id="14" xr3:uid="{0C58A9F1-7DD8-49DE-A5AE-3EB9942B83D6}" uniqueName="14" name="Total Value Recover" queryTableFieldId="14"/>
    <tableColumn id="15" xr3:uid="{E3682E44-F771-470A-8C29-EEB9BC3BDE9E}" uniqueName="15" name="Registration 1" queryTableFieldId="15" dataDxfId="65"/>
    <tableColumn id="16" xr3:uid="{B7BDDA6F-6D16-4427-AD62-120FEB066753}" uniqueName="16" name="Make1" queryTableFieldId="16" dataDxfId="64"/>
    <tableColumn id="17" xr3:uid="{BA72A6D2-744E-457F-B766-23118648AF1F}" uniqueName="17" name="Model1" queryTableFieldId="17" dataDxfId="63"/>
    <tableColumn id="18" xr3:uid="{915CD8C2-0480-451E-80CE-2FE6B05BCE75}" uniqueName="18" name="Reg State 1" queryTableFieldId="18" dataDxfId="62"/>
    <tableColumn id="19" xr3:uid="{0782FA1D-DE24-487D-89CC-B1BCA46230F2}" uniqueName="19" name="Registration 2" queryTableFieldId="19"/>
    <tableColumn id="20" xr3:uid="{B6719D62-6C5B-45AE-A3A4-390A3C9C64BA}" uniqueName="20" name="Reg State 2" queryTableFieldId="20"/>
    <tableColumn id="21" xr3:uid="{8A4BB2B0-50CF-40C1-B339-B501EB50AC99}" uniqueName="21" name="Make2" queryTableFieldId="21"/>
    <tableColumn id="22" xr3:uid="{437CCA36-0B98-49CA-B4AF-7743560EC867}" uniqueName="22" name="Model2" queryTableFieldId="22"/>
    <tableColumn id="23" xr3:uid="{C0CD1E14-B795-428D-B0FE-1AE51F120424}" uniqueName="23" name="Reviewed By" queryTableFieldId="23" dataDxfId="61"/>
    <tableColumn id="24" xr3:uid="{93419BD8-E39A-453A-AF9B-64BCF9A99F4E}" uniqueName="24" name="CompleteCalc" queryTableFieldId="24" dataDxfId="60"/>
    <tableColumn id="25" xr3:uid="{341B8E26-52D7-4B68-96FF-634B7DBB2849}" uniqueName="25" name="Officer of Record" queryTableFieldId="25" dataDxfId="59"/>
    <tableColumn id="26" xr3:uid="{A3B141B7-8896-4674-BD75-17DAA900C379}" uniqueName="26" name="Squad" queryTableFieldId="26" dataDxfId="58"/>
    <tableColumn id="27" xr3:uid="{ED7BBB78-CD8B-4EF7-8214-E48B43A120A8}" uniqueName="27" name="Det_Assigned" queryTableFieldId="27" dataDxfId="57"/>
    <tableColumn id="28" xr3:uid="{23F23ECE-2E06-44D4-AB77-E882907150E7}" uniqueName="28" name="Case_Status" queryTableFieldId="28" dataDxfId="56"/>
    <tableColumn id="29" xr3:uid="{7EBB33B1-1343-4348-AFE7-6E50C41455DE}" uniqueName="29" name="NIBRS Classification" queryTableFieldId="29" dataDxfId="55"/>
    <tableColumn id="30" xr3:uid="{247D2ECE-982B-4793-A25F-FC406EDEFFBE}" uniqueName="30" name="CASE_NUMBER_LENGTH" queryTableFieldId="30"/>
    <tableColumn id="31" xr3:uid="{78048161-B080-4B0F-9129-E3469422457E}" uniqueName="31" name="Incident Date" queryTableFieldId="31" dataDxfId="54"/>
    <tableColumn id="32" xr3:uid="{AFEF0645-7380-4E23-9CDE-F1C52967B308}" uniqueName="32" name="Incident Time" queryTableFieldId="32" dataDxfId="53"/>
    <tableColumn id="33" xr3:uid="{EA9093D2-D9EE-4BC5-BE66-BA60A58F0C0D}" uniqueName="33" name="Incident Date_Between" queryTableFieldId="33" dataDxfId="52"/>
    <tableColumn id="34" xr3:uid="{D4B23FCC-5A0D-43C5-B133-2AB00A56AE7F}" uniqueName="34" name="Incident Time_Between" queryTableFieldId="34" dataDxfId="51"/>
    <tableColumn id="35" xr3:uid="{F71D72FB-A7DE-4021-A4A1-F9A67CAD2650}" uniqueName="35" name="Report Date" queryTableFieldId="35" dataDxfId="50"/>
    <tableColumn id="36" xr3:uid="{AEC507C2-512F-4A7B-8572-2EB345EC7D21}" uniqueName="36" name="Report Time" queryTableFieldId="36" dataDxfId="49"/>
    <tableColumn id="37" xr3:uid="{58F3F383-D020-4E4E-A16A-F11620B05CD9}" uniqueName="37" name="Year" queryTableFieldId="37"/>
    <tableColumn id="38" xr3:uid="{9A748EC2-34A1-42F8-940F-EFA85FB6362F}" uniqueName="38" name="St#" queryTableFieldId="38"/>
    <tableColumn id="39" xr3:uid="{063CE6FE-560C-45C4-BB93-4C03AF84046C}" uniqueName="39" name="Notes" queryTableFieldId="39"/>
    <tableColumn id="40" xr3:uid="{BF41DEC5-A309-44C2-9715-2A93C2E74611}" uniqueName="40" name="VEHICLE" queryTableFieldId="40"/>
    <tableColumn id="41" xr3:uid="{540AF7E0-57BA-4BE7-A740-61E2D3AA1927}" uniqueName="41" name="Suspect" queryTableFieldId="41"/>
    <tableColumn id="42" xr3:uid="{364C6413-5A5A-422A-AA85-AE3A47D8D290}" uniqueName="42" name="TOTAL_STOLEN_AMOUNT" queryTableFieldId="42"/>
    <tableColumn id="43" xr3:uid="{8FAF0B68-32C3-4F77-B12F-0C317981FE1B}" uniqueName="43" name="INC_DATE" queryTableFieldId="43" dataDxfId="48"/>
    <tableColumn id="44" xr3:uid="{9642897C-4BF1-46AC-861B-96D63C57FC27}" uniqueName="44" name="Start of Hour" queryTableFieldId="44" dataDxfId="47"/>
    <tableColumn id="45" xr3:uid="{FB7789C5-974F-422B-92CB-0E5DAFF8CADB}" uniqueName="45" name="INC_TIME" queryTableFieldId="45" dataDxfId="46"/>
    <tableColumn id="46" xr3:uid="{D2EDBD52-148B-42B9-A792-38A30967165F}" uniqueName="46" name="Day Name" queryTableFieldId="46"/>
    <tableColumn id="47" xr3:uid="{501CC638-89D0-4C9C-B1CF-F841D4A66CEB}" uniqueName="47" name="Month Name" queryTableFieldId="47"/>
    <tableColumn id="48" xr3:uid="{9BE38310-93EE-4046-8BD1-99C7AC5D6A43}" uniqueName="48" name="Week of Year" queryTableFieldId="48"/>
    <tableColumn id="49" xr3:uid="{F48432D7-7385-4909-9D80-FD55105D86B1}" uniqueName="49" name="Week of Month" queryTableFieldId="49"/>
    <tableColumn id="50" xr3:uid="{8716AD21-1C2D-47F2-83EF-7311D1D7F677}" uniqueName="50" name="Day" queryTableFieldId="50"/>
    <tableColumn id="51" xr3:uid="{CA486621-CF71-4D49-B6BE-1C7BA7FDCBAE}" uniqueName="51" name="Day of Year" queryTableFieldId="51"/>
    <tableColumn id="52" xr3:uid="{4823D4D6-CCF9-4DD3-85BB-461C8984EC77}" uniqueName="52" name="INC_DATE_AND_TIME" queryTableFieldId="52" dataDxfId="45"/>
    <tableColumn id="53" xr3:uid="{666806E8-A156-4145-B61D-AF5DAB48E4E3}" uniqueName="53" name="REPORT_CYCLE" queryTableFieldId="53" dataDxfId="44"/>
  </tableColumns>
  <tableStyleInfo name="TableStyleMedium7"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AFA013D5-7680-4061-A876-8543B35A58F4}" name="_25DateFormats" displayName="_25DateFormats" ref="A1:V368" tableType="queryTable" totalsRowShown="0">
  <autoFilter ref="A1:V368" xr:uid="{AFA013D5-7680-4061-A876-8543B35A58F4}"/>
  <tableColumns count="22">
    <tableColumn id="1" xr3:uid="{39B1AC97-AF47-42A6-AF70-331447681E3B}" uniqueName="1" name="Date" queryTableFieldId="1"/>
    <tableColumn id="2" xr3:uid="{64028D10-4A15-4553-8418-B2A5577188B7}" uniqueName="2" name="Start of Year" queryTableFieldId="2"/>
    <tableColumn id="3" xr3:uid="{BFB973E2-1541-4C7B-88DD-EE882FCF9FF8}" uniqueName="3" name="End of Year" queryTableFieldId="3"/>
    <tableColumn id="4" xr3:uid="{4E41EE00-2AC1-4486-AEB9-E537C6C7C39F}" uniqueName="4" name="Year" queryTableFieldId="4"/>
    <tableColumn id="5" xr3:uid="{0F9D2B21-3EAC-4A48-97AB-A758389D92F6}" uniqueName="5" name="Month" queryTableFieldId="5"/>
    <tableColumn id="6" xr3:uid="{8F4296B9-5799-4DEB-885E-A64B59BB2141}" uniqueName="6" name="Start of Month" queryTableFieldId="6"/>
    <tableColumn id="7" xr3:uid="{E7005117-D310-4040-B9AF-DEBE824FE946}" uniqueName="7" name="End of Month" queryTableFieldId="7" dataDxfId="43"/>
    <tableColumn id="8" xr3:uid="{DEFF8B13-A6A3-44AE-9515-388B37F83499}" uniqueName="8" name="Days in Month" queryTableFieldId="8"/>
    <tableColumn id="9" xr3:uid="{060E76DE-F988-457B-9F6A-1777397ED1C3}" uniqueName="9" name="Month Name" queryTableFieldId="9"/>
    <tableColumn id="10" xr3:uid="{1BF2C529-FDF8-42BD-B80D-7F5433360FED}" uniqueName="10" name="Quarter" queryTableFieldId="10"/>
    <tableColumn id="11" xr3:uid="{5B892C83-5CD8-47D3-AA43-3062C00DD832}" uniqueName="11" name="Start of Quarter" queryTableFieldId="11" dataDxfId="42"/>
    <tableColumn id="12" xr3:uid="{F6EC3D93-E0A4-4C15-A425-3781AA87540D}" uniqueName="12" name="End of Quarter" queryTableFieldId="12" dataDxfId="41"/>
    <tableColumn id="13" xr3:uid="{7C682189-9008-4FDF-A8B0-CF7FB754AFA6}" uniqueName="13" name="Week of Year" queryTableFieldId="13"/>
    <tableColumn id="14" xr3:uid="{31E2465C-C73B-44C5-961E-3904A5B6E2F1}" uniqueName="14" name="Week of Month" queryTableFieldId="14"/>
    <tableColumn id="15" xr3:uid="{AEFCC717-CD58-4C40-B228-1EAF1C733649}" uniqueName="15" name="Start of Week" queryTableFieldId="15" dataDxfId="40"/>
    <tableColumn id="16" xr3:uid="{23D0924B-BD93-4CED-9791-FB9B12CC0F54}" uniqueName="16" name="End of Week" queryTableFieldId="16" dataDxfId="39"/>
    <tableColumn id="17" xr3:uid="{0E26F369-E332-437F-A2D6-8878EAA272DC}" uniqueName="17" name="Day" queryTableFieldId="17"/>
    <tableColumn id="18" xr3:uid="{B4E40410-243C-4162-B6AA-69F7FFAA64A9}" uniqueName="18" name="Day of Week" queryTableFieldId="18"/>
    <tableColumn id="19" xr3:uid="{871E937B-A760-4700-B290-F642614BB0AE}" uniqueName="19" name="Day of Year" queryTableFieldId="19"/>
    <tableColumn id="20" xr3:uid="{FB8CCB34-717D-4B50-BE81-B5E7DBA4297C}" uniqueName="20" name="Start of Day" queryTableFieldId="20" dataDxfId="38"/>
    <tableColumn id="21" xr3:uid="{B40A4197-04AE-479C-B2CA-41D516A3A085}" uniqueName="21" name="End of Day" queryTableFieldId="21" dataDxfId="37"/>
    <tableColumn id="22" xr3:uid="{1186048E-ADF8-4AF2-8B8D-2FE39884A7A9}" uniqueName="22" name="Day Name" queryTableFieldId="22"/>
  </tableColumns>
  <tableStyleInfo name="TableStyleMedium7"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45E8A48B-37A8-4F83-8A5A-83C7ECCB81D8}" name="Debug_Transform_File" displayName="Debug_Transform_File" ref="A1:AL31" tableType="queryTable" totalsRowShown="0">
  <autoFilter ref="A1:AL31" xr:uid="{45E8A48B-37A8-4F83-8A5A-83C7ECCB81D8}"/>
  <tableColumns count="38">
    <tableColumn id="1" xr3:uid="{3BEE18C1-DAC3-4E1B-A398-4390D9F96F49}" uniqueName="1" name="CaseNumber" queryTableFieldId="1" dataDxfId="36"/>
    <tableColumn id="2" xr3:uid="{081EA527-91FA-4C7B-A17C-869FCCB5EF37}" uniqueName="2" name="IncidentDate" queryTableFieldId="2"/>
    <tableColumn id="3" xr3:uid="{DE0CA78F-00CA-40FC-9CE0-8CFDFB2981C2}" uniqueName="3" name="IncidentTime" queryTableFieldId="3"/>
    <tableColumn id="4" xr3:uid="{6BACF39F-A635-46C5-860B-EFBFB923A1E4}" uniqueName="4" name="IncidentDateBetween" queryTableFieldId="4"/>
    <tableColumn id="5" xr3:uid="{E114EA65-8287-49F9-A630-F305B993CEB9}" uniqueName="5" name="IncidentTimeBetween" queryTableFieldId="5"/>
    <tableColumn id="6" xr3:uid="{19BD3571-6F7C-4151-93C1-6D2937A145B0}" uniqueName="6" name="ReportDate" queryTableFieldId="6"/>
    <tableColumn id="7" xr3:uid="{E73D68D4-1847-4B1E-A3B2-CE5E91BD398D}" uniqueName="7" name="ReportTime" queryTableFieldId="7"/>
    <tableColumn id="8" xr3:uid="{E903C3FE-86DD-4434-BD1E-B6DFD26EFD61}" uniqueName="8" name="IncidentType1" queryTableFieldId="8"/>
    <tableColumn id="9" xr3:uid="{EA4C8AF5-63DD-4BBF-8DDA-52A98970F31A}" uniqueName="9" name="IncidentType2" queryTableFieldId="9"/>
    <tableColumn id="10" xr3:uid="{A8A599DC-4DF2-4E53-A61B-D811C6E4B391}" uniqueName="10" name="IncidentType3" queryTableFieldId="10"/>
    <tableColumn id="11" xr3:uid="{AC50BEA3-1A52-421B-847C-3D81BED8A719}" uniqueName="11" name="FullAddress" queryTableFieldId="11"/>
    <tableColumn id="12" xr3:uid="{C2FED867-EB80-432A-AB52-397B47F05C30}" uniqueName="12" name="Grid" queryTableFieldId="12"/>
    <tableColumn id="13" xr3:uid="{2E139922-A5C3-4A92-B185-79D72C2D710F}" uniqueName="13" name="Zone" queryTableFieldId="13"/>
    <tableColumn id="14" xr3:uid="{CDA7EAA5-D4BE-4B15-9CBF-283BA11B7206}" uniqueName="14" name="Narrative" queryTableFieldId="14"/>
    <tableColumn id="15" xr3:uid="{54411677-D7F3-4C21-A213-5398071303DF}" uniqueName="15" name="TotalValueStolen" queryTableFieldId="15"/>
    <tableColumn id="16" xr3:uid="{94CA9539-A49C-4137-8F3A-EF444B4144EA}" uniqueName="16" name="TotalValueRecover" queryTableFieldId="16"/>
    <tableColumn id="17" xr3:uid="{75B3E6C3-EED8-4728-BA4F-0DFCEC3751C6}" uniqueName="17" name="Registration1" queryTableFieldId="17"/>
    <tableColumn id="18" xr3:uid="{CB6A01A8-3B96-4372-84EA-128E377BCCF0}" uniqueName="18" name="Make1" queryTableFieldId="18"/>
    <tableColumn id="19" xr3:uid="{45FF5690-0D63-424F-AA03-4EA153D86117}" uniqueName="19" name="Model1" queryTableFieldId="19"/>
    <tableColumn id="20" xr3:uid="{A306C137-52A4-4F59-B94B-24F852E410F6}" uniqueName="20" name="RegState1" queryTableFieldId="20"/>
    <tableColumn id="21" xr3:uid="{03E6C31C-D732-4BC5-AEE2-2D1EDF436CE7}" uniqueName="21" name="Registration2" queryTableFieldId="21"/>
    <tableColumn id="22" xr3:uid="{E83F157F-F440-475E-90BB-4C95A66E74D4}" uniqueName="22" name="RegState2" queryTableFieldId="22"/>
    <tableColumn id="23" xr3:uid="{8094D228-C81D-4C73-80A1-7B7AC599BDD8}" uniqueName="23" name="Make2" queryTableFieldId="23"/>
    <tableColumn id="24" xr3:uid="{FD77A0C3-AE04-4D3A-9342-501805853F2D}" uniqueName="24" name="Model2" queryTableFieldId="24"/>
    <tableColumn id="25" xr3:uid="{157525B0-0E9E-445D-9EEC-A95E9392E234}" uniqueName="25" name="ReviewedBy" queryTableFieldId="25"/>
    <tableColumn id="26" xr3:uid="{AF4B0A3F-DD70-4537-A69E-483BC9B14EFF}" uniqueName="26" name="CompleteCalc" queryTableFieldId="26"/>
    <tableColumn id="27" xr3:uid="{95C0DB29-1D9F-4EBF-AA5B-54BA51AC549C}" uniqueName="27" name="OfficerOfRecord" queryTableFieldId="27"/>
    <tableColumn id="28" xr3:uid="{CDC0F11F-B24D-4A84-89DF-F87A1BD31F8E}" uniqueName="28" name="Squad" queryTableFieldId="28"/>
    <tableColumn id="29" xr3:uid="{627B6907-0AA3-4893-8EA1-9C44E6917E31}" uniqueName="29" name="Det_Assigned" queryTableFieldId="29"/>
    <tableColumn id="30" xr3:uid="{896F2376-977B-4C9F-BE84-7615872BA362}" uniqueName="30" name="Case_Status" queryTableFieldId="30"/>
    <tableColumn id="31" xr3:uid="{D6EA1E6A-4BCF-4F74-B0C6-07E744D14FD0}" uniqueName="31" name="NibrsClassification" queryTableFieldId="31"/>
    <tableColumn id="32" xr3:uid="{118A90BB-DF71-4C03-82D8-9EE289387535}" uniqueName="32" name="CaseNumberLength" queryTableFieldId="32"/>
    <tableColumn id="33" xr3:uid="{F835E314-C356-4819-9A22-7226BD1A76B1}" uniqueName="33" name="IncDate" queryTableFieldId="33"/>
    <tableColumn id="34" xr3:uid="{4FEABBC9-85B2-4A41-83E3-513DCDB2C143}" uniqueName="34" name="IncDateError" queryTableFieldId="34" dataDxfId="35"/>
    <tableColumn id="35" xr3:uid="{5C98DA90-858A-4D5D-8CE7-33BD2739F08B}" uniqueName="35" name="IncTime" queryTableFieldId="35"/>
    <tableColumn id="36" xr3:uid="{D03968A0-CD0D-4247-B9AD-66804763D9CB}" uniqueName="36" name="IncTimeError" queryTableFieldId="36" dataDxfId="34"/>
    <tableColumn id="37" xr3:uid="{065AEBAE-3C68-4741-BB54-0CEAB037D32C}" uniqueName="37" name="StartOfHour" queryTableFieldId="37" dataDxfId="33"/>
    <tableColumn id="38" xr3:uid="{28AF5CB2-23CD-4A60-AC85-31498203280C}" uniqueName="38" name="StartOfHourError" queryTableFieldId="38" dataDxfId="32"/>
  </tableColumns>
  <tableStyleInfo name="TableStyleMedium7"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550CC6F-DCE6-452D-A909-6929E27084A0}" name="RMS" displayName="RMS" ref="A1:M1013" tableType="queryTable" totalsRowShown="0" headerRowDxfId="31" dataDxfId="30">
  <autoFilter ref="A1:M1013" xr:uid="{D550CC6F-DCE6-452D-A909-6929E27084A0}"/>
  <sortState xmlns:xlrd2="http://schemas.microsoft.com/office/spreadsheetml/2017/richdata2" ref="A2:M1013">
    <sortCondition ref="J1:J1013"/>
  </sortState>
  <tableColumns count="13">
    <tableColumn id="1" xr3:uid="{A3AB1587-7489-4D36-BB05-A4551370BF3B}" uniqueName="1" name="Name" queryTableFieldId="182" dataDxfId="29"/>
    <tableColumn id="2" xr3:uid="{524D84A8-3D64-4134-814C-04188ECD66EA}" uniqueName="2" name="Extension" queryTableFieldId="183" dataDxfId="28"/>
    <tableColumn id="3" xr3:uid="{874FBBFF-485D-43BA-A66B-B323405271CF}" uniqueName="3" name="Date accessed" queryTableFieldId="184" dataDxfId="27"/>
    <tableColumn id="4" xr3:uid="{BF35D019-748E-49BF-A098-72FDA68D8004}" uniqueName="4" name="Date modified" queryTableFieldId="185" dataDxfId="26"/>
    <tableColumn id="5" xr3:uid="{1AFC4955-D2BB-41D8-A7B1-66A3298A3AEE}" uniqueName="5" name="Date created" queryTableFieldId="186" dataDxfId="25"/>
    <tableColumn id="6" xr3:uid="{AD960E79-A57B-4099-AA2A-37ED5A5414FD}" uniqueName="6" name="Folder Path" queryTableFieldId="187" dataDxfId="24"/>
    <tableColumn id="7" xr3:uid="{7EEFCA4F-EDA5-4661-987A-076EDCFA85BC}" uniqueName="7" name="CaseNumber" queryTableFieldId="188" dataDxfId="23"/>
    <tableColumn id="8" xr3:uid="{119C6183-9ACA-48B5-ADBE-2BB18D71F366}" uniqueName="8" name="FullAddress" queryTableFieldId="189" dataDxfId="22"/>
    <tableColumn id="9" xr3:uid="{ACFDF645-C312-4D03-95EE-BA857C9D61C8}" uniqueName="9" name="CaseNumberLength" queryTableFieldId="190" dataDxfId="21"/>
    <tableColumn id="10" xr3:uid="{265A69C0-E8D1-46EE-8F47-7D900DFF115C}" uniqueName="10" name="IncDate" queryTableFieldId="191" dataDxfId="20"/>
    <tableColumn id="11" xr3:uid="{3B8E83F8-6727-42D9-B323-4E06F3BFE90B}" uniqueName="11" name="IncTime" queryTableFieldId="192" dataDxfId="19"/>
    <tableColumn id="12" xr3:uid="{5978DBAB-0733-44C7-A93B-C10123597DBE}" uniqueName="12" name="StartOfHour" queryTableFieldId="193" dataDxfId="18"/>
    <tableColumn id="13" xr3:uid="{693CCE66-FBFC-4A26-88D2-0C3DE7FA234E}" uniqueName="13" name="TimeOfDay" queryTableFieldId="194" dataDxfId="17"/>
  </tableColumns>
  <tableStyleInfo name="TableStyleLight18 3"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C3D7BFB5-DE87-453F-B008-96471774DBC6}" name="_7Day_28Day_250414___2" displayName="_7Day_28Day_250414___2" ref="A1:G53" totalsRowShown="0">
  <autoFilter ref="A1:G53" xr:uid="{C3D7BFB5-DE87-453F-B008-96471774DBC6}"/>
  <tableColumns count="7">
    <tableColumn id="1" xr3:uid="{718B9033-645F-4266-9860-38B3FB024295}" name="Report_Due_Date" dataDxfId="16"/>
    <tableColumn id="2" xr3:uid="{98C5A2A6-E059-4AE5-B823-AB869D699EEA}" name="7_Day_Start" dataDxfId="15"/>
    <tableColumn id="3" xr3:uid="{F7298E0B-BF8D-4557-879F-7FF7C9A82CA0}" name="7_Day_End" dataDxfId="14"/>
    <tableColumn id="4" xr3:uid="{31C984E2-8588-4006-8DB0-C106BC1436C5}" name="28_Day_Start" dataDxfId="13"/>
    <tableColumn id="5" xr3:uid="{056A364F-B3DB-415C-A46D-4F5FCBC5B32B}" name="28_Day_End" dataDxfId="12"/>
    <tableColumn id="6" xr3:uid="{BC69DFC2-EB2B-43B8-B52F-070228AA9EB3}" name="Report_Name" dataDxfId="11"/>
    <tableColumn id="7" xr3:uid="{B2AE0C58-411A-4344-8B07-E9FEB8FC8489}" name="Is_Due"/>
  </tableColumns>
  <tableStyleInfo name="TableStyleMedium7"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FC77E981-624B-4750-9390-1B1C1ACBE2F8}" name="_7Day_28Day_250414_" displayName="_7Day_28Day_250414_" ref="A1:G53" totalsRowShown="0" headerRowDxfId="10" dataDxfId="9">
  <autoFilter ref="A1:G53" xr:uid="{FC77E981-624B-4750-9390-1B1C1ACBE2F8}"/>
  <tableColumns count="7">
    <tableColumn id="1" xr3:uid="{C2077B8A-7848-45BC-80C0-09EA31469A71}" name="Report_Due_Date" dataDxfId="8"/>
    <tableColumn id="2" xr3:uid="{FD915C28-FAFC-45F9-A51F-115DE8D4C365}" name="7_Day_Start" dataDxfId="7"/>
    <tableColumn id="3" xr3:uid="{B72998EF-7A6B-4A03-8A36-1DE4719FBBE0}" name="7_Day_End" dataDxfId="6"/>
    <tableColumn id="4" xr3:uid="{8036B9F5-2CED-4D6B-9BD1-0772683EAF00}" name="28_Day_Start" dataDxfId="5"/>
    <tableColumn id="5" xr3:uid="{3D318415-2E7E-4770-ADB7-937F1DE183E2}" name="28_Day_End" dataDxfId="4"/>
    <tableColumn id="6" xr3:uid="{7B8B2D79-5155-4A65-86BB-524E8C2DA487}" name="Report_Name" dataDxfId="3"/>
    <tableColumn id="7" xr3:uid="{162878D3-B867-46F0-8059-C535B1BF9949}" name="Is_Due" dataDxfId="2">
      <calculatedColumnFormula>_7Day_28Day_250414_[[#This Row],[Report_Due_Date]]=TODAY()+MOD(2-WEEKDAY(TODAY(),2),7)+IF(WEEKDAY(TODAY(),2)=2,7,0)</calculatedColumnFormula>
    </tableColumn>
  </tableColumns>
  <tableStyleInfo name="TableStyleLight15 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2" Type="http://schemas.openxmlformats.org/officeDocument/2006/relationships/table" Target="../tables/table7.xml"/><Relationship Id="rId1" Type="http://schemas.openxmlformats.org/officeDocument/2006/relationships/printerSettings" Target="../printerSettings/printerSettings2.bin"/></Relationships>
</file>

<file path=xl/worksheets/_rels/sheet8.xml.rels><?xml version="1.0" encoding="UTF-8" standalone="yes"?>
<Relationships xmlns="http://schemas.openxmlformats.org/package/2006/relationships"><Relationship Id="rId1" Type="http://schemas.openxmlformats.org/officeDocument/2006/relationships/table" Target="../tables/table8.xml"/></Relationships>
</file>

<file path=xl/worksheets/_rels/sheet9.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0.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pivotTable" Target="../pivotTables/pivotTable4.xml"/><Relationship Id="rId1" Type="http://schemas.openxmlformats.org/officeDocument/2006/relationships/pivotTable" Target="../pivotTables/pivotTable3.xml"/><Relationship Id="rId4" Type="http://schemas.openxmlformats.org/officeDocument/2006/relationships/table" Target="../tables/table10.xml"/></Relationships>
</file>

<file path=xl/worksheets/_rels/sheet11.xml.rels><?xml version="1.0" encoding="UTF-8" standalone="yes"?>
<Relationships xmlns="http://schemas.openxmlformats.org/package/2006/relationships"><Relationship Id="rId2" Type="http://schemas.openxmlformats.org/officeDocument/2006/relationships/table" Target="../tables/table11.xml"/><Relationship Id="rId1" Type="http://schemas.openxmlformats.org/officeDocument/2006/relationships/printerSettings" Target="../printerSettings/printerSettings4.bin"/></Relationships>
</file>

<file path=xl/worksheets/_rels/sheet12.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13.xml"/></Relationships>
</file>

<file path=xl/worksheets/_rels/sheet14.xml.rels><?xml version="1.0" encoding="UTF-8" standalone="yes"?>
<Relationships xmlns="http://schemas.openxmlformats.org/package/2006/relationships"><Relationship Id="rId3" Type="http://schemas.openxmlformats.org/officeDocument/2006/relationships/printerSettings" Target="../printerSettings/printerSettings5.bin"/><Relationship Id="rId2" Type="http://schemas.openxmlformats.org/officeDocument/2006/relationships/pivotTable" Target="../pivotTables/pivotTable6.xml"/><Relationship Id="rId1" Type="http://schemas.openxmlformats.org/officeDocument/2006/relationships/pivotTable" Target="../pivotTables/pivotTable5.xml"/><Relationship Id="rId6" Type="http://schemas.openxmlformats.org/officeDocument/2006/relationships/table" Target="../tables/table16.xml"/><Relationship Id="rId5" Type="http://schemas.openxmlformats.org/officeDocument/2006/relationships/table" Target="../tables/table15.xml"/><Relationship Id="rId4" Type="http://schemas.openxmlformats.org/officeDocument/2006/relationships/table" Target="../tables/table14.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17.xml"/></Relationships>
</file>

<file path=xl/worksheets/_rels/sheet16.xml.rels><?xml version="1.0" encoding="UTF-8" standalone="yes"?>
<Relationships xmlns="http://schemas.openxmlformats.org/package/2006/relationships"><Relationship Id="rId1" Type="http://schemas.openxmlformats.org/officeDocument/2006/relationships/table" Target="../tables/table18.xml"/></Relationships>
</file>

<file path=xl/worksheets/_rels/sheet17.xml.rels><?xml version="1.0" encoding="UTF-8" standalone="yes"?>
<Relationships xmlns="http://schemas.openxmlformats.org/package/2006/relationships"><Relationship Id="rId1" Type="http://schemas.openxmlformats.org/officeDocument/2006/relationships/table" Target="../tables/table19.xml"/></Relationships>
</file>

<file path=xl/worksheets/_rels/sheet18.xml.rels><?xml version="1.0" encoding="UTF-8" standalone="yes"?>
<Relationships xmlns="http://schemas.openxmlformats.org/package/2006/relationships"><Relationship Id="rId3" Type="http://schemas.openxmlformats.org/officeDocument/2006/relationships/printerSettings" Target="../printerSettings/printerSettings6.bin"/><Relationship Id="rId7" Type="http://schemas.openxmlformats.org/officeDocument/2006/relationships/table" Target="../tables/table22.xml"/><Relationship Id="rId2" Type="http://schemas.openxmlformats.org/officeDocument/2006/relationships/pivotTable" Target="../pivotTables/pivotTable8.xml"/><Relationship Id="rId1" Type="http://schemas.openxmlformats.org/officeDocument/2006/relationships/pivotTable" Target="../pivotTables/pivotTable7.xml"/><Relationship Id="rId6" Type="http://schemas.openxmlformats.org/officeDocument/2006/relationships/table" Target="../tables/table21.xml"/><Relationship Id="rId5" Type="http://schemas.openxmlformats.org/officeDocument/2006/relationships/table" Target="../tables/table20.xml"/><Relationship Id="rId4" Type="http://schemas.openxmlformats.org/officeDocument/2006/relationships/drawing" Target="../drawings/drawing1.xml"/></Relationships>
</file>

<file path=xl/worksheets/_rels/sheet19.xml.rels><?xml version="1.0" encoding="UTF-8" standalone="yes"?>
<Relationships xmlns="http://schemas.openxmlformats.org/package/2006/relationships"><Relationship Id="rId2" Type="http://schemas.openxmlformats.org/officeDocument/2006/relationships/table" Target="../tables/table23.xml"/><Relationship Id="rId1" Type="http://schemas.openxmlformats.org/officeDocument/2006/relationships/printerSettings" Target="../printerSettings/printerSettings7.bin"/></Relationships>
</file>

<file path=xl/worksheets/_rels/sheet20.xml.rels><?xml version="1.0" encoding="UTF-8" standalone="yes"?>
<Relationships xmlns="http://schemas.openxmlformats.org/package/2006/relationships"><Relationship Id="rId1" Type="http://schemas.openxmlformats.org/officeDocument/2006/relationships/table" Target="../tables/table24.xml"/></Relationships>
</file>

<file path=xl/worksheets/_rels/sheet21.xml.rels><?xml version="1.0" encoding="UTF-8" standalone="yes"?>
<Relationships xmlns="http://schemas.openxmlformats.org/package/2006/relationships"><Relationship Id="rId1" Type="http://schemas.openxmlformats.org/officeDocument/2006/relationships/table" Target="../tables/table25.xml"/></Relationships>
</file>

<file path=xl/worksheets/_rels/sheet22.xml.rels><?xml version="1.0" encoding="UTF-8" standalone="yes"?>
<Relationships xmlns="http://schemas.openxmlformats.org/package/2006/relationships"><Relationship Id="rId3" Type="http://schemas.openxmlformats.org/officeDocument/2006/relationships/printerSettings" Target="../printerSettings/printerSettings8.bin"/><Relationship Id="rId2" Type="http://schemas.openxmlformats.org/officeDocument/2006/relationships/pivotTable" Target="../pivotTables/pivotTable10.xml"/><Relationship Id="rId1" Type="http://schemas.openxmlformats.org/officeDocument/2006/relationships/pivotTable" Target="../pivotTables/pivotTable9.xml"/></Relationships>
</file>

<file path=xl/worksheets/_rels/sheet24.xml.rels><?xml version="1.0" encoding="UTF-8" standalone="yes"?>
<Relationships xmlns="http://schemas.openxmlformats.org/package/2006/relationships"><Relationship Id="rId1" Type="http://schemas.openxmlformats.org/officeDocument/2006/relationships/table" Target="../tables/table26.xml"/></Relationships>
</file>

<file path=xl/worksheets/_rels/sheet25.xml.rels><?xml version="1.0" encoding="UTF-8" standalone="yes"?>
<Relationships xmlns="http://schemas.openxmlformats.org/package/2006/relationships"><Relationship Id="rId1" Type="http://schemas.openxmlformats.org/officeDocument/2006/relationships/queryTable" Target="../queryTables/queryTable19.xml"/></Relationships>
</file>

<file path=xl/worksheets/_rels/sheet26.xml.rels><?xml version="1.0" encoding="UTF-8" standalone="yes"?>
<Relationships xmlns="http://schemas.openxmlformats.org/package/2006/relationships"><Relationship Id="rId1" Type="http://schemas.openxmlformats.org/officeDocument/2006/relationships/table" Target="../tables/table27.xml"/></Relationships>
</file>

<file path=xl/worksheets/_rels/sheet27.xml.rels><?xml version="1.0" encoding="UTF-8" standalone="yes"?>
<Relationships xmlns="http://schemas.openxmlformats.org/package/2006/relationships"><Relationship Id="rId1" Type="http://schemas.openxmlformats.org/officeDocument/2006/relationships/table" Target="../tables/table28.xml"/></Relationships>
</file>

<file path=xl/worksheets/_rels/sheet28.xml.rels><?xml version="1.0" encoding="UTF-8" standalone="yes"?>
<Relationships xmlns="http://schemas.openxmlformats.org/package/2006/relationships"><Relationship Id="rId1" Type="http://schemas.openxmlformats.org/officeDocument/2006/relationships/queryTable" Target="../queryTables/queryTable22.xml"/></Relationships>
</file>

<file path=xl/worksheets/_rels/sheet29.xml.rels><?xml version="1.0" encoding="UTF-8" standalone="yes"?>
<Relationships xmlns="http://schemas.openxmlformats.org/package/2006/relationships"><Relationship Id="rId1" Type="http://schemas.openxmlformats.org/officeDocument/2006/relationships/queryTable" Target="../queryTables/queryTable23.xml"/></Relationships>
</file>

<file path=xl/worksheets/_rels/sheet30.xml.rels><?xml version="1.0" encoding="UTF-8" standalone="yes"?>
<Relationships xmlns="http://schemas.openxmlformats.org/package/2006/relationships"><Relationship Id="rId1" Type="http://schemas.openxmlformats.org/officeDocument/2006/relationships/queryTable" Target="../queryTables/queryTable24.xml"/></Relationships>
</file>

<file path=xl/worksheets/_rels/sheet31.xml.rels><?xml version="1.0" encoding="UTF-8" standalone="yes"?>
<Relationships xmlns="http://schemas.openxmlformats.org/package/2006/relationships"><Relationship Id="rId1" Type="http://schemas.openxmlformats.org/officeDocument/2006/relationships/queryTable" Target="../queryTables/queryTable25.xml"/></Relationships>
</file>

<file path=xl/worksheets/_rels/sheet32.xml.rels><?xml version="1.0" encoding="UTF-8" standalone="yes"?>
<Relationships xmlns="http://schemas.openxmlformats.org/package/2006/relationships"><Relationship Id="rId2" Type="http://schemas.openxmlformats.org/officeDocument/2006/relationships/table" Target="../tables/table29.xml"/><Relationship Id="rId1" Type="http://schemas.openxmlformats.org/officeDocument/2006/relationships/printerSettings" Target="../printerSettings/printerSettings9.bin"/></Relationships>
</file>

<file path=xl/worksheets/_rels/sheet33.xml.rels><?xml version="1.0" encoding="UTF-8" standalone="yes"?>
<Relationships xmlns="http://schemas.openxmlformats.org/package/2006/relationships"><Relationship Id="rId1" Type="http://schemas.openxmlformats.org/officeDocument/2006/relationships/table" Target="../tables/table30.xml"/></Relationships>
</file>

<file path=xl/worksheets/_rels/sheet34.xml.rels><?xml version="1.0" encoding="UTF-8" standalone="yes"?>
<Relationships xmlns="http://schemas.openxmlformats.org/package/2006/relationships"><Relationship Id="rId1" Type="http://schemas.openxmlformats.org/officeDocument/2006/relationships/table" Target="../tables/table3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2F805C-7395-4B3F-93BE-BDFC93BAE616}">
  <sheetPr>
    <tabColor rgb="FFD3B5E9"/>
  </sheetPr>
  <dimension ref="A1:AV6"/>
  <sheetViews>
    <sheetView workbookViewId="0">
      <selection sqref="A1:XFD1"/>
    </sheetView>
  </sheetViews>
  <sheetFormatPr defaultRowHeight="15" x14ac:dyDescent="0.25"/>
  <cols>
    <col min="1" max="1" width="14.42578125" bestFit="1" customWidth="1"/>
    <col min="2" max="2" width="19.5703125" bestFit="1" customWidth="1"/>
    <col min="3" max="3" width="23.85546875" bestFit="1" customWidth="1"/>
    <col min="4" max="4" width="17.28515625" bestFit="1" customWidth="1"/>
    <col min="5" max="5" width="49.140625" bestFit="1" customWidth="1"/>
    <col min="6" max="6" width="17.7109375" bestFit="1" customWidth="1"/>
    <col min="7" max="7" width="25.7109375" bestFit="1" customWidth="1"/>
    <col min="8" max="8" width="16.7109375" bestFit="1" customWidth="1"/>
    <col min="9" max="9" width="36.85546875" bestFit="1" customWidth="1"/>
    <col min="10" max="10" width="6.7109375" bestFit="1" customWidth="1"/>
    <col min="11" max="11" width="7.7109375" bestFit="1" customWidth="1"/>
    <col min="12" max="12" width="80.85546875" bestFit="1" customWidth="1"/>
    <col min="13" max="13" width="18.5703125" bestFit="1" customWidth="1"/>
    <col min="14" max="14" width="20.140625" bestFit="1" customWidth="1"/>
    <col min="15" max="15" width="14.7109375" bestFit="1" customWidth="1"/>
    <col min="16" max="16" width="10.7109375" bestFit="1" customWidth="1"/>
    <col min="17" max="17" width="9.7109375" bestFit="1" customWidth="1"/>
    <col min="18" max="18" width="12.5703125" bestFit="1" customWidth="1"/>
    <col min="19" max="19" width="14.7109375" bestFit="1" customWidth="1"/>
    <col min="20" max="20" width="12.5703125" bestFit="1" customWidth="1"/>
    <col min="21" max="21" width="9" bestFit="1" customWidth="1"/>
    <col min="22" max="22" width="9.7109375" bestFit="1" customWidth="1"/>
    <col min="23" max="23" width="13.85546875" bestFit="1" customWidth="1"/>
    <col min="24" max="24" width="14.7109375" bestFit="1" customWidth="1"/>
    <col min="25" max="25" width="24.7109375" bestFit="1" customWidth="1"/>
    <col min="26" max="26" width="8.5703125" bestFit="1" customWidth="1"/>
    <col min="27" max="27" width="25" bestFit="1" customWidth="1"/>
    <col min="28" max="28" width="17" bestFit="1" customWidth="1"/>
    <col min="29" max="29" width="19.85546875" bestFit="1" customWidth="1"/>
    <col min="30" max="30" width="24.42578125" bestFit="1" customWidth="1"/>
    <col min="31" max="31" width="7.140625" bestFit="1" customWidth="1"/>
    <col min="32" max="32" width="6.140625" bestFit="1" customWidth="1"/>
    <col min="33" max="33" width="80.85546875" bestFit="1" customWidth="1"/>
    <col min="34" max="34" width="59.7109375" bestFit="1" customWidth="1"/>
    <col min="35" max="36" width="80.85546875" bestFit="1" customWidth="1"/>
    <col min="37" max="37" width="11.85546875" bestFit="1" customWidth="1"/>
    <col min="38" max="38" width="22.7109375" bestFit="1" customWidth="1"/>
    <col min="39" max="39" width="14.28515625" bestFit="1" customWidth="1"/>
    <col min="40" max="40" width="13.28515625" bestFit="1" customWidth="1"/>
    <col min="41" max="41" width="11.85546875" bestFit="1" customWidth="1"/>
    <col min="42" max="42" width="14.42578125" bestFit="1" customWidth="1"/>
    <col min="43" max="43" width="14.5703125" bestFit="1" customWidth="1"/>
    <col min="44" max="44" width="16.7109375" bestFit="1" customWidth="1"/>
    <col min="45" max="45" width="6.7109375" bestFit="1" customWidth="1"/>
    <col min="46" max="46" width="13" bestFit="1" customWidth="1"/>
    <col min="47" max="47" width="22.28515625" bestFit="1" customWidth="1"/>
    <col min="48" max="48" width="16.140625" bestFit="1" customWidth="1"/>
  </cols>
  <sheetData>
    <row r="1" spans="1:48" s="31" customFormat="1" ht="15.75" x14ac:dyDescent="0.25">
      <c r="A1" s="120" t="s">
        <v>0</v>
      </c>
      <c r="B1" s="120" t="s">
        <v>7</v>
      </c>
      <c r="C1" s="120" t="s">
        <v>52</v>
      </c>
      <c r="D1" s="120" t="s">
        <v>8</v>
      </c>
      <c r="E1" s="120" t="s">
        <v>10</v>
      </c>
      <c r="F1" s="120" t="s">
        <v>9</v>
      </c>
      <c r="G1" s="120" t="s">
        <v>11</v>
      </c>
      <c r="H1" s="120" t="s">
        <v>12</v>
      </c>
      <c r="I1" s="120" t="s">
        <v>13</v>
      </c>
      <c r="J1" s="120" t="s">
        <v>14</v>
      </c>
      <c r="K1" s="120" t="s">
        <v>15</v>
      </c>
      <c r="L1" s="120" t="s">
        <v>16</v>
      </c>
      <c r="M1" s="120" t="s">
        <v>17</v>
      </c>
      <c r="N1" s="120" t="s">
        <v>18</v>
      </c>
      <c r="O1" s="120" t="s">
        <v>19</v>
      </c>
      <c r="P1" s="120" t="s">
        <v>20</v>
      </c>
      <c r="Q1" s="120" t="s">
        <v>21</v>
      </c>
      <c r="R1" s="120" t="s">
        <v>22</v>
      </c>
      <c r="S1" s="120" t="s">
        <v>23</v>
      </c>
      <c r="T1" s="120" t="s">
        <v>24</v>
      </c>
      <c r="U1" s="120" t="s">
        <v>25</v>
      </c>
      <c r="V1" s="120" t="s">
        <v>26</v>
      </c>
      <c r="W1" s="120" t="s">
        <v>27</v>
      </c>
      <c r="X1" s="120" t="s">
        <v>28</v>
      </c>
      <c r="Y1" s="120" t="s">
        <v>29</v>
      </c>
      <c r="Z1" s="120" t="s">
        <v>30</v>
      </c>
      <c r="AA1" s="120" t="s">
        <v>31</v>
      </c>
      <c r="AB1" s="120" t="s">
        <v>32</v>
      </c>
      <c r="AC1" s="120" t="s">
        <v>33</v>
      </c>
      <c r="AD1" s="120" t="s">
        <v>34</v>
      </c>
      <c r="AE1" s="120" t="s">
        <v>41</v>
      </c>
      <c r="AF1" s="120" t="s">
        <v>47</v>
      </c>
      <c r="AG1" s="120" t="s">
        <v>459</v>
      </c>
      <c r="AH1" s="120" t="s">
        <v>48</v>
      </c>
      <c r="AI1" s="120" t="s">
        <v>49</v>
      </c>
      <c r="AJ1" s="120" t="s">
        <v>50</v>
      </c>
      <c r="AK1" s="120" t="s">
        <v>1</v>
      </c>
      <c r="AL1" s="120" t="s">
        <v>2</v>
      </c>
      <c r="AM1" s="120" t="s">
        <v>3</v>
      </c>
      <c r="AN1" s="120" t="s">
        <v>4</v>
      </c>
      <c r="AO1" s="120" t="s">
        <v>5</v>
      </c>
      <c r="AP1" s="120" t="s">
        <v>6</v>
      </c>
      <c r="AQ1" s="120" t="s">
        <v>42</v>
      </c>
      <c r="AR1" s="120" t="s">
        <v>43</v>
      </c>
      <c r="AS1" s="120" t="s">
        <v>44</v>
      </c>
      <c r="AT1" s="120" t="s">
        <v>45</v>
      </c>
      <c r="AU1" s="120" t="s">
        <v>46</v>
      </c>
      <c r="AV1" s="120" t="s">
        <v>51</v>
      </c>
    </row>
    <row r="2" spans="1:48" ht="15.75" x14ac:dyDescent="0.25">
      <c r="A2" s="35" t="s">
        <v>717</v>
      </c>
      <c r="B2" s="35" t="s">
        <v>718</v>
      </c>
      <c r="C2" s="35" t="s">
        <v>172</v>
      </c>
      <c r="D2" s="35" t="s">
        <v>719</v>
      </c>
      <c r="E2" s="35" t="s">
        <v>720</v>
      </c>
      <c r="F2" s="35" t="s">
        <v>58</v>
      </c>
      <c r="G2" s="35" t="s">
        <v>361</v>
      </c>
      <c r="H2" s="35" t="s">
        <v>721</v>
      </c>
      <c r="I2" s="35" t="s">
        <v>722</v>
      </c>
      <c r="J2" s="35" t="s">
        <v>592</v>
      </c>
      <c r="K2" s="35">
        <v>7</v>
      </c>
      <c r="L2" s="35" t="s">
        <v>723</v>
      </c>
      <c r="M2" s="35"/>
      <c r="N2" s="35"/>
      <c r="O2" s="35" t="s">
        <v>724</v>
      </c>
      <c r="P2" s="35" t="s">
        <v>500</v>
      </c>
      <c r="Q2" s="35" t="s">
        <v>725</v>
      </c>
      <c r="R2" s="35" t="s">
        <v>65</v>
      </c>
      <c r="S2" s="35"/>
      <c r="T2" s="35"/>
      <c r="U2" s="35"/>
      <c r="V2" s="35"/>
      <c r="W2" s="35" t="s">
        <v>726</v>
      </c>
      <c r="X2" s="35" t="s">
        <v>67</v>
      </c>
      <c r="Y2" s="35" t="s">
        <v>89</v>
      </c>
      <c r="Z2" s="35" t="s">
        <v>90</v>
      </c>
      <c r="AA2" s="35"/>
      <c r="AB2" s="35"/>
      <c r="AC2" s="35"/>
      <c r="AD2" s="35">
        <v>9</v>
      </c>
      <c r="AE2" s="35">
        <v>2025</v>
      </c>
      <c r="AF2" s="35">
        <v>120</v>
      </c>
      <c r="AG2" s="35" t="s">
        <v>723</v>
      </c>
      <c r="AH2" s="35" t="s">
        <v>727</v>
      </c>
      <c r="AI2" s="35" t="s">
        <v>728</v>
      </c>
      <c r="AJ2" s="35" t="s">
        <v>729</v>
      </c>
      <c r="AK2" s="185">
        <v>45755</v>
      </c>
      <c r="AL2" s="35" t="s">
        <v>162</v>
      </c>
      <c r="AM2" s="187">
        <v>0</v>
      </c>
      <c r="AN2" s="187">
        <v>3.2638888888888891E-2</v>
      </c>
      <c r="AO2" s="35" t="s">
        <v>451</v>
      </c>
      <c r="AP2" s="35" t="s">
        <v>598</v>
      </c>
      <c r="AQ2" s="35">
        <v>15</v>
      </c>
      <c r="AR2" s="35">
        <v>2</v>
      </c>
      <c r="AS2" s="35">
        <v>8</v>
      </c>
      <c r="AT2" s="35">
        <v>98</v>
      </c>
      <c r="AU2" s="188">
        <v>45755.032638888886</v>
      </c>
      <c r="AV2" s="35" t="s">
        <v>730</v>
      </c>
    </row>
    <row r="3" spans="1:48" ht="15.75" x14ac:dyDescent="0.25">
      <c r="A3" s="35" t="s">
        <v>819</v>
      </c>
      <c r="B3" s="35" t="s">
        <v>294</v>
      </c>
      <c r="C3" s="35" t="s">
        <v>76</v>
      </c>
      <c r="D3" s="35" t="s">
        <v>820</v>
      </c>
      <c r="E3" s="35" t="s">
        <v>132</v>
      </c>
      <c r="F3" s="35" t="s">
        <v>132</v>
      </c>
      <c r="G3" s="35" t="s">
        <v>59</v>
      </c>
      <c r="H3" s="35" t="s">
        <v>59</v>
      </c>
      <c r="I3" s="35" t="s">
        <v>821</v>
      </c>
      <c r="J3" s="35" t="s">
        <v>145</v>
      </c>
      <c r="K3" s="35">
        <v>5</v>
      </c>
      <c r="L3" s="35" t="s">
        <v>822</v>
      </c>
      <c r="M3" s="35"/>
      <c r="N3" s="35"/>
      <c r="O3" s="35"/>
      <c r="P3" s="35"/>
      <c r="Q3" s="35"/>
      <c r="R3" s="35"/>
      <c r="S3" s="35"/>
      <c r="T3" s="35"/>
      <c r="U3" s="35"/>
      <c r="V3" s="35"/>
      <c r="W3" s="35" t="s">
        <v>416</v>
      </c>
      <c r="X3" s="35" t="s">
        <v>67</v>
      </c>
      <c r="Y3" s="35" t="s">
        <v>579</v>
      </c>
      <c r="Z3" s="35" t="s">
        <v>121</v>
      </c>
      <c r="AA3" s="35" t="s">
        <v>106</v>
      </c>
      <c r="AB3" s="35" t="s">
        <v>123</v>
      </c>
      <c r="AC3" s="35"/>
      <c r="AD3" s="35">
        <v>9</v>
      </c>
      <c r="AE3" s="35">
        <v>2025</v>
      </c>
      <c r="AF3" s="35">
        <v>140</v>
      </c>
      <c r="AG3" s="35" t="s">
        <v>822</v>
      </c>
      <c r="AH3" s="35"/>
      <c r="AI3" s="35" t="s">
        <v>59</v>
      </c>
      <c r="AJ3" s="35" t="s">
        <v>823</v>
      </c>
      <c r="AK3" s="185">
        <v>45755</v>
      </c>
      <c r="AL3" s="35" t="s">
        <v>54</v>
      </c>
      <c r="AM3" s="187">
        <v>0.5</v>
      </c>
      <c r="AN3" s="187">
        <v>0.5</v>
      </c>
      <c r="AO3" s="35" t="s">
        <v>451</v>
      </c>
      <c r="AP3" s="35" t="s">
        <v>598</v>
      </c>
      <c r="AQ3" s="35">
        <v>15</v>
      </c>
      <c r="AR3" s="35">
        <v>2</v>
      </c>
      <c r="AS3" s="35">
        <v>8</v>
      </c>
      <c r="AT3" s="35">
        <v>98</v>
      </c>
      <c r="AU3" s="188">
        <v>45755.5</v>
      </c>
      <c r="AV3" s="35" t="s">
        <v>730</v>
      </c>
    </row>
    <row r="4" spans="1:48" ht="15.75" x14ac:dyDescent="0.25">
      <c r="A4" s="35" t="s">
        <v>799</v>
      </c>
      <c r="B4" s="35" t="s">
        <v>800</v>
      </c>
      <c r="C4" s="35" t="s">
        <v>109</v>
      </c>
      <c r="D4" s="35" t="s">
        <v>801</v>
      </c>
      <c r="E4" s="35" t="s">
        <v>58</v>
      </c>
      <c r="F4" s="35" t="s">
        <v>58</v>
      </c>
      <c r="G4" s="35" t="s">
        <v>59</v>
      </c>
      <c r="H4" s="35" t="s">
        <v>59</v>
      </c>
      <c r="I4" s="35" t="s">
        <v>802</v>
      </c>
      <c r="J4" s="35" t="s">
        <v>155</v>
      </c>
      <c r="K4" s="35">
        <v>8</v>
      </c>
      <c r="L4" s="35" t="s">
        <v>803</v>
      </c>
      <c r="M4" s="35"/>
      <c r="N4" s="35"/>
      <c r="O4" s="35" t="s">
        <v>804</v>
      </c>
      <c r="P4" s="35" t="s">
        <v>555</v>
      </c>
      <c r="Q4" s="35" t="s">
        <v>805</v>
      </c>
      <c r="R4" s="35" t="s">
        <v>65</v>
      </c>
      <c r="S4" s="35"/>
      <c r="T4" s="35"/>
      <c r="U4" s="35"/>
      <c r="V4" s="35"/>
      <c r="W4" s="35" t="s">
        <v>416</v>
      </c>
      <c r="X4" s="35" t="s">
        <v>67</v>
      </c>
      <c r="Y4" s="35" t="s">
        <v>244</v>
      </c>
      <c r="Z4" s="35" t="s">
        <v>206</v>
      </c>
      <c r="AA4" s="35" t="s">
        <v>524</v>
      </c>
      <c r="AB4" s="35" t="s">
        <v>123</v>
      </c>
      <c r="AC4" s="35"/>
      <c r="AD4" s="35">
        <v>9</v>
      </c>
      <c r="AE4" s="35">
        <v>2025</v>
      </c>
      <c r="AF4" s="35">
        <v>283</v>
      </c>
      <c r="AG4" s="35" t="s">
        <v>803</v>
      </c>
      <c r="AH4" s="35" t="s">
        <v>806</v>
      </c>
      <c r="AI4" s="35" t="s">
        <v>807</v>
      </c>
      <c r="AJ4" s="35" t="s">
        <v>808</v>
      </c>
      <c r="AK4" s="185">
        <v>45756</v>
      </c>
      <c r="AL4" s="35" t="s">
        <v>97</v>
      </c>
      <c r="AM4" s="187">
        <v>0.95833333333333337</v>
      </c>
      <c r="AN4" s="187">
        <v>0.96527777777777779</v>
      </c>
      <c r="AO4" s="35" t="s">
        <v>452</v>
      </c>
      <c r="AP4" s="35" t="s">
        <v>598</v>
      </c>
      <c r="AQ4" s="35">
        <v>15</v>
      </c>
      <c r="AR4" s="35">
        <v>2</v>
      </c>
      <c r="AS4" s="35">
        <v>9</v>
      </c>
      <c r="AT4" s="35">
        <v>99</v>
      </c>
      <c r="AU4" s="188">
        <v>45756.965277777781</v>
      </c>
      <c r="AV4" s="35" t="s">
        <v>730</v>
      </c>
    </row>
    <row r="5" spans="1:48" ht="15.75" x14ac:dyDescent="0.25">
      <c r="A5" s="35" t="s">
        <v>824</v>
      </c>
      <c r="B5" s="35" t="s">
        <v>825</v>
      </c>
      <c r="C5" s="35" t="s">
        <v>95</v>
      </c>
      <c r="D5" s="35" t="s">
        <v>826</v>
      </c>
      <c r="E5" s="35" t="s">
        <v>827</v>
      </c>
      <c r="F5" s="35" t="s">
        <v>58</v>
      </c>
      <c r="G5" s="35" t="s">
        <v>828</v>
      </c>
      <c r="H5" s="35" t="s">
        <v>59</v>
      </c>
      <c r="I5" s="35" t="s">
        <v>829</v>
      </c>
      <c r="J5" s="35" t="s">
        <v>134</v>
      </c>
      <c r="K5" s="35">
        <v>7</v>
      </c>
      <c r="L5" s="35" t="s">
        <v>830</v>
      </c>
      <c r="M5" s="35"/>
      <c r="N5" s="35"/>
      <c r="O5" s="35" t="s">
        <v>831</v>
      </c>
      <c r="P5" s="35" t="s">
        <v>63</v>
      </c>
      <c r="Q5" s="35" t="s">
        <v>218</v>
      </c>
      <c r="R5" s="35" t="s">
        <v>65</v>
      </c>
      <c r="S5" s="35" t="s">
        <v>832</v>
      </c>
      <c r="T5" s="35" t="s">
        <v>65</v>
      </c>
      <c r="U5" s="35" t="s">
        <v>117</v>
      </c>
      <c r="V5" s="35" t="s">
        <v>833</v>
      </c>
      <c r="W5" s="35" t="s">
        <v>157</v>
      </c>
      <c r="X5" s="35" t="s">
        <v>67</v>
      </c>
      <c r="Y5" s="35" t="s">
        <v>834</v>
      </c>
      <c r="Z5" s="35" t="s">
        <v>159</v>
      </c>
      <c r="AA5" s="35" t="s">
        <v>160</v>
      </c>
      <c r="AB5" s="35" t="s">
        <v>435</v>
      </c>
      <c r="AC5" s="35"/>
      <c r="AD5" s="35">
        <v>9</v>
      </c>
      <c r="AE5" s="35">
        <v>2025</v>
      </c>
      <c r="AF5" s="35">
        <v>157</v>
      </c>
      <c r="AG5" s="35" t="s">
        <v>830</v>
      </c>
      <c r="AH5" s="35" t="s">
        <v>835</v>
      </c>
      <c r="AI5" s="35" t="s">
        <v>836</v>
      </c>
      <c r="AJ5" s="35" t="s">
        <v>837</v>
      </c>
      <c r="AK5" s="185">
        <v>45760</v>
      </c>
      <c r="AL5" s="35" t="s">
        <v>78</v>
      </c>
      <c r="AM5" s="187">
        <v>0.66666666666666663</v>
      </c>
      <c r="AN5" s="187">
        <v>0.6875</v>
      </c>
      <c r="AO5" s="35" t="s">
        <v>458</v>
      </c>
      <c r="AP5" s="35" t="s">
        <v>598</v>
      </c>
      <c r="AQ5" s="35">
        <v>16</v>
      </c>
      <c r="AR5" s="35">
        <v>3</v>
      </c>
      <c r="AS5" s="35">
        <v>13</v>
      </c>
      <c r="AT5" s="35">
        <v>103</v>
      </c>
      <c r="AU5" s="188">
        <v>45760.6875</v>
      </c>
      <c r="AV5" s="35" t="s">
        <v>730</v>
      </c>
    </row>
    <row r="6" spans="1:48" ht="15.75" x14ac:dyDescent="0.25">
      <c r="A6" s="35" t="s">
        <v>838</v>
      </c>
      <c r="B6" s="35" t="s">
        <v>56</v>
      </c>
      <c r="C6" s="35" t="s">
        <v>95</v>
      </c>
      <c r="D6" s="35" t="s">
        <v>839</v>
      </c>
      <c r="E6" s="35" t="s">
        <v>840</v>
      </c>
      <c r="F6" s="35" t="s">
        <v>132</v>
      </c>
      <c r="G6" s="35" t="s">
        <v>841</v>
      </c>
      <c r="H6" s="35" t="s">
        <v>708</v>
      </c>
      <c r="I6" s="35" t="s">
        <v>842</v>
      </c>
      <c r="J6" s="35" t="s">
        <v>327</v>
      </c>
      <c r="K6" s="35">
        <v>7</v>
      </c>
      <c r="L6" s="35" t="s">
        <v>843</v>
      </c>
      <c r="M6" s="35"/>
      <c r="N6" s="35"/>
      <c r="O6" s="35"/>
      <c r="P6" s="35"/>
      <c r="Q6" s="35"/>
      <c r="R6" s="35"/>
      <c r="S6" s="35"/>
      <c r="T6" s="35"/>
      <c r="U6" s="35"/>
      <c r="V6" s="35"/>
      <c r="W6" s="35" t="s">
        <v>157</v>
      </c>
      <c r="X6" s="35" t="s">
        <v>67</v>
      </c>
      <c r="Y6" s="35" t="s">
        <v>147</v>
      </c>
      <c r="Z6" s="35" t="s">
        <v>90</v>
      </c>
      <c r="AA6" s="35" t="s">
        <v>160</v>
      </c>
      <c r="AB6" s="35" t="s">
        <v>435</v>
      </c>
      <c r="AC6" s="35"/>
      <c r="AD6" s="35">
        <v>9</v>
      </c>
      <c r="AE6" s="35">
        <v>2025</v>
      </c>
      <c r="AF6" s="35">
        <v>64</v>
      </c>
      <c r="AG6" s="35" t="s">
        <v>843</v>
      </c>
      <c r="AH6" s="35"/>
      <c r="AI6" s="35" t="s">
        <v>59</v>
      </c>
      <c r="AJ6" s="35" t="s">
        <v>844</v>
      </c>
      <c r="AK6" s="185">
        <v>45760</v>
      </c>
      <c r="AL6" s="35" t="s">
        <v>78</v>
      </c>
      <c r="AM6" s="187">
        <v>0.75</v>
      </c>
      <c r="AN6" s="187">
        <v>0.78115740740740736</v>
      </c>
      <c r="AO6" s="35" t="s">
        <v>458</v>
      </c>
      <c r="AP6" s="35" t="s">
        <v>598</v>
      </c>
      <c r="AQ6" s="35">
        <v>16</v>
      </c>
      <c r="AR6" s="35">
        <v>3</v>
      </c>
      <c r="AS6" s="35">
        <v>13</v>
      </c>
      <c r="AT6" s="35">
        <v>103</v>
      </c>
      <c r="AU6" s="188">
        <v>45760.780555555553</v>
      </c>
      <c r="AV6" s="35" t="s">
        <v>730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4499E5-BE59-4192-82FA-3011DED28634}">
  <sheetPr>
    <tabColor rgb="FFE0B3FF"/>
  </sheetPr>
  <dimension ref="A1:AV22"/>
  <sheetViews>
    <sheetView workbookViewId="0">
      <selection sqref="A1:XFD1"/>
    </sheetView>
  </sheetViews>
  <sheetFormatPr defaultColWidth="8.85546875" defaultRowHeight="15.75" x14ac:dyDescent="0.25"/>
  <cols>
    <col min="1" max="1" width="14.42578125" style="35" bestFit="1" customWidth="1"/>
    <col min="2" max="2" width="33.140625" style="35" bestFit="1" customWidth="1"/>
    <col min="3" max="3" width="23.85546875" style="35" bestFit="1" customWidth="1"/>
    <col min="4" max="4" width="33.140625" style="35" bestFit="1" customWidth="1"/>
    <col min="5" max="5" width="60.28515625" style="35" bestFit="1" customWidth="1"/>
    <col min="6" max="6" width="20.42578125" style="35" bestFit="1" customWidth="1"/>
    <col min="7" max="7" width="25.7109375" style="35" bestFit="1" customWidth="1"/>
    <col min="8" max="8" width="20.28515625" style="35" bestFit="1" customWidth="1"/>
    <col min="9" max="9" width="52.85546875" style="35" bestFit="1" customWidth="1"/>
    <col min="10" max="10" width="6.7109375" style="35" bestFit="1" customWidth="1"/>
    <col min="11" max="11" width="7.7109375" style="35" bestFit="1" customWidth="1"/>
    <col min="12" max="12" width="80.85546875" style="35" bestFit="1" customWidth="1"/>
    <col min="13" max="13" width="18.7109375" style="35" bestFit="1" customWidth="1"/>
    <col min="14" max="14" width="20.28515625" style="35" bestFit="1" customWidth="1"/>
    <col min="15" max="15" width="14.7109375" style="35" bestFit="1" customWidth="1"/>
    <col min="16" max="16" width="10.7109375" style="35" bestFit="1" customWidth="1"/>
    <col min="17" max="17" width="9.7109375" style="35" bestFit="1" customWidth="1"/>
    <col min="18" max="18" width="12.5703125" style="35" bestFit="1" customWidth="1"/>
    <col min="19" max="19" width="14.7109375" style="35" bestFit="1" customWidth="1"/>
    <col min="20" max="20" width="12.5703125" style="35" bestFit="1" customWidth="1"/>
    <col min="21" max="21" width="9" style="35" bestFit="1" customWidth="1"/>
    <col min="22" max="22" width="9.7109375" style="35" bestFit="1" customWidth="1"/>
    <col min="23" max="23" width="13.85546875" style="35" bestFit="1" customWidth="1"/>
    <col min="24" max="24" width="14.7109375" style="35" bestFit="1" customWidth="1"/>
    <col min="25" max="25" width="24.7109375" style="35" bestFit="1" customWidth="1"/>
    <col min="26" max="26" width="8.5703125" style="35" bestFit="1" customWidth="1"/>
    <col min="27" max="27" width="25" style="35" bestFit="1" customWidth="1"/>
    <col min="28" max="28" width="26.140625" style="35" bestFit="1" customWidth="1"/>
    <col min="29" max="29" width="42.42578125" style="35" bestFit="1" customWidth="1"/>
    <col min="30" max="30" width="24.42578125" style="35" bestFit="1" customWidth="1"/>
    <col min="31" max="31" width="7.140625" style="35" bestFit="1" customWidth="1"/>
    <col min="32" max="32" width="6.140625" style="35" bestFit="1" customWidth="1"/>
    <col min="33" max="33" width="80.85546875" style="35" bestFit="1" customWidth="1"/>
    <col min="34" max="34" width="59.7109375" style="35" bestFit="1" customWidth="1"/>
    <col min="35" max="36" width="80.85546875" style="35" bestFit="1" customWidth="1"/>
    <col min="37" max="37" width="11.85546875" style="35" bestFit="1" customWidth="1"/>
    <col min="38" max="38" width="22.7109375" style="35" bestFit="1" customWidth="1"/>
    <col min="39" max="39" width="14.28515625" style="35" bestFit="1" customWidth="1"/>
    <col min="40" max="40" width="13.28515625" style="35" bestFit="1" customWidth="1"/>
    <col min="41" max="41" width="11.85546875" style="35" bestFit="1" customWidth="1"/>
    <col min="42" max="42" width="14.42578125" style="35" bestFit="1" customWidth="1"/>
    <col min="43" max="43" width="14.5703125" style="35" bestFit="1" customWidth="1"/>
    <col min="44" max="44" width="16.7109375" style="35" bestFit="1" customWidth="1"/>
    <col min="45" max="45" width="6.7109375" style="35" bestFit="1" customWidth="1"/>
    <col min="46" max="46" width="13" style="35" bestFit="1" customWidth="1"/>
    <col min="47" max="47" width="22.28515625" style="35" bestFit="1" customWidth="1"/>
    <col min="48" max="48" width="16.140625" style="35" bestFit="1" customWidth="1"/>
    <col min="49" max="16384" width="8.85546875" style="35"/>
  </cols>
  <sheetData>
    <row r="1" spans="1:48" s="120" customFormat="1" x14ac:dyDescent="0.25">
      <c r="A1" s="120" t="s">
        <v>0</v>
      </c>
      <c r="B1" s="120" t="s">
        <v>7</v>
      </c>
      <c r="C1" s="120" t="s">
        <v>52</v>
      </c>
      <c r="D1" s="120" t="s">
        <v>8</v>
      </c>
      <c r="E1" s="120" t="s">
        <v>10</v>
      </c>
      <c r="F1" s="120" t="s">
        <v>9</v>
      </c>
      <c r="G1" s="120" t="s">
        <v>11</v>
      </c>
      <c r="H1" s="120" t="s">
        <v>12</v>
      </c>
      <c r="I1" s="120" t="s">
        <v>13</v>
      </c>
      <c r="J1" s="120" t="s">
        <v>14</v>
      </c>
      <c r="K1" s="120" t="s">
        <v>15</v>
      </c>
      <c r="L1" s="120" t="s">
        <v>16</v>
      </c>
      <c r="M1" s="120" t="s">
        <v>17</v>
      </c>
      <c r="N1" s="120" t="s">
        <v>18</v>
      </c>
      <c r="O1" s="120" t="s">
        <v>19</v>
      </c>
      <c r="P1" s="120" t="s">
        <v>20</v>
      </c>
      <c r="Q1" s="120" t="s">
        <v>21</v>
      </c>
      <c r="R1" s="120" t="s">
        <v>22</v>
      </c>
      <c r="S1" s="120" t="s">
        <v>23</v>
      </c>
      <c r="T1" s="120" t="s">
        <v>24</v>
      </c>
      <c r="U1" s="120" t="s">
        <v>25</v>
      </c>
      <c r="V1" s="120" t="s">
        <v>26</v>
      </c>
      <c r="W1" s="120" t="s">
        <v>27</v>
      </c>
      <c r="X1" s="120" t="s">
        <v>28</v>
      </c>
      <c r="Y1" s="120" t="s">
        <v>29</v>
      </c>
      <c r="Z1" s="120" t="s">
        <v>30</v>
      </c>
      <c r="AA1" s="120" t="s">
        <v>31</v>
      </c>
      <c r="AB1" s="120" t="s">
        <v>32</v>
      </c>
      <c r="AC1" s="120" t="s">
        <v>33</v>
      </c>
      <c r="AD1" s="120" t="s">
        <v>34</v>
      </c>
      <c r="AE1" s="120" t="s">
        <v>41</v>
      </c>
      <c r="AF1" s="120" t="s">
        <v>47</v>
      </c>
      <c r="AG1" s="120" t="s">
        <v>459</v>
      </c>
      <c r="AH1" s="120" t="s">
        <v>48</v>
      </c>
      <c r="AI1" s="120" t="s">
        <v>49</v>
      </c>
      <c r="AJ1" s="120" t="s">
        <v>50</v>
      </c>
      <c r="AK1" s="120" t="s">
        <v>1</v>
      </c>
      <c r="AL1" s="120" t="s">
        <v>2</v>
      </c>
      <c r="AM1" s="120" t="s">
        <v>3</v>
      </c>
      <c r="AN1" s="120" t="s">
        <v>4</v>
      </c>
      <c r="AO1" s="120" t="s">
        <v>5</v>
      </c>
      <c r="AP1" s="120" t="s">
        <v>6</v>
      </c>
      <c r="AQ1" s="120" t="s">
        <v>42</v>
      </c>
      <c r="AR1" s="120" t="s">
        <v>43</v>
      </c>
      <c r="AS1" s="120" t="s">
        <v>44</v>
      </c>
      <c r="AT1" s="120" t="s">
        <v>45</v>
      </c>
      <c r="AU1" s="120" t="s">
        <v>46</v>
      </c>
      <c r="AV1" s="120" t="s">
        <v>51</v>
      </c>
    </row>
    <row r="2" spans="1:48" x14ac:dyDescent="0.25">
      <c r="A2" s="35" t="s">
        <v>537</v>
      </c>
      <c r="B2" s="35" t="s">
        <v>357</v>
      </c>
      <c r="C2" s="35" t="s">
        <v>304</v>
      </c>
      <c r="D2" s="35" t="s">
        <v>538</v>
      </c>
      <c r="E2" s="35" t="s">
        <v>539</v>
      </c>
      <c r="F2" s="35" t="s">
        <v>440</v>
      </c>
      <c r="G2" s="35" t="s">
        <v>132</v>
      </c>
      <c r="H2" s="35" t="s">
        <v>59</v>
      </c>
      <c r="I2" s="35" t="s">
        <v>540</v>
      </c>
      <c r="J2" s="35" t="s">
        <v>363</v>
      </c>
      <c r="K2" s="35">
        <v>9</v>
      </c>
      <c r="L2" s="35" t="s">
        <v>541</v>
      </c>
      <c r="O2" s="35" t="s">
        <v>542</v>
      </c>
      <c r="P2" s="35" t="s">
        <v>543</v>
      </c>
      <c r="Q2" s="35" t="s">
        <v>544</v>
      </c>
      <c r="R2" s="35" t="s">
        <v>65</v>
      </c>
      <c r="X2" s="35" t="s">
        <v>67</v>
      </c>
      <c r="Y2" s="35" t="s">
        <v>545</v>
      </c>
      <c r="Z2" s="35" t="s">
        <v>546</v>
      </c>
      <c r="AD2" s="35">
        <v>9</v>
      </c>
      <c r="AE2" s="35">
        <v>2025</v>
      </c>
      <c r="AF2" s="35">
        <v>414</v>
      </c>
      <c r="AG2" s="35" t="s">
        <v>541</v>
      </c>
      <c r="AH2" s="35" t="s">
        <v>547</v>
      </c>
      <c r="AI2" s="35" t="s">
        <v>59</v>
      </c>
      <c r="AJ2" s="35" t="s">
        <v>59</v>
      </c>
      <c r="AK2" s="185">
        <v>45734</v>
      </c>
      <c r="AL2" s="35" t="s">
        <v>293</v>
      </c>
      <c r="AM2" s="187">
        <v>0.20833333333333334</v>
      </c>
      <c r="AN2" s="187">
        <v>0.22916666666666666</v>
      </c>
      <c r="AO2" s="35" t="s">
        <v>451</v>
      </c>
      <c r="AP2" s="35" t="s">
        <v>461</v>
      </c>
      <c r="AQ2" s="35">
        <v>12</v>
      </c>
      <c r="AR2" s="35">
        <v>4</v>
      </c>
      <c r="AS2" s="35">
        <v>18</v>
      </c>
      <c r="AT2" s="35">
        <v>77</v>
      </c>
      <c r="AU2" s="188">
        <v>45734.229166666664</v>
      </c>
      <c r="AV2" s="35" t="s">
        <v>548</v>
      </c>
    </row>
    <row r="3" spans="1:48" x14ac:dyDescent="0.25">
      <c r="A3" s="35" t="s">
        <v>549</v>
      </c>
      <c r="B3" s="35" t="s">
        <v>550</v>
      </c>
      <c r="C3" s="35" t="s">
        <v>304</v>
      </c>
      <c r="D3" s="35" t="s">
        <v>551</v>
      </c>
      <c r="E3" s="35" t="s">
        <v>213</v>
      </c>
      <c r="F3" s="35" t="s">
        <v>213</v>
      </c>
      <c r="G3" s="35" t="s">
        <v>59</v>
      </c>
      <c r="H3" s="35" t="s">
        <v>59</v>
      </c>
      <c r="I3" s="35" t="s">
        <v>552</v>
      </c>
      <c r="J3" s="35" t="s">
        <v>261</v>
      </c>
      <c r="K3" s="35">
        <v>6</v>
      </c>
      <c r="L3" s="35" t="s">
        <v>553</v>
      </c>
      <c r="O3" s="35" t="s">
        <v>554</v>
      </c>
      <c r="P3" s="35" t="s">
        <v>555</v>
      </c>
      <c r="R3" s="35" t="s">
        <v>65</v>
      </c>
      <c r="W3" s="35" t="s">
        <v>468</v>
      </c>
      <c r="X3" s="35" t="s">
        <v>67</v>
      </c>
      <c r="Y3" s="35" t="s">
        <v>147</v>
      </c>
      <c r="Z3" s="35" t="s">
        <v>90</v>
      </c>
      <c r="AA3" s="35" t="s">
        <v>180</v>
      </c>
      <c r="AB3" s="35" t="s">
        <v>181</v>
      </c>
      <c r="AD3" s="35">
        <v>9</v>
      </c>
      <c r="AE3" s="35">
        <v>2025</v>
      </c>
      <c r="AF3" s="35">
        <v>171</v>
      </c>
      <c r="AG3" s="35" t="s">
        <v>553</v>
      </c>
      <c r="AH3" s="35" t="s">
        <v>556</v>
      </c>
      <c r="AI3" s="35" t="s">
        <v>557</v>
      </c>
      <c r="AJ3" s="35" t="s">
        <v>558</v>
      </c>
      <c r="AK3" s="185">
        <v>45737</v>
      </c>
      <c r="AL3" s="35" t="s">
        <v>293</v>
      </c>
      <c r="AM3" s="187">
        <v>0.29166666666666669</v>
      </c>
      <c r="AN3" s="187">
        <v>0.32500000000000001</v>
      </c>
      <c r="AO3" s="35" t="s">
        <v>454</v>
      </c>
      <c r="AP3" s="35" t="s">
        <v>461</v>
      </c>
      <c r="AQ3" s="35">
        <v>12</v>
      </c>
      <c r="AR3" s="35">
        <v>4</v>
      </c>
      <c r="AS3" s="35">
        <v>21</v>
      </c>
      <c r="AT3" s="35">
        <v>80</v>
      </c>
      <c r="AU3" s="188">
        <v>45737.324999999997</v>
      </c>
      <c r="AV3" s="35" t="s">
        <v>548</v>
      </c>
    </row>
    <row r="4" spans="1:48" x14ac:dyDescent="0.25">
      <c r="A4" s="35" t="s">
        <v>559</v>
      </c>
      <c r="B4" s="35" t="s">
        <v>560</v>
      </c>
      <c r="C4" s="35" t="s">
        <v>304</v>
      </c>
      <c r="D4" s="35" t="s">
        <v>561</v>
      </c>
      <c r="E4" s="35" t="s">
        <v>562</v>
      </c>
      <c r="F4" s="35" t="s">
        <v>58</v>
      </c>
      <c r="G4" s="35" t="s">
        <v>563</v>
      </c>
      <c r="H4" s="35" t="s">
        <v>59</v>
      </c>
      <c r="I4" s="35" t="s">
        <v>564</v>
      </c>
      <c r="J4" s="35" t="s">
        <v>250</v>
      </c>
      <c r="K4" s="35">
        <v>5</v>
      </c>
      <c r="L4" s="35" t="s">
        <v>565</v>
      </c>
      <c r="O4" s="35" t="s">
        <v>566</v>
      </c>
      <c r="P4" s="35" t="s">
        <v>117</v>
      </c>
      <c r="Q4" s="35" t="s">
        <v>567</v>
      </c>
      <c r="R4" s="35" t="s">
        <v>65</v>
      </c>
      <c r="W4" s="35" t="s">
        <v>568</v>
      </c>
      <c r="X4" s="35" t="s">
        <v>67</v>
      </c>
      <c r="Y4" s="35" t="s">
        <v>105</v>
      </c>
      <c r="Z4" s="35" t="s">
        <v>69</v>
      </c>
      <c r="AA4" s="35" t="s">
        <v>122</v>
      </c>
      <c r="AB4" s="35" t="s">
        <v>123</v>
      </c>
      <c r="AD4" s="35">
        <v>9</v>
      </c>
      <c r="AE4" s="35">
        <v>2025</v>
      </c>
      <c r="AF4" s="35">
        <v>24</v>
      </c>
      <c r="AG4" s="35" t="s">
        <v>565</v>
      </c>
      <c r="AH4" s="35" t="s">
        <v>569</v>
      </c>
      <c r="AI4" s="35" t="s">
        <v>570</v>
      </c>
      <c r="AJ4" s="35" t="s">
        <v>571</v>
      </c>
      <c r="AK4" s="185">
        <v>45739</v>
      </c>
      <c r="AL4" s="35" t="s">
        <v>293</v>
      </c>
      <c r="AM4" s="187">
        <v>0.16666666666666666</v>
      </c>
      <c r="AN4" s="187">
        <v>0.1736111111111111</v>
      </c>
      <c r="AO4" s="35" t="s">
        <v>458</v>
      </c>
      <c r="AP4" s="35" t="s">
        <v>461</v>
      </c>
      <c r="AQ4" s="35">
        <v>13</v>
      </c>
      <c r="AR4" s="35">
        <v>5</v>
      </c>
      <c r="AS4" s="35">
        <v>23</v>
      </c>
      <c r="AT4" s="35">
        <v>82</v>
      </c>
      <c r="AU4" s="188">
        <v>45739.173611111109</v>
      </c>
      <c r="AV4" s="35" t="s">
        <v>548</v>
      </c>
    </row>
    <row r="5" spans="1:48" x14ac:dyDescent="0.25">
      <c r="A5" s="35" t="s">
        <v>845</v>
      </c>
      <c r="B5" s="35" t="s">
        <v>846</v>
      </c>
      <c r="C5" s="35" t="s">
        <v>76</v>
      </c>
      <c r="D5" s="35" t="s">
        <v>847</v>
      </c>
      <c r="E5" s="35" t="s">
        <v>398</v>
      </c>
      <c r="F5" s="35" t="s">
        <v>398</v>
      </c>
      <c r="G5" s="35" t="s">
        <v>59</v>
      </c>
      <c r="H5" s="35" t="s">
        <v>59</v>
      </c>
      <c r="I5" s="35" t="s">
        <v>848</v>
      </c>
      <c r="J5" s="35" t="s">
        <v>849</v>
      </c>
      <c r="K5" s="35">
        <v>9</v>
      </c>
      <c r="L5" s="35" t="s">
        <v>850</v>
      </c>
      <c r="W5" s="35" t="s">
        <v>851</v>
      </c>
      <c r="X5" s="35" t="s">
        <v>67</v>
      </c>
      <c r="Y5" s="35" t="s">
        <v>852</v>
      </c>
      <c r="Z5" s="35" t="s">
        <v>69</v>
      </c>
      <c r="AA5" s="35" t="s">
        <v>122</v>
      </c>
      <c r="AB5" s="35" t="s">
        <v>123</v>
      </c>
      <c r="AD5" s="35">
        <v>9</v>
      </c>
      <c r="AE5" s="35">
        <v>2025</v>
      </c>
      <c r="AF5" s="35">
        <v>2</v>
      </c>
      <c r="AG5" s="35" t="s">
        <v>850</v>
      </c>
      <c r="AI5" s="35" t="s">
        <v>853</v>
      </c>
      <c r="AJ5" s="35" t="s">
        <v>854</v>
      </c>
      <c r="AK5" s="185">
        <v>45739</v>
      </c>
      <c r="AL5" s="35" t="s">
        <v>54</v>
      </c>
      <c r="AM5" s="187">
        <v>0.58333333333333337</v>
      </c>
      <c r="AN5" s="187">
        <v>0.62013888888888891</v>
      </c>
      <c r="AO5" s="35" t="s">
        <v>458</v>
      </c>
      <c r="AP5" s="35" t="s">
        <v>461</v>
      </c>
      <c r="AQ5" s="35">
        <v>13</v>
      </c>
      <c r="AR5" s="35">
        <v>5</v>
      </c>
      <c r="AS5" s="35">
        <v>23</v>
      </c>
      <c r="AT5" s="35">
        <v>82</v>
      </c>
      <c r="AU5" s="188">
        <v>45739.620138888888</v>
      </c>
      <c r="AV5" s="35" t="s">
        <v>548</v>
      </c>
    </row>
    <row r="6" spans="1:48" x14ac:dyDescent="0.25">
      <c r="A6" s="35" t="s">
        <v>678</v>
      </c>
      <c r="B6" s="35" t="s">
        <v>357</v>
      </c>
      <c r="C6" s="35" t="s">
        <v>150</v>
      </c>
      <c r="D6" s="35" t="s">
        <v>358</v>
      </c>
      <c r="E6" s="35" t="s">
        <v>686</v>
      </c>
      <c r="F6" s="35" t="s">
        <v>347</v>
      </c>
      <c r="G6" s="35" t="s">
        <v>82</v>
      </c>
      <c r="H6" s="35" t="s">
        <v>687</v>
      </c>
      <c r="I6" s="35" t="s">
        <v>362</v>
      </c>
      <c r="J6" s="35" t="s">
        <v>363</v>
      </c>
      <c r="K6" s="35">
        <v>9</v>
      </c>
      <c r="L6" s="35" t="s">
        <v>688</v>
      </c>
      <c r="O6" s="35" t="s">
        <v>689</v>
      </c>
      <c r="P6" s="35" t="s">
        <v>522</v>
      </c>
      <c r="Q6" s="35" t="s">
        <v>690</v>
      </c>
      <c r="R6" s="35" t="s">
        <v>65</v>
      </c>
      <c r="W6" s="35" t="s">
        <v>157</v>
      </c>
      <c r="X6" s="35" t="s">
        <v>67</v>
      </c>
      <c r="Y6" s="35" t="s">
        <v>647</v>
      </c>
      <c r="Z6" s="35" t="s">
        <v>351</v>
      </c>
      <c r="AA6" s="35" t="s">
        <v>160</v>
      </c>
      <c r="AB6" s="35" t="s">
        <v>123</v>
      </c>
      <c r="AD6" s="35">
        <v>9</v>
      </c>
      <c r="AE6" s="35">
        <v>2025</v>
      </c>
      <c r="AF6" s="35">
        <v>450</v>
      </c>
      <c r="AG6" s="35" t="s">
        <v>688</v>
      </c>
      <c r="AH6" s="35" t="s">
        <v>691</v>
      </c>
      <c r="AI6" s="35" t="s">
        <v>692</v>
      </c>
      <c r="AJ6" s="35" t="s">
        <v>693</v>
      </c>
      <c r="AK6" s="185">
        <v>45741</v>
      </c>
      <c r="AL6" s="35" t="s">
        <v>141</v>
      </c>
      <c r="AM6" s="187">
        <v>0.45833333333333331</v>
      </c>
      <c r="AN6" s="187">
        <v>0.48402777777777778</v>
      </c>
      <c r="AO6" s="35" t="s">
        <v>451</v>
      </c>
      <c r="AP6" s="35" t="s">
        <v>461</v>
      </c>
      <c r="AQ6" s="35">
        <v>13</v>
      </c>
      <c r="AR6" s="35">
        <v>5</v>
      </c>
      <c r="AS6" s="35">
        <v>25</v>
      </c>
      <c r="AT6" s="35">
        <v>84</v>
      </c>
      <c r="AU6" s="188">
        <v>45741.484027777777</v>
      </c>
      <c r="AV6" s="35" t="s">
        <v>581</v>
      </c>
    </row>
    <row r="7" spans="1:48" x14ac:dyDescent="0.25">
      <c r="A7" s="35" t="s">
        <v>573</v>
      </c>
      <c r="B7" s="35" t="s">
        <v>485</v>
      </c>
      <c r="C7" s="35" t="s">
        <v>109</v>
      </c>
      <c r="D7" s="35" t="s">
        <v>574</v>
      </c>
      <c r="E7" s="35" t="s">
        <v>575</v>
      </c>
      <c r="F7" s="35" t="s">
        <v>165</v>
      </c>
      <c r="G7" s="35" t="s">
        <v>576</v>
      </c>
      <c r="H7" s="35" t="s">
        <v>360</v>
      </c>
      <c r="I7" s="35" t="s">
        <v>577</v>
      </c>
      <c r="J7" s="35" t="s">
        <v>261</v>
      </c>
      <c r="K7" s="35">
        <v>6</v>
      </c>
      <c r="L7" s="35" t="s">
        <v>578</v>
      </c>
      <c r="W7" s="35" t="s">
        <v>416</v>
      </c>
      <c r="X7" s="35" t="s">
        <v>67</v>
      </c>
      <c r="Y7" s="35" t="s">
        <v>579</v>
      </c>
      <c r="Z7" s="35" t="s">
        <v>121</v>
      </c>
      <c r="AA7" s="35" t="s">
        <v>378</v>
      </c>
      <c r="AB7" s="35" t="s">
        <v>123</v>
      </c>
      <c r="AD7" s="35">
        <v>9</v>
      </c>
      <c r="AE7" s="35">
        <v>2025</v>
      </c>
      <c r="AF7" s="35">
        <v>211</v>
      </c>
      <c r="AG7" s="35" t="s">
        <v>578</v>
      </c>
      <c r="AI7" s="35" t="s">
        <v>59</v>
      </c>
      <c r="AJ7" s="35" t="s">
        <v>580</v>
      </c>
      <c r="AK7" s="185">
        <v>45743</v>
      </c>
      <c r="AL7" s="35" t="s">
        <v>97</v>
      </c>
      <c r="AM7" s="187">
        <v>0.91666666666666663</v>
      </c>
      <c r="AN7" s="187">
        <v>0.94666666666666666</v>
      </c>
      <c r="AO7" s="35" t="s">
        <v>536</v>
      </c>
      <c r="AP7" s="35" t="s">
        <v>461</v>
      </c>
      <c r="AQ7" s="35">
        <v>13</v>
      </c>
      <c r="AR7" s="35">
        <v>5</v>
      </c>
      <c r="AS7" s="35">
        <v>27</v>
      </c>
      <c r="AT7" s="35">
        <v>86</v>
      </c>
      <c r="AU7" s="188">
        <v>45743.946527777778</v>
      </c>
      <c r="AV7" s="35" t="s">
        <v>581</v>
      </c>
    </row>
    <row r="8" spans="1:48" x14ac:dyDescent="0.25">
      <c r="A8" s="35" t="s">
        <v>582</v>
      </c>
      <c r="B8" s="35" t="s">
        <v>530</v>
      </c>
      <c r="C8" s="35" t="s">
        <v>109</v>
      </c>
      <c r="D8" s="35" t="s">
        <v>583</v>
      </c>
      <c r="E8" s="35" t="s">
        <v>132</v>
      </c>
      <c r="F8" s="35" t="s">
        <v>132</v>
      </c>
      <c r="G8" s="35" t="s">
        <v>59</v>
      </c>
      <c r="H8" s="35" t="s">
        <v>59</v>
      </c>
      <c r="I8" s="35" t="s">
        <v>584</v>
      </c>
      <c r="J8" s="35" t="s">
        <v>283</v>
      </c>
      <c r="K8" s="35">
        <v>8</v>
      </c>
      <c r="L8" s="35" t="s">
        <v>585</v>
      </c>
      <c r="M8" s="35">
        <v>50300</v>
      </c>
      <c r="W8" s="35" t="s">
        <v>157</v>
      </c>
      <c r="X8" s="35" t="s">
        <v>67</v>
      </c>
      <c r="Y8" s="35" t="s">
        <v>480</v>
      </c>
      <c r="Z8" s="35" t="s">
        <v>351</v>
      </c>
      <c r="AA8" s="35" t="s">
        <v>586</v>
      </c>
      <c r="AB8" s="35" t="s">
        <v>123</v>
      </c>
      <c r="AD8" s="35">
        <v>9</v>
      </c>
      <c r="AE8" s="35">
        <v>2025</v>
      </c>
      <c r="AF8" s="35">
        <v>2</v>
      </c>
      <c r="AG8" s="35" t="s">
        <v>585</v>
      </c>
      <c r="AI8" s="35" t="s">
        <v>587</v>
      </c>
      <c r="AJ8" s="35" t="s">
        <v>588</v>
      </c>
      <c r="AK8" s="185">
        <v>45743</v>
      </c>
      <c r="AL8" s="35" t="s">
        <v>97</v>
      </c>
      <c r="AM8" s="187">
        <v>0.95833333333333337</v>
      </c>
      <c r="AN8" s="187">
        <v>0.97916666666666663</v>
      </c>
      <c r="AO8" s="35" t="s">
        <v>536</v>
      </c>
      <c r="AP8" s="35" t="s">
        <v>461</v>
      </c>
      <c r="AQ8" s="35">
        <v>13</v>
      </c>
      <c r="AR8" s="35">
        <v>5</v>
      </c>
      <c r="AS8" s="35">
        <v>27</v>
      </c>
      <c r="AT8" s="35">
        <v>86</v>
      </c>
      <c r="AU8" s="188">
        <v>45743.979166666664</v>
      </c>
      <c r="AV8" s="35" t="s">
        <v>581</v>
      </c>
    </row>
    <row r="9" spans="1:48" x14ac:dyDescent="0.25">
      <c r="A9" s="35" t="s">
        <v>628</v>
      </c>
      <c r="B9" s="35" t="s">
        <v>629</v>
      </c>
      <c r="C9" s="35" t="s">
        <v>109</v>
      </c>
      <c r="D9" s="35" t="s">
        <v>630</v>
      </c>
      <c r="E9" s="35" t="s">
        <v>213</v>
      </c>
      <c r="F9" s="35" t="s">
        <v>213</v>
      </c>
      <c r="G9" s="35" t="s">
        <v>59</v>
      </c>
      <c r="H9" s="35" t="s">
        <v>59</v>
      </c>
      <c r="I9" s="35" t="s">
        <v>631</v>
      </c>
      <c r="J9" s="35" t="s">
        <v>426</v>
      </c>
      <c r="K9" s="35">
        <v>8</v>
      </c>
      <c r="L9" s="35" t="s">
        <v>632</v>
      </c>
      <c r="O9" s="35" t="s">
        <v>633</v>
      </c>
      <c r="P9" s="35" t="s">
        <v>634</v>
      </c>
      <c r="Q9" s="35" t="s">
        <v>635</v>
      </c>
      <c r="R9" s="35" t="s">
        <v>65</v>
      </c>
      <c r="W9" s="35" t="s">
        <v>568</v>
      </c>
      <c r="X9" s="35" t="s">
        <v>67</v>
      </c>
      <c r="Y9" s="35" t="s">
        <v>636</v>
      </c>
      <c r="Z9" s="35" t="s">
        <v>637</v>
      </c>
      <c r="AD9" s="35">
        <v>9</v>
      </c>
      <c r="AE9" s="35">
        <v>2025</v>
      </c>
      <c r="AF9" s="35">
        <v>296</v>
      </c>
      <c r="AG9" s="35" t="s">
        <v>632</v>
      </c>
      <c r="AH9" s="35" t="s">
        <v>638</v>
      </c>
      <c r="AI9" s="35" t="s">
        <v>59</v>
      </c>
      <c r="AJ9" s="35" t="s">
        <v>639</v>
      </c>
      <c r="AK9" s="185">
        <v>45744</v>
      </c>
      <c r="AL9" s="35" t="s">
        <v>97</v>
      </c>
      <c r="AM9" s="187">
        <v>0.83333333333333337</v>
      </c>
      <c r="AN9" s="187">
        <v>0.85416666666666663</v>
      </c>
      <c r="AO9" s="35" t="s">
        <v>454</v>
      </c>
      <c r="AP9" s="35" t="s">
        <v>461</v>
      </c>
      <c r="AQ9" s="35">
        <v>13</v>
      </c>
      <c r="AR9" s="35">
        <v>5</v>
      </c>
      <c r="AS9" s="35">
        <v>28</v>
      </c>
      <c r="AT9" s="35">
        <v>87</v>
      </c>
      <c r="AU9" s="188">
        <v>45744.854166666664</v>
      </c>
      <c r="AV9" s="35" t="s">
        <v>581</v>
      </c>
    </row>
    <row r="10" spans="1:48" x14ac:dyDescent="0.25">
      <c r="A10" s="35" t="s">
        <v>694</v>
      </c>
      <c r="B10" s="35" t="s">
        <v>695</v>
      </c>
      <c r="C10" s="35" t="s">
        <v>304</v>
      </c>
      <c r="D10" s="35" t="s">
        <v>696</v>
      </c>
      <c r="E10" s="35" t="s">
        <v>697</v>
      </c>
      <c r="F10" s="35" t="s">
        <v>176</v>
      </c>
      <c r="G10" s="35" t="s">
        <v>698</v>
      </c>
      <c r="H10" s="35" t="s">
        <v>59</v>
      </c>
      <c r="I10" s="35" t="s">
        <v>699</v>
      </c>
      <c r="J10" s="35" t="s">
        <v>273</v>
      </c>
      <c r="K10" s="35">
        <v>6</v>
      </c>
      <c r="L10" s="35" t="s">
        <v>700</v>
      </c>
      <c r="O10" s="35" t="s">
        <v>701</v>
      </c>
      <c r="P10" s="35" t="s">
        <v>634</v>
      </c>
      <c r="Q10" s="35" t="s">
        <v>635</v>
      </c>
      <c r="R10" s="35" t="s">
        <v>65</v>
      </c>
      <c r="W10" s="35" t="s">
        <v>568</v>
      </c>
      <c r="X10" s="35" t="s">
        <v>67</v>
      </c>
      <c r="Y10" s="35" t="s">
        <v>579</v>
      </c>
      <c r="Z10" s="35" t="s">
        <v>121</v>
      </c>
      <c r="AD10" s="35">
        <v>9</v>
      </c>
      <c r="AE10" s="35">
        <v>2025</v>
      </c>
      <c r="AF10" s="35">
        <v>15</v>
      </c>
      <c r="AG10" s="35" t="s">
        <v>700</v>
      </c>
      <c r="AH10" s="35" t="s">
        <v>702</v>
      </c>
      <c r="AI10" s="35" t="s">
        <v>703</v>
      </c>
      <c r="AJ10" s="35" t="s">
        <v>704</v>
      </c>
      <c r="AK10" s="185">
        <v>45745</v>
      </c>
      <c r="AL10" s="35" t="s">
        <v>293</v>
      </c>
      <c r="AM10" s="187">
        <v>0.16666666666666666</v>
      </c>
      <c r="AN10" s="187">
        <v>0.20515046296296297</v>
      </c>
      <c r="AO10" s="35" t="s">
        <v>455</v>
      </c>
      <c r="AP10" s="35" t="s">
        <v>461</v>
      </c>
      <c r="AQ10" s="35">
        <v>13</v>
      </c>
      <c r="AR10" s="35">
        <v>5</v>
      </c>
      <c r="AS10" s="35">
        <v>29</v>
      </c>
      <c r="AT10" s="35">
        <v>88</v>
      </c>
      <c r="AU10" s="188">
        <v>45745.204861111109</v>
      </c>
      <c r="AV10" s="35" t="s">
        <v>581</v>
      </c>
    </row>
    <row r="11" spans="1:48" x14ac:dyDescent="0.25">
      <c r="A11" s="35" t="s">
        <v>615</v>
      </c>
      <c r="B11" s="35" t="s">
        <v>211</v>
      </c>
      <c r="C11" s="35" t="s">
        <v>109</v>
      </c>
      <c r="D11" s="35" t="s">
        <v>606</v>
      </c>
      <c r="E11" s="35" t="s">
        <v>58</v>
      </c>
      <c r="F11" s="35" t="s">
        <v>58</v>
      </c>
      <c r="G11" s="35" t="s">
        <v>59</v>
      </c>
      <c r="H11" s="35" t="s">
        <v>59</v>
      </c>
      <c r="I11" s="35" t="s">
        <v>607</v>
      </c>
      <c r="J11" s="35" t="s">
        <v>215</v>
      </c>
      <c r="K11" s="35">
        <v>9</v>
      </c>
      <c r="L11" s="35" t="s">
        <v>616</v>
      </c>
      <c r="M11" s="35">
        <v>5</v>
      </c>
      <c r="N11" s="35">
        <v>0</v>
      </c>
      <c r="O11" s="35" t="s">
        <v>617</v>
      </c>
      <c r="P11" s="35" t="s">
        <v>253</v>
      </c>
      <c r="Q11" s="35" t="s">
        <v>618</v>
      </c>
      <c r="R11" s="35" t="s">
        <v>65</v>
      </c>
      <c r="W11" s="35" t="s">
        <v>468</v>
      </c>
      <c r="X11" s="35" t="s">
        <v>67</v>
      </c>
      <c r="Y11" s="35" t="s">
        <v>611</v>
      </c>
      <c r="Z11" s="35" t="s">
        <v>612</v>
      </c>
      <c r="AA11" s="35" t="s">
        <v>160</v>
      </c>
      <c r="AB11" s="35" t="s">
        <v>123</v>
      </c>
      <c r="AC11" s="35" t="s">
        <v>613</v>
      </c>
      <c r="AD11" s="35">
        <v>9</v>
      </c>
      <c r="AE11" s="35">
        <v>2025</v>
      </c>
      <c r="AF11" s="35">
        <v>310</v>
      </c>
      <c r="AG11" s="35" t="s">
        <v>616</v>
      </c>
      <c r="AH11" s="35" t="s">
        <v>619</v>
      </c>
      <c r="AI11" s="35" t="s">
        <v>59</v>
      </c>
      <c r="AJ11" s="35" t="s">
        <v>59</v>
      </c>
      <c r="AK11" s="185">
        <v>45747</v>
      </c>
      <c r="AL11" s="35" t="s">
        <v>97</v>
      </c>
      <c r="AM11" s="187">
        <v>0.83333333333333337</v>
      </c>
      <c r="AN11" s="187">
        <v>0.83333333333333337</v>
      </c>
      <c r="AO11" s="35" t="s">
        <v>450</v>
      </c>
      <c r="AP11" s="35" t="s">
        <v>461</v>
      </c>
      <c r="AQ11" s="35">
        <v>14</v>
      </c>
      <c r="AR11" s="35">
        <v>6</v>
      </c>
      <c r="AS11" s="35">
        <v>31</v>
      </c>
      <c r="AT11" s="35">
        <v>90</v>
      </c>
      <c r="AU11" s="188">
        <v>45747.833333333336</v>
      </c>
      <c r="AV11" s="35" t="s">
        <v>581</v>
      </c>
    </row>
    <row r="12" spans="1:48" x14ac:dyDescent="0.25">
      <c r="A12" s="35" t="s">
        <v>605</v>
      </c>
      <c r="B12" s="35" t="s">
        <v>211</v>
      </c>
      <c r="C12" s="35" t="s">
        <v>95</v>
      </c>
      <c r="D12" s="35" t="s">
        <v>606</v>
      </c>
      <c r="E12" s="35" t="s">
        <v>58</v>
      </c>
      <c r="F12" s="35" t="s">
        <v>58</v>
      </c>
      <c r="G12" s="35" t="s">
        <v>59</v>
      </c>
      <c r="H12" s="35" t="s">
        <v>59</v>
      </c>
      <c r="I12" s="35" t="s">
        <v>607</v>
      </c>
      <c r="J12" s="35" t="s">
        <v>215</v>
      </c>
      <c r="L12" s="35" t="s">
        <v>608</v>
      </c>
      <c r="M12" s="35">
        <v>2</v>
      </c>
      <c r="N12" s="35">
        <v>0</v>
      </c>
      <c r="O12" s="35" t="s">
        <v>609</v>
      </c>
      <c r="P12" s="35" t="s">
        <v>253</v>
      </c>
      <c r="Q12" s="35" t="s">
        <v>610</v>
      </c>
      <c r="R12" s="35" t="s">
        <v>65</v>
      </c>
      <c r="W12" s="35" t="s">
        <v>468</v>
      </c>
      <c r="X12" s="35" t="s">
        <v>67</v>
      </c>
      <c r="Y12" s="35" t="s">
        <v>611</v>
      </c>
      <c r="Z12" s="35" t="s">
        <v>612</v>
      </c>
      <c r="AA12" s="35" t="s">
        <v>160</v>
      </c>
      <c r="AB12" s="35" t="s">
        <v>123</v>
      </c>
      <c r="AC12" s="35" t="s">
        <v>613</v>
      </c>
      <c r="AD12" s="35">
        <v>9</v>
      </c>
      <c r="AE12" s="35">
        <v>2025</v>
      </c>
      <c r="AF12" s="35">
        <v>310</v>
      </c>
      <c r="AG12" s="35" t="s">
        <v>608</v>
      </c>
      <c r="AH12" s="35" t="s">
        <v>614</v>
      </c>
      <c r="AI12" s="35" t="s">
        <v>59</v>
      </c>
      <c r="AJ12" s="35" t="s">
        <v>59</v>
      </c>
      <c r="AK12" s="185">
        <v>45747</v>
      </c>
      <c r="AL12" s="35" t="s">
        <v>78</v>
      </c>
      <c r="AM12" s="187">
        <v>0.75</v>
      </c>
      <c r="AN12" s="187">
        <v>0.75</v>
      </c>
      <c r="AO12" s="35" t="s">
        <v>450</v>
      </c>
      <c r="AP12" s="35" t="s">
        <v>461</v>
      </c>
      <c r="AQ12" s="35">
        <v>14</v>
      </c>
      <c r="AR12" s="35">
        <v>6</v>
      </c>
      <c r="AS12" s="35">
        <v>31</v>
      </c>
      <c r="AT12" s="35">
        <v>90</v>
      </c>
      <c r="AU12" s="188">
        <v>45747.75</v>
      </c>
      <c r="AV12" s="35" t="s">
        <v>581</v>
      </c>
    </row>
    <row r="13" spans="1:48" x14ac:dyDescent="0.25">
      <c r="A13" s="35" t="s">
        <v>705</v>
      </c>
      <c r="B13" s="35" t="s">
        <v>706</v>
      </c>
      <c r="C13" s="35" t="s">
        <v>95</v>
      </c>
      <c r="D13" s="35" t="s">
        <v>706</v>
      </c>
      <c r="E13" s="35" t="s">
        <v>707</v>
      </c>
      <c r="F13" s="35" t="s">
        <v>58</v>
      </c>
      <c r="G13" s="35" t="s">
        <v>82</v>
      </c>
      <c r="H13" s="35" t="s">
        <v>708</v>
      </c>
      <c r="I13" s="35" t="s">
        <v>709</v>
      </c>
      <c r="J13" s="35" t="s">
        <v>134</v>
      </c>
      <c r="K13" s="35">
        <v>7</v>
      </c>
      <c r="L13" s="35" t="s">
        <v>710</v>
      </c>
      <c r="O13" s="35" t="s">
        <v>711</v>
      </c>
      <c r="P13" s="35" t="s">
        <v>712</v>
      </c>
      <c r="Q13" s="35" t="s">
        <v>713</v>
      </c>
      <c r="R13" s="35" t="s">
        <v>65</v>
      </c>
      <c r="W13" s="35" t="s">
        <v>468</v>
      </c>
      <c r="X13" s="35" t="s">
        <v>67</v>
      </c>
      <c r="Y13" s="35" t="s">
        <v>714</v>
      </c>
      <c r="Z13" s="35" t="s">
        <v>90</v>
      </c>
      <c r="AD13" s="35">
        <v>9</v>
      </c>
      <c r="AE13" s="35">
        <v>2025</v>
      </c>
      <c r="AG13" s="35" t="s">
        <v>710</v>
      </c>
      <c r="AH13" s="35" t="s">
        <v>715</v>
      </c>
      <c r="AI13" s="35" t="s">
        <v>59</v>
      </c>
      <c r="AJ13" s="35" t="s">
        <v>716</v>
      </c>
      <c r="AK13" s="185">
        <v>45747</v>
      </c>
      <c r="AL13" s="35" t="s">
        <v>78</v>
      </c>
      <c r="AM13" s="187">
        <v>0.75</v>
      </c>
      <c r="AN13" s="187">
        <v>0.77777777777777779</v>
      </c>
      <c r="AO13" s="35" t="s">
        <v>450</v>
      </c>
      <c r="AP13" s="35" t="s">
        <v>461</v>
      </c>
      <c r="AQ13" s="35">
        <v>14</v>
      </c>
      <c r="AR13" s="35">
        <v>6</v>
      </c>
      <c r="AS13" s="35">
        <v>31</v>
      </c>
      <c r="AT13" s="35">
        <v>90</v>
      </c>
      <c r="AU13" s="188">
        <v>45747.777777777781</v>
      </c>
      <c r="AV13" s="35" t="s">
        <v>581</v>
      </c>
    </row>
    <row r="14" spans="1:48" x14ac:dyDescent="0.25">
      <c r="A14" s="35" t="s">
        <v>589</v>
      </c>
      <c r="B14" s="35" t="s">
        <v>257</v>
      </c>
      <c r="C14" s="35" t="s">
        <v>76</v>
      </c>
      <c r="D14" s="35" t="s">
        <v>590</v>
      </c>
      <c r="E14" s="35" t="s">
        <v>132</v>
      </c>
      <c r="F14" s="35" t="s">
        <v>132</v>
      </c>
      <c r="G14" s="35" t="s">
        <v>59</v>
      </c>
      <c r="H14" s="35" t="s">
        <v>59</v>
      </c>
      <c r="I14" s="35" t="s">
        <v>591</v>
      </c>
      <c r="J14" s="35" t="s">
        <v>592</v>
      </c>
      <c r="K14" s="35">
        <v>7</v>
      </c>
      <c r="L14" s="35" t="s">
        <v>593</v>
      </c>
      <c r="W14" s="35" t="s">
        <v>568</v>
      </c>
      <c r="X14" s="35" t="s">
        <v>67</v>
      </c>
      <c r="Y14" s="35" t="s">
        <v>594</v>
      </c>
      <c r="Z14" s="35" t="s">
        <v>90</v>
      </c>
      <c r="AD14" s="35">
        <v>9</v>
      </c>
      <c r="AE14" s="35">
        <v>2025</v>
      </c>
      <c r="AF14" s="35">
        <v>100</v>
      </c>
      <c r="AG14" s="35" t="s">
        <v>593</v>
      </c>
      <c r="AI14" s="35" t="s">
        <v>595</v>
      </c>
      <c r="AJ14" s="35" t="s">
        <v>596</v>
      </c>
      <c r="AK14" s="185">
        <v>45747</v>
      </c>
      <c r="AL14" s="35" t="s">
        <v>54</v>
      </c>
      <c r="AM14" s="187">
        <v>0.5</v>
      </c>
      <c r="AN14" s="187">
        <v>0.5</v>
      </c>
      <c r="AO14" s="35" t="s">
        <v>450</v>
      </c>
      <c r="AP14" s="35" t="s">
        <v>461</v>
      </c>
      <c r="AQ14" s="35">
        <v>14</v>
      </c>
      <c r="AR14" s="35">
        <v>6</v>
      </c>
      <c r="AS14" s="35">
        <v>31</v>
      </c>
      <c r="AT14" s="35">
        <v>90</v>
      </c>
      <c r="AU14" s="188">
        <v>45747.5</v>
      </c>
      <c r="AV14" s="35" t="s">
        <v>581</v>
      </c>
    </row>
    <row r="15" spans="1:48" x14ac:dyDescent="0.25">
      <c r="A15" s="35" t="s">
        <v>620</v>
      </c>
      <c r="B15" s="35" t="s">
        <v>56</v>
      </c>
      <c r="C15" s="35" t="s">
        <v>109</v>
      </c>
      <c r="D15" s="35" t="s">
        <v>621</v>
      </c>
      <c r="E15" s="35" t="s">
        <v>58</v>
      </c>
      <c r="F15" s="35" t="s">
        <v>58</v>
      </c>
      <c r="G15" s="35" t="s">
        <v>59</v>
      </c>
      <c r="H15" s="35" t="s">
        <v>59</v>
      </c>
      <c r="I15" s="35" t="s">
        <v>622</v>
      </c>
      <c r="J15" s="35" t="s">
        <v>327</v>
      </c>
      <c r="K15" s="35">
        <v>7</v>
      </c>
      <c r="L15" s="35" t="s">
        <v>623</v>
      </c>
      <c r="O15" s="35" t="s">
        <v>624</v>
      </c>
      <c r="P15" s="35" t="s">
        <v>625</v>
      </c>
      <c r="Q15" s="35" t="s">
        <v>626</v>
      </c>
      <c r="R15" s="35" t="s">
        <v>65</v>
      </c>
      <c r="W15" s="35" t="s">
        <v>66</v>
      </c>
      <c r="X15" s="35" t="s">
        <v>67</v>
      </c>
      <c r="Y15" s="35" t="s">
        <v>330</v>
      </c>
      <c r="Z15" s="35" t="s">
        <v>69</v>
      </c>
      <c r="AA15" s="35" t="s">
        <v>160</v>
      </c>
      <c r="AB15" s="35" t="s">
        <v>71</v>
      </c>
      <c r="AD15" s="35">
        <v>9</v>
      </c>
      <c r="AE15" s="35">
        <v>2025</v>
      </c>
      <c r="AF15" s="35">
        <v>77</v>
      </c>
      <c r="AG15" s="35" t="s">
        <v>623</v>
      </c>
      <c r="AH15" s="35" t="s">
        <v>627</v>
      </c>
      <c r="AI15" s="35" t="s">
        <v>59</v>
      </c>
      <c r="AJ15" s="35" t="s">
        <v>59</v>
      </c>
      <c r="AK15" s="185">
        <v>45748</v>
      </c>
      <c r="AL15" s="35" t="s">
        <v>97</v>
      </c>
      <c r="AM15" s="187">
        <v>0.83333333333333337</v>
      </c>
      <c r="AN15" s="187">
        <v>0.85324074074074074</v>
      </c>
      <c r="AO15" s="35" t="s">
        <v>451</v>
      </c>
      <c r="AP15" s="35" t="s">
        <v>598</v>
      </c>
      <c r="AQ15" s="35">
        <v>14</v>
      </c>
      <c r="AR15" s="35">
        <v>1</v>
      </c>
      <c r="AS15" s="35">
        <v>1</v>
      </c>
      <c r="AT15" s="35">
        <v>91</v>
      </c>
      <c r="AU15" s="188">
        <v>45748.852777777778</v>
      </c>
      <c r="AV15" s="35" t="s">
        <v>604</v>
      </c>
    </row>
    <row r="16" spans="1:48" x14ac:dyDescent="0.25">
      <c r="A16" s="35" t="s">
        <v>597</v>
      </c>
      <c r="B16" s="35" t="s">
        <v>599</v>
      </c>
      <c r="C16" s="35" t="s">
        <v>76</v>
      </c>
      <c r="D16" s="35" t="s">
        <v>600</v>
      </c>
      <c r="E16" s="35" t="s">
        <v>132</v>
      </c>
      <c r="F16" s="35" t="s">
        <v>132</v>
      </c>
      <c r="G16" s="35" t="s">
        <v>59</v>
      </c>
      <c r="H16" s="35" t="s">
        <v>59</v>
      </c>
      <c r="I16" s="35" t="s">
        <v>601</v>
      </c>
      <c r="J16" s="35" t="s">
        <v>145</v>
      </c>
      <c r="K16" s="35">
        <v>5</v>
      </c>
      <c r="L16" s="35" t="s">
        <v>602</v>
      </c>
      <c r="W16" s="35" t="s">
        <v>157</v>
      </c>
      <c r="X16" s="35" t="s">
        <v>67</v>
      </c>
      <c r="Y16" s="35" t="s">
        <v>603</v>
      </c>
      <c r="Z16" s="35" t="s">
        <v>206</v>
      </c>
      <c r="AA16" s="35" t="s">
        <v>524</v>
      </c>
      <c r="AB16" s="35" t="s">
        <v>123</v>
      </c>
      <c r="AD16" s="35">
        <v>9</v>
      </c>
      <c r="AE16" s="35">
        <v>2025</v>
      </c>
      <c r="AF16" s="35">
        <v>75</v>
      </c>
      <c r="AG16" s="35" t="s">
        <v>602</v>
      </c>
      <c r="AI16" s="35" t="s">
        <v>59</v>
      </c>
      <c r="AJ16" s="35" t="s">
        <v>59</v>
      </c>
      <c r="AK16" s="185">
        <v>45748</v>
      </c>
      <c r="AL16" s="35" t="s">
        <v>54</v>
      </c>
      <c r="AM16" s="187">
        <v>0.5</v>
      </c>
      <c r="AN16" s="187">
        <v>0.5</v>
      </c>
      <c r="AO16" s="35" t="s">
        <v>451</v>
      </c>
      <c r="AP16" s="35" t="s">
        <v>598</v>
      </c>
      <c r="AQ16" s="35">
        <v>14</v>
      </c>
      <c r="AR16" s="35">
        <v>1</v>
      </c>
      <c r="AS16" s="35">
        <v>1</v>
      </c>
      <c r="AT16" s="35">
        <v>91</v>
      </c>
      <c r="AU16" s="188">
        <v>45748.5</v>
      </c>
      <c r="AV16" s="35" t="s">
        <v>604</v>
      </c>
    </row>
    <row r="17" spans="1:48" x14ac:dyDescent="0.25">
      <c r="A17" s="35" t="s">
        <v>640</v>
      </c>
      <c r="B17" s="35" t="s">
        <v>641</v>
      </c>
      <c r="C17" s="35" t="s">
        <v>109</v>
      </c>
      <c r="D17" s="35" t="s">
        <v>642</v>
      </c>
      <c r="E17" s="35" t="s">
        <v>643</v>
      </c>
      <c r="F17" s="35" t="s">
        <v>644</v>
      </c>
      <c r="G17" s="35" t="s">
        <v>412</v>
      </c>
      <c r="H17" s="35" t="s">
        <v>400</v>
      </c>
      <c r="I17" s="35" t="s">
        <v>645</v>
      </c>
      <c r="J17" s="35" t="s">
        <v>101</v>
      </c>
      <c r="K17" s="35">
        <v>8</v>
      </c>
      <c r="L17" s="35" t="s">
        <v>646</v>
      </c>
      <c r="W17" s="35" t="s">
        <v>157</v>
      </c>
      <c r="X17" s="35" t="s">
        <v>67</v>
      </c>
      <c r="Y17" s="35" t="s">
        <v>647</v>
      </c>
      <c r="Z17" s="35" t="s">
        <v>351</v>
      </c>
      <c r="AA17" s="35" t="s">
        <v>352</v>
      </c>
      <c r="AB17" s="35" t="s">
        <v>418</v>
      </c>
      <c r="AD17" s="35">
        <v>9</v>
      </c>
      <c r="AE17" s="35">
        <v>2025</v>
      </c>
      <c r="AF17" s="35">
        <v>260</v>
      </c>
      <c r="AG17" s="35" t="s">
        <v>646</v>
      </c>
      <c r="AI17" s="35" t="s">
        <v>59</v>
      </c>
      <c r="AJ17" s="35" t="s">
        <v>59</v>
      </c>
      <c r="AK17" s="185">
        <v>45749</v>
      </c>
      <c r="AL17" s="35" t="s">
        <v>97</v>
      </c>
      <c r="AM17" s="187">
        <v>0.875</v>
      </c>
      <c r="AN17" s="187">
        <v>0.89930555555555558</v>
      </c>
      <c r="AO17" s="35" t="s">
        <v>452</v>
      </c>
      <c r="AP17" s="35" t="s">
        <v>598</v>
      </c>
      <c r="AQ17" s="35">
        <v>14</v>
      </c>
      <c r="AR17" s="35">
        <v>1</v>
      </c>
      <c r="AS17" s="35">
        <v>2</v>
      </c>
      <c r="AT17" s="35">
        <v>92</v>
      </c>
      <c r="AU17" s="188">
        <v>45749.899305555555</v>
      </c>
      <c r="AV17" s="35" t="s">
        <v>604</v>
      </c>
    </row>
    <row r="18" spans="1:48" x14ac:dyDescent="0.25">
      <c r="A18" s="35" t="s">
        <v>717</v>
      </c>
      <c r="B18" s="35" t="s">
        <v>718</v>
      </c>
      <c r="C18" s="35" t="s">
        <v>172</v>
      </c>
      <c r="D18" s="35" t="s">
        <v>719</v>
      </c>
      <c r="E18" s="35" t="s">
        <v>720</v>
      </c>
      <c r="F18" s="35" t="s">
        <v>58</v>
      </c>
      <c r="G18" s="35" t="s">
        <v>361</v>
      </c>
      <c r="H18" s="35" t="s">
        <v>721</v>
      </c>
      <c r="I18" s="35" t="s">
        <v>722</v>
      </c>
      <c r="J18" s="35" t="s">
        <v>592</v>
      </c>
      <c r="K18" s="35">
        <v>7</v>
      </c>
      <c r="L18" s="35" t="s">
        <v>723</v>
      </c>
      <c r="O18" s="35" t="s">
        <v>724</v>
      </c>
      <c r="P18" s="35" t="s">
        <v>500</v>
      </c>
      <c r="Q18" s="35" t="s">
        <v>725</v>
      </c>
      <c r="R18" s="35" t="s">
        <v>65</v>
      </c>
      <c r="W18" s="35" t="s">
        <v>726</v>
      </c>
      <c r="X18" s="35" t="s">
        <v>67</v>
      </c>
      <c r="Y18" s="35" t="s">
        <v>89</v>
      </c>
      <c r="Z18" s="35" t="s">
        <v>90</v>
      </c>
      <c r="AD18" s="35">
        <v>9</v>
      </c>
      <c r="AE18" s="35">
        <v>2025</v>
      </c>
      <c r="AF18" s="35">
        <v>120</v>
      </c>
      <c r="AG18" s="35" t="s">
        <v>723</v>
      </c>
      <c r="AH18" s="35" t="s">
        <v>727</v>
      </c>
      <c r="AI18" s="35" t="s">
        <v>728</v>
      </c>
      <c r="AJ18" s="35" t="s">
        <v>729</v>
      </c>
      <c r="AK18" s="185">
        <v>45755</v>
      </c>
      <c r="AL18" s="35" t="s">
        <v>162</v>
      </c>
      <c r="AM18" s="187">
        <v>0</v>
      </c>
      <c r="AN18" s="187">
        <v>3.2638888888888891E-2</v>
      </c>
      <c r="AO18" s="35" t="s">
        <v>451</v>
      </c>
      <c r="AP18" s="35" t="s">
        <v>598</v>
      </c>
      <c r="AQ18" s="35">
        <v>15</v>
      </c>
      <c r="AR18" s="35">
        <v>2</v>
      </c>
      <c r="AS18" s="35">
        <v>8</v>
      </c>
      <c r="AT18" s="35">
        <v>98</v>
      </c>
      <c r="AU18" s="188">
        <v>45755.032638888886</v>
      </c>
      <c r="AV18" s="35" t="s">
        <v>730</v>
      </c>
    </row>
    <row r="19" spans="1:48" x14ac:dyDescent="0.25">
      <c r="A19" s="35" t="s">
        <v>819</v>
      </c>
      <c r="B19" s="35" t="s">
        <v>294</v>
      </c>
      <c r="C19" s="35" t="s">
        <v>76</v>
      </c>
      <c r="D19" s="35" t="s">
        <v>820</v>
      </c>
      <c r="E19" s="35" t="s">
        <v>132</v>
      </c>
      <c r="F19" s="35" t="s">
        <v>132</v>
      </c>
      <c r="G19" s="35" t="s">
        <v>59</v>
      </c>
      <c r="H19" s="35" t="s">
        <v>59</v>
      </c>
      <c r="I19" s="35" t="s">
        <v>821</v>
      </c>
      <c r="J19" s="35" t="s">
        <v>145</v>
      </c>
      <c r="K19" s="35">
        <v>5</v>
      </c>
      <c r="L19" s="35" t="s">
        <v>822</v>
      </c>
      <c r="W19" s="35" t="s">
        <v>416</v>
      </c>
      <c r="X19" s="35" t="s">
        <v>67</v>
      </c>
      <c r="Y19" s="35" t="s">
        <v>579</v>
      </c>
      <c r="Z19" s="35" t="s">
        <v>121</v>
      </c>
      <c r="AA19" s="35" t="s">
        <v>106</v>
      </c>
      <c r="AB19" s="35" t="s">
        <v>123</v>
      </c>
      <c r="AD19" s="35">
        <v>9</v>
      </c>
      <c r="AE19" s="35">
        <v>2025</v>
      </c>
      <c r="AF19" s="35">
        <v>140</v>
      </c>
      <c r="AG19" s="35" t="s">
        <v>822</v>
      </c>
      <c r="AI19" s="35" t="s">
        <v>59</v>
      </c>
      <c r="AJ19" s="35" t="s">
        <v>823</v>
      </c>
      <c r="AK19" s="185">
        <v>45755</v>
      </c>
      <c r="AL19" s="35" t="s">
        <v>54</v>
      </c>
      <c r="AM19" s="187">
        <v>0.5</v>
      </c>
      <c r="AN19" s="187">
        <v>0.5</v>
      </c>
      <c r="AO19" s="35" t="s">
        <v>451</v>
      </c>
      <c r="AP19" s="35" t="s">
        <v>598</v>
      </c>
      <c r="AQ19" s="35">
        <v>15</v>
      </c>
      <c r="AR19" s="35">
        <v>2</v>
      </c>
      <c r="AS19" s="35">
        <v>8</v>
      </c>
      <c r="AT19" s="35">
        <v>98</v>
      </c>
      <c r="AU19" s="188">
        <v>45755.5</v>
      </c>
      <c r="AV19" s="35" t="s">
        <v>730</v>
      </c>
    </row>
    <row r="20" spans="1:48" x14ac:dyDescent="0.25">
      <c r="A20" s="35" t="s">
        <v>799</v>
      </c>
      <c r="B20" s="35" t="s">
        <v>800</v>
      </c>
      <c r="C20" s="35" t="s">
        <v>109</v>
      </c>
      <c r="D20" s="35" t="s">
        <v>801</v>
      </c>
      <c r="E20" s="35" t="s">
        <v>58</v>
      </c>
      <c r="F20" s="35" t="s">
        <v>58</v>
      </c>
      <c r="G20" s="35" t="s">
        <v>59</v>
      </c>
      <c r="H20" s="35" t="s">
        <v>59</v>
      </c>
      <c r="I20" s="35" t="s">
        <v>802</v>
      </c>
      <c r="J20" s="35" t="s">
        <v>155</v>
      </c>
      <c r="K20" s="35">
        <v>8</v>
      </c>
      <c r="L20" s="35" t="s">
        <v>803</v>
      </c>
      <c r="O20" s="35" t="s">
        <v>804</v>
      </c>
      <c r="P20" s="35" t="s">
        <v>555</v>
      </c>
      <c r="Q20" s="35" t="s">
        <v>805</v>
      </c>
      <c r="R20" s="35" t="s">
        <v>65</v>
      </c>
      <c r="W20" s="35" t="s">
        <v>416</v>
      </c>
      <c r="X20" s="35" t="s">
        <v>67</v>
      </c>
      <c r="Y20" s="35" t="s">
        <v>244</v>
      </c>
      <c r="Z20" s="35" t="s">
        <v>206</v>
      </c>
      <c r="AA20" s="35" t="s">
        <v>524</v>
      </c>
      <c r="AB20" s="35" t="s">
        <v>123</v>
      </c>
      <c r="AD20" s="35">
        <v>9</v>
      </c>
      <c r="AE20" s="35">
        <v>2025</v>
      </c>
      <c r="AF20" s="35">
        <v>283</v>
      </c>
      <c r="AG20" s="35" t="s">
        <v>803</v>
      </c>
      <c r="AH20" s="35" t="s">
        <v>806</v>
      </c>
      <c r="AI20" s="35" t="s">
        <v>807</v>
      </c>
      <c r="AJ20" s="35" t="s">
        <v>808</v>
      </c>
      <c r="AK20" s="185">
        <v>45756</v>
      </c>
      <c r="AL20" s="35" t="s">
        <v>97</v>
      </c>
      <c r="AM20" s="187">
        <v>0.95833333333333337</v>
      </c>
      <c r="AN20" s="187">
        <v>0.96527777777777779</v>
      </c>
      <c r="AO20" s="35" t="s">
        <v>452</v>
      </c>
      <c r="AP20" s="35" t="s">
        <v>598</v>
      </c>
      <c r="AQ20" s="35">
        <v>15</v>
      </c>
      <c r="AR20" s="35">
        <v>2</v>
      </c>
      <c r="AS20" s="35">
        <v>9</v>
      </c>
      <c r="AT20" s="35">
        <v>99</v>
      </c>
      <c r="AU20" s="188">
        <v>45756.965277777781</v>
      </c>
      <c r="AV20" s="35" t="s">
        <v>730</v>
      </c>
    </row>
    <row r="21" spans="1:48" x14ac:dyDescent="0.25">
      <c r="A21" s="35" t="s">
        <v>824</v>
      </c>
      <c r="B21" s="35" t="s">
        <v>825</v>
      </c>
      <c r="C21" s="35" t="s">
        <v>95</v>
      </c>
      <c r="D21" s="35" t="s">
        <v>826</v>
      </c>
      <c r="E21" s="35" t="s">
        <v>827</v>
      </c>
      <c r="F21" s="35" t="s">
        <v>58</v>
      </c>
      <c r="G21" s="35" t="s">
        <v>828</v>
      </c>
      <c r="H21" s="35" t="s">
        <v>59</v>
      </c>
      <c r="I21" s="35" t="s">
        <v>829</v>
      </c>
      <c r="J21" s="35" t="s">
        <v>134</v>
      </c>
      <c r="K21" s="35">
        <v>7</v>
      </c>
      <c r="L21" s="35" t="s">
        <v>830</v>
      </c>
      <c r="O21" s="35" t="s">
        <v>831</v>
      </c>
      <c r="P21" s="35" t="s">
        <v>63</v>
      </c>
      <c r="Q21" s="35" t="s">
        <v>218</v>
      </c>
      <c r="R21" s="35" t="s">
        <v>65</v>
      </c>
      <c r="S21" s="35" t="s">
        <v>832</v>
      </c>
      <c r="T21" s="35" t="s">
        <v>65</v>
      </c>
      <c r="U21" s="35" t="s">
        <v>117</v>
      </c>
      <c r="V21" s="35" t="s">
        <v>833</v>
      </c>
      <c r="W21" s="35" t="s">
        <v>157</v>
      </c>
      <c r="X21" s="35" t="s">
        <v>67</v>
      </c>
      <c r="Y21" s="35" t="s">
        <v>834</v>
      </c>
      <c r="Z21" s="35" t="s">
        <v>159</v>
      </c>
      <c r="AA21" s="35" t="s">
        <v>160</v>
      </c>
      <c r="AB21" s="35" t="s">
        <v>435</v>
      </c>
      <c r="AD21" s="35">
        <v>9</v>
      </c>
      <c r="AE21" s="35">
        <v>2025</v>
      </c>
      <c r="AF21" s="35">
        <v>157</v>
      </c>
      <c r="AG21" s="35" t="s">
        <v>830</v>
      </c>
      <c r="AH21" s="35" t="s">
        <v>835</v>
      </c>
      <c r="AI21" s="35" t="s">
        <v>836</v>
      </c>
      <c r="AJ21" s="35" t="s">
        <v>837</v>
      </c>
      <c r="AK21" s="185">
        <v>45760</v>
      </c>
      <c r="AL21" s="35" t="s">
        <v>78</v>
      </c>
      <c r="AM21" s="187">
        <v>0.66666666666666663</v>
      </c>
      <c r="AN21" s="187">
        <v>0.6875</v>
      </c>
      <c r="AO21" s="35" t="s">
        <v>458</v>
      </c>
      <c r="AP21" s="35" t="s">
        <v>598</v>
      </c>
      <c r="AQ21" s="35">
        <v>16</v>
      </c>
      <c r="AR21" s="35">
        <v>3</v>
      </c>
      <c r="AS21" s="35">
        <v>13</v>
      </c>
      <c r="AT21" s="35">
        <v>103</v>
      </c>
      <c r="AU21" s="188">
        <v>45760.6875</v>
      </c>
      <c r="AV21" s="35" t="s">
        <v>730</v>
      </c>
    </row>
    <row r="22" spans="1:48" x14ac:dyDescent="0.25">
      <c r="A22" s="35" t="s">
        <v>838</v>
      </c>
      <c r="B22" s="35" t="s">
        <v>56</v>
      </c>
      <c r="C22" s="35" t="s">
        <v>95</v>
      </c>
      <c r="D22" s="35" t="s">
        <v>839</v>
      </c>
      <c r="E22" s="35" t="s">
        <v>840</v>
      </c>
      <c r="F22" s="35" t="s">
        <v>132</v>
      </c>
      <c r="G22" s="35" t="s">
        <v>841</v>
      </c>
      <c r="H22" s="35" t="s">
        <v>708</v>
      </c>
      <c r="I22" s="35" t="s">
        <v>842</v>
      </c>
      <c r="J22" s="35" t="s">
        <v>327</v>
      </c>
      <c r="K22" s="35">
        <v>7</v>
      </c>
      <c r="L22" s="35" t="s">
        <v>843</v>
      </c>
      <c r="W22" s="35" t="s">
        <v>157</v>
      </c>
      <c r="X22" s="35" t="s">
        <v>67</v>
      </c>
      <c r="Y22" s="35" t="s">
        <v>147</v>
      </c>
      <c r="Z22" s="35" t="s">
        <v>90</v>
      </c>
      <c r="AA22" s="35" t="s">
        <v>160</v>
      </c>
      <c r="AB22" s="35" t="s">
        <v>435</v>
      </c>
      <c r="AD22" s="35">
        <v>9</v>
      </c>
      <c r="AE22" s="35">
        <v>2025</v>
      </c>
      <c r="AF22" s="35">
        <v>64</v>
      </c>
      <c r="AG22" s="35" t="s">
        <v>843</v>
      </c>
      <c r="AI22" s="35" t="s">
        <v>59</v>
      </c>
      <c r="AJ22" s="35" t="s">
        <v>844</v>
      </c>
      <c r="AK22" s="185">
        <v>45760</v>
      </c>
      <c r="AL22" s="35" t="s">
        <v>78</v>
      </c>
      <c r="AM22" s="187">
        <v>0.75</v>
      </c>
      <c r="AN22" s="187">
        <v>0.78115740740740736</v>
      </c>
      <c r="AO22" s="35" t="s">
        <v>458</v>
      </c>
      <c r="AP22" s="35" t="s">
        <v>598</v>
      </c>
      <c r="AQ22" s="35">
        <v>16</v>
      </c>
      <c r="AR22" s="35">
        <v>3</v>
      </c>
      <c r="AS22" s="35">
        <v>13</v>
      </c>
      <c r="AT22" s="35">
        <v>103</v>
      </c>
      <c r="AU22" s="188">
        <v>45760.780555555553</v>
      </c>
      <c r="AV22" s="35" t="s">
        <v>730</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192AC3-B238-49ED-B842-A56B8E4EAF1B}">
  <sheetPr codeName="Sheet1">
    <tabColor rgb="FF00B050"/>
  </sheetPr>
  <dimension ref="A1:AW13"/>
  <sheetViews>
    <sheetView workbookViewId="0">
      <selection sqref="A1:AS13"/>
    </sheetView>
  </sheetViews>
  <sheetFormatPr defaultColWidth="8.85546875" defaultRowHeight="15.75" x14ac:dyDescent="0.25"/>
  <cols>
    <col min="1" max="1" width="19.28515625" style="120" bestFit="1" customWidth="1"/>
    <col min="2" max="2" width="15.42578125" style="189" bestFit="1" customWidth="1"/>
    <col min="3" max="3" width="28" style="190" bestFit="1" customWidth="1"/>
    <col min="4" max="4" width="18.28515625" style="120" bestFit="1" customWidth="1"/>
    <col min="5" max="5" width="15" style="120" bestFit="1" customWidth="1"/>
    <col min="6" max="6" width="15.7109375" style="120" bestFit="1" customWidth="1"/>
    <col min="7" max="7" width="18.42578125" style="120" bestFit="1" customWidth="1"/>
    <col min="8" max="9" width="39.7109375" style="35" bestFit="1" customWidth="1"/>
    <col min="10" max="10" width="43" style="35" bestFit="1" customWidth="1"/>
    <col min="11" max="11" width="21.42578125" style="35" bestFit="1" customWidth="1"/>
    <col min="12" max="12" width="27.28515625" style="35" bestFit="1" customWidth="1"/>
    <col min="13" max="13" width="21.42578125" style="35" bestFit="1" customWidth="1"/>
    <col min="14" max="14" width="64.28515625" style="35" bestFit="1" customWidth="1"/>
    <col min="15" max="15" width="9.7109375" style="120" bestFit="1" customWidth="1"/>
    <col min="16" max="16" width="10.42578125" style="120" bestFit="1" customWidth="1"/>
    <col min="17" max="17" width="100.7109375" style="183" customWidth="1"/>
    <col min="18" max="18" width="23.85546875" style="35" bestFit="1" customWidth="1"/>
    <col min="19" max="19" width="25.5703125" style="35" bestFit="1" customWidth="1"/>
    <col min="20" max="20" width="19.28515625" style="35" bestFit="1" customWidth="1"/>
    <col min="21" max="21" width="13.28515625" style="35" bestFit="1" customWidth="1"/>
    <col min="22" max="22" width="12.85546875" style="35" bestFit="1" customWidth="1"/>
    <col min="23" max="23" width="16.7109375" style="120" bestFit="1" customWidth="1"/>
    <col min="24" max="24" width="19.28515625" style="35" bestFit="1" customWidth="1"/>
    <col min="25" max="25" width="16.7109375" style="35" bestFit="1" customWidth="1"/>
    <col min="26" max="26" width="12.140625" style="35" bestFit="1" customWidth="1"/>
    <col min="27" max="27" width="12.85546875" style="35" bestFit="1" customWidth="1"/>
    <col min="28" max="28" width="18.28515625" style="35" bestFit="1" customWidth="1"/>
    <col min="29" max="29" width="27.85546875" style="35" bestFit="1" customWidth="1"/>
    <col min="30" max="30" width="12" style="120" bestFit="1" customWidth="1"/>
    <col min="31" max="31" width="29.85546875" style="35" bestFit="1" customWidth="1"/>
    <col min="32" max="32" width="31.140625" style="35" bestFit="1" customWidth="1"/>
    <col min="33" max="33" width="50.28515625" style="35" bestFit="1" customWidth="1"/>
    <col min="34" max="34" width="10" style="120" bestFit="1" customWidth="1"/>
    <col min="35" max="35" width="18.7109375" style="120" bestFit="1" customWidth="1"/>
    <col min="36" max="36" width="20.7109375" style="120" bestFit="1" customWidth="1"/>
    <col min="37" max="37" width="9.28515625" style="120" bestFit="1" customWidth="1"/>
    <col min="38" max="38" width="16.7109375" style="120" bestFit="1" customWidth="1"/>
    <col min="39" max="39" width="27" style="120" bestFit="1" customWidth="1"/>
    <col min="40" max="40" width="8.7109375" style="120" bestFit="1" customWidth="1"/>
    <col min="41" max="41" width="100.7109375" style="183" customWidth="1"/>
    <col min="42" max="42" width="40" style="35" bestFit="1" customWidth="1"/>
    <col min="43" max="43" width="44.85546875" style="183" customWidth="1"/>
    <col min="44" max="44" width="51.85546875" style="183" customWidth="1"/>
    <col min="45" max="45" width="21.7109375" style="120" bestFit="1" customWidth="1"/>
    <col min="46" max="46" width="12.7109375" style="35" bestFit="1" customWidth="1"/>
    <col min="47" max="47" width="22" style="35" bestFit="1" customWidth="1"/>
    <col min="48" max="48" width="5.85546875" style="35" bestFit="1" customWidth="1"/>
    <col min="49" max="49" width="80.85546875" style="183" bestFit="1" customWidth="1"/>
    <col min="50" max="50" width="32.85546875" style="35" bestFit="1" customWidth="1"/>
    <col min="51" max="52" width="80.85546875" style="35" bestFit="1" customWidth="1"/>
    <col min="53" max="53" width="16.140625" style="35" bestFit="1" customWidth="1"/>
    <col min="54" max="54" width="23.28515625" style="35" bestFit="1" customWidth="1"/>
    <col min="55" max="55" width="24.85546875" style="35" bestFit="1" customWidth="1"/>
    <col min="56" max="16384" width="8.85546875" style="35"/>
  </cols>
  <sheetData>
    <row r="1" spans="1:45" s="120" customFormat="1" x14ac:dyDescent="0.25">
      <c r="A1" s="120" t="s">
        <v>0</v>
      </c>
      <c r="B1" s="120" t="s">
        <v>1</v>
      </c>
      <c r="C1" s="120" t="s">
        <v>52</v>
      </c>
      <c r="D1" s="189" t="s">
        <v>3</v>
      </c>
      <c r="E1" s="189" t="s">
        <v>4</v>
      </c>
      <c r="F1" s="120" t="s">
        <v>5</v>
      </c>
      <c r="G1" s="120" t="s">
        <v>6</v>
      </c>
      <c r="H1" s="120" t="s">
        <v>7</v>
      </c>
      <c r="I1" s="120" t="s">
        <v>8</v>
      </c>
      <c r="J1" s="120" t="s">
        <v>10</v>
      </c>
      <c r="K1" s="120" t="s">
        <v>9</v>
      </c>
      <c r="L1" s="120" t="s">
        <v>11</v>
      </c>
      <c r="M1" s="120" t="s">
        <v>12</v>
      </c>
      <c r="N1" s="120" t="s">
        <v>13</v>
      </c>
      <c r="O1" s="120" t="s">
        <v>14</v>
      </c>
      <c r="P1" s="120" t="s">
        <v>15</v>
      </c>
      <c r="Q1" s="182" t="s">
        <v>16</v>
      </c>
      <c r="R1" s="120" t="s">
        <v>17</v>
      </c>
      <c r="S1" s="120" t="s">
        <v>18</v>
      </c>
      <c r="T1" s="120" t="s">
        <v>19</v>
      </c>
      <c r="U1" s="120" t="s">
        <v>20</v>
      </c>
      <c r="V1" s="120" t="s">
        <v>21</v>
      </c>
      <c r="W1" s="120" t="s">
        <v>22</v>
      </c>
      <c r="X1" s="120" t="s">
        <v>23</v>
      </c>
      <c r="Y1" s="120" t="s">
        <v>24</v>
      </c>
      <c r="Z1" s="120" t="s">
        <v>25</v>
      </c>
      <c r="AA1" s="120" t="s">
        <v>26</v>
      </c>
      <c r="AB1" s="120" t="s">
        <v>27</v>
      </c>
      <c r="AC1" s="120" t="s">
        <v>29</v>
      </c>
      <c r="AD1" s="120" t="s">
        <v>30</v>
      </c>
      <c r="AE1" s="120" t="s">
        <v>31</v>
      </c>
      <c r="AF1" s="120" t="s">
        <v>32</v>
      </c>
      <c r="AG1" s="120" t="s">
        <v>33</v>
      </c>
      <c r="AH1" s="120" t="s">
        <v>41</v>
      </c>
      <c r="AI1" s="120" t="s">
        <v>42</v>
      </c>
      <c r="AJ1" s="120" t="s">
        <v>43</v>
      </c>
      <c r="AK1" s="120" t="s">
        <v>44</v>
      </c>
      <c r="AL1" s="120" t="s">
        <v>45</v>
      </c>
      <c r="AM1" s="120" t="s">
        <v>46</v>
      </c>
      <c r="AN1" s="120" t="s">
        <v>47</v>
      </c>
      <c r="AO1" s="182" t="s">
        <v>459</v>
      </c>
      <c r="AP1" s="120" t="s">
        <v>48</v>
      </c>
      <c r="AQ1" s="182" t="s">
        <v>49</v>
      </c>
      <c r="AR1" s="182" t="s">
        <v>50</v>
      </c>
      <c r="AS1" s="120" t="s">
        <v>51</v>
      </c>
    </row>
    <row r="2" spans="1:45" ht="283.5" x14ac:dyDescent="0.25">
      <c r="A2" s="120" t="s">
        <v>53</v>
      </c>
      <c r="B2" s="145">
        <v>45663</v>
      </c>
      <c r="C2" s="35" t="s">
        <v>76</v>
      </c>
      <c r="D2" s="189">
        <v>0.625</v>
      </c>
      <c r="E2" s="189">
        <v>0.64583333333333337</v>
      </c>
      <c r="F2" s="120" t="s">
        <v>450</v>
      </c>
      <c r="G2" s="120" t="s">
        <v>55</v>
      </c>
      <c r="H2" s="35" t="s">
        <v>56</v>
      </c>
      <c r="I2" s="35" t="s">
        <v>57</v>
      </c>
      <c r="J2" s="35" t="s">
        <v>58</v>
      </c>
      <c r="K2" s="35" t="s">
        <v>58</v>
      </c>
      <c r="L2" s="35" t="s">
        <v>59</v>
      </c>
      <c r="M2" s="35" t="s">
        <v>59</v>
      </c>
      <c r="N2" s="35" t="s">
        <v>60</v>
      </c>
      <c r="P2" s="120">
        <v>7</v>
      </c>
      <c r="Q2" s="183" t="s">
        <v>61</v>
      </c>
      <c r="T2" s="35" t="s">
        <v>62</v>
      </c>
      <c r="U2" s="35" t="s">
        <v>63</v>
      </c>
      <c r="V2" s="35" t="s">
        <v>64</v>
      </c>
      <c r="W2" s="120" t="s">
        <v>65</v>
      </c>
      <c r="AB2" s="35" t="s">
        <v>66</v>
      </c>
      <c r="AC2" s="35" t="s">
        <v>68</v>
      </c>
      <c r="AD2" s="120" t="s">
        <v>69</v>
      </c>
      <c r="AE2" s="35" t="s">
        <v>70</v>
      </c>
      <c r="AF2" s="35" t="s">
        <v>71</v>
      </c>
      <c r="AG2" s="35" t="s">
        <v>72</v>
      </c>
      <c r="AH2" s="120">
        <v>2025</v>
      </c>
      <c r="AI2" s="120">
        <v>2</v>
      </c>
      <c r="AJ2" s="120">
        <v>2</v>
      </c>
      <c r="AK2" s="120">
        <v>6</v>
      </c>
      <c r="AL2" s="120">
        <v>6</v>
      </c>
      <c r="AM2" s="147">
        <v>45663.645833333336</v>
      </c>
      <c r="AN2" s="120">
        <v>90</v>
      </c>
      <c r="AO2" s="183" t="s">
        <v>61</v>
      </c>
      <c r="AP2" s="35" t="s">
        <v>73</v>
      </c>
      <c r="AQ2" s="183" t="s">
        <v>74</v>
      </c>
      <c r="AR2" s="183" t="s">
        <v>75</v>
      </c>
      <c r="AS2" s="120" t="s">
        <v>514</v>
      </c>
    </row>
    <row r="3" spans="1:45" ht="220.5" x14ac:dyDescent="0.25">
      <c r="A3" s="120" t="s">
        <v>77</v>
      </c>
      <c r="B3" s="145">
        <v>45682</v>
      </c>
      <c r="C3" s="35" t="s">
        <v>95</v>
      </c>
      <c r="D3" s="189">
        <v>0.75</v>
      </c>
      <c r="E3" s="189">
        <v>0.76875000000000004</v>
      </c>
      <c r="F3" s="120" t="s">
        <v>455</v>
      </c>
      <c r="G3" s="120" t="s">
        <v>55</v>
      </c>
      <c r="H3" s="35" t="s">
        <v>79</v>
      </c>
      <c r="I3" s="35" t="s">
        <v>80</v>
      </c>
      <c r="J3" s="35" t="s">
        <v>81</v>
      </c>
      <c r="K3" s="35" t="s">
        <v>58</v>
      </c>
      <c r="L3" s="35" t="s">
        <v>82</v>
      </c>
      <c r="M3" s="35" t="s">
        <v>59</v>
      </c>
      <c r="N3" s="35" t="s">
        <v>83</v>
      </c>
      <c r="O3" s="120" t="s">
        <v>84</v>
      </c>
      <c r="P3" s="120">
        <v>8</v>
      </c>
      <c r="Q3" s="183" t="s">
        <v>85</v>
      </c>
      <c r="T3" s="35" t="s">
        <v>86</v>
      </c>
      <c r="U3" s="35" t="s">
        <v>63</v>
      </c>
      <c r="V3" s="35" t="s">
        <v>87</v>
      </c>
      <c r="W3" s="120" t="s">
        <v>65</v>
      </c>
      <c r="AB3" s="35" t="s">
        <v>88</v>
      </c>
      <c r="AC3" s="35" t="s">
        <v>89</v>
      </c>
      <c r="AD3" s="120" t="s">
        <v>90</v>
      </c>
      <c r="AE3" s="35" t="s">
        <v>91</v>
      </c>
      <c r="AF3" s="35" t="s">
        <v>92</v>
      </c>
      <c r="AG3" s="35" t="s">
        <v>72</v>
      </c>
      <c r="AH3" s="120">
        <v>2025</v>
      </c>
      <c r="AI3" s="120">
        <v>4</v>
      </c>
      <c r="AJ3" s="120">
        <v>4</v>
      </c>
      <c r="AK3" s="120">
        <v>25</v>
      </c>
      <c r="AL3" s="120">
        <v>25</v>
      </c>
      <c r="AM3" s="147">
        <v>45682.768750000003</v>
      </c>
      <c r="AN3" s="120">
        <v>206</v>
      </c>
      <c r="AO3" s="183" t="s">
        <v>85</v>
      </c>
      <c r="AP3" s="35" t="s">
        <v>93</v>
      </c>
      <c r="AQ3" s="183" t="s">
        <v>94</v>
      </c>
      <c r="AR3" s="183" t="s">
        <v>59</v>
      </c>
      <c r="AS3" s="120" t="s">
        <v>511</v>
      </c>
    </row>
    <row r="4" spans="1:45" ht="204.75" x14ac:dyDescent="0.25">
      <c r="A4" s="120" t="s">
        <v>96</v>
      </c>
      <c r="B4" s="145">
        <v>45683</v>
      </c>
      <c r="C4" s="35" t="s">
        <v>109</v>
      </c>
      <c r="D4" s="189">
        <v>0.83333333333333337</v>
      </c>
      <c r="E4" s="189">
        <v>0.84027777777777779</v>
      </c>
      <c r="F4" s="120" t="s">
        <v>458</v>
      </c>
      <c r="G4" s="120" t="s">
        <v>55</v>
      </c>
      <c r="H4" s="35" t="s">
        <v>98</v>
      </c>
      <c r="I4" s="35" t="s">
        <v>99</v>
      </c>
      <c r="J4" s="35" t="s">
        <v>81</v>
      </c>
      <c r="K4" s="35" t="s">
        <v>58</v>
      </c>
      <c r="L4" s="35" t="s">
        <v>82</v>
      </c>
      <c r="M4" s="35" t="s">
        <v>59</v>
      </c>
      <c r="N4" s="35" t="s">
        <v>100</v>
      </c>
      <c r="O4" s="120" t="s">
        <v>101</v>
      </c>
      <c r="P4" s="120">
        <v>9</v>
      </c>
      <c r="Q4" s="183" t="s">
        <v>102</v>
      </c>
      <c r="T4" s="35" t="s">
        <v>103</v>
      </c>
      <c r="U4" s="35" t="s">
        <v>63</v>
      </c>
      <c r="V4" s="35" t="s">
        <v>104</v>
      </c>
      <c r="W4" s="120" t="s">
        <v>65</v>
      </c>
      <c r="AB4" s="35" t="s">
        <v>66</v>
      </c>
      <c r="AC4" s="35" t="s">
        <v>105</v>
      </c>
      <c r="AD4" s="120" t="s">
        <v>69</v>
      </c>
      <c r="AE4" s="35" t="s">
        <v>106</v>
      </c>
      <c r="AF4" s="35" t="s">
        <v>71</v>
      </c>
      <c r="AG4" s="35" t="s">
        <v>72</v>
      </c>
      <c r="AH4" s="120">
        <v>2025</v>
      </c>
      <c r="AI4" s="120">
        <v>5</v>
      </c>
      <c r="AJ4" s="120">
        <v>5</v>
      </c>
      <c r="AK4" s="120">
        <v>26</v>
      </c>
      <c r="AL4" s="120">
        <v>26</v>
      </c>
      <c r="AM4" s="147">
        <v>45683.840277777781</v>
      </c>
      <c r="AN4" s="120">
        <v>5</v>
      </c>
      <c r="AO4" s="183" t="s">
        <v>102</v>
      </c>
      <c r="AP4" s="35" t="s">
        <v>107</v>
      </c>
      <c r="AQ4" s="183" t="s">
        <v>59</v>
      </c>
      <c r="AR4" s="183" t="s">
        <v>108</v>
      </c>
      <c r="AS4" s="120" t="s">
        <v>511</v>
      </c>
    </row>
    <row r="5" spans="1:45" ht="173.25" x14ac:dyDescent="0.25">
      <c r="A5" s="120" t="s">
        <v>110</v>
      </c>
      <c r="B5" s="145">
        <v>45701</v>
      </c>
      <c r="C5" s="35" t="s">
        <v>95</v>
      </c>
      <c r="D5" s="189">
        <v>0.66666666666666663</v>
      </c>
      <c r="E5" s="189">
        <v>0.66666666666666663</v>
      </c>
      <c r="F5" s="120" t="s">
        <v>536</v>
      </c>
      <c r="G5" s="120" t="s">
        <v>111</v>
      </c>
      <c r="H5" s="35" t="s">
        <v>112</v>
      </c>
      <c r="I5" s="35" t="s">
        <v>112</v>
      </c>
      <c r="J5" s="35" t="s">
        <v>58</v>
      </c>
      <c r="K5" s="35" t="s">
        <v>58</v>
      </c>
      <c r="L5" s="35" t="s">
        <v>59</v>
      </c>
      <c r="M5" s="35" t="s">
        <v>59</v>
      </c>
      <c r="N5" s="35" t="s">
        <v>113</v>
      </c>
      <c r="O5" s="120" t="s">
        <v>114</v>
      </c>
      <c r="P5" s="120">
        <v>6</v>
      </c>
      <c r="Q5" s="183" t="s">
        <v>115</v>
      </c>
      <c r="T5" s="35" t="s">
        <v>116</v>
      </c>
      <c r="U5" s="35" t="s">
        <v>117</v>
      </c>
      <c r="V5" s="35" t="s">
        <v>118</v>
      </c>
      <c r="W5" s="120" t="s">
        <v>65</v>
      </c>
      <c r="AB5" s="35" t="s">
        <v>119</v>
      </c>
      <c r="AC5" s="35" t="s">
        <v>120</v>
      </c>
      <c r="AD5" s="120" t="s">
        <v>121</v>
      </c>
      <c r="AE5" s="35" t="s">
        <v>122</v>
      </c>
      <c r="AF5" s="35" t="s">
        <v>123</v>
      </c>
      <c r="AG5" s="35" t="s">
        <v>72</v>
      </c>
      <c r="AH5" s="120">
        <v>2025</v>
      </c>
      <c r="AI5" s="120">
        <v>7</v>
      </c>
      <c r="AJ5" s="120">
        <v>3</v>
      </c>
      <c r="AK5" s="120">
        <v>13</v>
      </c>
      <c r="AL5" s="120">
        <v>44</v>
      </c>
      <c r="AM5" s="147">
        <v>45701.666666666664</v>
      </c>
      <c r="AO5" s="183" t="s">
        <v>115</v>
      </c>
      <c r="AP5" s="35" t="s">
        <v>124</v>
      </c>
      <c r="AQ5" s="183" t="s">
        <v>125</v>
      </c>
      <c r="AR5" s="183" t="s">
        <v>126</v>
      </c>
      <c r="AS5" s="120" t="s">
        <v>508</v>
      </c>
    </row>
    <row r="6" spans="1:45" ht="330.75" x14ac:dyDescent="0.25">
      <c r="A6" s="120" t="s">
        <v>460</v>
      </c>
      <c r="B6" s="145">
        <v>45722</v>
      </c>
      <c r="C6" s="35" t="s">
        <v>109</v>
      </c>
      <c r="D6" s="189">
        <v>0.91666666666666663</v>
      </c>
      <c r="E6" s="189">
        <v>0.94149305555555551</v>
      </c>
      <c r="F6" s="120" t="s">
        <v>536</v>
      </c>
      <c r="G6" s="120" t="s">
        <v>461</v>
      </c>
      <c r="H6" s="35" t="s">
        <v>462</v>
      </c>
      <c r="I6" s="35" t="s">
        <v>463</v>
      </c>
      <c r="J6" s="35" t="s">
        <v>58</v>
      </c>
      <c r="K6" s="35" t="s">
        <v>58</v>
      </c>
      <c r="L6" s="35" t="s">
        <v>59</v>
      </c>
      <c r="M6" s="35" t="s">
        <v>59</v>
      </c>
      <c r="N6" s="35" t="s">
        <v>464</v>
      </c>
      <c r="O6" s="120" t="s">
        <v>84</v>
      </c>
      <c r="P6" s="120">
        <v>8</v>
      </c>
      <c r="Q6" s="183" t="s">
        <v>465</v>
      </c>
      <c r="T6" s="35" t="s">
        <v>466</v>
      </c>
      <c r="U6" s="35" t="s">
        <v>117</v>
      </c>
      <c r="V6" s="35" t="s">
        <v>467</v>
      </c>
      <c r="W6" s="120" t="s">
        <v>65</v>
      </c>
      <c r="AB6" s="35" t="s">
        <v>468</v>
      </c>
      <c r="AC6" s="35" t="s">
        <v>68</v>
      </c>
      <c r="AD6" s="120" t="s">
        <v>69</v>
      </c>
      <c r="AE6" s="35" t="s">
        <v>160</v>
      </c>
      <c r="AF6" s="35" t="s">
        <v>123</v>
      </c>
      <c r="AH6" s="120">
        <v>2025</v>
      </c>
      <c r="AI6" s="120">
        <v>10</v>
      </c>
      <c r="AJ6" s="120">
        <v>2</v>
      </c>
      <c r="AK6" s="120">
        <v>6</v>
      </c>
      <c r="AL6" s="120">
        <v>65</v>
      </c>
      <c r="AM6" s="147">
        <v>45722.940972222219</v>
      </c>
      <c r="AN6" s="120">
        <v>216</v>
      </c>
      <c r="AO6" s="183" t="s">
        <v>465</v>
      </c>
      <c r="AP6" s="35" t="s">
        <v>469</v>
      </c>
      <c r="AQ6" s="183" t="s">
        <v>470</v>
      </c>
      <c r="AR6" s="183" t="s">
        <v>471</v>
      </c>
      <c r="AS6" s="120" t="s">
        <v>505</v>
      </c>
    </row>
    <row r="7" spans="1:45" ht="252" x14ac:dyDescent="0.25">
      <c r="A7" s="120" t="s">
        <v>472</v>
      </c>
      <c r="B7" s="145">
        <v>45725</v>
      </c>
      <c r="C7" s="35" t="s">
        <v>95</v>
      </c>
      <c r="D7" s="189">
        <v>0.79166666666666663</v>
      </c>
      <c r="E7" s="189">
        <v>0.8125</v>
      </c>
      <c r="F7" s="120" t="s">
        <v>458</v>
      </c>
      <c r="G7" s="120" t="s">
        <v>461</v>
      </c>
      <c r="H7" s="35" t="s">
        <v>473</v>
      </c>
      <c r="I7" s="35" t="s">
        <v>474</v>
      </c>
      <c r="J7" s="35" t="s">
        <v>58</v>
      </c>
      <c r="K7" s="35" t="s">
        <v>58</v>
      </c>
      <c r="L7" s="35" t="s">
        <v>59</v>
      </c>
      <c r="M7" s="35" t="s">
        <v>59</v>
      </c>
      <c r="N7" s="35" t="s">
        <v>475</v>
      </c>
      <c r="O7" s="120" t="s">
        <v>134</v>
      </c>
      <c r="P7" s="120">
        <v>7</v>
      </c>
      <c r="Q7" s="183" t="s">
        <v>476</v>
      </c>
      <c r="T7" s="35" t="s">
        <v>477</v>
      </c>
      <c r="U7" s="35" t="s">
        <v>478</v>
      </c>
      <c r="V7" s="35" t="s">
        <v>479</v>
      </c>
      <c r="W7" s="120" t="s">
        <v>65</v>
      </c>
      <c r="AB7" s="35" t="s">
        <v>157</v>
      </c>
      <c r="AC7" s="35" t="s">
        <v>480</v>
      </c>
      <c r="AD7" s="120" t="s">
        <v>351</v>
      </c>
      <c r="AH7" s="120">
        <v>2025</v>
      </c>
      <c r="AI7" s="120">
        <v>11</v>
      </c>
      <c r="AJ7" s="120">
        <v>3</v>
      </c>
      <c r="AK7" s="120">
        <v>9</v>
      </c>
      <c r="AL7" s="120">
        <v>68</v>
      </c>
      <c r="AM7" s="147">
        <v>45725.8125</v>
      </c>
      <c r="AN7" s="120">
        <v>282</v>
      </c>
      <c r="AO7" s="183" t="s">
        <v>476</v>
      </c>
      <c r="AP7" s="35" t="s">
        <v>481</v>
      </c>
      <c r="AQ7" s="183" t="s">
        <v>482</v>
      </c>
      <c r="AR7" s="183" t="s">
        <v>483</v>
      </c>
      <c r="AS7" s="120" t="s">
        <v>505</v>
      </c>
    </row>
    <row r="8" spans="1:45" ht="204.75" x14ac:dyDescent="0.25">
      <c r="A8" s="120" t="s">
        <v>516</v>
      </c>
      <c r="B8" s="145">
        <v>45727</v>
      </c>
      <c r="C8" s="35" t="s">
        <v>76</v>
      </c>
      <c r="D8" s="189">
        <v>0.58333333333333337</v>
      </c>
      <c r="E8" s="189">
        <v>0.60416666666666663</v>
      </c>
      <c r="F8" s="120" t="s">
        <v>451</v>
      </c>
      <c r="G8" s="120" t="s">
        <v>461</v>
      </c>
      <c r="H8" s="35" t="s">
        <v>517</v>
      </c>
      <c r="I8" s="35" t="s">
        <v>518</v>
      </c>
      <c r="J8" s="35" t="s">
        <v>58</v>
      </c>
      <c r="K8" s="35" t="s">
        <v>58</v>
      </c>
      <c r="L8" s="35" t="s">
        <v>59</v>
      </c>
      <c r="M8" s="35" t="s">
        <v>59</v>
      </c>
      <c r="N8" s="35" t="s">
        <v>519</v>
      </c>
      <c r="O8" s="120" t="s">
        <v>84</v>
      </c>
      <c r="P8" s="120">
        <v>8</v>
      </c>
      <c r="Q8" s="183" t="s">
        <v>520</v>
      </c>
      <c r="T8" s="35" t="s">
        <v>521</v>
      </c>
      <c r="U8" s="35" t="s">
        <v>522</v>
      </c>
      <c r="V8" s="35" t="s">
        <v>523</v>
      </c>
      <c r="W8" s="120" t="s">
        <v>65</v>
      </c>
      <c r="AB8" s="35" t="s">
        <v>416</v>
      </c>
      <c r="AC8" s="35" t="s">
        <v>158</v>
      </c>
      <c r="AD8" s="120" t="s">
        <v>159</v>
      </c>
      <c r="AE8" s="35" t="s">
        <v>524</v>
      </c>
      <c r="AF8" s="35" t="s">
        <v>123</v>
      </c>
      <c r="AG8" s="35" t="s">
        <v>72</v>
      </c>
      <c r="AH8" s="120">
        <v>2025</v>
      </c>
      <c r="AI8" s="120">
        <v>11</v>
      </c>
      <c r="AJ8" s="120">
        <v>3</v>
      </c>
      <c r="AK8" s="120">
        <v>11</v>
      </c>
      <c r="AL8" s="120">
        <v>70</v>
      </c>
      <c r="AM8" s="147">
        <v>45727.604166666664</v>
      </c>
      <c r="AN8" s="120">
        <v>123</v>
      </c>
      <c r="AO8" s="183" t="s">
        <v>520</v>
      </c>
      <c r="AP8" s="35" t="s">
        <v>525</v>
      </c>
      <c r="AQ8" s="183" t="s">
        <v>526</v>
      </c>
      <c r="AR8" s="183" t="s">
        <v>527</v>
      </c>
      <c r="AS8" s="120" t="s">
        <v>528</v>
      </c>
    </row>
    <row r="9" spans="1:45" ht="330.75" x14ac:dyDescent="0.25">
      <c r="A9" s="120" t="s">
        <v>559</v>
      </c>
      <c r="B9" s="145">
        <v>45739</v>
      </c>
      <c r="C9" s="35" t="s">
        <v>304</v>
      </c>
      <c r="D9" s="189">
        <v>0.16666666666666666</v>
      </c>
      <c r="E9" s="189">
        <v>0.1736111111111111</v>
      </c>
      <c r="F9" s="120" t="s">
        <v>458</v>
      </c>
      <c r="G9" s="120" t="s">
        <v>461</v>
      </c>
      <c r="H9" s="35" t="s">
        <v>560</v>
      </c>
      <c r="I9" s="35" t="s">
        <v>561</v>
      </c>
      <c r="J9" s="35" t="s">
        <v>562</v>
      </c>
      <c r="K9" s="35" t="s">
        <v>58</v>
      </c>
      <c r="L9" s="35" t="s">
        <v>563</v>
      </c>
      <c r="M9" s="35" t="s">
        <v>59</v>
      </c>
      <c r="N9" s="35" t="s">
        <v>564</v>
      </c>
      <c r="O9" s="120" t="s">
        <v>250</v>
      </c>
      <c r="P9" s="120">
        <v>5</v>
      </c>
      <c r="Q9" s="183" t="s">
        <v>565</v>
      </c>
      <c r="T9" s="35" t="s">
        <v>566</v>
      </c>
      <c r="U9" s="35" t="s">
        <v>117</v>
      </c>
      <c r="V9" s="35" t="s">
        <v>567</v>
      </c>
      <c r="W9" s="120" t="s">
        <v>65</v>
      </c>
      <c r="AB9" s="35" t="s">
        <v>568</v>
      </c>
      <c r="AC9" s="35" t="s">
        <v>105</v>
      </c>
      <c r="AD9" s="120" t="s">
        <v>69</v>
      </c>
      <c r="AE9" s="35" t="s">
        <v>122</v>
      </c>
      <c r="AF9" s="35" t="s">
        <v>123</v>
      </c>
      <c r="AH9" s="120">
        <v>2025</v>
      </c>
      <c r="AI9" s="120">
        <v>13</v>
      </c>
      <c r="AJ9" s="120">
        <v>5</v>
      </c>
      <c r="AK9" s="120">
        <v>23</v>
      </c>
      <c r="AL9" s="120">
        <v>82</v>
      </c>
      <c r="AM9" s="147">
        <v>45739.173611111109</v>
      </c>
      <c r="AN9" s="120">
        <v>24</v>
      </c>
      <c r="AO9" s="183" t="s">
        <v>565</v>
      </c>
      <c r="AP9" s="35" t="s">
        <v>569</v>
      </c>
      <c r="AQ9" s="183" t="s">
        <v>570</v>
      </c>
      <c r="AR9" s="183" t="s">
        <v>571</v>
      </c>
      <c r="AS9" s="120" t="s">
        <v>548</v>
      </c>
    </row>
    <row r="10" spans="1:45" ht="173.25" x14ac:dyDescent="0.25">
      <c r="A10" s="120" t="s">
        <v>605</v>
      </c>
      <c r="B10" s="145">
        <v>45747</v>
      </c>
      <c r="C10" s="35" t="s">
        <v>95</v>
      </c>
      <c r="D10" s="189">
        <v>0.75</v>
      </c>
      <c r="E10" s="189">
        <v>0.75</v>
      </c>
      <c r="F10" s="120" t="s">
        <v>450</v>
      </c>
      <c r="G10" s="120" t="s">
        <v>461</v>
      </c>
      <c r="H10" s="35" t="s">
        <v>211</v>
      </c>
      <c r="I10" s="35" t="s">
        <v>606</v>
      </c>
      <c r="J10" s="35" t="s">
        <v>58</v>
      </c>
      <c r="K10" s="35" t="s">
        <v>58</v>
      </c>
      <c r="L10" s="35" t="s">
        <v>59</v>
      </c>
      <c r="M10" s="35" t="s">
        <v>59</v>
      </c>
      <c r="N10" s="35" t="s">
        <v>607</v>
      </c>
      <c r="O10" s="120" t="s">
        <v>215</v>
      </c>
      <c r="Q10" s="183" t="s">
        <v>608</v>
      </c>
      <c r="R10" s="35">
        <v>2</v>
      </c>
      <c r="S10" s="35">
        <v>0</v>
      </c>
      <c r="T10" s="35" t="s">
        <v>609</v>
      </c>
      <c r="U10" s="35" t="s">
        <v>253</v>
      </c>
      <c r="V10" s="35" t="s">
        <v>610</v>
      </c>
      <c r="W10" s="120" t="s">
        <v>65</v>
      </c>
      <c r="AB10" s="35" t="s">
        <v>468</v>
      </c>
      <c r="AC10" s="35" t="s">
        <v>611</v>
      </c>
      <c r="AD10" s="120" t="s">
        <v>612</v>
      </c>
      <c r="AE10" s="35" t="s">
        <v>160</v>
      </c>
      <c r="AF10" s="35" t="s">
        <v>123</v>
      </c>
      <c r="AG10" s="35" t="s">
        <v>613</v>
      </c>
      <c r="AH10" s="120">
        <v>2025</v>
      </c>
      <c r="AI10" s="120">
        <v>14</v>
      </c>
      <c r="AJ10" s="120">
        <v>6</v>
      </c>
      <c r="AK10" s="120">
        <v>31</v>
      </c>
      <c r="AL10" s="120">
        <v>90</v>
      </c>
      <c r="AM10" s="147">
        <v>45747.75</v>
      </c>
      <c r="AN10" s="120">
        <v>310</v>
      </c>
      <c r="AO10" s="183" t="s">
        <v>608</v>
      </c>
      <c r="AP10" s="35" t="s">
        <v>614</v>
      </c>
      <c r="AQ10" s="183" t="s">
        <v>59</v>
      </c>
      <c r="AR10" s="183" t="s">
        <v>59</v>
      </c>
      <c r="AS10" s="120" t="s">
        <v>581</v>
      </c>
    </row>
    <row r="11" spans="1:45" ht="173.25" x14ac:dyDescent="0.25">
      <c r="A11" s="120" t="s">
        <v>615</v>
      </c>
      <c r="B11" s="145">
        <v>45747</v>
      </c>
      <c r="C11" s="35" t="s">
        <v>109</v>
      </c>
      <c r="D11" s="189">
        <v>0.83333333333333337</v>
      </c>
      <c r="E11" s="189">
        <v>0.83333333333333337</v>
      </c>
      <c r="F11" s="120" t="s">
        <v>450</v>
      </c>
      <c r="G11" s="120" t="s">
        <v>461</v>
      </c>
      <c r="H11" s="35" t="s">
        <v>211</v>
      </c>
      <c r="I11" s="35" t="s">
        <v>606</v>
      </c>
      <c r="J11" s="35" t="s">
        <v>58</v>
      </c>
      <c r="K11" s="35" t="s">
        <v>58</v>
      </c>
      <c r="L11" s="35" t="s">
        <v>59</v>
      </c>
      <c r="M11" s="35" t="s">
        <v>59</v>
      </c>
      <c r="N11" s="35" t="s">
        <v>607</v>
      </c>
      <c r="O11" s="120" t="s">
        <v>215</v>
      </c>
      <c r="P11" s="120">
        <v>9</v>
      </c>
      <c r="Q11" s="183" t="s">
        <v>616</v>
      </c>
      <c r="R11" s="35">
        <v>5</v>
      </c>
      <c r="S11" s="35">
        <v>0</v>
      </c>
      <c r="T11" s="35" t="s">
        <v>617</v>
      </c>
      <c r="U11" s="35" t="s">
        <v>253</v>
      </c>
      <c r="V11" s="35" t="s">
        <v>618</v>
      </c>
      <c r="W11" s="120" t="s">
        <v>65</v>
      </c>
      <c r="AB11" s="35" t="s">
        <v>468</v>
      </c>
      <c r="AC11" s="35" t="s">
        <v>611</v>
      </c>
      <c r="AD11" s="120" t="s">
        <v>612</v>
      </c>
      <c r="AE11" s="35" t="s">
        <v>160</v>
      </c>
      <c r="AF11" s="35" t="s">
        <v>123</v>
      </c>
      <c r="AG11" s="35" t="s">
        <v>613</v>
      </c>
      <c r="AH11" s="120">
        <v>2025</v>
      </c>
      <c r="AI11" s="120">
        <v>14</v>
      </c>
      <c r="AJ11" s="120">
        <v>6</v>
      </c>
      <c r="AK11" s="120">
        <v>31</v>
      </c>
      <c r="AL11" s="120">
        <v>90</v>
      </c>
      <c r="AM11" s="147">
        <v>45747.833333333336</v>
      </c>
      <c r="AN11" s="120">
        <v>310</v>
      </c>
      <c r="AO11" s="183" t="s">
        <v>616</v>
      </c>
      <c r="AP11" s="35" t="s">
        <v>619</v>
      </c>
      <c r="AQ11" s="183" t="s">
        <v>59</v>
      </c>
      <c r="AR11" s="183" t="s">
        <v>59</v>
      </c>
      <c r="AS11" s="120" t="s">
        <v>581</v>
      </c>
    </row>
    <row r="12" spans="1:45" ht="267.75" x14ac:dyDescent="0.25">
      <c r="A12" s="120" t="s">
        <v>620</v>
      </c>
      <c r="B12" s="145">
        <v>45748</v>
      </c>
      <c r="C12" s="35" t="s">
        <v>109</v>
      </c>
      <c r="D12" s="189">
        <v>0.83333333333333337</v>
      </c>
      <c r="E12" s="189">
        <v>0.85324074074074074</v>
      </c>
      <c r="F12" s="120" t="s">
        <v>451</v>
      </c>
      <c r="G12" s="120" t="s">
        <v>598</v>
      </c>
      <c r="H12" s="35" t="s">
        <v>56</v>
      </c>
      <c r="I12" s="35" t="s">
        <v>621</v>
      </c>
      <c r="J12" s="35" t="s">
        <v>58</v>
      </c>
      <c r="K12" s="35" t="s">
        <v>58</v>
      </c>
      <c r="L12" s="35" t="s">
        <v>59</v>
      </c>
      <c r="M12" s="35" t="s">
        <v>59</v>
      </c>
      <c r="N12" s="35" t="s">
        <v>622</v>
      </c>
      <c r="O12" s="120" t="s">
        <v>327</v>
      </c>
      <c r="P12" s="120">
        <v>7</v>
      </c>
      <c r="Q12" s="183" t="s">
        <v>623</v>
      </c>
      <c r="T12" s="35" t="s">
        <v>624</v>
      </c>
      <c r="U12" s="35" t="s">
        <v>625</v>
      </c>
      <c r="V12" s="35" t="s">
        <v>626</v>
      </c>
      <c r="W12" s="120" t="s">
        <v>65</v>
      </c>
      <c r="AB12" s="35" t="s">
        <v>66</v>
      </c>
      <c r="AC12" s="35" t="s">
        <v>330</v>
      </c>
      <c r="AD12" s="120" t="s">
        <v>69</v>
      </c>
      <c r="AE12" s="35" t="s">
        <v>160</v>
      </c>
      <c r="AF12" s="35" t="s">
        <v>71</v>
      </c>
      <c r="AH12" s="120">
        <v>2025</v>
      </c>
      <c r="AI12" s="120">
        <v>14</v>
      </c>
      <c r="AJ12" s="120">
        <v>1</v>
      </c>
      <c r="AK12" s="120">
        <v>1</v>
      </c>
      <c r="AL12" s="120">
        <v>91</v>
      </c>
      <c r="AM12" s="147">
        <v>45748.852777777778</v>
      </c>
      <c r="AN12" s="120">
        <v>77</v>
      </c>
      <c r="AO12" s="183" t="s">
        <v>623</v>
      </c>
      <c r="AP12" s="35" t="s">
        <v>627</v>
      </c>
      <c r="AQ12" s="183" t="s">
        <v>59</v>
      </c>
      <c r="AR12" s="183" t="s">
        <v>59</v>
      </c>
      <c r="AS12" s="120" t="s">
        <v>604</v>
      </c>
    </row>
    <row r="13" spans="1:45" ht="173.25" x14ac:dyDescent="0.25">
      <c r="A13" s="120" t="s">
        <v>799</v>
      </c>
      <c r="B13" s="145">
        <v>45756</v>
      </c>
      <c r="C13" s="35" t="s">
        <v>109</v>
      </c>
      <c r="D13" s="189">
        <v>0.95833333333333337</v>
      </c>
      <c r="E13" s="189">
        <v>0.96527777777777779</v>
      </c>
      <c r="F13" s="120" t="s">
        <v>452</v>
      </c>
      <c r="G13" s="120" t="s">
        <v>598</v>
      </c>
      <c r="H13" s="35" t="s">
        <v>800</v>
      </c>
      <c r="I13" s="35" t="s">
        <v>801</v>
      </c>
      <c r="J13" s="35" t="s">
        <v>58</v>
      </c>
      <c r="K13" s="35" t="s">
        <v>58</v>
      </c>
      <c r="L13" s="35" t="s">
        <v>59</v>
      </c>
      <c r="M13" s="35" t="s">
        <v>59</v>
      </c>
      <c r="N13" s="35" t="s">
        <v>802</v>
      </c>
      <c r="O13" s="120" t="s">
        <v>155</v>
      </c>
      <c r="P13" s="120">
        <v>8</v>
      </c>
      <c r="Q13" s="183" t="s">
        <v>803</v>
      </c>
      <c r="T13" s="35" t="s">
        <v>804</v>
      </c>
      <c r="U13" s="35" t="s">
        <v>555</v>
      </c>
      <c r="V13" s="35" t="s">
        <v>805</v>
      </c>
      <c r="W13" s="120" t="s">
        <v>65</v>
      </c>
      <c r="AB13" s="35" t="s">
        <v>416</v>
      </c>
      <c r="AC13" s="35" t="s">
        <v>244</v>
      </c>
      <c r="AD13" s="120" t="s">
        <v>206</v>
      </c>
      <c r="AE13" s="35" t="s">
        <v>524</v>
      </c>
      <c r="AF13" s="35" t="s">
        <v>123</v>
      </c>
      <c r="AH13" s="120">
        <v>2025</v>
      </c>
      <c r="AI13" s="120">
        <v>15</v>
      </c>
      <c r="AJ13" s="120">
        <v>2</v>
      </c>
      <c r="AK13" s="120">
        <v>9</v>
      </c>
      <c r="AL13" s="120">
        <v>99</v>
      </c>
      <c r="AM13" s="147">
        <v>45756.965277777781</v>
      </c>
      <c r="AN13" s="120">
        <v>283</v>
      </c>
      <c r="AO13" s="183" t="s">
        <v>803</v>
      </c>
      <c r="AP13" s="35" t="s">
        <v>806</v>
      </c>
      <c r="AQ13" s="183" t="s">
        <v>807</v>
      </c>
      <c r="AR13" s="183" t="s">
        <v>808</v>
      </c>
      <c r="AS13" s="120" t="s">
        <v>730</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25D26B-1CC3-445D-A21F-D38E08E16AD1}">
  <sheetPr>
    <tabColor rgb="FF00B050"/>
  </sheetPr>
  <dimension ref="A1:AC24"/>
  <sheetViews>
    <sheetView topLeftCell="M2" workbookViewId="0">
      <selection activeCell="O10" sqref="O10:O24"/>
    </sheetView>
  </sheetViews>
  <sheetFormatPr defaultColWidth="8.85546875" defaultRowHeight="15.75" x14ac:dyDescent="0.25"/>
  <cols>
    <col min="1" max="1" width="34" style="139" bestFit="1" customWidth="1"/>
    <col min="2" max="2" width="19.28515625" style="140" bestFit="1" customWidth="1"/>
    <col min="3" max="3" width="18.140625" style="141" bestFit="1" customWidth="1"/>
    <col min="4" max="4" width="36.5703125" style="139" bestFit="1" customWidth="1"/>
    <col min="5" max="5" width="40" style="139" bestFit="1" customWidth="1"/>
    <col min="6" max="6" width="25.7109375" style="139" bestFit="1" customWidth="1"/>
    <col min="7" max="7" width="18.85546875" style="139" bestFit="1" customWidth="1"/>
    <col min="8" max="8" width="24.42578125" style="139" bestFit="1" customWidth="1"/>
    <col min="9" max="9" width="26.28515625" style="139" bestFit="1" customWidth="1"/>
    <col min="10" max="10" width="34.42578125" style="139" bestFit="1" customWidth="1"/>
    <col min="11" max="11" width="18.28515625" style="139" bestFit="1" customWidth="1"/>
    <col min="12" max="12" width="30.140625" style="139" bestFit="1" customWidth="1"/>
    <col min="13" max="13" width="23.28515625" style="139" bestFit="1" customWidth="1"/>
    <col min="14" max="14" width="25.5703125" style="139" bestFit="1" customWidth="1"/>
    <col min="15" max="15" width="80.85546875" style="184" bestFit="1" customWidth="1"/>
    <col min="16" max="22" width="8.85546875" style="139"/>
    <col min="23" max="23" width="24.28515625" style="139" bestFit="1" customWidth="1"/>
    <col min="24" max="16384" width="8.85546875" style="139"/>
  </cols>
  <sheetData>
    <row r="1" spans="1:29" s="141" customFormat="1" x14ac:dyDescent="0.25">
      <c r="A1" s="120" t="s">
        <v>661</v>
      </c>
      <c r="B1" s="119" t="s">
        <v>35</v>
      </c>
      <c r="C1" s="120" t="s">
        <v>649</v>
      </c>
      <c r="D1" s="120" t="s">
        <v>650</v>
      </c>
      <c r="E1" s="120" t="s">
        <v>651</v>
      </c>
      <c r="F1" s="120" t="s">
        <v>652</v>
      </c>
      <c r="G1" s="120" t="s">
        <v>653</v>
      </c>
      <c r="H1" s="120" t="s">
        <v>654</v>
      </c>
      <c r="I1" s="120" t="s">
        <v>655</v>
      </c>
      <c r="J1" s="120" t="s">
        <v>656</v>
      </c>
      <c r="K1" s="120" t="s">
        <v>657</v>
      </c>
      <c r="L1" s="120" t="s">
        <v>658</v>
      </c>
      <c r="M1" s="120" t="s">
        <v>659</v>
      </c>
      <c r="N1" s="120" t="s">
        <v>660</v>
      </c>
      <c r="O1" s="182" t="s">
        <v>459</v>
      </c>
    </row>
    <row r="2" spans="1:29" ht="220.5" x14ac:dyDescent="0.25">
      <c r="A2" s="35" t="s">
        <v>800</v>
      </c>
      <c r="B2" s="145">
        <v>45756</v>
      </c>
      <c r="C2" s="120" t="s">
        <v>452</v>
      </c>
      <c r="D2" s="35" t="s">
        <v>109</v>
      </c>
      <c r="E2" s="35" t="s">
        <v>806</v>
      </c>
      <c r="F2" s="35"/>
      <c r="G2" s="35"/>
      <c r="H2" s="35"/>
      <c r="I2" s="35"/>
      <c r="J2" s="35"/>
      <c r="K2" s="35"/>
      <c r="L2" s="35"/>
      <c r="M2" s="35"/>
      <c r="N2" s="35"/>
      <c r="O2" s="183" t="s">
        <v>803</v>
      </c>
    </row>
    <row r="7" spans="1:29" x14ac:dyDescent="0.25">
      <c r="O7" s="184" t="s">
        <v>661</v>
      </c>
      <c r="P7" s="139" t="s">
        <v>35</v>
      </c>
      <c r="Q7" s="139" t="s">
        <v>649</v>
      </c>
      <c r="R7" s="139" t="s">
        <v>650</v>
      </c>
      <c r="S7" s="139" t="s">
        <v>651</v>
      </c>
      <c r="T7" s="139" t="s">
        <v>652</v>
      </c>
      <c r="U7" s="139" t="s">
        <v>653</v>
      </c>
      <c r="V7" s="139" t="s">
        <v>654</v>
      </c>
      <c r="W7" s="139" t="s">
        <v>655</v>
      </c>
      <c r="X7" s="139" t="s">
        <v>656</v>
      </c>
      <c r="Y7" s="139" t="s">
        <v>657</v>
      </c>
      <c r="Z7" s="139" t="s">
        <v>658</v>
      </c>
      <c r="AA7" s="139" t="s">
        <v>659</v>
      </c>
      <c r="AB7" s="139" t="s">
        <v>660</v>
      </c>
      <c r="AC7" s="139" t="s">
        <v>459</v>
      </c>
    </row>
    <row r="10" spans="1:29" x14ac:dyDescent="0.25">
      <c r="O10" s="184" t="s">
        <v>661</v>
      </c>
    </row>
    <row r="11" spans="1:29" x14ac:dyDescent="0.25">
      <c r="O11" s="139" t="s">
        <v>35</v>
      </c>
    </row>
    <row r="12" spans="1:29" x14ac:dyDescent="0.25">
      <c r="O12" s="139" t="s">
        <v>649</v>
      </c>
    </row>
    <row r="13" spans="1:29" x14ac:dyDescent="0.25">
      <c r="O13" s="139" t="s">
        <v>650</v>
      </c>
    </row>
    <row r="14" spans="1:29" x14ac:dyDescent="0.25">
      <c r="O14" s="139" t="s">
        <v>651</v>
      </c>
    </row>
    <row r="15" spans="1:29" x14ac:dyDescent="0.25">
      <c r="O15" s="139" t="s">
        <v>652</v>
      </c>
    </row>
    <row r="16" spans="1:29" x14ac:dyDescent="0.25">
      <c r="O16" s="139" t="s">
        <v>653</v>
      </c>
    </row>
    <row r="17" spans="15:15" x14ac:dyDescent="0.25">
      <c r="O17" s="139" t="s">
        <v>654</v>
      </c>
    </row>
    <row r="18" spans="15:15" x14ac:dyDescent="0.25">
      <c r="O18" s="139" t="s">
        <v>655</v>
      </c>
    </row>
    <row r="19" spans="15:15" x14ac:dyDescent="0.25">
      <c r="O19" s="139" t="s">
        <v>656</v>
      </c>
    </row>
    <row r="20" spans="15:15" x14ac:dyDescent="0.25">
      <c r="O20" s="139" t="s">
        <v>657</v>
      </c>
    </row>
    <row r="21" spans="15:15" x14ac:dyDescent="0.25">
      <c r="O21" s="139" t="s">
        <v>658</v>
      </c>
    </row>
    <row r="22" spans="15:15" x14ac:dyDescent="0.25">
      <c r="O22" s="139" t="s">
        <v>659</v>
      </c>
    </row>
    <row r="23" spans="15:15" x14ac:dyDescent="0.25">
      <c r="O23" s="139" t="s">
        <v>660</v>
      </c>
    </row>
    <row r="24" spans="15:15" x14ac:dyDescent="0.25">
      <c r="O24" s="139" t="s">
        <v>459</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278986-90B3-41AE-81F6-B4CB0C2C0B55}">
  <sheetPr codeName="Sheet2">
    <tabColor rgb="FF00B050"/>
  </sheetPr>
  <dimension ref="A1:AB38"/>
  <sheetViews>
    <sheetView workbookViewId="0">
      <selection activeCell="A28" sqref="A28"/>
    </sheetView>
  </sheetViews>
  <sheetFormatPr defaultRowHeight="15" x14ac:dyDescent="0.25"/>
  <cols>
    <col min="1" max="1" width="28" bestFit="1" customWidth="1"/>
    <col min="2" max="2" width="10.7109375" bestFit="1" customWidth="1"/>
    <col min="3" max="3" width="6" bestFit="1" customWidth="1"/>
    <col min="4" max="4" width="5.28515625" bestFit="1" customWidth="1"/>
    <col min="5" max="5" width="6.28515625" bestFit="1" customWidth="1"/>
    <col min="6" max="6" width="6.140625" bestFit="1" customWidth="1"/>
    <col min="7" max="7" width="4.85546875" bestFit="1" customWidth="1"/>
    <col min="8" max="9" width="7.7109375" customWidth="1"/>
    <col min="10" max="10" width="35.5703125" bestFit="1" customWidth="1"/>
    <col min="11" max="11" width="24" bestFit="1" customWidth="1"/>
    <col min="12" max="12" width="15.140625" style="33" bestFit="1" customWidth="1"/>
    <col min="13" max="13" width="21.85546875" style="33" bestFit="1" customWidth="1"/>
    <col min="14" max="14" width="30.28515625" style="33" bestFit="1" customWidth="1"/>
    <col min="15" max="15" width="15.28515625" style="135" bestFit="1" customWidth="1"/>
    <col min="16" max="16" width="14.140625" style="33" bestFit="1" customWidth="1"/>
    <col min="17" max="17" width="33.28515625" style="33" bestFit="1" customWidth="1"/>
    <col min="18" max="18" width="31.5703125" style="33" bestFit="1" customWidth="1"/>
    <col min="19" max="19" width="22.28515625" style="33" bestFit="1" customWidth="1"/>
    <col min="20" max="20" width="15" bestFit="1" customWidth="1"/>
    <col min="21" max="21" width="21.7109375" bestFit="1" customWidth="1"/>
    <col min="22" max="22" width="22.7109375" bestFit="1" customWidth="1"/>
    <col min="23" max="23" width="31.42578125" bestFit="1" customWidth="1"/>
    <col min="24" max="24" width="18.85546875" bestFit="1" customWidth="1"/>
    <col min="25" max="25" width="26.7109375" bestFit="1" customWidth="1"/>
    <col min="26" max="26" width="19.7109375" bestFit="1" customWidth="1"/>
    <col min="27" max="27" width="22.140625" bestFit="1" customWidth="1"/>
    <col min="28" max="28" width="109" style="33" customWidth="1"/>
    <col min="44" max="44" width="25.140625" bestFit="1" customWidth="1"/>
    <col min="45" max="45" width="15.140625" bestFit="1" customWidth="1"/>
    <col min="46" max="46" width="15.5703125" bestFit="1" customWidth="1"/>
    <col min="47" max="47" width="24.5703125" bestFit="1" customWidth="1"/>
    <col min="48" max="48" width="24.85546875" bestFit="1" customWidth="1"/>
    <col min="49" max="49" width="13.85546875" bestFit="1" customWidth="1"/>
    <col min="50" max="50" width="14.140625" bestFit="1" customWidth="1"/>
    <col min="51" max="51" width="7.28515625" bestFit="1" customWidth="1"/>
    <col min="52" max="52" width="15.42578125" bestFit="1" customWidth="1"/>
    <col min="53" max="53" width="17.42578125" bestFit="1" customWidth="1"/>
    <col min="54" max="54" width="6.5703125" bestFit="1" customWidth="1"/>
    <col min="55" max="55" width="13.28515625" bestFit="1" customWidth="1"/>
    <col min="56" max="56" width="22.7109375" bestFit="1" customWidth="1"/>
    <col min="57" max="57" width="6" bestFit="1" customWidth="1"/>
  </cols>
  <sheetData>
    <row r="1" spans="1:28" ht="19.5" thickBot="1" x14ac:dyDescent="0.35">
      <c r="A1" s="103" t="s">
        <v>1</v>
      </c>
      <c r="B1" s="6" t="s">
        <v>127</v>
      </c>
      <c r="C1" s="6"/>
      <c r="D1" s="6"/>
      <c r="E1" s="6"/>
      <c r="F1" s="6"/>
      <c r="L1"/>
      <c r="M1"/>
      <c r="N1" s="16" t="s">
        <v>661</v>
      </c>
      <c r="O1" s="29" t="s">
        <v>35</v>
      </c>
      <c r="P1" s="16" t="s">
        <v>649</v>
      </c>
      <c r="Q1" s="16" t="s">
        <v>650</v>
      </c>
      <c r="R1" s="16" t="s">
        <v>651</v>
      </c>
      <c r="S1" s="16" t="s">
        <v>652</v>
      </c>
      <c r="T1" s="16" t="s">
        <v>653</v>
      </c>
      <c r="U1" s="16" t="s">
        <v>654</v>
      </c>
      <c r="V1" s="16" t="s">
        <v>655</v>
      </c>
      <c r="W1" s="16" t="s">
        <v>656</v>
      </c>
      <c r="X1" s="16" t="s">
        <v>657</v>
      </c>
      <c r="Y1" s="16" t="s">
        <v>658</v>
      </c>
      <c r="Z1" s="16" t="s">
        <v>659</v>
      </c>
      <c r="AA1" s="16" t="s">
        <v>660</v>
      </c>
      <c r="AB1" s="40" t="s">
        <v>459</v>
      </c>
    </row>
    <row r="2" spans="1:28" ht="18.75" x14ac:dyDescent="0.3">
      <c r="A2" s="103" t="s">
        <v>10</v>
      </c>
      <c r="B2" s="6" t="s">
        <v>127</v>
      </c>
      <c r="C2" s="6"/>
      <c r="D2" s="6"/>
      <c r="E2" s="6"/>
      <c r="F2" s="6"/>
      <c r="J2" s="63" t="s">
        <v>661</v>
      </c>
      <c r="K2" s="92" t="s">
        <v>56</v>
      </c>
      <c r="L2"/>
      <c r="M2"/>
      <c r="N2" s="132"/>
      <c r="O2" s="134"/>
      <c r="P2" s="133"/>
      <c r="Q2" s="133"/>
      <c r="R2" s="49"/>
      <c r="S2" s="49"/>
      <c r="T2" s="49"/>
      <c r="U2" s="49"/>
      <c r="V2" s="49"/>
      <c r="W2" s="49"/>
      <c r="X2" s="49"/>
      <c r="Y2" s="49"/>
      <c r="Z2" s="49"/>
      <c r="AA2" s="49"/>
      <c r="AB2" s="59"/>
    </row>
    <row r="3" spans="1:28" ht="18.75" x14ac:dyDescent="0.3">
      <c r="A3" s="6"/>
      <c r="B3" s="6"/>
      <c r="C3" s="6"/>
      <c r="D3" s="6"/>
      <c r="E3" s="6"/>
      <c r="F3" s="6"/>
      <c r="H3" s="6"/>
      <c r="I3" s="6"/>
      <c r="J3" s="64" t="s">
        <v>35</v>
      </c>
      <c r="K3" s="93">
        <v>45748</v>
      </c>
    </row>
    <row r="4" spans="1:28" s="38" customFormat="1" ht="18.75" x14ac:dyDescent="0.3">
      <c r="A4" s="179" t="s">
        <v>128</v>
      </c>
      <c r="B4" s="179" t="s">
        <v>5</v>
      </c>
      <c r="C4" s="41"/>
      <c r="D4" s="41"/>
      <c r="E4" s="41"/>
      <c r="F4" s="41"/>
      <c r="G4" s="41"/>
      <c r="H4"/>
      <c r="I4"/>
      <c r="J4" s="65" t="s">
        <v>649</v>
      </c>
      <c r="K4" s="94" t="s">
        <v>451</v>
      </c>
      <c r="O4" s="136"/>
      <c r="AB4" s="138"/>
    </row>
    <row r="5" spans="1:28" ht="18.75" x14ac:dyDescent="0.3">
      <c r="A5" s="81" t="s">
        <v>449</v>
      </c>
      <c r="B5" s="7" t="s">
        <v>458</v>
      </c>
      <c r="C5" s="7" t="s">
        <v>450</v>
      </c>
      <c r="D5" s="7" t="s">
        <v>451</v>
      </c>
      <c r="E5" s="7" t="s">
        <v>452</v>
      </c>
      <c r="F5" s="7" t="s">
        <v>536</v>
      </c>
      <c r="G5" s="7" t="s">
        <v>455</v>
      </c>
      <c r="J5" s="65" t="s">
        <v>650</v>
      </c>
      <c r="K5" s="95" t="s">
        <v>109</v>
      </c>
      <c r="M5"/>
      <c r="N5" t="s">
        <v>661</v>
      </c>
      <c r="O5" s="137" t="s">
        <v>35</v>
      </c>
      <c r="P5" t="s">
        <v>649</v>
      </c>
      <c r="Q5" t="s">
        <v>650</v>
      </c>
      <c r="R5" t="s">
        <v>651</v>
      </c>
      <c r="S5" t="s">
        <v>652</v>
      </c>
      <c r="T5" t="s">
        <v>653</v>
      </c>
      <c r="U5" t="s">
        <v>654</v>
      </c>
      <c r="V5" t="s">
        <v>655</v>
      </c>
      <c r="W5" t="s">
        <v>656</v>
      </c>
      <c r="X5" t="s">
        <v>657</v>
      </c>
      <c r="Y5" t="s">
        <v>658</v>
      </c>
      <c r="Z5" t="s">
        <v>659</v>
      </c>
      <c r="AA5" t="s">
        <v>660</v>
      </c>
      <c r="AB5" s="33" t="s">
        <v>459</v>
      </c>
    </row>
    <row r="6" spans="1:28" ht="18.75" x14ac:dyDescent="0.3">
      <c r="A6" s="37" t="s">
        <v>76</v>
      </c>
      <c r="B6" s="35"/>
      <c r="C6" s="35">
        <v>15</v>
      </c>
      <c r="D6" s="35">
        <v>12</v>
      </c>
      <c r="E6" s="35"/>
      <c r="F6" s="35"/>
      <c r="G6" s="35"/>
      <c r="J6" s="64" t="s">
        <v>651</v>
      </c>
      <c r="K6" s="93" t="s">
        <v>731</v>
      </c>
      <c r="M6"/>
      <c r="N6"/>
      <c r="O6" s="137"/>
      <c r="P6"/>
      <c r="Q6"/>
      <c r="R6"/>
      <c r="S6"/>
    </row>
    <row r="7" spans="1:28" ht="18.75" x14ac:dyDescent="0.3">
      <c r="A7" s="37" t="s">
        <v>95</v>
      </c>
      <c r="B7" s="35">
        <v>14</v>
      </c>
      <c r="C7" s="35">
        <v>7</v>
      </c>
      <c r="D7" s="35"/>
      <c r="E7" s="35"/>
      <c r="F7" s="35">
        <v>15</v>
      </c>
      <c r="G7" s="35">
        <v>15</v>
      </c>
      <c r="J7" s="65" t="s">
        <v>652</v>
      </c>
      <c r="K7" s="95" t="s">
        <v>732</v>
      </c>
      <c r="M7"/>
      <c r="N7"/>
      <c r="O7" s="137"/>
      <c r="P7"/>
      <c r="Q7"/>
      <c r="R7"/>
      <c r="S7"/>
    </row>
    <row r="8" spans="1:28" ht="18.75" x14ac:dyDescent="0.3">
      <c r="A8" s="37" t="s">
        <v>304</v>
      </c>
      <c r="B8" s="35">
        <v>10</v>
      </c>
      <c r="C8" s="35"/>
      <c r="D8" s="35"/>
      <c r="E8" s="35"/>
      <c r="F8" s="35"/>
      <c r="G8" s="35"/>
      <c r="J8" s="64" t="s">
        <v>653</v>
      </c>
      <c r="K8" s="93"/>
      <c r="M8"/>
      <c r="N8"/>
      <c r="O8" s="137"/>
      <c r="P8"/>
      <c r="Q8"/>
      <c r="R8"/>
      <c r="S8"/>
    </row>
    <row r="9" spans="1:28" ht="18.75" x14ac:dyDescent="0.3">
      <c r="A9" s="37" t="s">
        <v>109</v>
      </c>
      <c r="B9" s="35">
        <v>15</v>
      </c>
      <c r="C9" s="35">
        <v>7</v>
      </c>
      <c r="D9" s="35">
        <v>7</v>
      </c>
      <c r="E9" s="35">
        <v>2</v>
      </c>
      <c r="F9" s="35">
        <v>14</v>
      </c>
      <c r="G9" s="35"/>
      <c r="J9" s="64" t="s">
        <v>655</v>
      </c>
      <c r="K9" s="93" t="s">
        <v>572</v>
      </c>
      <c r="M9"/>
      <c r="N9"/>
      <c r="O9" s="137"/>
      <c r="P9"/>
      <c r="Q9"/>
      <c r="R9"/>
      <c r="S9"/>
    </row>
    <row r="10" spans="1:28" ht="18.75" x14ac:dyDescent="0.25">
      <c r="J10" s="66" t="s">
        <v>656</v>
      </c>
      <c r="K10" s="96" t="s">
        <v>572</v>
      </c>
      <c r="R10"/>
    </row>
    <row r="11" spans="1:28" ht="18.75" x14ac:dyDescent="0.3">
      <c r="J11" s="64" t="s">
        <v>657</v>
      </c>
      <c r="K11" s="93" t="s">
        <v>733</v>
      </c>
      <c r="R11"/>
    </row>
    <row r="12" spans="1:28" ht="18.75" x14ac:dyDescent="0.3">
      <c r="J12" s="65" t="s">
        <v>658</v>
      </c>
      <c r="K12" s="95" t="s">
        <v>515</v>
      </c>
      <c r="R12"/>
    </row>
    <row r="13" spans="1:28" ht="18.75" x14ac:dyDescent="0.3">
      <c r="J13" s="64" t="s">
        <v>659</v>
      </c>
      <c r="K13" s="97" t="s">
        <v>669</v>
      </c>
      <c r="R13"/>
    </row>
    <row r="14" spans="1:28" ht="18.75" x14ac:dyDescent="0.3">
      <c r="J14" s="99" t="s">
        <v>660</v>
      </c>
      <c r="K14" s="100" t="s">
        <v>665</v>
      </c>
      <c r="R14"/>
    </row>
    <row r="15" spans="1:28" ht="19.5" thickBot="1" x14ac:dyDescent="0.35">
      <c r="J15" s="101" t="s">
        <v>459</v>
      </c>
      <c r="K15" s="102"/>
      <c r="R15"/>
    </row>
    <row r="16" spans="1:28" ht="24" x14ac:dyDescent="0.4">
      <c r="A16" s="191" t="s">
        <v>456</v>
      </c>
      <c r="B16" s="191"/>
      <c r="C16" s="191"/>
      <c r="D16" s="191"/>
      <c r="E16" s="191"/>
      <c r="F16" s="191"/>
      <c r="G16" s="191"/>
      <c r="H16" s="11"/>
      <c r="R16"/>
    </row>
    <row r="17" spans="1:7" ht="18.75" x14ac:dyDescent="0.3">
      <c r="A17" s="125" t="str" cm="1">
        <f t="array" ref="A17:G21">A5:G9</f>
        <v>Time of Day</v>
      </c>
      <c r="B17" s="126" t="str">
        <v>Sun</v>
      </c>
      <c r="C17" s="126" t="str">
        <v>Mon</v>
      </c>
      <c r="D17" s="126" t="str">
        <v>Tue</v>
      </c>
      <c r="E17" s="126" t="str">
        <v>Wed</v>
      </c>
      <c r="F17" s="126" t="str">
        <v>Thur</v>
      </c>
      <c r="G17" s="125" t="str">
        <v>Sat</v>
      </c>
    </row>
    <row r="18" spans="1:7" ht="15.75" x14ac:dyDescent="0.25">
      <c r="A18" s="127" t="str">
        <v>Afternoon (12:00-15:59)</v>
      </c>
      <c r="B18" s="128">
        <v>0</v>
      </c>
      <c r="C18" s="128">
        <v>15</v>
      </c>
      <c r="D18" s="128">
        <v>12</v>
      </c>
      <c r="E18" s="129">
        <v>0</v>
      </c>
      <c r="F18" s="128">
        <v>0</v>
      </c>
      <c r="G18" s="128">
        <v>0</v>
      </c>
    </row>
    <row r="19" spans="1:7" ht="15.75" x14ac:dyDescent="0.25">
      <c r="A19" s="37" t="str">
        <v>Evening Peak (16:00-19:59)</v>
      </c>
      <c r="B19" s="35">
        <v>14</v>
      </c>
      <c r="C19" s="35">
        <v>7</v>
      </c>
      <c r="D19" s="35">
        <v>0</v>
      </c>
      <c r="E19">
        <v>0</v>
      </c>
      <c r="F19" s="35">
        <v>15</v>
      </c>
      <c r="G19" s="35">
        <v>15</v>
      </c>
    </row>
    <row r="20" spans="1:7" ht="15.75" x14ac:dyDescent="0.25">
      <c r="A20" s="127" t="str">
        <v>Morning (04:00-07:59)</v>
      </c>
      <c r="B20" s="128">
        <v>10</v>
      </c>
      <c r="C20" s="128">
        <v>0</v>
      </c>
      <c r="D20" s="128">
        <v>0</v>
      </c>
      <c r="E20" s="129">
        <v>0</v>
      </c>
      <c r="F20" s="128">
        <v>0</v>
      </c>
      <c r="G20" s="128">
        <v>0</v>
      </c>
    </row>
    <row r="21" spans="1:7" ht="15.75" x14ac:dyDescent="0.25">
      <c r="A21" s="130" t="str">
        <v>Night (20:00-23:59)</v>
      </c>
      <c r="B21" s="131">
        <v>15</v>
      </c>
      <c r="C21" s="131">
        <v>7</v>
      </c>
      <c r="D21" s="131">
        <v>7</v>
      </c>
      <c r="E21" s="123">
        <v>2</v>
      </c>
      <c r="F21" s="131">
        <v>14</v>
      </c>
      <c r="G21" s="131">
        <v>0</v>
      </c>
    </row>
    <row r="24" spans="1:7" ht="30" x14ac:dyDescent="0.25">
      <c r="A24" s="103" t="s">
        <v>1</v>
      </c>
      <c r="B24" s="104" t="s">
        <v>209</v>
      </c>
      <c r="C24" s="6"/>
      <c r="D24" s="6"/>
      <c r="E24" s="6"/>
      <c r="F24" s="6"/>
    </row>
    <row r="25" spans="1:7" x14ac:dyDescent="0.25">
      <c r="A25" s="103" t="s">
        <v>10</v>
      </c>
      <c r="B25" s="6" t="s">
        <v>127</v>
      </c>
      <c r="C25" s="6"/>
      <c r="D25" s="6"/>
      <c r="E25" s="6"/>
      <c r="F25" s="6"/>
    </row>
    <row r="26" spans="1:7" x14ac:dyDescent="0.25">
      <c r="A26" s="6"/>
      <c r="B26" s="6"/>
      <c r="C26" s="6"/>
      <c r="D26" s="6"/>
      <c r="E26" s="6"/>
      <c r="F26" s="6"/>
    </row>
    <row r="27" spans="1:7" x14ac:dyDescent="0.25">
      <c r="A27" s="179" t="s">
        <v>128</v>
      </c>
      <c r="B27" s="179" t="s">
        <v>5</v>
      </c>
      <c r="C27" s="41"/>
      <c r="D27" s="41"/>
      <c r="E27" s="41"/>
    </row>
    <row r="28" spans="1:7" ht="18.75" x14ac:dyDescent="0.3">
      <c r="A28" s="81" t="s">
        <v>449</v>
      </c>
      <c r="B28" s="7" t="s">
        <v>458</v>
      </c>
      <c r="C28" s="7" t="s">
        <v>450</v>
      </c>
      <c r="D28" s="7" t="s">
        <v>451</v>
      </c>
      <c r="E28" s="7" t="s">
        <v>452</v>
      </c>
    </row>
    <row r="29" spans="1:7" ht="15.75" x14ac:dyDescent="0.25">
      <c r="A29" s="37" t="s">
        <v>95</v>
      </c>
      <c r="B29" s="35"/>
      <c r="C29" s="35">
        <v>7</v>
      </c>
      <c r="D29" s="35"/>
      <c r="E29" s="35"/>
    </row>
    <row r="30" spans="1:7" ht="15.75" x14ac:dyDescent="0.25">
      <c r="A30" s="37" t="s">
        <v>304</v>
      </c>
      <c r="B30" s="35">
        <v>10</v>
      </c>
      <c r="C30" s="35"/>
      <c r="D30" s="35"/>
      <c r="E30" s="35"/>
    </row>
    <row r="31" spans="1:7" ht="15.75" x14ac:dyDescent="0.25">
      <c r="A31" s="37" t="s">
        <v>109</v>
      </c>
      <c r="B31" s="35"/>
      <c r="C31" s="35">
        <v>7</v>
      </c>
      <c r="D31" s="35">
        <v>7</v>
      </c>
      <c r="E31" s="35">
        <v>2</v>
      </c>
    </row>
    <row r="34" spans="1:5" ht="24" x14ac:dyDescent="0.4">
      <c r="A34" s="191" t="s">
        <v>457</v>
      </c>
      <c r="B34" s="191"/>
      <c r="C34" s="191"/>
      <c r="D34" s="191"/>
      <c r="E34" s="191"/>
    </row>
    <row r="35" spans="1:5" ht="18.75" x14ac:dyDescent="0.3">
      <c r="A35" s="125" t="str" cm="1">
        <f t="array" ref="A35:E38">A28:E31</f>
        <v>Time of Day</v>
      </c>
      <c r="B35" s="126" t="str">
        <v>Sun</v>
      </c>
      <c r="C35" s="126" t="str">
        <v>Mon</v>
      </c>
      <c r="D35" s="126" t="str">
        <v>Tue</v>
      </c>
      <c r="E35" s="126" t="str">
        <v>Wed</v>
      </c>
    </row>
    <row r="36" spans="1:5" ht="15.75" x14ac:dyDescent="0.25">
      <c r="A36" s="127" t="str">
        <v>Evening Peak (16:00-19:59)</v>
      </c>
      <c r="B36" s="128">
        <v>0</v>
      </c>
      <c r="C36" s="128">
        <v>7</v>
      </c>
      <c r="D36" s="128">
        <v>0</v>
      </c>
      <c r="E36" s="129">
        <v>0</v>
      </c>
    </row>
    <row r="37" spans="1:5" ht="15.75" x14ac:dyDescent="0.25">
      <c r="A37" s="37" t="str">
        <v>Morning (04:00-07:59)</v>
      </c>
      <c r="B37" s="35">
        <v>10</v>
      </c>
      <c r="C37" s="35">
        <v>0</v>
      </c>
      <c r="D37" s="35">
        <v>0</v>
      </c>
      <c r="E37">
        <v>0</v>
      </c>
    </row>
    <row r="38" spans="1:5" ht="15.75" x14ac:dyDescent="0.25">
      <c r="A38" s="127" t="str">
        <v>Night (20:00-23:59)</v>
      </c>
      <c r="B38" s="128">
        <v>0</v>
      </c>
      <c r="C38" s="128">
        <v>7</v>
      </c>
      <c r="D38" s="128">
        <v>7</v>
      </c>
      <c r="E38" s="129">
        <v>2</v>
      </c>
    </row>
  </sheetData>
  <mergeCells count="2">
    <mergeCell ref="A16:G16"/>
    <mergeCell ref="A34:E34"/>
  </mergeCells>
  <phoneticPr fontId="12" type="noConversion"/>
  <pageMargins left="0.7" right="0.7" top="0.75" bottom="0.75" header="0.3" footer="0.3"/>
  <pageSetup orientation="portrait" r:id="rId3"/>
  <tableParts count="1">
    <tablePart r:id="rId4"/>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94140C-FEB8-4477-983A-0A15AE75688F}">
  <dimension ref="A1:H7"/>
  <sheetViews>
    <sheetView workbookViewId="0">
      <selection sqref="A1:M7"/>
    </sheetView>
  </sheetViews>
  <sheetFormatPr defaultRowHeight="15" x14ac:dyDescent="0.25"/>
  <cols>
    <col min="1" max="1" width="8.85546875" bestFit="1" customWidth="1"/>
    <col min="2" max="2" width="18.5703125" bestFit="1" customWidth="1"/>
    <col min="3" max="3" width="14.42578125" bestFit="1" customWidth="1"/>
    <col min="4" max="4" width="13.85546875" bestFit="1" customWidth="1"/>
    <col min="5" max="5" width="23.28515625" bestFit="1" customWidth="1"/>
    <col min="6" max="8" width="80.85546875" bestFit="1" customWidth="1"/>
    <col min="9" max="9" width="14.7109375" bestFit="1" customWidth="1"/>
    <col min="10" max="10" width="13.28515625" bestFit="1" customWidth="1"/>
    <col min="11" max="11" width="17.85546875" bestFit="1" customWidth="1"/>
    <col min="12" max="12" width="80.85546875" bestFit="1" customWidth="1"/>
    <col min="13" max="13" width="25.7109375" bestFit="1" customWidth="1"/>
    <col min="14" max="14" width="80.85546875" bestFit="1" customWidth="1"/>
  </cols>
  <sheetData>
    <row r="1" spans="1:8" x14ac:dyDescent="0.25">
      <c r="A1" t="s">
        <v>862</v>
      </c>
      <c r="B1" t="s">
        <v>856</v>
      </c>
      <c r="C1" t="s">
        <v>35</v>
      </c>
      <c r="D1" t="s">
        <v>649</v>
      </c>
      <c r="E1" t="s">
        <v>449</v>
      </c>
      <c r="F1" t="s">
        <v>49</v>
      </c>
      <c r="G1" t="s">
        <v>810</v>
      </c>
      <c r="H1" t="s">
        <v>459</v>
      </c>
    </row>
    <row r="2" spans="1:8" x14ac:dyDescent="0.25">
      <c r="A2">
        <v>0</v>
      </c>
      <c r="B2" t="s">
        <v>485</v>
      </c>
      <c r="C2" s="1">
        <v>45743</v>
      </c>
      <c r="D2" t="s">
        <v>536</v>
      </c>
      <c r="E2" t="s">
        <v>109</v>
      </c>
      <c r="F2" t="s">
        <v>59</v>
      </c>
      <c r="G2" t="s">
        <v>580</v>
      </c>
      <c r="H2" t="s">
        <v>578</v>
      </c>
    </row>
    <row r="3" spans="1:8" x14ac:dyDescent="0.25">
      <c r="A3">
        <v>1</v>
      </c>
      <c r="B3" t="s">
        <v>530</v>
      </c>
      <c r="C3" s="1">
        <v>45743</v>
      </c>
      <c r="D3" t="s">
        <v>536</v>
      </c>
      <c r="E3" t="s">
        <v>109</v>
      </c>
      <c r="F3" t="s">
        <v>587</v>
      </c>
      <c r="G3" t="s">
        <v>588</v>
      </c>
      <c r="H3" t="s">
        <v>585</v>
      </c>
    </row>
    <row r="4" spans="1:8" x14ac:dyDescent="0.25">
      <c r="A4">
        <v>2</v>
      </c>
      <c r="B4" t="s">
        <v>257</v>
      </c>
      <c r="C4" s="1">
        <v>45747</v>
      </c>
      <c r="D4" t="s">
        <v>450</v>
      </c>
      <c r="E4" t="s">
        <v>76</v>
      </c>
      <c r="F4" t="s">
        <v>595</v>
      </c>
      <c r="G4" t="s">
        <v>596</v>
      </c>
      <c r="H4" t="s">
        <v>593</v>
      </c>
    </row>
    <row r="5" spans="1:8" x14ac:dyDescent="0.25">
      <c r="A5">
        <v>3</v>
      </c>
      <c r="B5" t="s">
        <v>599</v>
      </c>
      <c r="C5" s="1">
        <v>45748</v>
      </c>
      <c r="D5" t="s">
        <v>451</v>
      </c>
      <c r="E5" t="s">
        <v>76</v>
      </c>
      <c r="F5" t="s">
        <v>59</v>
      </c>
      <c r="G5" t="s">
        <v>59</v>
      </c>
      <c r="H5" t="s">
        <v>602</v>
      </c>
    </row>
    <row r="6" spans="1:8" x14ac:dyDescent="0.25">
      <c r="A6">
        <v>4</v>
      </c>
      <c r="B6" t="s">
        <v>294</v>
      </c>
      <c r="C6" s="1">
        <v>45755</v>
      </c>
      <c r="D6" t="s">
        <v>451</v>
      </c>
      <c r="E6" t="s">
        <v>76</v>
      </c>
      <c r="F6" t="s">
        <v>59</v>
      </c>
      <c r="G6" t="s">
        <v>823</v>
      </c>
      <c r="H6" t="s">
        <v>822</v>
      </c>
    </row>
    <row r="7" spans="1:8" x14ac:dyDescent="0.25">
      <c r="A7">
        <v>5</v>
      </c>
      <c r="B7" t="s">
        <v>56</v>
      </c>
      <c r="C7" s="1">
        <v>45760</v>
      </c>
      <c r="D7" t="s">
        <v>458</v>
      </c>
      <c r="E7" t="s">
        <v>95</v>
      </c>
      <c r="F7" t="s">
        <v>59</v>
      </c>
      <c r="G7" t="s">
        <v>844</v>
      </c>
      <c r="H7" t="s">
        <v>843</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F5CD91-03EB-4B99-9CAE-3A6AA2BD27D9}">
  <sheetPr codeName="Sheet3">
    <tabColor rgb="FFFFC000"/>
  </sheetPr>
  <dimension ref="A1:BB13"/>
  <sheetViews>
    <sheetView workbookViewId="0">
      <selection sqref="A1:BB13"/>
    </sheetView>
  </sheetViews>
  <sheetFormatPr defaultColWidth="8.85546875" defaultRowHeight="15.75" x14ac:dyDescent="0.25"/>
  <cols>
    <col min="1" max="1" width="20.140625" style="13" bestFit="1" customWidth="1"/>
    <col min="2" max="2" width="16" style="30" bestFit="1" customWidth="1"/>
    <col min="3" max="3" width="24.28515625" style="14" bestFit="1" customWidth="1"/>
    <col min="4" max="4" width="18.7109375" style="22" bestFit="1" customWidth="1"/>
    <col min="5" max="5" width="15.42578125" style="22" bestFit="1" customWidth="1"/>
    <col min="6" max="6" width="16.28515625" style="3" bestFit="1" customWidth="1"/>
    <col min="7" max="7" width="19" style="3" bestFit="1" customWidth="1"/>
    <col min="8" max="8" width="24.140625" style="3" bestFit="1" customWidth="1"/>
    <col min="9" max="9" width="18.85546875" style="3" bestFit="1" customWidth="1"/>
    <col min="10" max="10" width="66.28515625" style="3" bestFit="1" customWidth="1"/>
    <col min="11" max="11" width="22" style="3" bestFit="1" customWidth="1"/>
    <col min="12" max="12" width="22.42578125" style="3" bestFit="1" customWidth="1"/>
    <col min="13" max="13" width="22.28515625" style="3" bestFit="1" customWidth="1"/>
    <col min="14" max="14" width="41.28515625" style="3" bestFit="1" customWidth="1"/>
    <col min="15" max="15" width="10" style="13" bestFit="1" customWidth="1"/>
    <col min="16" max="16" width="10.7109375" style="13" bestFit="1" customWidth="1"/>
    <col min="17" max="17" width="80.85546875" style="3" bestFit="1" customWidth="1"/>
    <col min="18" max="18" width="24.42578125" style="13" bestFit="1" customWidth="1"/>
    <col min="19" max="19" width="26.42578125" style="13" bestFit="1" customWidth="1"/>
    <col min="20" max="20" width="20.28515625" style="13" bestFit="1" customWidth="1"/>
    <col min="21" max="21" width="12.42578125" style="13" bestFit="1" customWidth="1"/>
    <col min="22" max="22" width="13.28515625" style="13" bestFit="1" customWidth="1"/>
    <col min="23" max="23" width="17.140625" style="13" bestFit="1" customWidth="1"/>
    <col min="24" max="24" width="20.28515625" style="13" bestFit="1" customWidth="1"/>
    <col min="25" max="25" width="17.140625" style="13" bestFit="1" customWidth="1"/>
    <col min="26" max="26" width="12.42578125" style="13" bestFit="1" customWidth="1"/>
    <col min="27" max="27" width="13.28515625" style="13" bestFit="1" customWidth="1"/>
    <col min="28" max="28" width="18.85546875" style="3" bestFit="1" customWidth="1"/>
    <col min="29" max="29" width="20.85546875" style="3" bestFit="1" customWidth="1"/>
    <col min="30" max="30" width="28.42578125" style="3" bestFit="1" customWidth="1"/>
    <col min="31" max="31" width="12" style="13" bestFit="1" customWidth="1"/>
    <col min="32" max="32" width="27.28515625" style="3" bestFit="1" customWidth="1"/>
    <col min="33" max="33" width="28.42578125" style="3" bestFit="1" customWidth="1"/>
    <col min="34" max="34" width="31.85546875" style="3" bestFit="1" customWidth="1"/>
    <col min="35" max="35" width="31.7109375" style="13" bestFit="1" customWidth="1"/>
    <col min="36" max="36" width="19.7109375" style="30" bestFit="1" customWidth="1"/>
    <col min="37" max="37" width="19.85546875" style="22" bestFit="1" customWidth="1"/>
    <col min="38" max="38" width="30.28515625" style="30" bestFit="1" customWidth="1"/>
    <col min="39" max="39" width="30.5703125" style="22" bestFit="1" customWidth="1"/>
    <col min="40" max="40" width="18.140625" style="30" bestFit="1" customWidth="1"/>
    <col min="41" max="41" width="18.28515625" style="22" bestFit="1" customWidth="1"/>
    <col min="42" max="42" width="10.28515625" style="13" bestFit="1" customWidth="1"/>
    <col min="43" max="43" width="19.28515625" style="24" bestFit="1" customWidth="1"/>
    <col min="44" max="44" width="21.28515625" style="24" bestFit="1" customWidth="1"/>
    <col min="45" max="45" width="9.42578125" style="24" bestFit="1" customWidth="1"/>
    <col min="46" max="46" width="17.28515625" style="26" bestFit="1" customWidth="1"/>
    <col min="47" max="47" width="28.140625" style="28" bestFit="1" customWidth="1"/>
    <col min="48" max="48" width="8.7109375" style="13" bestFit="1" customWidth="1"/>
    <col min="49" max="49" width="80.85546875" style="3" bestFit="1" customWidth="1"/>
    <col min="50" max="50" width="14.7109375" style="3" bestFit="1" customWidth="1"/>
    <col min="51" max="52" width="80.85546875" style="3" bestFit="1" customWidth="1"/>
    <col min="53" max="53" width="22.28515625" style="13" bestFit="1" customWidth="1"/>
    <col min="54" max="54" width="25.7109375" style="13" bestFit="1" customWidth="1"/>
    <col min="55" max="55" width="26.85546875" style="3" bestFit="1" customWidth="1"/>
    <col min="56" max="16384" width="8.85546875" style="3"/>
  </cols>
  <sheetData>
    <row r="1" spans="1:54" s="16" customFormat="1" ht="18.75" x14ac:dyDescent="0.3">
      <c r="A1" s="16" t="s">
        <v>0</v>
      </c>
      <c r="B1" s="29" t="s">
        <v>1</v>
      </c>
      <c r="C1" s="16" t="s">
        <v>2</v>
      </c>
      <c r="D1" s="20" t="s">
        <v>3</v>
      </c>
      <c r="E1" s="20" t="s">
        <v>4</v>
      </c>
      <c r="F1" s="16" t="s">
        <v>5</v>
      </c>
      <c r="G1" s="16" t="s">
        <v>6</v>
      </c>
      <c r="H1" s="16" t="s">
        <v>7</v>
      </c>
      <c r="I1" s="16" t="s">
        <v>8</v>
      </c>
      <c r="J1" s="16" t="s">
        <v>10</v>
      </c>
      <c r="K1" s="16" t="s">
        <v>9</v>
      </c>
      <c r="L1" s="16" t="s">
        <v>11</v>
      </c>
      <c r="M1" s="16" t="s">
        <v>12</v>
      </c>
      <c r="N1" s="16" t="s">
        <v>13</v>
      </c>
      <c r="O1" s="16" t="s">
        <v>14</v>
      </c>
      <c r="P1" s="16" t="s">
        <v>15</v>
      </c>
      <c r="Q1" s="16" t="s">
        <v>16</v>
      </c>
      <c r="R1" s="16" t="s">
        <v>17</v>
      </c>
      <c r="S1" s="16" t="s">
        <v>18</v>
      </c>
      <c r="T1" s="16" t="s">
        <v>19</v>
      </c>
      <c r="U1" s="16" t="s">
        <v>20</v>
      </c>
      <c r="V1" s="16" t="s">
        <v>21</v>
      </c>
      <c r="W1" s="16" t="s">
        <v>22</v>
      </c>
      <c r="X1" s="16" t="s">
        <v>23</v>
      </c>
      <c r="Y1" s="16" t="s">
        <v>24</v>
      </c>
      <c r="Z1" s="16" t="s">
        <v>25</v>
      </c>
      <c r="AA1" s="16" t="s">
        <v>26</v>
      </c>
      <c r="AB1" s="16" t="s">
        <v>27</v>
      </c>
      <c r="AC1" s="16" t="s">
        <v>28</v>
      </c>
      <c r="AD1" s="16" t="s">
        <v>29</v>
      </c>
      <c r="AE1" s="16" t="s">
        <v>30</v>
      </c>
      <c r="AF1" s="16" t="s">
        <v>31</v>
      </c>
      <c r="AG1" s="16" t="s">
        <v>32</v>
      </c>
      <c r="AH1" s="16" t="s">
        <v>33</v>
      </c>
      <c r="AI1" s="16" t="s">
        <v>34</v>
      </c>
      <c r="AJ1" s="29" t="s">
        <v>35</v>
      </c>
      <c r="AK1" s="20" t="s">
        <v>36</v>
      </c>
      <c r="AL1" s="29" t="s">
        <v>37</v>
      </c>
      <c r="AM1" s="20" t="s">
        <v>38</v>
      </c>
      <c r="AN1" s="29" t="s">
        <v>39</v>
      </c>
      <c r="AO1" s="20" t="s">
        <v>40</v>
      </c>
      <c r="AP1" s="16" t="s">
        <v>41</v>
      </c>
      <c r="AQ1" s="23" t="s">
        <v>42</v>
      </c>
      <c r="AR1" s="23" t="s">
        <v>43</v>
      </c>
      <c r="AS1" s="23" t="s">
        <v>44</v>
      </c>
      <c r="AT1" s="25" t="s">
        <v>45</v>
      </c>
      <c r="AU1" s="27" t="s">
        <v>46</v>
      </c>
      <c r="AV1" s="16" t="s">
        <v>47</v>
      </c>
      <c r="AW1" t="s">
        <v>459</v>
      </c>
      <c r="AX1" s="16" t="s">
        <v>48</v>
      </c>
      <c r="AY1" s="16" t="s">
        <v>49</v>
      </c>
      <c r="AZ1" s="16" t="s">
        <v>50</v>
      </c>
      <c r="BA1" s="16" t="s">
        <v>51</v>
      </c>
      <c r="BB1" s="16" t="s">
        <v>52</v>
      </c>
    </row>
    <row r="2" spans="1:54" x14ac:dyDescent="0.25">
      <c r="A2" s="47" t="s">
        <v>129</v>
      </c>
      <c r="B2" s="48">
        <v>45673</v>
      </c>
      <c r="C2" s="49" t="s">
        <v>54</v>
      </c>
      <c r="D2" s="50">
        <v>0.5</v>
      </c>
      <c r="E2" s="50">
        <v>0.5</v>
      </c>
      <c r="F2" s="49" t="s">
        <v>536</v>
      </c>
      <c r="G2" s="49" t="s">
        <v>55</v>
      </c>
      <c r="H2" s="49" t="s">
        <v>130</v>
      </c>
      <c r="I2" s="49" t="s">
        <v>131</v>
      </c>
      <c r="J2" s="49" t="s">
        <v>132</v>
      </c>
      <c r="K2" s="49" t="s">
        <v>132</v>
      </c>
      <c r="L2" s="49" t="s">
        <v>59</v>
      </c>
      <c r="M2" s="49" t="s">
        <v>59</v>
      </c>
      <c r="N2" s="49" t="s">
        <v>133</v>
      </c>
      <c r="O2" s="47" t="s">
        <v>134</v>
      </c>
      <c r="P2" s="47">
        <v>7</v>
      </c>
      <c r="Q2" s="49" t="s">
        <v>135</v>
      </c>
      <c r="R2" s="47"/>
      <c r="S2" s="47"/>
      <c r="T2" s="47"/>
      <c r="U2" s="47"/>
      <c r="V2" s="47"/>
      <c r="W2" s="47"/>
      <c r="X2" s="47"/>
      <c r="Y2" s="47"/>
      <c r="Z2" s="47"/>
      <c r="AA2" s="47"/>
      <c r="AB2" s="49" t="s">
        <v>66</v>
      </c>
      <c r="AC2" s="49" t="s">
        <v>67</v>
      </c>
      <c r="AD2" s="49" t="s">
        <v>136</v>
      </c>
      <c r="AE2" s="47" t="s">
        <v>69</v>
      </c>
      <c r="AF2" s="49" t="s">
        <v>70</v>
      </c>
      <c r="AG2" s="49" t="s">
        <v>71</v>
      </c>
      <c r="AH2" s="49" t="s">
        <v>137</v>
      </c>
      <c r="AI2" s="47">
        <v>9</v>
      </c>
      <c r="AJ2" s="48">
        <v>45673</v>
      </c>
      <c r="AK2" s="51">
        <v>0.5</v>
      </c>
      <c r="AL2" s="48">
        <v>45673</v>
      </c>
      <c r="AM2" s="51">
        <v>0.75</v>
      </c>
      <c r="AN2" s="48">
        <v>45673</v>
      </c>
      <c r="AO2" s="51">
        <v>0.81587962962962968</v>
      </c>
      <c r="AP2" s="47">
        <v>2025</v>
      </c>
      <c r="AQ2" s="52">
        <v>3</v>
      </c>
      <c r="AR2" s="52">
        <v>3</v>
      </c>
      <c r="AS2" s="52">
        <v>16</v>
      </c>
      <c r="AT2" s="53">
        <v>16</v>
      </c>
      <c r="AU2" s="54">
        <v>45673.5</v>
      </c>
      <c r="AV2" s="47">
        <v>30</v>
      </c>
      <c r="AW2" t="s">
        <v>135</v>
      </c>
      <c r="AX2" s="49"/>
      <c r="AY2" s="49" t="s">
        <v>138</v>
      </c>
      <c r="AZ2" s="49" t="s">
        <v>139</v>
      </c>
      <c r="BA2" s="47" t="s">
        <v>512</v>
      </c>
      <c r="BB2" s="49" t="s">
        <v>76</v>
      </c>
    </row>
    <row r="3" spans="1:54" x14ac:dyDescent="0.25">
      <c r="A3" s="47" t="s">
        <v>140</v>
      </c>
      <c r="B3" s="48">
        <v>45682</v>
      </c>
      <c r="C3" s="49" t="s">
        <v>141</v>
      </c>
      <c r="D3" s="50">
        <v>0.45833333333333331</v>
      </c>
      <c r="E3" s="50">
        <v>0.45833333333333331</v>
      </c>
      <c r="F3" s="49" t="s">
        <v>455</v>
      </c>
      <c r="G3" s="49" t="s">
        <v>55</v>
      </c>
      <c r="H3" s="49" t="s">
        <v>142</v>
      </c>
      <c r="I3" s="49" t="s">
        <v>143</v>
      </c>
      <c r="J3" s="49" t="s">
        <v>132</v>
      </c>
      <c r="K3" s="49" t="s">
        <v>132</v>
      </c>
      <c r="L3" s="49" t="s">
        <v>59</v>
      </c>
      <c r="M3" s="49" t="s">
        <v>59</v>
      </c>
      <c r="N3" s="49" t="s">
        <v>144</v>
      </c>
      <c r="O3" s="47" t="s">
        <v>145</v>
      </c>
      <c r="P3" s="47">
        <v>5</v>
      </c>
      <c r="Q3" s="49" t="s">
        <v>146</v>
      </c>
      <c r="R3" s="47"/>
      <c r="S3" s="47"/>
      <c r="T3" s="47"/>
      <c r="U3" s="47"/>
      <c r="V3" s="47"/>
      <c r="W3" s="47"/>
      <c r="X3" s="47"/>
      <c r="Y3" s="47"/>
      <c r="Z3" s="47"/>
      <c r="AA3" s="47"/>
      <c r="AB3" s="49" t="s">
        <v>88</v>
      </c>
      <c r="AC3" s="49" t="s">
        <v>67</v>
      </c>
      <c r="AD3" s="49" t="s">
        <v>147</v>
      </c>
      <c r="AE3" s="47" t="s">
        <v>90</v>
      </c>
      <c r="AF3" s="49" t="s">
        <v>70</v>
      </c>
      <c r="AG3" s="49" t="s">
        <v>123</v>
      </c>
      <c r="AH3" s="49" t="s">
        <v>137</v>
      </c>
      <c r="AI3" s="47">
        <v>9</v>
      </c>
      <c r="AJ3" s="48">
        <v>45682</v>
      </c>
      <c r="AK3" s="51">
        <v>0.45833333333333331</v>
      </c>
      <c r="AL3" s="48">
        <v>45682</v>
      </c>
      <c r="AM3" s="51">
        <v>0.58333333333333337</v>
      </c>
      <c r="AN3" s="48">
        <v>45682</v>
      </c>
      <c r="AO3" s="51">
        <v>0.58054398148148145</v>
      </c>
      <c r="AP3" s="47">
        <v>2025</v>
      </c>
      <c r="AQ3" s="52">
        <v>4</v>
      </c>
      <c r="AR3" s="52">
        <v>4</v>
      </c>
      <c r="AS3" s="52">
        <v>25</v>
      </c>
      <c r="AT3" s="53">
        <v>25</v>
      </c>
      <c r="AU3" s="54">
        <v>45682.458333333336</v>
      </c>
      <c r="AV3" s="47">
        <v>60</v>
      </c>
      <c r="AW3" t="s">
        <v>146</v>
      </c>
      <c r="AX3" s="49"/>
      <c r="AY3" s="49" t="s">
        <v>148</v>
      </c>
      <c r="AZ3" s="49" t="s">
        <v>149</v>
      </c>
      <c r="BA3" s="47" t="s">
        <v>511</v>
      </c>
      <c r="BB3" s="49" t="s">
        <v>150</v>
      </c>
    </row>
    <row r="4" spans="1:54" x14ac:dyDescent="0.25">
      <c r="A4" s="47" t="s">
        <v>151</v>
      </c>
      <c r="B4" s="48">
        <v>45688</v>
      </c>
      <c r="C4" s="49" t="s">
        <v>141</v>
      </c>
      <c r="D4" s="50">
        <v>0.45833333333333331</v>
      </c>
      <c r="E4" s="50">
        <v>0.49988425925925928</v>
      </c>
      <c r="F4" s="49" t="s">
        <v>454</v>
      </c>
      <c r="G4" s="49" t="s">
        <v>55</v>
      </c>
      <c r="H4" s="49" t="s">
        <v>152</v>
      </c>
      <c r="I4" s="49" t="s">
        <v>153</v>
      </c>
      <c r="J4" s="49" t="s">
        <v>132</v>
      </c>
      <c r="K4" s="49" t="s">
        <v>132</v>
      </c>
      <c r="L4" s="49" t="s">
        <v>59</v>
      </c>
      <c r="M4" s="49" t="s">
        <v>59</v>
      </c>
      <c r="N4" s="49" t="s">
        <v>154</v>
      </c>
      <c r="O4" s="47" t="s">
        <v>155</v>
      </c>
      <c r="P4" s="47">
        <v>8</v>
      </c>
      <c r="Q4" s="49" t="s">
        <v>156</v>
      </c>
      <c r="R4" s="47"/>
      <c r="S4" s="47"/>
      <c r="T4" s="47"/>
      <c r="U4" s="47"/>
      <c r="V4" s="47"/>
      <c r="W4" s="47"/>
      <c r="X4" s="47"/>
      <c r="Y4" s="47"/>
      <c r="Z4" s="47"/>
      <c r="AA4" s="47"/>
      <c r="AB4" s="49" t="s">
        <v>157</v>
      </c>
      <c r="AC4" s="49" t="s">
        <v>67</v>
      </c>
      <c r="AD4" s="49" t="s">
        <v>158</v>
      </c>
      <c r="AE4" s="47" t="s">
        <v>159</v>
      </c>
      <c r="AF4" s="49" t="s">
        <v>160</v>
      </c>
      <c r="AG4" s="49" t="s">
        <v>71</v>
      </c>
      <c r="AH4" s="49" t="s">
        <v>137</v>
      </c>
      <c r="AI4" s="47">
        <v>9</v>
      </c>
      <c r="AJ4" s="48">
        <v>45688</v>
      </c>
      <c r="AK4" s="51">
        <v>0.49988425925925928</v>
      </c>
      <c r="AL4" s="48"/>
      <c r="AM4" s="51"/>
      <c r="AN4" s="48">
        <v>45688</v>
      </c>
      <c r="AO4" s="51">
        <v>0.49988425925925928</v>
      </c>
      <c r="AP4" s="47">
        <v>2025</v>
      </c>
      <c r="AQ4" s="52">
        <v>5</v>
      </c>
      <c r="AR4" s="52">
        <v>5</v>
      </c>
      <c r="AS4" s="52">
        <v>31</v>
      </c>
      <c r="AT4" s="53">
        <v>31</v>
      </c>
      <c r="AU4" s="54">
        <v>45688.499305555553</v>
      </c>
      <c r="AV4" s="47">
        <v>292</v>
      </c>
      <c r="AW4" t="s">
        <v>156</v>
      </c>
      <c r="AX4" s="49"/>
      <c r="AY4" s="49" t="s">
        <v>59</v>
      </c>
      <c r="AZ4" s="49" t="s">
        <v>59</v>
      </c>
      <c r="BA4" s="47" t="s">
        <v>510</v>
      </c>
      <c r="BB4" s="49" t="s">
        <v>150</v>
      </c>
    </row>
    <row r="5" spans="1:54" x14ac:dyDescent="0.25">
      <c r="A5" s="47" t="s">
        <v>161</v>
      </c>
      <c r="B5" s="48">
        <v>45693</v>
      </c>
      <c r="C5" s="49" t="s">
        <v>162</v>
      </c>
      <c r="D5" s="50">
        <v>8.3333333333333329E-2</v>
      </c>
      <c r="E5" s="50">
        <v>0.12291666666666666</v>
      </c>
      <c r="F5" s="49" t="s">
        <v>452</v>
      </c>
      <c r="G5" s="49" t="s">
        <v>111</v>
      </c>
      <c r="H5" s="49" t="s">
        <v>163</v>
      </c>
      <c r="I5" s="49" t="s">
        <v>164</v>
      </c>
      <c r="J5" s="49" t="s">
        <v>166</v>
      </c>
      <c r="K5" s="49" t="s">
        <v>165</v>
      </c>
      <c r="L5" s="49" t="s">
        <v>167</v>
      </c>
      <c r="M5" s="49" t="s">
        <v>59</v>
      </c>
      <c r="N5" s="49" t="s">
        <v>168</v>
      </c>
      <c r="O5" s="47" t="s">
        <v>155</v>
      </c>
      <c r="P5" s="47">
        <v>8</v>
      </c>
      <c r="Q5" s="49" t="s">
        <v>169</v>
      </c>
      <c r="R5" s="47"/>
      <c r="S5" s="47"/>
      <c r="T5" s="47"/>
      <c r="U5" s="47"/>
      <c r="V5" s="47"/>
      <c r="W5" s="47"/>
      <c r="X5" s="47"/>
      <c r="Y5" s="47"/>
      <c r="Z5" s="47"/>
      <c r="AA5" s="47"/>
      <c r="AB5" s="49" t="s">
        <v>119</v>
      </c>
      <c r="AC5" s="49" t="s">
        <v>67</v>
      </c>
      <c r="AD5" s="49" t="s">
        <v>170</v>
      </c>
      <c r="AE5" s="47" t="s">
        <v>90</v>
      </c>
      <c r="AF5" s="49" t="s">
        <v>171</v>
      </c>
      <c r="AG5" s="49" t="s">
        <v>123</v>
      </c>
      <c r="AH5" s="49" t="s">
        <v>137</v>
      </c>
      <c r="AI5" s="47">
        <v>9</v>
      </c>
      <c r="AJ5" s="48">
        <v>45693</v>
      </c>
      <c r="AK5" s="51">
        <v>0.12291666666666666</v>
      </c>
      <c r="AL5" s="48"/>
      <c r="AM5" s="51"/>
      <c r="AN5" s="48">
        <v>45693</v>
      </c>
      <c r="AO5" s="51">
        <v>0.1233912037037037</v>
      </c>
      <c r="AP5" s="47">
        <v>2025</v>
      </c>
      <c r="AQ5" s="52">
        <v>6</v>
      </c>
      <c r="AR5" s="52">
        <v>2</v>
      </c>
      <c r="AS5" s="52">
        <v>5</v>
      </c>
      <c r="AT5" s="53">
        <v>36</v>
      </c>
      <c r="AU5" s="54">
        <v>45693.122916666667</v>
      </c>
      <c r="AV5" s="47">
        <v>441</v>
      </c>
      <c r="AW5" t="s">
        <v>169</v>
      </c>
      <c r="AX5" s="49"/>
      <c r="AY5" s="49" t="s">
        <v>59</v>
      </c>
      <c r="AZ5" s="49" t="s">
        <v>59</v>
      </c>
      <c r="BA5" s="47" t="s">
        <v>509</v>
      </c>
      <c r="BB5" s="49" t="s">
        <v>172</v>
      </c>
    </row>
    <row r="6" spans="1:54" x14ac:dyDescent="0.25">
      <c r="A6" s="47" t="s">
        <v>173</v>
      </c>
      <c r="B6" s="48">
        <v>45705</v>
      </c>
      <c r="C6" s="49" t="s">
        <v>54</v>
      </c>
      <c r="D6" s="50">
        <v>0.5</v>
      </c>
      <c r="E6" s="50">
        <v>0.52497685185185183</v>
      </c>
      <c r="F6" s="49" t="s">
        <v>450</v>
      </c>
      <c r="G6" s="49" t="s">
        <v>111</v>
      </c>
      <c r="H6" s="49" t="s">
        <v>98</v>
      </c>
      <c r="I6" s="49" t="s">
        <v>174</v>
      </c>
      <c r="J6" s="49" t="s">
        <v>175</v>
      </c>
      <c r="K6" s="49" t="s">
        <v>165</v>
      </c>
      <c r="L6" s="49" t="s">
        <v>176</v>
      </c>
      <c r="M6" s="49" t="s">
        <v>59</v>
      </c>
      <c r="N6" s="49" t="s">
        <v>177</v>
      </c>
      <c r="O6" s="47" t="s">
        <v>178</v>
      </c>
      <c r="P6" s="47">
        <v>9</v>
      </c>
      <c r="Q6" s="49" t="s">
        <v>179</v>
      </c>
      <c r="R6" s="47"/>
      <c r="S6" s="47"/>
      <c r="T6" s="47"/>
      <c r="U6" s="47"/>
      <c r="V6" s="47"/>
      <c r="W6" s="47"/>
      <c r="X6" s="47"/>
      <c r="Y6" s="47"/>
      <c r="Z6" s="47"/>
      <c r="AA6" s="47"/>
      <c r="AB6" s="49" t="s">
        <v>66</v>
      </c>
      <c r="AC6" s="49" t="s">
        <v>67</v>
      </c>
      <c r="AD6" s="49" t="s">
        <v>68</v>
      </c>
      <c r="AE6" s="47" t="s">
        <v>69</v>
      </c>
      <c r="AF6" s="49" t="s">
        <v>180</v>
      </c>
      <c r="AG6" s="49" t="s">
        <v>181</v>
      </c>
      <c r="AH6" s="49" t="s">
        <v>137</v>
      </c>
      <c r="AI6" s="47">
        <v>9</v>
      </c>
      <c r="AJ6" s="48">
        <v>45705</v>
      </c>
      <c r="AK6" s="51">
        <v>0.52497685185185183</v>
      </c>
      <c r="AL6" s="48"/>
      <c r="AM6" s="51"/>
      <c r="AN6" s="48">
        <v>45705</v>
      </c>
      <c r="AO6" s="51">
        <v>0.52497685185185183</v>
      </c>
      <c r="AP6" s="47">
        <v>2025</v>
      </c>
      <c r="AQ6" s="52">
        <v>8</v>
      </c>
      <c r="AR6" s="52">
        <v>4</v>
      </c>
      <c r="AS6" s="52">
        <v>17</v>
      </c>
      <c r="AT6" s="53">
        <v>48</v>
      </c>
      <c r="AU6" s="54">
        <v>45705.524305555555</v>
      </c>
      <c r="AV6" s="47">
        <v>35</v>
      </c>
      <c r="AW6" t="s">
        <v>179</v>
      </c>
      <c r="AX6" s="49"/>
      <c r="AY6" s="49" t="s">
        <v>182</v>
      </c>
      <c r="AZ6" s="49" t="s">
        <v>183</v>
      </c>
      <c r="BA6" s="47" t="s">
        <v>508</v>
      </c>
      <c r="BB6" s="49" t="s">
        <v>76</v>
      </c>
    </row>
    <row r="7" spans="1:54" x14ac:dyDescent="0.25">
      <c r="A7" s="47" t="s">
        <v>529</v>
      </c>
      <c r="B7" s="48">
        <v>45726</v>
      </c>
      <c r="C7" s="49" t="s">
        <v>162</v>
      </c>
      <c r="D7" s="50">
        <v>4.1666666666666664E-2</v>
      </c>
      <c r="E7" s="50">
        <v>4.6527777777777779E-2</v>
      </c>
      <c r="F7" s="49" t="s">
        <v>450</v>
      </c>
      <c r="G7" s="49" t="s">
        <v>461</v>
      </c>
      <c r="H7" s="49" t="s">
        <v>530</v>
      </c>
      <c r="I7" s="49" t="s">
        <v>531</v>
      </c>
      <c r="J7" s="49" t="s">
        <v>132</v>
      </c>
      <c r="K7" s="49" t="s">
        <v>132</v>
      </c>
      <c r="L7" s="49" t="s">
        <v>59</v>
      </c>
      <c r="M7" s="49" t="s">
        <v>59</v>
      </c>
      <c r="N7" s="49" t="s">
        <v>532</v>
      </c>
      <c r="O7" s="47" t="s">
        <v>283</v>
      </c>
      <c r="P7" s="47">
        <v>8</v>
      </c>
      <c r="Q7" s="49" t="s">
        <v>533</v>
      </c>
      <c r="R7" s="47"/>
      <c r="S7" s="47"/>
      <c r="T7" s="47"/>
      <c r="U7" s="47"/>
      <c r="V7" s="47"/>
      <c r="W7" s="47"/>
      <c r="X7" s="47"/>
      <c r="Y7" s="47"/>
      <c r="Z7" s="47"/>
      <c r="AA7" s="47"/>
      <c r="AB7" s="49" t="s">
        <v>534</v>
      </c>
      <c r="AC7" s="49" t="s">
        <v>67</v>
      </c>
      <c r="AD7" s="49" t="s">
        <v>219</v>
      </c>
      <c r="AE7" s="47" t="s">
        <v>159</v>
      </c>
      <c r="AF7" s="49" t="s">
        <v>106</v>
      </c>
      <c r="AG7" s="49" t="s">
        <v>123</v>
      </c>
      <c r="AH7" s="49" t="s">
        <v>137</v>
      </c>
      <c r="AI7" s="47">
        <v>9</v>
      </c>
      <c r="AJ7" s="48">
        <v>45726</v>
      </c>
      <c r="AK7" s="51">
        <v>4.6527777777777779E-2</v>
      </c>
      <c r="AL7" s="48">
        <v>45726</v>
      </c>
      <c r="AM7" s="51">
        <v>0.16180555555555556</v>
      </c>
      <c r="AN7" s="48">
        <v>45727</v>
      </c>
      <c r="AO7" s="51">
        <v>0.44234953703703705</v>
      </c>
      <c r="AP7" s="47">
        <v>2025</v>
      </c>
      <c r="AQ7" s="52">
        <v>11</v>
      </c>
      <c r="AR7" s="52">
        <v>3</v>
      </c>
      <c r="AS7" s="52">
        <v>10</v>
      </c>
      <c r="AT7" s="53">
        <v>69</v>
      </c>
      <c r="AU7" s="54">
        <v>45726.046527777777</v>
      </c>
      <c r="AV7" s="47">
        <v>1</v>
      </c>
      <c r="AW7" t="s">
        <v>533</v>
      </c>
      <c r="AX7" s="49"/>
      <c r="AY7" s="49" t="s">
        <v>535</v>
      </c>
      <c r="AZ7" s="49" t="s">
        <v>59</v>
      </c>
      <c r="BA7" s="47" t="s">
        <v>505</v>
      </c>
      <c r="BB7" s="49" t="s">
        <v>172</v>
      </c>
    </row>
    <row r="8" spans="1:54" x14ac:dyDescent="0.25">
      <c r="A8" s="47" t="s">
        <v>573</v>
      </c>
      <c r="B8" s="48">
        <v>45743</v>
      </c>
      <c r="C8" s="49" t="s">
        <v>97</v>
      </c>
      <c r="D8" s="50">
        <v>0.91666666666666663</v>
      </c>
      <c r="E8" s="50">
        <v>0.94666666666666666</v>
      </c>
      <c r="F8" s="49" t="s">
        <v>536</v>
      </c>
      <c r="G8" s="49" t="s">
        <v>461</v>
      </c>
      <c r="H8" s="49" t="s">
        <v>485</v>
      </c>
      <c r="I8" s="49" t="s">
        <v>574</v>
      </c>
      <c r="J8" s="49" t="s">
        <v>575</v>
      </c>
      <c r="K8" s="49" t="s">
        <v>165</v>
      </c>
      <c r="L8" s="49" t="s">
        <v>576</v>
      </c>
      <c r="M8" s="49" t="s">
        <v>360</v>
      </c>
      <c r="N8" s="49" t="s">
        <v>577</v>
      </c>
      <c r="O8" s="47" t="s">
        <v>261</v>
      </c>
      <c r="P8" s="47">
        <v>6</v>
      </c>
      <c r="Q8" s="49" t="s">
        <v>578</v>
      </c>
      <c r="R8" s="47"/>
      <c r="S8" s="47"/>
      <c r="T8" s="47"/>
      <c r="U8" s="47"/>
      <c r="V8" s="47"/>
      <c r="W8" s="47"/>
      <c r="X8" s="47"/>
      <c r="Y8" s="47"/>
      <c r="Z8" s="47"/>
      <c r="AA8" s="47"/>
      <c r="AB8" s="49" t="s">
        <v>416</v>
      </c>
      <c r="AC8" s="49" t="s">
        <v>67</v>
      </c>
      <c r="AD8" s="49" t="s">
        <v>579</v>
      </c>
      <c r="AE8" s="47" t="s">
        <v>121</v>
      </c>
      <c r="AF8" s="49" t="s">
        <v>378</v>
      </c>
      <c r="AG8" s="49" t="s">
        <v>123</v>
      </c>
      <c r="AH8" s="49"/>
      <c r="AI8" s="47">
        <v>9</v>
      </c>
      <c r="AJ8" s="48">
        <v>45743</v>
      </c>
      <c r="AK8" s="51">
        <v>0.94666666666666666</v>
      </c>
      <c r="AL8" s="48"/>
      <c r="AM8" s="51"/>
      <c r="AN8" s="48">
        <v>45743</v>
      </c>
      <c r="AO8" s="51">
        <v>0.94666666666666666</v>
      </c>
      <c r="AP8" s="47">
        <v>2025</v>
      </c>
      <c r="AQ8" s="52">
        <v>13</v>
      </c>
      <c r="AR8" s="52">
        <v>5</v>
      </c>
      <c r="AS8" s="52">
        <v>27</v>
      </c>
      <c r="AT8" s="53">
        <v>86</v>
      </c>
      <c r="AU8" s="54">
        <v>45743.946527777778</v>
      </c>
      <c r="AV8" s="47">
        <v>211</v>
      </c>
      <c r="AW8" t="s">
        <v>578</v>
      </c>
      <c r="AX8" s="49"/>
      <c r="AY8" s="49" t="s">
        <v>59</v>
      </c>
      <c r="AZ8" s="49" t="s">
        <v>580</v>
      </c>
      <c r="BA8" s="47" t="s">
        <v>581</v>
      </c>
      <c r="BB8" s="49" t="s">
        <v>109</v>
      </c>
    </row>
    <row r="9" spans="1:54" x14ac:dyDescent="0.25">
      <c r="A9" s="47" t="s">
        <v>582</v>
      </c>
      <c r="B9" s="48">
        <v>45743</v>
      </c>
      <c r="C9" s="49" t="s">
        <v>97</v>
      </c>
      <c r="D9" s="50">
        <v>0.95833333333333337</v>
      </c>
      <c r="E9" s="50">
        <v>0.97916666666666663</v>
      </c>
      <c r="F9" s="49" t="s">
        <v>536</v>
      </c>
      <c r="G9" s="49" t="s">
        <v>461</v>
      </c>
      <c r="H9" s="49" t="s">
        <v>530</v>
      </c>
      <c r="I9" s="49" t="s">
        <v>583</v>
      </c>
      <c r="J9" s="49" t="s">
        <v>132</v>
      </c>
      <c r="K9" s="49" t="s">
        <v>132</v>
      </c>
      <c r="L9" s="49" t="s">
        <v>59</v>
      </c>
      <c r="M9" s="49" t="s">
        <v>59</v>
      </c>
      <c r="N9" s="49" t="s">
        <v>584</v>
      </c>
      <c r="O9" s="47" t="s">
        <v>283</v>
      </c>
      <c r="P9" s="47">
        <v>8</v>
      </c>
      <c r="Q9" s="49" t="s">
        <v>585</v>
      </c>
      <c r="R9" s="47">
        <v>50300</v>
      </c>
      <c r="S9" s="47"/>
      <c r="T9" s="47"/>
      <c r="U9" s="47"/>
      <c r="V9" s="47"/>
      <c r="W9" s="47"/>
      <c r="X9" s="47"/>
      <c r="Y9" s="47"/>
      <c r="Z9" s="47"/>
      <c r="AA9" s="47"/>
      <c r="AB9" s="49" t="s">
        <v>157</v>
      </c>
      <c r="AC9" s="49" t="s">
        <v>67</v>
      </c>
      <c r="AD9" s="49" t="s">
        <v>480</v>
      </c>
      <c r="AE9" s="47" t="s">
        <v>351</v>
      </c>
      <c r="AF9" s="49" t="s">
        <v>586</v>
      </c>
      <c r="AG9" s="49" t="s">
        <v>123</v>
      </c>
      <c r="AH9" s="49"/>
      <c r="AI9" s="47">
        <v>9</v>
      </c>
      <c r="AJ9" s="48">
        <v>45743</v>
      </c>
      <c r="AK9" s="51">
        <v>0.97916666666666663</v>
      </c>
      <c r="AL9" s="48">
        <v>45744</v>
      </c>
      <c r="AM9" s="51">
        <v>2.5000000000000001E-2</v>
      </c>
      <c r="AN9" s="48">
        <v>45744</v>
      </c>
      <c r="AO9" s="51">
        <v>0.46781250000000002</v>
      </c>
      <c r="AP9" s="47">
        <v>2025</v>
      </c>
      <c r="AQ9" s="52">
        <v>13</v>
      </c>
      <c r="AR9" s="52">
        <v>5</v>
      </c>
      <c r="AS9" s="52">
        <v>27</v>
      </c>
      <c r="AT9" s="53">
        <v>86</v>
      </c>
      <c r="AU9" s="54">
        <v>45743.979166666664</v>
      </c>
      <c r="AV9" s="47">
        <v>2</v>
      </c>
      <c r="AW9" t="s">
        <v>585</v>
      </c>
      <c r="AX9" s="49"/>
      <c r="AY9" s="49" t="s">
        <v>587</v>
      </c>
      <c r="AZ9" s="49" t="s">
        <v>588</v>
      </c>
      <c r="BA9" s="47" t="s">
        <v>581</v>
      </c>
      <c r="BB9" s="49" t="s">
        <v>109</v>
      </c>
    </row>
    <row r="10" spans="1:54" x14ac:dyDescent="0.25">
      <c r="A10" s="47" t="s">
        <v>589</v>
      </c>
      <c r="B10" s="48">
        <v>45747</v>
      </c>
      <c r="C10" s="49" t="s">
        <v>54</v>
      </c>
      <c r="D10" s="50">
        <v>0.5</v>
      </c>
      <c r="E10" s="50">
        <v>0.5</v>
      </c>
      <c r="F10" s="49" t="s">
        <v>450</v>
      </c>
      <c r="G10" s="49" t="s">
        <v>461</v>
      </c>
      <c r="H10" s="49" t="s">
        <v>257</v>
      </c>
      <c r="I10" s="49" t="s">
        <v>590</v>
      </c>
      <c r="J10" s="49" t="s">
        <v>132</v>
      </c>
      <c r="K10" s="49" t="s">
        <v>132</v>
      </c>
      <c r="L10" s="49" t="s">
        <v>59</v>
      </c>
      <c r="M10" s="49" t="s">
        <v>59</v>
      </c>
      <c r="N10" s="49" t="s">
        <v>591</v>
      </c>
      <c r="O10" s="47" t="s">
        <v>592</v>
      </c>
      <c r="P10" s="47">
        <v>7</v>
      </c>
      <c r="Q10" s="49" t="s">
        <v>593</v>
      </c>
      <c r="R10" s="47"/>
      <c r="S10" s="47"/>
      <c r="T10" s="47"/>
      <c r="U10" s="47"/>
      <c r="V10" s="47"/>
      <c r="W10" s="47"/>
      <c r="X10" s="47"/>
      <c r="Y10" s="47"/>
      <c r="Z10" s="47"/>
      <c r="AA10" s="47"/>
      <c r="AB10" s="49" t="s">
        <v>568</v>
      </c>
      <c r="AC10" s="49" t="s">
        <v>67</v>
      </c>
      <c r="AD10" s="49" t="s">
        <v>594</v>
      </c>
      <c r="AE10" s="47" t="s">
        <v>90</v>
      </c>
      <c r="AF10" s="49"/>
      <c r="AG10" s="49"/>
      <c r="AH10" s="49"/>
      <c r="AI10" s="47">
        <v>9</v>
      </c>
      <c r="AJ10" s="48">
        <v>45747</v>
      </c>
      <c r="AK10" s="51">
        <v>0.5</v>
      </c>
      <c r="AL10" s="48"/>
      <c r="AM10" s="51"/>
      <c r="AN10" s="48">
        <v>45747</v>
      </c>
      <c r="AO10" s="51">
        <v>0.54355324074074074</v>
      </c>
      <c r="AP10" s="47">
        <v>2025</v>
      </c>
      <c r="AQ10" s="52">
        <v>14</v>
      </c>
      <c r="AR10" s="52">
        <v>6</v>
      </c>
      <c r="AS10" s="52">
        <v>31</v>
      </c>
      <c r="AT10" s="53">
        <v>90</v>
      </c>
      <c r="AU10" s="54">
        <v>45747.5</v>
      </c>
      <c r="AV10" s="47">
        <v>100</v>
      </c>
      <c r="AW10" t="s">
        <v>593</v>
      </c>
      <c r="AX10" s="49"/>
      <c r="AY10" s="49" t="s">
        <v>595</v>
      </c>
      <c r="AZ10" s="49" t="s">
        <v>596</v>
      </c>
      <c r="BA10" s="47" t="s">
        <v>581</v>
      </c>
      <c r="BB10" s="49" t="s">
        <v>76</v>
      </c>
    </row>
    <row r="11" spans="1:54" x14ac:dyDescent="0.25">
      <c r="A11" s="47" t="s">
        <v>597</v>
      </c>
      <c r="B11" s="48">
        <v>45748</v>
      </c>
      <c r="C11" s="49" t="s">
        <v>54</v>
      </c>
      <c r="D11" s="50">
        <v>0.5</v>
      </c>
      <c r="E11" s="50">
        <v>0.5</v>
      </c>
      <c r="F11" s="49" t="s">
        <v>451</v>
      </c>
      <c r="G11" s="49" t="s">
        <v>598</v>
      </c>
      <c r="H11" s="49" t="s">
        <v>599</v>
      </c>
      <c r="I11" s="49" t="s">
        <v>600</v>
      </c>
      <c r="J11" s="49" t="s">
        <v>132</v>
      </c>
      <c r="K11" s="49" t="s">
        <v>132</v>
      </c>
      <c r="L11" s="49" t="s">
        <v>59</v>
      </c>
      <c r="M11" s="49" t="s">
        <v>59</v>
      </c>
      <c r="N11" s="49" t="s">
        <v>601</v>
      </c>
      <c r="O11" s="47" t="s">
        <v>145</v>
      </c>
      <c r="P11" s="47">
        <v>5</v>
      </c>
      <c r="Q11" s="49" t="s">
        <v>602</v>
      </c>
      <c r="R11" s="47"/>
      <c r="S11" s="47"/>
      <c r="T11" s="47"/>
      <c r="U11" s="47"/>
      <c r="V11" s="47"/>
      <c r="W11" s="47"/>
      <c r="X11" s="47"/>
      <c r="Y11" s="47"/>
      <c r="Z11" s="47"/>
      <c r="AA11" s="47"/>
      <c r="AB11" s="49" t="s">
        <v>157</v>
      </c>
      <c r="AC11" s="49" t="s">
        <v>67</v>
      </c>
      <c r="AD11" s="49" t="s">
        <v>603</v>
      </c>
      <c r="AE11" s="47" t="s">
        <v>206</v>
      </c>
      <c r="AF11" s="49" t="s">
        <v>524</v>
      </c>
      <c r="AG11" s="49" t="s">
        <v>123</v>
      </c>
      <c r="AH11" s="49"/>
      <c r="AI11" s="47">
        <v>9</v>
      </c>
      <c r="AJ11" s="48">
        <v>45748</v>
      </c>
      <c r="AK11" s="51">
        <v>0.5</v>
      </c>
      <c r="AL11" s="48">
        <v>45751</v>
      </c>
      <c r="AM11" s="51">
        <v>0.52083333333333337</v>
      </c>
      <c r="AN11" s="48">
        <v>45751</v>
      </c>
      <c r="AO11" s="51">
        <v>0.54546296296296293</v>
      </c>
      <c r="AP11" s="47">
        <v>2025</v>
      </c>
      <c r="AQ11" s="52">
        <v>14</v>
      </c>
      <c r="AR11" s="52">
        <v>1</v>
      </c>
      <c r="AS11" s="52">
        <v>1</v>
      </c>
      <c r="AT11" s="53">
        <v>91</v>
      </c>
      <c r="AU11" s="54">
        <v>45748.5</v>
      </c>
      <c r="AV11" s="47">
        <v>75</v>
      </c>
      <c r="AW11" t="s">
        <v>602</v>
      </c>
      <c r="AX11" s="49"/>
      <c r="AY11" s="49" t="s">
        <v>59</v>
      </c>
      <c r="AZ11" s="49" t="s">
        <v>59</v>
      </c>
      <c r="BA11" s="47" t="s">
        <v>604</v>
      </c>
      <c r="BB11" s="49" t="s">
        <v>76</v>
      </c>
    </row>
    <row r="12" spans="1:54" x14ac:dyDescent="0.25">
      <c r="A12" s="47" t="s">
        <v>819</v>
      </c>
      <c r="B12" s="48">
        <v>45755</v>
      </c>
      <c r="C12" s="49" t="s">
        <v>54</v>
      </c>
      <c r="D12" s="50">
        <v>0.5</v>
      </c>
      <c r="E12" s="50">
        <v>0.5</v>
      </c>
      <c r="F12" s="49" t="s">
        <v>451</v>
      </c>
      <c r="G12" s="49" t="s">
        <v>598</v>
      </c>
      <c r="H12" s="49" t="s">
        <v>294</v>
      </c>
      <c r="I12" s="49" t="s">
        <v>820</v>
      </c>
      <c r="J12" s="49" t="s">
        <v>132</v>
      </c>
      <c r="K12" s="49" t="s">
        <v>132</v>
      </c>
      <c r="L12" s="49" t="s">
        <v>59</v>
      </c>
      <c r="M12" s="49" t="s">
        <v>59</v>
      </c>
      <c r="N12" s="49" t="s">
        <v>821</v>
      </c>
      <c r="O12" s="47" t="s">
        <v>145</v>
      </c>
      <c r="P12" s="47">
        <v>5</v>
      </c>
      <c r="Q12" s="49" t="s">
        <v>822</v>
      </c>
      <c r="R12" s="47"/>
      <c r="S12" s="47"/>
      <c r="T12" s="47"/>
      <c r="U12" s="47"/>
      <c r="V12" s="47"/>
      <c r="W12" s="47"/>
      <c r="X12" s="47"/>
      <c r="Y12" s="47"/>
      <c r="Z12" s="47"/>
      <c r="AA12" s="47"/>
      <c r="AB12" s="49" t="s">
        <v>416</v>
      </c>
      <c r="AC12" s="49" t="s">
        <v>67</v>
      </c>
      <c r="AD12" s="49" t="s">
        <v>579</v>
      </c>
      <c r="AE12" s="47" t="s">
        <v>121</v>
      </c>
      <c r="AF12" s="49" t="s">
        <v>106</v>
      </c>
      <c r="AG12" s="49" t="s">
        <v>123</v>
      </c>
      <c r="AH12" s="49"/>
      <c r="AI12" s="47">
        <v>9</v>
      </c>
      <c r="AJ12" s="48">
        <v>45755</v>
      </c>
      <c r="AK12" s="51">
        <v>0.5</v>
      </c>
      <c r="AL12" s="48">
        <v>45759</v>
      </c>
      <c r="AM12" s="51">
        <v>0.5</v>
      </c>
      <c r="AN12" s="48">
        <v>45759</v>
      </c>
      <c r="AO12" s="51">
        <v>0.5269907407407407</v>
      </c>
      <c r="AP12" s="47">
        <v>2025</v>
      </c>
      <c r="AQ12" s="52">
        <v>15</v>
      </c>
      <c r="AR12" s="52">
        <v>2</v>
      </c>
      <c r="AS12" s="52">
        <v>8</v>
      </c>
      <c r="AT12" s="53">
        <v>98</v>
      </c>
      <c r="AU12" s="54">
        <v>45755.5</v>
      </c>
      <c r="AV12" s="47">
        <v>140</v>
      </c>
      <c r="AW12" t="s">
        <v>822</v>
      </c>
      <c r="AX12" s="49"/>
      <c r="AY12" s="49" t="s">
        <v>59</v>
      </c>
      <c r="AZ12" s="49" t="s">
        <v>823</v>
      </c>
      <c r="BA12" s="47" t="s">
        <v>730</v>
      </c>
      <c r="BB12" s="49" t="s">
        <v>76</v>
      </c>
    </row>
    <row r="13" spans="1:54" x14ac:dyDescent="0.25">
      <c r="A13" s="47" t="s">
        <v>838</v>
      </c>
      <c r="B13" s="48">
        <v>45760</v>
      </c>
      <c r="C13" s="49" t="s">
        <v>78</v>
      </c>
      <c r="D13" s="50">
        <v>0.75</v>
      </c>
      <c r="E13" s="50">
        <v>0.78115740740740736</v>
      </c>
      <c r="F13" s="49" t="s">
        <v>458</v>
      </c>
      <c r="G13" s="49" t="s">
        <v>598</v>
      </c>
      <c r="H13" s="49" t="s">
        <v>56</v>
      </c>
      <c r="I13" s="49" t="s">
        <v>839</v>
      </c>
      <c r="J13" s="49" t="s">
        <v>840</v>
      </c>
      <c r="K13" s="49" t="s">
        <v>132</v>
      </c>
      <c r="L13" s="49" t="s">
        <v>841</v>
      </c>
      <c r="M13" s="49" t="s">
        <v>708</v>
      </c>
      <c r="N13" s="49" t="s">
        <v>842</v>
      </c>
      <c r="O13" s="47" t="s">
        <v>327</v>
      </c>
      <c r="P13" s="47">
        <v>7</v>
      </c>
      <c r="Q13" s="49" t="s">
        <v>843</v>
      </c>
      <c r="R13" s="47"/>
      <c r="S13" s="47"/>
      <c r="T13" s="47"/>
      <c r="U13" s="47"/>
      <c r="V13" s="47"/>
      <c r="W13" s="47"/>
      <c r="X13" s="47"/>
      <c r="Y13" s="47"/>
      <c r="Z13" s="47"/>
      <c r="AA13" s="47"/>
      <c r="AB13" s="49" t="s">
        <v>157</v>
      </c>
      <c r="AC13" s="49" t="s">
        <v>67</v>
      </c>
      <c r="AD13" s="49" t="s">
        <v>147</v>
      </c>
      <c r="AE13" s="47" t="s">
        <v>90</v>
      </c>
      <c r="AF13" s="49" t="s">
        <v>160</v>
      </c>
      <c r="AG13" s="49" t="s">
        <v>435</v>
      </c>
      <c r="AH13" s="49"/>
      <c r="AI13" s="47">
        <v>9</v>
      </c>
      <c r="AJ13" s="48">
        <v>45760</v>
      </c>
      <c r="AK13" s="51">
        <v>0.78115740740740736</v>
      </c>
      <c r="AL13" s="48"/>
      <c r="AM13" s="51"/>
      <c r="AN13" s="48">
        <v>45760</v>
      </c>
      <c r="AO13" s="51">
        <v>0.78115740740740736</v>
      </c>
      <c r="AP13" s="47">
        <v>2025</v>
      </c>
      <c r="AQ13" s="52">
        <v>16</v>
      </c>
      <c r="AR13" s="52">
        <v>3</v>
      </c>
      <c r="AS13" s="52">
        <v>13</v>
      </c>
      <c r="AT13" s="53">
        <v>103</v>
      </c>
      <c r="AU13" s="54">
        <v>45760.780555555553</v>
      </c>
      <c r="AV13" s="47">
        <v>64</v>
      </c>
      <c r="AW13" t="s">
        <v>843</v>
      </c>
      <c r="AX13" s="49"/>
      <c r="AY13" s="49" t="s">
        <v>59</v>
      </c>
      <c r="AZ13" s="49" t="s">
        <v>844</v>
      </c>
      <c r="BA13" s="47" t="s">
        <v>730</v>
      </c>
      <c r="BB13" s="49" t="s">
        <v>95</v>
      </c>
    </row>
  </sheetData>
  <pageMargins left="0.7" right="0.7" top="0.75" bottom="0.75" header="0.3" footer="0.3"/>
  <pageSetup orientation="portrait" r:id="rId1"/>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11C4EA-680E-44A1-8D4C-01C56FF14DCB}">
  <sheetPr>
    <tabColor rgb="FFFFC000"/>
  </sheetPr>
  <dimension ref="A1:M3"/>
  <sheetViews>
    <sheetView zoomScale="90" zoomScaleNormal="90" workbookViewId="0">
      <selection sqref="A1:M3"/>
    </sheetView>
  </sheetViews>
  <sheetFormatPr defaultColWidth="8.85546875" defaultRowHeight="15.75" x14ac:dyDescent="0.25"/>
  <cols>
    <col min="1" max="1" width="22.140625" style="183" bestFit="1" customWidth="1"/>
    <col min="2" max="2" width="19.28515625" style="186" bestFit="1" customWidth="1"/>
    <col min="3" max="3" width="18.140625" style="182" bestFit="1" customWidth="1"/>
    <col min="4" max="4" width="28" style="183" bestFit="1" customWidth="1"/>
    <col min="5" max="5" width="13.7109375" style="183" bestFit="1" customWidth="1"/>
    <col min="6" max="6" width="22.28515625" style="183" bestFit="1" customWidth="1"/>
    <col min="7" max="7" width="21.28515625" style="183" bestFit="1" customWidth="1"/>
    <col min="8" max="8" width="18.85546875" style="183" bestFit="1" customWidth="1"/>
    <col min="9" max="9" width="17.28515625" style="183" bestFit="1" customWidth="1"/>
    <col min="10" max="10" width="22.85546875" style="183" bestFit="1" customWidth="1"/>
    <col min="11" max="11" width="76.28515625" style="183" customWidth="1"/>
    <col min="12" max="12" width="1.28515625" style="183" customWidth="1"/>
    <col min="13" max="13" width="82.42578125" style="183" customWidth="1"/>
    <col min="14" max="16384" width="8.85546875" style="183"/>
  </cols>
  <sheetData>
    <row r="1" spans="1:13" s="182" customFormat="1" ht="362.25" x14ac:dyDescent="0.25">
      <c r="A1" s="182" t="s">
        <v>856</v>
      </c>
      <c r="B1" s="186" t="s">
        <v>35</v>
      </c>
      <c r="C1" s="182" t="s">
        <v>649</v>
      </c>
      <c r="D1" s="182" t="s">
        <v>449</v>
      </c>
      <c r="E1" s="182" t="s">
        <v>49</v>
      </c>
      <c r="F1" s="182" t="s">
        <v>857</v>
      </c>
      <c r="G1" s="182" t="s">
        <v>858</v>
      </c>
      <c r="H1" s="182" t="s">
        <v>663</v>
      </c>
      <c r="I1" s="182" t="s">
        <v>859</v>
      </c>
      <c r="J1" s="182" t="s">
        <v>860</v>
      </c>
      <c r="K1" s="182" t="s">
        <v>810</v>
      </c>
      <c r="L1" s="182" t="s">
        <v>861</v>
      </c>
      <c r="M1" s="182" t="s">
        <v>459</v>
      </c>
    </row>
    <row r="2" spans="1:13" ht="220.5" x14ac:dyDescent="0.25">
      <c r="A2" s="183" t="s">
        <v>294</v>
      </c>
      <c r="B2" s="186">
        <v>45755</v>
      </c>
      <c r="C2" s="182" t="s">
        <v>451</v>
      </c>
      <c r="D2" s="183" t="s">
        <v>76</v>
      </c>
      <c r="E2" s="183" t="s">
        <v>59</v>
      </c>
      <c r="K2" s="183" t="s">
        <v>823</v>
      </c>
      <c r="M2" s="183" t="s">
        <v>822</v>
      </c>
    </row>
    <row r="3" spans="1:13" ht="409.5" x14ac:dyDescent="0.25">
      <c r="A3" s="183" t="s">
        <v>56</v>
      </c>
      <c r="B3" s="186">
        <v>45760</v>
      </c>
      <c r="C3" s="182" t="s">
        <v>458</v>
      </c>
      <c r="D3" s="183" t="s">
        <v>95</v>
      </c>
      <c r="E3" s="183" t="s">
        <v>59</v>
      </c>
      <c r="K3" s="183" t="s">
        <v>844</v>
      </c>
      <c r="M3" s="183" t="s">
        <v>843</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11A65B-1E6B-4837-9976-74B0A13884C4}">
  <sheetPr>
    <tabColor rgb="FFFFC000"/>
  </sheetPr>
  <dimension ref="A1:M7"/>
  <sheetViews>
    <sheetView workbookViewId="0">
      <selection activeCell="E5" sqref="E5"/>
    </sheetView>
  </sheetViews>
  <sheetFormatPr defaultColWidth="8.85546875" defaultRowHeight="15.75" x14ac:dyDescent="0.25"/>
  <cols>
    <col min="1" max="1" width="22.140625" style="35" bestFit="1" customWidth="1"/>
    <col min="2" max="2" width="19.28515625" style="119" bestFit="1" customWidth="1"/>
    <col min="3" max="3" width="18.140625" style="120" bestFit="1" customWidth="1"/>
    <col min="4" max="4" width="28" style="35" bestFit="1" customWidth="1"/>
    <col min="5" max="5" width="255.7109375" style="35" bestFit="1" customWidth="1"/>
    <col min="6" max="6" width="22.28515625" style="35" bestFit="1" customWidth="1"/>
    <col min="7" max="7" width="21.28515625" style="35" bestFit="1" customWidth="1"/>
    <col min="8" max="8" width="18.85546875" style="35" bestFit="1" customWidth="1"/>
    <col min="9" max="9" width="17.28515625" style="35" bestFit="1" customWidth="1"/>
    <col min="10" max="10" width="22.85546875" style="35" bestFit="1" customWidth="1"/>
    <col min="11" max="11" width="255.7109375" style="35" bestFit="1" customWidth="1"/>
    <col min="12" max="12" width="32.7109375" style="35" bestFit="1" customWidth="1"/>
    <col min="13" max="13" width="255.7109375" style="35" bestFit="1" customWidth="1"/>
    <col min="14" max="16384" width="8.85546875" style="35"/>
  </cols>
  <sheetData>
    <row r="1" spans="1:13" s="120" customFormat="1" x14ac:dyDescent="0.25">
      <c r="A1" s="120" t="s">
        <v>856</v>
      </c>
      <c r="B1" s="119" t="s">
        <v>35</v>
      </c>
      <c r="C1" s="120" t="s">
        <v>649</v>
      </c>
      <c r="D1" s="120" t="s">
        <v>449</v>
      </c>
      <c r="E1" s="120" t="s">
        <v>49</v>
      </c>
      <c r="F1" s="120" t="s">
        <v>857</v>
      </c>
      <c r="G1" s="120" t="s">
        <v>858</v>
      </c>
      <c r="H1" s="120" t="s">
        <v>663</v>
      </c>
      <c r="I1" s="120" t="s">
        <v>859</v>
      </c>
      <c r="J1" s="120" t="s">
        <v>860</v>
      </c>
      <c r="K1" s="120" t="s">
        <v>810</v>
      </c>
      <c r="L1" s="120" t="s">
        <v>861</v>
      </c>
      <c r="M1" s="120" t="s">
        <v>459</v>
      </c>
    </row>
    <row r="2" spans="1:13" x14ac:dyDescent="0.25">
      <c r="A2" s="35" t="s">
        <v>485</v>
      </c>
      <c r="B2" s="119">
        <v>45743</v>
      </c>
      <c r="C2" s="120" t="s">
        <v>536</v>
      </c>
      <c r="D2" s="35" t="s">
        <v>109</v>
      </c>
      <c r="E2" s="35" t="s">
        <v>59</v>
      </c>
      <c r="K2" s="35" t="s">
        <v>580</v>
      </c>
      <c r="M2" s="35" t="s">
        <v>578</v>
      </c>
    </row>
    <row r="3" spans="1:13" x14ac:dyDescent="0.25">
      <c r="A3" s="35" t="s">
        <v>530</v>
      </c>
      <c r="B3" s="119">
        <v>45743</v>
      </c>
      <c r="C3" s="120" t="s">
        <v>536</v>
      </c>
      <c r="D3" s="35" t="s">
        <v>109</v>
      </c>
      <c r="E3" s="35" t="s">
        <v>587</v>
      </c>
      <c r="K3" s="35" t="s">
        <v>588</v>
      </c>
      <c r="M3" s="35" t="s">
        <v>585</v>
      </c>
    </row>
    <row r="4" spans="1:13" x14ac:dyDescent="0.25">
      <c r="A4" s="35" t="s">
        <v>257</v>
      </c>
      <c r="B4" s="119">
        <v>45747</v>
      </c>
      <c r="C4" s="120" t="s">
        <v>450</v>
      </c>
      <c r="D4" s="35" t="s">
        <v>76</v>
      </c>
      <c r="E4" s="35" t="s">
        <v>595</v>
      </c>
      <c r="K4" s="35" t="s">
        <v>596</v>
      </c>
      <c r="M4" s="35" t="s">
        <v>593</v>
      </c>
    </row>
    <row r="5" spans="1:13" x14ac:dyDescent="0.25">
      <c r="A5" s="35" t="s">
        <v>599</v>
      </c>
      <c r="B5" s="119">
        <v>45748</v>
      </c>
      <c r="C5" s="120" t="s">
        <v>451</v>
      </c>
      <c r="D5" s="35" t="s">
        <v>76</v>
      </c>
      <c r="E5" s="35" t="s">
        <v>59</v>
      </c>
      <c r="K5" s="35" t="s">
        <v>59</v>
      </c>
      <c r="M5" s="35" t="s">
        <v>602</v>
      </c>
    </row>
    <row r="6" spans="1:13" x14ac:dyDescent="0.25">
      <c r="A6" s="35" t="s">
        <v>294</v>
      </c>
      <c r="B6" s="119">
        <v>45755</v>
      </c>
      <c r="C6" s="120" t="s">
        <v>451</v>
      </c>
      <c r="D6" s="35" t="s">
        <v>76</v>
      </c>
      <c r="E6" s="35" t="s">
        <v>59</v>
      </c>
      <c r="K6" s="35" t="s">
        <v>823</v>
      </c>
      <c r="M6" s="35" t="s">
        <v>822</v>
      </c>
    </row>
    <row r="7" spans="1:13" x14ac:dyDescent="0.25">
      <c r="A7" s="35" t="s">
        <v>56</v>
      </c>
      <c r="B7" s="119">
        <v>45760</v>
      </c>
      <c r="C7" s="120" t="s">
        <v>458</v>
      </c>
      <c r="D7" s="35" t="s">
        <v>95</v>
      </c>
      <c r="E7" s="35" t="s">
        <v>59</v>
      </c>
      <c r="K7" s="35" t="s">
        <v>844</v>
      </c>
      <c r="M7" s="35" t="s">
        <v>843</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AA086C-B833-40E8-8DE0-053C329D2789}">
  <sheetPr codeName="Sheet4">
    <tabColor rgb="FFFFC000"/>
  </sheetPr>
  <dimension ref="A1:CK35"/>
  <sheetViews>
    <sheetView showGridLines="0" workbookViewId="0">
      <selection activeCell="J39" sqref="J39"/>
    </sheetView>
  </sheetViews>
  <sheetFormatPr defaultColWidth="8.85546875" defaultRowHeight="15" x14ac:dyDescent="0.25"/>
  <cols>
    <col min="1" max="1" width="22.140625" style="6" bestFit="1" customWidth="1"/>
    <col min="2" max="2" width="16.7109375" style="6" bestFit="1" customWidth="1"/>
    <col min="3" max="3" width="5.28515625" style="6" bestFit="1" customWidth="1"/>
    <col min="4" max="5" width="6.140625" style="6" bestFit="1" customWidth="1"/>
    <col min="6" max="6" width="3.85546875" style="6" bestFit="1" customWidth="1"/>
    <col min="7" max="7" width="4.85546875" style="6" bestFit="1" customWidth="1"/>
    <col min="8" max="8" width="7.7109375" style="6" customWidth="1"/>
    <col min="9" max="9" width="17.28515625" style="6" bestFit="1" customWidth="1"/>
    <col min="10" max="10" width="14" style="6" bestFit="1" customWidth="1"/>
    <col min="11" max="11" width="4" style="6" bestFit="1" customWidth="1"/>
    <col min="12" max="12" width="3.5703125" style="6" bestFit="1" customWidth="1"/>
    <col min="13" max="13" width="14.42578125" style="6" bestFit="1" customWidth="1"/>
    <col min="14" max="14" width="11.7109375" style="6" bestFit="1" customWidth="1"/>
    <col min="15" max="15" width="22.85546875" style="6" bestFit="1" customWidth="1"/>
    <col min="16" max="16" width="14" style="6" bestFit="1" customWidth="1"/>
    <col min="17" max="17" width="11.5703125" style="6" bestFit="1" customWidth="1"/>
    <col min="18" max="18" width="11.85546875" style="6" bestFit="1" customWidth="1"/>
    <col min="19" max="19" width="14.42578125" style="6" bestFit="1" customWidth="1"/>
    <col min="20" max="20" width="21.85546875" style="6" bestFit="1" customWidth="1"/>
    <col min="21" max="21" width="16.28515625" style="6" bestFit="1" customWidth="1"/>
    <col min="22" max="22" width="60.42578125" style="6" bestFit="1" customWidth="1"/>
    <col min="23" max="23" width="19.28515625" style="6" bestFit="1" customWidth="1"/>
    <col min="24" max="24" width="20.5703125" style="6" bestFit="1" customWidth="1"/>
    <col min="25" max="25" width="20.28515625" style="6" bestFit="1" customWidth="1"/>
    <col min="26" max="26" width="36.140625" style="6" bestFit="1" customWidth="1"/>
    <col min="27" max="27" width="6.7109375" style="6" bestFit="1" customWidth="1"/>
    <col min="28" max="28" width="7.42578125" style="6" bestFit="1" customWidth="1"/>
    <col min="29" max="29" width="80.85546875" style="6" bestFit="1" customWidth="1"/>
    <col min="30" max="30" width="24.42578125" style="6" bestFit="1" customWidth="1"/>
    <col min="31" max="31" width="26.42578125" style="6" bestFit="1" customWidth="1"/>
    <col min="32" max="32" width="20.28515625" style="6" bestFit="1" customWidth="1"/>
    <col min="33" max="33" width="12.42578125" style="6" bestFit="1" customWidth="1"/>
    <col min="34" max="34" width="13.28515625" style="6" bestFit="1" customWidth="1"/>
    <col min="35" max="35" width="17.140625" style="6" bestFit="1" customWidth="1"/>
    <col min="36" max="36" width="20.28515625" style="6" bestFit="1" customWidth="1"/>
    <col min="37" max="37" width="17.140625" style="6" bestFit="1" customWidth="1"/>
    <col min="38" max="38" width="12.42578125" style="6" bestFit="1" customWidth="1"/>
    <col min="39" max="39" width="13.28515625" style="6" bestFit="1" customWidth="1"/>
    <col min="40" max="40" width="18.85546875" style="6" bestFit="1" customWidth="1"/>
    <col min="41" max="41" width="20.85546875" style="6" bestFit="1" customWidth="1"/>
    <col min="42" max="42" width="28.5703125" style="6" bestFit="1" customWidth="1"/>
    <col min="43" max="43" width="12" style="6" bestFit="1" customWidth="1"/>
    <col min="44" max="44" width="27.42578125" style="6" bestFit="1" customWidth="1"/>
    <col min="45" max="45" width="28.5703125" style="6" bestFit="1" customWidth="1"/>
    <col min="46" max="46" width="32" style="6" bestFit="1" customWidth="1"/>
    <col min="47" max="47" width="31.7109375" style="6" bestFit="1" customWidth="1"/>
    <col min="48" max="48" width="19.7109375" style="6" bestFit="1" customWidth="1"/>
    <col min="49" max="49" width="19.85546875" style="6" bestFit="1" customWidth="1"/>
    <col min="50" max="50" width="30.28515625" style="6" bestFit="1" customWidth="1"/>
    <col min="51" max="51" width="30.5703125" style="6" bestFit="1" customWidth="1"/>
    <col min="52" max="52" width="18.140625" style="6" bestFit="1" customWidth="1"/>
    <col min="53" max="53" width="18.28515625" style="6" bestFit="1" customWidth="1"/>
    <col min="54" max="54" width="10.28515625" style="6" bestFit="1" customWidth="1"/>
    <col min="55" max="55" width="19.28515625" style="6" bestFit="1" customWidth="1"/>
    <col min="56" max="56" width="21.28515625" style="6" bestFit="1" customWidth="1"/>
    <col min="57" max="57" width="9.42578125" style="6" bestFit="1" customWidth="1"/>
    <col min="58" max="58" width="17.28515625" style="6" bestFit="1" customWidth="1"/>
    <col min="59" max="59" width="28.140625" style="6" bestFit="1" customWidth="1"/>
    <col min="60" max="60" width="8.7109375" style="6" bestFit="1" customWidth="1"/>
    <col min="61" max="61" width="80.85546875" style="6" bestFit="1" customWidth="1"/>
    <col min="62" max="62" width="14.7109375" style="6" bestFit="1" customWidth="1"/>
    <col min="63" max="64" width="80.85546875" style="6" bestFit="1" customWidth="1"/>
    <col min="65" max="65" width="22.28515625" style="6" bestFit="1" customWidth="1"/>
    <col min="66" max="66" width="25.85546875" style="6" bestFit="1" customWidth="1"/>
    <col min="67" max="16384" width="8.85546875" style="6"/>
  </cols>
  <sheetData>
    <row r="1" spans="1:89" ht="18.75" x14ac:dyDescent="0.3">
      <c r="A1" s="103" t="s">
        <v>1</v>
      </c>
      <c r="B1" s="6" t="s">
        <v>127</v>
      </c>
      <c r="H1" s="41"/>
      <c r="I1"/>
      <c r="J1"/>
      <c r="K1" s="41"/>
      <c r="L1" s="41"/>
      <c r="M1" t="s">
        <v>0</v>
      </c>
      <c r="N1" t="s">
        <v>1</v>
      </c>
      <c r="O1" t="s">
        <v>2</v>
      </c>
      <c r="P1" t="s">
        <v>3</v>
      </c>
      <c r="Q1" t="s">
        <v>4</v>
      </c>
      <c r="R1" t="s">
        <v>5</v>
      </c>
      <c r="S1" t="s">
        <v>6</v>
      </c>
      <c r="T1" t="s">
        <v>7</v>
      </c>
      <c r="U1" t="s">
        <v>8</v>
      </c>
      <c r="V1" t="s">
        <v>10</v>
      </c>
      <c r="W1" t="s">
        <v>9</v>
      </c>
      <c r="X1" t="s">
        <v>11</v>
      </c>
      <c r="Y1" t="s">
        <v>12</v>
      </c>
      <c r="Z1" t="s">
        <v>13</v>
      </c>
      <c r="AA1" t="s">
        <v>14</v>
      </c>
      <c r="AB1" t="s">
        <v>15</v>
      </c>
      <c r="AC1" s="16" t="s">
        <v>16</v>
      </c>
      <c r="AD1" s="16" t="s">
        <v>17</v>
      </c>
      <c r="AE1" s="16" t="s">
        <v>18</v>
      </c>
      <c r="AF1" s="16" t="s">
        <v>19</v>
      </c>
      <c r="AG1" s="16" t="s">
        <v>20</v>
      </c>
      <c r="AH1" s="16" t="s">
        <v>21</v>
      </c>
      <c r="AI1" s="16" t="s">
        <v>22</v>
      </c>
      <c r="AJ1" s="16" t="s">
        <v>23</v>
      </c>
      <c r="AK1" s="16" t="s">
        <v>24</v>
      </c>
      <c r="AL1" s="16" t="s">
        <v>25</v>
      </c>
      <c r="AM1" s="16" t="s">
        <v>26</v>
      </c>
      <c r="AN1" s="16" t="s">
        <v>27</v>
      </c>
      <c r="AO1" s="16" t="s">
        <v>28</v>
      </c>
      <c r="AP1" s="16" t="s">
        <v>29</v>
      </c>
      <c r="AQ1" s="16" t="s">
        <v>30</v>
      </c>
      <c r="AR1" s="16" t="s">
        <v>31</v>
      </c>
      <c r="AS1" s="16" t="s">
        <v>32</v>
      </c>
      <c r="AT1" s="16" t="s">
        <v>33</v>
      </c>
      <c r="AU1" s="16" t="s">
        <v>34</v>
      </c>
      <c r="AV1" s="29" t="s">
        <v>35</v>
      </c>
      <c r="AW1" s="20" t="s">
        <v>36</v>
      </c>
      <c r="AX1" s="29" t="s">
        <v>37</v>
      </c>
      <c r="AY1" s="20" t="s">
        <v>38</v>
      </c>
      <c r="AZ1" s="29" t="s">
        <v>39</v>
      </c>
      <c r="BA1" s="20" t="s">
        <v>40</v>
      </c>
      <c r="BB1" s="16" t="s">
        <v>41</v>
      </c>
      <c r="BC1" s="23" t="s">
        <v>42</v>
      </c>
      <c r="BD1" s="23" t="s">
        <v>43</v>
      </c>
      <c r="BE1" s="23" t="s">
        <v>44</v>
      </c>
      <c r="BF1" s="25" t="s">
        <v>45</v>
      </c>
      <c r="BG1" s="27" t="s">
        <v>46</v>
      </c>
      <c r="BH1" s="16" t="s">
        <v>47</v>
      </c>
      <c r="BI1" t="s">
        <v>459</v>
      </c>
      <c r="BJ1" s="16" t="s">
        <v>48</v>
      </c>
      <c r="BK1" s="16" t="s">
        <v>49</v>
      </c>
      <c r="BL1" s="16" t="s">
        <v>50</v>
      </c>
      <c r="BM1" s="16" t="s">
        <v>51</v>
      </c>
      <c r="BN1" s="16" t="s">
        <v>52</v>
      </c>
      <c r="CJ1" s="82" t="s">
        <v>661</v>
      </c>
      <c r="CK1" s="83" t="s">
        <v>599</v>
      </c>
    </row>
    <row r="2" spans="1:89" ht="18.75" x14ac:dyDescent="0.3">
      <c r="A2" s="103" t="s">
        <v>10</v>
      </c>
      <c r="B2" s="6" t="s">
        <v>127</v>
      </c>
      <c r="H2" s="41"/>
      <c r="I2"/>
      <c r="J2"/>
      <c r="K2" s="41"/>
      <c r="L2" s="41"/>
      <c r="M2" t="s">
        <v>129</v>
      </c>
      <c r="N2" s="1">
        <v>45673</v>
      </c>
      <c r="O2" t="s">
        <v>54</v>
      </c>
      <c r="P2" s="32">
        <v>0.5</v>
      </c>
      <c r="Q2" s="32">
        <v>0.5</v>
      </c>
      <c r="R2" t="s">
        <v>536</v>
      </c>
      <c r="S2" t="s">
        <v>55</v>
      </c>
      <c r="T2" t="s">
        <v>130</v>
      </c>
      <c r="U2" t="s">
        <v>131</v>
      </c>
      <c r="V2" t="s">
        <v>132</v>
      </c>
      <c r="W2" t="s">
        <v>132</v>
      </c>
      <c r="X2" t="s">
        <v>59</v>
      </c>
      <c r="Y2" t="s">
        <v>59</v>
      </c>
      <c r="Z2" t="s">
        <v>133</v>
      </c>
      <c r="AA2" t="s">
        <v>134</v>
      </c>
      <c r="AB2">
        <v>7</v>
      </c>
      <c r="AC2" s="49" t="s">
        <v>135</v>
      </c>
      <c r="AD2" s="47"/>
      <c r="AE2" s="47"/>
      <c r="AF2" s="47"/>
      <c r="AG2" s="47"/>
      <c r="AH2" s="47"/>
      <c r="AI2" s="47"/>
      <c r="AJ2" s="47"/>
      <c r="AK2" s="47"/>
      <c r="AL2" s="47"/>
      <c r="AM2" s="47"/>
      <c r="AN2" s="49" t="s">
        <v>66</v>
      </c>
      <c r="AO2" s="49" t="s">
        <v>67</v>
      </c>
      <c r="AP2" s="49" t="s">
        <v>136</v>
      </c>
      <c r="AQ2" s="47" t="s">
        <v>69</v>
      </c>
      <c r="AR2" s="49" t="s">
        <v>70</v>
      </c>
      <c r="AS2" s="49" t="s">
        <v>71</v>
      </c>
      <c r="AT2" s="49" t="s">
        <v>137</v>
      </c>
      <c r="AU2" s="47">
        <v>9</v>
      </c>
      <c r="AV2" s="48">
        <v>45673</v>
      </c>
      <c r="AW2" s="51">
        <v>0.5</v>
      </c>
      <c r="AX2" s="48">
        <v>45673</v>
      </c>
      <c r="AY2" s="51">
        <v>0.75</v>
      </c>
      <c r="AZ2" s="48">
        <v>45673</v>
      </c>
      <c r="BA2" s="51">
        <v>0.81587962962962968</v>
      </c>
      <c r="BB2" s="47">
        <v>2025</v>
      </c>
      <c r="BC2" s="52">
        <v>3</v>
      </c>
      <c r="BD2" s="52">
        <v>3</v>
      </c>
      <c r="BE2" s="52">
        <v>16</v>
      </c>
      <c r="BF2" s="53">
        <v>16</v>
      </c>
      <c r="BG2" s="54">
        <v>45673.5</v>
      </c>
      <c r="BH2" s="47">
        <v>30</v>
      </c>
      <c r="BI2" t="s">
        <v>135</v>
      </c>
      <c r="BJ2" s="49"/>
      <c r="BK2" s="49" t="s">
        <v>138</v>
      </c>
      <c r="BL2" s="49" t="s">
        <v>139</v>
      </c>
      <c r="BM2" s="47" t="s">
        <v>512</v>
      </c>
      <c r="BN2" s="49" t="s">
        <v>76</v>
      </c>
      <c r="CJ2" s="61" t="s">
        <v>35</v>
      </c>
      <c r="CK2" s="84">
        <v>45748</v>
      </c>
    </row>
    <row r="3" spans="1:89" ht="18.75" x14ac:dyDescent="0.3">
      <c r="H3" s="41"/>
      <c r="I3" s="41"/>
      <c r="J3" s="41"/>
      <c r="K3" s="41"/>
      <c r="L3" s="41"/>
      <c r="M3" t="s">
        <v>140</v>
      </c>
      <c r="N3" s="1">
        <v>45682</v>
      </c>
      <c r="O3" t="s">
        <v>141</v>
      </c>
      <c r="P3" s="32">
        <v>0.45833333333333331</v>
      </c>
      <c r="Q3" s="32">
        <v>0.45833333333333331</v>
      </c>
      <c r="R3" t="s">
        <v>455</v>
      </c>
      <c r="S3" t="s">
        <v>55</v>
      </c>
      <c r="T3" t="s">
        <v>142</v>
      </c>
      <c r="U3" t="s">
        <v>143</v>
      </c>
      <c r="V3" t="s">
        <v>132</v>
      </c>
      <c r="W3" t="s">
        <v>132</v>
      </c>
      <c r="X3" t="s">
        <v>59</v>
      </c>
      <c r="Y3" t="s">
        <v>59</v>
      </c>
      <c r="Z3" t="s">
        <v>144</v>
      </c>
      <c r="AA3" t="s">
        <v>145</v>
      </c>
      <c r="AB3">
        <v>5</v>
      </c>
      <c r="AC3" s="49" t="s">
        <v>146</v>
      </c>
      <c r="AD3" s="47"/>
      <c r="AE3" s="47"/>
      <c r="AF3" s="47"/>
      <c r="AG3" s="47"/>
      <c r="AH3" s="47"/>
      <c r="AI3" s="47"/>
      <c r="AJ3" s="47"/>
      <c r="AK3" s="47"/>
      <c r="AL3" s="47"/>
      <c r="AM3" s="47"/>
      <c r="AN3" s="49" t="s">
        <v>88</v>
      </c>
      <c r="AO3" s="49" t="s">
        <v>67</v>
      </c>
      <c r="AP3" s="49" t="s">
        <v>147</v>
      </c>
      <c r="AQ3" s="47" t="s">
        <v>90</v>
      </c>
      <c r="AR3" s="49" t="s">
        <v>70</v>
      </c>
      <c r="AS3" s="49" t="s">
        <v>123</v>
      </c>
      <c r="AT3" s="49" t="s">
        <v>137</v>
      </c>
      <c r="AU3" s="47">
        <v>9</v>
      </c>
      <c r="AV3" s="48">
        <v>45682</v>
      </c>
      <c r="AW3" s="51">
        <v>0.45833333333333331</v>
      </c>
      <c r="AX3" s="48">
        <v>45682</v>
      </c>
      <c r="AY3" s="51">
        <v>0.58333333333333337</v>
      </c>
      <c r="AZ3" s="48">
        <v>45682</v>
      </c>
      <c r="BA3" s="51">
        <v>0.58054398148148145</v>
      </c>
      <c r="BB3" s="47">
        <v>2025</v>
      </c>
      <c r="BC3" s="52">
        <v>4</v>
      </c>
      <c r="BD3" s="52">
        <v>4</v>
      </c>
      <c r="BE3" s="52">
        <v>25</v>
      </c>
      <c r="BF3" s="53">
        <v>25</v>
      </c>
      <c r="BG3" s="54">
        <v>45682.458333333336</v>
      </c>
      <c r="BH3" s="47">
        <v>60</v>
      </c>
      <c r="BI3" t="s">
        <v>146</v>
      </c>
      <c r="BJ3" s="49"/>
      <c r="BK3" s="49" t="s">
        <v>148</v>
      </c>
      <c r="BL3" s="49" t="s">
        <v>149</v>
      </c>
      <c r="BM3" s="47" t="s">
        <v>511</v>
      </c>
      <c r="BN3" s="49" t="s">
        <v>150</v>
      </c>
      <c r="CJ3" s="85" t="s">
        <v>649</v>
      </c>
      <c r="CK3" s="86" t="s">
        <v>451</v>
      </c>
    </row>
    <row r="4" spans="1:89" ht="18.75" x14ac:dyDescent="0.3">
      <c r="A4" s="105" t="s">
        <v>128</v>
      </c>
      <c r="B4" s="105" t="s">
        <v>5</v>
      </c>
      <c r="H4" s="41"/>
      <c r="I4"/>
      <c r="J4"/>
      <c r="K4"/>
      <c r="L4"/>
      <c r="M4" t="s">
        <v>151</v>
      </c>
      <c r="N4" s="1">
        <v>45688</v>
      </c>
      <c r="O4" t="s">
        <v>141</v>
      </c>
      <c r="P4" s="32">
        <v>0.45833333333333331</v>
      </c>
      <c r="Q4" s="32">
        <v>0.49988425925925928</v>
      </c>
      <c r="R4" t="s">
        <v>454</v>
      </c>
      <c r="S4" t="s">
        <v>55</v>
      </c>
      <c r="T4" t="s">
        <v>152</v>
      </c>
      <c r="U4" t="s">
        <v>153</v>
      </c>
      <c r="V4" t="s">
        <v>132</v>
      </c>
      <c r="W4" t="s">
        <v>132</v>
      </c>
      <c r="X4" t="s">
        <v>59</v>
      </c>
      <c r="Y4" t="s">
        <v>59</v>
      </c>
      <c r="Z4" t="s">
        <v>154</v>
      </c>
      <c r="AA4" t="s">
        <v>155</v>
      </c>
      <c r="AB4">
        <v>8</v>
      </c>
      <c r="AC4" s="49" t="s">
        <v>156</v>
      </c>
      <c r="AD4" s="47"/>
      <c r="AE4" s="47"/>
      <c r="AF4" s="47"/>
      <c r="AG4" s="47"/>
      <c r="AH4" s="47"/>
      <c r="AI4" s="47"/>
      <c r="AJ4" s="47"/>
      <c r="AK4" s="47"/>
      <c r="AL4" s="47"/>
      <c r="AM4" s="47"/>
      <c r="AN4" s="49" t="s">
        <v>157</v>
      </c>
      <c r="AO4" s="49" t="s">
        <v>67</v>
      </c>
      <c r="AP4" s="49" t="s">
        <v>158</v>
      </c>
      <c r="AQ4" s="47" t="s">
        <v>159</v>
      </c>
      <c r="AR4" s="49" t="s">
        <v>160</v>
      </c>
      <c r="AS4" s="49" t="s">
        <v>71</v>
      </c>
      <c r="AT4" s="49" t="s">
        <v>137</v>
      </c>
      <c r="AU4" s="47">
        <v>9</v>
      </c>
      <c r="AV4" s="48">
        <v>45688</v>
      </c>
      <c r="AW4" s="51">
        <v>0.49988425925925928</v>
      </c>
      <c r="AX4" s="48"/>
      <c r="AY4" s="51"/>
      <c r="AZ4" s="48">
        <v>45688</v>
      </c>
      <c r="BA4" s="51">
        <v>0.49988425925925928</v>
      </c>
      <c r="BB4" s="47">
        <v>2025</v>
      </c>
      <c r="BC4" s="52">
        <v>5</v>
      </c>
      <c r="BD4" s="52">
        <v>5</v>
      </c>
      <c r="BE4" s="52">
        <v>31</v>
      </c>
      <c r="BF4" s="53">
        <v>31</v>
      </c>
      <c r="BG4" s="54">
        <v>45688.499305555553</v>
      </c>
      <c r="BH4" s="47">
        <v>292</v>
      </c>
      <c r="BI4" t="s">
        <v>156</v>
      </c>
      <c r="BJ4" s="49"/>
      <c r="BK4" s="49" t="s">
        <v>59</v>
      </c>
      <c r="BL4" s="49" t="s">
        <v>59</v>
      </c>
      <c r="BM4" s="47" t="s">
        <v>510</v>
      </c>
      <c r="BN4" s="49" t="s">
        <v>150</v>
      </c>
      <c r="CJ4" s="61" t="s">
        <v>650</v>
      </c>
      <c r="CK4" s="87" t="s">
        <v>76</v>
      </c>
    </row>
    <row r="5" spans="1:89" ht="18.75" x14ac:dyDescent="0.3">
      <c r="A5" s="81" t="s">
        <v>449</v>
      </c>
      <c r="B5" s="7" t="s">
        <v>450</v>
      </c>
      <c r="C5" s="10" t="s">
        <v>451</v>
      </c>
      <c r="D5" s="10" t="s">
        <v>452</v>
      </c>
      <c r="E5" s="10" t="s">
        <v>536</v>
      </c>
      <c r="F5" s="10" t="s">
        <v>454</v>
      </c>
      <c r="G5" s="10" t="s">
        <v>455</v>
      </c>
      <c r="H5" s="41"/>
      <c r="I5"/>
      <c r="J5"/>
      <c r="K5"/>
      <c r="L5"/>
      <c r="M5" t="s">
        <v>161</v>
      </c>
      <c r="N5" s="1">
        <v>45693</v>
      </c>
      <c r="O5" t="s">
        <v>162</v>
      </c>
      <c r="P5" s="32">
        <v>8.3333333333333329E-2</v>
      </c>
      <c r="Q5" s="32">
        <v>0.12291666666666666</v>
      </c>
      <c r="R5" t="s">
        <v>452</v>
      </c>
      <c r="S5" t="s">
        <v>111</v>
      </c>
      <c r="T5" t="s">
        <v>163</v>
      </c>
      <c r="U5" t="s">
        <v>164</v>
      </c>
      <c r="V5" t="s">
        <v>166</v>
      </c>
      <c r="W5" t="s">
        <v>165</v>
      </c>
      <c r="X5" t="s">
        <v>167</v>
      </c>
      <c r="Y5" t="s">
        <v>59</v>
      </c>
      <c r="Z5" t="s">
        <v>168</v>
      </c>
      <c r="AA5" t="s">
        <v>155</v>
      </c>
      <c r="AB5">
        <v>8</v>
      </c>
      <c r="AC5" s="49" t="s">
        <v>169</v>
      </c>
      <c r="AD5" s="47"/>
      <c r="AE5" s="47"/>
      <c r="AF5" s="47"/>
      <c r="AG5" s="47"/>
      <c r="AH5" s="47"/>
      <c r="AI5" s="47"/>
      <c r="AJ5" s="47"/>
      <c r="AK5" s="47"/>
      <c r="AL5" s="47"/>
      <c r="AM5" s="47"/>
      <c r="AN5" s="49" t="s">
        <v>119</v>
      </c>
      <c r="AO5" s="49" t="s">
        <v>67</v>
      </c>
      <c r="AP5" s="49" t="s">
        <v>170</v>
      </c>
      <c r="AQ5" s="47" t="s">
        <v>90</v>
      </c>
      <c r="AR5" s="49" t="s">
        <v>171</v>
      </c>
      <c r="AS5" s="49" t="s">
        <v>123</v>
      </c>
      <c r="AT5" s="49" t="s">
        <v>137</v>
      </c>
      <c r="AU5" s="47">
        <v>9</v>
      </c>
      <c r="AV5" s="48">
        <v>45693</v>
      </c>
      <c r="AW5" s="51">
        <v>0.12291666666666666</v>
      </c>
      <c r="AX5" s="48"/>
      <c r="AY5" s="51"/>
      <c r="AZ5" s="48">
        <v>45693</v>
      </c>
      <c r="BA5" s="51">
        <v>0.1233912037037037</v>
      </c>
      <c r="BB5" s="47">
        <v>2025</v>
      </c>
      <c r="BC5" s="52">
        <v>6</v>
      </c>
      <c r="BD5" s="52">
        <v>2</v>
      </c>
      <c r="BE5" s="52">
        <v>5</v>
      </c>
      <c r="BF5" s="53">
        <v>36</v>
      </c>
      <c r="BG5" s="54">
        <v>45693.122916666667</v>
      </c>
      <c r="BH5" s="47">
        <v>441</v>
      </c>
      <c r="BI5" t="s">
        <v>169</v>
      </c>
      <c r="BJ5" s="49"/>
      <c r="BK5" s="49" t="s">
        <v>59</v>
      </c>
      <c r="BL5" s="49" t="s">
        <v>59</v>
      </c>
      <c r="BM5" s="47" t="s">
        <v>509</v>
      </c>
      <c r="BN5" s="49" t="s">
        <v>172</v>
      </c>
      <c r="CJ5" s="85" t="s">
        <v>662</v>
      </c>
      <c r="CK5" s="88" t="s">
        <v>734</v>
      </c>
    </row>
    <row r="6" spans="1:89" ht="18.75" x14ac:dyDescent="0.3">
      <c r="A6" s="6" t="s">
        <v>76</v>
      </c>
      <c r="B6" s="6">
        <v>2</v>
      </c>
      <c r="C6" s="6">
        <v>1</v>
      </c>
      <c r="E6" s="6">
        <v>1</v>
      </c>
      <c r="H6" s="41"/>
      <c r="I6"/>
      <c r="J6"/>
      <c r="K6"/>
      <c r="L6"/>
      <c r="M6" t="s">
        <v>173</v>
      </c>
      <c r="N6" s="1">
        <v>45705</v>
      </c>
      <c r="O6" t="s">
        <v>54</v>
      </c>
      <c r="P6" s="32">
        <v>0.5</v>
      </c>
      <c r="Q6" s="32">
        <v>0.52497685185185183</v>
      </c>
      <c r="R6" t="s">
        <v>450</v>
      </c>
      <c r="S6" t="s">
        <v>111</v>
      </c>
      <c r="T6" t="s">
        <v>98</v>
      </c>
      <c r="U6" t="s">
        <v>174</v>
      </c>
      <c r="V6" t="s">
        <v>175</v>
      </c>
      <c r="W6" t="s">
        <v>165</v>
      </c>
      <c r="X6" t="s">
        <v>176</v>
      </c>
      <c r="Y6" t="s">
        <v>59</v>
      </c>
      <c r="Z6" t="s">
        <v>177</v>
      </c>
      <c r="AA6" t="s">
        <v>178</v>
      </c>
      <c r="AB6">
        <v>9</v>
      </c>
      <c r="AC6" s="49" t="s">
        <v>179</v>
      </c>
      <c r="AD6" s="47"/>
      <c r="AE6" s="47"/>
      <c r="AF6" s="47"/>
      <c r="AG6" s="47"/>
      <c r="AH6" s="47"/>
      <c r="AI6" s="47"/>
      <c r="AJ6" s="47"/>
      <c r="AK6" s="47"/>
      <c r="AL6" s="47"/>
      <c r="AM6" s="47"/>
      <c r="AN6" s="49" t="s">
        <v>66</v>
      </c>
      <c r="AO6" s="49" t="s">
        <v>67</v>
      </c>
      <c r="AP6" s="49" t="s">
        <v>68</v>
      </c>
      <c r="AQ6" s="47" t="s">
        <v>69</v>
      </c>
      <c r="AR6" s="49" t="s">
        <v>180</v>
      </c>
      <c r="AS6" s="49" t="s">
        <v>181</v>
      </c>
      <c r="AT6" s="49" t="s">
        <v>137</v>
      </c>
      <c r="AU6" s="47">
        <v>9</v>
      </c>
      <c r="AV6" s="48">
        <v>45705</v>
      </c>
      <c r="AW6" s="51">
        <v>0.52497685185185183</v>
      </c>
      <c r="AX6" s="48"/>
      <c r="AY6" s="51"/>
      <c r="AZ6" s="48">
        <v>45705</v>
      </c>
      <c r="BA6" s="51">
        <v>0.52497685185185183</v>
      </c>
      <c r="BB6" s="47">
        <v>2025</v>
      </c>
      <c r="BC6" s="52">
        <v>8</v>
      </c>
      <c r="BD6" s="52">
        <v>4</v>
      </c>
      <c r="BE6" s="52">
        <v>17</v>
      </c>
      <c r="BF6" s="53">
        <v>48</v>
      </c>
      <c r="BG6" s="54">
        <v>45705.524305555555</v>
      </c>
      <c r="BH6" s="47">
        <v>35</v>
      </c>
      <c r="BI6" t="s">
        <v>179</v>
      </c>
      <c r="BJ6" s="49"/>
      <c r="BK6" s="49" t="s">
        <v>182</v>
      </c>
      <c r="BL6" s="49" t="s">
        <v>183</v>
      </c>
      <c r="BM6" s="47" t="s">
        <v>508</v>
      </c>
      <c r="BN6" s="49" t="s">
        <v>76</v>
      </c>
      <c r="CJ6" s="61" t="s">
        <v>653</v>
      </c>
      <c r="CK6" s="87" t="s">
        <v>572</v>
      </c>
    </row>
    <row r="7" spans="1:89" ht="18.75" x14ac:dyDescent="0.3">
      <c r="A7" s="6" t="s">
        <v>172</v>
      </c>
      <c r="B7" s="6">
        <v>1</v>
      </c>
      <c r="D7" s="6">
        <v>1</v>
      </c>
      <c r="H7" s="41"/>
      <c r="I7"/>
      <c r="J7"/>
      <c r="K7"/>
      <c r="L7"/>
      <c r="M7" t="s">
        <v>529</v>
      </c>
      <c r="N7" s="1">
        <v>45726</v>
      </c>
      <c r="O7" t="s">
        <v>162</v>
      </c>
      <c r="P7" s="32">
        <v>4.1666666666666664E-2</v>
      </c>
      <c r="Q7" s="32">
        <v>4.6527777777777779E-2</v>
      </c>
      <c r="R7" t="s">
        <v>450</v>
      </c>
      <c r="S7" t="s">
        <v>461</v>
      </c>
      <c r="T7" t="s">
        <v>530</v>
      </c>
      <c r="U7" t="s">
        <v>531</v>
      </c>
      <c r="V7" t="s">
        <v>132</v>
      </c>
      <c r="W7" t="s">
        <v>132</v>
      </c>
      <c r="X7" t="s">
        <v>59</v>
      </c>
      <c r="Y7" t="s">
        <v>59</v>
      </c>
      <c r="Z7" t="s">
        <v>532</v>
      </c>
      <c r="AA7" t="s">
        <v>283</v>
      </c>
      <c r="AB7">
        <v>8</v>
      </c>
      <c r="AC7" s="49" t="s">
        <v>533</v>
      </c>
      <c r="AD7" s="47"/>
      <c r="AE7" s="47"/>
      <c r="AF7" s="47"/>
      <c r="AG7" s="47"/>
      <c r="AH7" s="47"/>
      <c r="AI7" s="47"/>
      <c r="AJ7" s="47"/>
      <c r="AK7" s="47"/>
      <c r="AL7" s="47"/>
      <c r="AM7" s="47"/>
      <c r="AN7" s="49" t="s">
        <v>534</v>
      </c>
      <c r="AO7" s="49" t="s">
        <v>67</v>
      </c>
      <c r="AP7" s="49" t="s">
        <v>219</v>
      </c>
      <c r="AQ7" s="47" t="s">
        <v>159</v>
      </c>
      <c r="AR7" s="49" t="s">
        <v>106</v>
      </c>
      <c r="AS7" s="49" t="s">
        <v>123</v>
      </c>
      <c r="AT7" s="49" t="s">
        <v>137</v>
      </c>
      <c r="AU7" s="47">
        <v>9</v>
      </c>
      <c r="AV7" s="48">
        <v>45726</v>
      </c>
      <c r="AW7" s="51">
        <v>4.6527777777777779E-2</v>
      </c>
      <c r="AX7" s="48">
        <v>45726</v>
      </c>
      <c r="AY7" s="51">
        <v>0.16180555555555556</v>
      </c>
      <c r="AZ7" s="48">
        <v>45727</v>
      </c>
      <c r="BA7" s="51">
        <v>0.44234953703703705</v>
      </c>
      <c r="BB7" s="47">
        <v>2025</v>
      </c>
      <c r="BC7" s="52">
        <v>11</v>
      </c>
      <c r="BD7" s="52">
        <v>3</v>
      </c>
      <c r="BE7" s="52">
        <v>10</v>
      </c>
      <c r="BF7" s="53">
        <v>69</v>
      </c>
      <c r="BG7" s="54">
        <v>45726.046527777777</v>
      </c>
      <c r="BH7" s="47">
        <v>1</v>
      </c>
      <c r="BI7" t="s">
        <v>533</v>
      </c>
      <c r="BJ7" s="49"/>
      <c r="BK7" s="49" t="s">
        <v>535</v>
      </c>
      <c r="BL7" s="49" t="s">
        <v>59</v>
      </c>
      <c r="BM7" s="47" t="s">
        <v>505</v>
      </c>
      <c r="BN7" s="49" t="s">
        <v>172</v>
      </c>
      <c r="CJ7" s="85" t="s">
        <v>663</v>
      </c>
      <c r="CK7" s="88" t="s">
        <v>572</v>
      </c>
    </row>
    <row r="8" spans="1:89" ht="18.75" x14ac:dyDescent="0.3">
      <c r="A8" s="6" t="s">
        <v>150</v>
      </c>
      <c r="F8" s="6">
        <v>1</v>
      </c>
      <c r="G8" s="6">
        <v>1</v>
      </c>
      <c r="H8" s="41"/>
      <c r="I8" s="38"/>
      <c r="J8" s="38"/>
      <c r="K8" s="38"/>
      <c r="L8" s="38"/>
      <c r="M8" t="s">
        <v>573</v>
      </c>
      <c r="N8" s="1">
        <v>45743</v>
      </c>
      <c r="O8" t="s">
        <v>97</v>
      </c>
      <c r="P8" s="32">
        <v>0.91666666666666663</v>
      </c>
      <c r="Q8" s="32">
        <v>0.94666666666666666</v>
      </c>
      <c r="R8" t="s">
        <v>536</v>
      </c>
      <c r="S8" t="s">
        <v>461</v>
      </c>
      <c r="T8" t="s">
        <v>485</v>
      </c>
      <c r="U8" t="s">
        <v>574</v>
      </c>
      <c r="V8" t="s">
        <v>575</v>
      </c>
      <c r="W8" t="s">
        <v>165</v>
      </c>
      <c r="X8" t="s">
        <v>576</v>
      </c>
      <c r="Y8" t="s">
        <v>360</v>
      </c>
      <c r="Z8" t="s">
        <v>577</v>
      </c>
      <c r="AA8" t="s">
        <v>261</v>
      </c>
      <c r="AB8">
        <v>6</v>
      </c>
      <c r="AC8" s="49" t="s">
        <v>578</v>
      </c>
      <c r="AD8" s="47"/>
      <c r="AE8" s="47"/>
      <c r="AF8" s="47"/>
      <c r="AG8" s="47"/>
      <c r="AH8" s="47"/>
      <c r="AI8" s="47"/>
      <c r="AJ8" s="47"/>
      <c r="AK8" s="47"/>
      <c r="AL8" s="47"/>
      <c r="AM8" s="47"/>
      <c r="AN8" s="49" t="s">
        <v>416</v>
      </c>
      <c r="AO8" s="49" t="s">
        <v>67</v>
      </c>
      <c r="AP8" s="49" t="s">
        <v>579</v>
      </c>
      <c r="AQ8" s="47" t="s">
        <v>121</v>
      </c>
      <c r="AR8" s="49" t="s">
        <v>378</v>
      </c>
      <c r="AS8" s="49" t="s">
        <v>123</v>
      </c>
      <c r="AT8" s="49"/>
      <c r="AU8" s="47">
        <v>9</v>
      </c>
      <c r="AV8" s="48">
        <v>45743</v>
      </c>
      <c r="AW8" s="51">
        <v>0.94666666666666666</v>
      </c>
      <c r="AX8" s="48"/>
      <c r="AY8" s="51"/>
      <c r="AZ8" s="48">
        <v>45743</v>
      </c>
      <c r="BA8" s="51">
        <v>0.94666666666666666</v>
      </c>
      <c r="BB8" s="47">
        <v>2025</v>
      </c>
      <c r="BC8" s="52">
        <v>13</v>
      </c>
      <c r="BD8" s="52">
        <v>5</v>
      </c>
      <c r="BE8" s="52">
        <v>27</v>
      </c>
      <c r="BF8" s="53">
        <v>86</v>
      </c>
      <c r="BG8" s="54">
        <v>45743.946527777778</v>
      </c>
      <c r="BH8" s="47">
        <v>211</v>
      </c>
      <c r="BI8" t="s">
        <v>578</v>
      </c>
      <c r="BJ8" s="49"/>
      <c r="BK8" s="49" t="s">
        <v>59</v>
      </c>
      <c r="BL8" s="49" t="s">
        <v>580</v>
      </c>
      <c r="BM8" s="47" t="s">
        <v>581</v>
      </c>
      <c r="BN8" s="49" t="s">
        <v>109</v>
      </c>
      <c r="CJ8" s="61" t="s">
        <v>664</v>
      </c>
      <c r="CK8" s="87" t="s">
        <v>735</v>
      </c>
    </row>
    <row r="9" spans="1:89" ht="18.75" x14ac:dyDescent="0.3">
      <c r="A9" s="6" t="s">
        <v>109</v>
      </c>
      <c r="E9" s="6">
        <v>2</v>
      </c>
      <c r="H9" s="41"/>
      <c r="I9" s="41"/>
      <c r="J9" s="41"/>
      <c r="K9" s="41"/>
      <c r="L9" s="41"/>
      <c r="M9" t="s">
        <v>582</v>
      </c>
      <c r="N9" s="1">
        <v>45743</v>
      </c>
      <c r="O9" t="s">
        <v>97</v>
      </c>
      <c r="P9" s="32">
        <v>0.95833333333333337</v>
      </c>
      <c r="Q9" s="32">
        <v>0.97916666666666663</v>
      </c>
      <c r="R9" t="s">
        <v>536</v>
      </c>
      <c r="S9" t="s">
        <v>461</v>
      </c>
      <c r="T9" t="s">
        <v>530</v>
      </c>
      <c r="U9" t="s">
        <v>583</v>
      </c>
      <c r="V9" t="s">
        <v>132</v>
      </c>
      <c r="W9" t="s">
        <v>132</v>
      </c>
      <c r="X9" t="s">
        <v>59</v>
      </c>
      <c r="Y9" t="s">
        <v>59</v>
      </c>
      <c r="Z9" t="s">
        <v>584</v>
      </c>
      <c r="AA9" t="s">
        <v>283</v>
      </c>
      <c r="AB9">
        <v>8</v>
      </c>
      <c r="AC9" s="49" t="s">
        <v>585</v>
      </c>
      <c r="AD9" s="47">
        <v>50300</v>
      </c>
      <c r="AE9" s="47"/>
      <c r="AF9" s="47"/>
      <c r="AG9" s="47"/>
      <c r="AH9" s="47"/>
      <c r="AI9" s="47"/>
      <c r="AJ9" s="47"/>
      <c r="AK9" s="47"/>
      <c r="AL9" s="47"/>
      <c r="AM9" s="47"/>
      <c r="AN9" s="49" t="s">
        <v>157</v>
      </c>
      <c r="AO9" s="49" t="s">
        <v>67</v>
      </c>
      <c r="AP9" s="49" t="s">
        <v>480</v>
      </c>
      <c r="AQ9" s="47" t="s">
        <v>351</v>
      </c>
      <c r="AR9" s="49" t="s">
        <v>586</v>
      </c>
      <c r="AS9" s="49" t="s">
        <v>123</v>
      </c>
      <c r="AT9" s="49"/>
      <c r="AU9" s="47">
        <v>9</v>
      </c>
      <c r="AV9" s="48">
        <v>45743</v>
      </c>
      <c r="AW9" s="51">
        <v>0.97916666666666663</v>
      </c>
      <c r="AX9" s="48">
        <v>45744</v>
      </c>
      <c r="AY9" s="51">
        <v>2.5000000000000001E-2</v>
      </c>
      <c r="AZ9" s="48">
        <v>45744</v>
      </c>
      <c r="BA9" s="51">
        <v>0.46781250000000002</v>
      </c>
      <c r="BB9" s="47">
        <v>2025</v>
      </c>
      <c r="BC9" s="52">
        <v>13</v>
      </c>
      <c r="BD9" s="52">
        <v>5</v>
      </c>
      <c r="BE9" s="52">
        <v>27</v>
      </c>
      <c r="BF9" s="53">
        <v>86</v>
      </c>
      <c r="BG9" s="54">
        <v>45743.979166666664</v>
      </c>
      <c r="BH9" s="47">
        <v>2</v>
      </c>
      <c r="BI9" t="s">
        <v>585</v>
      </c>
      <c r="BJ9" s="49"/>
      <c r="BK9" s="49" t="s">
        <v>587</v>
      </c>
      <c r="BL9" s="49" t="s">
        <v>588</v>
      </c>
      <c r="BM9" s="47" t="s">
        <v>581</v>
      </c>
      <c r="BN9" s="49" t="s">
        <v>109</v>
      </c>
      <c r="CJ9" s="85" t="s">
        <v>655</v>
      </c>
      <c r="CK9" s="88" t="s">
        <v>572</v>
      </c>
    </row>
    <row r="10" spans="1:89" ht="18.75" x14ac:dyDescent="0.3">
      <c r="A10"/>
      <c r="B10"/>
      <c r="C10"/>
      <c r="D10"/>
      <c r="E10"/>
      <c r="F10"/>
      <c r="G10"/>
      <c r="H10" s="41"/>
      <c r="I10" s="41"/>
      <c r="J10" s="41"/>
      <c r="K10" s="41"/>
      <c r="L10" s="41"/>
      <c r="M10" t="s">
        <v>589</v>
      </c>
      <c r="N10" s="1">
        <v>45747</v>
      </c>
      <c r="O10" t="s">
        <v>54</v>
      </c>
      <c r="P10" s="32">
        <v>0.5</v>
      </c>
      <c r="Q10" s="32">
        <v>0.5</v>
      </c>
      <c r="R10" t="s">
        <v>450</v>
      </c>
      <c r="S10" t="s">
        <v>461</v>
      </c>
      <c r="T10" t="s">
        <v>257</v>
      </c>
      <c r="U10" t="s">
        <v>590</v>
      </c>
      <c r="V10" t="s">
        <v>132</v>
      </c>
      <c r="W10" t="s">
        <v>132</v>
      </c>
      <c r="X10" t="s">
        <v>59</v>
      </c>
      <c r="Y10" t="s">
        <v>59</v>
      </c>
      <c r="Z10" t="s">
        <v>591</v>
      </c>
      <c r="AA10" t="s">
        <v>592</v>
      </c>
      <c r="AB10">
        <v>7</v>
      </c>
      <c r="AC10" s="49" t="s">
        <v>593</v>
      </c>
      <c r="AD10" s="47"/>
      <c r="AE10" s="47"/>
      <c r="AF10" s="47"/>
      <c r="AG10" s="47"/>
      <c r="AH10" s="47"/>
      <c r="AI10" s="47"/>
      <c r="AJ10" s="47"/>
      <c r="AK10" s="47"/>
      <c r="AL10" s="47"/>
      <c r="AM10" s="47"/>
      <c r="AN10" s="49" t="s">
        <v>568</v>
      </c>
      <c r="AO10" s="49" t="s">
        <v>67</v>
      </c>
      <c r="AP10" s="49" t="s">
        <v>594</v>
      </c>
      <c r="AQ10" s="47" t="s">
        <v>90</v>
      </c>
      <c r="AR10" s="49"/>
      <c r="AS10" s="49"/>
      <c r="AT10" s="49"/>
      <c r="AU10" s="47">
        <v>9</v>
      </c>
      <c r="AV10" s="48">
        <v>45747</v>
      </c>
      <c r="AW10" s="51">
        <v>0.5</v>
      </c>
      <c r="AX10" s="48"/>
      <c r="AY10" s="51"/>
      <c r="AZ10" s="48">
        <v>45747</v>
      </c>
      <c r="BA10" s="51">
        <v>0.54355324074074074</v>
      </c>
      <c r="BB10" s="47">
        <v>2025</v>
      </c>
      <c r="BC10" s="52">
        <v>14</v>
      </c>
      <c r="BD10" s="52">
        <v>6</v>
      </c>
      <c r="BE10" s="52">
        <v>31</v>
      </c>
      <c r="BF10" s="53">
        <v>90</v>
      </c>
      <c r="BG10" s="54">
        <v>45747.5</v>
      </c>
      <c r="BH10" s="47">
        <v>100</v>
      </c>
      <c r="BI10" t="s">
        <v>593</v>
      </c>
      <c r="BJ10" s="49"/>
      <c r="BK10" s="49" t="s">
        <v>595</v>
      </c>
      <c r="BL10" s="49" t="s">
        <v>596</v>
      </c>
      <c r="BM10" s="47" t="s">
        <v>581</v>
      </c>
      <c r="BN10" s="49" t="s">
        <v>76</v>
      </c>
      <c r="CJ10" s="61" t="s">
        <v>656</v>
      </c>
      <c r="CK10" s="87" t="s">
        <v>572</v>
      </c>
    </row>
    <row r="11" spans="1:89" ht="18.75" x14ac:dyDescent="0.25">
      <c r="A11"/>
      <c r="B11"/>
      <c r="C11"/>
      <c r="D11"/>
      <c r="E11"/>
      <c r="F11"/>
      <c r="G11"/>
      <c r="H11"/>
      <c r="M11" t="s">
        <v>597</v>
      </c>
      <c r="N11" s="1">
        <v>45748</v>
      </c>
      <c r="O11" t="s">
        <v>54</v>
      </c>
      <c r="P11" s="32">
        <v>0.5</v>
      </c>
      <c r="Q11" s="32">
        <v>0.5</v>
      </c>
      <c r="R11" t="s">
        <v>451</v>
      </c>
      <c r="S11" t="s">
        <v>598</v>
      </c>
      <c r="T11" t="s">
        <v>599</v>
      </c>
      <c r="U11" t="s">
        <v>600</v>
      </c>
      <c r="V11" t="s">
        <v>132</v>
      </c>
      <c r="W11" t="s">
        <v>132</v>
      </c>
      <c r="X11" t="s">
        <v>59</v>
      </c>
      <c r="Y11" t="s">
        <v>59</v>
      </c>
      <c r="Z11" t="s">
        <v>601</v>
      </c>
      <c r="AA11" t="s">
        <v>145</v>
      </c>
      <c r="AB11">
        <v>5</v>
      </c>
      <c r="AC11" s="49" t="s">
        <v>602</v>
      </c>
      <c r="AD11" s="47"/>
      <c r="AE11" s="47"/>
      <c r="AF11" s="47"/>
      <c r="AG11" s="47"/>
      <c r="AH11" s="47"/>
      <c r="AI11" s="47"/>
      <c r="AJ11" s="47"/>
      <c r="AK11" s="47"/>
      <c r="AL11" s="47"/>
      <c r="AM11" s="47"/>
      <c r="AN11" s="49" t="s">
        <v>157</v>
      </c>
      <c r="AO11" s="49" t="s">
        <v>67</v>
      </c>
      <c r="AP11" s="49" t="s">
        <v>603</v>
      </c>
      <c r="AQ11" s="47" t="s">
        <v>206</v>
      </c>
      <c r="AR11" s="49" t="s">
        <v>524</v>
      </c>
      <c r="AS11" s="49" t="s">
        <v>123</v>
      </c>
      <c r="AT11" s="49"/>
      <c r="AU11" s="47">
        <v>9</v>
      </c>
      <c r="AV11" s="48">
        <v>45748</v>
      </c>
      <c r="AW11" s="51">
        <v>0.5</v>
      </c>
      <c r="AX11" s="48">
        <v>45751</v>
      </c>
      <c r="AY11" s="51">
        <v>0.52083333333333337</v>
      </c>
      <c r="AZ11" s="48">
        <v>45751</v>
      </c>
      <c r="BA11" s="51">
        <v>0.54546296296296293</v>
      </c>
      <c r="BB11" s="47">
        <v>2025</v>
      </c>
      <c r="BC11" s="52">
        <v>14</v>
      </c>
      <c r="BD11" s="52">
        <v>1</v>
      </c>
      <c r="BE11" s="52">
        <v>1</v>
      </c>
      <c r="BF11" s="53">
        <v>91</v>
      </c>
      <c r="BG11" s="54">
        <v>45748.5</v>
      </c>
      <c r="BH11" s="47">
        <v>75</v>
      </c>
      <c r="BI11" t="s">
        <v>602</v>
      </c>
      <c r="BJ11" s="49"/>
      <c r="BK11" s="49" t="s">
        <v>59</v>
      </c>
      <c r="BL11" s="49" t="s">
        <v>59</v>
      </c>
      <c r="BM11" s="47" t="s">
        <v>604</v>
      </c>
      <c r="BN11" s="49" t="s">
        <v>76</v>
      </c>
      <c r="CJ11" s="89" t="s">
        <v>657</v>
      </c>
      <c r="CK11" s="90" t="s">
        <v>736</v>
      </c>
    </row>
    <row r="12" spans="1:89" s="7" customFormat="1" ht="18.75" x14ac:dyDescent="0.3">
      <c r="A12"/>
      <c r="B12"/>
      <c r="C12"/>
      <c r="D12"/>
      <c r="E12"/>
      <c r="F12"/>
      <c r="G12"/>
      <c r="H12"/>
      <c r="M12" s="6"/>
      <c r="N12" s="6"/>
      <c r="O12" s="6"/>
      <c r="P12" s="49"/>
      <c r="Q12" s="6"/>
      <c r="R12" s="49"/>
      <c r="S12" s="49"/>
      <c r="T12" s="49"/>
      <c r="U12" s="49"/>
      <c r="V12" s="49"/>
      <c r="W12" s="49"/>
      <c r="X12" s="49"/>
      <c r="Y12" s="49"/>
      <c r="Z12" s="49"/>
      <c r="AA12" s="49"/>
      <c r="AB12" s="49"/>
      <c r="AC12" s="6"/>
      <c r="AD12" s="6"/>
      <c r="AE12" s="6"/>
      <c r="AF12" s="6"/>
      <c r="AG12" s="6"/>
      <c r="AH12" s="6"/>
      <c r="AI12" s="6"/>
      <c r="AJ12" s="6"/>
      <c r="AK12" s="6"/>
      <c r="AL12" s="6"/>
      <c r="AM12" s="6"/>
      <c r="AN12" s="6"/>
      <c r="AO12" s="6"/>
      <c r="AP12" s="6"/>
      <c r="AQ12" s="6"/>
      <c r="AR12" s="6"/>
      <c r="AS12" s="6"/>
      <c r="AT12" s="6"/>
      <c r="AU12" s="6"/>
      <c r="AV12" s="6"/>
      <c r="AW12" s="6"/>
      <c r="AX12" s="6"/>
      <c r="AY12" s="6"/>
      <c r="AZ12" s="6"/>
      <c r="BA12" s="6"/>
      <c r="BB12" s="6"/>
      <c r="BC12" s="6"/>
      <c r="BD12" s="6"/>
      <c r="BE12" s="6"/>
      <c r="BF12" s="6"/>
      <c r="BG12" s="6"/>
      <c r="BH12" s="6"/>
      <c r="BI12" s="6"/>
      <c r="BJ12" s="6"/>
      <c r="BK12" s="6"/>
      <c r="BL12" s="6"/>
      <c r="BM12" s="6"/>
      <c r="BN12" s="6"/>
      <c r="CJ12" s="61" t="s">
        <v>658</v>
      </c>
      <c r="CK12" s="106" t="s">
        <v>572</v>
      </c>
    </row>
    <row r="13" spans="1:89" s="8" customFormat="1" ht="18.75" x14ac:dyDescent="0.3">
      <c r="A13"/>
      <c r="B13"/>
      <c r="C13"/>
      <c r="D13"/>
      <c r="E13"/>
      <c r="F13"/>
      <c r="G13"/>
      <c r="H13"/>
      <c r="M13" s="6"/>
      <c r="N13" s="6"/>
      <c r="O13" s="6"/>
      <c r="P13" s="49"/>
      <c r="Q13" s="6"/>
      <c r="R13" s="49"/>
      <c r="S13" s="49"/>
      <c r="T13" s="49"/>
      <c r="U13" s="49"/>
      <c r="V13" s="49"/>
      <c r="W13" s="49"/>
      <c r="X13" s="49"/>
      <c r="Y13" s="49"/>
      <c r="Z13" s="49"/>
      <c r="AA13" s="49"/>
      <c r="AB13" s="49"/>
      <c r="AC13" s="6"/>
      <c r="AD13" s="6"/>
      <c r="AE13" s="6"/>
      <c r="AF13" s="6"/>
      <c r="AG13" s="6"/>
      <c r="AH13" s="6"/>
      <c r="AI13" s="6"/>
      <c r="AJ13" s="6"/>
      <c r="AK13" s="6"/>
      <c r="AL13" s="6"/>
      <c r="AM13" s="6"/>
      <c r="AN13" s="6"/>
      <c r="AO13" s="6"/>
      <c r="AP13" s="6"/>
      <c r="AQ13" s="6"/>
      <c r="AR13" s="6"/>
      <c r="AS13" s="6"/>
      <c r="AT13" s="6"/>
      <c r="AU13" s="6"/>
      <c r="AV13" s="6"/>
      <c r="AW13" s="6"/>
      <c r="AX13" s="6"/>
      <c r="AY13" s="6"/>
      <c r="AZ13" s="6"/>
      <c r="BA13" s="6"/>
      <c r="BB13" s="6"/>
      <c r="BC13" s="6"/>
      <c r="BD13" s="6"/>
      <c r="BE13" s="6"/>
      <c r="BF13" s="6"/>
      <c r="BG13" s="6"/>
      <c r="BH13" s="6"/>
      <c r="BI13" s="6"/>
      <c r="BJ13" s="6"/>
      <c r="BK13" s="6"/>
      <c r="BL13" s="6"/>
      <c r="BM13" s="6"/>
      <c r="BN13" s="6"/>
      <c r="CJ13" s="85" t="s">
        <v>660</v>
      </c>
      <c r="CK13" s="88" t="s">
        <v>665</v>
      </c>
    </row>
    <row r="14" spans="1:89" s="8" customFormat="1" ht="24.75" thickBot="1" x14ac:dyDescent="0.45">
      <c r="A14" s="192" t="s">
        <v>456</v>
      </c>
      <c r="B14" s="192"/>
      <c r="C14" s="192"/>
      <c r="D14" s="192"/>
      <c r="E14" s="192"/>
      <c r="F14" s="192"/>
      <c r="G14" s="192"/>
      <c r="H14" s="192"/>
      <c r="M14" s="6"/>
      <c r="N14" s="6"/>
      <c r="O14" s="6"/>
      <c r="P14" s="49"/>
      <c r="Q14" s="6"/>
      <c r="R14" s="49"/>
      <c r="S14" s="49"/>
      <c r="T14" s="49"/>
      <c r="U14" s="49"/>
      <c r="V14" s="49"/>
      <c r="W14" s="49"/>
      <c r="X14" s="49"/>
      <c r="Y14" s="49"/>
      <c r="Z14" s="49"/>
      <c r="AA14" s="49"/>
      <c r="AB14" s="49"/>
      <c r="AC14" s="6"/>
      <c r="AD14" s="6"/>
      <c r="AE14" s="6"/>
      <c r="AF14" s="6"/>
      <c r="AG14" s="6"/>
      <c r="AH14" s="6"/>
      <c r="AI14" s="6"/>
      <c r="AJ14" s="6"/>
      <c r="AK14" s="6"/>
      <c r="AL14" s="6"/>
      <c r="AM14" s="6"/>
      <c r="AN14" s="6"/>
      <c r="AO14" s="6"/>
      <c r="AP14" s="6"/>
      <c r="AQ14" s="6"/>
      <c r="AR14" s="6"/>
      <c r="AS14" s="6"/>
      <c r="AT14" s="6"/>
      <c r="AU14" s="6"/>
      <c r="AV14" s="6"/>
      <c r="AW14" s="6"/>
      <c r="AX14" s="6"/>
      <c r="AY14" s="6"/>
      <c r="AZ14" s="6"/>
      <c r="BA14" s="6"/>
      <c r="BB14" s="6"/>
      <c r="BC14" s="6"/>
      <c r="BD14" s="6"/>
      <c r="BE14" s="6"/>
      <c r="BF14" s="6"/>
      <c r="BG14" s="6"/>
      <c r="BH14" s="6"/>
      <c r="BI14" s="6"/>
      <c r="BJ14" s="6"/>
      <c r="BK14" s="6"/>
      <c r="BL14" s="6"/>
      <c r="BM14" s="6"/>
      <c r="BN14" s="6"/>
      <c r="CJ14" s="62" t="s">
        <v>459</v>
      </c>
      <c r="CK14" s="142" t="s">
        <v>737</v>
      </c>
    </row>
    <row r="15" spans="1:89" s="8" customFormat="1" ht="18.75" x14ac:dyDescent="0.3">
      <c r="A15" s="125" t="str" cm="1">
        <f t="array" ref="A15:G19">A5:G9</f>
        <v>Time of Day</v>
      </c>
      <c r="B15" s="126" t="str">
        <v>Mon</v>
      </c>
      <c r="C15" s="126" t="str">
        <v>Tue</v>
      </c>
      <c r="D15" s="125" t="str">
        <v>Wed</v>
      </c>
      <c r="E15" s="125" t="str">
        <v>Thur</v>
      </c>
      <c r="F15" s="125" t="str">
        <v>Fri</v>
      </c>
      <c r="G15" s="125" t="str">
        <v>Sat</v>
      </c>
      <c r="M15" s="6"/>
      <c r="N15" s="6"/>
      <c r="O15" s="6"/>
      <c r="P15" s="49"/>
      <c r="Q15" s="6"/>
      <c r="R15" s="49"/>
      <c r="S15" s="49"/>
      <c r="T15" s="49"/>
      <c r="U15" s="49"/>
      <c r="V15" s="49"/>
      <c r="W15" s="49"/>
      <c r="X15" s="49"/>
      <c r="Y15" s="49"/>
      <c r="Z15" s="49"/>
      <c r="AA15" s="49"/>
      <c r="AB15" s="49"/>
      <c r="AC15" s="6"/>
      <c r="AD15" s="6"/>
      <c r="AE15" s="6"/>
      <c r="AF15" s="6"/>
      <c r="AG15" s="6"/>
      <c r="AH15" s="6"/>
      <c r="AI15" s="6"/>
      <c r="AJ15" s="6"/>
      <c r="AK15" s="6"/>
      <c r="AL15" s="6"/>
      <c r="AM15" s="6"/>
      <c r="AN15" s="6"/>
      <c r="AO15" s="6"/>
      <c r="AP15" s="6"/>
      <c r="AQ15" s="6"/>
      <c r="AR15" s="6"/>
      <c r="AS15" s="6"/>
      <c r="AT15" s="6"/>
      <c r="AU15" s="6"/>
      <c r="AV15" s="6"/>
      <c r="AW15" s="6"/>
      <c r="AX15" s="6"/>
      <c r="AY15" s="6"/>
      <c r="AZ15" s="6"/>
      <c r="BA15" s="6"/>
      <c r="BB15" s="6"/>
      <c r="BC15" s="6"/>
      <c r="BD15" s="6"/>
      <c r="BE15" s="6"/>
      <c r="BF15" s="6"/>
      <c r="BG15" s="6"/>
      <c r="BH15" s="6"/>
      <c r="BI15" s="6"/>
      <c r="BJ15" s="6"/>
      <c r="BK15" s="6"/>
      <c r="BL15" s="6"/>
      <c r="BM15" s="6"/>
      <c r="BN15" s="6"/>
    </row>
    <row r="16" spans="1:89" ht="15.75" x14ac:dyDescent="0.25">
      <c r="A16" s="143" t="str">
        <v>Afternoon (12:00-15:59)</v>
      </c>
      <c r="B16" s="144">
        <v>2</v>
      </c>
      <c r="C16" s="144">
        <v>1</v>
      </c>
      <c r="D16" s="144">
        <v>0</v>
      </c>
      <c r="E16" s="144">
        <v>1</v>
      </c>
      <c r="F16" s="144">
        <v>0</v>
      </c>
      <c r="G16" s="144">
        <v>0</v>
      </c>
      <c r="H16"/>
      <c r="O16" s="8"/>
      <c r="P16" s="8"/>
      <c r="Q16" s="8"/>
      <c r="R16" s="8"/>
      <c r="S16" s="8"/>
      <c r="T16" s="8"/>
      <c r="U16" s="8"/>
      <c r="V16" s="8"/>
      <c r="W16" s="8"/>
      <c r="X16" s="8"/>
      <c r="Y16" s="8"/>
      <c r="Z16" s="8"/>
      <c r="AA16" s="49"/>
      <c r="AB16" s="8"/>
      <c r="AC16" s="8"/>
      <c r="AD16" s="8"/>
      <c r="AE16" s="8"/>
      <c r="AF16" s="8"/>
      <c r="AG16" s="8"/>
      <c r="AH16" s="8"/>
      <c r="AI16" s="8"/>
      <c r="AJ16" s="8"/>
      <c r="AK16" s="8"/>
      <c r="AL16" s="8"/>
      <c r="AM16" s="8"/>
      <c r="AN16" s="8"/>
      <c r="AO16" s="8"/>
      <c r="AP16" s="8"/>
      <c r="AQ16" s="8"/>
      <c r="AR16" s="8"/>
      <c r="AS16" s="8"/>
      <c r="AT16" s="8"/>
      <c r="AU16" s="8"/>
      <c r="AV16" s="8"/>
      <c r="AW16" s="8"/>
      <c r="AX16" s="8"/>
      <c r="AY16" s="8"/>
      <c r="AZ16" s="8"/>
      <c r="BA16" s="8"/>
      <c r="BB16" s="8"/>
      <c r="BC16" s="8"/>
      <c r="BD16" s="8"/>
      <c r="BE16" s="8"/>
      <c r="BF16" s="8"/>
      <c r="BG16" s="8"/>
      <c r="BH16" s="8"/>
      <c r="BI16" s="8"/>
      <c r="BJ16" s="8"/>
      <c r="BK16" s="8"/>
      <c r="BL16" s="8"/>
      <c r="BM16" s="8"/>
      <c r="BN16" s="8"/>
    </row>
    <row r="17" spans="1:8" ht="15.75" x14ac:dyDescent="0.25">
      <c r="A17" s="37" t="str">
        <v>Early Morning (00:00-03:59)</v>
      </c>
      <c r="B17" s="35">
        <v>1</v>
      </c>
      <c r="C17" s="35">
        <v>0</v>
      </c>
      <c r="D17" s="35">
        <v>1</v>
      </c>
      <c r="E17" s="35">
        <v>0</v>
      </c>
      <c r="F17" s="35">
        <v>0</v>
      </c>
      <c r="G17" s="35">
        <v>0</v>
      </c>
      <c r="H17"/>
    </row>
    <row r="18" spans="1:8" ht="15.75" x14ac:dyDescent="0.25">
      <c r="A18" s="127" t="str">
        <v>Morning Peak (08:00-11:59)</v>
      </c>
      <c r="B18" s="128">
        <v>0</v>
      </c>
      <c r="C18" s="128">
        <v>0</v>
      </c>
      <c r="D18" s="128">
        <v>0</v>
      </c>
      <c r="E18" s="128">
        <v>0</v>
      </c>
      <c r="F18" s="128">
        <v>1</v>
      </c>
      <c r="G18" s="128">
        <v>1</v>
      </c>
      <c r="H18"/>
    </row>
    <row r="19" spans="1:8" ht="15.75" x14ac:dyDescent="0.25">
      <c r="A19" s="130" t="str">
        <v>Night (20:00-23:59)</v>
      </c>
      <c r="B19" s="131">
        <v>0</v>
      </c>
      <c r="C19" s="131">
        <v>0</v>
      </c>
      <c r="D19" s="131">
        <v>0</v>
      </c>
      <c r="E19" s="131">
        <v>2</v>
      </c>
      <c r="F19" s="131">
        <v>0</v>
      </c>
      <c r="G19" s="131">
        <v>0</v>
      </c>
    </row>
    <row r="20" spans="1:8" ht="15.75" x14ac:dyDescent="0.25">
      <c r="A20" s="37"/>
      <c r="B20" s="35"/>
      <c r="C20" s="35"/>
      <c r="D20" s="35"/>
      <c r="E20" s="35"/>
      <c r="F20" s="35"/>
      <c r="G20" s="35"/>
    </row>
    <row r="21" spans="1:8" ht="15.75" x14ac:dyDescent="0.25">
      <c r="A21" s="37"/>
      <c r="B21" s="35"/>
      <c r="C21" s="35"/>
      <c r="D21" s="35"/>
      <c r="E21" s="35"/>
      <c r="F21" s="35"/>
      <c r="G21" s="35"/>
    </row>
    <row r="23" spans="1:8" x14ac:dyDescent="0.25">
      <c r="A23" s="103" t="s">
        <v>1</v>
      </c>
      <c r="B23" s="6" t="s">
        <v>209</v>
      </c>
    </row>
    <row r="24" spans="1:8" x14ac:dyDescent="0.25">
      <c r="A24" s="103" t="s">
        <v>10</v>
      </c>
      <c r="B24" s="6" t="s">
        <v>127</v>
      </c>
    </row>
    <row r="26" spans="1:8" x14ac:dyDescent="0.25">
      <c r="A26" s="105" t="s">
        <v>128</v>
      </c>
      <c r="B26" s="105" t="s">
        <v>5</v>
      </c>
      <c r="E26"/>
      <c r="F26"/>
      <c r="G26"/>
    </row>
    <row r="27" spans="1:8" ht="18.75" x14ac:dyDescent="0.3">
      <c r="A27" s="81" t="s">
        <v>449</v>
      </c>
      <c r="B27" s="7" t="s">
        <v>450</v>
      </c>
      <c r="C27" s="10" t="s">
        <v>451</v>
      </c>
      <c r="D27" s="10" t="s">
        <v>536</v>
      </c>
      <c r="E27"/>
      <c r="F27"/>
      <c r="G27"/>
    </row>
    <row r="28" spans="1:8" x14ac:dyDescent="0.25">
      <c r="A28" s="6" t="s">
        <v>76</v>
      </c>
      <c r="B28" s="6">
        <v>1</v>
      </c>
      <c r="C28" s="6">
        <v>1</v>
      </c>
      <c r="E28"/>
      <c r="F28"/>
      <c r="G28"/>
    </row>
    <row r="29" spans="1:8" x14ac:dyDescent="0.25">
      <c r="A29" s="6" t="s">
        <v>109</v>
      </c>
      <c r="D29" s="6">
        <v>2</v>
      </c>
      <c r="E29"/>
      <c r="F29"/>
      <c r="G29"/>
    </row>
    <row r="30" spans="1:8" x14ac:dyDescent="0.25">
      <c r="A30"/>
      <c r="B30"/>
      <c r="C30"/>
      <c r="D30"/>
      <c r="E30"/>
      <c r="F30"/>
      <c r="G30"/>
    </row>
    <row r="31" spans="1:8" x14ac:dyDescent="0.25">
      <c r="A31"/>
      <c r="B31"/>
      <c r="C31"/>
      <c r="D31"/>
      <c r="E31"/>
      <c r="F31"/>
      <c r="G31"/>
    </row>
    <row r="32" spans="1:8" ht="24" x14ac:dyDescent="0.4">
      <c r="A32" s="192" t="s">
        <v>457</v>
      </c>
      <c r="B32" s="192"/>
      <c r="C32" s="192"/>
      <c r="D32" s="192"/>
      <c r="E32" s="11"/>
      <c r="F32" s="11"/>
      <c r="G32" s="11"/>
      <c r="H32" s="11"/>
    </row>
    <row r="33" spans="1:4" ht="18.75" x14ac:dyDescent="0.3">
      <c r="A33" s="125" t="str" cm="1">
        <f t="array" ref="A33:D35">A27:D29</f>
        <v>Time of Day</v>
      </c>
      <c r="B33" s="126" t="str">
        <v>Mon</v>
      </c>
      <c r="C33" s="126" t="str">
        <v>Tue</v>
      </c>
      <c r="D33" s="125" t="str">
        <v>Thur</v>
      </c>
    </row>
    <row r="34" spans="1:4" ht="15.75" x14ac:dyDescent="0.25">
      <c r="A34" s="143" t="str">
        <v>Afternoon (12:00-15:59)</v>
      </c>
      <c r="B34" s="144">
        <v>1</v>
      </c>
      <c r="C34" s="144">
        <v>1</v>
      </c>
      <c r="D34" s="144">
        <v>0</v>
      </c>
    </row>
    <row r="35" spans="1:4" ht="15.75" x14ac:dyDescent="0.25">
      <c r="A35" s="37" t="str">
        <v>Night (20:00-23:59)</v>
      </c>
      <c r="B35" s="35">
        <v>0</v>
      </c>
      <c r="C35" s="35">
        <v>0</v>
      </c>
      <c r="D35" s="35">
        <v>2</v>
      </c>
    </row>
  </sheetData>
  <mergeCells count="2">
    <mergeCell ref="A14:H14"/>
    <mergeCell ref="A32:D32"/>
  </mergeCells>
  <phoneticPr fontId="12" type="noConversion"/>
  <pageMargins left="0.7" right="0.7" top="0.75" bottom="0.75" header="0.3" footer="0.3"/>
  <pageSetup orientation="portrait" r:id="rId3"/>
  <tableParts count="1">
    <tablePart r:id="rId4"/>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FFE145-5DDC-4EB9-9999-3B50B564B026}">
  <sheetPr codeName="Sheet5">
    <tabColor rgb="FF0070C0"/>
  </sheetPr>
  <dimension ref="A1:BC15"/>
  <sheetViews>
    <sheetView workbookViewId="0">
      <selection activeCell="D11" sqref="D11"/>
    </sheetView>
  </sheetViews>
  <sheetFormatPr defaultColWidth="8.85546875" defaultRowHeight="15.75" x14ac:dyDescent="0.25"/>
  <cols>
    <col min="1" max="1" width="20.140625" style="13" bestFit="1" customWidth="1"/>
    <col min="2" max="2" width="16" style="19" bestFit="1" customWidth="1"/>
    <col min="3" max="3" width="24.28515625" style="14" bestFit="1" customWidth="1"/>
    <col min="4" max="4" width="18.7109375" style="13" bestFit="1" customWidth="1"/>
    <col min="5" max="5" width="15.42578125" style="13" bestFit="1" customWidth="1"/>
    <col min="6" max="6" width="16.28515625" style="3" bestFit="1" customWidth="1"/>
    <col min="7" max="7" width="19" style="3" bestFit="1" customWidth="1"/>
    <col min="8" max="8" width="31.5703125" style="3" bestFit="1" customWidth="1"/>
    <col min="9" max="9" width="26.5703125" style="3" bestFit="1" customWidth="1"/>
    <col min="10" max="10" width="42.7109375" style="3" bestFit="1" customWidth="1"/>
    <col min="11" max="11" width="22" style="3" bestFit="1" customWidth="1"/>
    <col min="12" max="12" width="24" style="3" bestFit="1" customWidth="1"/>
    <col min="13" max="13" width="22" style="3" bestFit="1" customWidth="1"/>
    <col min="14" max="14" width="48.85546875" style="3" bestFit="1" customWidth="1"/>
    <col min="15" max="15" width="10" style="13" bestFit="1" customWidth="1"/>
    <col min="16" max="16" width="10.7109375" style="13" bestFit="1" customWidth="1"/>
    <col min="17" max="17" width="80.85546875" style="3" bestFit="1" customWidth="1"/>
    <col min="18" max="18" width="24.42578125" style="3" bestFit="1" customWidth="1"/>
    <col min="19" max="19" width="26.42578125" style="3" bestFit="1" customWidth="1"/>
    <col min="20" max="20" width="20.28515625" style="13" bestFit="1" customWidth="1"/>
    <col min="21" max="21" width="12.42578125" style="13" bestFit="1" customWidth="1"/>
    <col min="22" max="22" width="13.28515625" style="13" bestFit="1" customWidth="1"/>
    <col min="23" max="23" width="17.140625" style="13" bestFit="1" customWidth="1"/>
    <col min="24" max="24" width="20.28515625" style="13" bestFit="1" customWidth="1"/>
    <col min="25" max="25" width="17.140625" style="13" bestFit="1" customWidth="1"/>
    <col min="26" max="26" width="12.42578125" style="13" bestFit="1" customWidth="1"/>
    <col min="27" max="27" width="13.28515625" style="13" bestFit="1" customWidth="1"/>
    <col min="28" max="28" width="18.85546875" style="3" bestFit="1" customWidth="1"/>
    <col min="29" max="29" width="20.85546875" style="3" bestFit="1" customWidth="1"/>
    <col min="30" max="30" width="28.42578125" style="3" bestFit="1" customWidth="1"/>
    <col min="31" max="31" width="12" style="13" bestFit="1" customWidth="1"/>
    <col min="32" max="32" width="25.28515625" style="3" bestFit="1" customWidth="1"/>
    <col min="33" max="33" width="28.42578125" style="3" bestFit="1" customWidth="1"/>
    <col min="34" max="34" width="27.42578125" style="3" bestFit="1" customWidth="1"/>
    <col min="35" max="35" width="31.7109375" style="3" bestFit="1" customWidth="1"/>
    <col min="36" max="36" width="19.7109375" style="19" bestFit="1" customWidth="1"/>
    <col min="37" max="37" width="19.85546875" style="22" bestFit="1" customWidth="1"/>
    <col min="38" max="38" width="30.28515625" style="19" bestFit="1" customWidth="1"/>
    <col min="39" max="39" width="30.5703125" style="22" bestFit="1" customWidth="1"/>
    <col min="40" max="40" width="18.140625" style="19" bestFit="1" customWidth="1"/>
    <col min="41" max="41" width="18.28515625" style="22" bestFit="1" customWidth="1"/>
    <col min="42" max="42" width="10.28515625" style="3" bestFit="1" customWidth="1"/>
    <col min="43" max="43" width="19.28515625" style="24" bestFit="1" customWidth="1"/>
    <col min="44" max="44" width="21.28515625" style="24" bestFit="1" customWidth="1"/>
    <col min="45" max="45" width="9.42578125" style="24" bestFit="1" customWidth="1"/>
    <col min="46" max="46" width="17.28515625" style="26" bestFit="1" customWidth="1"/>
    <col min="47" max="47" width="28.140625" style="28" bestFit="1" customWidth="1"/>
    <col min="48" max="48" width="8.7109375" style="13" bestFit="1" customWidth="1"/>
    <col min="49" max="49" width="80.85546875" style="3" bestFit="1" customWidth="1"/>
    <col min="50" max="50" width="38.7109375" style="3" bestFit="1" customWidth="1"/>
    <col min="51" max="52" width="80.85546875" style="3" bestFit="1" customWidth="1"/>
    <col min="53" max="53" width="22.28515625" style="13" bestFit="1" customWidth="1"/>
    <col min="54" max="54" width="25.7109375" style="13" bestFit="1" customWidth="1"/>
    <col min="55" max="55" width="20.5703125" style="13" bestFit="1" customWidth="1"/>
    <col min="56" max="56" width="26.85546875" style="3" bestFit="1" customWidth="1"/>
    <col min="57" max="16384" width="8.85546875" style="3"/>
  </cols>
  <sheetData>
    <row r="1" spans="1:55" s="16" customFormat="1" ht="18.75" x14ac:dyDescent="0.3">
      <c r="A1" s="16" t="s">
        <v>0</v>
      </c>
      <c r="B1" s="18" t="s">
        <v>1</v>
      </c>
      <c r="C1" s="16" t="s">
        <v>2</v>
      </c>
      <c r="D1" s="17" t="s">
        <v>3</v>
      </c>
      <c r="E1" s="17" t="s">
        <v>4</v>
      </c>
      <c r="F1" s="16" t="s">
        <v>5</v>
      </c>
      <c r="G1" s="16" t="s">
        <v>6</v>
      </c>
      <c r="H1" s="16" t="s">
        <v>7</v>
      </c>
      <c r="I1" s="16" t="s">
        <v>8</v>
      </c>
      <c r="J1" s="16" t="s">
        <v>10</v>
      </c>
      <c r="K1" s="16" t="s">
        <v>9</v>
      </c>
      <c r="L1" s="16" t="s">
        <v>11</v>
      </c>
      <c r="M1" s="16" t="s">
        <v>12</v>
      </c>
      <c r="N1" s="16" t="s">
        <v>13</v>
      </c>
      <c r="O1" s="16" t="s">
        <v>14</v>
      </c>
      <c r="P1" s="16" t="s">
        <v>15</v>
      </c>
      <c r="Q1" s="16" t="s">
        <v>16</v>
      </c>
      <c r="R1" s="16" t="s">
        <v>17</v>
      </c>
      <c r="S1" s="16" t="s">
        <v>18</v>
      </c>
      <c r="T1" s="16" t="s">
        <v>19</v>
      </c>
      <c r="U1" s="16" t="s">
        <v>20</v>
      </c>
      <c r="V1" s="16" t="s">
        <v>21</v>
      </c>
      <c r="W1" s="16" t="s">
        <v>22</v>
      </c>
      <c r="X1" s="16" t="s">
        <v>23</v>
      </c>
      <c r="Y1" s="16" t="s">
        <v>24</v>
      </c>
      <c r="Z1" s="16" t="s">
        <v>25</v>
      </c>
      <c r="AA1" s="16" t="s">
        <v>26</v>
      </c>
      <c r="AB1" s="16" t="s">
        <v>27</v>
      </c>
      <c r="AC1" s="16" t="s">
        <v>28</v>
      </c>
      <c r="AD1" s="16" t="s">
        <v>29</v>
      </c>
      <c r="AE1" s="16" t="s">
        <v>30</v>
      </c>
      <c r="AF1" s="16" t="s">
        <v>31</v>
      </c>
      <c r="AG1" s="16" t="s">
        <v>32</v>
      </c>
      <c r="AH1" s="16" t="s">
        <v>33</v>
      </c>
      <c r="AI1" s="16" t="s">
        <v>34</v>
      </c>
      <c r="AJ1" s="18" t="s">
        <v>35</v>
      </c>
      <c r="AK1" s="20" t="s">
        <v>36</v>
      </c>
      <c r="AL1" s="18" t="s">
        <v>37</v>
      </c>
      <c r="AM1" s="20" t="s">
        <v>38</v>
      </c>
      <c r="AN1" s="18" t="s">
        <v>39</v>
      </c>
      <c r="AO1" s="20" t="s">
        <v>40</v>
      </c>
      <c r="AP1" s="16" t="s">
        <v>41</v>
      </c>
      <c r="AQ1" s="23" t="s">
        <v>42</v>
      </c>
      <c r="AR1" s="23" t="s">
        <v>43</v>
      </c>
      <c r="AS1" s="23" t="s">
        <v>44</v>
      </c>
      <c r="AT1" s="25" t="s">
        <v>45</v>
      </c>
      <c r="AU1" s="27" t="s">
        <v>46</v>
      </c>
      <c r="AV1" s="16" t="s">
        <v>47</v>
      </c>
      <c r="AW1" t="s">
        <v>459</v>
      </c>
      <c r="AX1" s="16" t="s">
        <v>48</v>
      </c>
      <c r="AY1" s="16" t="s">
        <v>49</v>
      </c>
      <c r="AZ1" s="16" t="s">
        <v>50</v>
      </c>
      <c r="BA1" s="16" t="s">
        <v>51</v>
      </c>
      <c r="BB1" s="16" t="s">
        <v>52</v>
      </c>
      <c r="BC1" t="s">
        <v>855</v>
      </c>
    </row>
    <row r="2" spans="1:55" x14ac:dyDescent="0.25">
      <c r="A2" s="47" t="s">
        <v>210</v>
      </c>
      <c r="B2" s="55">
        <v>45660</v>
      </c>
      <c r="C2" s="49" t="s">
        <v>97</v>
      </c>
      <c r="D2" s="56">
        <v>0.875</v>
      </c>
      <c r="E2" s="56">
        <v>0.89583333333333337</v>
      </c>
      <c r="F2" s="49" t="s">
        <v>454</v>
      </c>
      <c r="G2" s="49" t="s">
        <v>55</v>
      </c>
      <c r="H2" s="49" t="s">
        <v>211</v>
      </c>
      <c r="I2" s="49" t="s">
        <v>212</v>
      </c>
      <c r="J2" s="49" t="s">
        <v>213</v>
      </c>
      <c r="K2" s="49" t="s">
        <v>213</v>
      </c>
      <c r="L2" s="49" t="s">
        <v>59</v>
      </c>
      <c r="M2" s="49" t="s">
        <v>59</v>
      </c>
      <c r="N2" s="49" t="s">
        <v>214</v>
      </c>
      <c r="O2" s="47" t="s">
        <v>215</v>
      </c>
      <c r="P2" s="47">
        <v>9</v>
      </c>
      <c r="Q2" s="49" t="s">
        <v>216</v>
      </c>
      <c r="R2" s="49"/>
      <c r="S2" s="49"/>
      <c r="T2" s="47" t="s">
        <v>217</v>
      </c>
      <c r="U2" s="47" t="s">
        <v>63</v>
      </c>
      <c r="V2" s="47" t="s">
        <v>218</v>
      </c>
      <c r="W2" s="47" t="s">
        <v>65</v>
      </c>
      <c r="X2" s="47"/>
      <c r="Y2" s="47"/>
      <c r="Z2" s="47"/>
      <c r="AA2" s="47"/>
      <c r="AB2" s="49" t="s">
        <v>157</v>
      </c>
      <c r="AC2" s="49" t="s">
        <v>67</v>
      </c>
      <c r="AD2" s="49" t="s">
        <v>219</v>
      </c>
      <c r="AE2" s="47" t="s">
        <v>206</v>
      </c>
      <c r="AF2" s="49" t="s">
        <v>220</v>
      </c>
      <c r="AG2" s="49" t="s">
        <v>71</v>
      </c>
      <c r="AH2" s="49" t="s">
        <v>221</v>
      </c>
      <c r="AI2" s="49">
        <v>9</v>
      </c>
      <c r="AJ2" s="55">
        <v>45660</v>
      </c>
      <c r="AK2" s="50">
        <v>0.89583333333333337</v>
      </c>
      <c r="AL2" s="55">
        <v>45661</v>
      </c>
      <c r="AM2" s="50">
        <v>0.2673611111111111</v>
      </c>
      <c r="AN2" s="55">
        <v>45661</v>
      </c>
      <c r="AO2" s="50">
        <v>0.45774305555555556</v>
      </c>
      <c r="AP2" s="49">
        <v>2025</v>
      </c>
      <c r="AQ2" s="52">
        <v>1</v>
      </c>
      <c r="AR2" s="52">
        <v>1</v>
      </c>
      <c r="AS2" s="52">
        <v>3</v>
      </c>
      <c r="AT2" s="53">
        <v>3</v>
      </c>
      <c r="AU2" s="54">
        <v>45660.895833333336</v>
      </c>
      <c r="AV2" s="47">
        <v>309</v>
      </c>
      <c r="AW2" t="s">
        <v>216</v>
      </c>
      <c r="AX2" s="49" t="s">
        <v>222</v>
      </c>
      <c r="AY2" s="49" t="s">
        <v>223</v>
      </c>
      <c r="AZ2" s="49" t="s">
        <v>59</v>
      </c>
      <c r="BA2" s="47" t="s">
        <v>514</v>
      </c>
      <c r="BB2" s="49" t="s">
        <v>109</v>
      </c>
      <c r="BC2" t="s">
        <v>210</v>
      </c>
    </row>
    <row r="3" spans="1:55" x14ac:dyDescent="0.25">
      <c r="A3" s="47" t="s">
        <v>224</v>
      </c>
      <c r="B3" s="55">
        <v>45672</v>
      </c>
      <c r="C3" s="49" t="s">
        <v>54</v>
      </c>
      <c r="D3" s="56">
        <v>0.5</v>
      </c>
      <c r="E3" s="56">
        <v>0.53988425925925931</v>
      </c>
      <c r="F3" s="49" t="s">
        <v>452</v>
      </c>
      <c r="G3" s="49" t="s">
        <v>55</v>
      </c>
      <c r="H3" s="49" t="s">
        <v>225</v>
      </c>
      <c r="I3" s="49" t="s">
        <v>226</v>
      </c>
      <c r="J3" s="49" t="s">
        <v>213</v>
      </c>
      <c r="K3" s="49" t="s">
        <v>213</v>
      </c>
      <c r="L3" s="49" t="s">
        <v>59</v>
      </c>
      <c r="M3" s="49" t="s">
        <v>59</v>
      </c>
      <c r="N3" s="49" t="s">
        <v>227</v>
      </c>
      <c r="O3" s="47" t="s">
        <v>84</v>
      </c>
      <c r="P3" s="47">
        <v>8</v>
      </c>
      <c r="Q3" s="49" t="s">
        <v>228</v>
      </c>
      <c r="R3" s="49"/>
      <c r="S3" s="49"/>
      <c r="T3" s="47" t="s">
        <v>229</v>
      </c>
      <c r="U3" s="47" t="s">
        <v>63</v>
      </c>
      <c r="V3" s="47" t="s">
        <v>230</v>
      </c>
      <c r="W3" s="47" t="s">
        <v>65</v>
      </c>
      <c r="X3" s="47"/>
      <c r="Y3" s="47"/>
      <c r="Z3" s="47"/>
      <c r="AA3" s="47"/>
      <c r="AB3" s="49" t="s">
        <v>119</v>
      </c>
      <c r="AC3" s="49" t="s">
        <v>67</v>
      </c>
      <c r="AD3" s="49" t="s">
        <v>231</v>
      </c>
      <c r="AE3" s="47" t="s">
        <v>232</v>
      </c>
      <c r="AF3" s="49" t="s">
        <v>70</v>
      </c>
      <c r="AG3" s="49" t="s">
        <v>71</v>
      </c>
      <c r="AH3" s="49" t="s">
        <v>221</v>
      </c>
      <c r="AI3" s="49">
        <v>9</v>
      </c>
      <c r="AJ3" s="55">
        <v>45672</v>
      </c>
      <c r="AK3" s="50">
        <v>0.53988425925925931</v>
      </c>
      <c r="AL3" s="55"/>
      <c r="AM3" s="50"/>
      <c r="AN3" s="55">
        <v>45672</v>
      </c>
      <c r="AO3" s="50">
        <v>0.53988425925925931</v>
      </c>
      <c r="AP3" s="49">
        <v>2025</v>
      </c>
      <c r="AQ3" s="52">
        <v>3</v>
      </c>
      <c r="AR3" s="52">
        <v>3</v>
      </c>
      <c r="AS3" s="52">
        <v>15</v>
      </c>
      <c r="AT3" s="53">
        <v>15</v>
      </c>
      <c r="AU3" s="54">
        <v>45672.539583333331</v>
      </c>
      <c r="AV3" s="47">
        <v>244</v>
      </c>
      <c r="AW3" t="s">
        <v>228</v>
      </c>
      <c r="AX3" s="49" t="s">
        <v>233</v>
      </c>
      <c r="AY3" s="49" t="s">
        <v>234</v>
      </c>
      <c r="AZ3" s="49" t="s">
        <v>235</v>
      </c>
      <c r="BA3" s="47" t="s">
        <v>512</v>
      </c>
      <c r="BB3" s="49" t="s">
        <v>76</v>
      </c>
      <c r="BC3" t="s">
        <v>224</v>
      </c>
    </row>
    <row r="4" spans="1:55" x14ac:dyDescent="0.25">
      <c r="A4" s="47" t="s">
        <v>236</v>
      </c>
      <c r="B4" s="55">
        <v>45678</v>
      </c>
      <c r="C4" s="49" t="s">
        <v>78</v>
      </c>
      <c r="D4" s="56">
        <v>0.79166666666666663</v>
      </c>
      <c r="E4" s="56">
        <v>0.79166666666666663</v>
      </c>
      <c r="F4" s="49" t="s">
        <v>451</v>
      </c>
      <c r="G4" s="49" t="s">
        <v>55</v>
      </c>
      <c r="H4" s="49" t="s">
        <v>237</v>
      </c>
      <c r="I4" s="49" t="s">
        <v>238</v>
      </c>
      <c r="J4" s="49" t="s">
        <v>213</v>
      </c>
      <c r="K4" s="49" t="s">
        <v>213</v>
      </c>
      <c r="L4" s="49" t="s">
        <v>59</v>
      </c>
      <c r="M4" s="49" t="s">
        <v>59</v>
      </c>
      <c r="N4" s="49" t="s">
        <v>239</v>
      </c>
      <c r="O4" s="47" t="s">
        <v>178</v>
      </c>
      <c r="P4" s="47">
        <v>9</v>
      </c>
      <c r="Q4" s="49" t="s">
        <v>240</v>
      </c>
      <c r="R4" s="49"/>
      <c r="S4" s="49"/>
      <c r="T4" s="47" t="s">
        <v>241</v>
      </c>
      <c r="U4" s="47" t="s">
        <v>63</v>
      </c>
      <c r="V4" s="47" t="s">
        <v>242</v>
      </c>
      <c r="W4" s="47" t="s">
        <v>65</v>
      </c>
      <c r="X4" s="47"/>
      <c r="Y4" s="47"/>
      <c r="Z4" s="47"/>
      <c r="AA4" s="47"/>
      <c r="AB4" s="49" t="s">
        <v>243</v>
      </c>
      <c r="AC4" s="49" t="s">
        <v>67</v>
      </c>
      <c r="AD4" s="49" t="s">
        <v>244</v>
      </c>
      <c r="AE4" s="47" t="s">
        <v>206</v>
      </c>
      <c r="AF4" s="49" t="s">
        <v>160</v>
      </c>
      <c r="AG4" s="49" t="s">
        <v>71</v>
      </c>
      <c r="AH4" s="49" t="s">
        <v>221</v>
      </c>
      <c r="AI4" s="49">
        <v>9</v>
      </c>
      <c r="AJ4" s="55">
        <v>45678</v>
      </c>
      <c r="AK4" s="50">
        <v>0.79166666666666663</v>
      </c>
      <c r="AL4" s="55">
        <v>45679</v>
      </c>
      <c r="AM4" s="50">
        <v>0.13125000000000001</v>
      </c>
      <c r="AN4" s="55">
        <v>45679</v>
      </c>
      <c r="AO4" s="50">
        <v>0.13255787037037037</v>
      </c>
      <c r="AP4" s="49">
        <v>2025</v>
      </c>
      <c r="AQ4" s="52">
        <v>4</v>
      </c>
      <c r="AR4" s="52">
        <v>4</v>
      </c>
      <c r="AS4" s="52">
        <v>21</v>
      </c>
      <c r="AT4" s="53">
        <v>21</v>
      </c>
      <c r="AU4" s="54">
        <v>45678.791666666664</v>
      </c>
      <c r="AV4" s="47">
        <v>33</v>
      </c>
      <c r="AW4" t="s">
        <v>240</v>
      </c>
      <c r="AX4" s="49" t="s">
        <v>245</v>
      </c>
      <c r="AY4" s="49" t="s">
        <v>59</v>
      </c>
      <c r="AZ4" s="49" t="s">
        <v>59</v>
      </c>
      <c r="BA4" s="47" t="s">
        <v>511</v>
      </c>
      <c r="BB4" s="49" t="s">
        <v>95</v>
      </c>
      <c r="BC4" t="s">
        <v>236</v>
      </c>
    </row>
    <row r="5" spans="1:55" x14ac:dyDescent="0.25">
      <c r="A5" s="47" t="s">
        <v>246</v>
      </c>
      <c r="B5" s="55">
        <v>45679</v>
      </c>
      <c r="C5" s="49" t="s">
        <v>141</v>
      </c>
      <c r="D5" s="56">
        <v>0.33333333333333331</v>
      </c>
      <c r="E5" s="56">
        <v>0.33333333333333331</v>
      </c>
      <c r="F5" s="49" t="s">
        <v>452</v>
      </c>
      <c r="G5" s="49" t="s">
        <v>55</v>
      </c>
      <c r="H5" s="49" t="s">
        <v>247</v>
      </c>
      <c r="I5" s="49" t="s">
        <v>248</v>
      </c>
      <c r="J5" s="49" t="s">
        <v>213</v>
      </c>
      <c r="K5" s="49" t="s">
        <v>213</v>
      </c>
      <c r="L5" s="49" t="s">
        <v>59</v>
      </c>
      <c r="M5" s="49" t="s">
        <v>59</v>
      </c>
      <c r="N5" s="49" t="s">
        <v>249</v>
      </c>
      <c r="O5" s="47" t="s">
        <v>250</v>
      </c>
      <c r="P5" s="47">
        <v>5</v>
      </c>
      <c r="Q5" s="49" t="s">
        <v>251</v>
      </c>
      <c r="R5" s="49"/>
      <c r="S5" s="49"/>
      <c r="T5" s="47" t="s">
        <v>252</v>
      </c>
      <c r="U5" s="47" t="s">
        <v>253</v>
      </c>
      <c r="V5" s="47" t="s">
        <v>254</v>
      </c>
      <c r="W5" s="47" t="s">
        <v>65</v>
      </c>
      <c r="X5" s="47"/>
      <c r="Y5" s="47"/>
      <c r="Z5" s="47"/>
      <c r="AA5" s="47"/>
      <c r="AB5" s="49" t="s">
        <v>119</v>
      </c>
      <c r="AC5" s="49" t="s">
        <v>67</v>
      </c>
      <c r="AD5" s="49" t="s">
        <v>244</v>
      </c>
      <c r="AE5" s="47" t="s">
        <v>206</v>
      </c>
      <c r="AF5" s="49" t="s">
        <v>122</v>
      </c>
      <c r="AG5" s="49" t="s">
        <v>71</v>
      </c>
      <c r="AH5" s="49" t="s">
        <v>221</v>
      </c>
      <c r="AI5" s="49">
        <v>9</v>
      </c>
      <c r="AJ5" s="55">
        <v>45679</v>
      </c>
      <c r="AK5" s="50">
        <v>0.33333333333333331</v>
      </c>
      <c r="AL5" s="55">
        <v>45679</v>
      </c>
      <c r="AM5" s="50">
        <v>0.80069444444444449</v>
      </c>
      <c r="AN5" s="55">
        <v>45679</v>
      </c>
      <c r="AO5" s="50">
        <v>0.80203703703703699</v>
      </c>
      <c r="AP5" s="49">
        <v>2025</v>
      </c>
      <c r="AQ5" s="52">
        <v>4</v>
      </c>
      <c r="AR5" s="52">
        <v>4</v>
      </c>
      <c r="AS5" s="52">
        <v>22</v>
      </c>
      <c r="AT5" s="53">
        <v>22</v>
      </c>
      <c r="AU5" s="54">
        <v>45679.333333333336</v>
      </c>
      <c r="AV5" s="47">
        <v>443</v>
      </c>
      <c r="AW5" t="s">
        <v>251</v>
      </c>
      <c r="AX5" s="49" t="s">
        <v>255</v>
      </c>
      <c r="AY5" s="49" t="s">
        <v>59</v>
      </c>
      <c r="AZ5" s="49" t="s">
        <v>59</v>
      </c>
      <c r="BA5" s="47" t="s">
        <v>511</v>
      </c>
      <c r="BB5" s="49" t="s">
        <v>150</v>
      </c>
      <c r="BC5" t="s">
        <v>246</v>
      </c>
    </row>
    <row r="6" spans="1:55" x14ac:dyDescent="0.25">
      <c r="A6" s="47" t="s">
        <v>256</v>
      </c>
      <c r="B6" s="55">
        <v>45685</v>
      </c>
      <c r="C6" s="49" t="s">
        <v>54</v>
      </c>
      <c r="D6" s="56">
        <v>0.625</v>
      </c>
      <c r="E6" s="56">
        <v>0.625</v>
      </c>
      <c r="F6" s="49" t="s">
        <v>451</v>
      </c>
      <c r="G6" s="49" t="s">
        <v>55</v>
      </c>
      <c r="H6" s="49" t="s">
        <v>257</v>
      </c>
      <c r="I6" s="49" t="s">
        <v>258</v>
      </c>
      <c r="J6" s="49" t="s">
        <v>259</v>
      </c>
      <c r="K6" s="49" t="s">
        <v>213</v>
      </c>
      <c r="L6" s="49" t="s">
        <v>82</v>
      </c>
      <c r="M6" s="49" t="s">
        <v>59</v>
      </c>
      <c r="N6" s="49" t="s">
        <v>260</v>
      </c>
      <c r="O6" s="47" t="s">
        <v>261</v>
      </c>
      <c r="P6" s="47">
        <v>6</v>
      </c>
      <c r="Q6" s="49" t="s">
        <v>262</v>
      </c>
      <c r="R6" s="49"/>
      <c r="S6" s="49"/>
      <c r="T6" s="47" t="s">
        <v>263</v>
      </c>
      <c r="U6" s="47" t="s">
        <v>264</v>
      </c>
      <c r="V6" s="47" t="s">
        <v>265</v>
      </c>
      <c r="W6" s="47" t="s">
        <v>65</v>
      </c>
      <c r="X6" s="47"/>
      <c r="Y6" s="47"/>
      <c r="Z6" s="47"/>
      <c r="AA6" s="47"/>
      <c r="AB6" s="49" t="s">
        <v>119</v>
      </c>
      <c r="AC6" s="49" t="s">
        <v>67</v>
      </c>
      <c r="AD6" s="49" t="s">
        <v>244</v>
      </c>
      <c r="AE6" s="47" t="s">
        <v>206</v>
      </c>
      <c r="AF6" s="49" t="s">
        <v>70</v>
      </c>
      <c r="AG6" s="49" t="s">
        <v>266</v>
      </c>
      <c r="AH6" s="49" t="s">
        <v>221</v>
      </c>
      <c r="AI6" s="49">
        <v>9</v>
      </c>
      <c r="AJ6" s="55">
        <v>45685</v>
      </c>
      <c r="AK6" s="50">
        <v>0.625</v>
      </c>
      <c r="AL6" s="55">
        <v>45686</v>
      </c>
      <c r="AM6" s="50">
        <v>0.91736111111111107</v>
      </c>
      <c r="AN6" s="55">
        <v>45686</v>
      </c>
      <c r="AO6" s="50">
        <v>0.91833333333333333</v>
      </c>
      <c r="AP6" s="49">
        <v>2025</v>
      </c>
      <c r="AQ6" s="52">
        <v>5</v>
      </c>
      <c r="AR6" s="52">
        <v>5</v>
      </c>
      <c r="AS6" s="52">
        <v>28</v>
      </c>
      <c r="AT6" s="53">
        <v>28</v>
      </c>
      <c r="AU6" s="54">
        <v>45685.625</v>
      </c>
      <c r="AV6" s="47">
        <v>119</v>
      </c>
      <c r="AW6" t="s">
        <v>262</v>
      </c>
      <c r="AX6" s="49" t="s">
        <v>267</v>
      </c>
      <c r="AY6" s="49" t="s">
        <v>59</v>
      </c>
      <c r="AZ6" s="49" t="s">
        <v>268</v>
      </c>
      <c r="BA6" s="47" t="s">
        <v>510</v>
      </c>
      <c r="BB6" s="49" t="s">
        <v>76</v>
      </c>
      <c r="BC6" t="s">
        <v>256</v>
      </c>
    </row>
    <row r="7" spans="1:55" x14ac:dyDescent="0.25">
      <c r="A7" s="47" t="s">
        <v>305</v>
      </c>
      <c r="B7" s="55">
        <v>45688</v>
      </c>
      <c r="C7" s="49" t="s">
        <v>54</v>
      </c>
      <c r="D7" s="56">
        <v>0.5</v>
      </c>
      <c r="E7" s="56">
        <v>0.5</v>
      </c>
      <c r="F7" s="49" t="s">
        <v>454</v>
      </c>
      <c r="G7" s="49" t="s">
        <v>55</v>
      </c>
      <c r="H7" s="49" t="s">
        <v>306</v>
      </c>
      <c r="I7" s="49" t="s">
        <v>307</v>
      </c>
      <c r="J7" s="49" t="s">
        <v>213</v>
      </c>
      <c r="K7" s="49" t="s">
        <v>213</v>
      </c>
      <c r="L7" s="49" t="s">
        <v>59</v>
      </c>
      <c r="M7" s="49" t="s">
        <v>59</v>
      </c>
      <c r="N7" s="49" t="s">
        <v>308</v>
      </c>
      <c r="O7" s="47" t="s">
        <v>250</v>
      </c>
      <c r="P7" s="47">
        <v>5</v>
      </c>
      <c r="Q7" s="49" t="s">
        <v>309</v>
      </c>
      <c r="R7" s="49"/>
      <c r="S7" s="49"/>
      <c r="T7" s="47" t="s">
        <v>310</v>
      </c>
      <c r="U7" s="47"/>
      <c r="V7" s="47" t="s">
        <v>230</v>
      </c>
      <c r="W7" s="47" t="s">
        <v>65</v>
      </c>
      <c r="X7" s="47"/>
      <c r="Y7" s="47"/>
      <c r="Z7" s="47"/>
      <c r="AA7" s="47"/>
      <c r="AB7" s="49" t="s">
        <v>119</v>
      </c>
      <c r="AC7" s="49" t="s">
        <v>67</v>
      </c>
      <c r="AD7" s="49" t="s">
        <v>205</v>
      </c>
      <c r="AE7" s="47" t="s">
        <v>206</v>
      </c>
      <c r="AF7" s="49" t="s">
        <v>106</v>
      </c>
      <c r="AG7" s="49" t="s">
        <v>71</v>
      </c>
      <c r="AH7" s="49" t="s">
        <v>221</v>
      </c>
      <c r="AI7" s="49">
        <v>9</v>
      </c>
      <c r="AJ7" s="55">
        <v>45688</v>
      </c>
      <c r="AK7" s="50">
        <v>0.5</v>
      </c>
      <c r="AL7" s="55">
        <v>45695</v>
      </c>
      <c r="AM7" s="50">
        <v>0.54166666666666663</v>
      </c>
      <c r="AN7" s="55">
        <v>45696</v>
      </c>
      <c r="AO7" s="50">
        <v>0.3903240740740741</v>
      </c>
      <c r="AP7" s="49">
        <v>2025</v>
      </c>
      <c r="AQ7" s="52">
        <v>5</v>
      </c>
      <c r="AR7" s="52">
        <v>5</v>
      </c>
      <c r="AS7" s="52">
        <v>31</v>
      </c>
      <c r="AT7" s="53">
        <v>31</v>
      </c>
      <c r="AU7" s="54">
        <v>45688.5</v>
      </c>
      <c r="AV7" s="47">
        <v>535</v>
      </c>
      <c r="AW7" t="s">
        <v>309</v>
      </c>
      <c r="AX7" s="49" t="s">
        <v>311</v>
      </c>
      <c r="AY7" s="49" t="s">
        <v>59</v>
      </c>
      <c r="AZ7" s="49" t="s">
        <v>312</v>
      </c>
      <c r="BA7" s="47" t="s">
        <v>510</v>
      </c>
      <c r="BB7" s="49" t="s">
        <v>76</v>
      </c>
      <c r="BC7" t="s">
        <v>305</v>
      </c>
    </row>
    <row r="8" spans="1:55" x14ac:dyDescent="0.25">
      <c r="A8" s="47" t="s">
        <v>269</v>
      </c>
      <c r="B8" s="55">
        <v>45689</v>
      </c>
      <c r="C8" s="49" t="s">
        <v>162</v>
      </c>
      <c r="D8" s="56">
        <v>4.1666666666666664E-2</v>
      </c>
      <c r="E8" s="56">
        <v>4.1666666666666664E-2</v>
      </c>
      <c r="F8" s="49" t="s">
        <v>455</v>
      </c>
      <c r="G8" s="49" t="s">
        <v>111</v>
      </c>
      <c r="H8" s="49" t="s">
        <v>270</v>
      </c>
      <c r="I8" s="49" t="s">
        <v>271</v>
      </c>
      <c r="J8" s="49" t="s">
        <v>213</v>
      </c>
      <c r="K8" s="49" t="s">
        <v>213</v>
      </c>
      <c r="L8" s="49" t="s">
        <v>59</v>
      </c>
      <c r="M8" s="49" t="s">
        <v>59</v>
      </c>
      <c r="N8" s="49" t="s">
        <v>272</v>
      </c>
      <c r="O8" s="47" t="s">
        <v>273</v>
      </c>
      <c r="P8" s="47">
        <v>6</v>
      </c>
      <c r="Q8" s="49" t="s">
        <v>274</v>
      </c>
      <c r="R8" s="49"/>
      <c r="S8" s="49"/>
      <c r="T8" s="47" t="s">
        <v>275</v>
      </c>
      <c r="U8" s="47" t="s">
        <v>117</v>
      </c>
      <c r="V8" s="47" t="s">
        <v>276</v>
      </c>
      <c r="W8" s="47" t="s">
        <v>65</v>
      </c>
      <c r="X8" s="47"/>
      <c r="Y8" s="47"/>
      <c r="Z8" s="47"/>
      <c r="AA8" s="47"/>
      <c r="AB8" s="49" t="s">
        <v>119</v>
      </c>
      <c r="AC8" s="49" t="s">
        <v>67</v>
      </c>
      <c r="AD8" s="49" t="s">
        <v>244</v>
      </c>
      <c r="AE8" s="47" t="s">
        <v>206</v>
      </c>
      <c r="AF8" s="49" t="s">
        <v>122</v>
      </c>
      <c r="AG8" s="49" t="s">
        <v>71</v>
      </c>
      <c r="AH8" s="49" t="s">
        <v>221</v>
      </c>
      <c r="AI8" s="49">
        <v>9</v>
      </c>
      <c r="AJ8" s="55">
        <v>45689</v>
      </c>
      <c r="AK8" s="50">
        <v>4.1666666666666664E-2</v>
      </c>
      <c r="AL8" s="55"/>
      <c r="AM8" s="50">
        <v>0.10416666666666667</v>
      </c>
      <c r="AN8" s="55">
        <v>45689</v>
      </c>
      <c r="AO8" s="50">
        <v>0.11982638888888889</v>
      </c>
      <c r="AP8" s="49">
        <v>2025</v>
      </c>
      <c r="AQ8" s="52">
        <v>5</v>
      </c>
      <c r="AR8" s="52">
        <v>1</v>
      </c>
      <c r="AS8" s="52">
        <v>1</v>
      </c>
      <c r="AT8" s="53">
        <v>32</v>
      </c>
      <c r="AU8" s="54">
        <v>45689.041666666664</v>
      </c>
      <c r="AV8" s="47">
        <v>453</v>
      </c>
      <c r="AW8" t="s">
        <v>274</v>
      </c>
      <c r="AX8" s="49" t="s">
        <v>277</v>
      </c>
      <c r="AY8" s="49" t="s">
        <v>59</v>
      </c>
      <c r="AZ8" s="49" t="s">
        <v>278</v>
      </c>
      <c r="BA8" s="47" t="s">
        <v>510</v>
      </c>
      <c r="BB8" s="49" t="s">
        <v>172</v>
      </c>
      <c r="BC8" t="s">
        <v>269</v>
      </c>
    </row>
    <row r="9" spans="1:55" x14ac:dyDescent="0.25">
      <c r="A9" s="47" t="s">
        <v>279</v>
      </c>
      <c r="B9" s="55">
        <v>45691</v>
      </c>
      <c r="C9" s="49" t="s">
        <v>78</v>
      </c>
      <c r="D9" s="56">
        <v>0.75</v>
      </c>
      <c r="E9" s="56">
        <v>0.77083333333333337</v>
      </c>
      <c r="F9" s="49" t="s">
        <v>450</v>
      </c>
      <c r="G9" s="49" t="s">
        <v>111</v>
      </c>
      <c r="H9" s="49" t="s">
        <v>280</v>
      </c>
      <c r="I9" s="49" t="s">
        <v>281</v>
      </c>
      <c r="J9" s="49" t="s">
        <v>213</v>
      </c>
      <c r="K9" s="49" t="s">
        <v>213</v>
      </c>
      <c r="L9" s="49" t="s">
        <v>59</v>
      </c>
      <c r="M9" s="49" t="s">
        <v>59</v>
      </c>
      <c r="N9" s="49" t="s">
        <v>282</v>
      </c>
      <c r="O9" s="47" t="s">
        <v>283</v>
      </c>
      <c r="P9" s="47">
        <v>8</v>
      </c>
      <c r="Q9" s="49" t="s">
        <v>284</v>
      </c>
      <c r="R9" s="49"/>
      <c r="S9" s="49"/>
      <c r="T9" s="47" t="s">
        <v>285</v>
      </c>
      <c r="U9" s="47" t="s">
        <v>286</v>
      </c>
      <c r="V9" s="47" t="s">
        <v>287</v>
      </c>
      <c r="W9" s="47" t="s">
        <v>288</v>
      </c>
      <c r="X9" s="47"/>
      <c r="Y9" s="47"/>
      <c r="Z9" s="47"/>
      <c r="AA9" s="47"/>
      <c r="AB9" s="49" t="s">
        <v>66</v>
      </c>
      <c r="AC9" s="49" t="s">
        <v>67</v>
      </c>
      <c r="AD9" s="49" t="s">
        <v>105</v>
      </c>
      <c r="AE9" s="47" t="s">
        <v>69</v>
      </c>
      <c r="AF9" s="49" t="s">
        <v>70</v>
      </c>
      <c r="AG9" s="49" t="s">
        <v>195</v>
      </c>
      <c r="AH9" s="49" t="s">
        <v>221</v>
      </c>
      <c r="AI9" s="49">
        <v>9</v>
      </c>
      <c r="AJ9" s="55">
        <v>45691</v>
      </c>
      <c r="AK9" s="50">
        <v>0.77083333333333337</v>
      </c>
      <c r="AL9" s="55">
        <v>45692</v>
      </c>
      <c r="AM9" s="50">
        <v>0.79166666666666663</v>
      </c>
      <c r="AN9" s="55">
        <v>45692</v>
      </c>
      <c r="AO9" s="50">
        <v>0.53023148148148147</v>
      </c>
      <c r="AP9" s="49">
        <v>2025</v>
      </c>
      <c r="AQ9" s="52">
        <v>6</v>
      </c>
      <c r="AR9" s="52">
        <v>2</v>
      </c>
      <c r="AS9" s="52">
        <v>3</v>
      </c>
      <c r="AT9" s="53">
        <v>34</v>
      </c>
      <c r="AU9" s="54">
        <v>45691.770833333336</v>
      </c>
      <c r="AV9" s="47">
        <v>55</v>
      </c>
      <c r="AW9" t="s">
        <v>284</v>
      </c>
      <c r="AX9" s="49" t="s">
        <v>289</v>
      </c>
      <c r="AY9" s="49" t="s">
        <v>290</v>
      </c>
      <c r="AZ9" s="49" t="s">
        <v>291</v>
      </c>
      <c r="BA9" s="47" t="s">
        <v>510</v>
      </c>
      <c r="BB9" s="49" t="s">
        <v>95</v>
      </c>
      <c r="BC9" t="s">
        <v>279</v>
      </c>
    </row>
    <row r="10" spans="1:55" x14ac:dyDescent="0.25">
      <c r="A10" s="47" t="s">
        <v>292</v>
      </c>
      <c r="B10" s="55">
        <v>45695</v>
      </c>
      <c r="C10" s="49" t="s">
        <v>293</v>
      </c>
      <c r="D10" s="56">
        <v>0.25</v>
      </c>
      <c r="E10" s="56">
        <v>0.27430555555555558</v>
      </c>
      <c r="F10" s="49" t="s">
        <v>454</v>
      </c>
      <c r="G10" s="49" t="s">
        <v>111</v>
      </c>
      <c r="H10" s="49" t="s">
        <v>294</v>
      </c>
      <c r="I10" s="49" t="s">
        <v>295</v>
      </c>
      <c r="J10" s="49" t="s">
        <v>213</v>
      </c>
      <c r="K10" s="49" t="s">
        <v>213</v>
      </c>
      <c r="L10" s="49" t="s">
        <v>59</v>
      </c>
      <c r="M10" s="49" t="s">
        <v>59</v>
      </c>
      <c r="N10" s="49" t="s">
        <v>296</v>
      </c>
      <c r="O10" s="47" t="s">
        <v>203</v>
      </c>
      <c r="P10" s="47">
        <v>5</v>
      </c>
      <c r="Q10" s="49" t="s">
        <v>297</v>
      </c>
      <c r="R10" s="49"/>
      <c r="S10" s="49"/>
      <c r="T10" s="47" t="s">
        <v>298</v>
      </c>
      <c r="U10" s="47" t="s">
        <v>299</v>
      </c>
      <c r="V10" s="47" t="s">
        <v>300</v>
      </c>
      <c r="W10" s="47" t="s">
        <v>65</v>
      </c>
      <c r="X10" s="47"/>
      <c r="Y10" s="47"/>
      <c r="Z10" s="47"/>
      <c r="AA10" s="47"/>
      <c r="AB10" s="49" t="s">
        <v>119</v>
      </c>
      <c r="AC10" s="49" t="s">
        <v>67</v>
      </c>
      <c r="AD10" s="49" t="s">
        <v>301</v>
      </c>
      <c r="AE10" s="47" t="s">
        <v>121</v>
      </c>
      <c r="AF10" s="49" t="s">
        <v>180</v>
      </c>
      <c r="AG10" s="49" t="s">
        <v>92</v>
      </c>
      <c r="AH10" s="49" t="s">
        <v>221</v>
      </c>
      <c r="AI10" s="49">
        <v>9</v>
      </c>
      <c r="AJ10" s="55">
        <v>45695</v>
      </c>
      <c r="AK10" s="50">
        <v>0.27430555555555558</v>
      </c>
      <c r="AL10" s="55">
        <v>45695</v>
      </c>
      <c r="AM10" s="50">
        <v>0.28472222222222221</v>
      </c>
      <c r="AN10" s="55">
        <v>45695</v>
      </c>
      <c r="AO10" s="50">
        <v>0.30738425925925927</v>
      </c>
      <c r="AP10" s="49">
        <v>2025</v>
      </c>
      <c r="AQ10" s="52">
        <v>6</v>
      </c>
      <c r="AR10" s="52">
        <v>2</v>
      </c>
      <c r="AS10" s="52">
        <v>7</v>
      </c>
      <c r="AT10" s="53">
        <v>38</v>
      </c>
      <c r="AU10" s="54">
        <v>45695.274305555555</v>
      </c>
      <c r="AV10" s="47">
        <v>170</v>
      </c>
      <c r="AW10" t="s">
        <v>297</v>
      </c>
      <c r="AX10" s="49" t="s">
        <v>302</v>
      </c>
      <c r="AY10" s="49" t="s">
        <v>59</v>
      </c>
      <c r="AZ10" s="49" t="s">
        <v>303</v>
      </c>
      <c r="BA10" s="47" t="s">
        <v>509</v>
      </c>
      <c r="BB10" s="49" t="s">
        <v>304</v>
      </c>
      <c r="BC10" t="s">
        <v>292</v>
      </c>
    </row>
    <row r="11" spans="1:55" x14ac:dyDescent="0.25">
      <c r="A11" s="47" t="s">
        <v>313</v>
      </c>
      <c r="B11" s="55">
        <v>45705</v>
      </c>
      <c r="C11" s="49" t="s">
        <v>141</v>
      </c>
      <c r="D11" s="56">
        <v>0.33333333333333331</v>
      </c>
      <c r="E11" s="56">
        <v>0.34877314814814814</v>
      </c>
      <c r="F11" s="49" t="s">
        <v>450</v>
      </c>
      <c r="G11" s="49" t="s">
        <v>111</v>
      </c>
      <c r="H11" s="49" t="s">
        <v>314</v>
      </c>
      <c r="I11" s="49" t="s">
        <v>315</v>
      </c>
      <c r="J11" s="49" t="s">
        <v>316</v>
      </c>
      <c r="K11" s="49" t="s">
        <v>213</v>
      </c>
      <c r="L11" s="49" t="s">
        <v>317</v>
      </c>
      <c r="M11" s="49" t="s">
        <v>59</v>
      </c>
      <c r="N11" s="49" t="s">
        <v>318</v>
      </c>
      <c r="O11" s="47" t="s">
        <v>134</v>
      </c>
      <c r="P11" s="47">
        <v>7</v>
      </c>
      <c r="Q11" s="49" t="s">
        <v>319</v>
      </c>
      <c r="R11" s="49"/>
      <c r="S11" s="49"/>
      <c r="T11" s="47" t="s">
        <v>320</v>
      </c>
      <c r="U11" s="47" t="s">
        <v>63</v>
      </c>
      <c r="V11" s="47" t="s">
        <v>218</v>
      </c>
      <c r="W11" s="47" t="s">
        <v>65</v>
      </c>
      <c r="X11" s="47"/>
      <c r="Y11" s="47"/>
      <c r="Z11" s="47"/>
      <c r="AA11" s="47"/>
      <c r="AB11" s="49" t="s">
        <v>66</v>
      </c>
      <c r="AC11" s="49" t="s">
        <v>67</v>
      </c>
      <c r="AD11" s="49" t="s">
        <v>68</v>
      </c>
      <c r="AE11" s="47" t="s">
        <v>69</v>
      </c>
      <c r="AF11" s="49" t="s">
        <v>122</v>
      </c>
      <c r="AG11" s="49" t="s">
        <v>123</v>
      </c>
      <c r="AH11" s="49" t="s">
        <v>221</v>
      </c>
      <c r="AI11" s="49">
        <v>9</v>
      </c>
      <c r="AJ11" s="55">
        <v>45705</v>
      </c>
      <c r="AK11" s="50">
        <v>0.34877314814814814</v>
      </c>
      <c r="AL11" s="55"/>
      <c r="AM11" s="50"/>
      <c r="AN11" s="55">
        <v>45705</v>
      </c>
      <c r="AO11" s="50">
        <v>0.34877314814814814</v>
      </c>
      <c r="AP11" s="49">
        <v>2025</v>
      </c>
      <c r="AQ11" s="52">
        <v>8</v>
      </c>
      <c r="AR11" s="52">
        <v>4</v>
      </c>
      <c r="AS11" s="52">
        <v>17</v>
      </c>
      <c r="AT11" s="53">
        <v>48</v>
      </c>
      <c r="AU11" s="54">
        <v>45705.348611111112</v>
      </c>
      <c r="AV11" s="47">
        <v>100</v>
      </c>
      <c r="AW11" t="s">
        <v>319</v>
      </c>
      <c r="AX11" s="49" t="s">
        <v>321</v>
      </c>
      <c r="AY11" s="49" t="s">
        <v>322</v>
      </c>
      <c r="AZ11" s="49" t="s">
        <v>323</v>
      </c>
      <c r="BA11" s="47" t="s">
        <v>508</v>
      </c>
      <c r="BB11" s="49" t="s">
        <v>150</v>
      </c>
      <c r="BC11" t="s">
        <v>313</v>
      </c>
    </row>
    <row r="12" spans="1:55" x14ac:dyDescent="0.25">
      <c r="A12" s="47" t="s">
        <v>324</v>
      </c>
      <c r="B12" s="55">
        <v>45705</v>
      </c>
      <c r="C12" s="49" t="s">
        <v>141</v>
      </c>
      <c r="D12" s="56">
        <v>0.375</v>
      </c>
      <c r="E12" s="56">
        <v>0.39716435185185184</v>
      </c>
      <c r="F12" s="49" t="s">
        <v>450</v>
      </c>
      <c r="G12" s="49" t="s">
        <v>111</v>
      </c>
      <c r="H12" s="49" t="s">
        <v>56</v>
      </c>
      <c r="I12" s="49" t="s">
        <v>325</v>
      </c>
      <c r="J12" s="49" t="s">
        <v>213</v>
      </c>
      <c r="K12" s="49" t="s">
        <v>213</v>
      </c>
      <c r="L12" s="49" t="s">
        <v>59</v>
      </c>
      <c r="M12" s="49" t="s">
        <v>59</v>
      </c>
      <c r="N12" s="49" t="s">
        <v>326</v>
      </c>
      <c r="O12" s="47" t="s">
        <v>327</v>
      </c>
      <c r="P12" s="47">
        <v>7</v>
      </c>
      <c r="Q12" s="49" t="s">
        <v>328</v>
      </c>
      <c r="R12" s="49"/>
      <c r="S12" s="49"/>
      <c r="T12" s="47" t="s">
        <v>329</v>
      </c>
      <c r="U12" s="47" t="s">
        <v>63</v>
      </c>
      <c r="V12" s="47" t="s">
        <v>218</v>
      </c>
      <c r="W12" s="47" t="s">
        <v>65</v>
      </c>
      <c r="X12" s="47"/>
      <c r="Y12" s="47"/>
      <c r="Z12" s="47"/>
      <c r="AA12" s="47"/>
      <c r="AB12" s="49" t="s">
        <v>66</v>
      </c>
      <c r="AC12" s="49" t="s">
        <v>67</v>
      </c>
      <c r="AD12" s="49" t="s">
        <v>330</v>
      </c>
      <c r="AE12" s="47" t="s">
        <v>69</v>
      </c>
      <c r="AF12" s="49" t="s">
        <v>122</v>
      </c>
      <c r="AG12" s="49" t="s">
        <v>71</v>
      </c>
      <c r="AH12" s="49" t="s">
        <v>221</v>
      </c>
      <c r="AI12" s="49">
        <v>9</v>
      </c>
      <c r="AJ12" s="55">
        <v>45705</v>
      </c>
      <c r="AK12" s="50">
        <v>0.39716435185185184</v>
      </c>
      <c r="AL12" s="55"/>
      <c r="AM12" s="50"/>
      <c r="AN12" s="55">
        <v>45705</v>
      </c>
      <c r="AO12" s="50">
        <v>0.39716435185185184</v>
      </c>
      <c r="AP12" s="49">
        <v>2025</v>
      </c>
      <c r="AQ12" s="52">
        <v>8</v>
      </c>
      <c r="AR12" s="52">
        <v>4</v>
      </c>
      <c r="AS12" s="52">
        <v>17</v>
      </c>
      <c r="AT12" s="53">
        <v>48</v>
      </c>
      <c r="AU12" s="54">
        <v>45705.396527777775</v>
      </c>
      <c r="AV12" s="47">
        <v>30</v>
      </c>
      <c r="AW12" t="s">
        <v>328</v>
      </c>
      <c r="AX12" s="49" t="s">
        <v>331</v>
      </c>
      <c r="AY12" s="49" t="s">
        <v>59</v>
      </c>
      <c r="AZ12" s="49" t="s">
        <v>59</v>
      </c>
      <c r="BA12" s="47" t="s">
        <v>508</v>
      </c>
      <c r="BB12" s="49" t="s">
        <v>150</v>
      </c>
      <c r="BC12" t="s">
        <v>324</v>
      </c>
    </row>
    <row r="13" spans="1:55" x14ac:dyDescent="0.25">
      <c r="A13" s="47" t="s">
        <v>332</v>
      </c>
      <c r="B13" s="55">
        <v>45713</v>
      </c>
      <c r="C13" s="49" t="s">
        <v>141</v>
      </c>
      <c r="D13" s="56">
        <v>0.41666666666666669</v>
      </c>
      <c r="E13" s="56">
        <v>0.41666666666666669</v>
      </c>
      <c r="F13" s="49" t="s">
        <v>451</v>
      </c>
      <c r="G13" s="49" t="s">
        <v>111</v>
      </c>
      <c r="H13" s="49" t="s">
        <v>333</v>
      </c>
      <c r="I13" s="49" t="s">
        <v>334</v>
      </c>
      <c r="J13" s="49" t="s">
        <v>213</v>
      </c>
      <c r="K13" s="49" t="s">
        <v>213</v>
      </c>
      <c r="L13" s="49" t="s">
        <v>59</v>
      </c>
      <c r="M13" s="49" t="s">
        <v>59</v>
      </c>
      <c r="N13" s="49" t="s">
        <v>335</v>
      </c>
      <c r="O13" s="47" t="s">
        <v>250</v>
      </c>
      <c r="P13" s="47">
        <v>5</v>
      </c>
      <c r="Q13" s="49" t="s">
        <v>336</v>
      </c>
      <c r="R13" s="49"/>
      <c r="S13" s="49"/>
      <c r="T13" s="47" t="s">
        <v>337</v>
      </c>
      <c r="U13" s="47" t="s">
        <v>63</v>
      </c>
      <c r="V13" s="47" t="s">
        <v>338</v>
      </c>
      <c r="W13" s="47" t="s">
        <v>339</v>
      </c>
      <c r="X13" s="47"/>
      <c r="Y13" s="47"/>
      <c r="Z13" s="47"/>
      <c r="AA13" s="47"/>
      <c r="AB13" s="49" t="s">
        <v>157</v>
      </c>
      <c r="AC13" s="49" t="s">
        <v>67</v>
      </c>
      <c r="AD13" s="49" t="s">
        <v>158</v>
      </c>
      <c r="AE13" s="47" t="s">
        <v>159</v>
      </c>
      <c r="AF13" s="49"/>
      <c r="AG13" s="49"/>
      <c r="AH13" s="49"/>
      <c r="AI13" s="49">
        <v>9</v>
      </c>
      <c r="AJ13" s="55">
        <v>45713</v>
      </c>
      <c r="AK13" s="50">
        <v>0.41666666666666669</v>
      </c>
      <c r="AL13" s="55">
        <v>45713</v>
      </c>
      <c r="AM13" s="50">
        <v>0.95833333333333337</v>
      </c>
      <c r="AN13" s="55">
        <v>45712</v>
      </c>
      <c r="AO13" s="50">
        <v>0.99136574074074069</v>
      </c>
      <c r="AP13" s="49">
        <v>2025</v>
      </c>
      <c r="AQ13" s="52">
        <v>9</v>
      </c>
      <c r="AR13" s="52">
        <v>5</v>
      </c>
      <c r="AS13" s="52">
        <v>25</v>
      </c>
      <c r="AT13" s="53">
        <v>56</v>
      </c>
      <c r="AU13" s="54">
        <v>45713.416666666664</v>
      </c>
      <c r="AV13" s="47">
        <v>430</v>
      </c>
      <c r="AW13" t="s">
        <v>336</v>
      </c>
      <c r="AX13" s="49" t="s">
        <v>340</v>
      </c>
      <c r="AY13" s="49" t="s">
        <v>59</v>
      </c>
      <c r="AZ13" s="49" t="s">
        <v>59</v>
      </c>
      <c r="BA13" s="47" t="s">
        <v>506</v>
      </c>
      <c r="BB13" s="49" t="s">
        <v>150</v>
      </c>
      <c r="BC13" t="s">
        <v>332</v>
      </c>
    </row>
    <row r="14" spans="1:55" x14ac:dyDescent="0.25">
      <c r="A14" s="47" t="s">
        <v>549</v>
      </c>
      <c r="B14" s="55">
        <v>45737</v>
      </c>
      <c r="C14" s="49" t="s">
        <v>293</v>
      </c>
      <c r="D14" s="56">
        <v>0.29166666666666669</v>
      </c>
      <c r="E14" s="56">
        <v>0.32500000000000001</v>
      </c>
      <c r="F14" s="49" t="s">
        <v>454</v>
      </c>
      <c r="G14" s="49" t="s">
        <v>461</v>
      </c>
      <c r="H14" s="49" t="s">
        <v>550</v>
      </c>
      <c r="I14" s="49" t="s">
        <v>551</v>
      </c>
      <c r="J14" s="49" t="s">
        <v>213</v>
      </c>
      <c r="K14" s="49" t="s">
        <v>213</v>
      </c>
      <c r="L14" s="49" t="s">
        <v>59</v>
      </c>
      <c r="M14" s="49" t="s">
        <v>59</v>
      </c>
      <c r="N14" s="49" t="s">
        <v>552</v>
      </c>
      <c r="O14" s="47" t="s">
        <v>261</v>
      </c>
      <c r="P14" s="47">
        <v>6</v>
      </c>
      <c r="Q14" s="49" t="s">
        <v>553</v>
      </c>
      <c r="R14" s="49"/>
      <c r="S14" s="49"/>
      <c r="T14" s="47" t="s">
        <v>554</v>
      </c>
      <c r="U14" s="47" t="s">
        <v>555</v>
      </c>
      <c r="V14" s="47"/>
      <c r="W14" s="47" t="s">
        <v>65</v>
      </c>
      <c r="X14" s="47"/>
      <c r="Y14" s="47"/>
      <c r="Z14" s="47"/>
      <c r="AA14" s="47"/>
      <c r="AB14" s="49" t="s">
        <v>468</v>
      </c>
      <c r="AC14" s="49" t="s">
        <v>67</v>
      </c>
      <c r="AD14" s="49" t="s">
        <v>147</v>
      </c>
      <c r="AE14" s="47" t="s">
        <v>90</v>
      </c>
      <c r="AF14" s="49" t="s">
        <v>180</v>
      </c>
      <c r="AG14" s="49" t="s">
        <v>181</v>
      </c>
      <c r="AH14" s="49"/>
      <c r="AI14" s="49">
        <v>9</v>
      </c>
      <c r="AJ14" s="55">
        <v>45737</v>
      </c>
      <c r="AK14" s="50">
        <v>0.32500000000000001</v>
      </c>
      <c r="AL14" s="55"/>
      <c r="AM14" s="50"/>
      <c r="AN14" s="55">
        <v>45737</v>
      </c>
      <c r="AO14" s="50">
        <v>0.59714120370370372</v>
      </c>
      <c r="AP14" s="49">
        <v>2025</v>
      </c>
      <c r="AQ14" s="52">
        <v>12</v>
      </c>
      <c r="AR14" s="52">
        <v>4</v>
      </c>
      <c r="AS14" s="52">
        <v>21</v>
      </c>
      <c r="AT14" s="53">
        <v>80</v>
      </c>
      <c r="AU14" s="54">
        <v>45737.324999999997</v>
      </c>
      <c r="AV14" s="47">
        <v>171</v>
      </c>
      <c r="AW14" t="s">
        <v>553</v>
      </c>
      <c r="AX14" s="49" t="s">
        <v>556</v>
      </c>
      <c r="AY14" s="49" t="s">
        <v>557</v>
      </c>
      <c r="AZ14" s="49" t="s">
        <v>558</v>
      </c>
      <c r="BA14" s="47" t="s">
        <v>548</v>
      </c>
      <c r="BB14" s="49" t="s">
        <v>304</v>
      </c>
      <c r="BC14" t="s">
        <v>549</v>
      </c>
    </row>
    <row r="15" spans="1:55" x14ac:dyDescent="0.25">
      <c r="A15" s="47" t="s">
        <v>628</v>
      </c>
      <c r="B15" s="55">
        <v>45744</v>
      </c>
      <c r="C15" s="49" t="s">
        <v>97</v>
      </c>
      <c r="D15" s="56">
        <v>0.83333333333333337</v>
      </c>
      <c r="E15" s="56">
        <v>0.85416666666666663</v>
      </c>
      <c r="F15" s="49" t="s">
        <v>454</v>
      </c>
      <c r="G15" s="49" t="s">
        <v>461</v>
      </c>
      <c r="H15" s="49" t="s">
        <v>629</v>
      </c>
      <c r="I15" s="49" t="s">
        <v>630</v>
      </c>
      <c r="J15" s="49" t="s">
        <v>213</v>
      </c>
      <c r="K15" s="49" t="s">
        <v>213</v>
      </c>
      <c r="L15" s="49" t="s">
        <v>59</v>
      </c>
      <c r="M15" s="49" t="s">
        <v>59</v>
      </c>
      <c r="N15" s="49" t="s">
        <v>631</v>
      </c>
      <c r="O15" s="47" t="s">
        <v>426</v>
      </c>
      <c r="P15" s="47">
        <v>8</v>
      </c>
      <c r="Q15" s="49" t="s">
        <v>632</v>
      </c>
      <c r="R15" s="49"/>
      <c r="S15" s="49"/>
      <c r="T15" s="47" t="s">
        <v>633</v>
      </c>
      <c r="U15" s="47" t="s">
        <v>634</v>
      </c>
      <c r="V15" s="47" t="s">
        <v>635</v>
      </c>
      <c r="W15" s="47" t="s">
        <v>65</v>
      </c>
      <c r="X15" s="47"/>
      <c r="Y15" s="47"/>
      <c r="Z15" s="47"/>
      <c r="AA15" s="47"/>
      <c r="AB15" s="49" t="s">
        <v>568</v>
      </c>
      <c r="AC15" s="49" t="s">
        <v>67</v>
      </c>
      <c r="AD15" s="49" t="s">
        <v>636</v>
      </c>
      <c r="AE15" s="47" t="s">
        <v>637</v>
      </c>
      <c r="AF15" s="49"/>
      <c r="AG15" s="49"/>
      <c r="AH15" s="49"/>
      <c r="AI15" s="49">
        <v>9</v>
      </c>
      <c r="AJ15" s="55">
        <v>45744</v>
      </c>
      <c r="AK15" s="50">
        <v>0.85416666666666663</v>
      </c>
      <c r="AL15" s="55">
        <v>45745</v>
      </c>
      <c r="AM15" s="50">
        <v>0.41666666666666669</v>
      </c>
      <c r="AN15" s="55">
        <v>45745</v>
      </c>
      <c r="AO15" s="50">
        <v>0.42986111111111114</v>
      </c>
      <c r="AP15" s="49">
        <v>2025</v>
      </c>
      <c r="AQ15" s="52">
        <v>13</v>
      </c>
      <c r="AR15" s="52">
        <v>5</v>
      </c>
      <c r="AS15" s="52">
        <v>28</v>
      </c>
      <c r="AT15" s="53">
        <v>87</v>
      </c>
      <c r="AU15" s="54">
        <v>45744.854166666664</v>
      </c>
      <c r="AV15" s="47">
        <v>296</v>
      </c>
      <c r="AW15" t="s">
        <v>632</v>
      </c>
      <c r="AX15" s="49" t="s">
        <v>638</v>
      </c>
      <c r="AY15" s="49" t="s">
        <v>59</v>
      </c>
      <c r="AZ15" s="49" t="s">
        <v>639</v>
      </c>
      <c r="BA15" s="47" t="s">
        <v>581</v>
      </c>
      <c r="BB15" s="49" t="s">
        <v>109</v>
      </c>
      <c r="BC15" t="s">
        <v>628</v>
      </c>
    </row>
  </sheetData>
  <pageMargins left="0.7" right="0.7" top="0.75" bottom="0.75" header="0.3" footer="0.3"/>
  <pageSetup orientation="portrait" r:id="rId1"/>
  <tableParts count="1">
    <tablePart r:id="rId2"/>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DDFA7A-305A-4595-B3A4-0C272C7A03AC}">
  <sheetPr>
    <tabColor rgb="FF0070C0"/>
  </sheetPr>
  <dimension ref="A1:L18"/>
  <sheetViews>
    <sheetView topLeftCell="F1" workbookViewId="0">
      <selection activeCell="K7" sqref="K7:K18"/>
    </sheetView>
  </sheetViews>
  <sheetFormatPr defaultRowHeight="15" x14ac:dyDescent="0.25"/>
  <cols>
    <col min="1" max="1" width="26.42578125" bestFit="1" customWidth="1"/>
    <col min="2" max="2" width="14.42578125" bestFit="1" customWidth="1"/>
    <col min="3" max="3" width="13.85546875" bestFit="1" customWidth="1"/>
    <col min="4" max="4" width="29.140625" bestFit="1" customWidth="1"/>
    <col min="5" max="5" width="26.5703125" bestFit="1" customWidth="1"/>
    <col min="6" max="6" width="8.140625" bestFit="1" customWidth="1"/>
    <col min="7" max="7" width="19.85546875" bestFit="1" customWidth="1"/>
    <col min="8" max="8" width="14.85546875" bestFit="1" customWidth="1"/>
    <col min="9" max="9" width="19.85546875" bestFit="1" customWidth="1"/>
    <col min="10" max="10" width="26.5703125" bestFit="1" customWidth="1"/>
    <col min="11" max="11" width="17.85546875" bestFit="1" customWidth="1"/>
    <col min="12" max="12" width="19.7109375" bestFit="1" customWidth="1"/>
  </cols>
  <sheetData>
    <row r="1" spans="1:12" x14ac:dyDescent="0.25">
      <c r="A1" t="s">
        <v>661</v>
      </c>
      <c r="B1" t="s">
        <v>35</v>
      </c>
      <c r="C1" t="s">
        <v>649</v>
      </c>
      <c r="D1" t="s">
        <v>650</v>
      </c>
      <c r="E1" t="s">
        <v>651</v>
      </c>
      <c r="F1" t="s">
        <v>459</v>
      </c>
      <c r="G1" t="s">
        <v>652</v>
      </c>
      <c r="H1" t="s">
        <v>653</v>
      </c>
      <c r="I1" t="s">
        <v>655</v>
      </c>
      <c r="J1" t="s">
        <v>656</v>
      </c>
      <c r="K1" t="s">
        <v>659</v>
      </c>
      <c r="L1" t="s">
        <v>660</v>
      </c>
    </row>
    <row r="2" spans="1:12" x14ac:dyDescent="0.25">
      <c r="B2" s="1"/>
    </row>
    <row r="7" spans="1:12" x14ac:dyDescent="0.25">
      <c r="K7" t="s">
        <v>661</v>
      </c>
    </row>
    <row r="8" spans="1:12" x14ac:dyDescent="0.25">
      <c r="K8" t="s">
        <v>35</v>
      </c>
    </row>
    <row r="9" spans="1:12" x14ac:dyDescent="0.25">
      <c r="K9" t="s">
        <v>649</v>
      </c>
    </row>
    <row r="10" spans="1:12" x14ac:dyDescent="0.25">
      <c r="K10" t="s">
        <v>650</v>
      </c>
    </row>
    <row r="11" spans="1:12" x14ac:dyDescent="0.25">
      <c r="K11" t="s">
        <v>651</v>
      </c>
    </row>
    <row r="12" spans="1:12" x14ac:dyDescent="0.25">
      <c r="K12" t="s">
        <v>459</v>
      </c>
    </row>
    <row r="13" spans="1:12" x14ac:dyDescent="0.25">
      <c r="K13" t="s">
        <v>652</v>
      </c>
    </row>
    <row r="14" spans="1:12" x14ac:dyDescent="0.25">
      <c r="K14" t="s">
        <v>653</v>
      </c>
    </row>
    <row r="15" spans="1:12" x14ac:dyDescent="0.25">
      <c r="K15" t="s">
        <v>655</v>
      </c>
    </row>
    <row r="16" spans="1:12" x14ac:dyDescent="0.25">
      <c r="K16" t="s">
        <v>656</v>
      </c>
    </row>
    <row r="17" spans="11:11" x14ac:dyDescent="0.25">
      <c r="K17" t="s">
        <v>659</v>
      </c>
    </row>
    <row r="18" spans="11:11" x14ac:dyDescent="0.25">
      <c r="K18" t="s">
        <v>660</v>
      </c>
    </row>
  </sheetData>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45A12F-A18A-478E-AC82-4E393C705310}">
  <sheetPr>
    <tabColor rgb="FF0070C0"/>
  </sheetPr>
  <dimension ref="A1:L2"/>
  <sheetViews>
    <sheetView workbookViewId="0"/>
  </sheetViews>
  <sheetFormatPr defaultRowHeight="15" x14ac:dyDescent="0.25"/>
  <cols>
    <col min="1" max="1" width="26.42578125" bestFit="1" customWidth="1"/>
    <col min="2" max="2" width="14.42578125" bestFit="1" customWidth="1"/>
    <col min="3" max="3" width="13.85546875" bestFit="1" customWidth="1"/>
    <col min="4" max="5" width="29.140625" bestFit="1" customWidth="1"/>
    <col min="6" max="6" width="80.85546875" bestFit="1" customWidth="1"/>
    <col min="7" max="7" width="19.85546875" bestFit="1" customWidth="1"/>
    <col min="8" max="8" width="14.85546875" bestFit="1" customWidth="1"/>
    <col min="9" max="9" width="19.85546875" bestFit="1" customWidth="1"/>
    <col min="10" max="10" width="26.5703125" bestFit="1" customWidth="1"/>
    <col min="11" max="11" width="17.85546875" bestFit="1" customWidth="1"/>
    <col min="12" max="12" width="19.7109375" bestFit="1" customWidth="1"/>
  </cols>
  <sheetData>
    <row r="1" spans="1:12" x14ac:dyDescent="0.25">
      <c r="A1" t="s">
        <v>661</v>
      </c>
      <c r="B1" t="s">
        <v>35</v>
      </c>
      <c r="C1" t="s">
        <v>649</v>
      </c>
      <c r="D1" t="s">
        <v>650</v>
      </c>
      <c r="E1" t="s">
        <v>651</v>
      </c>
      <c r="F1" t="s">
        <v>459</v>
      </c>
      <c r="G1" t="s">
        <v>652</v>
      </c>
      <c r="H1" t="s">
        <v>653</v>
      </c>
      <c r="I1" t="s">
        <v>655</v>
      </c>
      <c r="J1" t="s">
        <v>656</v>
      </c>
      <c r="K1" t="s">
        <v>659</v>
      </c>
      <c r="L1" t="s">
        <v>660</v>
      </c>
    </row>
    <row r="2" spans="1:12" x14ac:dyDescent="0.25">
      <c r="A2" t="s">
        <v>629</v>
      </c>
      <c r="B2" s="1">
        <v>45744</v>
      </c>
      <c r="C2" t="s">
        <v>454</v>
      </c>
      <c r="D2" t="s">
        <v>109</v>
      </c>
      <c r="E2" t="s">
        <v>638</v>
      </c>
      <c r="F2" t="s">
        <v>632</v>
      </c>
    </row>
  </sheetData>
  <pageMargins left="0.7" right="0.7" top="0.75" bottom="0.75" header="0.3" footer="0.3"/>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D3A0C6-86F4-40CE-9797-6BEBBE859FFD}">
  <sheetPr codeName="Sheet6">
    <tabColor rgb="FF0070C0"/>
  </sheetPr>
  <dimension ref="A1:AB47"/>
  <sheetViews>
    <sheetView showGridLines="0" topLeftCell="A4" workbookViewId="0">
      <selection activeCell="A18" sqref="A18:H24"/>
    </sheetView>
  </sheetViews>
  <sheetFormatPr defaultColWidth="8.85546875" defaultRowHeight="15.75" x14ac:dyDescent="0.25"/>
  <cols>
    <col min="1" max="1" width="18.42578125" style="8" bestFit="1" customWidth="1"/>
    <col min="2" max="2" width="14.28515625" style="8" bestFit="1" customWidth="1"/>
    <col min="3" max="3" width="3.5703125" style="8" bestFit="1" customWidth="1"/>
    <col min="4" max="4" width="4.28515625" style="8" bestFit="1" customWidth="1"/>
    <col min="5" max="5" width="2.7109375" style="8" bestFit="1" customWidth="1"/>
    <col min="6" max="6" width="3.28515625" style="8" bestFit="1" customWidth="1"/>
    <col min="7" max="8" width="6.7109375" style="8" customWidth="1"/>
    <col min="9" max="9" width="19.85546875" style="8" bestFit="1" customWidth="1"/>
    <col min="10" max="10" width="14.85546875" style="8" bestFit="1" customWidth="1"/>
    <col min="11" max="11" width="2.85546875" style="8" bestFit="1" customWidth="1"/>
    <col min="12" max="12" width="7.7109375" style="8" bestFit="1" customWidth="1"/>
    <col min="13" max="13" width="22.28515625" style="8" bestFit="1" customWidth="1"/>
    <col min="14" max="14" width="33.7109375" style="12" customWidth="1"/>
    <col min="15" max="15" width="18.140625" style="12" customWidth="1"/>
    <col min="16" max="16" width="16.85546875" style="12" customWidth="1"/>
    <col min="17" max="17" width="36.5703125" style="8" customWidth="1"/>
    <col min="18" max="18" width="34.5703125" style="8" customWidth="1"/>
    <col min="19" max="19" width="25" style="8" customWidth="1"/>
    <col min="20" max="20" width="17.85546875" style="8" customWidth="1"/>
    <col min="21" max="21" width="25.85546875" style="8" customWidth="1"/>
    <col min="22" max="22" width="34.7109375" style="8" customWidth="1"/>
    <col min="23" max="23" width="22.7109375" style="12" customWidth="1"/>
    <col min="24" max="24" width="25.28515625" style="8" customWidth="1"/>
    <col min="25" max="25" width="35" style="8" bestFit="1" customWidth="1"/>
    <col min="26" max="26" width="8.85546875" style="8"/>
    <col min="27" max="27" width="35.5703125" style="8" bestFit="1" customWidth="1"/>
    <col min="28" max="28" width="23" style="8" bestFit="1" customWidth="1"/>
    <col min="29" max="16384" width="8.85546875" style="8"/>
  </cols>
  <sheetData>
    <row r="1" spans="1:28" ht="18.75" x14ac:dyDescent="0.3">
      <c r="A1" s="42" t="s">
        <v>1</v>
      </c>
      <c r="B1" s="43" t="s">
        <v>127</v>
      </c>
      <c r="C1" s="43"/>
      <c r="D1" s="43"/>
      <c r="E1" s="43"/>
      <c r="F1" s="43"/>
      <c r="G1" s="43"/>
      <c r="H1" s="43"/>
      <c r="I1"/>
      <c r="J1"/>
      <c r="K1" s="43"/>
      <c r="L1" s="43"/>
      <c r="N1" s="60" t="s">
        <v>661</v>
      </c>
      <c r="O1" s="60" t="s">
        <v>35</v>
      </c>
      <c r="P1" s="60" t="s">
        <v>649</v>
      </c>
      <c r="Q1" s="60" t="s">
        <v>650</v>
      </c>
      <c r="R1" s="60" t="s">
        <v>651</v>
      </c>
      <c r="S1" s="60" t="s">
        <v>652</v>
      </c>
      <c r="T1" s="60" t="s">
        <v>653</v>
      </c>
      <c r="U1" s="60" t="s">
        <v>655</v>
      </c>
      <c r="V1" s="60" t="s">
        <v>656</v>
      </c>
      <c r="W1" s="60" t="s">
        <v>659</v>
      </c>
      <c r="X1" s="60" t="s">
        <v>660</v>
      </c>
      <c r="Y1" s="8" t="s">
        <v>459</v>
      </c>
      <c r="AA1" s="63" t="s">
        <v>0</v>
      </c>
      <c r="AB1" s="92" t="s">
        <v>628</v>
      </c>
    </row>
    <row r="2" spans="1:28" ht="18.75" x14ac:dyDescent="0.3">
      <c r="A2" s="42" t="s">
        <v>10</v>
      </c>
      <c r="B2" s="43" t="s">
        <v>127</v>
      </c>
      <c r="C2" s="43"/>
      <c r="D2" s="43"/>
      <c r="E2" s="43"/>
      <c r="F2" s="43"/>
      <c r="G2" s="43"/>
      <c r="H2" s="43"/>
      <c r="I2"/>
      <c r="J2"/>
      <c r="K2" s="43"/>
      <c r="L2" s="43"/>
      <c r="N2" s="49" t="s">
        <v>629</v>
      </c>
      <c r="O2" s="55">
        <v>45744</v>
      </c>
      <c r="P2" s="49" t="s">
        <v>666</v>
      </c>
      <c r="Q2" s="49" t="s">
        <v>97</v>
      </c>
      <c r="R2" s="49" t="s">
        <v>667</v>
      </c>
      <c r="S2" s="49" t="s">
        <v>668</v>
      </c>
      <c r="T2" s="49" t="s">
        <v>572</v>
      </c>
      <c r="U2" s="49" t="s">
        <v>572</v>
      </c>
      <c r="V2" s="49" t="s">
        <v>572</v>
      </c>
      <c r="W2" s="49" t="s">
        <v>669</v>
      </c>
      <c r="X2" s="49" t="s">
        <v>665</v>
      </c>
      <c r="Y2" s="8" t="s">
        <v>572</v>
      </c>
      <c r="AA2" s="64" t="s">
        <v>661</v>
      </c>
      <c r="AB2" s="93" t="s">
        <v>629</v>
      </c>
    </row>
    <row r="3" spans="1:28" ht="18.75" x14ac:dyDescent="0.3">
      <c r="A3" s="43"/>
      <c r="B3" s="43"/>
      <c r="C3" s="43"/>
      <c r="D3" s="43"/>
      <c r="E3" s="43"/>
      <c r="F3" s="43"/>
      <c r="G3" s="43"/>
      <c r="H3" s="43"/>
      <c r="I3" s="43"/>
      <c r="J3" s="43"/>
      <c r="K3" s="43"/>
      <c r="L3" s="43"/>
      <c r="M3" s="43"/>
      <c r="N3" s="45"/>
      <c r="O3" s="45"/>
      <c r="U3"/>
      <c r="V3"/>
      <c r="W3"/>
      <c r="AA3" s="65" t="s">
        <v>35</v>
      </c>
      <c r="AB3" s="94">
        <v>45744</v>
      </c>
    </row>
    <row r="4" spans="1:28" ht="18.75" x14ac:dyDescent="0.3">
      <c r="A4" s="42" t="s">
        <v>128</v>
      </c>
      <c r="B4" s="80" t="s">
        <v>5</v>
      </c>
      <c r="C4" s="43"/>
      <c r="D4" s="43"/>
      <c r="E4" s="43"/>
      <c r="F4" s="43"/>
      <c r="G4" s="43"/>
      <c r="H4" s="43"/>
      <c r="I4"/>
      <c r="J4"/>
      <c r="K4"/>
      <c r="L4" s="44"/>
      <c r="M4"/>
      <c r="N4"/>
      <c r="O4"/>
      <c r="AA4" s="65" t="s">
        <v>648</v>
      </c>
      <c r="AB4" s="95" t="s">
        <v>461</v>
      </c>
    </row>
    <row r="5" spans="1:28" ht="18.75" x14ac:dyDescent="0.3">
      <c r="A5" s="42" t="s">
        <v>52</v>
      </c>
      <c r="B5" s="43" t="s">
        <v>450</v>
      </c>
      <c r="C5" s="43" t="s">
        <v>451</v>
      </c>
      <c r="D5" s="43" t="s">
        <v>452</v>
      </c>
      <c r="E5" s="43" t="s">
        <v>454</v>
      </c>
      <c r="F5" s="43" t="s">
        <v>455</v>
      </c>
      <c r="G5" s="43"/>
      <c r="H5" s="43"/>
      <c r="I5"/>
      <c r="J5"/>
      <c r="K5"/>
      <c r="L5" s="44"/>
      <c r="M5"/>
      <c r="N5"/>
      <c r="O5"/>
      <c r="AA5" s="64" t="s">
        <v>649</v>
      </c>
      <c r="AB5" s="93" t="s">
        <v>666</v>
      </c>
    </row>
    <row r="6" spans="1:28" ht="18.75" x14ac:dyDescent="0.3">
      <c r="A6" s="43" t="s">
        <v>76</v>
      </c>
      <c r="B6" s="43"/>
      <c r="C6" s="43">
        <v>1</v>
      </c>
      <c r="D6" s="43">
        <v>1</v>
      </c>
      <c r="E6" s="43">
        <v>1</v>
      </c>
      <c r="F6" s="43"/>
      <c r="G6" s="43"/>
      <c r="H6" s="43"/>
      <c r="I6"/>
      <c r="J6"/>
      <c r="K6"/>
      <c r="L6" s="44"/>
      <c r="M6"/>
      <c r="N6"/>
      <c r="O6"/>
      <c r="AA6" s="65" t="s">
        <v>650</v>
      </c>
      <c r="AB6" s="95" t="s">
        <v>97</v>
      </c>
    </row>
    <row r="7" spans="1:28" ht="18.75" x14ac:dyDescent="0.3">
      <c r="A7" s="43" t="s">
        <v>172</v>
      </c>
      <c r="B7" s="43"/>
      <c r="C7" s="43"/>
      <c r="D7" s="43"/>
      <c r="E7" s="43"/>
      <c r="F7" s="43">
        <v>1</v>
      </c>
      <c r="G7" s="43"/>
      <c r="H7" s="43"/>
      <c r="I7"/>
      <c r="J7"/>
      <c r="K7"/>
      <c r="L7" s="44"/>
      <c r="M7"/>
      <c r="N7"/>
      <c r="O7"/>
      <c r="AA7" s="64" t="s">
        <v>651</v>
      </c>
      <c r="AB7" s="93" t="s">
        <v>667</v>
      </c>
    </row>
    <row r="8" spans="1:28" ht="18.75" x14ac:dyDescent="0.3">
      <c r="A8" s="43" t="s">
        <v>95</v>
      </c>
      <c r="B8" s="43">
        <v>1</v>
      </c>
      <c r="C8" s="43">
        <v>1</v>
      </c>
      <c r="D8" s="43"/>
      <c r="E8" s="43"/>
      <c r="F8" s="43"/>
      <c r="G8" s="43"/>
      <c r="H8" s="43"/>
      <c r="I8" s="44"/>
      <c r="J8" s="44"/>
      <c r="K8" s="44"/>
      <c r="L8" s="44"/>
      <c r="M8"/>
      <c r="N8"/>
      <c r="O8"/>
      <c r="AA8" s="65" t="s">
        <v>652</v>
      </c>
      <c r="AB8" s="95" t="s">
        <v>668</v>
      </c>
    </row>
    <row r="9" spans="1:28" ht="18.75" x14ac:dyDescent="0.3">
      <c r="A9" s="43" t="s">
        <v>304</v>
      </c>
      <c r="B9" s="43"/>
      <c r="C9" s="43"/>
      <c r="D9" s="43"/>
      <c r="E9" s="43">
        <v>2</v>
      </c>
      <c r="F9" s="43"/>
      <c r="G9" s="43"/>
      <c r="H9" s="43"/>
      <c r="I9" s="44"/>
      <c r="J9" s="44"/>
      <c r="K9" s="44"/>
      <c r="L9" s="44"/>
      <c r="M9"/>
      <c r="N9" s="46"/>
      <c r="O9" s="46"/>
      <c r="AA9" s="64" t="s">
        <v>653</v>
      </c>
      <c r="AB9" s="93" t="s">
        <v>572</v>
      </c>
    </row>
    <row r="10" spans="1:28" ht="18.75" x14ac:dyDescent="0.25">
      <c r="A10" s="43" t="s">
        <v>150</v>
      </c>
      <c r="B10" s="43">
        <v>2</v>
      </c>
      <c r="C10" s="43">
        <v>1</v>
      </c>
      <c r="D10" s="43">
        <v>1</v>
      </c>
      <c r="E10" s="43"/>
      <c r="F10" s="43"/>
      <c r="G10" s="43"/>
      <c r="H10" s="43"/>
      <c r="I10" s="44"/>
      <c r="J10" s="44"/>
      <c r="K10" s="44"/>
      <c r="L10" s="44"/>
      <c r="M10"/>
      <c r="N10" s="46"/>
      <c r="O10" s="46"/>
      <c r="AA10" s="66" t="s">
        <v>655</v>
      </c>
      <c r="AB10" s="96" t="s">
        <v>572</v>
      </c>
    </row>
    <row r="11" spans="1:28" ht="18.75" x14ac:dyDescent="0.3">
      <c r="A11" s="43" t="s">
        <v>109</v>
      </c>
      <c r="B11" s="43"/>
      <c r="C11" s="43"/>
      <c r="D11" s="43"/>
      <c r="E11" s="43">
        <v>2</v>
      </c>
      <c r="F11" s="43"/>
      <c r="G11" s="43"/>
      <c r="H11" s="43"/>
      <c r="I11" s="43"/>
      <c r="J11" s="43"/>
      <c r="K11" s="43"/>
      <c r="L11" s="43"/>
      <c r="M11"/>
      <c r="N11"/>
      <c r="O11"/>
      <c r="P11"/>
      <c r="Q11"/>
      <c r="R11"/>
      <c r="S11"/>
      <c r="T11"/>
      <c r="W11" s="8"/>
      <c r="AA11" s="64" t="s">
        <v>656</v>
      </c>
      <c r="AB11" s="93" t="s">
        <v>572</v>
      </c>
    </row>
    <row r="12" spans="1:28" ht="18.75" x14ac:dyDescent="0.3">
      <c r="A12" s="43"/>
      <c r="B12" s="43"/>
      <c r="C12" s="43"/>
      <c r="D12" s="43"/>
      <c r="E12" s="43"/>
      <c r="F12" s="43"/>
      <c r="G12" s="43"/>
      <c r="H12" s="43"/>
      <c r="I12" s="43"/>
      <c r="J12" s="43"/>
      <c r="K12" s="43"/>
      <c r="L12" s="43"/>
      <c r="M12"/>
      <c r="N12"/>
      <c r="O12"/>
      <c r="P12"/>
      <c r="Q12"/>
      <c r="R12"/>
      <c r="S12"/>
      <c r="T12"/>
      <c r="W12" s="8"/>
      <c r="AA12" s="65" t="s">
        <v>659</v>
      </c>
      <c r="AB12" s="95" t="s">
        <v>669</v>
      </c>
    </row>
    <row r="13" spans="1:28" ht="18.75" x14ac:dyDescent="0.3">
      <c r="M13" s="12"/>
      <c r="AA13" s="64" t="s">
        <v>660</v>
      </c>
      <c r="AB13" s="97" t="s">
        <v>665</v>
      </c>
    </row>
    <row r="14" spans="1:28" ht="19.5" thickBot="1" x14ac:dyDescent="0.35">
      <c r="AA14" s="91" t="s">
        <v>459</v>
      </c>
      <c r="AB14" s="98"/>
    </row>
    <row r="17" spans="1:8" ht="24" x14ac:dyDescent="0.4">
      <c r="A17" s="192" t="s">
        <v>456</v>
      </c>
      <c r="B17" s="192"/>
      <c r="C17" s="192"/>
      <c r="D17" s="192"/>
      <c r="E17" s="192"/>
      <c r="F17" s="192"/>
      <c r="G17" s="192"/>
      <c r="H17" s="192"/>
    </row>
    <row r="18" spans="1:8" s="7" customFormat="1" ht="19.5" thickBot="1" x14ac:dyDescent="0.35">
      <c r="A18" s="7" t="s">
        <v>449</v>
      </c>
      <c r="B18" s="9" t="s">
        <v>458</v>
      </c>
      <c r="C18" s="9" t="s">
        <v>450</v>
      </c>
      <c r="D18" s="9" t="s">
        <v>451</v>
      </c>
      <c r="E18" s="9" t="s">
        <v>452</v>
      </c>
      <c r="F18" s="9" t="s">
        <v>453</v>
      </c>
      <c r="G18" s="7" t="s">
        <v>454</v>
      </c>
      <c r="H18" s="7" t="s">
        <v>455</v>
      </c>
    </row>
    <row r="19" spans="1:8" x14ac:dyDescent="0.25">
      <c r="A19" s="107" t="s">
        <v>76</v>
      </c>
      <c r="B19" s="108"/>
      <c r="C19" s="108"/>
      <c r="D19" s="108"/>
      <c r="E19" s="79"/>
      <c r="F19" s="108">
        <v>1</v>
      </c>
      <c r="G19" s="108"/>
      <c r="H19" s="109"/>
    </row>
    <row r="20" spans="1:8" x14ac:dyDescent="0.25">
      <c r="A20" s="110" t="s">
        <v>172</v>
      </c>
      <c r="B20" s="35"/>
      <c r="C20" s="35"/>
      <c r="D20" s="35">
        <v>1</v>
      </c>
      <c r="E20"/>
      <c r="F20" s="35"/>
      <c r="G20" s="35"/>
      <c r="H20" s="111"/>
    </row>
    <row r="21" spans="1:8" x14ac:dyDescent="0.25">
      <c r="A21" s="110" t="s">
        <v>95</v>
      </c>
      <c r="B21" s="35"/>
      <c r="C21" s="35">
        <v>1</v>
      </c>
      <c r="D21" s="35">
        <v>2</v>
      </c>
      <c r="E21"/>
      <c r="F21" s="35"/>
      <c r="G21" s="35"/>
      <c r="H21" s="111"/>
    </row>
    <row r="22" spans="1:8" x14ac:dyDescent="0.25">
      <c r="A22" s="110" t="s">
        <v>304</v>
      </c>
      <c r="B22" s="35">
        <v>1</v>
      </c>
      <c r="C22" s="35">
        <v>1</v>
      </c>
      <c r="D22" s="35">
        <v>1</v>
      </c>
      <c r="E22"/>
      <c r="F22" s="35"/>
      <c r="G22" s="35"/>
      <c r="H22" s="111"/>
    </row>
    <row r="23" spans="1:8" x14ac:dyDescent="0.25">
      <c r="A23" s="110" t="s">
        <v>150</v>
      </c>
      <c r="B23" s="35"/>
      <c r="C23" s="35"/>
      <c r="D23" s="35"/>
      <c r="E23"/>
      <c r="F23" s="35">
        <v>1</v>
      </c>
      <c r="G23" s="35"/>
      <c r="H23" s="111"/>
    </row>
    <row r="24" spans="1:8" ht="16.5" thickBot="1" x14ac:dyDescent="0.3">
      <c r="A24" s="112" t="s">
        <v>109</v>
      </c>
      <c r="B24" s="113"/>
      <c r="C24" s="113"/>
      <c r="D24" s="113"/>
      <c r="E24" s="114"/>
      <c r="F24" s="113"/>
      <c r="G24" s="113"/>
      <c r="H24" s="115"/>
    </row>
    <row r="33" spans="1:8" x14ac:dyDescent="0.25">
      <c r="A33" s="42" t="s">
        <v>1</v>
      </c>
      <c r="B33" s="43" t="s">
        <v>209</v>
      </c>
      <c r="C33" s="43"/>
      <c r="D33" s="43"/>
      <c r="E33" s="43"/>
      <c r="F33" s="43"/>
    </row>
    <row r="34" spans="1:8" x14ac:dyDescent="0.25">
      <c r="A34" s="42" t="s">
        <v>10</v>
      </c>
      <c r="B34" s="43" t="s">
        <v>127</v>
      </c>
      <c r="C34" s="43"/>
      <c r="D34" s="43"/>
      <c r="E34" s="43"/>
      <c r="F34" s="43"/>
    </row>
    <row r="35" spans="1:8" x14ac:dyDescent="0.25">
      <c r="A35" s="43"/>
      <c r="B35" s="43"/>
      <c r="C35" s="43"/>
      <c r="D35" s="43"/>
      <c r="E35" s="43"/>
      <c r="F35" s="43"/>
    </row>
    <row r="36" spans="1:8" x14ac:dyDescent="0.25">
      <c r="A36" s="42" t="s">
        <v>128</v>
      </c>
      <c r="B36" s="80" t="s">
        <v>5</v>
      </c>
      <c r="C36"/>
      <c r="D36"/>
      <c r="E36"/>
      <c r="F36"/>
    </row>
    <row r="37" spans="1:8" x14ac:dyDescent="0.25">
      <c r="A37" s="42" t="s">
        <v>52</v>
      </c>
      <c r="B37" s="43" t="s">
        <v>454</v>
      </c>
      <c r="C37"/>
      <c r="D37"/>
      <c r="E37"/>
      <c r="F37"/>
    </row>
    <row r="38" spans="1:8" x14ac:dyDescent="0.25">
      <c r="A38" s="43" t="s">
        <v>304</v>
      </c>
      <c r="B38" s="43">
        <v>1</v>
      </c>
      <c r="C38"/>
      <c r="D38"/>
      <c r="E38"/>
      <c r="F38"/>
    </row>
    <row r="39" spans="1:8" x14ac:dyDescent="0.25">
      <c r="A39" s="43" t="s">
        <v>109</v>
      </c>
      <c r="B39" s="43">
        <v>1</v>
      </c>
      <c r="C39"/>
      <c r="D39"/>
      <c r="E39"/>
      <c r="F39"/>
    </row>
    <row r="40" spans="1:8" x14ac:dyDescent="0.25">
      <c r="A40"/>
      <c r="B40"/>
      <c r="C40"/>
      <c r="D40"/>
      <c r="E40"/>
      <c r="F40"/>
    </row>
    <row r="41" spans="1:8" x14ac:dyDescent="0.25">
      <c r="A41"/>
      <c r="B41"/>
      <c r="C41"/>
      <c r="D41"/>
      <c r="E41"/>
      <c r="F41"/>
    </row>
    <row r="42" spans="1:8" x14ac:dyDescent="0.25">
      <c r="A42"/>
      <c r="B42"/>
      <c r="C42"/>
      <c r="D42"/>
      <c r="E42"/>
      <c r="F42"/>
    </row>
    <row r="43" spans="1:8" x14ac:dyDescent="0.25">
      <c r="A43"/>
      <c r="B43"/>
      <c r="C43"/>
      <c r="D43"/>
      <c r="E43"/>
      <c r="F43"/>
    </row>
    <row r="44" spans="1:8" ht="24" x14ac:dyDescent="0.4">
      <c r="A44" s="192" t="s">
        <v>738</v>
      </c>
      <c r="B44" s="192"/>
      <c r="C44" s="192"/>
      <c r="D44" s="192"/>
      <c r="E44" s="192"/>
      <c r="F44" s="192"/>
      <c r="G44" s="192"/>
      <c r="H44" s="192"/>
    </row>
    <row r="45" spans="1:8" ht="19.5" thickBot="1" x14ac:dyDescent="0.35">
      <c r="A45" s="7" t="s">
        <v>449</v>
      </c>
      <c r="B45" s="9" t="s">
        <v>458</v>
      </c>
      <c r="C45" s="9" t="s">
        <v>450</v>
      </c>
      <c r="D45" s="9" t="s">
        <v>451</v>
      </c>
      <c r="E45" s="9" t="s">
        <v>452</v>
      </c>
      <c r="F45" s="9" t="s">
        <v>453</v>
      </c>
      <c r="G45" s="7" t="s">
        <v>454</v>
      </c>
      <c r="H45" s="7" t="s">
        <v>455</v>
      </c>
    </row>
    <row r="46" spans="1:8" x14ac:dyDescent="0.25">
      <c r="A46" s="107" t="s">
        <v>304</v>
      </c>
      <c r="B46" s="108"/>
      <c r="C46" s="108"/>
      <c r="D46" s="108"/>
      <c r="E46" s="79"/>
      <c r="F46" s="108"/>
      <c r="G46" s="108">
        <v>1</v>
      </c>
      <c r="H46" s="109"/>
    </row>
    <row r="47" spans="1:8" x14ac:dyDescent="0.25">
      <c r="A47" s="110" t="s">
        <v>109</v>
      </c>
      <c r="B47" s="35"/>
      <c r="C47" s="35"/>
      <c r="D47" s="35"/>
      <c r="E47"/>
      <c r="F47" s="35"/>
      <c r="G47" s="35">
        <v>1</v>
      </c>
      <c r="H47" s="111"/>
    </row>
  </sheetData>
  <mergeCells count="2">
    <mergeCell ref="A44:H44"/>
    <mergeCell ref="A17:H17"/>
  </mergeCells>
  <pageMargins left="0.7" right="0.7" top="0.75" bottom="0.75" header="0.3" footer="0.3"/>
  <pageSetup orientation="portrait" horizontalDpi="1200" verticalDpi="1200" r:id="rId3"/>
  <tableParts count="3">
    <tablePart r:id="rId4"/>
    <tablePart r:id="rId5"/>
    <tablePart r:id="rId6"/>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9B58CE-69A7-496E-B97E-DE68943A7A72}">
  <sheetPr>
    <tabColor rgb="FFFF0000"/>
  </sheetPr>
  <dimension ref="A1:AT10"/>
  <sheetViews>
    <sheetView workbookViewId="0">
      <selection sqref="A1:AT10"/>
    </sheetView>
  </sheetViews>
  <sheetFormatPr defaultRowHeight="15" x14ac:dyDescent="0.25"/>
  <cols>
    <col min="1" max="1" width="19.28515625" bestFit="1" customWidth="1"/>
    <col min="2" max="2" width="15.42578125" bestFit="1" customWidth="1"/>
    <col min="3" max="3" width="28.28515625" bestFit="1" customWidth="1"/>
    <col min="4" max="4" width="18.28515625" bestFit="1" customWidth="1"/>
    <col min="5" max="5" width="15" bestFit="1" customWidth="1"/>
    <col min="6" max="6" width="15.7109375" bestFit="1" customWidth="1"/>
    <col min="7" max="7" width="18.42578125" bestFit="1" customWidth="1"/>
    <col min="8" max="8" width="39.85546875" bestFit="1" customWidth="1"/>
    <col min="9" max="9" width="33.28515625" bestFit="1" customWidth="1"/>
    <col min="10" max="10" width="53.28515625" bestFit="1" customWidth="1"/>
    <col min="11" max="11" width="21.42578125" bestFit="1" customWidth="1"/>
    <col min="12" max="12" width="29.28515625" bestFit="1" customWidth="1"/>
    <col min="13" max="13" width="21.42578125" bestFit="1" customWidth="1"/>
    <col min="14" max="14" width="79.7109375" bestFit="1" customWidth="1"/>
    <col min="15" max="15" width="9.7109375" bestFit="1" customWidth="1"/>
    <col min="16" max="16" width="10.42578125" bestFit="1" customWidth="1"/>
    <col min="17" max="17" width="80.85546875" bestFit="1" customWidth="1"/>
    <col min="18" max="18" width="23.85546875" bestFit="1" customWidth="1"/>
    <col min="19" max="19" width="25.5703125" bestFit="1" customWidth="1"/>
    <col min="20" max="20" width="19.28515625" bestFit="1" customWidth="1"/>
    <col min="21" max="21" width="12.140625" bestFit="1" customWidth="1"/>
    <col min="22" max="22" width="12.85546875" bestFit="1" customWidth="1"/>
    <col min="23" max="23" width="16.7109375" bestFit="1" customWidth="1"/>
    <col min="24" max="24" width="19.28515625" bestFit="1" customWidth="1"/>
    <col min="25" max="25" width="16.7109375" bestFit="1" customWidth="1"/>
    <col min="26" max="26" width="12.140625" bestFit="1" customWidth="1"/>
    <col min="27" max="27" width="12.85546875" bestFit="1" customWidth="1"/>
    <col min="28" max="28" width="18.28515625" bestFit="1" customWidth="1"/>
    <col min="29" max="29" width="20.28515625" bestFit="1" customWidth="1"/>
    <col min="30" max="30" width="31.140625" bestFit="1" customWidth="1"/>
    <col min="31" max="31" width="12" bestFit="1" customWidth="1"/>
    <col min="32" max="32" width="27.140625" bestFit="1" customWidth="1"/>
    <col min="33" max="33" width="31.140625" bestFit="1" customWidth="1"/>
    <col min="34" max="34" width="26.42578125" bestFit="1" customWidth="1"/>
    <col min="35" max="35" width="10" bestFit="1" customWidth="1"/>
    <col min="36" max="36" width="18.7109375" bestFit="1" customWidth="1"/>
    <col min="37" max="37" width="20.7109375" bestFit="1" customWidth="1"/>
    <col min="38" max="38" width="9.28515625" bestFit="1" customWidth="1"/>
    <col min="39" max="39" width="16.7109375" bestFit="1" customWidth="1"/>
    <col min="40" max="40" width="27" bestFit="1" customWidth="1"/>
    <col min="41" max="41" width="8.7109375" bestFit="1" customWidth="1"/>
    <col min="42" max="42" width="80.85546875" bestFit="1" customWidth="1"/>
    <col min="43" max="43" width="36.5703125" bestFit="1" customWidth="1"/>
    <col min="44" max="45" width="80.85546875" bestFit="1" customWidth="1"/>
    <col min="46" max="46" width="21.7109375" bestFit="1" customWidth="1"/>
  </cols>
  <sheetData>
    <row r="1" spans="1:46" ht="15.75" x14ac:dyDescent="0.25">
      <c r="A1" s="120" t="s">
        <v>0</v>
      </c>
      <c r="B1" s="120" t="s">
        <v>1</v>
      </c>
      <c r="C1" s="120" t="s">
        <v>52</v>
      </c>
      <c r="D1" s="120" t="s">
        <v>3</v>
      </c>
      <c r="E1" s="120" t="s">
        <v>4</v>
      </c>
      <c r="F1" s="120" t="s">
        <v>5</v>
      </c>
      <c r="G1" s="120" t="s">
        <v>6</v>
      </c>
      <c r="H1" s="120" t="s">
        <v>7</v>
      </c>
      <c r="I1" s="120" t="s">
        <v>8</v>
      </c>
      <c r="J1" s="120" t="s">
        <v>10</v>
      </c>
      <c r="K1" s="120" t="s">
        <v>9</v>
      </c>
      <c r="L1" s="120" t="s">
        <v>11</v>
      </c>
      <c r="M1" s="120" t="s">
        <v>12</v>
      </c>
      <c r="N1" s="120" t="s">
        <v>13</v>
      </c>
      <c r="O1" s="120" t="s">
        <v>14</v>
      </c>
      <c r="P1" s="120" t="s">
        <v>15</v>
      </c>
      <c r="Q1" s="120" t="s">
        <v>16</v>
      </c>
      <c r="R1" s="120" t="s">
        <v>17</v>
      </c>
      <c r="S1" s="120" t="s">
        <v>18</v>
      </c>
      <c r="T1" s="120" t="s">
        <v>19</v>
      </c>
      <c r="U1" s="120" t="s">
        <v>20</v>
      </c>
      <c r="V1" s="120" t="s">
        <v>21</v>
      </c>
      <c r="W1" s="120" t="s">
        <v>22</v>
      </c>
      <c r="X1" s="120" t="s">
        <v>23</v>
      </c>
      <c r="Y1" s="120" t="s">
        <v>24</v>
      </c>
      <c r="Z1" s="120" t="s">
        <v>25</v>
      </c>
      <c r="AA1" s="120" t="s">
        <v>26</v>
      </c>
      <c r="AB1" s="120" t="s">
        <v>27</v>
      </c>
      <c r="AC1" s="120" t="s">
        <v>28</v>
      </c>
      <c r="AD1" s="120" t="s">
        <v>29</v>
      </c>
      <c r="AE1" s="120" t="s">
        <v>30</v>
      </c>
      <c r="AF1" s="120" t="s">
        <v>31</v>
      </c>
      <c r="AG1" s="120" t="s">
        <v>32</v>
      </c>
      <c r="AH1" s="120" t="s">
        <v>33</v>
      </c>
      <c r="AI1" s="120" t="s">
        <v>41</v>
      </c>
      <c r="AJ1" s="120" t="s">
        <v>42</v>
      </c>
      <c r="AK1" s="120" t="s">
        <v>43</v>
      </c>
      <c r="AL1" s="120" t="s">
        <v>44</v>
      </c>
      <c r="AM1" s="120" t="s">
        <v>45</v>
      </c>
      <c r="AN1" s="120" t="s">
        <v>46</v>
      </c>
      <c r="AO1" s="120" t="s">
        <v>47</v>
      </c>
      <c r="AP1" s="120" t="s">
        <v>459</v>
      </c>
      <c r="AQ1" s="120" t="s">
        <v>48</v>
      </c>
      <c r="AR1" s="120" t="s">
        <v>49</v>
      </c>
      <c r="AS1" s="120" t="s">
        <v>50</v>
      </c>
      <c r="AT1" s="120" t="s">
        <v>51</v>
      </c>
    </row>
    <row r="2" spans="1:46" ht="15.75" x14ac:dyDescent="0.25">
      <c r="A2" s="120" t="s">
        <v>341</v>
      </c>
      <c r="B2" s="145">
        <v>45670</v>
      </c>
      <c r="C2" s="120" t="s">
        <v>76</v>
      </c>
      <c r="D2" s="146">
        <v>0.5</v>
      </c>
      <c r="E2" s="146">
        <v>0.50347222222222221</v>
      </c>
      <c r="F2" s="120" t="s">
        <v>450</v>
      </c>
      <c r="G2" s="120" t="s">
        <v>55</v>
      </c>
      <c r="H2" s="120" t="s">
        <v>342</v>
      </c>
      <c r="I2" s="120" t="s">
        <v>343</v>
      </c>
      <c r="J2" s="120" t="s">
        <v>345</v>
      </c>
      <c r="K2" s="120" t="s">
        <v>344</v>
      </c>
      <c r="L2" s="120" t="s">
        <v>346</v>
      </c>
      <c r="M2" s="120" t="s">
        <v>347</v>
      </c>
      <c r="N2" s="120" t="s">
        <v>348</v>
      </c>
      <c r="O2" s="120" t="s">
        <v>84</v>
      </c>
      <c r="P2" s="120">
        <v>8</v>
      </c>
      <c r="Q2" s="120" t="s">
        <v>349</v>
      </c>
      <c r="R2" s="120"/>
      <c r="S2" s="120"/>
      <c r="T2" s="120"/>
      <c r="U2" s="120"/>
      <c r="V2" s="120"/>
      <c r="W2" s="120"/>
      <c r="X2" s="120"/>
      <c r="Y2" s="120"/>
      <c r="Z2" s="120"/>
      <c r="AA2" s="120"/>
      <c r="AB2" s="120" t="s">
        <v>157</v>
      </c>
      <c r="AC2" s="120" t="s">
        <v>67</v>
      </c>
      <c r="AD2" s="120" t="s">
        <v>350</v>
      </c>
      <c r="AE2" s="120" t="s">
        <v>351</v>
      </c>
      <c r="AF2" s="120" t="s">
        <v>352</v>
      </c>
      <c r="AG2" s="120" t="s">
        <v>123</v>
      </c>
      <c r="AH2" s="120" t="s">
        <v>353</v>
      </c>
      <c r="AI2" s="120">
        <v>2025</v>
      </c>
      <c r="AJ2" s="120">
        <v>3</v>
      </c>
      <c r="AK2" s="120">
        <v>3</v>
      </c>
      <c r="AL2" s="120">
        <v>13</v>
      </c>
      <c r="AM2" s="120">
        <v>13</v>
      </c>
      <c r="AN2" s="147">
        <v>45670.503472222219</v>
      </c>
      <c r="AO2" s="120">
        <v>204</v>
      </c>
      <c r="AP2" s="120" t="s">
        <v>349</v>
      </c>
      <c r="AQ2" s="120"/>
      <c r="AR2" s="120" t="s">
        <v>354</v>
      </c>
      <c r="AS2" s="120" t="s">
        <v>355</v>
      </c>
      <c r="AT2" s="120" t="s">
        <v>513</v>
      </c>
    </row>
    <row r="3" spans="1:46" ht="15.75" x14ac:dyDescent="0.25">
      <c r="A3" s="120" t="s">
        <v>356</v>
      </c>
      <c r="B3" s="145">
        <v>45671</v>
      </c>
      <c r="C3" s="120" t="s">
        <v>76</v>
      </c>
      <c r="D3" s="146">
        <v>0.625</v>
      </c>
      <c r="E3" s="146">
        <v>0.64067129629629627</v>
      </c>
      <c r="F3" s="120" t="s">
        <v>451</v>
      </c>
      <c r="G3" s="120" t="s">
        <v>55</v>
      </c>
      <c r="H3" s="120" t="s">
        <v>357</v>
      </c>
      <c r="I3" s="120" t="s">
        <v>358</v>
      </c>
      <c r="J3" s="120" t="s">
        <v>359</v>
      </c>
      <c r="K3" s="120" t="s">
        <v>347</v>
      </c>
      <c r="L3" s="120" t="s">
        <v>360</v>
      </c>
      <c r="M3" s="120" t="s">
        <v>361</v>
      </c>
      <c r="N3" s="120" t="s">
        <v>362</v>
      </c>
      <c r="O3" s="120" t="s">
        <v>363</v>
      </c>
      <c r="P3" s="120">
        <v>9</v>
      </c>
      <c r="Q3" s="120" t="s">
        <v>364</v>
      </c>
      <c r="R3" s="120"/>
      <c r="S3" s="120"/>
      <c r="T3" s="120" t="s">
        <v>365</v>
      </c>
      <c r="U3" s="120" t="s">
        <v>366</v>
      </c>
      <c r="V3" s="120" t="s">
        <v>367</v>
      </c>
      <c r="W3" s="120" t="s">
        <v>65</v>
      </c>
      <c r="X3" s="120"/>
      <c r="Y3" s="120"/>
      <c r="Z3" s="120"/>
      <c r="AA3" s="120"/>
      <c r="AB3" s="120" t="s">
        <v>119</v>
      </c>
      <c r="AC3" s="120" t="s">
        <v>67</v>
      </c>
      <c r="AD3" s="120" t="s">
        <v>219</v>
      </c>
      <c r="AE3" s="120" t="s">
        <v>159</v>
      </c>
      <c r="AF3" s="120" t="s">
        <v>160</v>
      </c>
      <c r="AG3" s="120" t="s">
        <v>123</v>
      </c>
      <c r="AH3" s="120" t="s">
        <v>353</v>
      </c>
      <c r="AI3" s="120">
        <v>2025</v>
      </c>
      <c r="AJ3" s="120">
        <v>3</v>
      </c>
      <c r="AK3" s="120">
        <v>3</v>
      </c>
      <c r="AL3" s="120">
        <v>14</v>
      </c>
      <c r="AM3" s="120">
        <v>14</v>
      </c>
      <c r="AN3" s="147">
        <v>45671.640277777777</v>
      </c>
      <c r="AO3" s="120">
        <v>450</v>
      </c>
      <c r="AP3" s="120" t="s">
        <v>364</v>
      </c>
      <c r="AQ3" s="120" t="s">
        <v>369</v>
      </c>
      <c r="AR3" s="120" t="s">
        <v>59</v>
      </c>
      <c r="AS3" s="120" t="s">
        <v>370</v>
      </c>
      <c r="AT3" s="120" t="s">
        <v>512</v>
      </c>
    </row>
    <row r="4" spans="1:46" ht="15.75" x14ac:dyDescent="0.25">
      <c r="A4" s="120" t="s">
        <v>371</v>
      </c>
      <c r="B4" s="145">
        <v>45673</v>
      </c>
      <c r="C4" s="120" t="s">
        <v>109</v>
      </c>
      <c r="D4" s="146">
        <v>0.875</v>
      </c>
      <c r="E4" s="146">
        <v>0.87708333333333333</v>
      </c>
      <c r="F4" s="120" t="s">
        <v>536</v>
      </c>
      <c r="G4" s="120" t="s">
        <v>55</v>
      </c>
      <c r="H4" s="120" t="s">
        <v>372</v>
      </c>
      <c r="I4" s="120" t="s">
        <v>373</v>
      </c>
      <c r="J4" s="120" t="s">
        <v>347</v>
      </c>
      <c r="K4" s="120" t="s">
        <v>347</v>
      </c>
      <c r="L4" s="120" t="s">
        <v>59</v>
      </c>
      <c r="M4" s="120" t="s">
        <v>59</v>
      </c>
      <c r="N4" s="120" t="s">
        <v>374</v>
      </c>
      <c r="O4" s="120" t="s">
        <v>178</v>
      </c>
      <c r="P4" s="120">
        <v>9</v>
      </c>
      <c r="Q4" s="120" t="s">
        <v>375</v>
      </c>
      <c r="R4" s="120"/>
      <c r="S4" s="120"/>
      <c r="T4" s="120"/>
      <c r="U4" s="120" t="s">
        <v>376</v>
      </c>
      <c r="V4" s="120" t="s">
        <v>377</v>
      </c>
      <c r="W4" s="120"/>
      <c r="X4" s="120"/>
      <c r="Y4" s="120"/>
      <c r="Z4" s="120"/>
      <c r="AA4" s="120"/>
      <c r="AB4" s="120" t="s">
        <v>66</v>
      </c>
      <c r="AC4" s="120" t="s">
        <v>67</v>
      </c>
      <c r="AD4" s="120" t="s">
        <v>89</v>
      </c>
      <c r="AE4" s="120" t="s">
        <v>90</v>
      </c>
      <c r="AF4" s="120" t="s">
        <v>378</v>
      </c>
      <c r="AG4" s="120" t="s">
        <v>195</v>
      </c>
      <c r="AH4" s="120" t="s">
        <v>353</v>
      </c>
      <c r="AI4" s="120">
        <v>2025</v>
      </c>
      <c r="AJ4" s="120">
        <v>3</v>
      </c>
      <c r="AK4" s="120">
        <v>3</v>
      </c>
      <c r="AL4" s="120">
        <v>16</v>
      </c>
      <c r="AM4" s="120">
        <v>16</v>
      </c>
      <c r="AN4" s="147">
        <v>45673.877083333333</v>
      </c>
      <c r="AO4" s="120">
        <v>630</v>
      </c>
      <c r="AP4" s="120" t="s">
        <v>375</v>
      </c>
      <c r="AQ4" s="120" t="s">
        <v>379</v>
      </c>
      <c r="AR4" s="120" t="s">
        <v>380</v>
      </c>
      <c r="AS4" s="120" t="s">
        <v>381</v>
      </c>
      <c r="AT4" s="120" t="s">
        <v>512</v>
      </c>
    </row>
    <row r="5" spans="1:46" ht="15.75" x14ac:dyDescent="0.25">
      <c r="A5" s="120" t="s">
        <v>382</v>
      </c>
      <c r="B5" s="145">
        <v>45690</v>
      </c>
      <c r="C5" s="120" t="s">
        <v>95</v>
      </c>
      <c r="D5" s="146">
        <v>0.70833333333333337</v>
      </c>
      <c r="E5" s="146">
        <v>0.72569444444444442</v>
      </c>
      <c r="F5" s="120" t="s">
        <v>458</v>
      </c>
      <c r="G5" s="120" t="s">
        <v>111</v>
      </c>
      <c r="H5" s="120" t="s">
        <v>294</v>
      </c>
      <c r="I5" s="120" t="s">
        <v>383</v>
      </c>
      <c r="J5" s="120" t="s">
        <v>384</v>
      </c>
      <c r="K5" s="120" t="s">
        <v>176</v>
      </c>
      <c r="L5" s="120" t="s">
        <v>347</v>
      </c>
      <c r="M5" s="120" t="s">
        <v>59</v>
      </c>
      <c r="N5" s="120" t="s">
        <v>385</v>
      </c>
      <c r="O5" s="120" t="s">
        <v>145</v>
      </c>
      <c r="P5" s="120">
        <v>5</v>
      </c>
      <c r="Q5" s="120" t="s">
        <v>386</v>
      </c>
      <c r="R5" s="120"/>
      <c r="S5" s="120"/>
      <c r="T5" s="120"/>
      <c r="U5" s="120"/>
      <c r="V5" s="120"/>
      <c r="W5" s="120"/>
      <c r="X5" s="120"/>
      <c r="Y5" s="120"/>
      <c r="Z5" s="120"/>
      <c r="AA5" s="120"/>
      <c r="AB5" s="120" t="s">
        <v>66</v>
      </c>
      <c r="AC5" s="120" t="s">
        <v>67</v>
      </c>
      <c r="AD5" s="120" t="s">
        <v>105</v>
      </c>
      <c r="AE5" s="120" t="s">
        <v>69</v>
      </c>
      <c r="AF5" s="120" t="s">
        <v>180</v>
      </c>
      <c r="AG5" s="120" t="s">
        <v>92</v>
      </c>
      <c r="AH5" s="120"/>
      <c r="AI5" s="120">
        <v>2025</v>
      </c>
      <c r="AJ5" s="120">
        <v>6</v>
      </c>
      <c r="AK5" s="120">
        <v>2</v>
      </c>
      <c r="AL5" s="120">
        <v>2</v>
      </c>
      <c r="AM5" s="120">
        <v>33</v>
      </c>
      <c r="AN5" s="147">
        <v>45690.725694444445</v>
      </c>
      <c r="AO5" s="120">
        <v>144</v>
      </c>
      <c r="AP5" s="120" t="s">
        <v>386</v>
      </c>
      <c r="AQ5" s="120"/>
      <c r="AR5" s="120" t="s">
        <v>387</v>
      </c>
      <c r="AS5" s="120" t="s">
        <v>59</v>
      </c>
      <c r="AT5" s="120" t="s">
        <v>510</v>
      </c>
    </row>
    <row r="6" spans="1:46" ht="15.75" x14ac:dyDescent="0.25">
      <c r="A6" s="120" t="s">
        <v>388</v>
      </c>
      <c r="B6" s="145">
        <v>45691</v>
      </c>
      <c r="C6" s="120" t="s">
        <v>95</v>
      </c>
      <c r="D6" s="146">
        <v>0.66666666666666663</v>
      </c>
      <c r="E6" s="146">
        <v>0.694849537037037</v>
      </c>
      <c r="F6" s="120" t="s">
        <v>450</v>
      </c>
      <c r="G6" s="120" t="s">
        <v>111</v>
      </c>
      <c r="H6" s="120" t="s">
        <v>357</v>
      </c>
      <c r="I6" s="120" t="s">
        <v>389</v>
      </c>
      <c r="J6" s="120" t="s">
        <v>347</v>
      </c>
      <c r="K6" s="120" t="s">
        <v>347</v>
      </c>
      <c r="L6" s="120" t="s">
        <v>59</v>
      </c>
      <c r="M6" s="120" t="s">
        <v>59</v>
      </c>
      <c r="N6" s="120" t="s">
        <v>390</v>
      </c>
      <c r="O6" s="120" t="s">
        <v>363</v>
      </c>
      <c r="P6" s="120">
        <v>9</v>
      </c>
      <c r="Q6" s="120" t="s">
        <v>391</v>
      </c>
      <c r="R6" s="120"/>
      <c r="S6" s="120"/>
      <c r="T6" s="120"/>
      <c r="U6" s="120"/>
      <c r="V6" s="120"/>
      <c r="W6" s="120"/>
      <c r="X6" s="120"/>
      <c r="Y6" s="120"/>
      <c r="Z6" s="120"/>
      <c r="AA6" s="120"/>
      <c r="AB6" s="120" t="s">
        <v>88</v>
      </c>
      <c r="AC6" s="120" t="s">
        <v>67</v>
      </c>
      <c r="AD6" s="120" t="s">
        <v>136</v>
      </c>
      <c r="AE6" s="120" t="s">
        <v>69</v>
      </c>
      <c r="AF6" s="120" t="s">
        <v>106</v>
      </c>
      <c r="AG6" s="120" t="s">
        <v>71</v>
      </c>
      <c r="AH6" s="120" t="s">
        <v>353</v>
      </c>
      <c r="AI6" s="120">
        <v>2025</v>
      </c>
      <c r="AJ6" s="120">
        <v>6</v>
      </c>
      <c r="AK6" s="120">
        <v>2</v>
      </c>
      <c r="AL6" s="120">
        <v>3</v>
      </c>
      <c r="AM6" s="120">
        <v>34</v>
      </c>
      <c r="AN6" s="147">
        <v>45691.694444444445</v>
      </c>
      <c r="AO6" s="120">
        <v>400</v>
      </c>
      <c r="AP6" s="120" t="s">
        <v>391</v>
      </c>
      <c r="AQ6" s="120"/>
      <c r="AR6" s="120" t="s">
        <v>392</v>
      </c>
      <c r="AS6" s="120" t="s">
        <v>393</v>
      </c>
      <c r="AT6" s="120" t="s">
        <v>510</v>
      </c>
    </row>
    <row r="7" spans="1:46" ht="15.75" x14ac:dyDescent="0.25">
      <c r="A7" s="120" t="s">
        <v>437</v>
      </c>
      <c r="B7" s="145">
        <v>45701</v>
      </c>
      <c r="C7" s="120" t="s">
        <v>172</v>
      </c>
      <c r="D7" s="146">
        <v>8.3333333333333329E-2</v>
      </c>
      <c r="E7" s="146">
        <v>8.3333333333333329E-2</v>
      </c>
      <c r="F7" s="120" t="s">
        <v>536</v>
      </c>
      <c r="G7" s="120" t="s">
        <v>111</v>
      </c>
      <c r="H7" s="120" t="s">
        <v>438</v>
      </c>
      <c r="I7" s="120" t="s">
        <v>439</v>
      </c>
      <c r="J7" s="120" t="s">
        <v>441</v>
      </c>
      <c r="K7" s="120" t="s">
        <v>440</v>
      </c>
      <c r="L7" s="120" t="s">
        <v>442</v>
      </c>
      <c r="M7" s="120" t="s">
        <v>347</v>
      </c>
      <c r="N7" s="120" t="s">
        <v>443</v>
      </c>
      <c r="O7" s="120" t="s">
        <v>191</v>
      </c>
      <c r="P7" s="120">
        <v>9</v>
      </c>
      <c r="Q7" s="120" t="s">
        <v>444</v>
      </c>
      <c r="R7" s="120"/>
      <c r="S7" s="120"/>
      <c r="T7" s="120"/>
      <c r="U7" s="120"/>
      <c r="V7" s="120"/>
      <c r="W7" s="120"/>
      <c r="X7" s="120"/>
      <c r="Y7" s="120"/>
      <c r="Z7" s="120"/>
      <c r="AA7" s="120"/>
      <c r="AB7" s="120" t="s">
        <v>445</v>
      </c>
      <c r="AC7" s="120" t="s">
        <v>67</v>
      </c>
      <c r="AD7" s="120" t="s">
        <v>120</v>
      </c>
      <c r="AE7" s="120" t="s">
        <v>121</v>
      </c>
      <c r="AF7" s="120" t="s">
        <v>378</v>
      </c>
      <c r="AG7" s="120" t="s">
        <v>446</v>
      </c>
      <c r="AH7" s="120"/>
      <c r="AI7" s="120">
        <v>2025</v>
      </c>
      <c r="AJ7" s="120">
        <v>7</v>
      </c>
      <c r="AK7" s="120">
        <v>3</v>
      </c>
      <c r="AL7" s="120">
        <v>13</v>
      </c>
      <c r="AM7" s="120">
        <v>44</v>
      </c>
      <c r="AN7" s="147">
        <v>45701.083333333336</v>
      </c>
      <c r="AO7" s="120">
        <v>128</v>
      </c>
      <c r="AP7" s="120" t="s">
        <v>444</v>
      </c>
      <c r="AQ7" s="120"/>
      <c r="AR7" s="120" t="s">
        <v>447</v>
      </c>
      <c r="AS7" s="120" t="s">
        <v>448</v>
      </c>
      <c r="AT7" s="120" t="s">
        <v>508</v>
      </c>
    </row>
    <row r="8" spans="1:46" ht="15.75" x14ac:dyDescent="0.25">
      <c r="A8" s="120" t="s">
        <v>484</v>
      </c>
      <c r="B8" s="145">
        <v>45720</v>
      </c>
      <c r="C8" s="120" t="s">
        <v>95</v>
      </c>
      <c r="D8" s="146">
        <v>0.75</v>
      </c>
      <c r="E8" s="146">
        <v>0.79126157407407405</v>
      </c>
      <c r="F8" s="120" t="s">
        <v>451</v>
      </c>
      <c r="G8" s="120" t="s">
        <v>461</v>
      </c>
      <c r="H8" s="120" t="s">
        <v>485</v>
      </c>
      <c r="I8" s="120" t="s">
        <v>486</v>
      </c>
      <c r="J8" s="120" t="s">
        <v>347</v>
      </c>
      <c r="K8" s="120" t="s">
        <v>347</v>
      </c>
      <c r="L8" s="120" t="s">
        <v>59</v>
      </c>
      <c r="M8" s="120" t="s">
        <v>59</v>
      </c>
      <c r="N8" s="120" t="s">
        <v>487</v>
      </c>
      <c r="O8" s="120" t="s">
        <v>261</v>
      </c>
      <c r="P8" s="120">
        <v>6</v>
      </c>
      <c r="Q8" s="120" t="s">
        <v>488</v>
      </c>
      <c r="R8" s="120"/>
      <c r="S8" s="120"/>
      <c r="T8" s="120"/>
      <c r="U8" s="120"/>
      <c r="V8" s="120"/>
      <c r="W8" s="120"/>
      <c r="X8" s="120"/>
      <c r="Y8" s="120"/>
      <c r="Z8" s="120"/>
      <c r="AA8" s="120"/>
      <c r="AB8" s="120" t="s">
        <v>416</v>
      </c>
      <c r="AC8" s="120" t="s">
        <v>67</v>
      </c>
      <c r="AD8" s="120" t="s">
        <v>489</v>
      </c>
      <c r="AE8" s="120" t="s">
        <v>206</v>
      </c>
      <c r="AF8" s="120" t="s">
        <v>70</v>
      </c>
      <c r="AG8" s="120" t="s">
        <v>123</v>
      </c>
      <c r="AH8" s="120" t="s">
        <v>353</v>
      </c>
      <c r="AI8" s="120">
        <v>2025</v>
      </c>
      <c r="AJ8" s="120">
        <v>10</v>
      </c>
      <c r="AK8" s="120">
        <v>2</v>
      </c>
      <c r="AL8" s="120">
        <v>4</v>
      </c>
      <c r="AM8" s="120">
        <v>63</v>
      </c>
      <c r="AN8" s="147">
        <v>45720.790972222225</v>
      </c>
      <c r="AO8" s="120">
        <v>216</v>
      </c>
      <c r="AP8" s="120" t="s">
        <v>488</v>
      </c>
      <c r="AQ8" s="120"/>
      <c r="AR8" s="120" t="s">
        <v>490</v>
      </c>
      <c r="AS8" s="120" t="s">
        <v>491</v>
      </c>
      <c r="AT8" s="120" t="s">
        <v>505</v>
      </c>
    </row>
    <row r="9" spans="1:46" ht="15.75" x14ac:dyDescent="0.25">
      <c r="A9" s="120" t="s">
        <v>492</v>
      </c>
      <c r="B9" s="145">
        <v>45720</v>
      </c>
      <c r="C9" s="120" t="s">
        <v>76</v>
      </c>
      <c r="D9" s="146">
        <v>0.625</v>
      </c>
      <c r="E9" s="146">
        <v>0.64097222222222228</v>
      </c>
      <c r="F9" s="120" t="s">
        <v>451</v>
      </c>
      <c r="G9" s="120" t="s">
        <v>461</v>
      </c>
      <c r="H9" s="120" t="s">
        <v>493</v>
      </c>
      <c r="I9" s="120" t="s">
        <v>494</v>
      </c>
      <c r="J9" s="120" t="s">
        <v>495</v>
      </c>
      <c r="K9" s="120" t="s">
        <v>347</v>
      </c>
      <c r="L9" s="120" t="s">
        <v>496</v>
      </c>
      <c r="M9" s="120" t="s">
        <v>344</v>
      </c>
      <c r="N9" s="120" t="s">
        <v>497</v>
      </c>
      <c r="O9" s="120" t="s">
        <v>84</v>
      </c>
      <c r="P9" s="120">
        <v>8</v>
      </c>
      <c r="Q9" s="120" t="s">
        <v>498</v>
      </c>
      <c r="R9" s="120"/>
      <c r="S9" s="120"/>
      <c r="T9" s="120" t="s">
        <v>499</v>
      </c>
      <c r="U9" s="120" t="s">
        <v>500</v>
      </c>
      <c r="V9" s="120" t="s">
        <v>501</v>
      </c>
      <c r="W9" s="120" t="s">
        <v>65</v>
      </c>
      <c r="X9" s="120"/>
      <c r="Y9" s="120"/>
      <c r="Z9" s="120"/>
      <c r="AA9" s="120"/>
      <c r="AB9" s="120" t="s">
        <v>416</v>
      </c>
      <c r="AC9" s="120" t="s">
        <v>67</v>
      </c>
      <c r="AD9" s="120" t="s">
        <v>502</v>
      </c>
      <c r="AE9" s="120" t="s">
        <v>159</v>
      </c>
      <c r="AF9" s="120" t="s">
        <v>378</v>
      </c>
      <c r="AG9" s="120" t="s">
        <v>195</v>
      </c>
      <c r="AH9" s="120" t="s">
        <v>353</v>
      </c>
      <c r="AI9" s="120">
        <v>2025</v>
      </c>
      <c r="AJ9" s="120">
        <v>10</v>
      </c>
      <c r="AK9" s="120">
        <v>2</v>
      </c>
      <c r="AL9" s="120">
        <v>4</v>
      </c>
      <c r="AM9" s="120">
        <v>63</v>
      </c>
      <c r="AN9" s="147">
        <v>45720.640972222223</v>
      </c>
      <c r="AO9" s="120">
        <v>195</v>
      </c>
      <c r="AP9" s="120" t="s">
        <v>498</v>
      </c>
      <c r="AQ9" s="120" t="s">
        <v>503</v>
      </c>
      <c r="AR9" s="120" t="s">
        <v>504</v>
      </c>
      <c r="AS9" s="120" t="s">
        <v>59</v>
      </c>
      <c r="AT9" s="120" t="s">
        <v>505</v>
      </c>
    </row>
    <row r="10" spans="1:46" ht="15.75" x14ac:dyDescent="0.25">
      <c r="A10" s="120" t="s">
        <v>678</v>
      </c>
      <c r="B10" s="145">
        <v>45741</v>
      </c>
      <c r="C10" s="120" t="s">
        <v>150</v>
      </c>
      <c r="D10" s="146">
        <v>0.45833333333333331</v>
      </c>
      <c r="E10" s="146">
        <v>0.48402777777777778</v>
      </c>
      <c r="F10" s="120" t="s">
        <v>451</v>
      </c>
      <c r="G10" s="120" t="s">
        <v>461</v>
      </c>
      <c r="H10" s="120" t="s">
        <v>357</v>
      </c>
      <c r="I10" s="120" t="s">
        <v>358</v>
      </c>
      <c r="J10" s="120" t="s">
        <v>686</v>
      </c>
      <c r="K10" s="120" t="s">
        <v>347</v>
      </c>
      <c r="L10" s="120" t="s">
        <v>82</v>
      </c>
      <c r="M10" s="120" t="s">
        <v>687</v>
      </c>
      <c r="N10" s="120" t="s">
        <v>362</v>
      </c>
      <c r="O10" s="120" t="s">
        <v>363</v>
      </c>
      <c r="P10" s="120">
        <v>9</v>
      </c>
      <c r="Q10" s="120" t="s">
        <v>688</v>
      </c>
      <c r="R10" s="120"/>
      <c r="S10" s="120"/>
      <c r="T10" s="120" t="s">
        <v>689</v>
      </c>
      <c r="U10" s="120" t="s">
        <v>522</v>
      </c>
      <c r="V10" s="120" t="s">
        <v>690</v>
      </c>
      <c r="W10" s="120" t="s">
        <v>65</v>
      </c>
      <c r="X10" s="120"/>
      <c r="Y10" s="120"/>
      <c r="Z10" s="120"/>
      <c r="AA10" s="120"/>
      <c r="AB10" s="120" t="s">
        <v>157</v>
      </c>
      <c r="AC10" s="120" t="s">
        <v>67</v>
      </c>
      <c r="AD10" s="120" t="s">
        <v>647</v>
      </c>
      <c r="AE10" s="120" t="s">
        <v>351</v>
      </c>
      <c r="AF10" s="120" t="s">
        <v>160</v>
      </c>
      <c r="AG10" s="120" t="s">
        <v>123</v>
      </c>
      <c r="AH10" s="120"/>
      <c r="AI10" s="120">
        <v>2025</v>
      </c>
      <c r="AJ10" s="120">
        <v>13</v>
      </c>
      <c r="AK10" s="120">
        <v>5</v>
      </c>
      <c r="AL10" s="120">
        <v>25</v>
      </c>
      <c r="AM10" s="120">
        <v>84</v>
      </c>
      <c r="AN10" s="147">
        <v>45741.484027777777</v>
      </c>
      <c r="AO10" s="120">
        <v>450</v>
      </c>
      <c r="AP10" s="120" t="s">
        <v>688</v>
      </c>
      <c r="AQ10" s="120" t="s">
        <v>691</v>
      </c>
      <c r="AR10" s="120" t="s">
        <v>692</v>
      </c>
      <c r="AS10" s="120" t="s">
        <v>693</v>
      </c>
      <c r="AT10" s="120" t="s">
        <v>581</v>
      </c>
    </row>
  </sheetData>
  <pageMargins left="0.7" right="0.7" top="0.75" bottom="0.75" header="0.3" footer="0.3"/>
  <tableParts count="1">
    <tablePart r:id="rId1"/>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59260E-AE3B-4920-852E-5F4FE03B4DED}">
  <sheetPr>
    <tabColor rgb="FFFF0000"/>
  </sheetPr>
  <dimension ref="A1:P2"/>
  <sheetViews>
    <sheetView workbookViewId="0"/>
  </sheetViews>
  <sheetFormatPr defaultRowHeight="15" x14ac:dyDescent="0.25"/>
  <cols>
    <col min="1" max="1" width="23.140625" bestFit="1" customWidth="1"/>
    <col min="2" max="2" width="11.7109375" bestFit="1" customWidth="1"/>
    <col min="3" max="3" width="11.85546875" bestFit="1" customWidth="1"/>
    <col min="4" max="4" width="23.7109375" bestFit="1" customWidth="1"/>
    <col min="5" max="5" width="80.85546875" bestFit="1" customWidth="1"/>
    <col min="6" max="6" width="30.7109375" bestFit="1" customWidth="1"/>
    <col min="7" max="8" width="80.85546875" bestFit="1" customWidth="1"/>
    <col min="9" max="9" width="15" bestFit="1" customWidth="1"/>
    <col min="10" max="10" width="14.85546875" bestFit="1" customWidth="1"/>
    <col min="11" max="11" width="15.42578125" bestFit="1" customWidth="1"/>
    <col min="12" max="12" width="12.7109375" bestFit="1" customWidth="1"/>
    <col min="13" max="13" width="16.42578125" bestFit="1" customWidth="1"/>
    <col min="14" max="14" width="27.7109375" bestFit="1" customWidth="1"/>
    <col min="15" max="15" width="32.28515625" bestFit="1" customWidth="1"/>
    <col min="16" max="16" width="19.7109375" bestFit="1" customWidth="1"/>
  </cols>
  <sheetData>
    <row r="1" spans="1:16" x14ac:dyDescent="0.25">
      <c r="A1" t="s">
        <v>7</v>
      </c>
      <c r="B1" t="s">
        <v>1</v>
      </c>
      <c r="C1" t="s">
        <v>5</v>
      </c>
      <c r="D1" t="s">
        <v>52</v>
      </c>
      <c r="E1" t="s">
        <v>49</v>
      </c>
      <c r="F1" t="s">
        <v>48</v>
      </c>
      <c r="G1" t="s">
        <v>50</v>
      </c>
      <c r="H1" t="s">
        <v>16</v>
      </c>
      <c r="I1" t="s">
        <v>670</v>
      </c>
      <c r="J1" t="s">
        <v>671</v>
      </c>
      <c r="K1" t="s">
        <v>672</v>
      </c>
      <c r="L1" t="s">
        <v>673</v>
      </c>
      <c r="M1" t="s">
        <v>810</v>
      </c>
      <c r="N1" t="s">
        <v>676</v>
      </c>
      <c r="O1" t="s">
        <v>677</v>
      </c>
      <c r="P1" t="s">
        <v>660</v>
      </c>
    </row>
    <row r="2" spans="1:16" x14ac:dyDescent="0.25">
      <c r="A2" t="s">
        <v>357</v>
      </c>
      <c r="B2" s="1">
        <v>45741</v>
      </c>
      <c r="C2" t="s">
        <v>451</v>
      </c>
      <c r="D2" t="s">
        <v>150</v>
      </c>
      <c r="E2" t="s">
        <v>692</v>
      </c>
      <c r="F2" t="s">
        <v>691</v>
      </c>
      <c r="G2" t="s">
        <v>693</v>
      </c>
      <c r="H2" t="s">
        <v>688</v>
      </c>
    </row>
  </sheetData>
  <pageMargins left="0.7" right="0.7" top="0.75" bottom="0.75" header="0.3" footer="0.3"/>
  <tableParts count="1">
    <tablePart r:id="rId1"/>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54F32E-E506-4BBA-BE8B-354BD5819CD7}">
  <sheetPr>
    <tabColor rgb="FFFF0000"/>
  </sheetPr>
  <dimension ref="A1:P2"/>
  <sheetViews>
    <sheetView workbookViewId="0">
      <selection sqref="A1:P2"/>
    </sheetView>
  </sheetViews>
  <sheetFormatPr defaultColWidth="8.85546875" defaultRowHeight="15" x14ac:dyDescent="0.25"/>
  <cols>
    <col min="1" max="1" width="8.7109375" style="124" bestFit="1" customWidth="1"/>
    <col min="2" max="2" width="11.7109375" style="124" bestFit="1" customWidth="1"/>
    <col min="3" max="3" width="11.85546875" style="124" bestFit="1" customWidth="1"/>
    <col min="4" max="4" width="15.28515625" style="124" bestFit="1" customWidth="1"/>
    <col min="5" max="5" width="9.7109375" style="124" bestFit="1" customWidth="1"/>
    <col min="6" max="6" width="10.28515625" style="124" bestFit="1" customWidth="1"/>
    <col min="7" max="7" width="25.5703125" style="124" bestFit="1" customWidth="1"/>
    <col min="8" max="8" width="11" style="124" bestFit="1" customWidth="1"/>
    <col min="9" max="9" width="18.140625" style="124" bestFit="1" customWidth="1"/>
    <col min="10" max="10" width="17.85546875" style="124" bestFit="1" customWidth="1"/>
    <col min="11" max="11" width="18.42578125" style="124" bestFit="1" customWidth="1"/>
    <col min="12" max="12" width="15.28515625" style="124" bestFit="1" customWidth="1"/>
    <col min="13" max="13" width="16.42578125" style="124" bestFit="1" customWidth="1"/>
    <col min="14" max="14" width="32" style="124" bestFit="1" customWidth="1"/>
    <col min="15" max="15" width="36.7109375" style="124" bestFit="1" customWidth="1"/>
    <col min="16" max="16" width="23.42578125" style="124" bestFit="1" customWidth="1"/>
    <col min="17" max="17" width="31.7109375" style="124" bestFit="1" customWidth="1"/>
    <col min="18" max="18" width="17.85546875" style="124" bestFit="1" customWidth="1"/>
    <col min="19" max="19" width="18.42578125" style="124" bestFit="1" customWidth="1"/>
    <col min="20" max="20" width="15.28515625" style="124" bestFit="1" customWidth="1"/>
    <col min="21" max="21" width="18.7109375" style="124" bestFit="1" customWidth="1"/>
    <col min="22" max="22" width="19" style="124" bestFit="1" customWidth="1"/>
    <col min="23" max="23" width="32" style="124" bestFit="1" customWidth="1"/>
    <col min="24" max="24" width="36.7109375" style="124" bestFit="1" customWidth="1"/>
    <col min="25" max="25" width="23.42578125" style="124" bestFit="1" customWidth="1"/>
    <col min="26" max="26" width="10.7109375" style="124" bestFit="1" customWidth="1"/>
    <col min="27" max="16384" width="8.85546875" style="124"/>
  </cols>
  <sheetData>
    <row r="1" spans="1:16" x14ac:dyDescent="0.25">
      <c r="A1" t="s">
        <v>7</v>
      </c>
      <c r="B1" t="s">
        <v>1</v>
      </c>
      <c r="C1" t="s">
        <v>5</v>
      </c>
      <c r="D1" t="s">
        <v>52</v>
      </c>
      <c r="E1" t="s">
        <v>49</v>
      </c>
      <c r="F1" t="s">
        <v>48</v>
      </c>
      <c r="G1" t="s">
        <v>50</v>
      </c>
      <c r="H1" t="s">
        <v>16</v>
      </c>
      <c r="I1" s="124" t="s">
        <v>670</v>
      </c>
      <c r="J1" s="124" t="s">
        <v>671</v>
      </c>
      <c r="K1" s="124" t="s">
        <v>672</v>
      </c>
      <c r="L1" s="124" t="s">
        <v>673</v>
      </c>
      <c r="M1" t="s">
        <v>810</v>
      </c>
      <c r="N1" s="124" t="s">
        <v>676</v>
      </c>
      <c r="O1" s="124" t="s">
        <v>677</v>
      </c>
      <c r="P1" s="124" t="s">
        <v>660</v>
      </c>
    </row>
    <row r="2" spans="1:16" x14ac:dyDescent="0.25">
      <c r="A2"/>
      <c r="B2" s="1"/>
      <c r="C2"/>
      <c r="D2"/>
      <c r="E2"/>
      <c r="F2"/>
      <c r="G2"/>
      <c r="H2"/>
      <c r="M2"/>
    </row>
  </sheetData>
  <phoneticPr fontId="12" type="noConversion"/>
  <pageMargins left="0.7" right="0.7" top="0.75" bottom="0.75" header="0.3" footer="0.3"/>
  <tableParts count="1">
    <tablePart r:id="rId1"/>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690D01-2035-4655-8BE3-B31FF37310B6}">
  <sheetPr codeName="Sheet9">
    <tabColor rgb="FFFF0000"/>
  </sheetPr>
  <dimension ref="A1:AS35"/>
  <sheetViews>
    <sheetView workbookViewId="0">
      <selection activeCell="J14" sqref="J14:N19"/>
    </sheetView>
  </sheetViews>
  <sheetFormatPr defaultColWidth="9.140625" defaultRowHeight="15.75" x14ac:dyDescent="0.25"/>
  <cols>
    <col min="1" max="1" width="23.7109375" style="3" bestFit="1" customWidth="1"/>
    <col min="2" max="2" width="11.7109375" style="3" bestFit="1" customWidth="1"/>
    <col min="3" max="8" width="6.7109375" style="3" customWidth="1"/>
    <col min="9" max="9" width="1.7109375" style="3" customWidth="1"/>
    <col min="10" max="10" width="23.85546875" style="3" bestFit="1" customWidth="1"/>
    <col min="11" max="11" width="7.7109375" style="3" bestFit="1" customWidth="1"/>
    <col min="12" max="12" width="5" style="3" bestFit="1" customWidth="1"/>
    <col min="13" max="13" width="4.140625" style="3" bestFit="1" customWidth="1"/>
    <col min="14" max="14" width="4.85546875" style="3" bestFit="1" customWidth="1"/>
    <col min="15" max="17" width="6.7109375" style="3" customWidth="1"/>
    <col min="18" max="22" width="2.7109375" style="3" customWidth="1"/>
    <col min="23" max="23" width="13.85546875" style="3" customWidth="1"/>
    <col min="24" max="24" width="10.140625" style="3" bestFit="1" customWidth="1"/>
    <col min="25" max="25" width="24.85546875" style="3" bestFit="1" customWidth="1"/>
    <col min="26" max="26" width="28.5703125" style="3" customWidth="1"/>
    <col min="27" max="27" width="15.5703125" style="3" customWidth="1"/>
    <col min="28" max="28" width="14.42578125" style="3" customWidth="1"/>
    <col min="29" max="29" width="31" style="3" customWidth="1"/>
    <col min="30" max="30" width="20.42578125" style="3" bestFit="1" customWidth="1"/>
    <col min="31" max="31" width="23.28515625" style="3" bestFit="1" customWidth="1"/>
    <col min="32" max="32" width="29.140625" style="3" customWidth="1"/>
    <col min="33" max="33" width="15.42578125" style="3" customWidth="1"/>
    <col min="34" max="34" width="16.140625" style="3" customWidth="1"/>
    <col min="35" max="35" width="13" style="3" customWidth="1"/>
    <col min="36" max="36" width="16.140625" style="3" customWidth="1"/>
    <col min="37" max="37" width="16.5703125" style="3" customWidth="1"/>
    <col min="38" max="38" width="29" style="3" customWidth="1"/>
    <col min="39" max="39" width="34.140625" style="3" customWidth="1"/>
    <col min="40" max="40" width="21" style="3" customWidth="1"/>
    <col min="41" max="43" width="9.140625" style="3"/>
    <col min="44" max="44" width="40.140625" style="3" bestFit="1" customWidth="1"/>
    <col min="45" max="16384" width="9.140625" style="3"/>
  </cols>
  <sheetData>
    <row r="1" spans="1:45" ht="21" x14ac:dyDescent="0.35">
      <c r="A1" s="193" t="s">
        <v>738</v>
      </c>
      <c r="B1" s="193"/>
      <c r="C1" s="193"/>
      <c r="D1" s="193"/>
      <c r="E1" s="193"/>
      <c r="F1" s="193"/>
      <c r="G1" s="193"/>
      <c r="H1" s="193"/>
      <c r="J1" s="193" t="s">
        <v>809</v>
      </c>
      <c r="K1" s="193"/>
      <c r="L1" s="193"/>
      <c r="M1" s="193"/>
      <c r="N1" s="193"/>
      <c r="O1" s="193"/>
      <c r="P1" s="193"/>
      <c r="Q1" s="193"/>
    </row>
    <row r="2" spans="1:45" ht="16.5" thickBot="1" x14ac:dyDescent="0.3">
      <c r="A2" s="5" t="s">
        <v>1</v>
      </c>
      <c r="B2" s="36">
        <v>45741</v>
      </c>
      <c r="F2"/>
      <c r="G2"/>
      <c r="H2"/>
      <c r="I2"/>
      <c r="J2" s="5" t="s">
        <v>1</v>
      </c>
      <c r="K2" t="s">
        <v>127</v>
      </c>
      <c r="O2"/>
      <c r="P2"/>
      <c r="Q2"/>
      <c r="R2"/>
      <c r="S2"/>
      <c r="T2"/>
      <c r="U2"/>
      <c r="V2"/>
      <c r="W2"/>
      <c r="X2"/>
      <c r="Y2" s="13" t="s">
        <v>0</v>
      </c>
      <c r="Z2" s="13" t="s">
        <v>661</v>
      </c>
      <c r="AA2" s="13" t="s">
        <v>35</v>
      </c>
      <c r="AB2" s="13" t="s">
        <v>649</v>
      </c>
      <c r="AC2" s="13" t="s">
        <v>650</v>
      </c>
      <c r="AD2" s="13" t="s">
        <v>670</v>
      </c>
      <c r="AE2" s="13" t="s">
        <v>655</v>
      </c>
      <c r="AF2" s="13" t="s">
        <v>656</v>
      </c>
      <c r="AG2" s="13" t="s">
        <v>671</v>
      </c>
      <c r="AH2" s="13" t="s">
        <v>672</v>
      </c>
      <c r="AI2" s="13" t="s">
        <v>673</v>
      </c>
      <c r="AJ2" s="13" t="s">
        <v>674</v>
      </c>
      <c r="AK2" s="13" t="s">
        <v>675</v>
      </c>
      <c r="AL2" s="13" t="s">
        <v>676</v>
      </c>
      <c r="AM2" s="13" t="s">
        <v>677</v>
      </c>
      <c r="AN2" s="13" t="s">
        <v>660</v>
      </c>
      <c r="AO2" s="13" t="s">
        <v>459</v>
      </c>
    </row>
    <row r="3" spans="1:45" ht="18.75" x14ac:dyDescent="0.3">
      <c r="F3"/>
      <c r="G3"/>
      <c r="H3"/>
      <c r="I3"/>
      <c r="O3"/>
      <c r="P3"/>
      <c r="Q3"/>
      <c r="R3"/>
      <c r="S3"/>
      <c r="T3"/>
      <c r="U3"/>
      <c r="V3"/>
      <c r="W3"/>
      <c r="X3"/>
      <c r="Y3" s="13"/>
      <c r="Z3" s="13"/>
      <c r="AA3" s="13"/>
      <c r="AB3" s="13"/>
      <c r="AC3" s="13"/>
      <c r="AD3" s="13"/>
      <c r="AE3" s="13"/>
      <c r="AF3" s="13"/>
      <c r="AG3" s="13"/>
      <c r="AH3" s="13"/>
      <c r="AI3" s="13"/>
      <c r="AJ3" s="13"/>
      <c r="AK3" s="13"/>
      <c r="AL3" s="13"/>
      <c r="AM3" s="13"/>
      <c r="AN3" s="13"/>
      <c r="AO3" s="13"/>
      <c r="AR3" s="67" t="s">
        <v>0</v>
      </c>
      <c r="AS3" s="68" t="s">
        <v>678</v>
      </c>
    </row>
    <row r="4" spans="1:45" ht="24" x14ac:dyDescent="0.3">
      <c r="A4" s="148" t="s">
        <v>128</v>
      </c>
      <c r="B4" s="148" t="s">
        <v>394</v>
      </c>
      <c r="C4"/>
      <c r="D4"/>
      <c r="E4"/>
      <c r="F4"/>
      <c r="G4"/>
      <c r="H4"/>
      <c r="I4"/>
      <c r="J4" s="148" t="s">
        <v>128</v>
      </c>
      <c r="K4" s="148" t="s">
        <v>394</v>
      </c>
      <c r="L4"/>
      <c r="M4"/>
      <c r="N4"/>
      <c r="O4"/>
      <c r="P4"/>
      <c r="Q4"/>
      <c r="R4"/>
      <c r="S4"/>
      <c r="T4"/>
      <c r="U4"/>
      <c r="V4"/>
      <c r="W4"/>
      <c r="X4"/>
      <c r="AR4" s="69" t="s">
        <v>661</v>
      </c>
      <c r="AS4" s="70" t="s">
        <v>357</v>
      </c>
    </row>
    <row r="5" spans="1:45" s="4" customFormat="1" ht="18.75" x14ac:dyDescent="0.3">
      <c r="A5" s="149" t="s">
        <v>449</v>
      </c>
      <c r="B5" s="31" t="s">
        <v>451</v>
      </c>
      <c r="C5"/>
      <c r="D5"/>
      <c r="E5"/>
      <c r="F5"/>
      <c r="G5"/>
      <c r="H5"/>
      <c r="I5"/>
      <c r="J5" s="149" t="s">
        <v>449</v>
      </c>
      <c r="K5" s="31" t="s">
        <v>458</v>
      </c>
      <c r="L5" s="31" t="s">
        <v>450</v>
      </c>
      <c r="M5" s="31" t="s">
        <v>451</v>
      </c>
      <c r="N5" s="31" t="s">
        <v>536</v>
      </c>
      <c r="O5"/>
      <c r="P5"/>
      <c r="Q5"/>
      <c r="R5"/>
      <c r="S5"/>
      <c r="T5"/>
      <c r="U5"/>
      <c r="V5"/>
      <c r="W5"/>
      <c r="X5"/>
      <c r="AA5"/>
      <c r="AB5"/>
      <c r="AC5"/>
      <c r="AD5"/>
      <c r="AE5"/>
      <c r="AR5" s="71" t="s">
        <v>35</v>
      </c>
      <c r="AS5" s="72">
        <v>45741</v>
      </c>
    </row>
    <row r="6" spans="1:45" s="4" customFormat="1" ht="18.75" x14ac:dyDescent="0.3">
      <c r="A6" s="34" t="s">
        <v>150</v>
      </c>
      <c r="B6">
        <v>1</v>
      </c>
      <c r="C6"/>
      <c r="D6"/>
      <c r="E6"/>
      <c r="F6"/>
      <c r="G6"/>
      <c r="H6"/>
      <c r="I6"/>
      <c r="J6" s="34" t="s">
        <v>76</v>
      </c>
      <c r="K6"/>
      <c r="L6">
        <v>1</v>
      </c>
      <c r="M6">
        <v>2</v>
      </c>
      <c r="N6"/>
      <c r="O6"/>
      <c r="P6"/>
      <c r="Q6"/>
      <c r="R6"/>
      <c r="S6"/>
      <c r="T6"/>
      <c r="U6"/>
      <c r="V6"/>
      <c r="W6"/>
      <c r="X6"/>
      <c r="AA6"/>
      <c r="AB6"/>
      <c r="AC6"/>
      <c r="AD6"/>
      <c r="AE6"/>
      <c r="AR6" s="69" t="s">
        <v>649</v>
      </c>
      <c r="AS6" s="70" t="s">
        <v>451</v>
      </c>
    </row>
    <row r="7" spans="1:45" ht="18.75" x14ac:dyDescent="0.3">
      <c r="A7"/>
      <c r="B7"/>
      <c r="C7"/>
      <c r="D7"/>
      <c r="E7"/>
      <c r="F7"/>
      <c r="G7"/>
      <c r="H7"/>
      <c r="I7"/>
      <c r="J7" s="34" t="s">
        <v>172</v>
      </c>
      <c r="K7"/>
      <c r="L7"/>
      <c r="M7"/>
      <c r="N7">
        <v>1</v>
      </c>
      <c r="O7"/>
      <c r="P7"/>
      <c r="Q7"/>
      <c r="R7"/>
      <c r="S7"/>
      <c r="T7"/>
      <c r="U7"/>
      <c r="V7"/>
      <c r="W7"/>
      <c r="X7"/>
      <c r="AA7"/>
      <c r="AB7"/>
      <c r="AC7"/>
      <c r="AD7"/>
      <c r="AE7"/>
      <c r="AR7" s="71" t="s">
        <v>650</v>
      </c>
      <c r="AS7" s="73" t="s">
        <v>141</v>
      </c>
    </row>
    <row r="8" spans="1:45" ht="18.75" x14ac:dyDescent="0.3">
      <c r="A8"/>
      <c r="B8"/>
      <c r="C8"/>
      <c r="D8"/>
      <c r="E8"/>
      <c r="F8"/>
      <c r="G8"/>
      <c r="H8"/>
      <c r="I8"/>
      <c r="J8" s="34" t="s">
        <v>95</v>
      </c>
      <c r="K8">
        <v>1</v>
      </c>
      <c r="L8">
        <v>1</v>
      </c>
      <c r="M8">
        <v>1</v>
      </c>
      <c r="N8"/>
      <c r="O8"/>
      <c r="P8"/>
      <c r="Q8"/>
      <c r="R8"/>
      <c r="S8"/>
      <c r="T8"/>
      <c r="U8"/>
      <c r="V8"/>
      <c r="W8"/>
      <c r="X8"/>
      <c r="AA8"/>
      <c r="AB8"/>
      <c r="AC8"/>
      <c r="AD8"/>
      <c r="AE8"/>
      <c r="AR8" s="69" t="s">
        <v>670</v>
      </c>
      <c r="AS8" s="70"/>
    </row>
    <row r="9" spans="1:45" ht="18.75" x14ac:dyDescent="0.3">
      <c r="A9"/>
      <c r="B9"/>
      <c r="C9"/>
      <c r="D9"/>
      <c r="E9"/>
      <c r="F9"/>
      <c r="G9"/>
      <c r="H9"/>
      <c r="I9"/>
      <c r="J9" s="34" t="s">
        <v>150</v>
      </c>
      <c r="K9"/>
      <c r="L9"/>
      <c r="M9">
        <v>1</v>
      </c>
      <c r="N9"/>
      <c r="O9"/>
      <c r="P9"/>
      <c r="Q9"/>
      <c r="R9"/>
      <c r="S9"/>
      <c r="T9"/>
      <c r="U9"/>
      <c r="V9"/>
      <c r="W9"/>
      <c r="X9"/>
      <c r="AA9"/>
      <c r="AB9"/>
      <c r="AC9"/>
      <c r="AD9"/>
      <c r="AE9"/>
      <c r="AR9" s="71" t="s">
        <v>655</v>
      </c>
      <c r="AS9" s="73" t="s">
        <v>679</v>
      </c>
    </row>
    <row r="10" spans="1:45" ht="18.75" x14ac:dyDescent="0.3">
      <c r="A10"/>
      <c r="B10"/>
      <c r="C10"/>
      <c r="D10"/>
      <c r="E10"/>
      <c r="F10"/>
      <c r="G10"/>
      <c r="H10"/>
      <c r="I10"/>
      <c r="J10" s="34" t="s">
        <v>109</v>
      </c>
      <c r="K10"/>
      <c r="L10"/>
      <c r="M10"/>
      <c r="N10">
        <v>1</v>
      </c>
      <c r="O10"/>
      <c r="P10"/>
      <c r="Q10"/>
      <c r="R10"/>
      <c r="S10"/>
      <c r="T10"/>
      <c r="U10"/>
      <c r="V10"/>
      <c r="W10"/>
      <c r="X10"/>
      <c r="Y10"/>
      <c r="Z10"/>
      <c r="AA10"/>
      <c r="AB10"/>
      <c r="AC10"/>
      <c r="AD10"/>
      <c r="AE10"/>
      <c r="AR10" s="69" t="s">
        <v>656</v>
      </c>
      <c r="AS10" s="70" t="s">
        <v>680</v>
      </c>
    </row>
    <row r="11" spans="1:45" ht="18.75" x14ac:dyDescent="0.3">
      <c r="A11"/>
      <c r="B11"/>
      <c r="C11"/>
      <c r="D11"/>
      <c r="E11"/>
      <c r="F11"/>
      <c r="G11"/>
      <c r="H11"/>
      <c r="I11"/>
      <c r="J11"/>
      <c r="K11"/>
      <c r="L11"/>
      <c r="M11"/>
      <c r="N11"/>
      <c r="O11"/>
      <c r="P11"/>
      <c r="Q11"/>
      <c r="R11"/>
      <c r="S11"/>
      <c r="T11"/>
      <c r="U11"/>
      <c r="V11"/>
      <c r="W11"/>
      <c r="X11"/>
      <c r="Y11"/>
      <c r="Z11"/>
      <c r="AA11"/>
      <c r="AB11"/>
      <c r="AC11"/>
      <c r="AD11"/>
      <c r="AE11"/>
      <c r="AR11" s="69"/>
      <c r="AS11" s="70"/>
    </row>
    <row r="12" spans="1:45" ht="18.75" x14ac:dyDescent="0.3">
      <c r="A12"/>
      <c r="B12"/>
      <c r="C12"/>
      <c r="D12"/>
      <c r="E12"/>
      <c r="F12"/>
      <c r="G12"/>
      <c r="H12"/>
      <c r="I12"/>
      <c r="J12"/>
      <c r="K12"/>
      <c r="L12"/>
      <c r="M12"/>
      <c r="N12"/>
      <c r="O12"/>
      <c r="P12"/>
      <c r="Q12"/>
      <c r="R12"/>
      <c r="S12"/>
      <c r="T12"/>
      <c r="U12"/>
      <c r="V12"/>
      <c r="W12"/>
      <c r="X12"/>
      <c r="Y12"/>
      <c r="Z12"/>
      <c r="AA12"/>
      <c r="AB12"/>
      <c r="AC12"/>
      <c r="AD12"/>
      <c r="AE12"/>
      <c r="AR12" s="69"/>
      <c r="AS12" s="70"/>
    </row>
    <row r="13" spans="1:45" ht="18.75" x14ac:dyDescent="0.3">
      <c r="A13"/>
      <c r="B13"/>
      <c r="C13"/>
      <c r="D13"/>
      <c r="E13"/>
      <c r="F13"/>
      <c r="G13"/>
      <c r="H13"/>
      <c r="I13"/>
      <c r="J13"/>
      <c r="K13"/>
      <c r="L13"/>
      <c r="M13"/>
      <c r="N13"/>
      <c r="O13"/>
      <c r="P13"/>
      <c r="Q13"/>
      <c r="R13"/>
      <c r="S13"/>
      <c r="T13"/>
      <c r="U13"/>
      <c r="V13"/>
      <c r="W13"/>
      <c r="X13"/>
      <c r="Y13"/>
      <c r="Z13"/>
      <c r="AA13"/>
      <c r="AB13"/>
      <c r="AC13"/>
      <c r="AD13"/>
      <c r="AE13"/>
      <c r="AR13" s="69"/>
      <c r="AS13" s="70"/>
    </row>
    <row r="14" spans="1:45" ht="19.5" thickBot="1" x14ac:dyDescent="0.35">
      <c r="A14" s="150" t="str" cm="1">
        <f t="array" ref="A14:B15">A5:B6</f>
        <v>Time of Day</v>
      </c>
      <c r="B14" s="151" t="str">
        <v>Tue</v>
      </c>
      <c r="C14"/>
      <c r="D14"/>
      <c r="E14"/>
      <c r="F14"/>
      <c r="G14"/>
      <c r="H14"/>
      <c r="I14"/>
      <c r="J14" s="150" t="str" cm="1">
        <f t="array" ref="J14:N19">J5:N10</f>
        <v>Time of Day</v>
      </c>
      <c r="K14" s="151" t="str">
        <v>Sun</v>
      </c>
      <c r="L14" s="151" t="str">
        <v>Mon</v>
      </c>
      <c r="M14" s="151" t="str">
        <v>Tue</v>
      </c>
      <c r="N14" s="151" t="str">
        <v>Thur</v>
      </c>
      <c r="O14"/>
      <c r="P14"/>
      <c r="Q14"/>
      <c r="R14"/>
      <c r="S14"/>
      <c r="T14"/>
      <c r="U14"/>
      <c r="V14"/>
      <c r="W14"/>
      <c r="X14"/>
      <c r="Y14"/>
      <c r="Z14"/>
      <c r="AA14"/>
      <c r="AB14"/>
      <c r="AC14"/>
      <c r="AD14"/>
      <c r="AE14"/>
      <c r="AR14" s="69"/>
      <c r="AS14" s="70"/>
    </row>
    <row r="15" spans="1:45" ht="18.75" x14ac:dyDescent="0.3">
      <c r="A15" s="152" t="str">
        <v>Morning Peak (08:00-11:59)</v>
      </c>
      <c r="B15" s="153">
        <v>1</v>
      </c>
      <c r="C15"/>
      <c r="D15"/>
      <c r="E15"/>
      <c r="F15"/>
      <c r="G15"/>
      <c r="H15"/>
      <c r="I15"/>
      <c r="J15" s="152" t="str">
        <v>Afternoon (12:00-15:59)</v>
      </c>
      <c r="K15" s="153">
        <v>0</v>
      </c>
      <c r="L15" s="153">
        <v>1</v>
      </c>
      <c r="M15" s="153">
        <v>2</v>
      </c>
      <c r="N15" s="154">
        <v>0</v>
      </c>
      <c r="O15"/>
      <c r="P15"/>
      <c r="Q15"/>
      <c r="R15"/>
      <c r="S15"/>
      <c r="T15"/>
      <c r="U15"/>
      <c r="V15"/>
      <c r="W15"/>
      <c r="X15"/>
      <c r="Y15"/>
      <c r="AR15" s="71" t="s">
        <v>671</v>
      </c>
      <c r="AS15" s="73" t="s">
        <v>681</v>
      </c>
    </row>
    <row r="16" spans="1:45" ht="18.75" x14ac:dyDescent="0.3">
      <c r="A16"/>
      <c r="B16"/>
      <c r="C16"/>
      <c r="D16"/>
      <c r="E16"/>
      <c r="F16"/>
      <c r="G16"/>
      <c r="H16"/>
      <c r="I16"/>
      <c r="J16" s="155" t="str">
        <v>Early Morning (00:00-03:59)</v>
      </c>
      <c r="K16" s="156">
        <v>0</v>
      </c>
      <c r="L16" s="156">
        <v>0</v>
      </c>
      <c r="M16" s="156">
        <v>0</v>
      </c>
      <c r="N16" s="122">
        <v>1</v>
      </c>
      <c r="O16"/>
      <c r="P16"/>
      <c r="Q16"/>
      <c r="R16"/>
      <c r="S16"/>
      <c r="T16"/>
      <c r="U16"/>
      <c r="V16"/>
      <c r="W16"/>
      <c r="X16"/>
      <c r="AR16" s="69" t="s">
        <v>672</v>
      </c>
      <c r="AS16" s="70" t="s">
        <v>682</v>
      </c>
    </row>
    <row r="17" spans="10:45" ht="18.75" x14ac:dyDescent="0.25">
      <c r="J17" s="157" t="str">
        <v>Evening Peak (16:00-19:59)</v>
      </c>
      <c r="K17" s="158">
        <v>1</v>
      </c>
      <c r="L17" s="158">
        <v>1</v>
      </c>
      <c r="M17" s="158">
        <v>1</v>
      </c>
      <c r="N17" s="121">
        <v>0</v>
      </c>
      <c r="O17"/>
      <c r="P17"/>
      <c r="Q17"/>
      <c r="R17"/>
      <c r="S17"/>
      <c r="T17"/>
      <c r="U17"/>
      <c r="V17"/>
      <c r="W17"/>
      <c r="X17"/>
      <c r="AR17" s="74" t="s">
        <v>673</v>
      </c>
      <c r="AS17" s="75" t="s">
        <v>683</v>
      </c>
    </row>
    <row r="18" spans="10:45" ht="24" x14ac:dyDescent="0.4">
      <c r="J18" s="155" t="str">
        <v>Morning Peak (08:00-11:59)</v>
      </c>
      <c r="K18" s="156">
        <v>0</v>
      </c>
      <c r="L18" s="156">
        <v>0</v>
      </c>
      <c r="M18" s="156">
        <v>1</v>
      </c>
      <c r="N18" s="122">
        <v>0</v>
      </c>
      <c r="O18" s="11"/>
      <c r="AR18" s="69" t="s">
        <v>674</v>
      </c>
      <c r="AS18" s="70" t="s">
        <v>684</v>
      </c>
    </row>
    <row r="19" spans="10:45" ht="18.75" x14ac:dyDescent="0.3">
      <c r="J19" s="157" t="str">
        <v>Night (20:00-23:59)</v>
      </c>
      <c r="K19" s="158">
        <v>0</v>
      </c>
      <c r="L19" s="158">
        <v>0</v>
      </c>
      <c r="M19" s="158">
        <v>0</v>
      </c>
      <c r="N19" s="121">
        <v>1</v>
      </c>
      <c r="AR19" s="71" t="s">
        <v>675</v>
      </c>
      <c r="AS19" s="73"/>
    </row>
    <row r="20" spans="10:45" ht="24" x14ac:dyDescent="0.4">
      <c r="AH20" s="192" t="s">
        <v>456</v>
      </c>
      <c r="AI20" s="192"/>
      <c r="AJ20" s="192"/>
      <c r="AK20" s="192"/>
      <c r="AL20" s="192"/>
      <c r="AM20" s="192"/>
      <c r="AN20" s="192"/>
      <c r="AO20" s="192"/>
      <c r="AR20" s="69" t="s">
        <v>676</v>
      </c>
      <c r="AS20" s="76" t="s">
        <v>572</v>
      </c>
    </row>
    <row r="21" spans="10:45" ht="18.75" x14ac:dyDescent="0.3">
      <c r="AH21" s="7" t="s">
        <v>449</v>
      </c>
      <c r="AI21" s="9" t="s">
        <v>458</v>
      </c>
      <c r="AJ21" s="9" t="s">
        <v>450</v>
      </c>
      <c r="AK21" s="9" t="s">
        <v>451</v>
      </c>
      <c r="AL21" s="9" t="s">
        <v>452</v>
      </c>
      <c r="AM21" s="9" t="s">
        <v>453</v>
      </c>
      <c r="AN21" s="7" t="s">
        <v>454</v>
      </c>
      <c r="AO21" s="7" t="s">
        <v>455</v>
      </c>
      <c r="AR21" s="71" t="s">
        <v>677</v>
      </c>
      <c r="AS21" s="73" t="s">
        <v>685</v>
      </c>
    </row>
    <row r="22" spans="10:45" ht="18.75" x14ac:dyDescent="0.3">
      <c r="AH22" s="37" t="s">
        <v>162</v>
      </c>
      <c r="AI22" s="35"/>
      <c r="AJ22" s="35"/>
      <c r="AK22" s="35"/>
      <c r="AL22"/>
      <c r="AM22" s="35">
        <v>1</v>
      </c>
      <c r="AN22" s="35"/>
      <c r="AO22" s="35"/>
      <c r="AR22" s="71" t="s">
        <v>660</v>
      </c>
      <c r="AS22" s="73" t="s">
        <v>669</v>
      </c>
    </row>
    <row r="23" spans="10:45" ht="19.5" thickBot="1" x14ac:dyDescent="0.35">
      <c r="AH23" s="37" t="s">
        <v>141</v>
      </c>
      <c r="AI23" s="35"/>
      <c r="AJ23" s="35"/>
      <c r="AK23" s="35">
        <v>1</v>
      </c>
      <c r="AL23"/>
      <c r="AM23" s="35"/>
      <c r="AN23" s="35"/>
      <c r="AO23" s="35"/>
      <c r="AR23" s="77" t="s">
        <v>459</v>
      </c>
      <c r="AS23" s="78"/>
    </row>
    <row r="24" spans="10:45" x14ac:dyDescent="0.25">
      <c r="AH24" s="37" t="s">
        <v>54</v>
      </c>
      <c r="AI24" s="35"/>
      <c r="AJ24" s="35">
        <v>1</v>
      </c>
      <c r="AK24" s="35">
        <v>2</v>
      </c>
      <c r="AL24"/>
      <c r="AM24" s="35"/>
      <c r="AN24" s="35"/>
      <c r="AO24" s="35"/>
    </row>
    <row r="25" spans="10:45" x14ac:dyDescent="0.25">
      <c r="AH25" s="37" t="s">
        <v>78</v>
      </c>
      <c r="AI25" s="35">
        <v>1</v>
      </c>
      <c r="AJ25" s="35">
        <v>1</v>
      </c>
      <c r="AK25" s="35">
        <v>1</v>
      </c>
      <c r="AL25"/>
      <c r="AM25" s="35"/>
      <c r="AN25" s="35"/>
      <c r="AO25" s="35"/>
    </row>
    <row r="26" spans="10:45" s="13" customFormat="1" x14ac:dyDescent="0.25">
      <c r="AH26" s="37" t="s">
        <v>97</v>
      </c>
      <c r="AI26" s="35"/>
      <c r="AJ26" s="35"/>
      <c r="AK26" s="35"/>
      <c r="AL26"/>
      <c r="AM26" s="35">
        <v>1</v>
      </c>
      <c r="AN26" s="35"/>
      <c r="AO26" s="35"/>
    </row>
    <row r="27" spans="10:45" x14ac:dyDescent="0.25">
      <c r="AH27" s="13"/>
      <c r="AI27" s="13"/>
      <c r="AJ27" s="13"/>
      <c r="AK27" s="13"/>
      <c r="AL27" s="13"/>
      <c r="AM27" s="13"/>
      <c r="AN27" s="13"/>
      <c r="AO27" s="13"/>
    </row>
    <row r="31" spans="10:45" ht="24" x14ac:dyDescent="0.4">
      <c r="J31"/>
      <c r="K31"/>
      <c r="L31"/>
      <c r="M31"/>
      <c r="N31"/>
      <c r="O31"/>
      <c r="AH31" s="192" t="s">
        <v>457</v>
      </c>
      <c r="AI31" s="192"/>
      <c r="AJ31" s="192"/>
      <c r="AK31" s="192"/>
      <c r="AL31" s="192"/>
      <c r="AM31" s="192"/>
      <c r="AN31" s="192"/>
      <c r="AO31" s="192"/>
    </row>
    <row r="32" spans="10:45" ht="18.75" x14ac:dyDescent="0.3">
      <c r="J32"/>
      <c r="K32"/>
      <c r="L32"/>
      <c r="M32"/>
      <c r="N32"/>
      <c r="O32"/>
      <c r="AH32" s="7" t="s">
        <v>449</v>
      </c>
      <c r="AI32" s="9" t="s">
        <v>458</v>
      </c>
      <c r="AJ32" s="9" t="s">
        <v>450</v>
      </c>
      <c r="AK32" s="7" t="s">
        <v>451</v>
      </c>
      <c r="AL32" s="7" t="s">
        <v>452</v>
      </c>
      <c r="AM32" s="7" t="s">
        <v>453</v>
      </c>
      <c r="AN32" s="7" t="s">
        <v>454</v>
      </c>
      <c r="AO32" s="7" t="s">
        <v>455</v>
      </c>
    </row>
    <row r="33" spans="34:41" x14ac:dyDescent="0.25">
      <c r="AH33" s="37" t="s">
        <v>141</v>
      </c>
      <c r="AI33" s="35"/>
      <c r="AJ33" s="35"/>
      <c r="AK33" s="35">
        <v>1</v>
      </c>
      <c r="AL33" s="35"/>
      <c r="AM33" s="35"/>
      <c r="AN33" s="35"/>
      <c r="AO33" s="35"/>
    </row>
    <row r="34" spans="34:41" x14ac:dyDescent="0.25">
      <c r="AH34" s="37" t="s">
        <v>54</v>
      </c>
      <c r="AI34" s="35"/>
      <c r="AJ34" s="35"/>
      <c r="AK34" s="35">
        <v>1</v>
      </c>
      <c r="AL34" s="35"/>
      <c r="AM34" s="35"/>
      <c r="AN34" s="35"/>
      <c r="AO34" s="35"/>
    </row>
    <row r="35" spans="34:41" x14ac:dyDescent="0.25">
      <c r="AH35" s="37" t="s">
        <v>78</v>
      </c>
      <c r="AI35" s="35"/>
      <c r="AJ35" s="35"/>
      <c r="AK35" s="35">
        <v>1</v>
      </c>
      <c r="AL35" s="35"/>
      <c r="AM35" s="35"/>
      <c r="AN35" s="35"/>
      <c r="AO35" s="35"/>
    </row>
  </sheetData>
  <mergeCells count="4">
    <mergeCell ref="AH20:AO20"/>
    <mergeCell ref="AH31:AO31"/>
    <mergeCell ref="A1:H1"/>
    <mergeCell ref="J1:Q1"/>
  </mergeCells>
  <pageMargins left="0.7" right="0.7" top="0.75" bottom="0.75" header="0.3" footer="0.3"/>
  <pageSetup orientation="portrait" r:id="rId3"/>
  <drawing r:id="rId4"/>
  <tableParts count="3">
    <tablePart r:id="rId5"/>
    <tablePart r:id="rId6"/>
    <tablePart r:id="rId7"/>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F6BF18-A1EA-43E6-91DC-D346AD1D8BBD}">
  <sheetPr codeName="Sheet10">
    <tabColor rgb="FF7030A0"/>
  </sheetPr>
  <dimension ref="A1:BB7"/>
  <sheetViews>
    <sheetView workbookViewId="0">
      <selection activeCell="AY4" sqref="AY4"/>
    </sheetView>
  </sheetViews>
  <sheetFormatPr defaultColWidth="8.85546875" defaultRowHeight="15.75" x14ac:dyDescent="0.25"/>
  <cols>
    <col min="1" max="1" width="20.140625" style="13" bestFit="1" customWidth="1"/>
    <col min="2" max="2" width="16" style="30" bestFit="1" customWidth="1"/>
    <col min="3" max="3" width="21.140625" style="15" bestFit="1" customWidth="1"/>
    <col min="4" max="4" width="18.7109375" style="3" bestFit="1" customWidth="1"/>
    <col min="5" max="5" width="15.42578125" style="3" bestFit="1" customWidth="1"/>
    <col min="6" max="6" width="16.28515625" style="3" bestFit="1" customWidth="1"/>
    <col min="7" max="7" width="19" style="3" bestFit="1" customWidth="1"/>
    <col min="8" max="8" width="26.7109375" style="3" bestFit="1" customWidth="1"/>
    <col min="9" max="9" width="20.42578125" style="3" bestFit="1" customWidth="1"/>
    <col min="10" max="10" width="56.140625" style="3" bestFit="1" customWidth="1"/>
    <col min="11" max="11" width="27.7109375" style="3" bestFit="1" customWidth="1"/>
    <col min="12" max="13" width="22" style="3" bestFit="1" customWidth="1"/>
    <col min="14" max="14" width="42.85546875" style="3" bestFit="1" customWidth="1"/>
    <col min="15" max="15" width="10" style="3" bestFit="1" customWidth="1"/>
    <col min="16" max="16" width="10.7109375" style="3" bestFit="1" customWidth="1"/>
    <col min="17" max="17" width="80.85546875" style="3" bestFit="1" customWidth="1"/>
    <col min="18" max="18" width="24.42578125" style="3" bestFit="1" customWidth="1"/>
    <col min="19" max="19" width="26.42578125" style="3" bestFit="1" customWidth="1"/>
    <col min="20" max="20" width="20.28515625" style="3" bestFit="1" customWidth="1"/>
    <col min="21" max="21" width="12.42578125" style="3" bestFit="1" customWidth="1"/>
    <col min="22" max="22" width="13.28515625" style="3" bestFit="1" customWidth="1"/>
    <col min="23" max="23" width="17.140625" style="3" bestFit="1" customWidth="1"/>
    <col min="24" max="24" width="20.28515625" style="3" bestFit="1" customWidth="1"/>
    <col min="25" max="25" width="17.140625" style="3" bestFit="1" customWidth="1"/>
    <col min="26" max="26" width="12.42578125" style="3" bestFit="1" customWidth="1"/>
    <col min="27" max="27" width="13.28515625" style="3" bestFit="1" customWidth="1"/>
    <col min="28" max="28" width="18.85546875" style="3" bestFit="1" customWidth="1"/>
    <col min="29" max="29" width="20.85546875" style="3" bestFit="1" customWidth="1"/>
    <col min="30" max="30" width="28.28515625" style="3" bestFit="1" customWidth="1"/>
    <col min="31" max="31" width="12" style="3" bestFit="1" customWidth="1"/>
    <col min="32" max="32" width="25.28515625" style="3" bestFit="1" customWidth="1"/>
    <col min="33" max="33" width="28.42578125" style="3" bestFit="1" customWidth="1"/>
    <col min="34" max="34" width="27.42578125" style="3" bestFit="1" customWidth="1"/>
    <col min="35" max="35" width="31.7109375" style="3" bestFit="1" customWidth="1"/>
    <col min="36" max="36" width="19.7109375" style="3" bestFit="1" customWidth="1"/>
    <col min="37" max="37" width="19.85546875" style="3" bestFit="1" customWidth="1"/>
    <col min="38" max="38" width="30.28515625" style="3" bestFit="1" customWidth="1"/>
    <col min="39" max="39" width="30.5703125" style="3" bestFit="1" customWidth="1"/>
    <col min="40" max="40" width="18.140625" style="3" bestFit="1" customWidth="1"/>
    <col min="41" max="41" width="18.28515625" style="3" bestFit="1" customWidth="1"/>
    <col min="42" max="42" width="10.28515625" style="3" bestFit="1" customWidth="1"/>
    <col min="43" max="43" width="19.28515625" style="3" bestFit="1" customWidth="1"/>
    <col min="44" max="44" width="21.28515625" style="3" bestFit="1" customWidth="1"/>
    <col min="45" max="45" width="9.42578125" style="3" bestFit="1" customWidth="1"/>
    <col min="46" max="46" width="17.28515625" style="3" bestFit="1" customWidth="1"/>
    <col min="47" max="47" width="28.140625" style="3" bestFit="1" customWidth="1"/>
    <col min="48" max="48" width="8.7109375" style="3" bestFit="1" customWidth="1"/>
    <col min="49" max="49" width="80.85546875" style="3" bestFit="1" customWidth="1"/>
    <col min="50" max="50" width="14.7109375" style="3" bestFit="1" customWidth="1"/>
    <col min="51" max="52" width="80.85546875" style="3" bestFit="1" customWidth="1"/>
    <col min="53" max="53" width="22.28515625" style="3" bestFit="1" customWidth="1"/>
    <col min="54" max="54" width="22.5703125" style="3" bestFit="1" customWidth="1"/>
    <col min="55" max="55" width="23.28515625" style="3" bestFit="1" customWidth="1"/>
    <col min="56" max="16384" width="8.85546875" style="3"/>
  </cols>
  <sheetData>
    <row r="1" spans="1:54" s="16" customFormat="1" ht="18.75" x14ac:dyDescent="0.3">
      <c r="A1" s="16" t="s">
        <v>0</v>
      </c>
      <c r="B1" s="29" t="s">
        <v>1</v>
      </c>
      <c r="C1" s="16" t="s">
        <v>2</v>
      </c>
      <c r="D1" s="17" t="s">
        <v>3</v>
      </c>
      <c r="E1" s="17" t="s">
        <v>4</v>
      </c>
      <c r="F1" s="16" t="s">
        <v>5</v>
      </c>
      <c r="G1" s="16" t="s">
        <v>6</v>
      </c>
      <c r="H1" s="16" t="s">
        <v>7</v>
      </c>
      <c r="I1" s="16" t="s">
        <v>8</v>
      </c>
      <c r="J1" s="16" t="s">
        <v>10</v>
      </c>
      <c r="K1" s="16" t="s">
        <v>9</v>
      </c>
      <c r="L1" s="16" t="s">
        <v>11</v>
      </c>
      <c r="M1" s="16" t="s">
        <v>12</v>
      </c>
      <c r="N1" s="16" t="s">
        <v>13</v>
      </c>
      <c r="O1" s="16" t="s">
        <v>14</v>
      </c>
      <c r="P1" s="16" t="s">
        <v>15</v>
      </c>
      <c r="Q1" s="16" t="s">
        <v>16</v>
      </c>
      <c r="R1" s="16" t="s">
        <v>17</v>
      </c>
      <c r="S1" s="16" t="s">
        <v>18</v>
      </c>
      <c r="T1" s="16" t="s">
        <v>19</v>
      </c>
      <c r="U1" s="16" t="s">
        <v>20</v>
      </c>
      <c r="V1" s="16" t="s">
        <v>21</v>
      </c>
      <c r="W1" s="16" t="s">
        <v>22</v>
      </c>
      <c r="X1" s="16" t="s">
        <v>23</v>
      </c>
      <c r="Y1" s="16" t="s">
        <v>24</v>
      </c>
      <c r="Z1" s="16" t="s">
        <v>25</v>
      </c>
      <c r="AA1" s="16" t="s">
        <v>26</v>
      </c>
      <c r="AB1" s="16" t="s">
        <v>27</v>
      </c>
      <c r="AC1" s="16" t="s">
        <v>28</v>
      </c>
      <c r="AD1" s="16" t="s">
        <v>29</v>
      </c>
      <c r="AE1" s="16" t="s">
        <v>30</v>
      </c>
      <c r="AF1" s="16" t="s">
        <v>31</v>
      </c>
      <c r="AG1" s="16" t="s">
        <v>32</v>
      </c>
      <c r="AH1" s="16" t="s">
        <v>33</v>
      </c>
      <c r="AI1" s="16" t="s">
        <v>34</v>
      </c>
      <c r="AJ1" s="16" t="s">
        <v>35</v>
      </c>
      <c r="AK1" s="16" t="s">
        <v>36</v>
      </c>
      <c r="AL1" s="16" t="s">
        <v>37</v>
      </c>
      <c r="AM1" s="16" t="s">
        <v>38</v>
      </c>
      <c r="AN1" s="16" t="s">
        <v>39</v>
      </c>
      <c r="AO1" s="16" t="s">
        <v>40</v>
      </c>
      <c r="AP1" s="16" t="s">
        <v>41</v>
      </c>
      <c r="AQ1" s="16" t="s">
        <v>42</v>
      </c>
      <c r="AR1" s="16" t="s">
        <v>43</v>
      </c>
      <c r="AS1" s="16" t="s">
        <v>44</v>
      </c>
      <c r="AT1" s="16" t="s">
        <v>45</v>
      </c>
      <c r="AU1" s="16" t="s">
        <v>46</v>
      </c>
      <c r="AV1" s="16" t="s">
        <v>47</v>
      </c>
      <c r="AW1" t="s">
        <v>459</v>
      </c>
      <c r="AX1" s="16" t="s">
        <v>48</v>
      </c>
      <c r="AY1" s="16" t="s">
        <v>49</v>
      </c>
      <c r="AZ1" s="16" t="s">
        <v>50</v>
      </c>
      <c r="BA1" s="16" t="s">
        <v>51</v>
      </c>
      <c r="BB1" s="16" t="s">
        <v>52</v>
      </c>
    </row>
    <row r="2" spans="1:54" x14ac:dyDescent="0.25">
      <c r="A2" s="47" t="s">
        <v>395</v>
      </c>
      <c r="B2" s="48">
        <v>45664</v>
      </c>
      <c r="C2" s="49" t="s">
        <v>54</v>
      </c>
      <c r="D2" s="56">
        <v>0.58333333333333337</v>
      </c>
      <c r="E2" s="56">
        <v>0.58333333333333337</v>
      </c>
      <c r="F2" s="49" t="s">
        <v>451</v>
      </c>
      <c r="G2" s="49" t="s">
        <v>55</v>
      </c>
      <c r="H2" s="49" t="s">
        <v>396</v>
      </c>
      <c r="I2" s="49" t="s">
        <v>397</v>
      </c>
      <c r="J2" s="49" t="s">
        <v>399</v>
      </c>
      <c r="K2" s="49" t="s">
        <v>398</v>
      </c>
      <c r="L2" s="49" t="s">
        <v>400</v>
      </c>
      <c r="M2" s="49" t="s">
        <v>59</v>
      </c>
      <c r="N2" s="49" t="s">
        <v>401</v>
      </c>
      <c r="O2" s="49" t="s">
        <v>134</v>
      </c>
      <c r="P2" s="49">
        <v>7</v>
      </c>
      <c r="Q2" s="49" t="s">
        <v>402</v>
      </c>
      <c r="R2" s="49"/>
      <c r="S2" s="49"/>
      <c r="T2" s="49"/>
      <c r="U2" s="49"/>
      <c r="V2" s="49"/>
      <c r="W2" s="49"/>
      <c r="X2" s="49"/>
      <c r="Y2" s="49"/>
      <c r="Z2" s="49"/>
      <c r="AA2" s="49"/>
      <c r="AB2" s="49" t="s">
        <v>403</v>
      </c>
      <c r="AC2" s="49" t="s">
        <v>67</v>
      </c>
      <c r="AD2" s="49" t="s">
        <v>404</v>
      </c>
      <c r="AE2" s="49" t="s">
        <v>405</v>
      </c>
      <c r="AF2" s="49" t="s">
        <v>406</v>
      </c>
      <c r="AG2" s="49" t="s">
        <v>71</v>
      </c>
      <c r="AH2" s="49" t="s">
        <v>407</v>
      </c>
      <c r="AI2" s="49">
        <v>9</v>
      </c>
      <c r="AJ2" s="57">
        <v>45664</v>
      </c>
      <c r="AK2" s="58">
        <v>0.58333333333333337</v>
      </c>
      <c r="AL2" s="57"/>
      <c r="AM2" s="58"/>
      <c r="AN2" s="57">
        <v>45667</v>
      </c>
      <c r="AO2" s="58">
        <v>0.59781249999999997</v>
      </c>
      <c r="AP2" s="49">
        <v>2025</v>
      </c>
      <c r="AQ2" s="49">
        <v>2</v>
      </c>
      <c r="AR2" s="49">
        <v>2</v>
      </c>
      <c r="AS2" s="49">
        <v>7</v>
      </c>
      <c r="AT2" s="49">
        <v>7</v>
      </c>
      <c r="AU2" s="58">
        <v>45664.583333333336</v>
      </c>
      <c r="AV2" s="49">
        <v>135</v>
      </c>
      <c r="AW2" t="s">
        <v>402</v>
      </c>
      <c r="AX2" s="49"/>
      <c r="AY2" s="49" t="s">
        <v>408</v>
      </c>
      <c r="AZ2" s="49" t="s">
        <v>59</v>
      </c>
      <c r="BA2" s="49" t="s">
        <v>513</v>
      </c>
      <c r="BB2" s="49" t="s">
        <v>76</v>
      </c>
    </row>
    <row r="3" spans="1:54" x14ac:dyDescent="0.25">
      <c r="A3" s="47" t="s">
        <v>409</v>
      </c>
      <c r="B3" s="48">
        <v>45680</v>
      </c>
      <c r="C3" s="49" t="s">
        <v>54</v>
      </c>
      <c r="D3" s="56">
        <v>0.625</v>
      </c>
      <c r="E3" s="56">
        <v>0.625</v>
      </c>
      <c r="F3" s="49" t="s">
        <v>536</v>
      </c>
      <c r="G3" s="49" t="s">
        <v>55</v>
      </c>
      <c r="H3" s="49" t="s">
        <v>410</v>
      </c>
      <c r="I3" s="49" t="s">
        <v>411</v>
      </c>
      <c r="J3" s="49" t="s">
        <v>413</v>
      </c>
      <c r="K3" s="49" t="s">
        <v>412</v>
      </c>
      <c r="L3" s="49" t="s">
        <v>400</v>
      </c>
      <c r="M3" s="49" t="s">
        <v>59</v>
      </c>
      <c r="N3" s="49" t="s">
        <v>414</v>
      </c>
      <c r="O3" s="49" t="s">
        <v>84</v>
      </c>
      <c r="P3" s="49">
        <v>8</v>
      </c>
      <c r="Q3" s="49" t="s">
        <v>415</v>
      </c>
      <c r="R3" s="49"/>
      <c r="S3" s="49"/>
      <c r="T3" s="49"/>
      <c r="U3" s="49"/>
      <c r="V3" s="49"/>
      <c r="W3" s="49"/>
      <c r="X3" s="49"/>
      <c r="Y3" s="49"/>
      <c r="Z3" s="49"/>
      <c r="AA3" s="49"/>
      <c r="AB3" s="49" t="s">
        <v>416</v>
      </c>
      <c r="AC3" s="49" t="s">
        <v>67</v>
      </c>
      <c r="AD3" s="49" t="s">
        <v>352</v>
      </c>
      <c r="AE3" s="49" t="s">
        <v>417</v>
      </c>
      <c r="AF3" s="49" t="s">
        <v>406</v>
      </c>
      <c r="AG3" s="49" t="s">
        <v>418</v>
      </c>
      <c r="AH3" s="49"/>
      <c r="AI3" s="49">
        <v>9</v>
      </c>
      <c r="AJ3" s="57">
        <v>45680</v>
      </c>
      <c r="AK3" s="58">
        <v>0.625</v>
      </c>
      <c r="AL3" s="57"/>
      <c r="AM3" s="58"/>
      <c r="AN3" s="57">
        <v>45680</v>
      </c>
      <c r="AO3" s="58">
        <v>0.66545138888888888</v>
      </c>
      <c r="AP3" s="49">
        <v>2025</v>
      </c>
      <c r="AQ3" s="49">
        <v>4</v>
      </c>
      <c r="AR3" s="49">
        <v>4</v>
      </c>
      <c r="AS3" s="49">
        <v>23</v>
      </c>
      <c r="AT3" s="49">
        <v>23</v>
      </c>
      <c r="AU3" s="58">
        <v>45680.625</v>
      </c>
      <c r="AV3" s="49">
        <v>176</v>
      </c>
      <c r="AW3" t="s">
        <v>415</v>
      </c>
      <c r="AX3" s="49"/>
      <c r="AY3" s="49" t="s">
        <v>419</v>
      </c>
      <c r="AZ3" s="49" t="s">
        <v>59</v>
      </c>
      <c r="BA3" s="49" t="s">
        <v>511</v>
      </c>
      <c r="BB3" s="49" t="s">
        <v>76</v>
      </c>
    </row>
    <row r="4" spans="1:54" x14ac:dyDescent="0.25">
      <c r="A4" s="47" t="s">
        <v>420</v>
      </c>
      <c r="B4" s="48">
        <v>45705</v>
      </c>
      <c r="C4" s="49" t="s">
        <v>97</v>
      </c>
      <c r="D4" s="56">
        <v>0.83333333333333337</v>
      </c>
      <c r="E4" s="56">
        <v>0.83333333333333337</v>
      </c>
      <c r="F4" s="49" t="s">
        <v>450</v>
      </c>
      <c r="G4" s="49" t="s">
        <v>111</v>
      </c>
      <c r="H4" s="49" t="s">
        <v>421</v>
      </c>
      <c r="I4" s="49" t="s">
        <v>422</v>
      </c>
      <c r="J4" s="49" t="s">
        <v>424</v>
      </c>
      <c r="K4" s="49" t="s">
        <v>423</v>
      </c>
      <c r="L4" s="49" t="s">
        <v>412</v>
      </c>
      <c r="M4" s="49" t="s">
        <v>59</v>
      </c>
      <c r="N4" s="49" t="s">
        <v>425</v>
      </c>
      <c r="O4" s="49" t="s">
        <v>426</v>
      </c>
      <c r="P4" s="49">
        <v>8</v>
      </c>
      <c r="Q4" s="49" t="s">
        <v>427</v>
      </c>
      <c r="R4" s="49"/>
      <c r="S4" s="49"/>
      <c r="T4" s="49"/>
      <c r="U4" s="49"/>
      <c r="V4" s="49"/>
      <c r="W4" s="49"/>
      <c r="X4" s="49"/>
      <c r="Y4" s="49"/>
      <c r="Z4" s="49"/>
      <c r="AA4" s="49"/>
      <c r="AB4" s="49" t="s">
        <v>416</v>
      </c>
      <c r="AC4" s="49" t="s">
        <v>67</v>
      </c>
      <c r="AD4" s="49" t="s">
        <v>106</v>
      </c>
      <c r="AE4" s="49" t="s">
        <v>417</v>
      </c>
      <c r="AF4" s="49" t="s">
        <v>106</v>
      </c>
      <c r="AG4" s="49" t="s">
        <v>266</v>
      </c>
      <c r="AH4" s="49"/>
      <c r="AI4" s="49">
        <v>9</v>
      </c>
      <c r="AJ4" s="57">
        <v>45705</v>
      </c>
      <c r="AK4" s="58">
        <v>0.83333333333333337</v>
      </c>
      <c r="AL4" s="57">
        <v>45705</v>
      </c>
      <c r="AM4" s="58">
        <v>0.98958333333333337</v>
      </c>
      <c r="AN4" s="57">
        <v>45706</v>
      </c>
      <c r="AO4" s="58">
        <v>0.73564814814814816</v>
      </c>
      <c r="AP4" s="49">
        <v>2025</v>
      </c>
      <c r="AQ4" s="49">
        <v>8</v>
      </c>
      <c r="AR4" s="49">
        <v>4</v>
      </c>
      <c r="AS4" s="49">
        <v>17</v>
      </c>
      <c r="AT4" s="49">
        <v>48</v>
      </c>
      <c r="AU4" s="58">
        <v>45705.833333333336</v>
      </c>
      <c r="AV4" s="49">
        <v>240</v>
      </c>
      <c r="AW4" t="s">
        <v>427</v>
      </c>
      <c r="AX4" s="49"/>
      <c r="AY4" s="49" t="s">
        <v>428</v>
      </c>
      <c r="AZ4" s="49" t="s">
        <v>59</v>
      </c>
      <c r="BA4" s="49" t="s">
        <v>508</v>
      </c>
      <c r="BB4" s="49" t="s">
        <v>109</v>
      </c>
    </row>
    <row r="5" spans="1:54" x14ac:dyDescent="0.25">
      <c r="A5" s="47" t="s">
        <v>429</v>
      </c>
      <c r="B5" s="48">
        <v>45708</v>
      </c>
      <c r="C5" s="49" t="s">
        <v>54</v>
      </c>
      <c r="D5" s="56">
        <v>0.5</v>
      </c>
      <c r="E5" s="56">
        <v>0.53615740740740736</v>
      </c>
      <c r="F5" s="49" t="s">
        <v>451</v>
      </c>
      <c r="G5" s="49" t="s">
        <v>111</v>
      </c>
      <c r="H5" s="49" t="s">
        <v>430</v>
      </c>
      <c r="I5" s="49" t="s">
        <v>431</v>
      </c>
      <c r="J5" s="49" t="s">
        <v>412</v>
      </c>
      <c r="K5" s="49" t="s">
        <v>412</v>
      </c>
      <c r="L5" s="49" t="s">
        <v>59</v>
      </c>
      <c r="M5" s="49" t="s">
        <v>59</v>
      </c>
      <c r="N5" s="49" t="s">
        <v>432</v>
      </c>
      <c r="O5" s="49" t="s">
        <v>101</v>
      </c>
      <c r="P5" s="49">
        <v>8</v>
      </c>
      <c r="Q5" s="49" t="s">
        <v>433</v>
      </c>
      <c r="R5" s="49"/>
      <c r="S5" s="49"/>
      <c r="T5" s="49"/>
      <c r="U5" s="49"/>
      <c r="V5" s="49"/>
      <c r="W5" s="49"/>
      <c r="X5" s="49"/>
      <c r="Y5" s="49"/>
      <c r="Z5" s="49"/>
      <c r="AA5" s="49"/>
      <c r="AB5" s="49" t="s">
        <v>66</v>
      </c>
      <c r="AC5" s="49" t="s">
        <v>67</v>
      </c>
      <c r="AD5" s="49" t="s">
        <v>434</v>
      </c>
      <c r="AE5" s="49" t="s">
        <v>69</v>
      </c>
      <c r="AF5" s="49" t="s">
        <v>352</v>
      </c>
      <c r="AG5" s="49" t="s">
        <v>435</v>
      </c>
      <c r="AH5" s="49" t="s">
        <v>436</v>
      </c>
      <c r="AI5" s="49">
        <v>9</v>
      </c>
      <c r="AJ5" s="57">
        <v>42906</v>
      </c>
      <c r="AK5" s="58">
        <v>0.53615740740740736</v>
      </c>
      <c r="AL5" s="57">
        <v>45555</v>
      </c>
      <c r="AM5" s="58"/>
      <c r="AN5" s="57">
        <v>45708</v>
      </c>
      <c r="AO5" s="58">
        <v>0.53615740740740736</v>
      </c>
      <c r="AP5" s="49">
        <v>2017</v>
      </c>
      <c r="AQ5" s="49">
        <v>25</v>
      </c>
      <c r="AR5" s="49">
        <v>4</v>
      </c>
      <c r="AS5" s="49">
        <v>20</v>
      </c>
      <c r="AT5" s="49">
        <v>171</v>
      </c>
      <c r="AU5" s="58">
        <v>42906.536111111112</v>
      </c>
      <c r="AV5" s="49">
        <v>360</v>
      </c>
      <c r="AW5" t="s">
        <v>433</v>
      </c>
      <c r="AX5" s="49"/>
      <c r="AY5" s="49" t="s">
        <v>59</v>
      </c>
      <c r="AZ5" s="49" t="s">
        <v>59</v>
      </c>
      <c r="BA5" s="49" t="s">
        <v>507</v>
      </c>
      <c r="BB5" s="49" t="s">
        <v>76</v>
      </c>
    </row>
    <row r="6" spans="1:54" x14ac:dyDescent="0.25">
      <c r="A6" s="47" t="s">
        <v>640</v>
      </c>
      <c r="B6" s="48">
        <v>45749</v>
      </c>
      <c r="C6" s="49" t="s">
        <v>97</v>
      </c>
      <c r="D6" s="56">
        <v>0.875</v>
      </c>
      <c r="E6" s="56">
        <v>0.89930555555555558</v>
      </c>
      <c r="F6" s="49" t="s">
        <v>452</v>
      </c>
      <c r="G6" s="49" t="s">
        <v>598</v>
      </c>
      <c r="H6" s="49" t="s">
        <v>641</v>
      </c>
      <c r="I6" s="49" t="s">
        <v>642</v>
      </c>
      <c r="J6" s="49" t="s">
        <v>643</v>
      </c>
      <c r="K6" s="49" t="s">
        <v>644</v>
      </c>
      <c r="L6" s="49" t="s">
        <v>412</v>
      </c>
      <c r="M6" s="49" t="s">
        <v>400</v>
      </c>
      <c r="N6" s="49" t="s">
        <v>645</v>
      </c>
      <c r="O6" s="49" t="s">
        <v>101</v>
      </c>
      <c r="P6" s="49">
        <v>8</v>
      </c>
      <c r="Q6" s="49" t="s">
        <v>646</v>
      </c>
      <c r="R6" s="49"/>
      <c r="S6" s="49"/>
      <c r="T6" s="49"/>
      <c r="U6" s="49"/>
      <c r="V6" s="49"/>
      <c r="W6" s="49"/>
      <c r="X6" s="49"/>
      <c r="Y6" s="49"/>
      <c r="Z6" s="49"/>
      <c r="AA6" s="49"/>
      <c r="AB6" s="49" t="s">
        <v>157</v>
      </c>
      <c r="AC6" s="49" t="s">
        <v>67</v>
      </c>
      <c r="AD6" s="49" t="s">
        <v>647</v>
      </c>
      <c r="AE6" s="49" t="s">
        <v>351</v>
      </c>
      <c r="AF6" s="49" t="s">
        <v>352</v>
      </c>
      <c r="AG6" s="49" t="s">
        <v>418</v>
      </c>
      <c r="AH6" s="49"/>
      <c r="AI6" s="49">
        <v>9</v>
      </c>
      <c r="AJ6" s="57">
        <v>45749</v>
      </c>
      <c r="AK6" s="58">
        <v>0.89930555555555558</v>
      </c>
      <c r="AL6" s="57"/>
      <c r="AM6" s="58"/>
      <c r="AN6" s="57">
        <v>45749</v>
      </c>
      <c r="AO6" s="58">
        <v>0.90325231481481483</v>
      </c>
      <c r="AP6" s="49">
        <v>2025</v>
      </c>
      <c r="AQ6" s="49">
        <v>14</v>
      </c>
      <c r="AR6" s="49">
        <v>1</v>
      </c>
      <c r="AS6" s="49">
        <v>2</v>
      </c>
      <c r="AT6" s="49">
        <v>92</v>
      </c>
      <c r="AU6" s="58">
        <v>45749.899305555555</v>
      </c>
      <c r="AV6" s="49">
        <v>260</v>
      </c>
      <c r="AW6" t="s">
        <v>646</v>
      </c>
      <c r="AX6" s="49"/>
      <c r="AY6" s="49" t="s">
        <v>59</v>
      </c>
      <c r="AZ6" s="49" t="s">
        <v>59</v>
      </c>
      <c r="BA6" s="49" t="s">
        <v>604</v>
      </c>
      <c r="BB6" s="49" t="s">
        <v>109</v>
      </c>
    </row>
    <row r="7" spans="1:54" x14ac:dyDescent="0.25">
      <c r="A7" s="47" t="s">
        <v>845</v>
      </c>
      <c r="B7" s="48">
        <v>45739</v>
      </c>
      <c r="C7" s="49" t="s">
        <v>54</v>
      </c>
      <c r="D7" s="56">
        <v>0.58333333333333337</v>
      </c>
      <c r="E7" s="56">
        <v>0.62013888888888891</v>
      </c>
      <c r="F7" s="49" t="s">
        <v>458</v>
      </c>
      <c r="G7" s="49" t="s">
        <v>461</v>
      </c>
      <c r="H7" s="49" t="s">
        <v>846</v>
      </c>
      <c r="I7" s="49" t="s">
        <v>847</v>
      </c>
      <c r="J7" s="49" t="s">
        <v>398</v>
      </c>
      <c r="K7" s="49" t="s">
        <v>398</v>
      </c>
      <c r="L7" s="49" t="s">
        <v>59</v>
      </c>
      <c r="M7" s="49" t="s">
        <v>59</v>
      </c>
      <c r="N7" s="49" t="s">
        <v>848</v>
      </c>
      <c r="O7" s="49" t="s">
        <v>849</v>
      </c>
      <c r="P7" s="49">
        <v>9</v>
      </c>
      <c r="Q7" s="49" t="s">
        <v>850</v>
      </c>
      <c r="R7" s="49"/>
      <c r="S7" s="49"/>
      <c r="T7" s="49"/>
      <c r="U7" s="49"/>
      <c r="V7" s="49"/>
      <c r="W7" s="49"/>
      <c r="X7" s="49"/>
      <c r="Y7" s="49"/>
      <c r="Z7" s="49"/>
      <c r="AA7" s="49"/>
      <c r="AB7" s="49" t="s">
        <v>851</v>
      </c>
      <c r="AC7" s="49" t="s">
        <v>67</v>
      </c>
      <c r="AD7" s="49" t="s">
        <v>852</v>
      </c>
      <c r="AE7" s="49" t="s">
        <v>69</v>
      </c>
      <c r="AF7" s="49" t="s">
        <v>122</v>
      </c>
      <c r="AG7" s="49" t="s">
        <v>123</v>
      </c>
      <c r="AH7" s="49"/>
      <c r="AI7" s="49">
        <v>9</v>
      </c>
      <c r="AJ7" s="57">
        <v>45739</v>
      </c>
      <c r="AK7" s="58">
        <v>0.62013888888888891</v>
      </c>
      <c r="AL7" s="57">
        <v>45739</v>
      </c>
      <c r="AM7" s="58">
        <v>0.64166666666666672</v>
      </c>
      <c r="AN7" s="57">
        <v>45761</v>
      </c>
      <c r="AO7" s="58">
        <v>0.49540509259259258</v>
      </c>
      <c r="AP7" s="49">
        <v>2025</v>
      </c>
      <c r="AQ7" s="49">
        <v>13</v>
      </c>
      <c r="AR7" s="49">
        <v>5</v>
      </c>
      <c r="AS7" s="49">
        <v>23</v>
      </c>
      <c r="AT7" s="49">
        <v>82</v>
      </c>
      <c r="AU7" s="58">
        <v>45739.620138888888</v>
      </c>
      <c r="AV7" s="49">
        <v>2</v>
      </c>
      <c r="AW7" t="s">
        <v>850</v>
      </c>
      <c r="AX7" s="49"/>
      <c r="AY7" s="49" t="s">
        <v>853</v>
      </c>
      <c r="AZ7" s="49" t="s">
        <v>854</v>
      </c>
      <c r="BA7" s="49" t="s">
        <v>548</v>
      </c>
      <c r="BB7" s="49" t="s">
        <v>76</v>
      </c>
    </row>
  </sheetData>
  <pageMargins left="0.7" right="0.7" top="0.75" bottom="0.75" header="0.3" footer="0.3"/>
  <pageSetup orientation="portrait" r:id="rId1"/>
  <tableParts count="1">
    <tablePart r:id="rId2"/>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62057C-F163-4B83-B6EB-9115E9C4F837}">
  <sheetPr>
    <tabColor rgb="FF7030A0"/>
  </sheetPr>
  <dimension ref="A1:O1"/>
  <sheetViews>
    <sheetView workbookViewId="0">
      <selection sqref="A1:O2"/>
    </sheetView>
  </sheetViews>
  <sheetFormatPr defaultColWidth="8.85546875" defaultRowHeight="15.75" x14ac:dyDescent="0.25"/>
  <cols>
    <col min="1" max="1" width="12.42578125" style="120" bestFit="1" customWidth="1"/>
    <col min="2" max="2" width="15.42578125" style="119" bestFit="1" customWidth="1"/>
    <col min="3" max="3" width="15.7109375" style="120" bestFit="1" customWidth="1"/>
    <col min="4" max="4" width="19.42578125" style="120" bestFit="1" customWidth="1"/>
    <col min="5" max="5" width="13.7109375" style="120" bestFit="1" customWidth="1"/>
    <col min="6" max="6" width="22.28515625" style="120" bestFit="1" customWidth="1"/>
    <col min="7" max="7" width="21.28515625" style="120" bestFit="1" customWidth="1"/>
    <col min="8" max="8" width="35.5703125" style="120" bestFit="1" customWidth="1"/>
    <col min="9" max="9" width="19.42578125" style="120" bestFit="1" customWidth="1"/>
    <col min="10" max="10" width="25.28515625" style="120" bestFit="1" customWidth="1"/>
    <col min="11" max="11" width="44.7109375" style="120" bestFit="1" customWidth="1"/>
    <col min="12" max="12" width="41.42578125" style="120" bestFit="1" customWidth="1"/>
    <col min="13" max="13" width="24" style="120" bestFit="1" customWidth="1"/>
    <col min="14" max="14" width="27.28515625" style="120" bestFit="1" customWidth="1"/>
    <col min="15" max="15" width="14.7109375" style="120" bestFit="1" customWidth="1"/>
    <col min="16" max="16384" width="8.85546875" style="120"/>
  </cols>
  <sheetData>
    <row r="1" spans="1:15" x14ac:dyDescent="0.25">
      <c r="A1" s="120" t="s">
        <v>7</v>
      </c>
      <c r="B1" s="119" t="s">
        <v>1</v>
      </c>
      <c r="C1" s="120" t="s">
        <v>5</v>
      </c>
      <c r="D1" s="120" t="s">
        <v>52</v>
      </c>
      <c r="E1" s="120" t="s">
        <v>49</v>
      </c>
      <c r="F1" s="120" t="s">
        <v>812</v>
      </c>
      <c r="G1" s="120" t="s">
        <v>811</v>
      </c>
      <c r="H1" s="120" t="s">
        <v>813</v>
      </c>
      <c r="I1" s="120" t="s">
        <v>670</v>
      </c>
      <c r="J1" s="120" t="s">
        <v>814</v>
      </c>
      <c r="K1" s="120" t="s">
        <v>815</v>
      </c>
      <c r="L1" s="120" t="s">
        <v>816</v>
      </c>
      <c r="M1" s="120" t="s">
        <v>817</v>
      </c>
      <c r="N1" s="120" t="s">
        <v>818</v>
      </c>
      <c r="O1" s="120" t="s">
        <v>16</v>
      </c>
    </row>
  </sheetData>
  <pageMargins left="0.7" right="0.7" top="0.75" bottom="0.75" header="0.3" footer="0.3"/>
  <tableParts count="1">
    <tablePart r:id="rId1"/>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481E78-636B-4089-901D-19174CE58C60}">
  <sheetPr>
    <tabColor rgb="FF7030A0"/>
  </sheetPr>
  <dimension ref="A1:O2"/>
  <sheetViews>
    <sheetView workbookViewId="0"/>
  </sheetViews>
  <sheetFormatPr defaultRowHeight="15" x14ac:dyDescent="0.25"/>
  <cols>
    <col min="1" max="1" width="16.7109375" bestFit="1" customWidth="1"/>
    <col min="2" max="2" width="12.5703125" bestFit="1" customWidth="1"/>
    <col min="3" max="3" width="11.85546875" bestFit="1" customWidth="1"/>
    <col min="4" max="4" width="16.7109375" bestFit="1" customWidth="1"/>
    <col min="5" max="5" width="9.7109375" bestFit="1" customWidth="1"/>
    <col min="6" max="6" width="17.28515625" bestFit="1" customWidth="1"/>
    <col min="7" max="7" width="16.7109375" bestFit="1" customWidth="1"/>
    <col min="8" max="8" width="28" bestFit="1" customWidth="1"/>
    <col min="9" max="9" width="15" bestFit="1" customWidth="1"/>
    <col min="10" max="10" width="20.28515625" bestFit="1" customWidth="1"/>
    <col min="11" max="11" width="35.85546875" bestFit="1" customWidth="1"/>
    <col min="12" max="12" width="33.28515625" bestFit="1" customWidth="1"/>
    <col min="13" max="13" width="18.85546875" bestFit="1" customWidth="1"/>
    <col min="14" max="14" width="21.28515625" bestFit="1" customWidth="1"/>
    <col min="15" max="15" width="80.85546875" bestFit="1" customWidth="1"/>
  </cols>
  <sheetData>
    <row r="1" spans="1:15" x14ac:dyDescent="0.25">
      <c r="A1" t="s">
        <v>7</v>
      </c>
      <c r="B1" t="s">
        <v>1</v>
      </c>
      <c r="C1" t="s">
        <v>5</v>
      </c>
      <c r="D1" t="s">
        <v>52</v>
      </c>
      <c r="E1" t="s">
        <v>49</v>
      </c>
      <c r="F1" t="s">
        <v>812</v>
      </c>
      <c r="G1" t="s">
        <v>811</v>
      </c>
      <c r="H1" t="s">
        <v>813</v>
      </c>
      <c r="I1" t="s">
        <v>670</v>
      </c>
      <c r="J1" t="s">
        <v>814</v>
      </c>
      <c r="K1" t="s">
        <v>815</v>
      </c>
      <c r="L1" t="s">
        <v>816</v>
      </c>
      <c r="M1" t="s">
        <v>817</v>
      </c>
      <c r="N1" t="s">
        <v>818</v>
      </c>
      <c r="O1" t="s">
        <v>16</v>
      </c>
    </row>
    <row r="2" spans="1:15" x14ac:dyDescent="0.25">
      <c r="A2" t="s">
        <v>641</v>
      </c>
      <c r="B2" s="2">
        <v>45749</v>
      </c>
      <c r="C2" t="s">
        <v>452</v>
      </c>
      <c r="D2" t="s">
        <v>109</v>
      </c>
      <c r="E2" t="s">
        <v>59</v>
      </c>
      <c r="G2" t="s">
        <v>59</v>
      </c>
      <c r="H2" t="s">
        <v>59</v>
      </c>
      <c r="I2" t="s">
        <v>59</v>
      </c>
      <c r="J2" t="s">
        <v>59</v>
      </c>
      <c r="K2" t="s">
        <v>59</v>
      </c>
      <c r="L2" t="s">
        <v>59</v>
      </c>
      <c r="M2" t="s">
        <v>59</v>
      </c>
      <c r="N2" t="s">
        <v>59</v>
      </c>
      <c r="O2" t="s">
        <v>646</v>
      </c>
    </row>
  </sheetData>
  <pageMargins left="0.7" right="0.7" top="0.75" bottom="0.75" header="0.3" footer="0.3"/>
  <tableParts count="1">
    <tablePart r:id="rId1"/>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B216BF-11F1-49EB-B861-07A286AECCB5}">
  <sheetPr codeName="Sheet11">
    <tabColor rgb="FF7030A0"/>
  </sheetPr>
  <dimension ref="A1:AF45"/>
  <sheetViews>
    <sheetView zoomScale="85" zoomScaleNormal="85" workbookViewId="0">
      <selection activeCell="A4" sqref="A4"/>
    </sheetView>
  </sheetViews>
  <sheetFormatPr defaultColWidth="9.140625" defaultRowHeight="15.75" x14ac:dyDescent="0.25"/>
  <cols>
    <col min="1" max="1" width="23.28515625" style="117" bestFit="1" customWidth="1"/>
    <col min="2" max="2" width="13.28515625" style="117" bestFit="1" customWidth="1"/>
    <col min="3" max="3" width="4.5703125" style="117" bestFit="1" customWidth="1"/>
    <col min="4" max="5" width="5.28515625" style="117" bestFit="1" customWidth="1"/>
    <col min="6" max="8" width="6.7109375" style="117" customWidth="1"/>
    <col min="9" max="9" width="1.7109375" style="117" customWidth="1"/>
    <col min="10" max="10" width="23.85546875" style="117" bestFit="1" customWidth="1"/>
    <col min="11" max="11" width="12.140625" style="117" bestFit="1" customWidth="1"/>
    <col min="12" max="17" width="6.7109375" style="117" customWidth="1"/>
    <col min="18" max="18" width="24.42578125" style="117" bestFit="1" customWidth="1"/>
    <col min="19" max="19" width="23.28515625" style="117" bestFit="1" customWidth="1"/>
    <col min="20" max="20" width="36.85546875" style="117" bestFit="1" customWidth="1"/>
    <col min="21" max="26" width="22" style="117" customWidth="1"/>
    <col min="27" max="27" width="22.7109375" style="117" customWidth="1"/>
    <col min="28" max="28" width="20.5703125" style="117" bestFit="1" customWidth="1"/>
    <col min="29" max="29" width="56.28515625" style="117" bestFit="1" customWidth="1"/>
    <col min="30" max="30" width="27.85546875" style="117" bestFit="1" customWidth="1"/>
    <col min="31" max="31" width="34.7109375" style="117" bestFit="1" customWidth="1"/>
    <col min="32" max="32" width="37.28515625" style="117" bestFit="1" customWidth="1"/>
    <col min="33" max="33" width="43" style="117" bestFit="1" customWidth="1"/>
    <col min="34" max="34" width="10" style="117" bestFit="1" customWidth="1"/>
    <col min="35" max="35" width="10.7109375" style="117" bestFit="1" customWidth="1"/>
    <col min="36" max="36" width="80.85546875" style="117" bestFit="1" customWidth="1"/>
    <col min="37" max="37" width="24.42578125" style="117" bestFit="1" customWidth="1"/>
    <col min="38" max="38" width="26.42578125" style="117" bestFit="1" customWidth="1"/>
    <col min="39" max="39" width="20.28515625" style="117" bestFit="1" customWidth="1"/>
    <col min="40" max="40" width="12.42578125" style="117" bestFit="1" customWidth="1"/>
    <col min="41" max="41" width="13.28515625" style="117" bestFit="1" customWidth="1"/>
    <col min="42" max="42" width="17.140625" style="117" bestFit="1" customWidth="1"/>
    <col min="43" max="43" width="20.28515625" style="117" bestFit="1" customWidth="1"/>
    <col min="44" max="44" width="17.140625" style="117" bestFit="1" customWidth="1"/>
    <col min="45" max="45" width="12.42578125" style="117" bestFit="1" customWidth="1"/>
    <col min="46" max="46" width="13.28515625" style="117" bestFit="1" customWidth="1"/>
    <col min="47" max="47" width="18.85546875" style="117" bestFit="1" customWidth="1"/>
    <col min="48" max="48" width="20.85546875" style="117" bestFit="1" customWidth="1"/>
    <col min="49" max="49" width="28.28515625" style="117" bestFit="1" customWidth="1"/>
    <col min="50" max="50" width="12" style="117" bestFit="1" customWidth="1"/>
    <col min="51" max="51" width="23.28515625" style="117" bestFit="1" customWidth="1"/>
    <col min="52" max="52" width="28.5703125" style="117" bestFit="1" customWidth="1"/>
    <col min="53" max="53" width="27.42578125" style="117" bestFit="1" customWidth="1"/>
    <col min="54" max="54" width="31.7109375" style="117" bestFit="1" customWidth="1"/>
    <col min="55" max="55" width="19.7109375" style="117" bestFit="1" customWidth="1"/>
    <col min="56" max="56" width="19.85546875" style="117" bestFit="1" customWidth="1"/>
    <col min="57" max="57" width="30.28515625" style="117" bestFit="1" customWidth="1"/>
    <col min="58" max="58" width="30.5703125" style="117" bestFit="1" customWidth="1"/>
    <col min="59" max="59" width="18.140625" style="117" bestFit="1" customWidth="1"/>
    <col min="60" max="60" width="18.28515625" style="117" bestFit="1" customWidth="1"/>
    <col min="61" max="61" width="10.28515625" style="117" bestFit="1" customWidth="1"/>
    <col min="62" max="62" width="19.28515625" style="117" bestFit="1" customWidth="1"/>
    <col min="63" max="63" width="21.28515625" style="117" bestFit="1" customWidth="1"/>
    <col min="64" max="64" width="9.42578125" style="117" bestFit="1" customWidth="1"/>
    <col min="65" max="65" width="17.28515625" style="117" bestFit="1" customWidth="1"/>
    <col min="66" max="66" width="28.140625" style="117" bestFit="1" customWidth="1"/>
    <col min="67" max="67" width="8.7109375" style="117" bestFit="1" customWidth="1"/>
    <col min="68" max="68" width="80.85546875" style="117" bestFit="1" customWidth="1"/>
    <col min="69" max="69" width="14.7109375" style="117" bestFit="1" customWidth="1"/>
    <col min="70" max="70" width="80.85546875" style="117" bestFit="1" customWidth="1"/>
    <col min="71" max="71" width="32.140625" style="117" bestFit="1" customWidth="1"/>
    <col min="72" max="72" width="22.28515625" style="117" bestFit="1" customWidth="1"/>
    <col min="73" max="73" width="22.7109375" style="117" bestFit="1" customWidth="1"/>
    <col min="74" max="16384" width="9.140625" style="117"/>
  </cols>
  <sheetData>
    <row r="1" spans="1:17" x14ac:dyDescent="0.25">
      <c r="A1" s="116" t="s">
        <v>1</v>
      </c>
      <c r="B1" s="59" t="s">
        <v>127</v>
      </c>
      <c r="C1" s="39"/>
      <c r="D1" s="39"/>
      <c r="E1" s="39"/>
      <c r="F1" s="39"/>
      <c r="G1" s="33"/>
      <c r="H1" s="33"/>
      <c r="I1" s="39"/>
      <c r="J1" s="116" t="s">
        <v>1</v>
      </c>
      <c r="K1" s="159">
        <v>45749</v>
      </c>
      <c r="L1" s="39"/>
    </row>
    <row r="2" spans="1:17" x14ac:dyDescent="0.25">
      <c r="A2" s="116" t="s">
        <v>10</v>
      </c>
      <c r="B2" s="59" t="s">
        <v>127</v>
      </c>
      <c r="C2" s="39"/>
      <c r="D2" s="39"/>
      <c r="E2" s="39"/>
      <c r="F2" s="39"/>
      <c r="G2" s="33"/>
      <c r="H2" s="33"/>
      <c r="I2" s="39"/>
      <c r="J2" s="116" t="s">
        <v>10</v>
      </c>
      <c r="K2" s="59" t="s">
        <v>127</v>
      </c>
      <c r="L2" s="39"/>
    </row>
    <row r="4" spans="1:17" x14ac:dyDescent="0.25">
      <c r="A4" s="116" t="s">
        <v>128</v>
      </c>
      <c r="B4" s="116" t="s">
        <v>5</v>
      </c>
      <c r="C4" s="59"/>
      <c r="D4" s="59"/>
      <c r="E4" s="59"/>
      <c r="F4" s="39"/>
      <c r="G4" s="33"/>
      <c r="H4" s="33"/>
      <c r="I4" s="33"/>
      <c r="J4" s="116" t="s">
        <v>128</v>
      </c>
      <c r="K4" s="116" t="s">
        <v>5</v>
      </c>
      <c r="L4" s="39"/>
    </row>
    <row r="5" spans="1:17" ht="19.5" thickBot="1" x14ac:dyDescent="0.35">
      <c r="A5" s="116" t="s">
        <v>449</v>
      </c>
      <c r="B5" s="59" t="s">
        <v>450</v>
      </c>
      <c r="C5" s="59" t="s">
        <v>451</v>
      </c>
      <c r="D5" s="59" t="s">
        <v>452</v>
      </c>
      <c r="E5" s="59" t="s">
        <v>536</v>
      </c>
      <c r="F5" s="39"/>
      <c r="G5" s="33"/>
      <c r="H5" s="33"/>
      <c r="I5" s="33"/>
      <c r="J5" s="181" t="s">
        <v>449</v>
      </c>
      <c r="K5" s="180" t="s">
        <v>452</v>
      </c>
      <c r="L5" s="39"/>
    </row>
    <row r="6" spans="1:17" ht="37.5" x14ac:dyDescent="0.3">
      <c r="A6" s="59" t="s">
        <v>76</v>
      </c>
      <c r="B6" s="59"/>
      <c r="C6" s="59">
        <v>2</v>
      </c>
      <c r="D6" s="59"/>
      <c r="E6" s="59">
        <v>1</v>
      </c>
      <c r="F6" s="39"/>
      <c r="G6" s="33"/>
      <c r="H6" s="33"/>
      <c r="I6" s="33"/>
      <c r="J6" s="180" t="s">
        <v>109</v>
      </c>
      <c r="K6" s="180">
        <v>1</v>
      </c>
      <c r="L6" s="39"/>
    </row>
    <row r="7" spans="1:17" x14ac:dyDescent="0.25">
      <c r="A7" s="59" t="s">
        <v>109</v>
      </c>
      <c r="B7" s="59">
        <v>1</v>
      </c>
      <c r="C7" s="59"/>
      <c r="D7" s="59">
        <v>1</v>
      </c>
      <c r="E7" s="59"/>
      <c r="F7" s="39"/>
      <c r="G7" s="33"/>
      <c r="H7" s="33"/>
      <c r="I7" s="33"/>
      <c r="J7" s="33"/>
      <c r="K7" s="33"/>
      <c r="L7" s="39"/>
    </row>
    <row r="8" spans="1:17" x14ac:dyDescent="0.25">
      <c r="A8" s="33"/>
      <c r="B8" s="33"/>
      <c r="C8" s="33"/>
      <c r="D8" s="33"/>
      <c r="E8" s="33"/>
      <c r="F8" s="39"/>
      <c r="G8" s="33"/>
      <c r="H8" s="33"/>
      <c r="I8" s="33"/>
      <c r="J8" s="33"/>
      <c r="K8" s="33"/>
      <c r="L8" s="39"/>
    </row>
    <row r="9" spans="1:17" x14ac:dyDescent="0.25">
      <c r="A9" s="33"/>
      <c r="B9" s="33"/>
      <c r="C9" s="33"/>
      <c r="D9" s="33"/>
      <c r="E9" s="33"/>
      <c r="F9" s="39"/>
      <c r="G9" s="33"/>
      <c r="H9" s="33"/>
      <c r="I9" s="33"/>
      <c r="J9" s="33"/>
      <c r="K9" s="33"/>
      <c r="L9" s="39"/>
    </row>
    <row r="12" spans="1:17" ht="24" x14ac:dyDescent="0.4">
      <c r="A12" s="194" t="s">
        <v>456</v>
      </c>
      <c r="B12" s="194"/>
      <c r="C12" s="194"/>
      <c r="D12" s="194"/>
      <c r="E12" s="194"/>
      <c r="F12" s="194"/>
      <c r="G12" s="194"/>
      <c r="H12" s="194"/>
      <c r="J12" s="194" t="s">
        <v>457</v>
      </c>
      <c r="K12" s="194"/>
      <c r="L12" s="194"/>
      <c r="M12" s="194"/>
      <c r="N12" s="194"/>
      <c r="O12" s="194"/>
      <c r="P12" s="194"/>
      <c r="Q12" s="194"/>
    </row>
    <row r="13" spans="1:17" ht="38.25" thickBot="1" x14ac:dyDescent="0.35">
      <c r="A13" s="160" t="str" cm="1">
        <f t="array" ref="A13:E15">A5:E7</f>
        <v>Time of Day</v>
      </c>
      <c r="B13" s="161" t="str">
        <v>Mon</v>
      </c>
      <c r="C13" s="161" t="str">
        <v>Tue</v>
      </c>
      <c r="D13" s="161" t="str">
        <v>Wed</v>
      </c>
      <c r="E13" s="161" t="str">
        <v>Thur</v>
      </c>
      <c r="J13" s="160" t="str" cm="1">
        <f t="array" ref="J13:K14">J5:K6</f>
        <v>Time of Day</v>
      </c>
      <c r="K13" s="161" t="str">
        <v>Wed</v>
      </c>
    </row>
    <row r="14" spans="1:17" ht="31.5" x14ac:dyDescent="0.25">
      <c r="A14" s="162" t="str">
        <v>Afternoon (12:00-15:59)</v>
      </c>
      <c r="B14" s="163">
        <v>0</v>
      </c>
      <c r="C14" s="163">
        <v>2</v>
      </c>
      <c r="D14" s="163">
        <v>0</v>
      </c>
      <c r="E14" s="164">
        <v>1</v>
      </c>
      <c r="J14" s="162" t="str">
        <v>Night (20:00-23:59)</v>
      </c>
      <c r="K14" s="163">
        <v>1</v>
      </c>
    </row>
    <row r="15" spans="1:17" x14ac:dyDescent="0.25">
      <c r="A15" s="165" t="str">
        <v>Night (20:00-23:59)</v>
      </c>
      <c r="B15" s="166">
        <v>1</v>
      </c>
      <c r="C15" s="166">
        <v>0</v>
      </c>
      <c r="D15" s="166">
        <v>1</v>
      </c>
      <c r="E15" s="167">
        <v>0</v>
      </c>
    </row>
    <row r="25" spans="31:32" ht="18.75" x14ac:dyDescent="0.3">
      <c r="AE25" s="168" t="s">
        <v>661</v>
      </c>
      <c r="AF25" s="169" t="s">
        <v>641</v>
      </c>
    </row>
    <row r="26" spans="31:32" ht="18.75" x14ac:dyDescent="0.3">
      <c r="AE26" s="170" t="s">
        <v>35</v>
      </c>
      <c r="AF26" s="171">
        <v>45749</v>
      </c>
    </row>
    <row r="27" spans="31:32" ht="18.75" x14ac:dyDescent="0.3">
      <c r="AE27" s="172" t="s">
        <v>649</v>
      </c>
      <c r="AF27" s="173" t="s">
        <v>452</v>
      </c>
    </row>
    <row r="28" spans="31:32" ht="37.5" x14ac:dyDescent="0.3">
      <c r="AE28" s="170" t="s">
        <v>650</v>
      </c>
      <c r="AF28" s="171" t="s">
        <v>109</v>
      </c>
    </row>
    <row r="29" spans="31:32" ht="18.75" x14ac:dyDescent="0.3">
      <c r="AE29" s="172" t="s">
        <v>746</v>
      </c>
      <c r="AF29" s="174" t="s">
        <v>752</v>
      </c>
    </row>
    <row r="30" spans="31:32" ht="18.75" x14ac:dyDescent="0.3">
      <c r="AE30" s="170" t="s">
        <v>747</v>
      </c>
      <c r="AF30" s="171" t="s">
        <v>669</v>
      </c>
    </row>
    <row r="31" spans="31:32" ht="18.75" x14ac:dyDescent="0.3">
      <c r="AE31" s="172" t="s">
        <v>748</v>
      </c>
      <c r="AF31" s="174" t="s">
        <v>754</v>
      </c>
    </row>
    <row r="32" spans="31:32" ht="32.25" x14ac:dyDescent="0.3">
      <c r="AE32" s="170" t="s">
        <v>749</v>
      </c>
      <c r="AF32" s="171" t="s">
        <v>753</v>
      </c>
    </row>
    <row r="33" spans="31:32" ht="18.75" x14ac:dyDescent="0.3">
      <c r="AE33" s="172" t="s">
        <v>655</v>
      </c>
      <c r="AF33" s="174" t="s">
        <v>754</v>
      </c>
    </row>
    <row r="34" spans="31:32" ht="18.75" x14ac:dyDescent="0.3">
      <c r="AE34" s="170" t="s">
        <v>656</v>
      </c>
      <c r="AF34" s="171" t="s">
        <v>754</v>
      </c>
    </row>
    <row r="35" spans="31:32" ht="18.75" x14ac:dyDescent="0.25">
      <c r="AE35" s="175" t="s">
        <v>750</v>
      </c>
      <c r="AF35" s="176" t="s">
        <v>754</v>
      </c>
    </row>
    <row r="36" spans="31:32" ht="19.5" thickBot="1" x14ac:dyDescent="0.35">
      <c r="AE36" s="177" t="s">
        <v>751</v>
      </c>
      <c r="AF36" s="178" t="s">
        <v>754</v>
      </c>
    </row>
    <row r="39" spans="31:32" x14ac:dyDescent="0.25">
      <c r="AE39" s="117" t="s">
        <v>739</v>
      </c>
    </row>
    <row r="40" spans="31:32" x14ac:dyDescent="0.25">
      <c r="AE40" s="195" t="s">
        <v>740</v>
      </c>
      <c r="AF40" s="195"/>
    </row>
    <row r="41" spans="31:32" x14ac:dyDescent="0.25">
      <c r="AE41" s="59" t="s">
        <v>741</v>
      </c>
    </row>
    <row r="42" spans="31:32" x14ac:dyDescent="0.25">
      <c r="AE42" s="59" t="s">
        <v>742</v>
      </c>
    </row>
    <row r="43" spans="31:32" x14ac:dyDescent="0.25">
      <c r="AE43" s="59" t="s">
        <v>743</v>
      </c>
    </row>
    <row r="44" spans="31:32" x14ac:dyDescent="0.25">
      <c r="AE44" s="117" t="s">
        <v>744</v>
      </c>
    </row>
    <row r="45" spans="31:32" x14ac:dyDescent="0.25">
      <c r="AE45" s="117" t="s">
        <v>745</v>
      </c>
    </row>
  </sheetData>
  <mergeCells count="3">
    <mergeCell ref="A12:H12"/>
    <mergeCell ref="AE40:AF40"/>
    <mergeCell ref="J12:Q12"/>
  </mergeCells>
  <phoneticPr fontId="12" type="noConversion"/>
  <pageMargins left="0.7" right="0.7" top="0.75" bottom="0.75" header="0.3" footer="0.3"/>
  <pageSetup orientation="portrait" r:id="rId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F20A68-6FA3-4B4F-85B2-0B259A5FEC92}">
  <dimension ref="A1"/>
  <sheetViews>
    <sheetView workbookViewId="0"/>
  </sheetViews>
  <sheetFormatPr defaultRowHeight="15" x14ac:dyDescent="0.25"/>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D113A1-4F64-4B7E-9DC4-BF8520013839}">
  <dimension ref="A1:BA61"/>
  <sheetViews>
    <sheetView topLeftCell="AZ1" workbookViewId="0">
      <selection activeCell="BC1" sqref="BC1:BC1048576"/>
    </sheetView>
  </sheetViews>
  <sheetFormatPr defaultRowHeight="15" x14ac:dyDescent="0.25"/>
  <cols>
    <col min="1" max="1" width="14.42578125" bestFit="1" customWidth="1"/>
    <col min="2" max="2" width="33.7109375" bestFit="1" customWidth="1"/>
    <col min="3" max="3" width="23.85546875" bestFit="1" customWidth="1"/>
    <col min="4" max="4" width="33.7109375" bestFit="1" customWidth="1"/>
    <col min="5" max="5" width="60.28515625" bestFit="1" customWidth="1"/>
    <col min="6" max="6" width="25" bestFit="1" customWidth="1"/>
    <col min="7" max="7" width="25.7109375" bestFit="1" customWidth="1"/>
    <col min="8" max="8" width="20.28515625" bestFit="1" customWidth="1"/>
    <col min="9" max="9" width="65.42578125" bestFit="1" customWidth="1"/>
    <col min="10" max="10" width="6.7109375" bestFit="1" customWidth="1"/>
    <col min="11" max="11" width="7.42578125" bestFit="1" customWidth="1"/>
    <col min="12" max="12" width="80.85546875" bestFit="1" customWidth="1"/>
    <col min="13" max="13" width="18.5703125" bestFit="1" customWidth="1"/>
    <col min="14" max="14" width="20.140625" bestFit="1" customWidth="1"/>
    <col min="15" max="15" width="14.7109375" bestFit="1" customWidth="1"/>
    <col min="16" max="16" width="10.7109375" bestFit="1" customWidth="1"/>
    <col min="17" max="17" width="11.28515625" bestFit="1" customWidth="1"/>
    <col min="18" max="18" width="12.5703125" bestFit="1" customWidth="1"/>
    <col min="19" max="19" width="14.7109375" bestFit="1" customWidth="1"/>
    <col min="20" max="20" width="12.5703125" bestFit="1" customWidth="1"/>
    <col min="21" max="21" width="9" bestFit="1" customWidth="1"/>
    <col min="22" max="22" width="9.7109375" bestFit="1" customWidth="1"/>
    <col min="23" max="23" width="13.85546875" bestFit="1" customWidth="1"/>
    <col min="24" max="24" width="14.7109375" bestFit="1" customWidth="1"/>
    <col min="25" max="25" width="26" bestFit="1" customWidth="1"/>
    <col min="26" max="26" width="8.5703125" bestFit="1" customWidth="1"/>
    <col min="27" max="27" width="25" bestFit="1" customWidth="1"/>
    <col min="28" max="28" width="26.140625" bestFit="1" customWidth="1"/>
    <col min="29" max="29" width="42.42578125" bestFit="1" customWidth="1"/>
    <col min="30" max="30" width="24.28515625" bestFit="1" customWidth="1"/>
    <col min="31" max="31" width="14.42578125" bestFit="1" customWidth="1"/>
    <col min="32" max="32" width="14.7109375" bestFit="1" customWidth="1"/>
    <col min="33" max="33" width="23" bestFit="1" customWidth="1"/>
    <col min="34" max="34" width="23.28515625" bestFit="1" customWidth="1"/>
    <col min="35" max="35" width="13.28515625" bestFit="1" customWidth="1"/>
    <col min="36" max="36" width="13.7109375" bestFit="1" customWidth="1"/>
    <col min="37" max="37" width="6.85546875" bestFit="1" customWidth="1"/>
    <col min="38" max="38" width="5.85546875" bestFit="1" customWidth="1"/>
    <col min="39" max="39" width="80.85546875" bestFit="1" customWidth="1"/>
    <col min="40" max="40" width="59.7109375" bestFit="1" customWidth="1"/>
    <col min="41" max="42" width="80.85546875" bestFit="1" customWidth="1"/>
    <col min="43" max="43" width="11.7109375" bestFit="1" customWidth="1"/>
    <col min="44" max="44" width="14" bestFit="1" customWidth="1"/>
    <col min="45" max="45" width="11.5703125" bestFit="1" customWidth="1"/>
    <col min="46" max="46" width="11.85546875" bestFit="1" customWidth="1"/>
    <col min="47" max="47" width="14.42578125" bestFit="1" customWidth="1"/>
    <col min="48" max="48" width="14.28515625" bestFit="1" customWidth="1"/>
    <col min="49" max="49" width="16.5703125" bestFit="1" customWidth="1"/>
    <col min="50" max="50" width="6.42578125" bestFit="1" customWidth="1"/>
    <col min="51" max="51" width="12.7109375" bestFit="1" customWidth="1"/>
    <col min="52" max="52" width="22" bestFit="1" customWidth="1"/>
    <col min="53" max="53" width="16.140625" bestFit="1" customWidth="1"/>
  </cols>
  <sheetData>
    <row r="1" spans="1:53" x14ac:dyDescent="0.25">
      <c r="A1" t="s">
        <v>0</v>
      </c>
      <c r="B1" t="s">
        <v>7</v>
      </c>
      <c r="C1" t="s">
        <v>52</v>
      </c>
      <c r="D1" t="s">
        <v>8</v>
      </c>
      <c r="E1" t="s">
        <v>10</v>
      </c>
      <c r="F1" t="s">
        <v>9</v>
      </c>
      <c r="G1" t="s">
        <v>11</v>
      </c>
      <c r="H1" t="s">
        <v>12</v>
      </c>
      <c r="I1" t="s">
        <v>13</v>
      </c>
      <c r="J1" t="s">
        <v>14</v>
      </c>
      <c r="K1" t="s">
        <v>15</v>
      </c>
      <c r="L1" t="s">
        <v>16</v>
      </c>
      <c r="M1" t="s">
        <v>17</v>
      </c>
      <c r="N1" t="s">
        <v>18</v>
      </c>
      <c r="O1" t="s">
        <v>19</v>
      </c>
      <c r="P1" t="s">
        <v>20</v>
      </c>
      <c r="Q1" t="s">
        <v>21</v>
      </c>
      <c r="R1" t="s">
        <v>22</v>
      </c>
      <c r="S1" t="s">
        <v>23</v>
      </c>
      <c r="T1" t="s">
        <v>24</v>
      </c>
      <c r="U1" t="s">
        <v>25</v>
      </c>
      <c r="V1" t="s">
        <v>26</v>
      </c>
      <c r="W1" t="s">
        <v>27</v>
      </c>
      <c r="X1" t="s">
        <v>28</v>
      </c>
      <c r="Y1" t="s">
        <v>29</v>
      </c>
      <c r="Z1" t="s">
        <v>30</v>
      </c>
      <c r="AA1" t="s">
        <v>31</v>
      </c>
      <c r="AB1" t="s">
        <v>32</v>
      </c>
      <c r="AC1" t="s">
        <v>33</v>
      </c>
      <c r="AD1" t="s">
        <v>34</v>
      </c>
      <c r="AE1" t="s">
        <v>35</v>
      </c>
      <c r="AF1" t="s">
        <v>36</v>
      </c>
      <c r="AG1" t="s">
        <v>37</v>
      </c>
      <c r="AH1" t="s">
        <v>38</v>
      </c>
      <c r="AI1" t="s">
        <v>39</v>
      </c>
      <c r="AJ1" t="s">
        <v>40</v>
      </c>
      <c r="AK1" t="s">
        <v>41</v>
      </c>
      <c r="AL1" t="s">
        <v>47</v>
      </c>
      <c r="AM1" t="s">
        <v>459</v>
      </c>
      <c r="AN1" t="s">
        <v>48</v>
      </c>
      <c r="AO1" t="s">
        <v>49</v>
      </c>
      <c r="AP1" t="s">
        <v>50</v>
      </c>
      <c r="AQ1" t="s">
        <v>1</v>
      </c>
      <c r="AR1" t="s">
        <v>3</v>
      </c>
      <c r="AS1" t="s">
        <v>4</v>
      </c>
      <c r="AT1" t="s">
        <v>5</v>
      </c>
      <c r="AU1" t="s">
        <v>6</v>
      </c>
      <c r="AV1" t="s">
        <v>42</v>
      </c>
      <c r="AW1" t="s">
        <v>43</v>
      </c>
      <c r="AX1" t="s">
        <v>44</v>
      </c>
      <c r="AY1" t="s">
        <v>45</v>
      </c>
      <c r="AZ1" t="s">
        <v>46</v>
      </c>
      <c r="BA1" t="s">
        <v>51</v>
      </c>
    </row>
    <row r="2" spans="1:53" x14ac:dyDescent="0.25">
      <c r="A2" t="s">
        <v>210</v>
      </c>
      <c r="B2" t="s">
        <v>211</v>
      </c>
      <c r="C2" t="s">
        <v>109</v>
      </c>
      <c r="D2" t="s">
        <v>212</v>
      </c>
      <c r="E2" t="s">
        <v>213</v>
      </c>
      <c r="F2" t="s">
        <v>213</v>
      </c>
      <c r="G2" t="s">
        <v>59</v>
      </c>
      <c r="H2" t="s">
        <v>59</v>
      </c>
      <c r="I2" t="s">
        <v>214</v>
      </c>
      <c r="J2" t="s">
        <v>215</v>
      </c>
      <c r="K2">
        <v>9</v>
      </c>
      <c r="L2" t="s">
        <v>216</v>
      </c>
      <c r="O2" t="s">
        <v>217</v>
      </c>
      <c r="P2" t="s">
        <v>63</v>
      </c>
      <c r="Q2" t="s">
        <v>218</v>
      </c>
      <c r="R2" t="s">
        <v>65</v>
      </c>
      <c r="W2" t="s">
        <v>157</v>
      </c>
      <c r="X2" t="s">
        <v>67</v>
      </c>
      <c r="Y2" t="s">
        <v>219</v>
      </c>
      <c r="Z2" t="s">
        <v>206</v>
      </c>
      <c r="AA2" t="s">
        <v>220</v>
      </c>
      <c r="AB2" t="s">
        <v>71</v>
      </c>
      <c r="AC2" t="s">
        <v>221</v>
      </c>
      <c r="AD2">
        <v>9</v>
      </c>
      <c r="AE2" s="1">
        <v>45660</v>
      </c>
      <c r="AF2" s="2">
        <v>0.89583333333333337</v>
      </c>
      <c r="AG2" s="1">
        <v>45661</v>
      </c>
      <c r="AH2" s="2">
        <v>0.2673611111111111</v>
      </c>
      <c r="AI2" s="1">
        <v>45661</v>
      </c>
      <c r="AJ2" s="2">
        <v>0.45774305555555556</v>
      </c>
      <c r="AK2">
        <v>2025</v>
      </c>
      <c r="AL2">
        <v>309</v>
      </c>
      <c r="AM2" t="s">
        <v>216</v>
      </c>
      <c r="AN2" t="s">
        <v>222</v>
      </c>
      <c r="AO2" t="s">
        <v>223</v>
      </c>
      <c r="AP2" t="s">
        <v>59</v>
      </c>
      <c r="AQ2" s="1">
        <v>45660</v>
      </c>
      <c r="AR2" s="32">
        <v>0.875</v>
      </c>
      <c r="AS2" s="32">
        <v>0.89583333333333337</v>
      </c>
      <c r="AT2" t="s">
        <v>454</v>
      </c>
      <c r="AU2" t="s">
        <v>55</v>
      </c>
      <c r="AV2">
        <v>1</v>
      </c>
      <c r="AW2">
        <v>1</v>
      </c>
      <c r="AX2">
        <v>3</v>
      </c>
      <c r="AY2">
        <v>3</v>
      </c>
      <c r="AZ2" s="2">
        <v>45660.895833333336</v>
      </c>
      <c r="BA2" s="31" t="s">
        <v>514</v>
      </c>
    </row>
    <row r="3" spans="1:53" x14ac:dyDescent="0.25">
      <c r="A3" t="s">
        <v>395</v>
      </c>
      <c r="B3" t="s">
        <v>396</v>
      </c>
      <c r="C3" t="s">
        <v>76</v>
      </c>
      <c r="D3" t="s">
        <v>397</v>
      </c>
      <c r="E3" t="s">
        <v>399</v>
      </c>
      <c r="F3" t="s">
        <v>398</v>
      </c>
      <c r="G3" t="s">
        <v>400</v>
      </c>
      <c r="H3" t="s">
        <v>59</v>
      </c>
      <c r="I3" t="s">
        <v>401</v>
      </c>
      <c r="J3" t="s">
        <v>134</v>
      </c>
      <c r="K3">
        <v>7</v>
      </c>
      <c r="L3" t="s">
        <v>402</v>
      </c>
      <c r="W3" t="s">
        <v>403</v>
      </c>
      <c r="X3" t="s">
        <v>67</v>
      </c>
      <c r="Y3" t="s">
        <v>404</v>
      </c>
      <c r="Z3" t="s">
        <v>405</v>
      </c>
      <c r="AA3" t="s">
        <v>406</v>
      </c>
      <c r="AB3" t="s">
        <v>71</v>
      </c>
      <c r="AC3" t="s">
        <v>407</v>
      </c>
      <c r="AD3">
        <v>9</v>
      </c>
      <c r="AE3" s="1">
        <v>45664</v>
      </c>
      <c r="AF3" s="2">
        <v>0.58333333333333337</v>
      </c>
      <c r="AG3" s="1"/>
      <c r="AH3" s="2"/>
      <c r="AI3" s="1">
        <v>45667</v>
      </c>
      <c r="AJ3" s="2">
        <v>0.59781249999999997</v>
      </c>
      <c r="AK3">
        <v>2025</v>
      </c>
      <c r="AL3">
        <v>135</v>
      </c>
      <c r="AM3" t="s">
        <v>402</v>
      </c>
      <c r="AO3" t="s">
        <v>408</v>
      </c>
      <c r="AP3" t="s">
        <v>59</v>
      </c>
      <c r="AQ3" s="1">
        <v>45664</v>
      </c>
      <c r="AR3" s="32">
        <v>0.58333333333333337</v>
      </c>
      <c r="AS3" s="32">
        <v>0.58333333333333337</v>
      </c>
      <c r="AT3" t="s">
        <v>451</v>
      </c>
      <c r="AU3" t="s">
        <v>55</v>
      </c>
      <c r="AV3">
        <v>2</v>
      </c>
      <c r="AW3">
        <v>2</v>
      </c>
      <c r="AX3">
        <v>7</v>
      </c>
      <c r="AY3">
        <v>7</v>
      </c>
      <c r="AZ3" s="2">
        <v>45664.583333333336</v>
      </c>
      <c r="BA3" s="31" t="s">
        <v>513</v>
      </c>
    </row>
    <row r="4" spans="1:53" x14ac:dyDescent="0.25">
      <c r="A4" t="s">
        <v>53</v>
      </c>
      <c r="B4" t="s">
        <v>56</v>
      </c>
      <c r="C4" t="s">
        <v>76</v>
      </c>
      <c r="D4" t="s">
        <v>57</v>
      </c>
      <c r="E4" t="s">
        <v>58</v>
      </c>
      <c r="F4" t="s">
        <v>58</v>
      </c>
      <c r="G4" t="s">
        <v>59</v>
      </c>
      <c r="H4" t="s">
        <v>59</v>
      </c>
      <c r="I4" t="s">
        <v>60</v>
      </c>
      <c r="K4">
        <v>7</v>
      </c>
      <c r="L4" t="s">
        <v>61</v>
      </c>
      <c r="O4" t="s">
        <v>62</v>
      </c>
      <c r="P4" t="s">
        <v>63</v>
      </c>
      <c r="Q4" t="s">
        <v>64</v>
      </c>
      <c r="R4" t="s">
        <v>65</v>
      </c>
      <c r="W4" t="s">
        <v>66</v>
      </c>
      <c r="X4" t="s">
        <v>67</v>
      </c>
      <c r="Y4" t="s">
        <v>68</v>
      </c>
      <c r="Z4" t="s">
        <v>69</v>
      </c>
      <c r="AA4" t="s">
        <v>70</v>
      </c>
      <c r="AB4" t="s">
        <v>71</v>
      </c>
      <c r="AC4" t="s">
        <v>72</v>
      </c>
      <c r="AD4">
        <v>9</v>
      </c>
      <c r="AE4" s="1">
        <v>45663</v>
      </c>
      <c r="AF4" s="2">
        <v>0.64583333333333337</v>
      </c>
      <c r="AG4" s="1">
        <v>45667</v>
      </c>
      <c r="AH4" s="2"/>
      <c r="AI4" s="1">
        <v>45667</v>
      </c>
      <c r="AJ4" s="2">
        <v>0.82629629629629631</v>
      </c>
      <c r="AK4">
        <v>2025</v>
      </c>
      <c r="AL4">
        <v>90</v>
      </c>
      <c r="AM4" t="s">
        <v>61</v>
      </c>
      <c r="AN4" t="s">
        <v>73</v>
      </c>
      <c r="AO4" t="s">
        <v>74</v>
      </c>
      <c r="AP4" t="s">
        <v>75</v>
      </c>
      <c r="AQ4" s="1">
        <v>45663</v>
      </c>
      <c r="AR4" s="32">
        <v>0.625</v>
      </c>
      <c r="AS4" s="32">
        <v>0.64583333333333337</v>
      </c>
      <c r="AT4" t="s">
        <v>450</v>
      </c>
      <c r="AU4" t="s">
        <v>55</v>
      </c>
      <c r="AV4">
        <v>2</v>
      </c>
      <c r="AW4">
        <v>2</v>
      </c>
      <c r="AX4">
        <v>6</v>
      </c>
      <c r="AY4">
        <v>6</v>
      </c>
      <c r="AZ4" s="2">
        <v>45663.645833333336</v>
      </c>
      <c r="BA4" s="31" t="s">
        <v>514</v>
      </c>
    </row>
    <row r="5" spans="1:53" x14ac:dyDescent="0.25">
      <c r="A5" t="s">
        <v>341</v>
      </c>
      <c r="B5" t="s">
        <v>342</v>
      </c>
      <c r="C5" t="s">
        <v>76</v>
      </c>
      <c r="D5" t="s">
        <v>343</v>
      </c>
      <c r="E5" t="s">
        <v>345</v>
      </c>
      <c r="F5" t="s">
        <v>344</v>
      </c>
      <c r="G5" t="s">
        <v>346</v>
      </c>
      <c r="H5" t="s">
        <v>347</v>
      </c>
      <c r="I5" t="s">
        <v>348</v>
      </c>
      <c r="J5" t="s">
        <v>84</v>
      </c>
      <c r="K5">
        <v>8</v>
      </c>
      <c r="L5" t="s">
        <v>349</v>
      </c>
      <c r="W5" t="s">
        <v>157</v>
      </c>
      <c r="X5" t="s">
        <v>67</v>
      </c>
      <c r="Y5" t="s">
        <v>350</v>
      </c>
      <c r="Z5" t="s">
        <v>351</v>
      </c>
      <c r="AA5" t="s">
        <v>352</v>
      </c>
      <c r="AB5" t="s">
        <v>123</v>
      </c>
      <c r="AC5" t="s">
        <v>353</v>
      </c>
      <c r="AD5">
        <v>9</v>
      </c>
      <c r="AE5" s="1">
        <v>45670</v>
      </c>
      <c r="AF5" s="2">
        <v>0.50347222222222221</v>
      </c>
      <c r="AG5" s="1"/>
      <c r="AH5" s="2"/>
      <c r="AI5" s="1">
        <v>45670</v>
      </c>
      <c r="AJ5" s="2">
        <v>0.50537037037037036</v>
      </c>
      <c r="AK5">
        <v>2025</v>
      </c>
      <c r="AL5">
        <v>204</v>
      </c>
      <c r="AM5" t="s">
        <v>349</v>
      </c>
      <c r="AO5" t="s">
        <v>354</v>
      </c>
      <c r="AP5" t="s">
        <v>355</v>
      </c>
      <c r="AQ5" s="1">
        <v>45670</v>
      </c>
      <c r="AR5" s="32">
        <v>0.5</v>
      </c>
      <c r="AS5" s="32">
        <v>0.50347222222222221</v>
      </c>
      <c r="AT5" t="s">
        <v>450</v>
      </c>
      <c r="AU5" t="s">
        <v>55</v>
      </c>
      <c r="AV5">
        <v>3</v>
      </c>
      <c r="AW5">
        <v>3</v>
      </c>
      <c r="AX5">
        <v>13</v>
      </c>
      <c r="AY5">
        <v>13</v>
      </c>
      <c r="AZ5" s="2">
        <v>45670.503472222219</v>
      </c>
      <c r="BA5" s="31" t="s">
        <v>513</v>
      </c>
    </row>
    <row r="6" spans="1:53" x14ac:dyDescent="0.25">
      <c r="A6" t="s">
        <v>184</v>
      </c>
      <c r="B6" t="s">
        <v>185</v>
      </c>
      <c r="C6" t="s">
        <v>150</v>
      </c>
      <c r="D6" t="s">
        <v>186</v>
      </c>
      <c r="E6" t="s">
        <v>187</v>
      </c>
      <c r="F6" t="s">
        <v>132</v>
      </c>
      <c r="G6" t="s">
        <v>188</v>
      </c>
      <c r="H6" t="s">
        <v>189</v>
      </c>
      <c r="I6" t="s">
        <v>190</v>
      </c>
      <c r="J6" t="s">
        <v>191</v>
      </c>
      <c r="K6">
        <v>9</v>
      </c>
      <c r="L6" t="s">
        <v>192</v>
      </c>
      <c r="W6" t="s">
        <v>193</v>
      </c>
      <c r="X6" t="s">
        <v>67</v>
      </c>
      <c r="Y6" t="s">
        <v>194</v>
      </c>
      <c r="Z6" t="s">
        <v>159</v>
      </c>
      <c r="AA6" t="s">
        <v>160</v>
      </c>
      <c r="AB6" t="s">
        <v>195</v>
      </c>
      <c r="AC6" t="s">
        <v>137</v>
      </c>
      <c r="AD6">
        <v>9</v>
      </c>
      <c r="AE6" s="1">
        <v>45671</v>
      </c>
      <c r="AF6" s="2">
        <v>0.46388888888888891</v>
      </c>
      <c r="AG6" s="1"/>
      <c r="AH6" s="2"/>
      <c r="AI6" s="1">
        <v>45671</v>
      </c>
      <c r="AJ6" s="2">
        <v>0.46740740740740738</v>
      </c>
      <c r="AK6">
        <v>2025</v>
      </c>
      <c r="AL6">
        <v>895</v>
      </c>
      <c r="AM6" t="s">
        <v>192</v>
      </c>
      <c r="AO6" t="s">
        <v>196</v>
      </c>
      <c r="AP6" t="s">
        <v>59</v>
      </c>
      <c r="AQ6" s="1">
        <v>45671</v>
      </c>
      <c r="AR6" s="32">
        <v>0.45833333333333331</v>
      </c>
      <c r="AS6" s="32">
        <v>0.46388888888888891</v>
      </c>
      <c r="AT6" t="s">
        <v>451</v>
      </c>
      <c r="AU6" t="s">
        <v>55</v>
      </c>
      <c r="AV6">
        <v>3</v>
      </c>
      <c r="AW6">
        <v>3</v>
      </c>
      <c r="AX6">
        <v>14</v>
      </c>
      <c r="AY6">
        <v>14</v>
      </c>
      <c r="AZ6" s="2">
        <v>45671.463888888888</v>
      </c>
      <c r="BA6" s="31" t="s">
        <v>512</v>
      </c>
    </row>
    <row r="7" spans="1:53" x14ac:dyDescent="0.25">
      <c r="A7" t="s">
        <v>356</v>
      </c>
      <c r="B7" t="s">
        <v>357</v>
      </c>
      <c r="C7" t="s">
        <v>76</v>
      </c>
      <c r="D7" t="s">
        <v>358</v>
      </c>
      <c r="E7" t="s">
        <v>359</v>
      </c>
      <c r="F7" t="s">
        <v>347</v>
      </c>
      <c r="G7" t="s">
        <v>360</v>
      </c>
      <c r="H7" t="s">
        <v>361</v>
      </c>
      <c r="I7" t="s">
        <v>362</v>
      </c>
      <c r="J7" t="s">
        <v>363</v>
      </c>
      <c r="K7">
        <v>9</v>
      </c>
      <c r="L7" t="s">
        <v>364</v>
      </c>
      <c r="O7" t="s">
        <v>365</v>
      </c>
      <c r="P7" t="s">
        <v>366</v>
      </c>
      <c r="Q7" t="s">
        <v>367</v>
      </c>
      <c r="R7" t="s">
        <v>65</v>
      </c>
      <c r="W7" t="s">
        <v>119</v>
      </c>
      <c r="X7" t="s">
        <v>67</v>
      </c>
      <c r="Y7" t="s">
        <v>219</v>
      </c>
      <c r="Z7" t="s">
        <v>368</v>
      </c>
      <c r="AA7" t="s">
        <v>160</v>
      </c>
      <c r="AB7" t="s">
        <v>123</v>
      </c>
      <c r="AC7" t="s">
        <v>353</v>
      </c>
      <c r="AD7">
        <v>9</v>
      </c>
      <c r="AE7" s="1">
        <v>45671</v>
      </c>
      <c r="AF7" s="2">
        <v>0.64067129629629627</v>
      </c>
      <c r="AG7" s="1"/>
      <c r="AH7" s="2"/>
      <c r="AI7" s="1">
        <v>45671</v>
      </c>
      <c r="AJ7" s="2">
        <v>0.64067129629629627</v>
      </c>
      <c r="AK7">
        <v>2025</v>
      </c>
      <c r="AL7">
        <v>450</v>
      </c>
      <c r="AM7" t="s">
        <v>364</v>
      </c>
      <c r="AN7" t="s">
        <v>369</v>
      </c>
      <c r="AO7" t="s">
        <v>59</v>
      </c>
      <c r="AP7" t="s">
        <v>370</v>
      </c>
      <c r="AQ7" s="1">
        <v>45671</v>
      </c>
      <c r="AR7" s="32">
        <v>0.625</v>
      </c>
      <c r="AS7" s="32">
        <v>0.64067129629629627</v>
      </c>
      <c r="AT7" t="s">
        <v>451</v>
      </c>
      <c r="AU7" t="s">
        <v>55</v>
      </c>
      <c r="AV7">
        <v>3</v>
      </c>
      <c r="AW7">
        <v>3</v>
      </c>
      <c r="AX7">
        <v>14</v>
      </c>
      <c r="AY7">
        <v>14</v>
      </c>
      <c r="AZ7" s="2">
        <v>45671.640277777777</v>
      </c>
      <c r="BA7" s="31" t="s">
        <v>512</v>
      </c>
    </row>
    <row r="8" spans="1:53" x14ac:dyDescent="0.25">
      <c r="A8" t="s">
        <v>224</v>
      </c>
      <c r="B8" t="s">
        <v>225</v>
      </c>
      <c r="C8" t="s">
        <v>76</v>
      </c>
      <c r="D8" t="s">
        <v>226</v>
      </c>
      <c r="E8" t="s">
        <v>213</v>
      </c>
      <c r="F8" t="s">
        <v>213</v>
      </c>
      <c r="G8" t="s">
        <v>59</v>
      </c>
      <c r="H8" t="s">
        <v>59</v>
      </c>
      <c r="I8" t="s">
        <v>227</v>
      </c>
      <c r="J8" t="s">
        <v>84</v>
      </c>
      <c r="K8">
        <v>8</v>
      </c>
      <c r="L8" t="s">
        <v>228</v>
      </c>
      <c r="O8" t="s">
        <v>229</v>
      </c>
      <c r="P8" t="s">
        <v>63</v>
      </c>
      <c r="Q8" t="s">
        <v>230</v>
      </c>
      <c r="R8" t="s">
        <v>65</v>
      </c>
      <c r="W8" t="s">
        <v>119</v>
      </c>
      <c r="X8" t="s">
        <v>67</v>
      </c>
      <c r="Y8" t="s">
        <v>231</v>
      </c>
      <c r="Z8" t="s">
        <v>232</v>
      </c>
      <c r="AA8" t="s">
        <v>70</v>
      </c>
      <c r="AB8" t="s">
        <v>71</v>
      </c>
      <c r="AC8" t="s">
        <v>221</v>
      </c>
      <c r="AD8">
        <v>9</v>
      </c>
      <c r="AE8" s="1">
        <v>45672</v>
      </c>
      <c r="AF8" s="2">
        <v>0.53988425925925931</v>
      </c>
      <c r="AG8" s="1"/>
      <c r="AH8" s="2"/>
      <c r="AI8" s="1">
        <v>45672</v>
      </c>
      <c r="AJ8" s="2">
        <v>0.53988425925925931</v>
      </c>
      <c r="AK8">
        <v>2025</v>
      </c>
      <c r="AL8">
        <v>244</v>
      </c>
      <c r="AM8" t="s">
        <v>228</v>
      </c>
      <c r="AN8" t="s">
        <v>233</v>
      </c>
      <c r="AO8" t="s">
        <v>234</v>
      </c>
      <c r="AP8" t="s">
        <v>235</v>
      </c>
      <c r="AQ8" s="1">
        <v>45672</v>
      </c>
      <c r="AR8" s="32">
        <v>0.5</v>
      </c>
      <c r="AS8" s="32">
        <v>0.53988425925925931</v>
      </c>
      <c r="AT8" t="s">
        <v>452</v>
      </c>
      <c r="AU8" t="s">
        <v>55</v>
      </c>
      <c r="AV8">
        <v>3</v>
      </c>
      <c r="AW8">
        <v>3</v>
      </c>
      <c r="AX8">
        <v>15</v>
      </c>
      <c r="AY8">
        <v>15</v>
      </c>
      <c r="AZ8" s="2">
        <v>45672.539583333331</v>
      </c>
      <c r="BA8" s="31" t="s">
        <v>512</v>
      </c>
    </row>
    <row r="9" spans="1:53" x14ac:dyDescent="0.25">
      <c r="A9" t="s">
        <v>197</v>
      </c>
      <c r="B9" t="s">
        <v>198</v>
      </c>
      <c r="C9" t="s">
        <v>109</v>
      </c>
      <c r="D9" t="s">
        <v>199</v>
      </c>
      <c r="E9" t="s">
        <v>201</v>
      </c>
      <c r="F9" t="s">
        <v>200</v>
      </c>
      <c r="G9" t="s">
        <v>132</v>
      </c>
      <c r="H9" t="s">
        <v>188</v>
      </c>
      <c r="I9" t="s">
        <v>202</v>
      </c>
      <c r="J9" t="s">
        <v>203</v>
      </c>
      <c r="K9">
        <v>5</v>
      </c>
      <c r="L9" t="s">
        <v>204</v>
      </c>
      <c r="W9" t="s">
        <v>88</v>
      </c>
      <c r="X9" t="s">
        <v>67</v>
      </c>
      <c r="Y9" t="s">
        <v>205</v>
      </c>
      <c r="Z9" t="s">
        <v>206</v>
      </c>
      <c r="AC9" t="s">
        <v>137</v>
      </c>
      <c r="AD9">
        <v>9</v>
      </c>
      <c r="AE9" s="1">
        <v>45673</v>
      </c>
      <c r="AF9" s="2">
        <v>0.83333333333333337</v>
      </c>
      <c r="AG9" s="1"/>
      <c r="AH9" s="2"/>
      <c r="AI9" s="1">
        <v>45673</v>
      </c>
      <c r="AJ9" s="2">
        <v>9.0057870370370371E-2</v>
      </c>
      <c r="AK9">
        <v>2025</v>
      </c>
      <c r="AL9">
        <v>152</v>
      </c>
      <c r="AM9" t="s">
        <v>204</v>
      </c>
      <c r="AO9" t="s">
        <v>207</v>
      </c>
      <c r="AP9" t="s">
        <v>208</v>
      </c>
      <c r="AQ9" s="1">
        <v>45673</v>
      </c>
      <c r="AR9" s="32">
        <v>0.83333333333333337</v>
      </c>
      <c r="AS9" s="32">
        <v>0.83333333333333337</v>
      </c>
      <c r="AT9" t="s">
        <v>536</v>
      </c>
      <c r="AU9" t="s">
        <v>55</v>
      </c>
      <c r="AV9">
        <v>3</v>
      </c>
      <c r="AW9">
        <v>3</v>
      </c>
      <c r="AX9">
        <v>16</v>
      </c>
      <c r="AY9">
        <v>16</v>
      </c>
      <c r="AZ9" s="2">
        <v>45673.833333333336</v>
      </c>
      <c r="BA9" s="31" t="s">
        <v>512</v>
      </c>
    </row>
    <row r="10" spans="1:53" x14ac:dyDescent="0.25">
      <c r="A10" t="s">
        <v>129</v>
      </c>
      <c r="B10" t="s">
        <v>130</v>
      </c>
      <c r="C10" t="s">
        <v>76</v>
      </c>
      <c r="D10" t="s">
        <v>131</v>
      </c>
      <c r="E10" t="s">
        <v>132</v>
      </c>
      <c r="F10" t="s">
        <v>132</v>
      </c>
      <c r="G10" t="s">
        <v>59</v>
      </c>
      <c r="H10" t="s">
        <v>59</v>
      </c>
      <c r="I10" t="s">
        <v>133</v>
      </c>
      <c r="J10" t="s">
        <v>134</v>
      </c>
      <c r="K10">
        <v>7</v>
      </c>
      <c r="L10" t="s">
        <v>135</v>
      </c>
      <c r="W10" t="s">
        <v>66</v>
      </c>
      <c r="X10" t="s">
        <v>67</v>
      </c>
      <c r="Y10" t="s">
        <v>136</v>
      </c>
      <c r="Z10" t="s">
        <v>69</v>
      </c>
      <c r="AA10" t="s">
        <v>70</v>
      </c>
      <c r="AB10" t="s">
        <v>71</v>
      </c>
      <c r="AC10" t="s">
        <v>137</v>
      </c>
      <c r="AD10">
        <v>9</v>
      </c>
      <c r="AE10" s="1">
        <v>45673</v>
      </c>
      <c r="AF10" s="2">
        <v>0.5</v>
      </c>
      <c r="AG10" s="1">
        <v>45673</v>
      </c>
      <c r="AH10" s="2">
        <v>0.75</v>
      </c>
      <c r="AI10" s="1">
        <v>45673</v>
      </c>
      <c r="AJ10" s="2">
        <v>0.81587962962962968</v>
      </c>
      <c r="AK10">
        <v>2025</v>
      </c>
      <c r="AL10">
        <v>30</v>
      </c>
      <c r="AM10" t="s">
        <v>135</v>
      </c>
      <c r="AO10" t="s">
        <v>138</v>
      </c>
      <c r="AP10" t="s">
        <v>139</v>
      </c>
      <c r="AQ10" s="1">
        <v>45673</v>
      </c>
      <c r="AR10" s="32">
        <v>0.5</v>
      </c>
      <c r="AS10" s="32">
        <v>0.5</v>
      </c>
      <c r="AT10" t="s">
        <v>536</v>
      </c>
      <c r="AU10" t="s">
        <v>55</v>
      </c>
      <c r="AV10">
        <v>3</v>
      </c>
      <c r="AW10">
        <v>3</v>
      </c>
      <c r="AX10">
        <v>16</v>
      </c>
      <c r="AY10">
        <v>16</v>
      </c>
      <c r="AZ10" s="2">
        <v>45673.5</v>
      </c>
      <c r="BA10" s="31" t="s">
        <v>512</v>
      </c>
    </row>
    <row r="11" spans="1:53" x14ac:dyDescent="0.25">
      <c r="A11" t="s">
        <v>371</v>
      </c>
      <c r="B11" t="s">
        <v>372</v>
      </c>
      <c r="C11" t="s">
        <v>109</v>
      </c>
      <c r="D11" t="s">
        <v>373</v>
      </c>
      <c r="E11" t="s">
        <v>347</v>
      </c>
      <c r="F11" t="s">
        <v>347</v>
      </c>
      <c r="G11" t="s">
        <v>59</v>
      </c>
      <c r="H11" t="s">
        <v>59</v>
      </c>
      <c r="I11" t="s">
        <v>374</v>
      </c>
      <c r="J11" t="s">
        <v>178</v>
      </c>
      <c r="K11">
        <v>9</v>
      </c>
      <c r="L11" t="s">
        <v>375</v>
      </c>
      <c r="P11" t="s">
        <v>376</v>
      </c>
      <c r="Q11" t="s">
        <v>377</v>
      </c>
      <c r="W11" t="s">
        <v>66</v>
      </c>
      <c r="X11" t="s">
        <v>67</v>
      </c>
      <c r="Y11" t="s">
        <v>89</v>
      </c>
      <c r="Z11" t="s">
        <v>90</v>
      </c>
      <c r="AA11" t="s">
        <v>378</v>
      </c>
      <c r="AB11" t="s">
        <v>195</v>
      </c>
      <c r="AC11" t="s">
        <v>353</v>
      </c>
      <c r="AD11">
        <v>9</v>
      </c>
      <c r="AE11" s="1">
        <v>45673</v>
      </c>
      <c r="AF11" s="2">
        <v>0.87708333333333333</v>
      </c>
      <c r="AG11" s="1">
        <v>45673</v>
      </c>
      <c r="AH11" s="2">
        <v>0.88611111111111107</v>
      </c>
      <c r="AI11" s="1">
        <v>45674</v>
      </c>
      <c r="AJ11" s="2">
        <v>0.51179398148148147</v>
      </c>
      <c r="AK11">
        <v>2025</v>
      </c>
      <c r="AL11">
        <v>630</v>
      </c>
      <c r="AM11" t="s">
        <v>375</v>
      </c>
      <c r="AN11" t="s">
        <v>379</v>
      </c>
      <c r="AO11" t="s">
        <v>380</v>
      </c>
      <c r="AP11" t="s">
        <v>381</v>
      </c>
      <c r="AQ11" s="1">
        <v>45673</v>
      </c>
      <c r="AR11" s="32">
        <v>0.875</v>
      </c>
      <c r="AS11" s="32">
        <v>0.87708333333333333</v>
      </c>
      <c r="AT11" t="s">
        <v>536</v>
      </c>
      <c r="AU11" t="s">
        <v>55</v>
      </c>
      <c r="AV11">
        <v>3</v>
      </c>
      <c r="AW11">
        <v>3</v>
      </c>
      <c r="AX11">
        <v>16</v>
      </c>
      <c r="AY11">
        <v>16</v>
      </c>
      <c r="AZ11" s="2">
        <v>45673.877083333333</v>
      </c>
      <c r="BA11" s="31" t="s">
        <v>512</v>
      </c>
    </row>
    <row r="12" spans="1:53" x14ac:dyDescent="0.25">
      <c r="A12" t="s">
        <v>236</v>
      </c>
      <c r="B12" t="s">
        <v>237</v>
      </c>
      <c r="C12" t="s">
        <v>95</v>
      </c>
      <c r="D12" t="s">
        <v>238</v>
      </c>
      <c r="E12" t="s">
        <v>213</v>
      </c>
      <c r="F12" t="s">
        <v>213</v>
      </c>
      <c r="G12" t="s">
        <v>59</v>
      </c>
      <c r="H12" t="s">
        <v>59</v>
      </c>
      <c r="I12" t="s">
        <v>239</v>
      </c>
      <c r="J12" t="s">
        <v>178</v>
      </c>
      <c r="K12">
        <v>9</v>
      </c>
      <c r="L12" t="s">
        <v>240</v>
      </c>
      <c r="O12" t="s">
        <v>241</v>
      </c>
      <c r="P12" t="s">
        <v>63</v>
      </c>
      <c r="Q12" t="s">
        <v>242</v>
      </c>
      <c r="R12" t="s">
        <v>65</v>
      </c>
      <c r="W12" t="s">
        <v>243</v>
      </c>
      <c r="X12" t="s">
        <v>67</v>
      </c>
      <c r="Y12" t="s">
        <v>244</v>
      </c>
      <c r="Z12" t="s">
        <v>206</v>
      </c>
      <c r="AA12" t="s">
        <v>160</v>
      </c>
      <c r="AB12" t="s">
        <v>71</v>
      </c>
      <c r="AC12" t="s">
        <v>221</v>
      </c>
      <c r="AD12">
        <v>9</v>
      </c>
      <c r="AE12" s="1">
        <v>45678</v>
      </c>
      <c r="AF12" s="2">
        <v>0.79166666666666663</v>
      </c>
      <c r="AG12" s="1">
        <v>45679</v>
      </c>
      <c r="AH12" s="2">
        <v>0.13125000000000001</v>
      </c>
      <c r="AI12" s="1">
        <v>45679</v>
      </c>
      <c r="AJ12" s="2">
        <v>0.13255787037037037</v>
      </c>
      <c r="AK12">
        <v>2025</v>
      </c>
      <c r="AL12">
        <v>33</v>
      </c>
      <c r="AM12" t="s">
        <v>240</v>
      </c>
      <c r="AN12" t="s">
        <v>245</v>
      </c>
      <c r="AO12" t="s">
        <v>59</v>
      </c>
      <c r="AP12" t="s">
        <v>59</v>
      </c>
      <c r="AQ12" s="1">
        <v>45678</v>
      </c>
      <c r="AR12" s="32">
        <v>0.79166666666666663</v>
      </c>
      <c r="AS12" s="32">
        <v>0.79166666666666663</v>
      </c>
      <c r="AT12" t="s">
        <v>451</v>
      </c>
      <c r="AU12" t="s">
        <v>55</v>
      </c>
      <c r="AV12">
        <v>4</v>
      </c>
      <c r="AW12">
        <v>4</v>
      </c>
      <c r="AX12">
        <v>21</v>
      </c>
      <c r="AY12">
        <v>21</v>
      </c>
      <c r="AZ12" s="2">
        <v>45678.791666666664</v>
      </c>
      <c r="BA12" s="31" t="s">
        <v>511</v>
      </c>
    </row>
    <row r="13" spans="1:53" x14ac:dyDescent="0.25">
      <c r="A13" t="s">
        <v>246</v>
      </c>
      <c r="B13" t="s">
        <v>247</v>
      </c>
      <c r="C13" t="s">
        <v>150</v>
      </c>
      <c r="D13" t="s">
        <v>248</v>
      </c>
      <c r="E13" t="s">
        <v>213</v>
      </c>
      <c r="F13" t="s">
        <v>213</v>
      </c>
      <c r="G13" t="s">
        <v>59</v>
      </c>
      <c r="H13" t="s">
        <v>59</v>
      </c>
      <c r="I13" t="s">
        <v>249</v>
      </c>
      <c r="J13" t="s">
        <v>250</v>
      </c>
      <c r="K13">
        <v>5</v>
      </c>
      <c r="L13" t="s">
        <v>251</v>
      </c>
      <c r="O13" t="s">
        <v>252</v>
      </c>
      <c r="P13" t="s">
        <v>253</v>
      </c>
      <c r="Q13" t="s">
        <v>254</v>
      </c>
      <c r="R13" t="s">
        <v>65</v>
      </c>
      <c r="W13" t="s">
        <v>119</v>
      </c>
      <c r="X13" t="s">
        <v>67</v>
      </c>
      <c r="Y13" t="s">
        <v>244</v>
      </c>
      <c r="Z13" t="s">
        <v>206</v>
      </c>
      <c r="AA13" t="s">
        <v>122</v>
      </c>
      <c r="AB13" t="s">
        <v>71</v>
      </c>
      <c r="AC13" t="s">
        <v>221</v>
      </c>
      <c r="AD13">
        <v>9</v>
      </c>
      <c r="AE13" s="1">
        <v>45679</v>
      </c>
      <c r="AF13" s="2">
        <v>0.33333333333333331</v>
      </c>
      <c r="AG13" s="1">
        <v>45679</v>
      </c>
      <c r="AH13" s="2">
        <v>0.80069444444444449</v>
      </c>
      <c r="AI13" s="1">
        <v>45679</v>
      </c>
      <c r="AJ13" s="2">
        <v>0.80203703703703699</v>
      </c>
      <c r="AK13">
        <v>2025</v>
      </c>
      <c r="AL13">
        <v>443</v>
      </c>
      <c r="AM13" t="s">
        <v>251</v>
      </c>
      <c r="AN13" t="s">
        <v>255</v>
      </c>
      <c r="AO13" t="s">
        <v>59</v>
      </c>
      <c r="AP13" t="s">
        <v>59</v>
      </c>
      <c r="AQ13" s="1">
        <v>45679</v>
      </c>
      <c r="AR13" s="32">
        <v>0.33333333333333331</v>
      </c>
      <c r="AS13" s="32">
        <v>0.33333333333333331</v>
      </c>
      <c r="AT13" t="s">
        <v>452</v>
      </c>
      <c r="AU13" t="s">
        <v>55</v>
      </c>
      <c r="AV13">
        <v>4</v>
      </c>
      <c r="AW13">
        <v>4</v>
      </c>
      <c r="AX13">
        <v>22</v>
      </c>
      <c r="AY13">
        <v>22</v>
      </c>
      <c r="AZ13" s="2">
        <v>45679.333333333336</v>
      </c>
      <c r="BA13" s="31" t="s">
        <v>511</v>
      </c>
    </row>
    <row r="14" spans="1:53" x14ac:dyDescent="0.25">
      <c r="A14" t="s">
        <v>409</v>
      </c>
      <c r="B14" t="s">
        <v>410</v>
      </c>
      <c r="C14" t="s">
        <v>76</v>
      </c>
      <c r="D14" t="s">
        <v>411</v>
      </c>
      <c r="E14" t="s">
        <v>413</v>
      </c>
      <c r="F14" t="s">
        <v>412</v>
      </c>
      <c r="G14" t="s">
        <v>400</v>
      </c>
      <c r="H14" t="s">
        <v>59</v>
      </c>
      <c r="I14" t="s">
        <v>414</v>
      </c>
      <c r="J14" t="s">
        <v>84</v>
      </c>
      <c r="K14">
        <v>8</v>
      </c>
      <c r="L14" t="s">
        <v>415</v>
      </c>
      <c r="W14" t="s">
        <v>416</v>
      </c>
      <c r="X14" t="s">
        <v>67</v>
      </c>
      <c r="Y14" t="s">
        <v>352</v>
      </c>
      <c r="Z14" t="s">
        <v>417</v>
      </c>
      <c r="AA14" t="s">
        <v>406</v>
      </c>
      <c r="AB14" t="s">
        <v>418</v>
      </c>
      <c r="AD14">
        <v>9</v>
      </c>
      <c r="AE14" s="1">
        <v>45680</v>
      </c>
      <c r="AF14" s="2">
        <v>0.625</v>
      </c>
      <c r="AG14" s="1"/>
      <c r="AH14" s="2"/>
      <c r="AI14" s="1">
        <v>45680</v>
      </c>
      <c r="AJ14" s="2">
        <v>0.66545138888888888</v>
      </c>
      <c r="AK14">
        <v>2025</v>
      </c>
      <c r="AL14">
        <v>176</v>
      </c>
      <c r="AM14" t="s">
        <v>415</v>
      </c>
      <c r="AO14" t="s">
        <v>419</v>
      </c>
      <c r="AP14" t="s">
        <v>59</v>
      </c>
      <c r="AQ14" s="1">
        <v>45680</v>
      </c>
      <c r="AR14" s="32">
        <v>0.625</v>
      </c>
      <c r="AS14" s="32">
        <v>0.625</v>
      </c>
      <c r="AT14" t="s">
        <v>536</v>
      </c>
      <c r="AU14" t="s">
        <v>55</v>
      </c>
      <c r="AV14">
        <v>4</v>
      </c>
      <c r="AW14">
        <v>4</v>
      </c>
      <c r="AX14">
        <v>23</v>
      </c>
      <c r="AY14">
        <v>23</v>
      </c>
      <c r="AZ14" s="2">
        <v>45680.625</v>
      </c>
      <c r="BA14" s="31" t="s">
        <v>511</v>
      </c>
    </row>
    <row r="15" spans="1:53" x14ac:dyDescent="0.25">
      <c r="A15" t="s">
        <v>140</v>
      </c>
      <c r="B15" t="s">
        <v>142</v>
      </c>
      <c r="C15" t="s">
        <v>150</v>
      </c>
      <c r="D15" t="s">
        <v>143</v>
      </c>
      <c r="E15" t="s">
        <v>132</v>
      </c>
      <c r="F15" t="s">
        <v>132</v>
      </c>
      <c r="G15" t="s">
        <v>59</v>
      </c>
      <c r="H15" t="s">
        <v>59</v>
      </c>
      <c r="I15" t="s">
        <v>144</v>
      </c>
      <c r="J15" t="s">
        <v>145</v>
      </c>
      <c r="K15">
        <v>5</v>
      </c>
      <c r="L15" t="s">
        <v>146</v>
      </c>
      <c r="W15" t="s">
        <v>88</v>
      </c>
      <c r="X15" t="s">
        <v>67</v>
      </c>
      <c r="Y15" t="s">
        <v>147</v>
      </c>
      <c r="Z15" t="s">
        <v>90</v>
      </c>
      <c r="AA15" t="s">
        <v>70</v>
      </c>
      <c r="AB15" t="s">
        <v>123</v>
      </c>
      <c r="AC15" t="s">
        <v>137</v>
      </c>
      <c r="AD15">
        <v>9</v>
      </c>
      <c r="AE15" s="1">
        <v>45682</v>
      </c>
      <c r="AF15" s="2">
        <v>0.45833333333333331</v>
      </c>
      <c r="AG15" s="1">
        <v>45682</v>
      </c>
      <c r="AH15" s="2">
        <v>0.58333333333333337</v>
      </c>
      <c r="AI15" s="1">
        <v>45682</v>
      </c>
      <c r="AJ15" s="2">
        <v>0.58054398148148145</v>
      </c>
      <c r="AK15">
        <v>2025</v>
      </c>
      <c r="AL15">
        <v>60</v>
      </c>
      <c r="AM15" t="s">
        <v>146</v>
      </c>
      <c r="AO15" t="s">
        <v>148</v>
      </c>
      <c r="AP15" t="s">
        <v>149</v>
      </c>
      <c r="AQ15" s="1">
        <v>45682</v>
      </c>
      <c r="AR15" s="32">
        <v>0.45833333333333331</v>
      </c>
      <c r="AS15" s="32">
        <v>0.45833333333333331</v>
      </c>
      <c r="AT15" t="s">
        <v>455</v>
      </c>
      <c r="AU15" t="s">
        <v>55</v>
      </c>
      <c r="AV15">
        <v>4</v>
      </c>
      <c r="AW15">
        <v>4</v>
      </c>
      <c r="AX15">
        <v>25</v>
      </c>
      <c r="AY15">
        <v>25</v>
      </c>
      <c r="AZ15" s="2">
        <v>45682.458333333336</v>
      </c>
      <c r="BA15" s="31" t="s">
        <v>511</v>
      </c>
    </row>
    <row r="16" spans="1:53" x14ac:dyDescent="0.25">
      <c r="A16" t="s">
        <v>77</v>
      </c>
      <c r="B16" t="s">
        <v>79</v>
      </c>
      <c r="C16" t="s">
        <v>95</v>
      </c>
      <c r="D16" t="s">
        <v>80</v>
      </c>
      <c r="E16" t="s">
        <v>81</v>
      </c>
      <c r="F16" t="s">
        <v>58</v>
      </c>
      <c r="G16" t="s">
        <v>82</v>
      </c>
      <c r="H16" t="s">
        <v>59</v>
      </c>
      <c r="I16" t="s">
        <v>83</v>
      </c>
      <c r="J16" t="s">
        <v>84</v>
      </c>
      <c r="K16">
        <v>8</v>
      </c>
      <c r="L16" t="s">
        <v>85</v>
      </c>
      <c r="O16" t="s">
        <v>86</v>
      </c>
      <c r="P16" t="s">
        <v>63</v>
      </c>
      <c r="Q16" t="s">
        <v>87</v>
      </c>
      <c r="R16" t="s">
        <v>65</v>
      </c>
      <c r="W16" t="s">
        <v>88</v>
      </c>
      <c r="X16" t="s">
        <v>67</v>
      </c>
      <c r="Y16" t="s">
        <v>89</v>
      </c>
      <c r="Z16" t="s">
        <v>90</v>
      </c>
      <c r="AA16" t="s">
        <v>91</v>
      </c>
      <c r="AB16" t="s">
        <v>92</v>
      </c>
      <c r="AC16" t="s">
        <v>72</v>
      </c>
      <c r="AD16">
        <v>9</v>
      </c>
      <c r="AE16" s="1">
        <v>45682</v>
      </c>
      <c r="AF16" s="2">
        <v>0.76875000000000004</v>
      </c>
      <c r="AG16" s="1"/>
      <c r="AH16" s="2"/>
      <c r="AI16" s="1">
        <v>45683</v>
      </c>
      <c r="AJ16" s="2">
        <v>0.44056712962962963</v>
      </c>
      <c r="AK16">
        <v>2025</v>
      </c>
      <c r="AL16">
        <v>206</v>
      </c>
      <c r="AM16" t="s">
        <v>85</v>
      </c>
      <c r="AN16" t="s">
        <v>93</v>
      </c>
      <c r="AO16" t="s">
        <v>94</v>
      </c>
      <c r="AP16" t="s">
        <v>59</v>
      </c>
      <c r="AQ16" s="1">
        <v>45682</v>
      </c>
      <c r="AR16" s="32">
        <v>0.75</v>
      </c>
      <c r="AS16" s="32">
        <v>0.76875000000000004</v>
      </c>
      <c r="AT16" t="s">
        <v>455</v>
      </c>
      <c r="AU16" t="s">
        <v>55</v>
      </c>
      <c r="AV16">
        <v>4</v>
      </c>
      <c r="AW16">
        <v>4</v>
      </c>
      <c r="AX16">
        <v>25</v>
      </c>
      <c r="AY16">
        <v>25</v>
      </c>
      <c r="AZ16" s="2">
        <v>45682.768750000003</v>
      </c>
      <c r="BA16" s="31" t="s">
        <v>511</v>
      </c>
    </row>
    <row r="17" spans="1:53" x14ac:dyDescent="0.25">
      <c r="A17" t="s">
        <v>96</v>
      </c>
      <c r="B17" t="s">
        <v>98</v>
      </c>
      <c r="C17" t="s">
        <v>109</v>
      </c>
      <c r="D17" t="s">
        <v>99</v>
      </c>
      <c r="E17" t="s">
        <v>81</v>
      </c>
      <c r="F17" t="s">
        <v>58</v>
      </c>
      <c r="G17" t="s">
        <v>82</v>
      </c>
      <c r="H17" t="s">
        <v>59</v>
      </c>
      <c r="I17" t="s">
        <v>100</v>
      </c>
      <c r="J17" t="s">
        <v>101</v>
      </c>
      <c r="K17">
        <v>9</v>
      </c>
      <c r="L17" t="s">
        <v>102</v>
      </c>
      <c r="O17" t="s">
        <v>103</v>
      </c>
      <c r="P17" t="s">
        <v>63</v>
      </c>
      <c r="Q17" t="s">
        <v>104</v>
      </c>
      <c r="R17" t="s">
        <v>65</v>
      </c>
      <c r="W17" t="s">
        <v>66</v>
      </c>
      <c r="X17" t="s">
        <v>67</v>
      </c>
      <c r="Y17" t="s">
        <v>105</v>
      </c>
      <c r="Z17" t="s">
        <v>69</v>
      </c>
      <c r="AA17" t="s">
        <v>106</v>
      </c>
      <c r="AB17" t="s">
        <v>71</v>
      </c>
      <c r="AC17" t="s">
        <v>72</v>
      </c>
      <c r="AD17">
        <v>9</v>
      </c>
      <c r="AE17" s="1">
        <v>45683</v>
      </c>
      <c r="AF17" s="2">
        <v>0.84027777777777779</v>
      </c>
      <c r="AG17" s="1">
        <v>45683</v>
      </c>
      <c r="AH17" s="2">
        <v>0.84652777777777777</v>
      </c>
      <c r="AI17" s="1">
        <v>45683</v>
      </c>
      <c r="AJ17" s="2">
        <v>0.85009259259259262</v>
      </c>
      <c r="AK17">
        <v>2025</v>
      </c>
      <c r="AL17">
        <v>5</v>
      </c>
      <c r="AM17" t="s">
        <v>102</v>
      </c>
      <c r="AN17" t="s">
        <v>107</v>
      </c>
      <c r="AO17" t="s">
        <v>59</v>
      </c>
      <c r="AP17" t="s">
        <v>108</v>
      </c>
      <c r="AQ17" s="1">
        <v>45683</v>
      </c>
      <c r="AR17" s="32">
        <v>0.83333333333333337</v>
      </c>
      <c r="AS17" s="32">
        <v>0.84027777777777779</v>
      </c>
      <c r="AT17" t="s">
        <v>458</v>
      </c>
      <c r="AU17" t="s">
        <v>55</v>
      </c>
      <c r="AV17">
        <v>5</v>
      </c>
      <c r="AW17">
        <v>5</v>
      </c>
      <c r="AX17">
        <v>26</v>
      </c>
      <c r="AY17">
        <v>26</v>
      </c>
      <c r="AZ17" s="2">
        <v>45683.840277777781</v>
      </c>
      <c r="BA17" s="31" t="s">
        <v>511</v>
      </c>
    </row>
    <row r="18" spans="1:53" x14ac:dyDescent="0.25">
      <c r="A18" t="s">
        <v>256</v>
      </c>
      <c r="B18" t="s">
        <v>257</v>
      </c>
      <c r="C18" t="s">
        <v>76</v>
      </c>
      <c r="D18" t="s">
        <v>258</v>
      </c>
      <c r="E18" t="s">
        <v>259</v>
      </c>
      <c r="F18" t="s">
        <v>213</v>
      </c>
      <c r="G18" t="s">
        <v>82</v>
      </c>
      <c r="H18" t="s">
        <v>59</v>
      </c>
      <c r="I18" t="s">
        <v>260</v>
      </c>
      <c r="J18" t="s">
        <v>261</v>
      </c>
      <c r="K18">
        <v>6</v>
      </c>
      <c r="L18" t="s">
        <v>262</v>
      </c>
      <c r="O18" t="s">
        <v>263</v>
      </c>
      <c r="P18" t="s">
        <v>264</v>
      </c>
      <c r="Q18" t="s">
        <v>265</v>
      </c>
      <c r="R18" t="s">
        <v>65</v>
      </c>
      <c r="W18" t="s">
        <v>119</v>
      </c>
      <c r="X18" t="s">
        <v>67</v>
      </c>
      <c r="Y18" t="s">
        <v>244</v>
      </c>
      <c r="Z18" t="s">
        <v>206</v>
      </c>
      <c r="AA18" t="s">
        <v>70</v>
      </c>
      <c r="AB18" t="s">
        <v>266</v>
      </c>
      <c r="AC18" t="s">
        <v>221</v>
      </c>
      <c r="AD18">
        <v>9</v>
      </c>
      <c r="AE18" s="1">
        <v>45685</v>
      </c>
      <c r="AF18" s="2">
        <v>0.625</v>
      </c>
      <c r="AG18" s="1">
        <v>45686</v>
      </c>
      <c r="AH18" s="2">
        <v>0.91736111111111107</v>
      </c>
      <c r="AI18" s="1">
        <v>45686</v>
      </c>
      <c r="AJ18" s="2">
        <v>0.91833333333333333</v>
      </c>
      <c r="AK18">
        <v>2025</v>
      </c>
      <c r="AL18">
        <v>119</v>
      </c>
      <c r="AM18" t="s">
        <v>262</v>
      </c>
      <c r="AN18" t="s">
        <v>267</v>
      </c>
      <c r="AO18" t="s">
        <v>59</v>
      </c>
      <c r="AP18" t="s">
        <v>268</v>
      </c>
      <c r="AQ18" s="1">
        <v>45685</v>
      </c>
      <c r="AR18" s="32">
        <v>0.625</v>
      </c>
      <c r="AS18" s="32">
        <v>0.625</v>
      </c>
      <c r="AT18" t="s">
        <v>451</v>
      </c>
      <c r="AU18" t="s">
        <v>55</v>
      </c>
      <c r="AV18">
        <v>5</v>
      </c>
      <c r="AW18">
        <v>5</v>
      </c>
      <c r="AX18">
        <v>28</v>
      </c>
      <c r="AY18">
        <v>28</v>
      </c>
      <c r="AZ18" s="2">
        <v>45685.625</v>
      </c>
      <c r="BA18" s="31" t="s">
        <v>510</v>
      </c>
    </row>
    <row r="19" spans="1:53" x14ac:dyDescent="0.25">
      <c r="A19" t="s">
        <v>151</v>
      </c>
      <c r="B19" t="s">
        <v>152</v>
      </c>
      <c r="C19" t="s">
        <v>150</v>
      </c>
      <c r="D19" t="s">
        <v>153</v>
      </c>
      <c r="E19" t="s">
        <v>132</v>
      </c>
      <c r="F19" t="s">
        <v>132</v>
      </c>
      <c r="G19" t="s">
        <v>59</v>
      </c>
      <c r="H19" t="s">
        <v>59</v>
      </c>
      <c r="I19" t="s">
        <v>154</v>
      </c>
      <c r="J19" t="s">
        <v>155</v>
      </c>
      <c r="K19">
        <v>8</v>
      </c>
      <c r="L19" t="s">
        <v>156</v>
      </c>
      <c r="W19" t="s">
        <v>157</v>
      </c>
      <c r="X19" t="s">
        <v>67</v>
      </c>
      <c r="Y19" t="s">
        <v>158</v>
      </c>
      <c r="Z19" t="s">
        <v>159</v>
      </c>
      <c r="AA19" t="s">
        <v>160</v>
      </c>
      <c r="AB19" t="s">
        <v>71</v>
      </c>
      <c r="AC19" t="s">
        <v>137</v>
      </c>
      <c r="AD19">
        <v>9</v>
      </c>
      <c r="AE19" s="1">
        <v>45688</v>
      </c>
      <c r="AF19" s="2">
        <v>0.49988425925925928</v>
      </c>
      <c r="AG19" s="1"/>
      <c r="AH19" s="2"/>
      <c r="AI19" s="1">
        <v>45688</v>
      </c>
      <c r="AJ19" s="2">
        <v>0.49988425925925928</v>
      </c>
      <c r="AK19">
        <v>2025</v>
      </c>
      <c r="AL19">
        <v>292</v>
      </c>
      <c r="AM19" t="s">
        <v>156</v>
      </c>
      <c r="AO19" t="s">
        <v>59</v>
      </c>
      <c r="AP19" t="s">
        <v>59</v>
      </c>
      <c r="AQ19" s="1">
        <v>45688</v>
      </c>
      <c r="AR19" s="32">
        <v>0.45833333333333331</v>
      </c>
      <c r="AS19" s="32">
        <v>0.49988425925925928</v>
      </c>
      <c r="AT19" t="s">
        <v>454</v>
      </c>
      <c r="AU19" t="s">
        <v>55</v>
      </c>
      <c r="AV19">
        <v>5</v>
      </c>
      <c r="AW19">
        <v>5</v>
      </c>
      <c r="AX19">
        <v>31</v>
      </c>
      <c r="AY19">
        <v>31</v>
      </c>
      <c r="AZ19" s="2">
        <v>45688.499305555553</v>
      </c>
      <c r="BA19" s="31" t="s">
        <v>510</v>
      </c>
    </row>
    <row r="20" spans="1:53" x14ac:dyDescent="0.25">
      <c r="A20" t="s">
        <v>269</v>
      </c>
      <c r="B20" t="s">
        <v>270</v>
      </c>
      <c r="C20" t="s">
        <v>172</v>
      </c>
      <c r="D20" t="s">
        <v>271</v>
      </c>
      <c r="E20" t="s">
        <v>213</v>
      </c>
      <c r="F20" t="s">
        <v>213</v>
      </c>
      <c r="G20" t="s">
        <v>59</v>
      </c>
      <c r="H20" t="s">
        <v>59</v>
      </c>
      <c r="I20" t="s">
        <v>272</v>
      </c>
      <c r="J20" t="s">
        <v>273</v>
      </c>
      <c r="K20">
        <v>6</v>
      </c>
      <c r="L20" t="s">
        <v>274</v>
      </c>
      <c r="O20" t="s">
        <v>275</v>
      </c>
      <c r="P20" t="s">
        <v>117</v>
      </c>
      <c r="Q20" t="s">
        <v>276</v>
      </c>
      <c r="R20" t="s">
        <v>65</v>
      </c>
      <c r="W20" t="s">
        <v>119</v>
      </c>
      <c r="X20" t="s">
        <v>67</v>
      </c>
      <c r="Y20" t="s">
        <v>244</v>
      </c>
      <c r="Z20" t="s">
        <v>206</v>
      </c>
      <c r="AA20" t="s">
        <v>122</v>
      </c>
      <c r="AB20" t="s">
        <v>71</v>
      </c>
      <c r="AC20" t="s">
        <v>221</v>
      </c>
      <c r="AD20">
        <v>9</v>
      </c>
      <c r="AE20" s="1">
        <v>45689</v>
      </c>
      <c r="AF20" s="2">
        <v>4.1666666666666664E-2</v>
      </c>
      <c r="AG20" s="1"/>
      <c r="AH20" s="2">
        <v>0.10416666666666667</v>
      </c>
      <c r="AI20" s="1">
        <v>45689</v>
      </c>
      <c r="AJ20" s="2">
        <v>0.11982638888888889</v>
      </c>
      <c r="AK20">
        <v>2025</v>
      </c>
      <c r="AL20">
        <v>453</v>
      </c>
      <c r="AM20" t="s">
        <v>274</v>
      </c>
      <c r="AN20" t="s">
        <v>277</v>
      </c>
      <c r="AO20" t="s">
        <v>59</v>
      </c>
      <c r="AP20" t="s">
        <v>278</v>
      </c>
      <c r="AQ20" s="1">
        <v>45689</v>
      </c>
      <c r="AR20" s="32">
        <v>4.1666666666666664E-2</v>
      </c>
      <c r="AS20" s="32">
        <v>4.1666666666666664E-2</v>
      </c>
      <c r="AT20" t="s">
        <v>455</v>
      </c>
      <c r="AU20" t="s">
        <v>111</v>
      </c>
      <c r="AV20">
        <v>5</v>
      </c>
      <c r="AW20">
        <v>1</v>
      </c>
      <c r="AX20">
        <v>1</v>
      </c>
      <c r="AY20">
        <v>32</v>
      </c>
      <c r="AZ20" s="2">
        <v>45689.041666666664</v>
      </c>
      <c r="BA20" s="31" t="s">
        <v>510</v>
      </c>
    </row>
    <row r="21" spans="1:53" x14ac:dyDescent="0.25">
      <c r="A21" t="s">
        <v>382</v>
      </c>
      <c r="B21" t="s">
        <v>294</v>
      </c>
      <c r="C21" t="s">
        <v>95</v>
      </c>
      <c r="D21" t="s">
        <v>383</v>
      </c>
      <c r="E21" t="s">
        <v>384</v>
      </c>
      <c r="F21" t="s">
        <v>176</v>
      </c>
      <c r="G21" t="s">
        <v>347</v>
      </c>
      <c r="H21" t="s">
        <v>59</v>
      </c>
      <c r="I21" t="s">
        <v>385</v>
      </c>
      <c r="J21" t="s">
        <v>145</v>
      </c>
      <c r="K21">
        <v>5</v>
      </c>
      <c r="L21" t="s">
        <v>386</v>
      </c>
      <c r="W21" t="s">
        <v>66</v>
      </c>
      <c r="X21" t="s">
        <v>67</v>
      </c>
      <c r="Y21" t="s">
        <v>105</v>
      </c>
      <c r="Z21" t="s">
        <v>69</v>
      </c>
      <c r="AA21" t="s">
        <v>180</v>
      </c>
      <c r="AB21" t="s">
        <v>92</v>
      </c>
      <c r="AD21">
        <v>9</v>
      </c>
      <c r="AE21" s="1">
        <v>45690</v>
      </c>
      <c r="AF21" s="2">
        <v>0.72569444444444442</v>
      </c>
      <c r="AG21" s="1">
        <v>45690</v>
      </c>
      <c r="AH21" s="2">
        <v>0.75</v>
      </c>
      <c r="AI21" s="1">
        <v>45691</v>
      </c>
      <c r="AJ21" s="2">
        <v>0.50143518518518515</v>
      </c>
      <c r="AK21">
        <v>2025</v>
      </c>
      <c r="AL21">
        <v>144</v>
      </c>
      <c r="AM21" t="s">
        <v>386</v>
      </c>
      <c r="AO21" t="s">
        <v>387</v>
      </c>
      <c r="AP21" t="s">
        <v>59</v>
      </c>
      <c r="AQ21" s="1">
        <v>45690</v>
      </c>
      <c r="AR21" s="32">
        <v>0.70833333333333337</v>
      </c>
      <c r="AS21" s="32">
        <v>0.72569444444444442</v>
      </c>
      <c r="AT21" t="s">
        <v>458</v>
      </c>
      <c r="AU21" t="s">
        <v>111</v>
      </c>
      <c r="AV21">
        <v>6</v>
      </c>
      <c r="AW21">
        <v>2</v>
      </c>
      <c r="AX21">
        <v>2</v>
      </c>
      <c r="AY21">
        <v>33</v>
      </c>
      <c r="AZ21" s="2">
        <v>45690.725694444445</v>
      </c>
      <c r="BA21" s="31" t="s">
        <v>510</v>
      </c>
    </row>
    <row r="22" spans="1:53" x14ac:dyDescent="0.25">
      <c r="A22" t="s">
        <v>388</v>
      </c>
      <c r="B22" t="s">
        <v>357</v>
      </c>
      <c r="C22" t="s">
        <v>95</v>
      </c>
      <c r="D22" t="s">
        <v>389</v>
      </c>
      <c r="E22" t="s">
        <v>347</v>
      </c>
      <c r="F22" t="s">
        <v>347</v>
      </c>
      <c r="G22" t="s">
        <v>59</v>
      </c>
      <c r="H22" t="s">
        <v>59</v>
      </c>
      <c r="I22" t="s">
        <v>390</v>
      </c>
      <c r="J22" t="s">
        <v>363</v>
      </c>
      <c r="K22">
        <v>9</v>
      </c>
      <c r="L22" t="s">
        <v>391</v>
      </c>
      <c r="W22" t="s">
        <v>88</v>
      </c>
      <c r="X22" t="s">
        <v>67</v>
      </c>
      <c r="Y22" t="s">
        <v>136</v>
      </c>
      <c r="Z22" t="s">
        <v>69</v>
      </c>
      <c r="AA22" t="s">
        <v>106</v>
      </c>
      <c r="AB22" t="s">
        <v>71</v>
      </c>
      <c r="AC22" t="s">
        <v>353</v>
      </c>
      <c r="AD22">
        <v>9</v>
      </c>
      <c r="AE22" s="1"/>
      <c r="AF22" s="2"/>
      <c r="AG22" s="1"/>
      <c r="AH22" s="2"/>
      <c r="AI22" s="1">
        <v>45691</v>
      </c>
      <c r="AJ22" s="2">
        <v>0.694849537037037</v>
      </c>
      <c r="AK22">
        <v>2025</v>
      </c>
      <c r="AL22">
        <v>400</v>
      </c>
      <c r="AM22" t="s">
        <v>391</v>
      </c>
      <c r="AO22" t="s">
        <v>392</v>
      </c>
      <c r="AP22" t="s">
        <v>393</v>
      </c>
      <c r="AQ22" s="1">
        <v>45691</v>
      </c>
      <c r="AR22" s="32">
        <v>0.66666666666666663</v>
      </c>
      <c r="AS22" s="32">
        <v>0.694849537037037</v>
      </c>
      <c r="AT22" t="s">
        <v>450</v>
      </c>
      <c r="AU22" t="s">
        <v>111</v>
      </c>
      <c r="AV22">
        <v>6</v>
      </c>
      <c r="AW22">
        <v>2</v>
      </c>
      <c r="AX22">
        <v>3</v>
      </c>
      <c r="AY22">
        <v>34</v>
      </c>
      <c r="AZ22" s="2">
        <v>45691.694444444445</v>
      </c>
      <c r="BA22" s="31" t="s">
        <v>510</v>
      </c>
    </row>
    <row r="23" spans="1:53" x14ac:dyDescent="0.25">
      <c r="A23" t="s">
        <v>279</v>
      </c>
      <c r="B23" t="s">
        <v>280</v>
      </c>
      <c r="C23" t="s">
        <v>95</v>
      </c>
      <c r="D23" t="s">
        <v>281</v>
      </c>
      <c r="E23" t="s">
        <v>213</v>
      </c>
      <c r="F23" t="s">
        <v>213</v>
      </c>
      <c r="G23" t="s">
        <v>59</v>
      </c>
      <c r="H23" t="s">
        <v>59</v>
      </c>
      <c r="I23" t="s">
        <v>282</v>
      </c>
      <c r="J23" t="s">
        <v>283</v>
      </c>
      <c r="K23">
        <v>8</v>
      </c>
      <c r="L23" t="s">
        <v>284</v>
      </c>
      <c r="O23" t="s">
        <v>285</v>
      </c>
      <c r="P23" t="s">
        <v>286</v>
      </c>
      <c r="Q23" t="s">
        <v>287</v>
      </c>
      <c r="R23" t="s">
        <v>288</v>
      </c>
      <c r="W23" t="s">
        <v>66</v>
      </c>
      <c r="X23" t="s">
        <v>67</v>
      </c>
      <c r="Y23" t="s">
        <v>105</v>
      </c>
      <c r="Z23" t="s">
        <v>69</v>
      </c>
      <c r="AA23" t="s">
        <v>70</v>
      </c>
      <c r="AB23" t="s">
        <v>195</v>
      </c>
      <c r="AC23" t="s">
        <v>221</v>
      </c>
      <c r="AD23">
        <v>9</v>
      </c>
      <c r="AE23" s="1">
        <v>45691</v>
      </c>
      <c r="AF23" s="2">
        <v>0.77083333333333337</v>
      </c>
      <c r="AG23" s="1">
        <v>45692</v>
      </c>
      <c r="AH23" s="2">
        <v>0.79166666666666663</v>
      </c>
      <c r="AI23" s="1">
        <v>45692</v>
      </c>
      <c r="AJ23" s="2">
        <v>0.53023148148148147</v>
      </c>
      <c r="AK23">
        <v>2025</v>
      </c>
      <c r="AL23">
        <v>55</v>
      </c>
      <c r="AM23" t="s">
        <v>284</v>
      </c>
      <c r="AN23" t="s">
        <v>289</v>
      </c>
      <c r="AO23" t="s">
        <v>290</v>
      </c>
      <c r="AP23" t="s">
        <v>291</v>
      </c>
      <c r="AQ23" s="1">
        <v>45691</v>
      </c>
      <c r="AR23" s="32">
        <v>0.75</v>
      </c>
      <c r="AS23" s="32">
        <v>0.77083333333333337</v>
      </c>
      <c r="AT23" t="s">
        <v>450</v>
      </c>
      <c r="AU23" t="s">
        <v>111</v>
      </c>
      <c r="AV23">
        <v>6</v>
      </c>
      <c r="AW23">
        <v>2</v>
      </c>
      <c r="AX23">
        <v>3</v>
      </c>
      <c r="AY23">
        <v>34</v>
      </c>
      <c r="AZ23" s="2">
        <v>45691.770833333336</v>
      </c>
      <c r="BA23" s="31" t="s">
        <v>510</v>
      </c>
    </row>
    <row r="24" spans="1:53" x14ac:dyDescent="0.25">
      <c r="A24" t="s">
        <v>161</v>
      </c>
      <c r="B24" t="s">
        <v>163</v>
      </c>
      <c r="C24" t="s">
        <v>172</v>
      </c>
      <c r="D24" t="s">
        <v>164</v>
      </c>
      <c r="E24" t="s">
        <v>166</v>
      </c>
      <c r="F24" t="s">
        <v>165</v>
      </c>
      <c r="G24" t="s">
        <v>167</v>
      </c>
      <c r="H24" t="s">
        <v>59</v>
      </c>
      <c r="I24" t="s">
        <v>168</v>
      </c>
      <c r="J24" t="s">
        <v>155</v>
      </c>
      <c r="K24">
        <v>8</v>
      </c>
      <c r="L24" t="s">
        <v>169</v>
      </c>
      <c r="W24" t="s">
        <v>119</v>
      </c>
      <c r="X24" t="s">
        <v>67</v>
      </c>
      <c r="Y24" t="s">
        <v>170</v>
      </c>
      <c r="Z24" t="s">
        <v>90</v>
      </c>
      <c r="AA24" t="s">
        <v>171</v>
      </c>
      <c r="AB24" t="s">
        <v>123</v>
      </c>
      <c r="AC24" t="s">
        <v>137</v>
      </c>
      <c r="AD24">
        <v>9</v>
      </c>
      <c r="AE24" s="1">
        <v>45693</v>
      </c>
      <c r="AF24" s="2">
        <v>0.12291666666666666</v>
      </c>
      <c r="AG24" s="1"/>
      <c r="AH24" s="2"/>
      <c r="AI24" s="1">
        <v>45693</v>
      </c>
      <c r="AJ24" s="2">
        <v>0.1233912037037037</v>
      </c>
      <c r="AK24">
        <v>2025</v>
      </c>
      <c r="AL24">
        <v>441</v>
      </c>
      <c r="AM24" t="s">
        <v>169</v>
      </c>
      <c r="AO24" t="s">
        <v>59</v>
      </c>
      <c r="AP24" t="s">
        <v>59</v>
      </c>
      <c r="AQ24" s="1">
        <v>45693</v>
      </c>
      <c r="AR24" s="32">
        <v>8.3333333333333329E-2</v>
      </c>
      <c r="AS24" s="32">
        <v>0.12291666666666666</v>
      </c>
      <c r="AT24" t="s">
        <v>452</v>
      </c>
      <c r="AU24" t="s">
        <v>111</v>
      </c>
      <c r="AV24">
        <v>6</v>
      </c>
      <c r="AW24">
        <v>2</v>
      </c>
      <c r="AX24">
        <v>5</v>
      </c>
      <c r="AY24">
        <v>36</v>
      </c>
      <c r="AZ24" s="2">
        <v>45693.122916666667</v>
      </c>
      <c r="BA24" s="31" t="s">
        <v>509</v>
      </c>
    </row>
    <row r="25" spans="1:53" x14ac:dyDescent="0.25">
      <c r="A25" t="s">
        <v>292</v>
      </c>
      <c r="B25" t="s">
        <v>294</v>
      </c>
      <c r="C25" t="s">
        <v>304</v>
      </c>
      <c r="D25" t="s">
        <v>295</v>
      </c>
      <c r="E25" t="s">
        <v>213</v>
      </c>
      <c r="F25" t="s">
        <v>213</v>
      </c>
      <c r="G25" t="s">
        <v>59</v>
      </c>
      <c r="H25" t="s">
        <v>59</v>
      </c>
      <c r="I25" t="s">
        <v>296</v>
      </c>
      <c r="J25" t="s">
        <v>203</v>
      </c>
      <c r="K25">
        <v>5</v>
      </c>
      <c r="L25" t="s">
        <v>297</v>
      </c>
      <c r="O25" t="s">
        <v>298</v>
      </c>
      <c r="P25" t="s">
        <v>299</v>
      </c>
      <c r="Q25" t="s">
        <v>300</v>
      </c>
      <c r="R25" t="s">
        <v>65</v>
      </c>
      <c r="W25" t="s">
        <v>119</v>
      </c>
      <c r="X25" t="s">
        <v>67</v>
      </c>
      <c r="Y25" t="s">
        <v>301</v>
      </c>
      <c r="Z25" t="s">
        <v>121</v>
      </c>
      <c r="AA25" t="s">
        <v>180</v>
      </c>
      <c r="AB25" t="s">
        <v>92</v>
      </c>
      <c r="AC25" t="s">
        <v>221</v>
      </c>
      <c r="AD25">
        <v>9</v>
      </c>
      <c r="AE25" s="1">
        <v>45695</v>
      </c>
      <c r="AF25" s="2">
        <v>0.27430555555555558</v>
      </c>
      <c r="AG25" s="1">
        <v>45695</v>
      </c>
      <c r="AH25" s="2">
        <v>0.28472222222222221</v>
      </c>
      <c r="AI25" s="1">
        <v>45695</v>
      </c>
      <c r="AJ25" s="2">
        <v>0.30738425925925927</v>
      </c>
      <c r="AK25">
        <v>2025</v>
      </c>
      <c r="AL25">
        <v>170</v>
      </c>
      <c r="AM25" t="s">
        <v>297</v>
      </c>
      <c r="AN25" t="s">
        <v>302</v>
      </c>
      <c r="AO25" t="s">
        <v>59</v>
      </c>
      <c r="AP25" t="s">
        <v>303</v>
      </c>
      <c r="AQ25" s="1">
        <v>45695</v>
      </c>
      <c r="AR25" s="32">
        <v>0.25</v>
      </c>
      <c r="AS25" s="32">
        <v>0.27430555555555558</v>
      </c>
      <c r="AT25" t="s">
        <v>454</v>
      </c>
      <c r="AU25" t="s">
        <v>111</v>
      </c>
      <c r="AV25">
        <v>6</v>
      </c>
      <c r="AW25">
        <v>2</v>
      </c>
      <c r="AX25">
        <v>7</v>
      </c>
      <c r="AY25">
        <v>38</v>
      </c>
      <c r="AZ25" s="2">
        <v>45695.274305555555</v>
      </c>
      <c r="BA25" s="31" t="s">
        <v>509</v>
      </c>
    </row>
    <row r="26" spans="1:53" x14ac:dyDescent="0.25">
      <c r="A26" t="s">
        <v>305</v>
      </c>
      <c r="B26" t="s">
        <v>306</v>
      </c>
      <c r="C26" t="s">
        <v>76</v>
      </c>
      <c r="D26" t="s">
        <v>307</v>
      </c>
      <c r="E26" t="s">
        <v>213</v>
      </c>
      <c r="F26" t="s">
        <v>213</v>
      </c>
      <c r="G26" t="s">
        <v>59</v>
      </c>
      <c r="H26" t="s">
        <v>59</v>
      </c>
      <c r="I26" t="s">
        <v>308</v>
      </c>
      <c r="J26" t="s">
        <v>250</v>
      </c>
      <c r="K26">
        <v>5</v>
      </c>
      <c r="L26" t="s">
        <v>309</v>
      </c>
      <c r="O26" t="s">
        <v>310</v>
      </c>
      <c r="Q26" t="s">
        <v>230</v>
      </c>
      <c r="R26" t="s">
        <v>65</v>
      </c>
      <c r="W26" t="s">
        <v>119</v>
      </c>
      <c r="X26" t="s">
        <v>67</v>
      </c>
      <c r="Y26" t="s">
        <v>205</v>
      </c>
      <c r="Z26" t="s">
        <v>206</v>
      </c>
      <c r="AA26" t="s">
        <v>106</v>
      </c>
      <c r="AB26" t="s">
        <v>71</v>
      </c>
      <c r="AC26" t="s">
        <v>221</v>
      </c>
      <c r="AD26">
        <v>9</v>
      </c>
      <c r="AE26" s="1">
        <v>45688</v>
      </c>
      <c r="AF26" s="2">
        <v>0.5</v>
      </c>
      <c r="AG26" s="1">
        <v>45695</v>
      </c>
      <c r="AH26" s="2">
        <v>0.54166666666666663</v>
      </c>
      <c r="AI26" s="1">
        <v>45696</v>
      </c>
      <c r="AJ26" s="2">
        <v>0.3903240740740741</v>
      </c>
      <c r="AK26">
        <v>2025</v>
      </c>
      <c r="AL26">
        <v>535</v>
      </c>
      <c r="AM26" t="s">
        <v>309</v>
      </c>
      <c r="AN26" t="s">
        <v>311</v>
      </c>
      <c r="AO26" t="s">
        <v>59</v>
      </c>
      <c r="AP26" t="s">
        <v>312</v>
      </c>
      <c r="AQ26" s="1">
        <v>45688</v>
      </c>
      <c r="AR26" s="32">
        <v>0.5</v>
      </c>
      <c r="AS26" s="32">
        <v>0.5</v>
      </c>
      <c r="AT26" t="s">
        <v>454</v>
      </c>
      <c r="AU26" t="s">
        <v>55</v>
      </c>
      <c r="AV26">
        <v>5</v>
      </c>
      <c r="AW26">
        <v>5</v>
      </c>
      <c r="AX26">
        <v>31</v>
      </c>
      <c r="AY26">
        <v>31</v>
      </c>
      <c r="AZ26" s="2">
        <v>45688.5</v>
      </c>
      <c r="BA26" s="31" t="s">
        <v>510</v>
      </c>
    </row>
    <row r="27" spans="1:53" x14ac:dyDescent="0.25">
      <c r="A27" t="s">
        <v>437</v>
      </c>
      <c r="B27" t="s">
        <v>438</v>
      </c>
      <c r="C27" t="s">
        <v>172</v>
      </c>
      <c r="D27" t="s">
        <v>439</v>
      </c>
      <c r="E27" t="s">
        <v>441</v>
      </c>
      <c r="F27" t="s">
        <v>440</v>
      </c>
      <c r="G27" t="s">
        <v>442</v>
      </c>
      <c r="H27" t="s">
        <v>347</v>
      </c>
      <c r="I27" t="s">
        <v>443</v>
      </c>
      <c r="J27" t="s">
        <v>191</v>
      </c>
      <c r="K27">
        <v>9</v>
      </c>
      <c r="L27" t="s">
        <v>444</v>
      </c>
      <c r="W27" t="s">
        <v>445</v>
      </c>
      <c r="X27" t="s">
        <v>67</v>
      </c>
      <c r="Y27" t="s">
        <v>120</v>
      </c>
      <c r="Z27" t="s">
        <v>121</v>
      </c>
      <c r="AA27" t="s">
        <v>378</v>
      </c>
      <c r="AB27" t="s">
        <v>446</v>
      </c>
      <c r="AD27">
        <v>9</v>
      </c>
      <c r="AE27" s="1">
        <v>45701</v>
      </c>
      <c r="AF27" s="2">
        <v>8.3333333333333329E-2</v>
      </c>
      <c r="AG27" s="1"/>
      <c r="AH27" s="2"/>
      <c r="AI27" s="1">
        <v>45701</v>
      </c>
      <c r="AJ27" s="2">
        <v>0.51225694444444447</v>
      </c>
      <c r="AK27">
        <v>2025</v>
      </c>
      <c r="AL27">
        <v>128</v>
      </c>
      <c r="AM27" t="s">
        <v>444</v>
      </c>
      <c r="AO27" t="s">
        <v>447</v>
      </c>
      <c r="AP27" t="s">
        <v>448</v>
      </c>
      <c r="AQ27" s="1">
        <v>45701</v>
      </c>
      <c r="AR27" s="32">
        <v>8.3333333333333329E-2</v>
      </c>
      <c r="AS27" s="32">
        <v>8.3333333333333329E-2</v>
      </c>
      <c r="AT27" t="s">
        <v>536</v>
      </c>
      <c r="AU27" t="s">
        <v>111</v>
      </c>
      <c r="AV27">
        <v>7</v>
      </c>
      <c r="AW27">
        <v>3</v>
      </c>
      <c r="AX27">
        <v>13</v>
      </c>
      <c r="AY27">
        <v>44</v>
      </c>
      <c r="AZ27" s="2">
        <v>45701.083333333336</v>
      </c>
      <c r="BA27" s="31" t="s">
        <v>508</v>
      </c>
    </row>
    <row r="28" spans="1:53" x14ac:dyDescent="0.25">
      <c r="A28" t="s">
        <v>110</v>
      </c>
      <c r="B28" t="s">
        <v>112</v>
      </c>
      <c r="C28" t="s">
        <v>95</v>
      </c>
      <c r="D28" t="s">
        <v>112</v>
      </c>
      <c r="E28" t="s">
        <v>58</v>
      </c>
      <c r="F28" t="s">
        <v>58</v>
      </c>
      <c r="G28" t="s">
        <v>59</v>
      </c>
      <c r="H28" t="s">
        <v>59</v>
      </c>
      <c r="I28" t="s">
        <v>113</v>
      </c>
      <c r="J28" t="s">
        <v>114</v>
      </c>
      <c r="K28">
        <v>6</v>
      </c>
      <c r="L28" t="s">
        <v>115</v>
      </c>
      <c r="O28" t="s">
        <v>116</v>
      </c>
      <c r="P28" t="s">
        <v>117</v>
      </c>
      <c r="Q28" t="s">
        <v>118</v>
      </c>
      <c r="R28" t="s">
        <v>65</v>
      </c>
      <c r="W28" t="s">
        <v>119</v>
      </c>
      <c r="X28" t="s">
        <v>67</v>
      </c>
      <c r="Y28" t="s">
        <v>120</v>
      </c>
      <c r="Z28" t="s">
        <v>121</v>
      </c>
      <c r="AA28" t="s">
        <v>122</v>
      </c>
      <c r="AB28" t="s">
        <v>123</v>
      </c>
      <c r="AC28" t="s">
        <v>72</v>
      </c>
      <c r="AD28">
        <v>9</v>
      </c>
      <c r="AE28" s="1">
        <v>45701</v>
      </c>
      <c r="AF28" s="2">
        <v>0.66666666666666663</v>
      </c>
      <c r="AG28" s="1"/>
      <c r="AH28" s="2"/>
      <c r="AI28" s="1">
        <v>45702</v>
      </c>
      <c r="AJ28" s="2">
        <v>0.29906250000000001</v>
      </c>
      <c r="AK28">
        <v>2025</v>
      </c>
      <c r="AM28" t="s">
        <v>115</v>
      </c>
      <c r="AN28" t="s">
        <v>124</v>
      </c>
      <c r="AO28" t="s">
        <v>125</v>
      </c>
      <c r="AP28" t="s">
        <v>126</v>
      </c>
      <c r="AQ28" s="1">
        <v>45701</v>
      </c>
      <c r="AR28" s="32">
        <v>0.66666666666666663</v>
      </c>
      <c r="AS28" s="32">
        <v>0.66666666666666663</v>
      </c>
      <c r="AT28" t="s">
        <v>536</v>
      </c>
      <c r="AU28" t="s">
        <v>111</v>
      </c>
      <c r="AV28">
        <v>7</v>
      </c>
      <c r="AW28">
        <v>3</v>
      </c>
      <c r="AX28">
        <v>13</v>
      </c>
      <c r="AY28">
        <v>44</v>
      </c>
      <c r="AZ28" s="2">
        <v>45701.666666666664</v>
      </c>
      <c r="BA28" s="31" t="s">
        <v>508</v>
      </c>
    </row>
    <row r="29" spans="1:53" x14ac:dyDescent="0.25">
      <c r="A29" t="s">
        <v>313</v>
      </c>
      <c r="B29" t="s">
        <v>314</v>
      </c>
      <c r="C29" t="s">
        <v>150</v>
      </c>
      <c r="D29" t="s">
        <v>315</v>
      </c>
      <c r="E29" t="s">
        <v>316</v>
      </c>
      <c r="F29" t="s">
        <v>213</v>
      </c>
      <c r="G29" t="s">
        <v>317</v>
      </c>
      <c r="H29" t="s">
        <v>59</v>
      </c>
      <c r="I29" t="s">
        <v>318</v>
      </c>
      <c r="J29" t="s">
        <v>134</v>
      </c>
      <c r="K29">
        <v>7</v>
      </c>
      <c r="L29" t="s">
        <v>319</v>
      </c>
      <c r="O29" t="s">
        <v>320</v>
      </c>
      <c r="P29" t="s">
        <v>63</v>
      </c>
      <c r="Q29" t="s">
        <v>218</v>
      </c>
      <c r="R29" t="s">
        <v>65</v>
      </c>
      <c r="W29" t="s">
        <v>66</v>
      </c>
      <c r="X29" t="s">
        <v>67</v>
      </c>
      <c r="Y29" t="s">
        <v>68</v>
      </c>
      <c r="Z29" t="s">
        <v>69</v>
      </c>
      <c r="AA29" t="s">
        <v>122</v>
      </c>
      <c r="AB29" t="s">
        <v>123</v>
      </c>
      <c r="AC29" t="s">
        <v>221</v>
      </c>
      <c r="AD29">
        <v>9</v>
      </c>
      <c r="AE29" s="1">
        <v>45705</v>
      </c>
      <c r="AF29" s="2">
        <v>0.34877314814814814</v>
      </c>
      <c r="AG29" s="1"/>
      <c r="AH29" s="2"/>
      <c r="AI29" s="1">
        <v>45705</v>
      </c>
      <c r="AJ29" s="2">
        <v>0.34877314814814814</v>
      </c>
      <c r="AK29">
        <v>2025</v>
      </c>
      <c r="AL29">
        <v>100</v>
      </c>
      <c r="AM29" t="s">
        <v>319</v>
      </c>
      <c r="AN29" t="s">
        <v>321</v>
      </c>
      <c r="AO29" t="s">
        <v>322</v>
      </c>
      <c r="AP29" t="s">
        <v>323</v>
      </c>
      <c r="AQ29" s="1">
        <v>45705</v>
      </c>
      <c r="AR29" s="32">
        <v>0.33333333333333331</v>
      </c>
      <c r="AS29" s="32">
        <v>0.34877314814814814</v>
      </c>
      <c r="AT29" t="s">
        <v>450</v>
      </c>
      <c r="AU29" t="s">
        <v>111</v>
      </c>
      <c r="AV29">
        <v>8</v>
      </c>
      <c r="AW29">
        <v>4</v>
      </c>
      <c r="AX29">
        <v>17</v>
      </c>
      <c r="AY29">
        <v>48</v>
      </c>
      <c r="AZ29" s="2">
        <v>45705.348611111112</v>
      </c>
      <c r="BA29" s="31" t="s">
        <v>508</v>
      </c>
    </row>
    <row r="30" spans="1:53" x14ac:dyDescent="0.25">
      <c r="A30" t="s">
        <v>324</v>
      </c>
      <c r="B30" t="s">
        <v>56</v>
      </c>
      <c r="C30" t="s">
        <v>150</v>
      </c>
      <c r="D30" t="s">
        <v>325</v>
      </c>
      <c r="E30" t="s">
        <v>213</v>
      </c>
      <c r="F30" t="s">
        <v>213</v>
      </c>
      <c r="G30" t="s">
        <v>59</v>
      </c>
      <c r="H30" t="s">
        <v>59</v>
      </c>
      <c r="I30" t="s">
        <v>326</v>
      </c>
      <c r="J30" t="s">
        <v>327</v>
      </c>
      <c r="K30">
        <v>7</v>
      </c>
      <c r="L30" t="s">
        <v>328</v>
      </c>
      <c r="O30" t="s">
        <v>329</v>
      </c>
      <c r="P30" t="s">
        <v>63</v>
      </c>
      <c r="Q30" t="s">
        <v>218</v>
      </c>
      <c r="R30" t="s">
        <v>65</v>
      </c>
      <c r="W30" t="s">
        <v>66</v>
      </c>
      <c r="X30" t="s">
        <v>67</v>
      </c>
      <c r="Y30" t="s">
        <v>330</v>
      </c>
      <c r="Z30" t="s">
        <v>69</v>
      </c>
      <c r="AA30" t="s">
        <v>122</v>
      </c>
      <c r="AB30" t="s">
        <v>71</v>
      </c>
      <c r="AC30" t="s">
        <v>221</v>
      </c>
      <c r="AD30">
        <v>9</v>
      </c>
      <c r="AE30" s="1">
        <v>45705</v>
      </c>
      <c r="AF30" s="2">
        <v>0.39716435185185184</v>
      </c>
      <c r="AG30" s="1"/>
      <c r="AH30" s="2"/>
      <c r="AI30" s="1">
        <v>45705</v>
      </c>
      <c r="AJ30" s="2">
        <v>0.39716435185185184</v>
      </c>
      <c r="AK30">
        <v>2025</v>
      </c>
      <c r="AL30">
        <v>30</v>
      </c>
      <c r="AM30" t="s">
        <v>328</v>
      </c>
      <c r="AN30" t="s">
        <v>331</v>
      </c>
      <c r="AO30" t="s">
        <v>59</v>
      </c>
      <c r="AP30" t="s">
        <v>59</v>
      </c>
      <c r="AQ30" s="1">
        <v>45705</v>
      </c>
      <c r="AR30" s="32">
        <v>0.375</v>
      </c>
      <c r="AS30" s="32">
        <v>0.39716435185185184</v>
      </c>
      <c r="AT30" t="s">
        <v>450</v>
      </c>
      <c r="AU30" t="s">
        <v>111</v>
      </c>
      <c r="AV30">
        <v>8</v>
      </c>
      <c r="AW30">
        <v>4</v>
      </c>
      <c r="AX30">
        <v>17</v>
      </c>
      <c r="AY30">
        <v>48</v>
      </c>
      <c r="AZ30" s="2">
        <v>45705.396527777775</v>
      </c>
      <c r="BA30" s="31" t="s">
        <v>508</v>
      </c>
    </row>
    <row r="31" spans="1:53" x14ac:dyDescent="0.25">
      <c r="A31" t="s">
        <v>173</v>
      </c>
      <c r="B31" t="s">
        <v>98</v>
      </c>
      <c r="C31" t="s">
        <v>76</v>
      </c>
      <c r="D31" t="s">
        <v>174</v>
      </c>
      <c r="E31" t="s">
        <v>175</v>
      </c>
      <c r="F31" t="s">
        <v>165</v>
      </c>
      <c r="G31" t="s">
        <v>176</v>
      </c>
      <c r="H31" t="s">
        <v>59</v>
      </c>
      <c r="I31" t="s">
        <v>177</v>
      </c>
      <c r="J31" t="s">
        <v>178</v>
      </c>
      <c r="K31">
        <v>9</v>
      </c>
      <c r="L31" t="s">
        <v>179</v>
      </c>
      <c r="W31" t="s">
        <v>66</v>
      </c>
      <c r="X31" t="s">
        <v>67</v>
      </c>
      <c r="Y31" t="s">
        <v>68</v>
      </c>
      <c r="Z31" t="s">
        <v>69</v>
      </c>
      <c r="AA31" t="s">
        <v>180</v>
      </c>
      <c r="AB31" t="s">
        <v>181</v>
      </c>
      <c r="AC31" t="s">
        <v>137</v>
      </c>
      <c r="AD31">
        <v>9</v>
      </c>
      <c r="AE31" s="1">
        <v>45705</v>
      </c>
      <c r="AF31" s="2">
        <v>0.52497685185185183</v>
      </c>
      <c r="AG31" s="1"/>
      <c r="AH31" s="2"/>
      <c r="AI31" s="1">
        <v>45705</v>
      </c>
      <c r="AJ31" s="2">
        <v>0.52497685185185183</v>
      </c>
      <c r="AK31">
        <v>2025</v>
      </c>
      <c r="AL31">
        <v>35</v>
      </c>
      <c r="AM31" t="s">
        <v>179</v>
      </c>
      <c r="AO31" t="s">
        <v>182</v>
      </c>
      <c r="AP31" t="s">
        <v>183</v>
      </c>
      <c r="AQ31" s="1">
        <v>45705</v>
      </c>
      <c r="AR31" s="32">
        <v>0.5</v>
      </c>
      <c r="AS31" s="32">
        <v>0.52497685185185183</v>
      </c>
      <c r="AT31" t="s">
        <v>450</v>
      </c>
      <c r="AU31" t="s">
        <v>111</v>
      </c>
      <c r="AV31">
        <v>8</v>
      </c>
      <c r="AW31">
        <v>4</v>
      </c>
      <c r="AX31">
        <v>17</v>
      </c>
      <c r="AY31">
        <v>48</v>
      </c>
      <c r="AZ31" s="2">
        <v>45705.524305555555</v>
      </c>
      <c r="BA31" s="31" t="s">
        <v>508</v>
      </c>
    </row>
    <row r="32" spans="1:53" x14ac:dyDescent="0.25">
      <c r="A32" t="s">
        <v>420</v>
      </c>
      <c r="B32" t="s">
        <v>421</v>
      </c>
      <c r="C32" t="s">
        <v>109</v>
      </c>
      <c r="D32" t="s">
        <v>422</v>
      </c>
      <c r="E32" t="s">
        <v>424</v>
      </c>
      <c r="F32" t="s">
        <v>423</v>
      </c>
      <c r="G32" t="s">
        <v>412</v>
      </c>
      <c r="H32" t="s">
        <v>59</v>
      </c>
      <c r="I32" t="s">
        <v>425</v>
      </c>
      <c r="J32" t="s">
        <v>426</v>
      </c>
      <c r="K32">
        <v>8</v>
      </c>
      <c r="L32" t="s">
        <v>427</v>
      </c>
      <c r="W32" t="s">
        <v>416</v>
      </c>
      <c r="X32" t="s">
        <v>67</v>
      </c>
      <c r="Y32" t="s">
        <v>106</v>
      </c>
      <c r="Z32" t="s">
        <v>417</v>
      </c>
      <c r="AA32" t="s">
        <v>106</v>
      </c>
      <c r="AB32" t="s">
        <v>266</v>
      </c>
      <c r="AD32">
        <v>9</v>
      </c>
      <c r="AE32" s="1">
        <v>45705</v>
      </c>
      <c r="AF32" s="2">
        <v>0.83333333333333337</v>
      </c>
      <c r="AG32" s="1">
        <v>45705</v>
      </c>
      <c r="AH32" s="2">
        <v>0.98958333333333337</v>
      </c>
      <c r="AI32" s="1">
        <v>45706</v>
      </c>
      <c r="AJ32" s="2">
        <v>0.73564814814814816</v>
      </c>
      <c r="AK32">
        <v>2025</v>
      </c>
      <c r="AL32">
        <v>240</v>
      </c>
      <c r="AM32" t="s">
        <v>427</v>
      </c>
      <c r="AO32" t="s">
        <v>428</v>
      </c>
      <c r="AP32" t="s">
        <v>59</v>
      </c>
      <c r="AQ32" s="1">
        <v>45705</v>
      </c>
      <c r="AR32" s="32">
        <v>0.83333333333333337</v>
      </c>
      <c r="AS32" s="32">
        <v>0.83333333333333337</v>
      </c>
      <c r="AT32" t="s">
        <v>450</v>
      </c>
      <c r="AU32" t="s">
        <v>111</v>
      </c>
      <c r="AV32">
        <v>8</v>
      </c>
      <c r="AW32">
        <v>4</v>
      </c>
      <c r="AX32">
        <v>17</v>
      </c>
      <c r="AY32">
        <v>48</v>
      </c>
      <c r="AZ32" s="2">
        <v>45705.833333333336</v>
      </c>
      <c r="BA32" s="31" t="s">
        <v>508</v>
      </c>
    </row>
    <row r="33" spans="1:53" x14ac:dyDescent="0.25">
      <c r="A33" t="s">
        <v>429</v>
      </c>
      <c r="B33" t="s">
        <v>430</v>
      </c>
      <c r="C33" t="s">
        <v>76</v>
      </c>
      <c r="D33" t="s">
        <v>431</v>
      </c>
      <c r="E33" t="s">
        <v>412</v>
      </c>
      <c r="F33" t="s">
        <v>412</v>
      </c>
      <c r="G33" t="s">
        <v>59</v>
      </c>
      <c r="H33" t="s">
        <v>59</v>
      </c>
      <c r="I33" t="s">
        <v>432</v>
      </c>
      <c r="J33" t="s">
        <v>101</v>
      </c>
      <c r="K33">
        <v>8</v>
      </c>
      <c r="L33" t="s">
        <v>433</v>
      </c>
      <c r="W33" t="s">
        <v>66</v>
      </c>
      <c r="X33" t="s">
        <v>67</v>
      </c>
      <c r="Y33" t="s">
        <v>434</v>
      </c>
      <c r="Z33" t="s">
        <v>69</v>
      </c>
      <c r="AA33" t="s">
        <v>352</v>
      </c>
      <c r="AB33" t="s">
        <v>435</v>
      </c>
      <c r="AC33" t="s">
        <v>436</v>
      </c>
      <c r="AD33">
        <v>9</v>
      </c>
      <c r="AE33" s="1">
        <v>42906</v>
      </c>
      <c r="AF33" s="2">
        <v>0.53615740740740736</v>
      </c>
      <c r="AG33" s="1">
        <v>45555</v>
      </c>
      <c r="AH33" s="2"/>
      <c r="AI33" s="1">
        <v>45708</v>
      </c>
      <c r="AJ33" s="2">
        <v>0.53615740740740736</v>
      </c>
      <c r="AK33">
        <v>2017</v>
      </c>
      <c r="AL33">
        <v>360</v>
      </c>
      <c r="AM33" t="s">
        <v>433</v>
      </c>
      <c r="AO33" t="s">
        <v>59</v>
      </c>
      <c r="AP33" t="s">
        <v>59</v>
      </c>
      <c r="AQ33" s="1">
        <v>45708</v>
      </c>
      <c r="AR33" s="32">
        <v>0.5</v>
      </c>
      <c r="AS33" s="32">
        <v>0.53615740740740736</v>
      </c>
      <c r="AT33" t="s">
        <v>451</v>
      </c>
      <c r="AU33" t="s">
        <v>111</v>
      </c>
      <c r="AV33">
        <v>25</v>
      </c>
      <c r="AW33">
        <v>4</v>
      </c>
      <c r="AX33">
        <v>20</v>
      </c>
      <c r="AY33">
        <v>171</v>
      </c>
      <c r="AZ33" s="2">
        <v>42906.536111111112</v>
      </c>
      <c r="BA33" s="31" t="s">
        <v>507</v>
      </c>
    </row>
    <row r="34" spans="1:53" x14ac:dyDescent="0.25">
      <c r="A34" t="s">
        <v>332</v>
      </c>
      <c r="B34" t="s">
        <v>333</v>
      </c>
      <c r="C34" t="s">
        <v>150</v>
      </c>
      <c r="D34" t="s">
        <v>334</v>
      </c>
      <c r="E34" t="s">
        <v>213</v>
      </c>
      <c r="F34" t="s">
        <v>213</v>
      </c>
      <c r="G34" t="s">
        <v>59</v>
      </c>
      <c r="H34" t="s">
        <v>59</v>
      </c>
      <c r="I34" t="s">
        <v>335</v>
      </c>
      <c r="J34" t="s">
        <v>250</v>
      </c>
      <c r="K34">
        <v>5</v>
      </c>
      <c r="L34" t="s">
        <v>336</v>
      </c>
      <c r="O34" t="s">
        <v>337</v>
      </c>
      <c r="P34" t="s">
        <v>63</v>
      </c>
      <c r="Q34" t="s">
        <v>338</v>
      </c>
      <c r="R34" t="s">
        <v>339</v>
      </c>
      <c r="W34" t="s">
        <v>157</v>
      </c>
      <c r="X34" t="s">
        <v>67</v>
      </c>
      <c r="Y34" t="s">
        <v>158</v>
      </c>
      <c r="Z34" t="s">
        <v>159</v>
      </c>
      <c r="AD34">
        <v>9</v>
      </c>
      <c r="AE34" s="1">
        <v>45713</v>
      </c>
      <c r="AF34" s="2">
        <v>0.41666666666666669</v>
      </c>
      <c r="AG34" s="1">
        <v>45713</v>
      </c>
      <c r="AH34" s="2">
        <v>0.95833333333333337</v>
      </c>
      <c r="AI34" s="1">
        <v>45712</v>
      </c>
      <c r="AJ34" s="2">
        <v>0.99136574074074069</v>
      </c>
      <c r="AK34">
        <v>2025</v>
      </c>
      <c r="AL34">
        <v>430</v>
      </c>
      <c r="AM34" t="s">
        <v>336</v>
      </c>
      <c r="AN34" t="s">
        <v>340</v>
      </c>
      <c r="AO34" t="s">
        <v>59</v>
      </c>
      <c r="AP34" t="s">
        <v>59</v>
      </c>
      <c r="AQ34" s="1">
        <v>45713</v>
      </c>
      <c r="AR34" s="32">
        <v>0.41666666666666669</v>
      </c>
      <c r="AS34" s="32">
        <v>0.41666666666666669</v>
      </c>
      <c r="AT34" t="s">
        <v>451</v>
      </c>
      <c r="AU34" t="s">
        <v>111</v>
      </c>
      <c r="AV34">
        <v>9</v>
      </c>
      <c r="AW34">
        <v>5</v>
      </c>
      <c r="AX34">
        <v>25</v>
      </c>
      <c r="AY34">
        <v>56</v>
      </c>
      <c r="AZ34" s="2">
        <v>45713.416666666664</v>
      </c>
      <c r="BA34" s="31" t="s">
        <v>506</v>
      </c>
    </row>
    <row r="35" spans="1:53" x14ac:dyDescent="0.25">
      <c r="A35" t="s">
        <v>492</v>
      </c>
      <c r="B35" t="s">
        <v>493</v>
      </c>
      <c r="C35" t="s">
        <v>76</v>
      </c>
      <c r="D35" t="s">
        <v>494</v>
      </c>
      <c r="E35" t="s">
        <v>495</v>
      </c>
      <c r="F35" t="s">
        <v>347</v>
      </c>
      <c r="G35" t="s">
        <v>496</v>
      </c>
      <c r="H35" t="s">
        <v>344</v>
      </c>
      <c r="I35" t="s">
        <v>497</v>
      </c>
      <c r="J35" t="s">
        <v>84</v>
      </c>
      <c r="K35">
        <v>8</v>
      </c>
      <c r="L35" t="s">
        <v>498</v>
      </c>
      <c r="O35" t="s">
        <v>499</v>
      </c>
      <c r="P35" t="s">
        <v>500</v>
      </c>
      <c r="Q35" t="s">
        <v>501</v>
      </c>
      <c r="R35" t="s">
        <v>65</v>
      </c>
      <c r="W35" t="s">
        <v>416</v>
      </c>
      <c r="X35" t="s">
        <v>67</v>
      </c>
      <c r="Y35" t="s">
        <v>502</v>
      </c>
      <c r="Z35" t="s">
        <v>159</v>
      </c>
      <c r="AA35" t="s">
        <v>378</v>
      </c>
      <c r="AB35" t="s">
        <v>195</v>
      </c>
      <c r="AC35" t="s">
        <v>353</v>
      </c>
      <c r="AD35">
        <v>9</v>
      </c>
      <c r="AE35" s="1">
        <v>45720</v>
      </c>
      <c r="AF35" s="2">
        <v>0.64097222222222228</v>
      </c>
      <c r="AG35" s="1"/>
      <c r="AH35" s="2"/>
      <c r="AI35" s="1">
        <v>45720</v>
      </c>
      <c r="AJ35" s="2">
        <v>0.64444444444444449</v>
      </c>
      <c r="AK35">
        <v>2025</v>
      </c>
      <c r="AL35">
        <v>195</v>
      </c>
      <c r="AM35" t="s">
        <v>498</v>
      </c>
      <c r="AN35" t="s">
        <v>503</v>
      </c>
      <c r="AO35" t="s">
        <v>504</v>
      </c>
      <c r="AP35" t="s">
        <v>59</v>
      </c>
      <c r="AQ35" s="1">
        <v>45720</v>
      </c>
      <c r="AR35" s="32">
        <v>0.625</v>
      </c>
      <c r="AS35" s="32">
        <v>0.64097222222222228</v>
      </c>
      <c r="AT35" t="s">
        <v>451</v>
      </c>
      <c r="AU35" t="s">
        <v>461</v>
      </c>
      <c r="AV35">
        <v>10</v>
      </c>
      <c r="AW35">
        <v>2</v>
      </c>
      <c r="AX35">
        <v>4</v>
      </c>
      <c r="AY35">
        <v>63</v>
      </c>
      <c r="AZ35" s="2">
        <v>45720.640972222223</v>
      </c>
      <c r="BA35" s="31" t="s">
        <v>505</v>
      </c>
    </row>
    <row r="36" spans="1:53" x14ac:dyDescent="0.25">
      <c r="A36" t="s">
        <v>484</v>
      </c>
      <c r="B36" t="s">
        <v>485</v>
      </c>
      <c r="C36" t="s">
        <v>95</v>
      </c>
      <c r="D36" t="s">
        <v>486</v>
      </c>
      <c r="E36" t="s">
        <v>347</v>
      </c>
      <c r="F36" t="s">
        <v>347</v>
      </c>
      <c r="G36" t="s">
        <v>59</v>
      </c>
      <c r="H36" t="s">
        <v>59</v>
      </c>
      <c r="I36" t="s">
        <v>487</v>
      </c>
      <c r="J36" t="s">
        <v>261</v>
      </c>
      <c r="K36">
        <v>6</v>
      </c>
      <c r="L36" t="s">
        <v>488</v>
      </c>
      <c r="W36" t="s">
        <v>416</v>
      </c>
      <c r="X36" t="s">
        <v>67</v>
      </c>
      <c r="Y36" t="s">
        <v>489</v>
      </c>
      <c r="Z36" t="s">
        <v>206</v>
      </c>
      <c r="AA36" t="s">
        <v>70</v>
      </c>
      <c r="AB36" t="s">
        <v>123</v>
      </c>
      <c r="AC36" t="s">
        <v>353</v>
      </c>
      <c r="AD36">
        <v>9</v>
      </c>
      <c r="AE36" s="1">
        <v>45720</v>
      </c>
      <c r="AF36" s="2">
        <v>0.79126157407407405</v>
      </c>
      <c r="AG36" s="1"/>
      <c r="AH36" s="2"/>
      <c r="AI36" s="1">
        <v>45720</v>
      </c>
      <c r="AJ36" s="2">
        <v>0.79126157407407405</v>
      </c>
      <c r="AK36">
        <v>2025</v>
      </c>
      <c r="AL36">
        <v>216</v>
      </c>
      <c r="AM36" t="s">
        <v>488</v>
      </c>
      <c r="AO36" t="s">
        <v>490</v>
      </c>
      <c r="AP36" t="s">
        <v>491</v>
      </c>
      <c r="AQ36" s="1">
        <v>45720</v>
      </c>
      <c r="AR36" s="32">
        <v>0.75</v>
      </c>
      <c r="AS36" s="32">
        <v>0.79126157407407405</v>
      </c>
      <c r="AT36" t="s">
        <v>451</v>
      </c>
      <c r="AU36" t="s">
        <v>461</v>
      </c>
      <c r="AV36">
        <v>10</v>
      </c>
      <c r="AW36">
        <v>2</v>
      </c>
      <c r="AX36">
        <v>4</v>
      </c>
      <c r="AY36">
        <v>63</v>
      </c>
      <c r="AZ36" s="2">
        <v>45720.790972222225</v>
      </c>
      <c r="BA36" s="31" t="s">
        <v>505</v>
      </c>
    </row>
    <row r="37" spans="1:53" x14ac:dyDescent="0.25">
      <c r="A37" t="s">
        <v>460</v>
      </c>
      <c r="B37" t="s">
        <v>462</v>
      </c>
      <c r="C37" t="s">
        <v>109</v>
      </c>
      <c r="D37" t="s">
        <v>463</v>
      </c>
      <c r="E37" t="s">
        <v>58</v>
      </c>
      <c r="F37" t="s">
        <v>58</v>
      </c>
      <c r="G37" t="s">
        <v>59</v>
      </c>
      <c r="H37" t="s">
        <v>59</v>
      </c>
      <c r="I37" t="s">
        <v>464</v>
      </c>
      <c r="J37" t="s">
        <v>84</v>
      </c>
      <c r="K37">
        <v>8</v>
      </c>
      <c r="L37" t="s">
        <v>465</v>
      </c>
      <c r="O37" t="s">
        <v>466</v>
      </c>
      <c r="P37" t="s">
        <v>117</v>
      </c>
      <c r="Q37" t="s">
        <v>467</v>
      </c>
      <c r="R37" t="s">
        <v>65</v>
      </c>
      <c r="W37" t="s">
        <v>468</v>
      </c>
      <c r="X37" t="s">
        <v>67</v>
      </c>
      <c r="Y37" t="s">
        <v>68</v>
      </c>
      <c r="Z37" t="s">
        <v>69</v>
      </c>
      <c r="AA37" t="s">
        <v>160</v>
      </c>
      <c r="AB37" t="s">
        <v>123</v>
      </c>
      <c r="AD37">
        <v>9</v>
      </c>
      <c r="AE37" s="1">
        <v>45722</v>
      </c>
      <c r="AF37" s="2">
        <v>0.94149305555555551</v>
      </c>
      <c r="AG37" s="1"/>
      <c r="AH37" s="2"/>
      <c r="AI37" s="1">
        <v>45722</v>
      </c>
      <c r="AJ37" s="2">
        <v>0.94149305555555551</v>
      </c>
      <c r="AK37">
        <v>2025</v>
      </c>
      <c r="AL37">
        <v>216</v>
      </c>
      <c r="AM37" t="s">
        <v>465</v>
      </c>
      <c r="AN37" t="s">
        <v>469</v>
      </c>
      <c r="AO37" t="s">
        <v>470</v>
      </c>
      <c r="AP37" t="s">
        <v>471</v>
      </c>
      <c r="AQ37" s="1">
        <v>45722</v>
      </c>
      <c r="AR37" s="32">
        <v>0.91666666666666663</v>
      </c>
      <c r="AS37" s="32">
        <v>0.94149305555555551</v>
      </c>
      <c r="AT37" t="s">
        <v>536</v>
      </c>
      <c r="AU37" t="s">
        <v>461</v>
      </c>
      <c r="AV37">
        <v>10</v>
      </c>
      <c r="AW37">
        <v>2</v>
      </c>
      <c r="AX37">
        <v>6</v>
      </c>
      <c r="AY37">
        <v>65</v>
      </c>
      <c r="AZ37" s="2">
        <v>45722.940972222219</v>
      </c>
      <c r="BA37" s="31" t="s">
        <v>505</v>
      </c>
    </row>
    <row r="38" spans="1:53" x14ac:dyDescent="0.25">
      <c r="A38" t="s">
        <v>472</v>
      </c>
      <c r="B38" t="s">
        <v>473</v>
      </c>
      <c r="C38" t="s">
        <v>95</v>
      </c>
      <c r="D38" t="s">
        <v>474</v>
      </c>
      <c r="E38" t="s">
        <v>58</v>
      </c>
      <c r="F38" t="s">
        <v>58</v>
      </c>
      <c r="G38" t="s">
        <v>59</v>
      </c>
      <c r="H38" t="s">
        <v>59</v>
      </c>
      <c r="I38" t="s">
        <v>475</v>
      </c>
      <c r="J38" t="s">
        <v>134</v>
      </c>
      <c r="K38">
        <v>7</v>
      </c>
      <c r="L38" t="s">
        <v>476</v>
      </c>
      <c r="O38" t="s">
        <v>477</v>
      </c>
      <c r="P38" t="s">
        <v>478</v>
      </c>
      <c r="Q38" t="s">
        <v>479</v>
      </c>
      <c r="R38" t="s">
        <v>65</v>
      </c>
      <c r="W38" t="s">
        <v>157</v>
      </c>
      <c r="X38" t="s">
        <v>67</v>
      </c>
      <c r="Y38" t="s">
        <v>480</v>
      </c>
      <c r="Z38" t="s">
        <v>351</v>
      </c>
      <c r="AD38">
        <v>9</v>
      </c>
      <c r="AE38" s="1">
        <v>45725</v>
      </c>
      <c r="AF38" s="2">
        <v>0.8125</v>
      </c>
      <c r="AG38" s="1">
        <v>45726</v>
      </c>
      <c r="AH38" s="2">
        <v>0.35416666666666669</v>
      </c>
      <c r="AI38" s="1">
        <v>45726</v>
      </c>
      <c r="AJ38" s="2">
        <v>0.37046296296296294</v>
      </c>
      <c r="AK38">
        <v>2025</v>
      </c>
      <c r="AL38">
        <v>282</v>
      </c>
      <c r="AM38" t="s">
        <v>476</v>
      </c>
      <c r="AN38" t="s">
        <v>481</v>
      </c>
      <c r="AO38" t="s">
        <v>482</v>
      </c>
      <c r="AP38" t="s">
        <v>483</v>
      </c>
      <c r="AQ38" s="1">
        <v>45725</v>
      </c>
      <c r="AR38" s="32">
        <v>0.79166666666666663</v>
      </c>
      <c r="AS38" s="32">
        <v>0.8125</v>
      </c>
      <c r="AT38" t="s">
        <v>458</v>
      </c>
      <c r="AU38" t="s">
        <v>461</v>
      </c>
      <c r="AV38">
        <v>11</v>
      </c>
      <c r="AW38">
        <v>3</v>
      </c>
      <c r="AX38">
        <v>9</v>
      </c>
      <c r="AY38">
        <v>68</v>
      </c>
      <c r="AZ38" s="2">
        <v>45725.8125</v>
      </c>
      <c r="BA38" s="31" t="s">
        <v>505</v>
      </c>
    </row>
    <row r="39" spans="1:53" x14ac:dyDescent="0.25">
      <c r="A39" t="s">
        <v>529</v>
      </c>
      <c r="B39" t="s">
        <v>530</v>
      </c>
      <c r="C39" t="s">
        <v>172</v>
      </c>
      <c r="D39" t="s">
        <v>531</v>
      </c>
      <c r="E39" t="s">
        <v>132</v>
      </c>
      <c r="F39" t="s">
        <v>132</v>
      </c>
      <c r="G39" t="s">
        <v>59</v>
      </c>
      <c r="H39" t="s">
        <v>59</v>
      </c>
      <c r="I39" t="s">
        <v>532</v>
      </c>
      <c r="J39" t="s">
        <v>283</v>
      </c>
      <c r="K39">
        <v>8</v>
      </c>
      <c r="L39" t="s">
        <v>533</v>
      </c>
      <c r="W39" t="s">
        <v>534</v>
      </c>
      <c r="X39" t="s">
        <v>67</v>
      </c>
      <c r="Y39" t="s">
        <v>219</v>
      </c>
      <c r="Z39" t="s">
        <v>159</v>
      </c>
      <c r="AA39" t="s">
        <v>106</v>
      </c>
      <c r="AB39" t="s">
        <v>123</v>
      </c>
      <c r="AC39" t="s">
        <v>137</v>
      </c>
      <c r="AD39">
        <v>9</v>
      </c>
      <c r="AE39" s="1">
        <v>45726</v>
      </c>
      <c r="AF39" s="2">
        <v>4.6527777777777779E-2</v>
      </c>
      <c r="AG39" s="1">
        <v>45726</v>
      </c>
      <c r="AH39" s="2">
        <v>0.16180555555555556</v>
      </c>
      <c r="AI39" s="1">
        <v>45727</v>
      </c>
      <c r="AJ39" s="2">
        <v>0.44234953703703705</v>
      </c>
      <c r="AK39">
        <v>2025</v>
      </c>
      <c r="AL39">
        <v>1</v>
      </c>
      <c r="AM39" t="s">
        <v>533</v>
      </c>
      <c r="AO39" t="s">
        <v>535</v>
      </c>
      <c r="AP39" t="s">
        <v>59</v>
      </c>
      <c r="AQ39" s="1">
        <v>45726</v>
      </c>
      <c r="AR39" s="32">
        <v>4.1666666666666664E-2</v>
      </c>
      <c r="AS39" s="32">
        <v>4.6527777777777779E-2</v>
      </c>
      <c r="AT39" t="s">
        <v>450</v>
      </c>
      <c r="AU39" t="s">
        <v>461</v>
      </c>
      <c r="AV39">
        <v>11</v>
      </c>
      <c r="AW39">
        <v>3</v>
      </c>
      <c r="AX39">
        <v>10</v>
      </c>
      <c r="AY39">
        <v>69</v>
      </c>
      <c r="AZ39" s="2">
        <v>45726.046527777777</v>
      </c>
      <c r="BA39" s="31" t="s">
        <v>505</v>
      </c>
    </row>
    <row r="40" spans="1:53" x14ac:dyDescent="0.25">
      <c r="A40" t="s">
        <v>516</v>
      </c>
      <c r="B40" t="s">
        <v>517</v>
      </c>
      <c r="C40" t="s">
        <v>76</v>
      </c>
      <c r="D40" t="s">
        <v>518</v>
      </c>
      <c r="E40" t="s">
        <v>58</v>
      </c>
      <c r="F40" t="s">
        <v>58</v>
      </c>
      <c r="G40" t="s">
        <v>59</v>
      </c>
      <c r="H40" t="s">
        <v>59</v>
      </c>
      <c r="I40" t="s">
        <v>519</v>
      </c>
      <c r="J40" t="s">
        <v>84</v>
      </c>
      <c r="K40">
        <v>8</v>
      </c>
      <c r="L40" t="s">
        <v>520</v>
      </c>
      <c r="O40" t="s">
        <v>521</v>
      </c>
      <c r="P40" t="s">
        <v>522</v>
      </c>
      <c r="Q40" t="s">
        <v>523</v>
      </c>
      <c r="R40" t="s">
        <v>65</v>
      </c>
      <c r="W40" t="s">
        <v>416</v>
      </c>
      <c r="X40" t="s">
        <v>67</v>
      </c>
      <c r="Y40" t="s">
        <v>158</v>
      </c>
      <c r="Z40" t="s">
        <v>159</v>
      </c>
      <c r="AA40" t="s">
        <v>524</v>
      </c>
      <c r="AB40" t="s">
        <v>123</v>
      </c>
      <c r="AC40" t="s">
        <v>72</v>
      </c>
      <c r="AD40">
        <v>9</v>
      </c>
      <c r="AE40" s="1">
        <v>45727</v>
      </c>
      <c r="AF40" s="2">
        <v>0.60416666666666663</v>
      </c>
      <c r="AG40" s="1"/>
      <c r="AH40" s="2"/>
      <c r="AI40" s="1">
        <v>45727</v>
      </c>
      <c r="AJ40" s="2">
        <v>0.69039351851851849</v>
      </c>
      <c r="AK40">
        <v>2025</v>
      </c>
      <c r="AL40">
        <v>123</v>
      </c>
      <c r="AM40" t="s">
        <v>520</v>
      </c>
      <c r="AN40" t="s">
        <v>525</v>
      </c>
      <c r="AO40" t="s">
        <v>526</v>
      </c>
      <c r="AP40" t="s">
        <v>527</v>
      </c>
      <c r="AQ40" s="1">
        <v>45727</v>
      </c>
      <c r="AR40" s="32">
        <v>0.58333333333333337</v>
      </c>
      <c r="AS40" s="32">
        <v>0.60416666666666663</v>
      </c>
      <c r="AT40" t="s">
        <v>451</v>
      </c>
      <c r="AU40" t="s">
        <v>461</v>
      </c>
      <c r="AV40">
        <v>11</v>
      </c>
      <c r="AW40">
        <v>3</v>
      </c>
      <c r="AX40">
        <v>11</v>
      </c>
      <c r="AY40">
        <v>70</v>
      </c>
      <c r="AZ40" s="2">
        <v>45727.604166666664</v>
      </c>
      <c r="BA40" s="31" t="s">
        <v>528</v>
      </c>
    </row>
    <row r="41" spans="1:53" x14ac:dyDescent="0.25">
      <c r="A41" t="s">
        <v>537</v>
      </c>
      <c r="B41" t="s">
        <v>357</v>
      </c>
      <c r="C41" t="s">
        <v>304</v>
      </c>
      <c r="D41" t="s">
        <v>538</v>
      </c>
      <c r="E41" t="s">
        <v>539</v>
      </c>
      <c r="F41" t="s">
        <v>440</v>
      </c>
      <c r="G41" t="s">
        <v>132</v>
      </c>
      <c r="H41" t="s">
        <v>59</v>
      </c>
      <c r="I41" t="s">
        <v>540</v>
      </c>
      <c r="J41" t="s">
        <v>363</v>
      </c>
      <c r="K41">
        <v>9</v>
      </c>
      <c r="L41" t="s">
        <v>541</v>
      </c>
      <c r="O41" t="s">
        <v>542</v>
      </c>
      <c r="P41" t="s">
        <v>543</v>
      </c>
      <c r="Q41" t="s">
        <v>544</v>
      </c>
      <c r="R41" t="s">
        <v>65</v>
      </c>
      <c r="X41" t="s">
        <v>67</v>
      </c>
      <c r="Y41" t="s">
        <v>545</v>
      </c>
      <c r="Z41" t="s">
        <v>546</v>
      </c>
      <c r="AD41">
        <v>9</v>
      </c>
      <c r="AE41" s="1"/>
      <c r="AF41" s="2"/>
      <c r="AG41" s="1">
        <v>45734</v>
      </c>
      <c r="AH41" s="2">
        <v>0.22916666666666666</v>
      </c>
      <c r="AI41" s="1">
        <v>45734</v>
      </c>
      <c r="AJ41" s="2">
        <v>0.27405092592592595</v>
      </c>
      <c r="AK41">
        <v>2025</v>
      </c>
      <c r="AL41">
        <v>414</v>
      </c>
      <c r="AM41" t="s">
        <v>541</v>
      </c>
      <c r="AN41" t="s">
        <v>547</v>
      </c>
      <c r="AO41" t="s">
        <v>59</v>
      </c>
      <c r="AP41" t="s">
        <v>59</v>
      </c>
      <c r="AQ41" s="1">
        <v>45734</v>
      </c>
      <c r="AR41" s="32">
        <v>0.20833333333333334</v>
      </c>
      <c r="AS41" s="32">
        <v>0.22916666666666666</v>
      </c>
      <c r="AT41" t="s">
        <v>451</v>
      </c>
      <c r="AU41" t="s">
        <v>461</v>
      </c>
      <c r="AV41">
        <v>12</v>
      </c>
      <c r="AW41">
        <v>4</v>
      </c>
      <c r="AX41">
        <v>18</v>
      </c>
      <c r="AY41">
        <v>77</v>
      </c>
      <c r="AZ41" s="2">
        <v>45734.229166666664</v>
      </c>
      <c r="BA41" s="31" t="s">
        <v>548</v>
      </c>
    </row>
    <row r="42" spans="1:53" x14ac:dyDescent="0.25">
      <c r="A42" t="s">
        <v>549</v>
      </c>
      <c r="B42" t="s">
        <v>550</v>
      </c>
      <c r="C42" t="s">
        <v>304</v>
      </c>
      <c r="D42" t="s">
        <v>551</v>
      </c>
      <c r="E42" t="s">
        <v>213</v>
      </c>
      <c r="F42" t="s">
        <v>213</v>
      </c>
      <c r="G42" t="s">
        <v>59</v>
      </c>
      <c r="H42" t="s">
        <v>59</v>
      </c>
      <c r="I42" t="s">
        <v>552</v>
      </c>
      <c r="J42" t="s">
        <v>261</v>
      </c>
      <c r="K42">
        <v>6</v>
      </c>
      <c r="L42" t="s">
        <v>553</v>
      </c>
      <c r="O42" t="s">
        <v>554</v>
      </c>
      <c r="P42" t="s">
        <v>555</v>
      </c>
      <c r="R42" t="s">
        <v>65</v>
      </c>
      <c r="W42" t="s">
        <v>468</v>
      </c>
      <c r="X42" t="s">
        <v>67</v>
      </c>
      <c r="Y42" t="s">
        <v>147</v>
      </c>
      <c r="Z42" t="s">
        <v>90</v>
      </c>
      <c r="AA42" t="s">
        <v>180</v>
      </c>
      <c r="AB42" t="s">
        <v>181</v>
      </c>
      <c r="AD42">
        <v>9</v>
      </c>
      <c r="AE42" s="1">
        <v>45737</v>
      </c>
      <c r="AF42" s="2">
        <v>0.32500000000000001</v>
      </c>
      <c r="AG42" s="1"/>
      <c r="AH42" s="2"/>
      <c r="AI42" s="1">
        <v>45737</v>
      </c>
      <c r="AJ42" s="2">
        <v>0.59714120370370372</v>
      </c>
      <c r="AK42">
        <v>2025</v>
      </c>
      <c r="AL42">
        <v>171</v>
      </c>
      <c r="AM42" t="s">
        <v>553</v>
      </c>
      <c r="AN42" t="s">
        <v>556</v>
      </c>
      <c r="AO42" t="s">
        <v>557</v>
      </c>
      <c r="AP42" t="s">
        <v>558</v>
      </c>
      <c r="AQ42" s="1">
        <v>45737</v>
      </c>
      <c r="AR42" s="32">
        <v>0.29166666666666669</v>
      </c>
      <c r="AS42" s="32">
        <v>0.32500000000000001</v>
      </c>
      <c r="AT42" t="s">
        <v>454</v>
      </c>
      <c r="AU42" t="s">
        <v>461</v>
      </c>
      <c r="AV42">
        <v>12</v>
      </c>
      <c r="AW42">
        <v>4</v>
      </c>
      <c r="AX42">
        <v>21</v>
      </c>
      <c r="AY42">
        <v>80</v>
      </c>
      <c r="AZ42" s="2">
        <v>45737.324999999997</v>
      </c>
      <c r="BA42" s="31" t="s">
        <v>548</v>
      </c>
    </row>
    <row r="43" spans="1:53" x14ac:dyDescent="0.25">
      <c r="A43" t="s">
        <v>559</v>
      </c>
      <c r="B43" t="s">
        <v>560</v>
      </c>
      <c r="C43" t="s">
        <v>304</v>
      </c>
      <c r="D43" t="s">
        <v>561</v>
      </c>
      <c r="E43" t="s">
        <v>562</v>
      </c>
      <c r="F43" t="s">
        <v>58</v>
      </c>
      <c r="G43" t="s">
        <v>563</v>
      </c>
      <c r="H43" t="s">
        <v>59</v>
      </c>
      <c r="I43" t="s">
        <v>564</v>
      </c>
      <c r="J43" t="s">
        <v>250</v>
      </c>
      <c r="K43">
        <v>5</v>
      </c>
      <c r="L43" t="s">
        <v>565</v>
      </c>
      <c r="O43" t="s">
        <v>566</v>
      </c>
      <c r="P43" t="s">
        <v>117</v>
      </c>
      <c r="Q43" t="s">
        <v>567</v>
      </c>
      <c r="R43" t="s">
        <v>65</v>
      </c>
      <c r="W43" t="s">
        <v>568</v>
      </c>
      <c r="X43" t="s">
        <v>67</v>
      </c>
      <c r="Y43" t="s">
        <v>105</v>
      </c>
      <c r="Z43" t="s">
        <v>69</v>
      </c>
      <c r="AA43" t="s">
        <v>122</v>
      </c>
      <c r="AB43" t="s">
        <v>123</v>
      </c>
      <c r="AD43">
        <v>9</v>
      </c>
      <c r="AE43" s="1">
        <v>45739</v>
      </c>
      <c r="AF43" s="2">
        <v>0.1736111111111111</v>
      </c>
      <c r="AG43" s="1">
        <v>45739</v>
      </c>
      <c r="AH43" s="2">
        <v>0.18055555555555555</v>
      </c>
      <c r="AI43" s="1">
        <v>45739</v>
      </c>
      <c r="AJ43" s="2">
        <v>0.20511574074074074</v>
      </c>
      <c r="AK43">
        <v>2025</v>
      </c>
      <c r="AL43">
        <v>24</v>
      </c>
      <c r="AM43" t="s">
        <v>565</v>
      </c>
      <c r="AN43" t="s">
        <v>569</v>
      </c>
      <c r="AO43" t="s">
        <v>570</v>
      </c>
      <c r="AP43" t="s">
        <v>571</v>
      </c>
      <c r="AQ43" s="1">
        <v>45739</v>
      </c>
      <c r="AR43" s="32">
        <v>0.16666666666666666</v>
      </c>
      <c r="AS43" s="32">
        <v>0.1736111111111111</v>
      </c>
      <c r="AT43" t="s">
        <v>458</v>
      </c>
      <c r="AU43" t="s">
        <v>461</v>
      </c>
      <c r="AV43">
        <v>13</v>
      </c>
      <c r="AW43">
        <v>5</v>
      </c>
      <c r="AX43">
        <v>23</v>
      </c>
      <c r="AY43">
        <v>82</v>
      </c>
      <c r="AZ43" s="2">
        <v>45739.173611111109</v>
      </c>
      <c r="BA43" s="31" t="s">
        <v>548</v>
      </c>
    </row>
    <row r="44" spans="1:53" x14ac:dyDescent="0.25">
      <c r="A44" t="s">
        <v>678</v>
      </c>
      <c r="B44" t="s">
        <v>357</v>
      </c>
      <c r="C44" t="s">
        <v>150</v>
      </c>
      <c r="D44" t="s">
        <v>358</v>
      </c>
      <c r="E44" t="s">
        <v>686</v>
      </c>
      <c r="F44" t="s">
        <v>347</v>
      </c>
      <c r="G44" t="s">
        <v>82</v>
      </c>
      <c r="H44" t="s">
        <v>687</v>
      </c>
      <c r="I44" t="s">
        <v>362</v>
      </c>
      <c r="J44" t="s">
        <v>363</v>
      </c>
      <c r="K44">
        <v>9</v>
      </c>
      <c r="L44" t="s">
        <v>688</v>
      </c>
      <c r="O44" t="s">
        <v>689</v>
      </c>
      <c r="P44" t="s">
        <v>522</v>
      </c>
      <c r="Q44" t="s">
        <v>690</v>
      </c>
      <c r="R44" t="s">
        <v>65</v>
      </c>
      <c r="W44" t="s">
        <v>157</v>
      </c>
      <c r="X44" t="s">
        <v>67</v>
      </c>
      <c r="Y44" t="s">
        <v>647</v>
      </c>
      <c r="Z44" t="s">
        <v>351</v>
      </c>
      <c r="AA44" t="s">
        <v>160</v>
      </c>
      <c r="AB44" t="s">
        <v>123</v>
      </c>
      <c r="AD44">
        <v>9</v>
      </c>
      <c r="AE44" s="1">
        <v>45741</v>
      </c>
      <c r="AF44" s="2">
        <v>0.48402777777777778</v>
      </c>
      <c r="AG44" s="1"/>
      <c r="AH44" s="2"/>
      <c r="AI44" s="1">
        <v>45741</v>
      </c>
      <c r="AJ44" s="2">
        <v>0.50343749999999998</v>
      </c>
      <c r="AK44">
        <v>2025</v>
      </c>
      <c r="AL44">
        <v>450</v>
      </c>
      <c r="AM44" t="s">
        <v>688</v>
      </c>
      <c r="AN44" t="s">
        <v>691</v>
      </c>
      <c r="AO44" t="s">
        <v>692</v>
      </c>
      <c r="AP44" t="s">
        <v>693</v>
      </c>
      <c r="AQ44" s="1">
        <v>45741</v>
      </c>
      <c r="AR44" s="32">
        <v>0.45833333333333331</v>
      </c>
      <c r="AS44" s="32">
        <v>0.48402777777777778</v>
      </c>
      <c r="AT44" t="s">
        <v>451</v>
      </c>
      <c r="AU44" t="s">
        <v>461</v>
      </c>
      <c r="AV44">
        <v>13</v>
      </c>
      <c r="AW44">
        <v>5</v>
      </c>
      <c r="AX44">
        <v>25</v>
      </c>
      <c r="AY44">
        <v>84</v>
      </c>
      <c r="AZ44" s="2">
        <v>45741.484027777777</v>
      </c>
      <c r="BA44" s="31" t="s">
        <v>581</v>
      </c>
    </row>
    <row r="45" spans="1:53" x14ac:dyDescent="0.25">
      <c r="A45" t="s">
        <v>573</v>
      </c>
      <c r="B45" t="s">
        <v>485</v>
      </c>
      <c r="C45" t="s">
        <v>109</v>
      </c>
      <c r="D45" t="s">
        <v>574</v>
      </c>
      <c r="E45" t="s">
        <v>575</v>
      </c>
      <c r="F45" t="s">
        <v>165</v>
      </c>
      <c r="G45" t="s">
        <v>576</v>
      </c>
      <c r="H45" t="s">
        <v>360</v>
      </c>
      <c r="I45" t="s">
        <v>577</v>
      </c>
      <c r="J45" t="s">
        <v>261</v>
      </c>
      <c r="K45">
        <v>6</v>
      </c>
      <c r="L45" t="s">
        <v>578</v>
      </c>
      <c r="W45" t="s">
        <v>416</v>
      </c>
      <c r="X45" t="s">
        <v>67</v>
      </c>
      <c r="Y45" t="s">
        <v>579</v>
      </c>
      <c r="Z45" t="s">
        <v>121</v>
      </c>
      <c r="AA45" t="s">
        <v>378</v>
      </c>
      <c r="AB45" t="s">
        <v>123</v>
      </c>
      <c r="AD45">
        <v>9</v>
      </c>
      <c r="AE45" s="1">
        <v>45743</v>
      </c>
      <c r="AF45" s="2">
        <v>0.94666666666666666</v>
      </c>
      <c r="AG45" s="1"/>
      <c r="AH45" s="2"/>
      <c r="AI45" s="1">
        <v>45743</v>
      </c>
      <c r="AJ45" s="2">
        <v>0.94666666666666666</v>
      </c>
      <c r="AK45">
        <v>2025</v>
      </c>
      <c r="AL45">
        <v>211</v>
      </c>
      <c r="AM45" t="s">
        <v>578</v>
      </c>
      <c r="AO45" t="s">
        <v>59</v>
      </c>
      <c r="AP45" t="s">
        <v>580</v>
      </c>
      <c r="AQ45" s="1">
        <v>45743</v>
      </c>
      <c r="AR45" s="32">
        <v>0.91666666666666663</v>
      </c>
      <c r="AS45" s="32">
        <v>0.94666666666666666</v>
      </c>
      <c r="AT45" t="s">
        <v>536</v>
      </c>
      <c r="AU45" t="s">
        <v>461</v>
      </c>
      <c r="AV45">
        <v>13</v>
      </c>
      <c r="AW45">
        <v>5</v>
      </c>
      <c r="AX45">
        <v>27</v>
      </c>
      <c r="AY45">
        <v>86</v>
      </c>
      <c r="AZ45" s="2">
        <v>45743.946527777778</v>
      </c>
      <c r="BA45" s="31" t="s">
        <v>581</v>
      </c>
    </row>
    <row r="46" spans="1:53" x14ac:dyDescent="0.25">
      <c r="A46" t="s">
        <v>582</v>
      </c>
      <c r="B46" t="s">
        <v>530</v>
      </c>
      <c r="C46" t="s">
        <v>109</v>
      </c>
      <c r="D46" t="s">
        <v>583</v>
      </c>
      <c r="E46" t="s">
        <v>132</v>
      </c>
      <c r="F46" t="s">
        <v>132</v>
      </c>
      <c r="G46" t="s">
        <v>59</v>
      </c>
      <c r="H46" t="s">
        <v>59</v>
      </c>
      <c r="I46" t="s">
        <v>584</v>
      </c>
      <c r="J46" t="s">
        <v>283</v>
      </c>
      <c r="K46">
        <v>8</v>
      </c>
      <c r="L46" t="s">
        <v>585</v>
      </c>
      <c r="M46">
        <v>50300</v>
      </c>
      <c r="W46" t="s">
        <v>157</v>
      </c>
      <c r="X46" t="s">
        <v>67</v>
      </c>
      <c r="Y46" t="s">
        <v>480</v>
      </c>
      <c r="Z46" t="s">
        <v>351</v>
      </c>
      <c r="AA46" t="s">
        <v>586</v>
      </c>
      <c r="AB46" t="s">
        <v>123</v>
      </c>
      <c r="AD46">
        <v>9</v>
      </c>
      <c r="AE46" s="1">
        <v>45743</v>
      </c>
      <c r="AF46" s="2">
        <v>0.97916666666666663</v>
      </c>
      <c r="AG46" s="1">
        <v>45744</v>
      </c>
      <c r="AH46" s="2">
        <v>2.5000000000000001E-2</v>
      </c>
      <c r="AI46" s="1">
        <v>45744</v>
      </c>
      <c r="AJ46" s="2">
        <v>0.46781250000000002</v>
      </c>
      <c r="AK46">
        <v>2025</v>
      </c>
      <c r="AL46">
        <v>2</v>
      </c>
      <c r="AM46" t="s">
        <v>585</v>
      </c>
      <c r="AO46" t="s">
        <v>587</v>
      </c>
      <c r="AP46" t="s">
        <v>588</v>
      </c>
      <c r="AQ46" s="1">
        <v>45743</v>
      </c>
      <c r="AR46" s="32">
        <v>0.95833333333333337</v>
      </c>
      <c r="AS46" s="32">
        <v>0.97916666666666663</v>
      </c>
      <c r="AT46" t="s">
        <v>536</v>
      </c>
      <c r="AU46" t="s">
        <v>461</v>
      </c>
      <c r="AV46">
        <v>13</v>
      </c>
      <c r="AW46">
        <v>5</v>
      </c>
      <c r="AX46">
        <v>27</v>
      </c>
      <c r="AY46">
        <v>86</v>
      </c>
      <c r="AZ46" s="2">
        <v>45743.979166666664</v>
      </c>
      <c r="BA46" s="31" t="s">
        <v>581</v>
      </c>
    </row>
    <row r="47" spans="1:53" x14ac:dyDescent="0.25">
      <c r="A47" t="s">
        <v>694</v>
      </c>
      <c r="B47" t="s">
        <v>695</v>
      </c>
      <c r="C47" t="s">
        <v>304</v>
      </c>
      <c r="D47" t="s">
        <v>696</v>
      </c>
      <c r="E47" t="s">
        <v>697</v>
      </c>
      <c r="F47" t="s">
        <v>176</v>
      </c>
      <c r="G47" t="s">
        <v>698</v>
      </c>
      <c r="H47" t="s">
        <v>59</v>
      </c>
      <c r="I47" t="s">
        <v>699</v>
      </c>
      <c r="J47" t="s">
        <v>273</v>
      </c>
      <c r="K47">
        <v>6</v>
      </c>
      <c r="L47" t="s">
        <v>700</v>
      </c>
      <c r="O47" t="s">
        <v>701</v>
      </c>
      <c r="P47" t="s">
        <v>634</v>
      </c>
      <c r="Q47" t="s">
        <v>635</v>
      </c>
      <c r="R47" t="s">
        <v>65</v>
      </c>
      <c r="W47" t="s">
        <v>568</v>
      </c>
      <c r="X47" t="s">
        <v>67</v>
      </c>
      <c r="Y47" t="s">
        <v>579</v>
      </c>
      <c r="Z47" t="s">
        <v>121</v>
      </c>
      <c r="AD47">
        <v>9</v>
      </c>
      <c r="AE47" s="1">
        <v>45745</v>
      </c>
      <c r="AF47" s="2">
        <v>0.20515046296296297</v>
      </c>
      <c r="AG47" s="1"/>
      <c r="AH47" s="2"/>
      <c r="AI47" s="1">
        <v>45745</v>
      </c>
      <c r="AJ47" s="2">
        <v>0.20931712962962962</v>
      </c>
      <c r="AK47">
        <v>2025</v>
      </c>
      <c r="AL47">
        <v>15</v>
      </c>
      <c r="AM47" t="s">
        <v>700</v>
      </c>
      <c r="AN47" t="s">
        <v>702</v>
      </c>
      <c r="AO47" t="s">
        <v>703</v>
      </c>
      <c r="AP47" t="s">
        <v>704</v>
      </c>
      <c r="AQ47" s="1">
        <v>45745</v>
      </c>
      <c r="AR47" s="32">
        <v>0.16666666666666666</v>
      </c>
      <c r="AS47" s="32">
        <v>0.20515046296296297</v>
      </c>
      <c r="AT47" t="s">
        <v>455</v>
      </c>
      <c r="AU47" t="s">
        <v>461</v>
      </c>
      <c r="AV47">
        <v>13</v>
      </c>
      <c r="AW47">
        <v>5</v>
      </c>
      <c r="AX47">
        <v>29</v>
      </c>
      <c r="AY47">
        <v>88</v>
      </c>
      <c r="AZ47" s="2">
        <v>45745.204861111109</v>
      </c>
      <c r="BA47" s="31" t="s">
        <v>581</v>
      </c>
    </row>
    <row r="48" spans="1:53" x14ac:dyDescent="0.25">
      <c r="A48" t="s">
        <v>628</v>
      </c>
      <c r="B48" t="s">
        <v>629</v>
      </c>
      <c r="C48" t="s">
        <v>109</v>
      </c>
      <c r="D48" t="s">
        <v>630</v>
      </c>
      <c r="E48" t="s">
        <v>213</v>
      </c>
      <c r="F48" t="s">
        <v>213</v>
      </c>
      <c r="G48" t="s">
        <v>59</v>
      </c>
      <c r="H48" t="s">
        <v>59</v>
      </c>
      <c r="I48" t="s">
        <v>631</v>
      </c>
      <c r="J48" t="s">
        <v>426</v>
      </c>
      <c r="K48">
        <v>8</v>
      </c>
      <c r="L48" t="s">
        <v>632</v>
      </c>
      <c r="O48" t="s">
        <v>633</v>
      </c>
      <c r="P48" t="s">
        <v>634</v>
      </c>
      <c r="Q48" t="s">
        <v>635</v>
      </c>
      <c r="R48" t="s">
        <v>65</v>
      </c>
      <c r="W48" t="s">
        <v>568</v>
      </c>
      <c r="X48" t="s">
        <v>67</v>
      </c>
      <c r="Y48" t="s">
        <v>636</v>
      </c>
      <c r="Z48" t="s">
        <v>637</v>
      </c>
      <c r="AD48">
        <v>9</v>
      </c>
      <c r="AE48" s="1">
        <v>45744</v>
      </c>
      <c r="AF48" s="2">
        <v>0.85416666666666663</v>
      </c>
      <c r="AG48" s="1">
        <v>45745</v>
      </c>
      <c r="AH48" s="2">
        <v>0.41666666666666669</v>
      </c>
      <c r="AI48" s="1">
        <v>45745</v>
      </c>
      <c r="AJ48" s="2">
        <v>0.42986111111111114</v>
      </c>
      <c r="AK48">
        <v>2025</v>
      </c>
      <c r="AL48">
        <v>296</v>
      </c>
      <c r="AM48" t="s">
        <v>632</v>
      </c>
      <c r="AN48" t="s">
        <v>638</v>
      </c>
      <c r="AO48" t="s">
        <v>59</v>
      </c>
      <c r="AP48" t="s">
        <v>639</v>
      </c>
      <c r="AQ48" s="1">
        <v>45744</v>
      </c>
      <c r="AR48" s="32">
        <v>0.83333333333333337</v>
      </c>
      <c r="AS48" s="32">
        <v>0.85416666666666663</v>
      </c>
      <c r="AT48" t="s">
        <v>454</v>
      </c>
      <c r="AU48" t="s">
        <v>461</v>
      </c>
      <c r="AV48">
        <v>13</v>
      </c>
      <c r="AW48">
        <v>5</v>
      </c>
      <c r="AX48">
        <v>28</v>
      </c>
      <c r="AY48">
        <v>87</v>
      </c>
      <c r="AZ48" s="2">
        <v>45744.854166666664</v>
      </c>
      <c r="BA48" s="31" t="s">
        <v>581</v>
      </c>
    </row>
    <row r="49" spans="1:53" x14ac:dyDescent="0.25">
      <c r="A49" t="s">
        <v>589</v>
      </c>
      <c r="B49" t="s">
        <v>257</v>
      </c>
      <c r="C49" t="s">
        <v>76</v>
      </c>
      <c r="D49" t="s">
        <v>590</v>
      </c>
      <c r="E49" t="s">
        <v>132</v>
      </c>
      <c r="F49" t="s">
        <v>132</v>
      </c>
      <c r="G49" t="s">
        <v>59</v>
      </c>
      <c r="H49" t="s">
        <v>59</v>
      </c>
      <c r="I49" t="s">
        <v>591</v>
      </c>
      <c r="J49" t="s">
        <v>592</v>
      </c>
      <c r="K49">
        <v>7</v>
      </c>
      <c r="L49" t="s">
        <v>593</v>
      </c>
      <c r="W49" t="s">
        <v>568</v>
      </c>
      <c r="X49" t="s">
        <v>67</v>
      </c>
      <c r="Y49" t="s">
        <v>594</v>
      </c>
      <c r="Z49" t="s">
        <v>90</v>
      </c>
      <c r="AD49">
        <v>9</v>
      </c>
      <c r="AE49" s="1">
        <v>45747</v>
      </c>
      <c r="AF49" s="2">
        <v>0.5</v>
      </c>
      <c r="AG49" s="1"/>
      <c r="AH49" s="2"/>
      <c r="AI49" s="1">
        <v>45747</v>
      </c>
      <c r="AJ49" s="2">
        <v>0.54355324074074074</v>
      </c>
      <c r="AK49">
        <v>2025</v>
      </c>
      <c r="AL49">
        <v>100</v>
      </c>
      <c r="AM49" t="s">
        <v>593</v>
      </c>
      <c r="AO49" t="s">
        <v>595</v>
      </c>
      <c r="AP49" t="s">
        <v>596</v>
      </c>
      <c r="AQ49" s="1">
        <v>45747</v>
      </c>
      <c r="AR49" s="32">
        <v>0.5</v>
      </c>
      <c r="AS49" s="32">
        <v>0.5</v>
      </c>
      <c r="AT49" t="s">
        <v>450</v>
      </c>
      <c r="AU49" t="s">
        <v>461</v>
      </c>
      <c r="AV49">
        <v>14</v>
      </c>
      <c r="AW49">
        <v>6</v>
      </c>
      <c r="AX49">
        <v>31</v>
      </c>
      <c r="AY49">
        <v>90</v>
      </c>
      <c r="AZ49" s="2">
        <v>45747.5</v>
      </c>
      <c r="BA49" s="31" t="s">
        <v>581</v>
      </c>
    </row>
    <row r="50" spans="1:53" x14ac:dyDescent="0.25">
      <c r="A50" t="s">
        <v>705</v>
      </c>
      <c r="B50" t="s">
        <v>706</v>
      </c>
      <c r="C50" t="s">
        <v>95</v>
      </c>
      <c r="D50" t="s">
        <v>706</v>
      </c>
      <c r="E50" t="s">
        <v>707</v>
      </c>
      <c r="F50" t="s">
        <v>58</v>
      </c>
      <c r="G50" t="s">
        <v>82</v>
      </c>
      <c r="H50" t="s">
        <v>708</v>
      </c>
      <c r="I50" t="s">
        <v>709</v>
      </c>
      <c r="J50" t="s">
        <v>134</v>
      </c>
      <c r="K50">
        <v>7</v>
      </c>
      <c r="L50" t="s">
        <v>710</v>
      </c>
      <c r="O50" t="s">
        <v>711</v>
      </c>
      <c r="P50" t="s">
        <v>712</v>
      </c>
      <c r="Q50" t="s">
        <v>713</v>
      </c>
      <c r="R50" t="s">
        <v>65</v>
      </c>
      <c r="W50" t="s">
        <v>468</v>
      </c>
      <c r="X50" t="s">
        <v>67</v>
      </c>
      <c r="Y50" t="s">
        <v>714</v>
      </c>
      <c r="Z50" t="s">
        <v>90</v>
      </c>
      <c r="AD50">
        <v>9</v>
      </c>
      <c r="AE50" s="1">
        <v>45747</v>
      </c>
      <c r="AF50" s="2">
        <v>0.77777777777777779</v>
      </c>
      <c r="AG50" s="1">
        <v>45747</v>
      </c>
      <c r="AH50" s="2">
        <v>0.91666666666666663</v>
      </c>
      <c r="AI50" s="1">
        <v>45747</v>
      </c>
      <c r="AJ50" s="2">
        <v>0.93032407407407403</v>
      </c>
      <c r="AK50">
        <v>2025</v>
      </c>
      <c r="AM50" t="s">
        <v>710</v>
      </c>
      <c r="AN50" t="s">
        <v>715</v>
      </c>
      <c r="AO50" t="s">
        <v>59</v>
      </c>
      <c r="AP50" t="s">
        <v>716</v>
      </c>
      <c r="AQ50" s="1">
        <v>45747</v>
      </c>
      <c r="AR50" s="32">
        <v>0.75</v>
      </c>
      <c r="AS50" s="32">
        <v>0.77777777777777779</v>
      </c>
      <c r="AT50" t="s">
        <v>450</v>
      </c>
      <c r="AU50" t="s">
        <v>461</v>
      </c>
      <c r="AV50">
        <v>14</v>
      </c>
      <c r="AW50">
        <v>6</v>
      </c>
      <c r="AX50">
        <v>31</v>
      </c>
      <c r="AY50">
        <v>90</v>
      </c>
      <c r="AZ50" s="2">
        <v>45747.777777777781</v>
      </c>
      <c r="BA50" s="31" t="s">
        <v>581</v>
      </c>
    </row>
    <row r="51" spans="1:53" x14ac:dyDescent="0.25">
      <c r="A51" t="s">
        <v>615</v>
      </c>
      <c r="B51" t="s">
        <v>211</v>
      </c>
      <c r="C51" t="s">
        <v>109</v>
      </c>
      <c r="D51" t="s">
        <v>606</v>
      </c>
      <c r="E51" t="s">
        <v>58</v>
      </c>
      <c r="F51" t="s">
        <v>58</v>
      </c>
      <c r="G51" t="s">
        <v>59</v>
      </c>
      <c r="H51" t="s">
        <v>59</v>
      </c>
      <c r="I51" t="s">
        <v>607</v>
      </c>
      <c r="J51" t="s">
        <v>215</v>
      </c>
      <c r="K51">
        <v>9</v>
      </c>
      <c r="L51" t="s">
        <v>616</v>
      </c>
      <c r="M51">
        <v>5</v>
      </c>
      <c r="N51">
        <v>0</v>
      </c>
      <c r="O51" t="s">
        <v>617</v>
      </c>
      <c r="P51" t="s">
        <v>253</v>
      </c>
      <c r="Q51" t="s">
        <v>618</v>
      </c>
      <c r="R51" t="s">
        <v>65</v>
      </c>
      <c r="W51" t="s">
        <v>468</v>
      </c>
      <c r="X51" t="s">
        <v>67</v>
      </c>
      <c r="Y51" t="s">
        <v>611</v>
      </c>
      <c r="Z51" t="s">
        <v>612</v>
      </c>
      <c r="AA51" t="s">
        <v>160</v>
      </c>
      <c r="AB51" t="s">
        <v>123</v>
      </c>
      <c r="AC51" t="s">
        <v>613</v>
      </c>
      <c r="AD51">
        <v>9</v>
      </c>
      <c r="AE51" s="1">
        <v>45747</v>
      </c>
      <c r="AF51" s="2">
        <v>0.83333333333333337</v>
      </c>
      <c r="AG51" s="1"/>
      <c r="AH51" s="2"/>
      <c r="AI51" s="1">
        <v>45747</v>
      </c>
      <c r="AJ51" s="2">
        <v>0.99899305555555551</v>
      </c>
      <c r="AK51">
        <v>2025</v>
      </c>
      <c r="AL51">
        <v>310</v>
      </c>
      <c r="AM51" t="s">
        <v>616</v>
      </c>
      <c r="AN51" t="s">
        <v>619</v>
      </c>
      <c r="AO51" t="s">
        <v>59</v>
      </c>
      <c r="AP51" t="s">
        <v>59</v>
      </c>
      <c r="AQ51" s="1">
        <v>45747</v>
      </c>
      <c r="AR51" s="32">
        <v>0.83333333333333337</v>
      </c>
      <c r="AS51" s="32">
        <v>0.83333333333333337</v>
      </c>
      <c r="AT51" t="s">
        <v>450</v>
      </c>
      <c r="AU51" t="s">
        <v>461</v>
      </c>
      <c r="AV51">
        <v>14</v>
      </c>
      <c r="AW51">
        <v>6</v>
      </c>
      <c r="AX51">
        <v>31</v>
      </c>
      <c r="AY51">
        <v>90</v>
      </c>
      <c r="AZ51" s="2">
        <v>45747.833333333336</v>
      </c>
      <c r="BA51" s="31" t="s">
        <v>581</v>
      </c>
    </row>
    <row r="52" spans="1:53" x14ac:dyDescent="0.25">
      <c r="A52" t="s">
        <v>605</v>
      </c>
      <c r="B52" t="s">
        <v>211</v>
      </c>
      <c r="C52" t="s">
        <v>95</v>
      </c>
      <c r="D52" t="s">
        <v>606</v>
      </c>
      <c r="E52" t="s">
        <v>58</v>
      </c>
      <c r="F52" t="s">
        <v>58</v>
      </c>
      <c r="G52" t="s">
        <v>59</v>
      </c>
      <c r="H52" t="s">
        <v>59</v>
      </c>
      <c r="I52" t="s">
        <v>607</v>
      </c>
      <c r="J52" t="s">
        <v>215</v>
      </c>
      <c r="L52" t="s">
        <v>608</v>
      </c>
      <c r="M52">
        <v>2</v>
      </c>
      <c r="N52">
        <v>0</v>
      </c>
      <c r="O52" t="s">
        <v>609</v>
      </c>
      <c r="P52" t="s">
        <v>253</v>
      </c>
      <c r="Q52" t="s">
        <v>610</v>
      </c>
      <c r="R52" t="s">
        <v>65</v>
      </c>
      <c r="W52" t="s">
        <v>468</v>
      </c>
      <c r="X52" t="s">
        <v>67</v>
      </c>
      <c r="Y52" t="s">
        <v>611</v>
      </c>
      <c r="Z52" t="s">
        <v>612</v>
      </c>
      <c r="AA52" t="s">
        <v>160</v>
      </c>
      <c r="AB52" t="s">
        <v>123</v>
      </c>
      <c r="AC52" t="s">
        <v>613</v>
      </c>
      <c r="AD52">
        <v>9</v>
      </c>
      <c r="AE52" s="1">
        <v>45747</v>
      </c>
      <c r="AF52" s="2">
        <v>0.75</v>
      </c>
      <c r="AG52" s="1"/>
      <c r="AH52" s="2"/>
      <c r="AI52" s="1">
        <v>45748</v>
      </c>
      <c r="AJ52" s="2">
        <v>3.6863425925925924E-2</v>
      </c>
      <c r="AK52">
        <v>2025</v>
      </c>
      <c r="AL52">
        <v>310</v>
      </c>
      <c r="AM52" t="s">
        <v>608</v>
      </c>
      <c r="AN52" t="s">
        <v>614</v>
      </c>
      <c r="AO52" t="s">
        <v>59</v>
      </c>
      <c r="AP52" t="s">
        <v>59</v>
      </c>
      <c r="AQ52" s="1">
        <v>45747</v>
      </c>
      <c r="AR52" s="32">
        <v>0.75</v>
      </c>
      <c r="AS52" s="32">
        <v>0.75</v>
      </c>
      <c r="AT52" t="s">
        <v>450</v>
      </c>
      <c r="AU52" t="s">
        <v>461</v>
      </c>
      <c r="AV52">
        <v>14</v>
      </c>
      <c r="AW52">
        <v>6</v>
      </c>
      <c r="AX52">
        <v>31</v>
      </c>
      <c r="AY52">
        <v>90</v>
      </c>
      <c r="AZ52" s="2">
        <v>45747.75</v>
      </c>
      <c r="BA52" s="31" t="s">
        <v>581</v>
      </c>
    </row>
    <row r="53" spans="1:53" x14ac:dyDescent="0.25">
      <c r="A53" t="s">
        <v>620</v>
      </c>
      <c r="B53" t="s">
        <v>56</v>
      </c>
      <c r="C53" t="s">
        <v>109</v>
      </c>
      <c r="D53" t="s">
        <v>621</v>
      </c>
      <c r="E53" t="s">
        <v>58</v>
      </c>
      <c r="F53" t="s">
        <v>58</v>
      </c>
      <c r="G53" t="s">
        <v>59</v>
      </c>
      <c r="H53" t="s">
        <v>59</v>
      </c>
      <c r="I53" t="s">
        <v>622</v>
      </c>
      <c r="J53" t="s">
        <v>327</v>
      </c>
      <c r="K53">
        <v>7</v>
      </c>
      <c r="L53" t="s">
        <v>623</v>
      </c>
      <c r="O53" t="s">
        <v>624</v>
      </c>
      <c r="P53" t="s">
        <v>625</v>
      </c>
      <c r="Q53" t="s">
        <v>626</v>
      </c>
      <c r="R53" t="s">
        <v>65</v>
      </c>
      <c r="W53" t="s">
        <v>66</v>
      </c>
      <c r="X53" t="s">
        <v>67</v>
      </c>
      <c r="Y53" t="s">
        <v>330</v>
      </c>
      <c r="Z53" t="s">
        <v>69</v>
      </c>
      <c r="AA53" t="s">
        <v>160</v>
      </c>
      <c r="AB53" t="s">
        <v>71</v>
      </c>
      <c r="AD53">
        <v>9</v>
      </c>
      <c r="AE53" s="1">
        <v>45748</v>
      </c>
      <c r="AF53" s="2">
        <v>0.85324074074074074</v>
      </c>
      <c r="AG53" s="1"/>
      <c r="AH53" s="2"/>
      <c r="AI53" s="1">
        <v>45748</v>
      </c>
      <c r="AJ53" s="2">
        <v>0.85324074074074074</v>
      </c>
      <c r="AK53">
        <v>2025</v>
      </c>
      <c r="AL53">
        <v>77</v>
      </c>
      <c r="AM53" t="s">
        <v>623</v>
      </c>
      <c r="AN53" t="s">
        <v>627</v>
      </c>
      <c r="AO53" t="s">
        <v>59</v>
      </c>
      <c r="AP53" t="s">
        <v>59</v>
      </c>
      <c r="AQ53" s="1">
        <v>45748</v>
      </c>
      <c r="AR53" s="32">
        <v>0.83333333333333337</v>
      </c>
      <c r="AS53" s="32">
        <v>0.85324074074074074</v>
      </c>
      <c r="AT53" t="s">
        <v>451</v>
      </c>
      <c r="AU53" t="s">
        <v>598</v>
      </c>
      <c r="AV53">
        <v>14</v>
      </c>
      <c r="AW53">
        <v>1</v>
      </c>
      <c r="AX53">
        <v>1</v>
      </c>
      <c r="AY53">
        <v>91</v>
      </c>
      <c r="AZ53" s="2">
        <v>45748.852777777778</v>
      </c>
      <c r="BA53" s="31" t="s">
        <v>604</v>
      </c>
    </row>
    <row r="54" spans="1:53" x14ac:dyDescent="0.25">
      <c r="A54" t="s">
        <v>640</v>
      </c>
      <c r="B54" t="s">
        <v>641</v>
      </c>
      <c r="C54" t="s">
        <v>109</v>
      </c>
      <c r="D54" t="s">
        <v>642</v>
      </c>
      <c r="E54" t="s">
        <v>643</v>
      </c>
      <c r="F54" t="s">
        <v>644</v>
      </c>
      <c r="G54" t="s">
        <v>412</v>
      </c>
      <c r="H54" t="s">
        <v>400</v>
      </c>
      <c r="I54" t="s">
        <v>645</v>
      </c>
      <c r="J54" t="s">
        <v>101</v>
      </c>
      <c r="K54">
        <v>8</v>
      </c>
      <c r="L54" t="s">
        <v>646</v>
      </c>
      <c r="W54" t="s">
        <v>157</v>
      </c>
      <c r="X54" t="s">
        <v>67</v>
      </c>
      <c r="Y54" t="s">
        <v>647</v>
      </c>
      <c r="Z54" t="s">
        <v>351</v>
      </c>
      <c r="AA54" t="s">
        <v>352</v>
      </c>
      <c r="AB54" t="s">
        <v>418</v>
      </c>
      <c r="AD54">
        <v>9</v>
      </c>
      <c r="AE54" s="1">
        <v>45749</v>
      </c>
      <c r="AF54" s="2">
        <v>0.89930555555555558</v>
      </c>
      <c r="AG54" s="1"/>
      <c r="AH54" s="2"/>
      <c r="AI54" s="1">
        <v>45749</v>
      </c>
      <c r="AJ54" s="2">
        <v>0.90325231481481483</v>
      </c>
      <c r="AK54">
        <v>2025</v>
      </c>
      <c r="AL54">
        <v>260</v>
      </c>
      <c r="AM54" t="s">
        <v>646</v>
      </c>
      <c r="AO54" t="s">
        <v>59</v>
      </c>
      <c r="AP54" t="s">
        <v>59</v>
      </c>
      <c r="AQ54" s="1">
        <v>45749</v>
      </c>
      <c r="AR54" s="32">
        <v>0.875</v>
      </c>
      <c r="AS54" s="32">
        <v>0.89930555555555558</v>
      </c>
      <c r="AT54" t="s">
        <v>452</v>
      </c>
      <c r="AU54" t="s">
        <v>598</v>
      </c>
      <c r="AV54">
        <v>14</v>
      </c>
      <c r="AW54">
        <v>1</v>
      </c>
      <c r="AX54">
        <v>2</v>
      </c>
      <c r="AY54">
        <v>92</v>
      </c>
      <c r="AZ54" s="2">
        <v>45749.899305555555</v>
      </c>
      <c r="BA54" s="31" t="s">
        <v>604</v>
      </c>
    </row>
    <row r="55" spans="1:53" x14ac:dyDescent="0.25">
      <c r="A55" t="s">
        <v>597</v>
      </c>
      <c r="B55" t="s">
        <v>599</v>
      </c>
      <c r="C55" t="s">
        <v>76</v>
      </c>
      <c r="D55" t="s">
        <v>600</v>
      </c>
      <c r="E55" t="s">
        <v>132</v>
      </c>
      <c r="F55" t="s">
        <v>132</v>
      </c>
      <c r="G55" t="s">
        <v>59</v>
      </c>
      <c r="H55" t="s">
        <v>59</v>
      </c>
      <c r="I55" t="s">
        <v>601</v>
      </c>
      <c r="J55" t="s">
        <v>145</v>
      </c>
      <c r="K55">
        <v>5</v>
      </c>
      <c r="L55" t="s">
        <v>602</v>
      </c>
      <c r="W55" t="s">
        <v>157</v>
      </c>
      <c r="X55" t="s">
        <v>67</v>
      </c>
      <c r="Y55" t="s">
        <v>603</v>
      </c>
      <c r="Z55" t="s">
        <v>206</v>
      </c>
      <c r="AA55" t="s">
        <v>524</v>
      </c>
      <c r="AB55" t="s">
        <v>123</v>
      </c>
      <c r="AD55">
        <v>9</v>
      </c>
      <c r="AE55" s="1">
        <v>45748</v>
      </c>
      <c r="AF55" s="2">
        <v>0.5</v>
      </c>
      <c r="AG55" s="1">
        <v>45751</v>
      </c>
      <c r="AH55" s="2">
        <v>0.52083333333333337</v>
      </c>
      <c r="AI55" s="1">
        <v>45751</v>
      </c>
      <c r="AJ55" s="2">
        <v>0.54546296296296293</v>
      </c>
      <c r="AK55">
        <v>2025</v>
      </c>
      <c r="AL55">
        <v>75</v>
      </c>
      <c r="AM55" t="s">
        <v>602</v>
      </c>
      <c r="AO55" t="s">
        <v>59</v>
      </c>
      <c r="AP55" t="s">
        <v>59</v>
      </c>
      <c r="AQ55" s="1">
        <v>45748</v>
      </c>
      <c r="AR55" s="32">
        <v>0.5</v>
      </c>
      <c r="AS55" s="32">
        <v>0.5</v>
      </c>
      <c r="AT55" t="s">
        <v>451</v>
      </c>
      <c r="AU55" t="s">
        <v>598</v>
      </c>
      <c r="AV55">
        <v>14</v>
      </c>
      <c r="AW55">
        <v>1</v>
      </c>
      <c r="AX55">
        <v>1</v>
      </c>
      <c r="AY55">
        <v>91</v>
      </c>
      <c r="AZ55" s="2">
        <v>45748.5</v>
      </c>
      <c r="BA55" s="31" t="s">
        <v>604</v>
      </c>
    </row>
    <row r="56" spans="1:53" x14ac:dyDescent="0.25">
      <c r="A56" t="s">
        <v>717</v>
      </c>
      <c r="B56" t="s">
        <v>718</v>
      </c>
      <c r="C56" t="s">
        <v>172</v>
      </c>
      <c r="D56" t="s">
        <v>719</v>
      </c>
      <c r="E56" t="s">
        <v>720</v>
      </c>
      <c r="F56" t="s">
        <v>58</v>
      </c>
      <c r="G56" t="s">
        <v>361</v>
      </c>
      <c r="H56" t="s">
        <v>721</v>
      </c>
      <c r="I56" t="s">
        <v>722</v>
      </c>
      <c r="J56" t="s">
        <v>592</v>
      </c>
      <c r="K56">
        <v>7</v>
      </c>
      <c r="L56" t="s">
        <v>723</v>
      </c>
      <c r="O56" t="s">
        <v>724</v>
      </c>
      <c r="P56" t="s">
        <v>500</v>
      </c>
      <c r="Q56" t="s">
        <v>725</v>
      </c>
      <c r="R56" t="s">
        <v>65</v>
      </c>
      <c r="W56" t="s">
        <v>726</v>
      </c>
      <c r="X56" t="s">
        <v>67</v>
      </c>
      <c r="Y56" t="s">
        <v>89</v>
      </c>
      <c r="Z56" t="s">
        <v>90</v>
      </c>
      <c r="AD56">
        <v>9</v>
      </c>
      <c r="AE56" s="1">
        <v>45755</v>
      </c>
      <c r="AF56" s="2">
        <v>3.2638888888888891E-2</v>
      </c>
      <c r="AG56" s="1"/>
      <c r="AH56" s="2"/>
      <c r="AI56" s="1">
        <v>45755</v>
      </c>
      <c r="AJ56" s="2">
        <v>3.6493055555555556E-2</v>
      </c>
      <c r="AK56">
        <v>2025</v>
      </c>
      <c r="AL56">
        <v>120</v>
      </c>
      <c r="AM56" t="s">
        <v>723</v>
      </c>
      <c r="AN56" t="s">
        <v>727</v>
      </c>
      <c r="AO56" t="s">
        <v>728</v>
      </c>
      <c r="AP56" t="s">
        <v>729</v>
      </c>
      <c r="AQ56" s="1">
        <v>45755</v>
      </c>
      <c r="AR56" s="32">
        <v>0</v>
      </c>
      <c r="AS56" s="32">
        <v>3.2638888888888891E-2</v>
      </c>
      <c r="AT56" t="s">
        <v>451</v>
      </c>
      <c r="AU56" t="s">
        <v>598</v>
      </c>
      <c r="AV56">
        <v>15</v>
      </c>
      <c r="AW56">
        <v>2</v>
      </c>
      <c r="AX56">
        <v>8</v>
      </c>
      <c r="AY56">
        <v>98</v>
      </c>
      <c r="AZ56" s="2">
        <v>45755.032638888886</v>
      </c>
      <c r="BA56" s="31" t="s">
        <v>730</v>
      </c>
    </row>
    <row r="57" spans="1:53" x14ac:dyDescent="0.25">
      <c r="A57" t="s">
        <v>799</v>
      </c>
      <c r="B57" t="s">
        <v>800</v>
      </c>
      <c r="C57" t="s">
        <v>109</v>
      </c>
      <c r="D57" t="s">
        <v>801</v>
      </c>
      <c r="E57" t="s">
        <v>58</v>
      </c>
      <c r="F57" t="s">
        <v>58</v>
      </c>
      <c r="G57" t="s">
        <v>59</v>
      </c>
      <c r="H57" t="s">
        <v>59</v>
      </c>
      <c r="I57" t="s">
        <v>802</v>
      </c>
      <c r="J57" t="s">
        <v>155</v>
      </c>
      <c r="K57">
        <v>8</v>
      </c>
      <c r="L57" t="s">
        <v>803</v>
      </c>
      <c r="O57" t="s">
        <v>804</v>
      </c>
      <c r="P57" t="s">
        <v>555</v>
      </c>
      <c r="Q57" t="s">
        <v>805</v>
      </c>
      <c r="R57" t="s">
        <v>65</v>
      </c>
      <c r="W57" t="s">
        <v>416</v>
      </c>
      <c r="X57" t="s">
        <v>67</v>
      </c>
      <c r="Y57" t="s">
        <v>244</v>
      </c>
      <c r="Z57" t="s">
        <v>206</v>
      </c>
      <c r="AA57" t="s">
        <v>524</v>
      </c>
      <c r="AB57" t="s">
        <v>123</v>
      </c>
      <c r="AD57">
        <v>9</v>
      </c>
      <c r="AE57" s="1">
        <v>45756</v>
      </c>
      <c r="AF57" s="2">
        <v>0.96527777777777779</v>
      </c>
      <c r="AG57" s="1">
        <v>45756</v>
      </c>
      <c r="AH57" s="2">
        <v>0.96597222222222223</v>
      </c>
      <c r="AI57" s="1">
        <v>45757</v>
      </c>
      <c r="AJ57" s="2">
        <v>0.57611111111111113</v>
      </c>
      <c r="AK57">
        <v>2025</v>
      </c>
      <c r="AL57">
        <v>283</v>
      </c>
      <c r="AM57" t="s">
        <v>803</v>
      </c>
      <c r="AN57" t="s">
        <v>806</v>
      </c>
      <c r="AO57" t="s">
        <v>807</v>
      </c>
      <c r="AP57" t="s">
        <v>808</v>
      </c>
      <c r="AQ57" s="1">
        <v>45756</v>
      </c>
      <c r="AR57" s="32">
        <v>0.95833333333333337</v>
      </c>
      <c r="AS57" s="32">
        <v>0.96527777777777779</v>
      </c>
      <c r="AT57" t="s">
        <v>452</v>
      </c>
      <c r="AU57" t="s">
        <v>598</v>
      </c>
      <c r="AV57">
        <v>15</v>
      </c>
      <c r="AW57">
        <v>2</v>
      </c>
      <c r="AX57">
        <v>9</v>
      </c>
      <c r="AY57">
        <v>99</v>
      </c>
      <c r="AZ57" s="2">
        <v>45756.965277777781</v>
      </c>
      <c r="BA57" s="31" t="s">
        <v>730</v>
      </c>
    </row>
    <row r="58" spans="1:53" x14ac:dyDescent="0.25">
      <c r="A58" t="s">
        <v>819</v>
      </c>
      <c r="B58" t="s">
        <v>294</v>
      </c>
      <c r="C58" t="s">
        <v>76</v>
      </c>
      <c r="D58" t="s">
        <v>820</v>
      </c>
      <c r="E58" t="s">
        <v>132</v>
      </c>
      <c r="F58" t="s">
        <v>132</v>
      </c>
      <c r="G58" t="s">
        <v>59</v>
      </c>
      <c r="H58" t="s">
        <v>59</v>
      </c>
      <c r="I58" t="s">
        <v>821</v>
      </c>
      <c r="J58" t="s">
        <v>145</v>
      </c>
      <c r="K58">
        <v>5</v>
      </c>
      <c r="L58" t="s">
        <v>822</v>
      </c>
      <c r="W58" t="s">
        <v>416</v>
      </c>
      <c r="X58" t="s">
        <v>67</v>
      </c>
      <c r="Y58" t="s">
        <v>579</v>
      </c>
      <c r="Z58" t="s">
        <v>121</v>
      </c>
      <c r="AA58" t="s">
        <v>106</v>
      </c>
      <c r="AB58" t="s">
        <v>123</v>
      </c>
      <c r="AD58">
        <v>9</v>
      </c>
      <c r="AE58" s="1">
        <v>45755</v>
      </c>
      <c r="AF58" s="2">
        <v>0.5</v>
      </c>
      <c r="AG58" s="1">
        <v>45759</v>
      </c>
      <c r="AH58" s="2">
        <v>0.5</v>
      </c>
      <c r="AI58" s="1">
        <v>45755</v>
      </c>
      <c r="AJ58" s="2">
        <v>0.5269907407407407</v>
      </c>
      <c r="AK58">
        <v>2025</v>
      </c>
      <c r="AL58">
        <v>140</v>
      </c>
      <c r="AM58" t="s">
        <v>822</v>
      </c>
      <c r="AO58" t="s">
        <v>59</v>
      </c>
      <c r="AP58" t="s">
        <v>823</v>
      </c>
      <c r="AQ58" s="1">
        <v>45755</v>
      </c>
      <c r="AR58" s="32">
        <v>0.5</v>
      </c>
      <c r="AS58" s="32">
        <v>0.5</v>
      </c>
      <c r="AT58" t="s">
        <v>451</v>
      </c>
      <c r="AU58" t="s">
        <v>598</v>
      </c>
      <c r="AV58">
        <v>15</v>
      </c>
      <c r="AW58">
        <v>2</v>
      </c>
      <c r="AX58">
        <v>8</v>
      </c>
      <c r="AY58">
        <v>98</v>
      </c>
      <c r="AZ58" s="2">
        <v>45755.5</v>
      </c>
      <c r="BA58" s="31" t="s">
        <v>730</v>
      </c>
    </row>
    <row r="59" spans="1:53" x14ac:dyDescent="0.25">
      <c r="A59" t="s">
        <v>824</v>
      </c>
      <c r="B59" t="s">
        <v>825</v>
      </c>
      <c r="C59" t="s">
        <v>95</v>
      </c>
      <c r="D59" t="s">
        <v>826</v>
      </c>
      <c r="E59" t="s">
        <v>827</v>
      </c>
      <c r="F59" t="s">
        <v>58</v>
      </c>
      <c r="G59" t="s">
        <v>828</v>
      </c>
      <c r="H59" t="s">
        <v>59</v>
      </c>
      <c r="I59" t="s">
        <v>829</v>
      </c>
      <c r="J59" t="s">
        <v>134</v>
      </c>
      <c r="K59">
        <v>7</v>
      </c>
      <c r="L59" t="s">
        <v>830</v>
      </c>
      <c r="O59" t="s">
        <v>831</v>
      </c>
      <c r="P59" t="s">
        <v>63</v>
      </c>
      <c r="Q59" t="s">
        <v>218</v>
      </c>
      <c r="R59" t="s">
        <v>65</v>
      </c>
      <c r="S59" t="s">
        <v>832</v>
      </c>
      <c r="T59" t="s">
        <v>65</v>
      </c>
      <c r="U59" t="s">
        <v>117</v>
      </c>
      <c r="V59" t="s">
        <v>833</v>
      </c>
      <c r="W59" t="s">
        <v>157</v>
      </c>
      <c r="X59" t="s">
        <v>67</v>
      </c>
      <c r="Y59" t="s">
        <v>834</v>
      </c>
      <c r="Z59" t="s">
        <v>159</v>
      </c>
      <c r="AA59" t="s">
        <v>160</v>
      </c>
      <c r="AB59" t="s">
        <v>435</v>
      </c>
      <c r="AD59">
        <v>9</v>
      </c>
      <c r="AE59" s="1"/>
      <c r="AF59" s="2"/>
      <c r="AG59" s="1">
        <v>45760</v>
      </c>
      <c r="AH59" s="2">
        <v>0.6875</v>
      </c>
      <c r="AI59" s="1">
        <v>45761</v>
      </c>
      <c r="AJ59" s="2">
        <v>0.69084490740740745</v>
      </c>
      <c r="AK59">
        <v>2025</v>
      </c>
      <c r="AL59">
        <v>157</v>
      </c>
      <c r="AM59" t="s">
        <v>830</v>
      </c>
      <c r="AN59" t="s">
        <v>835</v>
      </c>
      <c r="AO59" t="s">
        <v>836</v>
      </c>
      <c r="AP59" t="s">
        <v>837</v>
      </c>
      <c r="AQ59" s="1">
        <v>45760</v>
      </c>
      <c r="AR59" s="32">
        <v>0.66666666666666663</v>
      </c>
      <c r="AS59" s="32">
        <v>0.6875</v>
      </c>
      <c r="AT59" t="s">
        <v>458</v>
      </c>
      <c r="AU59" t="s">
        <v>598</v>
      </c>
      <c r="AV59">
        <v>16</v>
      </c>
      <c r="AW59">
        <v>3</v>
      </c>
      <c r="AX59">
        <v>13</v>
      </c>
      <c r="AY59">
        <v>103</v>
      </c>
      <c r="AZ59" s="2">
        <v>45760.6875</v>
      </c>
      <c r="BA59" s="31" t="s">
        <v>730</v>
      </c>
    </row>
    <row r="60" spans="1:53" x14ac:dyDescent="0.25">
      <c r="A60" t="s">
        <v>838</v>
      </c>
      <c r="B60" t="s">
        <v>56</v>
      </c>
      <c r="C60" t="s">
        <v>95</v>
      </c>
      <c r="D60" t="s">
        <v>839</v>
      </c>
      <c r="E60" t="s">
        <v>840</v>
      </c>
      <c r="F60" t="s">
        <v>132</v>
      </c>
      <c r="G60" t="s">
        <v>841</v>
      </c>
      <c r="H60" t="s">
        <v>708</v>
      </c>
      <c r="I60" t="s">
        <v>842</v>
      </c>
      <c r="J60" t="s">
        <v>327</v>
      </c>
      <c r="K60">
        <v>7</v>
      </c>
      <c r="L60" t="s">
        <v>843</v>
      </c>
      <c r="W60" t="s">
        <v>157</v>
      </c>
      <c r="X60" t="s">
        <v>67</v>
      </c>
      <c r="Y60" t="s">
        <v>147</v>
      </c>
      <c r="Z60" t="s">
        <v>90</v>
      </c>
      <c r="AA60" t="s">
        <v>160</v>
      </c>
      <c r="AB60" t="s">
        <v>435</v>
      </c>
      <c r="AD60">
        <v>9</v>
      </c>
      <c r="AE60" s="1">
        <v>45760</v>
      </c>
      <c r="AF60" s="2">
        <v>0.78115740740740736</v>
      </c>
      <c r="AG60" s="1"/>
      <c r="AH60" s="2"/>
      <c r="AI60" s="1">
        <v>45759</v>
      </c>
      <c r="AJ60" s="2">
        <v>0.78115740740740736</v>
      </c>
      <c r="AK60">
        <v>2025</v>
      </c>
      <c r="AL60">
        <v>64</v>
      </c>
      <c r="AM60" t="s">
        <v>843</v>
      </c>
      <c r="AO60" t="s">
        <v>59</v>
      </c>
      <c r="AP60" t="s">
        <v>844</v>
      </c>
      <c r="AQ60" s="1">
        <v>45760</v>
      </c>
      <c r="AR60" s="32">
        <v>0.75</v>
      </c>
      <c r="AS60" s="32">
        <v>0.78115740740740736</v>
      </c>
      <c r="AT60" t="s">
        <v>458</v>
      </c>
      <c r="AU60" t="s">
        <v>598</v>
      </c>
      <c r="AV60">
        <v>16</v>
      </c>
      <c r="AW60">
        <v>3</v>
      </c>
      <c r="AX60">
        <v>13</v>
      </c>
      <c r="AY60">
        <v>103</v>
      </c>
      <c r="AZ60" s="2">
        <v>45760.780555555553</v>
      </c>
      <c r="BA60" s="31" t="s">
        <v>730</v>
      </c>
    </row>
    <row r="61" spans="1:53" x14ac:dyDescent="0.25">
      <c r="A61" t="s">
        <v>845</v>
      </c>
      <c r="B61" t="s">
        <v>846</v>
      </c>
      <c r="C61" t="s">
        <v>76</v>
      </c>
      <c r="D61" t="s">
        <v>847</v>
      </c>
      <c r="E61" t="s">
        <v>398</v>
      </c>
      <c r="F61" t="s">
        <v>398</v>
      </c>
      <c r="G61" t="s">
        <v>59</v>
      </c>
      <c r="H61" t="s">
        <v>59</v>
      </c>
      <c r="I61" t="s">
        <v>848</v>
      </c>
      <c r="J61" t="s">
        <v>849</v>
      </c>
      <c r="K61">
        <v>9</v>
      </c>
      <c r="L61" t="s">
        <v>850</v>
      </c>
      <c r="W61" t="s">
        <v>851</v>
      </c>
      <c r="X61" t="s">
        <v>67</v>
      </c>
      <c r="Y61" t="s">
        <v>852</v>
      </c>
      <c r="Z61" t="s">
        <v>69</v>
      </c>
      <c r="AA61" t="s">
        <v>122</v>
      </c>
      <c r="AB61" t="s">
        <v>123</v>
      </c>
      <c r="AD61">
        <v>9</v>
      </c>
      <c r="AE61" s="1">
        <v>45739</v>
      </c>
      <c r="AF61" s="2">
        <v>0.62013888888888891</v>
      </c>
      <c r="AG61" s="1">
        <v>45739</v>
      </c>
      <c r="AH61" s="2">
        <v>0.64166666666666672</v>
      </c>
      <c r="AI61" s="1">
        <v>45737</v>
      </c>
      <c r="AJ61" s="2">
        <v>0.49540509259259258</v>
      </c>
      <c r="AK61">
        <v>2025</v>
      </c>
      <c r="AL61">
        <v>2</v>
      </c>
      <c r="AM61" t="s">
        <v>850</v>
      </c>
      <c r="AO61" t="s">
        <v>853</v>
      </c>
      <c r="AP61" t="s">
        <v>854</v>
      </c>
      <c r="AQ61" s="1">
        <v>45739</v>
      </c>
      <c r="AR61" s="32">
        <v>0.58333333333333337</v>
      </c>
      <c r="AS61" s="32">
        <v>0.62013888888888891</v>
      </c>
      <c r="AT61" t="s">
        <v>458</v>
      </c>
      <c r="AU61" t="s">
        <v>461</v>
      </c>
      <c r="AV61">
        <v>13</v>
      </c>
      <c r="AW61">
        <v>5</v>
      </c>
      <c r="AX61">
        <v>23</v>
      </c>
      <c r="AY61">
        <v>82</v>
      </c>
      <c r="AZ61" s="2">
        <v>45739.620138888888</v>
      </c>
      <c r="BA61" s="31" t="s">
        <v>548</v>
      </c>
    </row>
  </sheetData>
  <conditionalFormatting sqref="A2:A61">
    <cfRule type="duplicateValues" dxfId="1" priority="1"/>
  </conditionalFormatting>
  <pageMargins left="0.7" right="0.7" top="0.75" bottom="0.75" header="0.3" footer="0.3"/>
  <tableParts count="1">
    <tablePart r:id="rId1"/>
  </tablePart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F60297-A9AE-4D69-A79A-FDFC880AA012}">
  <dimension ref="A1"/>
  <sheetViews>
    <sheetView workbookViewId="0"/>
  </sheetViews>
  <sheetFormatPr defaultRowHeight="15" x14ac:dyDescent="0.25"/>
  <sheetData>
    <row r="1" spans="1:1" x14ac:dyDescent="0.25">
      <c r="A1" t="s">
        <v>863</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8CC2F8-101A-44E9-9B65-7DA8341BA910}">
  <dimension ref="A1:V368"/>
  <sheetViews>
    <sheetView workbookViewId="0"/>
  </sheetViews>
  <sheetFormatPr defaultRowHeight="15" x14ac:dyDescent="0.25"/>
  <cols>
    <col min="1" max="1" width="7.140625" bestFit="1" customWidth="1"/>
    <col min="2" max="2" width="13.5703125" bestFit="1" customWidth="1"/>
    <col min="3" max="3" width="12.7109375" bestFit="1" customWidth="1"/>
    <col min="4" max="4" width="6.85546875" bestFit="1" customWidth="1"/>
    <col min="5" max="5" width="9" bestFit="1" customWidth="1"/>
    <col min="6" max="6" width="15.7109375" bestFit="1" customWidth="1"/>
    <col min="7" max="7" width="14.85546875" bestFit="1" customWidth="1"/>
    <col min="8" max="8" width="15.5703125" bestFit="1" customWidth="1"/>
    <col min="9" max="9" width="14.42578125" bestFit="1" customWidth="1"/>
    <col min="10" max="10" width="9.7109375" bestFit="1" customWidth="1"/>
    <col min="11" max="11" width="16.42578125" bestFit="1" customWidth="1"/>
    <col min="12" max="12" width="15.7109375" bestFit="1" customWidth="1"/>
    <col min="13" max="13" width="14.28515625" bestFit="1" customWidth="1"/>
    <col min="14" max="14" width="16.5703125" bestFit="1" customWidth="1"/>
    <col min="15" max="15" width="14.7109375" bestFit="1" customWidth="1"/>
    <col min="16" max="16" width="13.85546875" bestFit="1" customWidth="1"/>
    <col min="17" max="17" width="6.42578125" bestFit="1" customWidth="1"/>
    <col min="18" max="18" width="13.85546875" bestFit="1" customWidth="1"/>
    <col min="19" max="19" width="12.7109375" bestFit="1" customWidth="1"/>
    <col min="20" max="20" width="13.140625" bestFit="1" customWidth="1"/>
    <col min="21" max="21" width="12.28515625" bestFit="1" customWidth="1"/>
    <col min="22" max="22" width="11.85546875" bestFit="1" customWidth="1"/>
  </cols>
  <sheetData>
    <row r="1" spans="1:22" x14ac:dyDescent="0.25">
      <c r="A1" t="s">
        <v>947</v>
      </c>
      <c r="B1" t="s">
        <v>948</v>
      </c>
      <c r="C1" t="s">
        <v>949</v>
      </c>
      <c r="D1" t="s">
        <v>41</v>
      </c>
      <c r="E1" t="s">
        <v>950</v>
      </c>
      <c r="F1" t="s">
        <v>951</v>
      </c>
      <c r="G1" t="s">
        <v>952</v>
      </c>
      <c r="H1" t="s">
        <v>953</v>
      </c>
      <c r="I1" t="s">
        <v>6</v>
      </c>
      <c r="J1" t="s">
        <v>954</v>
      </c>
      <c r="K1" t="s">
        <v>955</v>
      </c>
      <c r="L1" t="s">
        <v>956</v>
      </c>
      <c r="M1" t="s">
        <v>42</v>
      </c>
      <c r="N1" t="s">
        <v>43</v>
      </c>
      <c r="O1" t="s">
        <v>957</v>
      </c>
      <c r="P1" t="s">
        <v>958</v>
      </c>
      <c r="Q1" t="s">
        <v>44</v>
      </c>
      <c r="R1" t="s">
        <v>649</v>
      </c>
      <c r="S1" t="s">
        <v>45</v>
      </c>
      <c r="T1" t="s">
        <v>959</v>
      </c>
      <c r="U1" t="s">
        <v>960</v>
      </c>
      <c r="V1" t="s">
        <v>5</v>
      </c>
    </row>
    <row r="2" spans="1:22" x14ac:dyDescent="0.25">
      <c r="A2">
        <v>45657</v>
      </c>
      <c r="B2">
        <v>45292</v>
      </c>
      <c r="C2">
        <v>45657</v>
      </c>
      <c r="D2">
        <v>2024</v>
      </c>
      <c r="E2">
        <v>12</v>
      </c>
      <c r="F2">
        <v>45627</v>
      </c>
      <c r="G2" s="1">
        <v>45657</v>
      </c>
      <c r="H2">
        <v>31</v>
      </c>
      <c r="I2" t="s">
        <v>961</v>
      </c>
      <c r="J2">
        <v>4</v>
      </c>
      <c r="K2" s="1">
        <v>45566</v>
      </c>
      <c r="L2" s="1">
        <v>45657</v>
      </c>
      <c r="M2">
        <v>53</v>
      </c>
      <c r="N2">
        <v>5</v>
      </c>
      <c r="O2" s="1">
        <v>45655</v>
      </c>
      <c r="P2" s="1">
        <v>45661</v>
      </c>
      <c r="Q2">
        <v>31</v>
      </c>
      <c r="R2">
        <v>2</v>
      </c>
      <c r="S2">
        <v>366</v>
      </c>
      <c r="T2" s="1">
        <v>45657</v>
      </c>
      <c r="U2" s="1">
        <v>45657</v>
      </c>
      <c r="V2" t="s">
        <v>940</v>
      </c>
    </row>
    <row r="3" spans="1:22" x14ac:dyDescent="0.25">
      <c r="A3">
        <v>45658</v>
      </c>
      <c r="B3">
        <v>45658</v>
      </c>
      <c r="C3">
        <v>46022</v>
      </c>
      <c r="D3">
        <v>2025</v>
      </c>
      <c r="E3">
        <v>1</v>
      </c>
      <c r="F3">
        <v>45658</v>
      </c>
      <c r="G3" s="1">
        <v>45688</v>
      </c>
      <c r="H3">
        <v>31</v>
      </c>
      <c r="I3" t="s">
        <v>55</v>
      </c>
      <c r="J3">
        <v>1</v>
      </c>
      <c r="K3" s="1">
        <v>45658</v>
      </c>
      <c r="L3" s="1">
        <v>45747</v>
      </c>
      <c r="M3">
        <v>1</v>
      </c>
      <c r="N3">
        <v>1</v>
      </c>
      <c r="O3" s="1">
        <v>45655</v>
      </c>
      <c r="P3" s="1">
        <v>45661</v>
      </c>
      <c r="Q3">
        <v>1</v>
      </c>
      <c r="R3">
        <v>3</v>
      </c>
      <c r="S3">
        <v>1</v>
      </c>
      <c r="T3" s="1">
        <v>45658</v>
      </c>
      <c r="U3" s="1">
        <v>45658</v>
      </c>
      <c r="V3" t="s">
        <v>942</v>
      </c>
    </row>
    <row r="4" spans="1:22" x14ac:dyDescent="0.25">
      <c r="A4">
        <v>45659</v>
      </c>
      <c r="B4">
        <v>45658</v>
      </c>
      <c r="C4">
        <v>46022</v>
      </c>
      <c r="D4">
        <v>2025</v>
      </c>
      <c r="E4">
        <v>1</v>
      </c>
      <c r="F4">
        <v>45658</v>
      </c>
      <c r="G4" s="1">
        <v>45688</v>
      </c>
      <c r="H4">
        <v>31</v>
      </c>
      <c r="I4" t="s">
        <v>55</v>
      </c>
      <c r="J4">
        <v>1</v>
      </c>
      <c r="K4" s="1">
        <v>45658</v>
      </c>
      <c r="L4" s="1">
        <v>45747</v>
      </c>
      <c r="M4">
        <v>1</v>
      </c>
      <c r="N4">
        <v>1</v>
      </c>
      <c r="O4" s="1">
        <v>45655</v>
      </c>
      <c r="P4" s="1">
        <v>45661</v>
      </c>
      <c r="Q4">
        <v>2</v>
      </c>
      <c r="R4">
        <v>4</v>
      </c>
      <c r="S4">
        <v>2</v>
      </c>
      <c r="T4" s="1">
        <v>45659</v>
      </c>
      <c r="U4" s="1">
        <v>45659</v>
      </c>
      <c r="V4" t="s">
        <v>943</v>
      </c>
    </row>
    <row r="5" spans="1:22" x14ac:dyDescent="0.25">
      <c r="A5">
        <v>45660</v>
      </c>
      <c r="B5">
        <v>45658</v>
      </c>
      <c r="C5">
        <v>46022</v>
      </c>
      <c r="D5">
        <v>2025</v>
      </c>
      <c r="E5">
        <v>1</v>
      </c>
      <c r="F5">
        <v>45658</v>
      </c>
      <c r="G5" s="1">
        <v>45688</v>
      </c>
      <c r="H5">
        <v>31</v>
      </c>
      <c r="I5" t="s">
        <v>55</v>
      </c>
      <c r="J5">
        <v>1</v>
      </c>
      <c r="K5" s="1">
        <v>45658</v>
      </c>
      <c r="L5" s="1">
        <v>45747</v>
      </c>
      <c r="M5">
        <v>1</v>
      </c>
      <c r="N5">
        <v>1</v>
      </c>
      <c r="O5" s="1">
        <v>45655</v>
      </c>
      <c r="P5" s="1">
        <v>45661</v>
      </c>
      <c r="Q5">
        <v>3</v>
      </c>
      <c r="R5">
        <v>5</v>
      </c>
      <c r="S5">
        <v>3</v>
      </c>
      <c r="T5" s="1">
        <v>45660</v>
      </c>
      <c r="U5" s="1">
        <v>45660</v>
      </c>
      <c r="V5" t="s">
        <v>666</v>
      </c>
    </row>
    <row r="6" spans="1:22" x14ac:dyDescent="0.25">
      <c r="A6">
        <v>45661</v>
      </c>
      <c r="B6">
        <v>45658</v>
      </c>
      <c r="C6">
        <v>46022</v>
      </c>
      <c r="D6">
        <v>2025</v>
      </c>
      <c r="E6">
        <v>1</v>
      </c>
      <c r="F6">
        <v>45658</v>
      </c>
      <c r="G6" s="1">
        <v>45688</v>
      </c>
      <c r="H6">
        <v>31</v>
      </c>
      <c r="I6" t="s">
        <v>55</v>
      </c>
      <c r="J6">
        <v>1</v>
      </c>
      <c r="K6" s="1">
        <v>45658</v>
      </c>
      <c r="L6" s="1">
        <v>45747</v>
      </c>
      <c r="M6">
        <v>1</v>
      </c>
      <c r="N6">
        <v>1</v>
      </c>
      <c r="O6" s="1">
        <v>45655</v>
      </c>
      <c r="P6" s="1">
        <v>45661</v>
      </c>
      <c r="Q6">
        <v>4</v>
      </c>
      <c r="R6">
        <v>6</v>
      </c>
      <c r="S6">
        <v>4</v>
      </c>
      <c r="T6" s="1">
        <v>45661</v>
      </c>
      <c r="U6" s="1">
        <v>45661</v>
      </c>
      <c r="V6" t="s">
        <v>944</v>
      </c>
    </row>
    <row r="7" spans="1:22" x14ac:dyDescent="0.25">
      <c r="A7">
        <v>45662</v>
      </c>
      <c r="B7">
        <v>45658</v>
      </c>
      <c r="C7">
        <v>46022</v>
      </c>
      <c r="D7">
        <v>2025</v>
      </c>
      <c r="E7">
        <v>1</v>
      </c>
      <c r="F7">
        <v>45658</v>
      </c>
      <c r="G7" s="1">
        <v>45688</v>
      </c>
      <c r="H7">
        <v>31</v>
      </c>
      <c r="I7" t="s">
        <v>55</v>
      </c>
      <c r="J7">
        <v>1</v>
      </c>
      <c r="K7" s="1">
        <v>45658</v>
      </c>
      <c r="L7" s="1">
        <v>45747</v>
      </c>
      <c r="M7">
        <v>2</v>
      </c>
      <c r="N7">
        <v>2</v>
      </c>
      <c r="O7" s="1">
        <v>45662</v>
      </c>
      <c r="P7" s="1">
        <v>45668</v>
      </c>
      <c r="Q7">
        <v>5</v>
      </c>
      <c r="R7">
        <v>0</v>
      </c>
      <c r="S7">
        <v>5</v>
      </c>
      <c r="T7" s="1">
        <v>45662</v>
      </c>
      <c r="U7" s="1">
        <v>45662</v>
      </c>
      <c r="V7" t="s">
        <v>945</v>
      </c>
    </row>
    <row r="8" spans="1:22" x14ac:dyDescent="0.25">
      <c r="A8">
        <v>45663</v>
      </c>
      <c r="B8">
        <v>45658</v>
      </c>
      <c r="C8">
        <v>46022</v>
      </c>
      <c r="D8">
        <v>2025</v>
      </c>
      <c r="E8">
        <v>1</v>
      </c>
      <c r="F8">
        <v>45658</v>
      </c>
      <c r="G8" s="1">
        <v>45688</v>
      </c>
      <c r="H8">
        <v>31</v>
      </c>
      <c r="I8" t="s">
        <v>55</v>
      </c>
      <c r="J8">
        <v>1</v>
      </c>
      <c r="K8" s="1">
        <v>45658</v>
      </c>
      <c r="L8" s="1">
        <v>45747</v>
      </c>
      <c r="M8">
        <v>2</v>
      </c>
      <c r="N8">
        <v>2</v>
      </c>
      <c r="O8" s="1">
        <v>45662</v>
      </c>
      <c r="P8" s="1">
        <v>45668</v>
      </c>
      <c r="Q8">
        <v>6</v>
      </c>
      <c r="R8">
        <v>1</v>
      </c>
      <c r="S8">
        <v>6</v>
      </c>
      <c r="T8" s="1">
        <v>45663</v>
      </c>
      <c r="U8" s="1">
        <v>45663</v>
      </c>
      <c r="V8" t="s">
        <v>941</v>
      </c>
    </row>
    <row r="9" spans="1:22" x14ac:dyDescent="0.25">
      <c r="A9">
        <v>45664</v>
      </c>
      <c r="B9">
        <v>45658</v>
      </c>
      <c r="C9">
        <v>46022</v>
      </c>
      <c r="D9">
        <v>2025</v>
      </c>
      <c r="E9">
        <v>1</v>
      </c>
      <c r="F9">
        <v>45658</v>
      </c>
      <c r="G9" s="1">
        <v>45688</v>
      </c>
      <c r="H9">
        <v>31</v>
      </c>
      <c r="I9" t="s">
        <v>55</v>
      </c>
      <c r="J9">
        <v>1</v>
      </c>
      <c r="K9" s="1">
        <v>45658</v>
      </c>
      <c r="L9" s="1">
        <v>45747</v>
      </c>
      <c r="M9">
        <v>2</v>
      </c>
      <c r="N9">
        <v>2</v>
      </c>
      <c r="O9" s="1">
        <v>45662</v>
      </c>
      <c r="P9" s="1">
        <v>45668</v>
      </c>
      <c r="Q9">
        <v>7</v>
      </c>
      <c r="R9">
        <v>2</v>
      </c>
      <c r="S9">
        <v>7</v>
      </c>
      <c r="T9" s="1">
        <v>45664</v>
      </c>
      <c r="U9" s="1">
        <v>45664</v>
      </c>
      <c r="V9" t="s">
        <v>940</v>
      </c>
    </row>
    <row r="10" spans="1:22" x14ac:dyDescent="0.25">
      <c r="A10">
        <v>45665</v>
      </c>
      <c r="B10">
        <v>45658</v>
      </c>
      <c r="C10">
        <v>46022</v>
      </c>
      <c r="D10">
        <v>2025</v>
      </c>
      <c r="E10">
        <v>1</v>
      </c>
      <c r="F10">
        <v>45658</v>
      </c>
      <c r="G10" s="1">
        <v>45688</v>
      </c>
      <c r="H10">
        <v>31</v>
      </c>
      <c r="I10" t="s">
        <v>55</v>
      </c>
      <c r="J10">
        <v>1</v>
      </c>
      <c r="K10" s="1">
        <v>45658</v>
      </c>
      <c r="L10" s="1">
        <v>45747</v>
      </c>
      <c r="M10">
        <v>2</v>
      </c>
      <c r="N10">
        <v>2</v>
      </c>
      <c r="O10" s="1">
        <v>45662</v>
      </c>
      <c r="P10" s="1">
        <v>45668</v>
      </c>
      <c r="Q10">
        <v>8</v>
      </c>
      <c r="R10">
        <v>3</v>
      </c>
      <c r="S10">
        <v>8</v>
      </c>
      <c r="T10" s="1">
        <v>45665</v>
      </c>
      <c r="U10" s="1">
        <v>45665</v>
      </c>
      <c r="V10" t="s">
        <v>942</v>
      </c>
    </row>
    <row r="11" spans="1:22" x14ac:dyDescent="0.25">
      <c r="A11">
        <v>45666</v>
      </c>
      <c r="B11">
        <v>45658</v>
      </c>
      <c r="C11">
        <v>46022</v>
      </c>
      <c r="D11">
        <v>2025</v>
      </c>
      <c r="E11">
        <v>1</v>
      </c>
      <c r="F11">
        <v>45658</v>
      </c>
      <c r="G11" s="1">
        <v>45688</v>
      </c>
      <c r="H11">
        <v>31</v>
      </c>
      <c r="I11" t="s">
        <v>55</v>
      </c>
      <c r="J11">
        <v>1</v>
      </c>
      <c r="K11" s="1">
        <v>45658</v>
      </c>
      <c r="L11" s="1">
        <v>45747</v>
      </c>
      <c r="M11">
        <v>2</v>
      </c>
      <c r="N11">
        <v>2</v>
      </c>
      <c r="O11" s="1">
        <v>45662</v>
      </c>
      <c r="P11" s="1">
        <v>45668</v>
      </c>
      <c r="Q11">
        <v>9</v>
      </c>
      <c r="R11">
        <v>4</v>
      </c>
      <c r="S11">
        <v>9</v>
      </c>
      <c r="T11" s="1">
        <v>45666</v>
      </c>
      <c r="U11" s="1">
        <v>45666</v>
      </c>
      <c r="V11" t="s">
        <v>943</v>
      </c>
    </row>
    <row r="12" spans="1:22" x14ac:dyDescent="0.25">
      <c r="A12">
        <v>45667</v>
      </c>
      <c r="B12">
        <v>45658</v>
      </c>
      <c r="C12">
        <v>46022</v>
      </c>
      <c r="D12">
        <v>2025</v>
      </c>
      <c r="E12">
        <v>1</v>
      </c>
      <c r="F12">
        <v>45658</v>
      </c>
      <c r="G12" s="1">
        <v>45688</v>
      </c>
      <c r="H12">
        <v>31</v>
      </c>
      <c r="I12" t="s">
        <v>55</v>
      </c>
      <c r="J12">
        <v>1</v>
      </c>
      <c r="K12" s="1">
        <v>45658</v>
      </c>
      <c r="L12" s="1">
        <v>45747</v>
      </c>
      <c r="M12">
        <v>2</v>
      </c>
      <c r="N12">
        <v>2</v>
      </c>
      <c r="O12" s="1">
        <v>45662</v>
      </c>
      <c r="P12" s="1">
        <v>45668</v>
      </c>
      <c r="Q12">
        <v>10</v>
      </c>
      <c r="R12">
        <v>5</v>
      </c>
      <c r="S12">
        <v>10</v>
      </c>
      <c r="T12" s="1">
        <v>45667</v>
      </c>
      <c r="U12" s="1">
        <v>45667</v>
      </c>
      <c r="V12" t="s">
        <v>666</v>
      </c>
    </row>
    <row r="13" spans="1:22" x14ac:dyDescent="0.25">
      <c r="A13">
        <v>45668</v>
      </c>
      <c r="B13">
        <v>45658</v>
      </c>
      <c r="C13">
        <v>46022</v>
      </c>
      <c r="D13">
        <v>2025</v>
      </c>
      <c r="E13">
        <v>1</v>
      </c>
      <c r="F13">
        <v>45658</v>
      </c>
      <c r="G13" s="1">
        <v>45688</v>
      </c>
      <c r="H13">
        <v>31</v>
      </c>
      <c r="I13" t="s">
        <v>55</v>
      </c>
      <c r="J13">
        <v>1</v>
      </c>
      <c r="K13" s="1">
        <v>45658</v>
      </c>
      <c r="L13" s="1">
        <v>45747</v>
      </c>
      <c r="M13">
        <v>2</v>
      </c>
      <c r="N13">
        <v>2</v>
      </c>
      <c r="O13" s="1">
        <v>45662</v>
      </c>
      <c r="P13" s="1">
        <v>45668</v>
      </c>
      <c r="Q13">
        <v>11</v>
      </c>
      <c r="R13">
        <v>6</v>
      </c>
      <c r="S13">
        <v>11</v>
      </c>
      <c r="T13" s="1">
        <v>45668</v>
      </c>
      <c r="U13" s="1">
        <v>45668</v>
      </c>
      <c r="V13" t="s">
        <v>944</v>
      </c>
    </row>
    <row r="14" spans="1:22" x14ac:dyDescent="0.25">
      <c r="A14">
        <v>45669</v>
      </c>
      <c r="B14">
        <v>45658</v>
      </c>
      <c r="C14">
        <v>46022</v>
      </c>
      <c r="D14">
        <v>2025</v>
      </c>
      <c r="E14">
        <v>1</v>
      </c>
      <c r="F14">
        <v>45658</v>
      </c>
      <c r="G14" s="1">
        <v>45688</v>
      </c>
      <c r="H14">
        <v>31</v>
      </c>
      <c r="I14" t="s">
        <v>55</v>
      </c>
      <c r="J14">
        <v>1</v>
      </c>
      <c r="K14" s="1">
        <v>45658</v>
      </c>
      <c r="L14" s="1">
        <v>45747</v>
      </c>
      <c r="M14">
        <v>3</v>
      </c>
      <c r="N14">
        <v>3</v>
      </c>
      <c r="O14" s="1">
        <v>45669</v>
      </c>
      <c r="P14" s="1">
        <v>45675</v>
      </c>
      <c r="Q14">
        <v>12</v>
      </c>
      <c r="R14">
        <v>0</v>
      </c>
      <c r="S14">
        <v>12</v>
      </c>
      <c r="T14" s="1">
        <v>45669</v>
      </c>
      <c r="U14" s="1">
        <v>45669</v>
      </c>
      <c r="V14" t="s">
        <v>945</v>
      </c>
    </row>
    <row r="15" spans="1:22" x14ac:dyDescent="0.25">
      <c r="A15">
        <v>45670</v>
      </c>
      <c r="B15">
        <v>45658</v>
      </c>
      <c r="C15">
        <v>46022</v>
      </c>
      <c r="D15">
        <v>2025</v>
      </c>
      <c r="E15">
        <v>1</v>
      </c>
      <c r="F15">
        <v>45658</v>
      </c>
      <c r="G15" s="1">
        <v>45688</v>
      </c>
      <c r="H15">
        <v>31</v>
      </c>
      <c r="I15" t="s">
        <v>55</v>
      </c>
      <c r="J15">
        <v>1</v>
      </c>
      <c r="K15" s="1">
        <v>45658</v>
      </c>
      <c r="L15" s="1">
        <v>45747</v>
      </c>
      <c r="M15">
        <v>3</v>
      </c>
      <c r="N15">
        <v>3</v>
      </c>
      <c r="O15" s="1">
        <v>45669</v>
      </c>
      <c r="P15" s="1">
        <v>45675</v>
      </c>
      <c r="Q15">
        <v>13</v>
      </c>
      <c r="R15">
        <v>1</v>
      </c>
      <c r="S15">
        <v>13</v>
      </c>
      <c r="T15" s="1">
        <v>45670</v>
      </c>
      <c r="U15" s="1">
        <v>45670</v>
      </c>
      <c r="V15" t="s">
        <v>941</v>
      </c>
    </row>
    <row r="16" spans="1:22" x14ac:dyDescent="0.25">
      <c r="A16">
        <v>45671</v>
      </c>
      <c r="B16">
        <v>45658</v>
      </c>
      <c r="C16">
        <v>46022</v>
      </c>
      <c r="D16">
        <v>2025</v>
      </c>
      <c r="E16">
        <v>1</v>
      </c>
      <c r="F16">
        <v>45658</v>
      </c>
      <c r="G16" s="1">
        <v>45688</v>
      </c>
      <c r="H16">
        <v>31</v>
      </c>
      <c r="I16" t="s">
        <v>55</v>
      </c>
      <c r="J16">
        <v>1</v>
      </c>
      <c r="K16" s="1">
        <v>45658</v>
      </c>
      <c r="L16" s="1">
        <v>45747</v>
      </c>
      <c r="M16">
        <v>3</v>
      </c>
      <c r="N16">
        <v>3</v>
      </c>
      <c r="O16" s="1">
        <v>45669</v>
      </c>
      <c r="P16" s="1">
        <v>45675</v>
      </c>
      <c r="Q16">
        <v>14</v>
      </c>
      <c r="R16">
        <v>2</v>
      </c>
      <c r="S16">
        <v>14</v>
      </c>
      <c r="T16" s="1">
        <v>45671</v>
      </c>
      <c r="U16" s="1">
        <v>45671</v>
      </c>
      <c r="V16" t="s">
        <v>940</v>
      </c>
    </row>
    <row r="17" spans="1:22" x14ac:dyDescent="0.25">
      <c r="A17">
        <v>45672</v>
      </c>
      <c r="B17">
        <v>45658</v>
      </c>
      <c r="C17">
        <v>46022</v>
      </c>
      <c r="D17">
        <v>2025</v>
      </c>
      <c r="E17">
        <v>1</v>
      </c>
      <c r="F17">
        <v>45658</v>
      </c>
      <c r="G17" s="1">
        <v>45688</v>
      </c>
      <c r="H17">
        <v>31</v>
      </c>
      <c r="I17" t="s">
        <v>55</v>
      </c>
      <c r="J17">
        <v>1</v>
      </c>
      <c r="K17" s="1">
        <v>45658</v>
      </c>
      <c r="L17" s="1">
        <v>45747</v>
      </c>
      <c r="M17">
        <v>3</v>
      </c>
      <c r="N17">
        <v>3</v>
      </c>
      <c r="O17" s="1">
        <v>45669</v>
      </c>
      <c r="P17" s="1">
        <v>45675</v>
      </c>
      <c r="Q17">
        <v>15</v>
      </c>
      <c r="R17">
        <v>3</v>
      </c>
      <c r="S17">
        <v>15</v>
      </c>
      <c r="T17" s="1">
        <v>45672</v>
      </c>
      <c r="U17" s="1">
        <v>45672</v>
      </c>
      <c r="V17" t="s">
        <v>942</v>
      </c>
    </row>
    <row r="18" spans="1:22" x14ac:dyDescent="0.25">
      <c r="A18">
        <v>45673</v>
      </c>
      <c r="B18">
        <v>45658</v>
      </c>
      <c r="C18">
        <v>46022</v>
      </c>
      <c r="D18">
        <v>2025</v>
      </c>
      <c r="E18">
        <v>1</v>
      </c>
      <c r="F18">
        <v>45658</v>
      </c>
      <c r="G18" s="1">
        <v>45688</v>
      </c>
      <c r="H18">
        <v>31</v>
      </c>
      <c r="I18" t="s">
        <v>55</v>
      </c>
      <c r="J18">
        <v>1</v>
      </c>
      <c r="K18" s="1">
        <v>45658</v>
      </c>
      <c r="L18" s="1">
        <v>45747</v>
      </c>
      <c r="M18">
        <v>3</v>
      </c>
      <c r="N18">
        <v>3</v>
      </c>
      <c r="O18" s="1">
        <v>45669</v>
      </c>
      <c r="P18" s="1">
        <v>45675</v>
      </c>
      <c r="Q18">
        <v>16</v>
      </c>
      <c r="R18">
        <v>4</v>
      </c>
      <c r="S18">
        <v>16</v>
      </c>
      <c r="T18" s="1">
        <v>45673</v>
      </c>
      <c r="U18" s="1">
        <v>45673</v>
      </c>
      <c r="V18" t="s">
        <v>943</v>
      </c>
    </row>
    <row r="19" spans="1:22" x14ac:dyDescent="0.25">
      <c r="A19">
        <v>45674</v>
      </c>
      <c r="B19">
        <v>45658</v>
      </c>
      <c r="C19">
        <v>46022</v>
      </c>
      <c r="D19">
        <v>2025</v>
      </c>
      <c r="E19">
        <v>1</v>
      </c>
      <c r="F19">
        <v>45658</v>
      </c>
      <c r="G19" s="1">
        <v>45688</v>
      </c>
      <c r="H19">
        <v>31</v>
      </c>
      <c r="I19" t="s">
        <v>55</v>
      </c>
      <c r="J19">
        <v>1</v>
      </c>
      <c r="K19" s="1">
        <v>45658</v>
      </c>
      <c r="L19" s="1">
        <v>45747</v>
      </c>
      <c r="M19">
        <v>3</v>
      </c>
      <c r="N19">
        <v>3</v>
      </c>
      <c r="O19" s="1">
        <v>45669</v>
      </c>
      <c r="P19" s="1">
        <v>45675</v>
      </c>
      <c r="Q19">
        <v>17</v>
      </c>
      <c r="R19">
        <v>5</v>
      </c>
      <c r="S19">
        <v>17</v>
      </c>
      <c r="T19" s="1">
        <v>45674</v>
      </c>
      <c r="U19" s="1">
        <v>45674</v>
      </c>
      <c r="V19" t="s">
        <v>666</v>
      </c>
    </row>
    <row r="20" spans="1:22" x14ac:dyDescent="0.25">
      <c r="A20">
        <v>45675</v>
      </c>
      <c r="B20">
        <v>45658</v>
      </c>
      <c r="C20">
        <v>46022</v>
      </c>
      <c r="D20">
        <v>2025</v>
      </c>
      <c r="E20">
        <v>1</v>
      </c>
      <c r="F20">
        <v>45658</v>
      </c>
      <c r="G20" s="1">
        <v>45688</v>
      </c>
      <c r="H20">
        <v>31</v>
      </c>
      <c r="I20" t="s">
        <v>55</v>
      </c>
      <c r="J20">
        <v>1</v>
      </c>
      <c r="K20" s="1">
        <v>45658</v>
      </c>
      <c r="L20" s="1">
        <v>45747</v>
      </c>
      <c r="M20">
        <v>3</v>
      </c>
      <c r="N20">
        <v>3</v>
      </c>
      <c r="O20" s="1">
        <v>45669</v>
      </c>
      <c r="P20" s="1">
        <v>45675</v>
      </c>
      <c r="Q20">
        <v>18</v>
      </c>
      <c r="R20">
        <v>6</v>
      </c>
      <c r="S20">
        <v>18</v>
      </c>
      <c r="T20" s="1">
        <v>45675</v>
      </c>
      <c r="U20" s="1">
        <v>45675</v>
      </c>
      <c r="V20" t="s">
        <v>944</v>
      </c>
    </row>
    <row r="21" spans="1:22" x14ac:dyDescent="0.25">
      <c r="A21">
        <v>45676</v>
      </c>
      <c r="B21">
        <v>45658</v>
      </c>
      <c r="C21">
        <v>46022</v>
      </c>
      <c r="D21">
        <v>2025</v>
      </c>
      <c r="E21">
        <v>1</v>
      </c>
      <c r="F21">
        <v>45658</v>
      </c>
      <c r="G21" s="1">
        <v>45688</v>
      </c>
      <c r="H21">
        <v>31</v>
      </c>
      <c r="I21" t="s">
        <v>55</v>
      </c>
      <c r="J21">
        <v>1</v>
      </c>
      <c r="K21" s="1">
        <v>45658</v>
      </c>
      <c r="L21" s="1">
        <v>45747</v>
      </c>
      <c r="M21">
        <v>4</v>
      </c>
      <c r="N21">
        <v>4</v>
      </c>
      <c r="O21" s="1">
        <v>45676</v>
      </c>
      <c r="P21" s="1">
        <v>45682</v>
      </c>
      <c r="Q21">
        <v>19</v>
      </c>
      <c r="R21">
        <v>0</v>
      </c>
      <c r="S21">
        <v>19</v>
      </c>
      <c r="T21" s="1">
        <v>45676</v>
      </c>
      <c r="U21" s="1">
        <v>45676</v>
      </c>
      <c r="V21" t="s">
        <v>945</v>
      </c>
    </row>
    <row r="22" spans="1:22" x14ac:dyDescent="0.25">
      <c r="A22">
        <v>45677</v>
      </c>
      <c r="B22">
        <v>45658</v>
      </c>
      <c r="C22">
        <v>46022</v>
      </c>
      <c r="D22">
        <v>2025</v>
      </c>
      <c r="E22">
        <v>1</v>
      </c>
      <c r="F22">
        <v>45658</v>
      </c>
      <c r="G22" s="1">
        <v>45688</v>
      </c>
      <c r="H22">
        <v>31</v>
      </c>
      <c r="I22" t="s">
        <v>55</v>
      </c>
      <c r="J22">
        <v>1</v>
      </c>
      <c r="K22" s="1">
        <v>45658</v>
      </c>
      <c r="L22" s="1">
        <v>45747</v>
      </c>
      <c r="M22">
        <v>4</v>
      </c>
      <c r="N22">
        <v>4</v>
      </c>
      <c r="O22" s="1">
        <v>45676</v>
      </c>
      <c r="P22" s="1">
        <v>45682</v>
      </c>
      <c r="Q22">
        <v>20</v>
      </c>
      <c r="R22">
        <v>1</v>
      </c>
      <c r="S22">
        <v>20</v>
      </c>
      <c r="T22" s="1">
        <v>45677</v>
      </c>
      <c r="U22" s="1">
        <v>45677</v>
      </c>
      <c r="V22" t="s">
        <v>941</v>
      </c>
    </row>
    <row r="23" spans="1:22" x14ac:dyDescent="0.25">
      <c r="A23">
        <v>45678</v>
      </c>
      <c r="B23">
        <v>45658</v>
      </c>
      <c r="C23">
        <v>46022</v>
      </c>
      <c r="D23">
        <v>2025</v>
      </c>
      <c r="E23">
        <v>1</v>
      </c>
      <c r="F23">
        <v>45658</v>
      </c>
      <c r="G23" s="1">
        <v>45688</v>
      </c>
      <c r="H23">
        <v>31</v>
      </c>
      <c r="I23" t="s">
        <v>55</v>
      </c>
      <c r="J23">
        <v>1</v>
      </c>
      <c r="K23" s="1">
        <v>45658</v>
      </c>
      <c r="L23" s="1">
        <v>45747</v>
      </c>
      <c r="M23">
        <v>4</v>
      </c>
      <c r="N23">
        <v>4</v>
      </c>
      <c r="O23" s="1">
        <v>45676</v>
      </c>
      <c r="P23" s="1">
        <v>45682</v>
      </c>
      <c r="Q23">
        <v>21</v>
      </c>
      <c r="R23">
        <v>2</v>
      </c>
      <c r="S23">
        <v>21</v>
      </c>
      <c r="T23" s="1">
        <v>45678</v>
      </c>
      <c r="U23" s="1">
        <v>45678</v>
      </c>
      <c r="V23" t="s">
        <v>940</v>
      </c>
    </row>
    <row r="24" spans="1:22" x14ac:dyDescent="0.25">
      <c r="A24">
        <v>45679</v>
      </c>
      <c r="B24">
        <v>45658</v>
      </c>
      <c r="C24">
        <v>46022</v>
      </c>
      <c r="D24">
        <v>2025</v>
      </c>
      <c r="E24">
        <v>1</v>
      </c>
      <c r="F24">
        <v>45658</v>
      </c>
      <c r="G24" s="1">
        <v>45688</v>
      </c>
      <c r="H24">
        <v>31</v>
      </c>
      <c r="I24" t="s">
        <v>55</v>
      </c>
      <c r="J24">
        <v>1</v>
      </c>
      <c r="K24" s="1">
        <v>45658</v>
      </c>
      <c r="L24" s="1">
        <v>45747</v>
      </c>
      <c r="M24">
        <v>4</v>
      </c>
      <c r="N24">
        <v>4</v>
      </c>
      <c r="O24" s="1">
        <v>45676</v>
      </c>
      <c r="P24" s="1">
        <v>45682</v>
      </c>
      <c r="Q24">
        <v>22</v>
      </c>
      <c r="R24">
        <v>3</v>
      </c>
      <c r="S24">
        <v>22</v>
      </c>
      <c r="T24" s="1">
        <v>45679</v>
      </c>
      <c r="U24" s="1">
        <v>45679</v>
      </c>
      <c r="V24" t="s">
        <v>942</v>
      </c>
    </row>
    <row r="25" spans="1:22" x14ac:dyDescent="0.25">
      <c r="A25">
        <v>45680</v>
      </c>
      <c r="B25">
        <v>45658</v>
      </c>
      <c r="C25">
        <v>46022</v>
      </c>
      <c r="D25">
        <v>2025</v>
      </c>
      <c r="E25">
        <v>1</v>
      </c>
      <c r="F25">
        <v>45658</v>
      </c>
      <c r="G25" s="1">
        <v>45688</v>
      </c>
      <c r="H25">
        <v>31</v>
      </c>
      <c r="I25" t="s">
        <v>55</v>
      </c>
      <c r="J25">
        <v>1</v>
      </c>
      <c r="K25" s="1">
        <v>45658</v>
      </c>
      <c r="L25" s="1">
        <v>45747</v>
      </c>
      <c r="M25">
        <v>4</v>
      </c>
      <c r="N25">
        <v>4</v>
      </c>
      <c r="O25" s="1">
        <v>45676</v>
      </c>
      <c r="P25" s="1">
        <v>45682</v>
      </c>
      <c r="Q25">
        <v>23</v>
      </c>
      <c r="R25">
        <v>4</v>
      </c>
      <c r="S25">
        <v>23</v>
      </c>
      <c r="T25" s="1">
        <v>45680</v>
      </c>
      <c r="U25" s="1">
        <v>45680</v>
      </c>
      <c r="V25" t="s">
        <v>943</v>
      </c>
    </row>
    <row r="26" spans="1:22" x14ac:dyDescent="0.25">
      <c r="A26">
        <v>45681</v>
      </c>
      <c r="B26">
        <v>45658</v>
      </c>
      <c r="C26">
        <v>46022</v>
      </c>
      <c r="D26">
        <v>2025</v>
      </c>
      <c r="E26">
        <v>1</v>
      </c>
      <c r="F26">
        <v>45658</v>
      </c>
      <c r="G26" s="1">
        <v>45688</v>
      </c>
      <c r="H26">
        <v>31</v>
      </c>
      <c r="I26" t="s">
        <v>55</v>
      </c>
      <c r="J26">
        <v>1</v>
      </c>
      <c r="K26" s="1">
        <v>45658</v>
      </c>
      <c r="L26" s="1">
        <v>45747</v>
      </c>
      <c r="M26">
        <v>4</v>
      </c>
      <c r="N26">
        <v>4</v>
      </c>
      <c r="O26" s="1">
        <v>45676</v>
      </c>
      <c r="P26" s="1">
        <v>45682</v>
      </c>
      <c r="Q26">
        <v>24</v>
      </c>
      <c r="R26">
        <v>5</v>
      </c>
      <c r="S26">
        <v>24</v>
      </c>
      <c r="T26" s="1">
        <v>45681</v>
      </c>
      <c r="U26" s="1">
        <v>45681</v>
      </c>
      <c r="V26" t="s">
        <v>666</v>
      </c>
    </row>
    <row r="27" spans="1:22" x14ac:dyDescent="0.25">
      <c r="A27">
        <v>45682</v>
      </c>
      <c r="B27">
        <v>45658</v>
      </c>
      <c r="C27">
        <v>46022</v>
      </c>
      <c r="D27">
        <v>2025</v>
      </c>
      <c r="E27">
        <v>1</v>
      </c>
      <c r="F27">
        <v>45658</v>
      </c>
      <c r="G27" s="1">
        <v>45688</v>
      </c>
      <c r="H27">
        <v>31</v>
      </c>
      <c r="I27" t="s">
        <v>55</v>
      </c>
      <c r="J27">
        <v>1</v>
      </c>
      <c r="K27" s="1">
        <v>45658</v>
      </c>
      <c r="L27" s="1">
        <v>45747</v>
      </c>
      <c r="M27">
        <v>4</v>
      </c>
      <c r="N27">
        <v>4</v>
      </c>
      <c r="O27" s="1">
        <v>45676</v>
      </c>
      <c r="P27" s="1">
        <v>45682</v>
      </c>
      <c r="Q27">
        <v>25</v>
      </c>
      <c r="R27">
        <v>6</v>
      </c>
      <c r="S27">
        <v>25</v>
      </c>
      <c r="T27" s="1">
        <v>45682</v>
      </c>
      <c r="U27" s="1">
        <v>45682</v>
      </c>
      <c r="V27" t="s">
        <v>944</v>
      </c>
    </row>
    <row r="28" spans="1:22" x14ac:dyDescent="0.25">
      <c r="A28">
        <v>45683</v>
      </c>
      <c r="B28">
        <v>45658</v>
      </c>
      <c r="C28">
        <v>46022</v>
      </c>
      <c r="D28">
        <v>2025</v>
      </c>
      <c r="E28">
        <v>1</v>
      </c>
      <c r="F28">
        <v>45658</v>
      </c>
      <c r="G28" s="1">
        <v>45688</v>
      </c>
      <c r="H28">
        <v>31</v>
      </c>
      <c r="I28" t="s">
        <v>55</v>
      </c>
      <c r="J28">
        <v>1</v>
      </c>
      <c r="K28" s="1">
        <v>45658</v>
      </c>
      <c r="L28" s="1">
        <v>45747</v>
      </c>
      <c r="M28">
        <v>5</v>
      </c>
      <c r="N28">
        <v>5</v>
      </c>
      <c r="O28" s="1">
        <v>45683</v>
      </c>
      <c r="P28" s="1">
        <v>45689</v>
      </c>
      <c r="Q28">
        <v>26</v>
      </c>
      <c r="R28">
        <v>0</v>
      </c>
      <c r="S28">
        <v>26</v>
      </c>
      <c r="T28" s="1">
        <v>45683</v>
      </c>
      <c r="U28" s="1">
        <v>45683</v>
      </c>
      <c r="V28" t="s">
        <v>945</v>
      </c>
    </row>
    <row r="29" spans="1:22" x14ac:dyDescent="0.25">
      <c r="A29">
        <v>45684</v>
      </c>
      <c r="B29">
        <v>45658</v>
      </c>
      <c r="C29">
        <v>46022</v>
      </c>
      <c r="D29">
        <v>2025</v>
      </c>
      <c r="E29">
        <v>1</v>
      </c>
      <c r="F29">
        <v>45658</v>
      </c>
      <c r="G29" s="1">
        <v>45688</v>
      </c>
      <c r="H29">
        <v>31</v>
      </c>
      <c r="I29" t="s">
        <v>55</v>
      </c>
      <c r="J29">
        <v>1</v>
      </c>
      <c r="K29" s="1">
        <v>45658</v>
      </c>
      <c r="L29" s="1">
        <v>45747</v>
      </c>
      <c r="M29">
        <v>5</v>
      </c>
      <c r="N29">
        <v>5</v>
      </c>
      <c r="O29" s="1">
        <v>45683</v>
      </c>
      <c r="P29" s="1">
        <v>45689</v>
      </c>
      <c r="Q29">
        <v>27</v>
      </c>
      <c r="R29">
        <v>1</v>
      </c>
      <c r="S29">
        <v>27</v>
      </c>
      <c r="T29" s="1">
        <v>45684</v>
      </c>
      <c r="U29" s="1">
        <v>45684</v>
      </c>
      <c r="V29" t="s">
        <v>941</v>
      </c>
    </row>
    <row r="30" spans="1:22" x14ac:dyDescent="0.25">
      <c r="A30">
        <v>45685</v>
      </c>
      <c r="B30">
        <v>45658</v>
      </c>
      <c r="C30">
        <v>46022</v>
      </c>
      <c r="D30">
        <v>2025</v>
      </c>
      <c r="E30">
        <v>1</v>
      </c>
      <c r="F30">
        <v>45658</v>
      </c>
      <c r="G30" s="1">
        <v>45688</v>
      </c>
      <c r="H30">
        <v>31</v>
      </c>
      <c r="I30" t="s">
        <v>55</v>
      </c>
      <c r="J30">
        <v>1</v>
      </c>
      <c r="K30" s="1">
        <v>45658</v>
      </c>
      <c r="L30" s="1">
        <v>45747</v>
      </c>
      <c r="M30">
        <v>5</v>
      </c>
      <c r="N30">
        <v>5</v>
      </c>
      <c r="O30" s="1">
        <v>45683</v>
      </c>
      <c r="P30" s="1">
        <v>45689</v>
      </c>
      <c r="Q30">
        <v>28</v>
      </c>
      <c r="R30">
        <v>2</v>
      </c>
      <c r="S30">
        <v>28</v>
      </c>
      <c r="T30" s="1">
        <v>45685</v>
      </c>
      <c r="U30" s="1">
        <v>45685</v>
      </c>
      <c r="V30" t="s">
        <v>940</v>
      </c>
    </row>
    <row r="31" spans="1:22" x14ac:dyDescent="0.25">
      <c r="A31">
        <v>45686</v>
      </c>
      <c r="B31">
        <v>45658</v>
      </c>
      <c r="C31">
        <v>46022</v>
      </c>
      <c r="D31">
        <v>2025</v>
      </c>
      <c r="E31">
        <v>1</v>
      </c>
      <c r="F31">
        <v>45658</v>
      </c>
      <c r="G31" s="1">
        <v>45688</v>
      </c>
      <c r="H31">
        <v>31</v>
      </c>
      <c r="I31" t="s">
        <v>55</v>
      </c>
      <c r="J31">
        <v>1</v>
      </c>
      <c r="K31" s="1">
        <v>45658</v>
      </c>
      <c r="L31" s="1">
        <v>45747</v>
      </c>
      <c r="M31">
        <v>5</v>
      </c>
      <c r="N31">
        <v>5</v>
      </c>
      <c r="O31" s="1">
        <v>45683</v>
      </c>
      <c r="P31" s="1">
        <v>45689</v>
      </c>
      <c r="Q31">
        <v>29</v>
      </c>
      <c r="R31">
        <v>3</v>
      </c>
      <c r="S31">
        <v>29</v>
      </c>
      <c r="T31" s="1">
        <v>45686</v>
      </c>
      <c r="U31" s="1">
        <v>45686</v>
      </c>
      <c r="V31" t="s">
        <v>942</v>
      </c>
    </row>
    <row r="32" spans="1:22" x14ac:dyDescent="0.25">
      <c r="A32">
        <v>45687</v>
      </c>
      <c r="B32">
        <v>45658</v>
      </c>
      <c r="C32">
        <v>46022</v>
      </c>
      <c r="D32">
        <v>2025</v>
      </c>
      <c r="E32">
        <v>1</v>
      </c>
      <c r="F32">
        <v>45658</v>
      </c>
      <c r="G32" s="1">
        <v>45688</v>
      </c>
      <c r="H32">
        <v>31</v>
      </c>
      <c r="I32" t="s">
        <v>55</v>
      </c>
      <c r="J32">
        <v>1</v>
      </c>
      <c r="K32" s="1">
        <v>45658</v>
      </c>
      <c r="L32" s="1">
        <v>45747</v>
      </c>
      <c r="M32">
        <v>5</v>
      </c>
      <c r="N32">
        <v>5</v>
      </c>
      <c r="O32" s="1">
        <v>45683</v>
      </c>
      <c r="P32" s="1">
        <v>45689</v>
      </c>
      <c r="Q32">
        <v>30</v>
      </c>
      <c r="R32">
        <v>4</v>
      </c>
      <c r="S32">
        <v>30</v>
      </c>
      <c r="T32" s="1">
        <v>45687</v>
      </c>
      <c r="U32" s="1">
        <v>45687</v>
      </c>
      <c r="V32" t="s">
        <v>943</v>
      </c>
    </row>
    <row r="33" spans="1:22" x14ac:dyDescent="0.25">
      <c r="A33">
        <v>45688</v>
      </c>
      <c r="B33">
        <v>45658</v>
      </c>
      <c r="C33">
        <v>46022</v>
      </c>
      <c r="D33">
        <v>2025</v>
      </c>
      <c r="E33">
        <v>1</v>
      </c>
      <c r="F33">
        <v>45658</v>
      </c>
      <c r="G33" s="1">
        <v>45688</v>
      </c>
      <c r="H33">
        <v>31</v>
      </c>
      <c r="I33" t="s">
        <v>55</v>
      </c>
      <c r="J33">
        <v>1</v>
      </c>
      <c r="K33" s="1">
        <v>45658</v>
      </c>
      <c r="L33" s="1">
        <v>45747</v>
      </c>
      <c r="M33">
        <v>5</v>
      </c>
      <c r="N33">
        <v>5</v>
      </c>
      <c r="O33" s="1">
        <v>45683</v>
      </c>
      <c r="P33" s="1">
        <v>45689</v>
      </c>
      <c r="Q33">
        <v>31</v>
      </c>
      <c r="R33">
        <v>5</v>
      </c>
      <c r="S33">
        <v>31</v>
      </c>
      <c r="T33" s="1">
        <v>45688</v>
      </c>
      <c r="U33" s="1">
        <v>45688</v>
      </c>
      <c r="V33" t="s">
        <v>666</v>
      </c>
    </row>
    <row r="34" spans="1:22" x14ac:dyDescent="0.25">
      <c r="A34">
        <v>45689</v>
      </c>
      <c r="B34">
        <v>45658</v>
      </c>
      <c r="C34">
        <v>46022</v>
      </c>
      <c r="D34">
        <v>2025</v>
      </c>
      <c r="E34">
        <v>2</v>
      </c>
      <c r="F34">
        <v>45689</v>
      </c>
      <c r="G34" s="1">
        <v>45716</v>
      </c>
      <c r="H34">
        <v>28</v>
      </c>
      <c r="I34" t="s">
        <v>111</v>
      </c>
      <c r="J34">
        <v>1</v>
      </c>
      <c r="K34" s="1">
        <v>45658</v>
      </c>
      <c r="L34" s="1">
        <v>45747</v>
      </c>
      <c r="M34">
        <v>5</v>
      </c>
      <c r="N34">
        <v>1</v>
      </c>
      <c r="O34" s="1">
        <v>45683</v>
      </c>
      <c r="P34" s="1">
        <v>45689</v>
      </c>
      <c r="Q34">
        <v>1</v>
      </c>
      <c r="R34">
        <v>6</v>
      </c>
      <c r="S34">
        <v>32</v>
      </c>
      <c r="T34" s="1">
        <v>45689</v>
      </c>
      <c r="U34" s="1">
        <v>45689</v>
      </c>
      <c r="V34" t="s">
        <v>944</v>
      </c>
    </row>
    <row r="35" spans="1:22" x14ac:dyDescent="0.25">
      <c r="A35">
        <v>45690</v>
      </c>
      <c r="B35">
        <v>45658</v>
      </c>
      <c r="C35">
        <v>46022</v>
      </c>
      <c r="D35">
        <v>2025</v>
      </c>
      <c r="E35">
        <v>2</v>
      </c>
      <c r="F35">
        <v>45689</v>
      </c>
      <c r="G35" s="1">
        <v>45716</v>
      </c>
      <c r="H35">
        <v>28</v>
      </c>
      <c r="I35" t="s">
        <v>111</v>
      </c>
      <c r="J35">
        <v>1</v>
      </c>
      <c r="K35" s="1">
        <v>45658</v>
      </c>
      <c r="L35" s="1">
        <v>45747</v>
      </c>
      <c r="M35">
        <v>6</v>
      </c>
      <c r="N35">
        <v>2</v>
      </c>
      <c r="O35" s="1">
        <v>45690</v>
      </c>
      <c r="P35" s="1">
        <v>45696</v>
      </c>
      <c r="Q35">
        <v>2</v>
      </c>
      <c r="R35">
        <v>0</v>
      </c>
      <c r="S35">
        <v>33</v>
      </c>
      <c r="T35" s="1">
        <v>45690</v>
      </c>
      <c r="U35" s="1">
        <v>45690</v>
      </c>
      <c r="V35" t="s">
        <v>945</v>
      </c>
    </row>
    <row r="36" spans="1:22" x14ac:dyDescent="0.25">
      <c r="A36">
        <v>45691</v>
      </c>
      <c r="B36">
        <v>45658</v>
      </c>
      <c r="C36">
        <v>46022</v>
      </c>
      <c r="D36">
        <v>2025</v>
      </c>
      <c r="E36">
        <v>2</v>
      </c>
      <c r="F36">
        <v>45689</v>
      </c>
      <c r="G36" s="1">
        <v>45716</v>
      </c>
      <c r="H36">
        <v>28</v>
      </c>
      <c r="I36" t="s">
        <v>111</v>
      </c>
      <c r="J36">
        <v>1</v>
      </c>
      <c r="K36" s="1">
        <v>45658</v>
      </c>
      <c r="L36" s="1">
        <v>45747</v>
      </c>
      <c r="M36">
        <v>6</v>
      </c>
      <c r="N36">
        <v>2</v>
      </c>
      <c r="O36" s="1">
        <v>45690</v>
      </c>
      <c r="P36" s="1">
        <v>45696</v>
      </c>
      <c r="Q36">
        <v>3</v>
      </c>
      <c r="R36">
        <v>1</v>
      </c>
      <c r="S36">
        <v>34</v>
      </c>
      <c r="T36" s="1">
        <v>45691</v>
      </c>
      <c r="U36" s="1">
        <v>45691</v>
      </c>
      <c r="V36" t="s">
        <v>941</v>
      </c>
    </row>
    <row r="37" spans="1:22" x14ac:dyDescent="0.25">
      <c r="A37">
        <v>45692</v>
      </c>
      <c r="B37">
        <v>45658</v>
      </c>
      <c r="C37">
        <v>46022</v>
      </c>
      <c r="D37">
        <v>2025</v>
      </c>
      <c r="E37">
        <v>2</v>
      </c>
      <c r="F37">
        <v>45689</v>
      </c>
      <c r="G37" s="1">
        <v>45716</v>
      </c>
      <c r="H37">
        <v>28</v>
      </c>
      <c r="I37" t="s">
        <v>111</v>
      </c>
      <c r="J37">
        <v>1</v>
      </c>
      <c r="K37" s="1">
        <v>45658</v>
      </c>
      <c r="L37" s="1">
        <v>45747</v>
      </c>
      <c r="M37">
        <v>6</v>
      </c>
      <c r="N37">
        <v>2</v>
      </c>
      <c r="O37" s="1">
        <v>45690</v>
      </c>
      <c r="P37" s="1">
        <v>45696</v>
      </c>
      <c r="Q37">
        <v>4</v>
      </c>
      <c r="R37">
        <v>2</v>
      </c>
      <c r="S37">
        <v>35</v>
      </c>
      <c r="T37" s="1">
        <v>45692</v>
      </c>
      <c r="U37" s="1">
        <v>45692</v>
      </c>
      <c r="V37" t="s">
        <v>940</v>
      </c>
    </row>
    <row r="38" spans="1:22" x14ac:dyDescent="0.25">
      <c r="A38">
        <v>45693</v>
      </c>
      <c r="B38">
        <v>45658</v>
      </c>
      <c r="C38">
        <v>46022</v>
      </c>
      <c r="D38">
        <v>2025</v>
      </c>
      <c r="E38">
        <v>2</v>
      </c>
      <c r="F38">
        <v>45689</v>
      </c>
      <c r="G38" s="1">
        <v>45716</v>
      </c>
      <c r="H38">
        <v>28</v>
      </c>
      <c r="I38" t="s">
        <v>111</v>
      </c>
      <c r="J38">
        <v>1</v>
      </c>
      <c r="K38" s="1">
        <v>45658</v>
      </c>
      <c r="L38" s="1">
        <v>45747</v>
      </c>
      <c r="M38">
        <v>6</v>
      </c>
      <c r="N38">
        <v>2</v>
      </c>
      <c r="O38" s="1">
        <v>45690</v>
      </c>
      <c r="P38" s="1">
        <v>45696</v>
      </c>
      <c r="Q38">
        <v>5</v>
      </c>
      <c r="R38">
        <v>3</v>
      </c>
      <c r="S38">
        <v>36</v>
      </c>
      <c r="T38" s="1">
        <v>45693</v>
      </c>
      <c r="U38" s="1">
        <v>45693</v>
      </c>
      <c r="V38" t="s">
        <v>942</v>
      </c>
    </row>
    <row r="39" spans="1:22" x14ac:dyDescent="0.25">
      <c r="A39">
        <v>45694</v>
      </c>
      <c r="B39">
        <v>45658</v>
      </c>
      <c r="C39">
        <v>46022</v>
      </c>
      <c r="D39">
        <v>2025</v>
      </c>
      <c r="E39">
        <v>2</v>
      </c>
      <c r="F39">
        <v>45689</v>
      </c>
      <c r="G39" s="1">
        <v>45716</v>
      </c>
      <c r="H39">
        <v>28</v>
      </c>
      <c r="I39" t="s">
        <v>111</v>
      </c>
      <c r="J39">
        <v>1</v>
      </c>
      <c r="K39" s="1">
        <v>45658</v>
      </c>
      <c r="L39" s="1">
        <v>45747</v>
      </c>
      <c r="M39">
        <v>6</v>
      </c>
      <c r="N39">
        <v>2</v>
      </c>
      <c r="O39" s="1">
        <v>45690</v>
      </c>
      <c r="P39" s="1">
        <v>45696</v>
      </c>
      <c r="Q39">
        <v>6</v>
      </c>
      <c r="R39">
        <v>4</v>
      </c>
      <c r="S39">
        <v>37</v>
      </c>
      <c r="T39" s="1">
        <v>45694</v>
      </c>
      <c r="U39" s="1">
        <v>45694</v>
      </c>
      <c r="V39" t="s">
        <v>943</v>
      </c>
    </row>
    <row r="40" spans="1:22" x14ac:dyDescent="0.25">
      <c r="A40">
        <v>45695</v>
      </c>
      <c r="B40">
        <v>45658</v>
      </c>
      <c r="C40">
        <v>46022</v>
      </c>
      <c r="D40">
        <v>2025</v>
      </c>
      <c r="E40">
        <v>2</v>
      </c>
      <c r="F40">
        <v>45689</v>
      </c>
      <c r="G40" s="1">
        <v>45716</v>
      </c>
      <c r="H40">
        <v>28</v>
      </c>
      <c r="I40" t="s">
        <v>111</v>
      </c>
      <c r="J40">
        <v>1</v>
      </c>
      <c r="K40" s="1">
        <v>45658</v>
      </c>
      <c r="L40" s="1">
        <v>45747</v>
      </c>
      <c r="M40">
        <v>6</v>
      </c>
      <c r="N40">
        <v>2</v>
      </c>
      <c r="O40" s="1">
        <v>45690</v>
      </c>
      <c r="P40" s="1">
        <v>45696</v>
      </c>
      <c r="Q40">
        <v>7</v>
      </c>
      <c r="R40">
        <v>5</v>
      </c>
      <c r="S40">
        <v>38</v>
      </c>
      <c r="T40" s="1">
        <v>45695</v>
      </c>
      <c r="U40" s="1">
        <v>45695</v>
      </c>
      <c r="V40" t="s">
        <v>666</v>
      </c>
    </row>
    <row r="41" spans="1:22" x14ac:dyDescent="0.25">
      <c r="A41">
        <v>45696</v>
      </c>
      <c r="B41">
        <v>45658</v>
      </c>
      <c r="C41">
        <v>46022</v>
      </c>
      <c r="D41">
        <v>2025</v>
      </c>
      <c r="E41">
        <v>2</v>
      </c>
      <c r="F41">
        <v>45689</v>
      </c>
      <c r="G41" s="1">
        <v>45716</v>
      </c>
      <c r="H41">
        <v>28</v>
      </c>
      <c r="I41" t="s">
        <v>111</v>
      </c>
      <c r="J41">
        <v>1</v>
      </c>
      <c r="K41" s="1">
        <v>45658</v>
      </c>
      <c r="L41" s="1">
        <v>45747</v>
      </c>
      <c r="M41">
        <v>6</v>
      </c>
      <c r="N41">
        <v>2</v>
      </c>
      <c r="O41" s="1">
        <v>45690</v>
      </c>
      <c r="P41" s="1">
        <v>45696</v>
      </c>
      <c r="Q41">
        <v>8</v>
      </c>
      <c r="R41">
        <v>6</v>
      </c>
      <c r="S41">
        <v>39</v>
      </c>
      <c r="T41" s="1">
        <v>45696</v>
      </c>
      <c r="U41" s="1">
        <v>45696</v>
      </c>
      <c r="V41" t="s">
        <v>944</v>
      </c>
    </row>
    <row r="42" spans="1:22" x14ac:dyDescent="0.25">
      <c r="A42">
        <v>45697</v>
      </c>
      <c r="B42">
        <v>45658</v>
      </c>
      <c r="C42">
        <v>46022</v>
      </c>
      <c r="D42">
        <v>2025</v>
      </c>
      <c r="E42">
        <v>2</v>
      </c>
      <c r="F42">
        <v>45689</v>
      </c>
      <c r="G42" s="1">
        <v>45716</v>
      </c>
      <c r="H42">
        <v>28</v>
      </c>
      <c r="I42" t="s">
        <v>111</v>
      </c>
      <c r="J42">
        <v>1</v>
      </c>
      <c r="K42" s="1">
        <v>45658</v>
      </c>
      <c r="L42" s="1">
        <v>45747</v>
      </c>
      <c r="M42">
        <v>7</v>
      </c>
      <c r="N42">
        <v>3</v>
      </c>
      <c r="O42" s="1">
        <v>45697</v>
      </c>
      <c r="P42" s="1">
        <v>45703</v>
      </c>
      <c r="Q42">
        <v>9</v>
      </c>
      <c r="R42">
        <v>0</v>
      </c>
      <c r="S42">
        <v>40</v>
      </c>
      <c r="T42" s="1">
        <v>45697</v>
      </c>
      <c r="U42" s="1">
        <v>45697</v>
      </c>
      <c r="V42" t="s">
        <v>945</v>
      </c>
    </row>
    <row r="43" spans="1:22" x14ac:dyDescent="0.25">
      <c r="A43">
        <v>45698</v>
      </c>
      <c r="B43">
        <v>45658</v>
      </c>
      <c r="C43">
        <v>46022</v>
      </c>
      <c r="D43">
        <v>2025</v>
      </c>
      <c r="E43">
        <v>2</v>
      </c>
      <c r="F43">
        <v>45689</v>
      </c>
      <c r="G43" s="1">
        <v>45716</v>
      </c>
      <c r="H43">
        <v>28</v>
      </c>
      <c r="I43" t="s">
        <v>111</v>
      </c>
      <c r="J43">
        <v>1</v>
      </c>
      <c r="K43" s="1">
        <v>45658</v>
      </c>
      <c r="L43" s="1">
        <v>45747</v>
      </c>
      <c r="M43">
        <v>7</v>
      </c>
      <c r="N43">
        <v>3</v>
      </c>
      <c r="O43" s="1">
        <v>45697</v>
      </c>
      <c r="P43" s="1">
        <v>45703</v>
      </c>
      <c r="Q43">
        <v>10</v>
      </c>
      <c r="R43">
        <v>1</v>
      </c>
      <c r="S43">
        <v>41</v>
      </c>
      <c r="T43" s="1">
        <v>45698</v>
      </c>
      <c r="U43" s="1">
        <v>45698</v>
      </c>
      <c r="V43" t="s">
        <v>941</v>
      </c>
    </row>
    <row r="44" spans="1:22" x14ac:dyDescent="0.25">
      <c r="A44">
        <v>45699</v>
      </c>
      <c r="B44">
        <v>45658</v>
      </c>
      <c r="C44">
        <v>46022</v>
      </c>
      <c r="D44">
        <v>2025</v>
      </c>
      <c r="E44">
        <v>2</v>
      </c>
      <c r="F44">
        <v>45689</v>
      </c>
      <c r="G44" s="1">
        <v>45716</v>
      </c>
      <c r="H44">
        <v>28</v>
      </c>
      <c r="I44" t="s">
        <v>111</v>
      </c>
      <c r="J44">
        <v>1</v>
      </c>
      <c r="K44" s="1">
        <v>45658</v>
      </c>
      <c r="L44" s="1">
        <v>45747</v>
      </c>
      <c r="M44">
        <v>7</v>
      </c>
      <c r="N44">
        <v>3</v>
      </c>
      <c r="O44" s="1">
        <v>45697</v>
      </c>
      <c r="P44" s="1">
        <v>45703</v>
      </c>
      <c r="Q44">
        <v>11</v>
      </c>
      <c r="R44">
        <v>2</v>
      </c>
      <c r="S44">
        <v>42</v>
      </c>
      <c r="T44" s="1">
        <v>45699</v>
      </c>
      <c r="U44" s="1">
        <v>45699</v>
      </c>
      <c r="V44" t="s">
        <v>940</v>
      </c>
    </row>
    <row r="45" spans="1:22" x14ac:dyDescent="0.25">
      <c r="A45">
        <v>45700</v>
      </c>
      <c r="B45">
        <v>45658</v>
      </c>
      <c r="C45">
        <v>46022</v>
      </c>
      <c r="D45">
        <v>2025</v>
      </c>
      <c r="E45">
        <v>2</v>
      </c>
      <c r="F45">
        <v>45689</v>
      </c>
      <c r="G45" s="1">
        <v>45716</v>
      </c>
      <c r="H45">
        <v>28</v>
      </c>
      <c r="I45" t="s">
        <v>111</v>
      </c>
      <c r="J45">
        <v>1</v>
      </c>
      <c r="K45" s="1">
        <v>45658</v>
      </c>
      <c r="L45" s="1">
        <v>45747</v>
      </c>
      <c r="M45">
        <v>7</v>
      </c>
      <c r="N45">
        <v>3</v>
      </c>
      <c r="O45" s="1">
        <v>45697</v>
      </c>
      <c r="P45" s="1">
        <v>45703</v>
      </c>
      <c r="Q45">
        <v>12</v>
      </c>
      <c r="R45">
        <v>3</v>
      </c>
      <c r="S45">
        <v>43</v>
      </c>
      <c r="T45" s="1">
        <v>45700</v>
      </c>
      <c r="U45" s="1">
        <v>45700</v>
      </c>
      <c r="V45" t="s">
        <v>942</v>
      </c>
    </row>
    <row r="46" spans="1:22" x14ac:dyDescent="0.25">
      <c r="A46">
        <v>45701</v>
      </c>
      <c r="B46">
        <v>45658</v>
      </c>
      <c r="C46">
        <v>46022</v>
      </c>
      <c r="D46">
        <v>2025</v>
      </c>
      <c r="E46">
        <v>2</v>
      </c>
      <c r="F46">
        <v>45689</v>
      </c>
      <c r="G46" s="1">
        <v>45716</v>
      </c>
      <c r="H46">
        <v>28</v>
      </c>
      <c r="I46" t="s">
        <v>111</v>
      </c>
      <c r="J46">
        <v>1</v>
      </c>
      <c r="K46" s="1">
        <v>45658</v>
      </c>
      <c r="L46" s="1">
        <v>45747</v>
      </c>
      <c r="M46">
        <v>7</v>
      </c>
      <c r="N46">
        <v>3</v>
      </c>
      <c r="O46" s="1">
        <v>45697</v>
      </c>
      <c r="P46" s="1">
        <v>45703</v>
      </c>
      <c r="Q46">
        <v>13</v>
      </c>
      <c r="R46">
        <v>4</v>
      </c>
      <c r="S46">
        <v>44</v>
      </c>
      <c r="T46" s="1">
        <v>45701</v>
      </c>
      <c r="U46" s="1">
        <v>45701</v>
      </c>
      <c r="V46" t="s">
        <v>943</v>
      </c>
    </row>
    <row r="47" spans="1:22" x14ac:dyDescent="0.25">
      <c r="A47">
        <v>45702</v>
      </c>
      <c r="B47">
        <v>45658</v>
      </c>
      <c r="C47">
        <v>46022</v>
      </c>
      <c r="D47">
        <v>2025</v>
      </c>
      <c r="E47">
        <v>2</v>
      </c>
      <c r="F47">
        <v>45689</v>
      </c>
      <c r="G47" s="1">
        <v>45716</v>
      </c>
      <c r="H47">
        <v>28</v>
      </c>
      <c r="I47" t="s">
        <v>111</v>
      </c>
      <c r="J47">
        <v>1</v>
      </c>
      <c r="K47" s="1">
        <v>45658</v>
      </c>
      <c r="L47" s="1">
        <v>45747</v>
      </c>
      <c r="M47">
        <v>7</v>
      </c>
      <c r="N47">
        <v>3</v>
      </c>
      <c r="O47" s="1">
        <v>45697</v>
      </c>
      <c r="P47" s="1">
        <v>45703</v>
      </c>
      <c r="Q47">
        <v>14</v>
      </c>
      <c r="R47">
        <v>5</v>
      </c>
      <c r="S47">
        <v>45</v>
      </c>
      <c r="T47" s="1">
        <v>45702</v>
      </c>
      <c r="U47" s="1">
        <v>45702</v>
      </c>
      <c r="V47" t="s">
        <v>666</v>
      </c>
    </row>
    <row r="48" spans="1:22" x14ac:dyDescent="0.25">
      <c r="A48">
        <v>45703</v>
      </c>
      <c r="B48">
        <v>45658</v>
      </c>
      <c r="C48">
        <v>46022</v>
      </c>
      <c r="D48">
        <v>2025</v>
      </c>
      <c r="E48">
        <v>2</v>
      </c>
      <c r="F48">
        <v>45689</v>
      </c>
      <c r="G48" s="1">
        <v>45716</v>
      </c>
      <c r="H48">
        <v>28</v>
      </c>
      <c r="I48" t="s">
        <v>111</v>
      </c>
      <c r="J48">
        <v>1</v>
      </c>
      <c r="K48" s="1">
        <v>45658</v>
      </c>
      <c r="L48" s="1">
        <v>45747</v>
      </c>
      <c r="M48">
        <v>7</v>
      </c>
      <c r="N48">
        <v>3</v>
      </c>
      <c r="O48" s="1">
        <v>45697</v>
      </c>
      <c r="P48" s="1">
        <v>45703</v>
      </c>
      <c r="Q48">
        <v>15</v>
      </c>
      <c r="R48">
        <v>6</v>
      </c>
      <c r="S48">
        <v>46</v>
      </c>
      <c r="T48" s="1">
        <v>45703</v>
      </c>
      <c r="U48" s="1">
        <v>45703</v>
      </c>
      <c r="V48" t="s">
        <v>944</v>
      </c>
    </row>
    <row r="49" spans="1:22" x14ac:dyDescent="0.25">
      <c r="A49">
        <v>45704</v>
      </c>
      <c r="B49">
        <v>45658</v>
      </c>
      <c r="C49">
        <v>46022</v>
      </c>
      <c r="D49">
        <v>2025</v>
      </c>
      <c r="E49">
        <v>2</v>
      </c>
      <c r="F49">
        <v>45689</v>
      </c>
      <c r="G49" s="1">
        <v>45716</v>
      </c>
      <c r="H49">
        <v>28</v>
      </c>
      <c r="I49" t="s">
        <v>111</v>
      </c>
      <c r="J49">
        <v>1</v>
      </c>
      <c r="K49" s="1">
        <v>45658</v>
      </c>
      <c r="L49" s="1">
        <v>45747</v>
      </c>
      <c r="M49">
        <v>8</v>
      </c>
      <c r="N49">
        <v>4</v>
      </c>
      <c r="O49" s="1">
        <v>45704</v>
      </c>
      <c r="P49" s="1">
        <v>45710</v>
      </c>
      <c r="Q49">
        <v>16</v>
      </c>
      <c r="R49">
        <v>0</v>
      </c>
      <c r="S49">
        <v>47</v>
      </c>
      <c r="T49" s="1">
        <v>45704</v>
      </c>
      <c r="U49" s="1">
        <v>45704</v>
      </c>
      <c r="V49" t="s">
        <v>945</v>
      </c>
    </row>
    <row r="50" spans="1:22" x14ac:dyDescent="0.25">
      <c r="A50">
        <v>45705</v>
      </c>
      <c r="B50">
        <v>45658</v>
      </c>
      <c r="C50">
        <v>46022</v>
      </c>
      <c r="D50">
        <v>2025</v>
      </c>
      <c r="E50">
        <v>2</v>
      </c>
      <c r="F50">
        <v>45689</v>
      </c>
      <c r="G50" s="1">
        <v>45716</v>
      </c>
      <c r="H50">
        <v>28</v>
      </c>
      <c r="I50" t="s">
        <v>111</v>
      </c>
      <c r="J50">
        <v>1</v>
      </c>
      <c r="K50" s="1">
        <v>45658</v>
      </c>
      <c r="L50" s="1">
        <v>45747</v>
      </c>
      <c r="M50">
        <v>8</v>
      </c>
      <c r="N50">
        <v>4</v>
      </c>
      <c r="O50" s="1">
        <v>45704</v>
      </c>
      <c r="P50" s="1">
        <v>45710</v>
      </c>
      <c r="Q50">
        <v>17</v>
      </c>
      <c r="R50">
        <v>1</v>
      </c>
      <c r="S50">
        <v>48</v>
      </c>
      <c r="T50" s="1">
        <v>45705</v>
      </c>
      <c r="U50" s="1">
        <v>45705</v>
      </c>
      <c r="V50" t="s">
        <v>941</v>
      </c>
    </row>
    <row r="51" spans="1:22" x14ac:dyDescent="0.25">
      <c r="A51">
        <v>45706</v>
      </c>
      <c r="B51">
        <v>45658</v>
      </c>
      <c r="C51">
        <v>46022</v>
      </c>
      <c r="D51">
        <v>2025</v>
      </c>
      <c r="E51">
        <v>2</v>
      </c>
      <c r="F51">
        <v>45689</v>
      </c>
      <c r="G51" s="1">
        <v>45716</v>
      </c>
      <c r="H51">
        <v>28</v>
      </c>
      <c r="I51" t="s">
        <v>111</v>
      </c>
      <c r="J51">
        <v>1</v>
      </c>
      <c r="K51" s="1">
        <v>45658</v>
      </c>
      <c r="L51" s="1">
        <v>45747</v>
      </c>
      <c r="M51">
        <v>8</v>
      </c>
      <c r="N51">
        <v>4</v>
      </c>
      <c r="O51" s="1">
        <v>45704</v>
      </c>
      <c r="P51" s="1">
        <v>45710</v>
      </c>
      <c r="Q51">
        <v>18</v>
      </c>
      <c r="R51">
        <v>2</v>
      </c>
      <c r="S51">
        <v>49</v>
      </c>
      <c r="T51" s="1">
        <v>45706</v>
      </c>
      <c r="U51" s="1">
        <v>45706</v>
      </c>
      <c r="V51" t="s">
        <v>940</v>
      </c>
    </row>
    <row r="52" spans="1:22" x14ac:dyDescent="0.25">
      <c r="A52">
        <v>45707</v>
      </c>
      <c r="B52">
        <v>45658</v>
      </c>
      <c r="C52">
        <v>46022</v>
      </c>
      <c r="D52">
        <v>2025</v>
      </c>
      <c r="E52">
        <v>2</v>
      </c>
      <c r="F52">
        <v>45689</v>
      </c>
      <c r="G52" s="1">
        <v>45716</v>
      </c>
      <c r="H52">
        <v>28</v>
      </c>
      <c r="I52" t="s">
        <v>111</v>
      </c>
      <c r="J52">
        <v>1</v>
      </c>
      <c r="K52" s="1">
        <v>45658</v>
      </c>
      <c r="L52" s="1">
        <v>45747</v>
      </c>
      <c r="M52">
        <v>8</v>
      </c>
      <c r="N52">
        <v>4</v>
      </c>
      <c r="O52" s="1">
        <v>45704</v>
      </c>
      <c r="P52" s="1">
        <v>45710</v>
      </c>
      <c r="Q52">
        <v>19</v>
      </c>
      <c r="R52">
        <v>3</v>
      </c>
      <c r="S52">
        <v>50</v>
      </c>
      <c r="T52" s="1">
        <v>45707</v>
      </c>
      <c r="U52" s="1">
        <v>45707</v>
      </c>
      <c r="V52" t="s">
        <v>942</v>
      </c>
    </row>
    <row r="53" spans="1:22" x14ac:dyDescent="0.25">
      <c r="A53">
        <v>45708</v>
      </c>
      <c r="B53">
        <v>45658</v>
      </c>
      <c r="C53">
        <v>46022</v>
      </c>
      <c r="D53">
        <v>2025</v>
      </c>
      <c r="E53">
        <v>2</v>
      </c>
      <c r="F53">
        <v>45689</v>
      </c>
      <c r="G53" s="1">
        <v>45716</v>
      </c>
      <c r="H53">
        <v>28</v>
      </c>
      <c r="I53" t="s">
        <v>111</v>
      </c>
      <c r="J53">
        <v>1</v>
      </c>
      <c r="K53" s="1">
        <v>45658</v>
      </c>
      <c r="L53" s="1">
        <v>45747</v>
      </c>
      <c r="M53">
        <v>8</v>
      </c>
      <c r="N53">
        <v>4</v>
      </c>
      <c r="O53" s="1">
        <v>45704</v>
      </c>
      <c r="P53" s="1">
        <v>45710</v>
      </c>
      <c r="Q53">
        <v>20</v>
      </c>
      <c r="R53">
        <v>4</v>
      </c>
      <c r="S53">
        <v>51</v>
      </c>
      <c r="T53" s="1">
        <v>45708</v>
      </c>
      <c r="U53" s="1">
        <v>45708</v>
      </c>
      <c r="V53" t="s">
        <v>943</v>
      </c>
    </row>
    <row r="54" spans="1:22" x14ac:dyDescent="0.25">
      <c r="A54">
        <v>45709</v>
      </c>
      <c r="B54">
        <v>45658</v>
      </c>
      <c r="C54">
        <v>46022</v>
      </c>
      <c r="D54">
        <v>2025</v>
      </c>
      <c r="E54">
        <v>2</v>
      </c>
      <c r="F54">
        <v>45689</v>
      </c>
      <c r="G54" s="1">
        <v>45716</v>
      </c>
      <c r="H54">
        <v>28</v>
      </c>
      <c r="I54" t="s">
        <v>111</v>
      </c>
      <c r="J54">
        <v>1</v>
      </c>
      <c r="K54" s="1">
        <v>45658</v>
      </c>
      <c r="L54" s="1">
        <v>45747</v>
      </c>
      <c r="M54">
        <v>8</v>
      </c>
      <c r="N54">
        <v>4</v>
      </c>
      <c r="O54" s="1">
        <v>45704</v>
      </c>
      <c r="P54" s="1">
        <v>45710</v>
      </c>
      <c r="Q54">
        <v>21</v>
      </c>
      <c r="R54">
        <v>5</v>
      </c>
      <c r="S54">
        <v>52</v>
      </c>
      <c r="T54" s="1">
        <v>45709</v>
      </c>
      <c r="U54" s="1">
        <v>45709</v>
      </c>
      <c r="V54" t="s">
        <v>666</v>
      </c>
    </row>
    <row r="55" spans="1:22" x14ac:dyDescent="0.25">
      <c r="A55">
        <v>45710</v>
      </c>
      <c r="B55">
        <v>45658</v>
      </c>
      <c r="C55">
        <v>46022</v>
      </c>
      <c r="D55">
        <v>2025</v>
      </c>
      <c r="E55">
        <v>2</v>
      </c>
      <c r="F55">
        <v>45689</v>
      </c>
      <c r="G55" s="1">
        <v>45716</v>
      </c>
      <c r="H55">
        <v>28</v>
      </c>
      <c r="I55" t="s">
        <v>111</v>
      </c>
      <c r="J55">
        <v>1</v>
      </c>
      <c r="K55" s="1">
        <v>45658</v>
      </c>
      <c r="L55" s="1">
        <v>45747</v>
      </c>
      <c r="M55">
        <v>8</v>
      </c>
      <c r="N55">
        <v>4</v>
      </c>
      <c r="O55" s="1">
        <v>45704</v>
      </c>
      <c r="P55" s="1">
        <v>45710</v>
      </c>
      <c r="Q55">
        <v>22</v>
      </c>
      <c r="R55">
        <v>6</v>
      </c>
      <c r="S55">
        <v>53</v>
      </c>
      <c r="T55" s="1">
        <v>45710</v>
      </c>
      <c r="U55" s="1">
        <v>45710</v>
      </c>
      <c r="V55" t="s">
        <v>944</v>
      </c>
    </row>
    <row r="56" spans="1:22" x14ac:dyDescent="0.25">
      <c r="A56">
        <v>45711</v>
      </c>
      <c r="B56">
        <v>45658</v>
      </c>
      <c r="C56">
        <v>46022</v>
      </c>
      <c r="D56">
        <v>2025</v>
      </c>
      <c r="E56">
        <v>2</v>
      </c>
      <c r="F56">
        <v>45689</v>
      </c>
      <c r="G56" s="1">
        <v>45716</v>
      </c>
      <c r="H56">
        <v>28</v>
      </c>
      <c r="I56" t="s">
        <v>111</v>
      </c>
      <c r="J56">
        <v>1</v>
      </c>
      <c r="K56" s="1">
        <v>45658</v>
      </c>
      <c r="L56" s="1">
        <v>45747</v>
      </c>
      <c r="M56">
        <v>9</v>
      </c>
      <c r="N56">
        <v>5</v>
      </c>
      <c r="O56" s="1">
        <v>45711</v>
      </c>
      <c r="P56" s="1">
        <v>45717</v>
      </c>
      <c r="Q56">
        <v>23</v>
      </c>
      <c r="R56">
        <v>0</v>
      </c>
      <c r="S56">
        <v>54</v>
      </c>
      <c r="T56" s="1">
        <v>45711</v>
      </c>
      <c r="U56" s="1">
        <v>45711</v>
      </c>
      <c r="V56" t="s">
        <v>945</v>
      </c>
    </row>
    <row r="57" spans="1:22" x14ac:dyDescent="0.25">
      <c r="A57">
        <v>45712</v>
      </c>
      <c r="B57">
        <v>45658</v>
      </c>
      <c r="C57">
        <v>46022</v>
      </c>
      <c r="D57">
        <v>2025</v>
      </c>
      <c r="E57">
        <v>2</v>
      </c>
      <c r="F57">
        <v>45689</v>
      </c>
      <c r="G57" s="1">
        <v>45716</v>
      </c>
      <c r="H57">
        <v>28</v>
      </c>
      <c r="I57" t="s">
        <v>111</v>
      </c>
      <c r="J57">
        <v>1</v>
      </c>
      <c r="K57" s="1">
        <v>45658</v>
      </c>
      <c r="L57" s="1">
        <v>45747</v>
      </c>
      <c r="M57">
        <v>9</v>
      </c>
      <c r="N57">
        <v>5</v>
      </c>
      <c r="O57" s="1">
        <v>45711</v>
      </c>
      <c r="P57" s="1">
        <v>45717</v>
      </c>
      <c r="Q57">
        <v>24</v>
      </c>
      <c r="R57">
        <v>1</v>
      </c>
      <c r="S57">
        <v>55</v>
      </c>
      <c r="T57" s="1">
        <v>45712</v>
      </c>
      <c r="U57" s="1">
        <v>45712</v>
      </c>
      <c r="V57" t="s">
        <v>941</v>
      </c>
    </row>
    <row r="58" spans="1:22" x14ac:dyDescent="0.25">
      <c r="A58">
        <v>45713</v>
      </c>
      <c r="B58">
        <v>45658</v>
      </c>
      <c r="C58">
        <v>46022</v>
      </c>
      <c r="D58">
        <v>2025</v>
      </c>
      <c r="E58">
        <v>2</v>
      </c>
      <c r="F58">
        <v>45689</v>
      </c>
      <c r="G58" s="1">
        <v>45716</v>
      </c>
      <c r="H58">
        <v>28</v>
      </c>
      <c r="I58" t="s">
        <v>111</v>
      </c>
      <c r="J58">
        <v>1</v>
      </c>
      <c r="K58" s="1">
        <v>45658</v>
      </c>
      <c r="L58" s="1">
        <v>45747</v>
      </c>
      <c r="M58">
        <v>9</v>
      </c>
      <c r="N58">
        <v>5</v>
      </c>
      <c r="O58" s="1">
        <v>45711</v>
      </c>
      <c r="P58" s="1">
        <v>45717</v>
      </c>
      <c r="Q58">
        <v>25</v>
      </c>
      <c r="R58">
        <v>2</v>
      </c>
      <c r="S58">
        <v>56</v>
      </c>
      <c r="T58" s="1">
        <v>45713</v>
      </c>
      <c r="U58" s="1">
        <v>45713</v>
      </c>
      <c r="V58" t="s">
        <v>940</v>
      </c>
    </row>
    <row r="59" spans="1:22" x14ac:dyDescent="0.25">
      <c r="A59">
        <v>45714</v>
      </c>
      <c r="B59">
        <v>45658</v>
      </c>
      <c r="C59">
        <v>46022</v>
      </c>
      <c r="D59">
        <v>2025</v>
      </c>
      <c r="E59">
        <v>2</v>
      </c>
      <c r="F59">
        <v>45689</v>
      </c>
      <c r="G59" s="1">
        <v>45716</v>
      </c>
      <c r="H59">
        <v>28</v>
      </c>
      <c r="I59" t="s">
        <v>111</v>
      </c>
      <c r="J59">
        <v>1</v>
      </c>
      <c r="K59" s="1">
        <v>45658</v>
      </c>
      <c r="L59" s="1">
        <v>45747</v>
      </c>
      <c r="M59">
        <v>9</v>
      </c>
      <c r="N59">
        <v>5</v>
      </c>
      <c r="O59" s="1">
        <v>45711</v>
      </c>
      <c r="P59" s="1">
        <v>45717</v>
      </c>
      <c r="Q59">
        <v>26</v>
      </c>
      <c r="R59">
        <v>3</v>
      </c>
      <c r="S59">
        <v>57</v>
      </c>
      <c r="T59" s="1">
        <v>45714</v>
      </c>
      <c r="U59" s="1">
        <v>45714</v>
      </c>
      <c r="V59" t="s">
        <v>942</v>
      </c>
    </row>
    <row r="60" spans="1:22" x14ac:dyDescent="0.25">
      <c r="A60">
        <v>45715</v>
      </c>
      <c r="B60">
        <v>45658</v>
      </c>
      <c r="C60">
        <v>46022</v>
      </c>
      <c r="D60">
        <v>2025</v>
      </c>
      <c r="E60">
        <v>2</v>
      </c>
      <c r="F60">
        <v>45689</v>
      </c>
      <c r="G60" s="1">
        <v>45716</v>
      </c>
      <c r="H60">
        <v>28</v>
      </c>
      <c r="I60" t="s">
        <v>111</v>
      </c>
      <c r="J60">
        <v>1</v>
      </c>
      <c r="K60" s="1">
        <v>45658</v>
      </c>
      <c r="L60" s="1">
        <v>45747</v>
      </c>
      <c r="M60">
        <v>9</v>
      </c>
      <c r="N60">
        <v>5</v>
      </c>
      <c r="O60" s="1">
        <v>45711</v>
      </c>
      <c r="P60" s="1">
        <v>45717</v>
      </c>
      <c r="Q60">
        <v>27</v>
      </c>
      <c r="R60">
        <v>4</v>
      </c>
      <c r="S60">
        <v>58</v>
      </c>
      <c r="T60" s="1">
        <v>45715</v>
      </c>
      <c r="U60" s="1">
        <v>45715</v>
      </c>
      <c r="V60" t="s">
        <v>943</v>
      </c>
    </row>
    <row r="61" spans="1:22" x14ac:dyDescent="0.25">
      <c r="A61">
        <v>45716</v>
      </c>
      <c r="B61">
        <v>45658</v>
      </c>
      <c r="C61">
        <v>46022</v>
      </c>
      <c r="D61">
        <v>2025</v>
      </c>
      <c r="E61">
        <v>2</v>
      </c>
      <c r="F61">
        <v>45689</v>
      </c>
      <c r="G61" s="1">
        <v>45716</v>
      </c>
      <c r="H61">
        <v>28</v>
      </c>
      <c r="I61" t="s">
        <v>111</v>
      </c>
      <c r="J61">
        <v>1</v>
      </c>
      <c r="K61" s="1">
        <v>45658</v>
      </c>
      <c r="L61" s="1">
        <v>45747</v>
      </c>
      <c r="M61">
        <v>9</v>
      </c>
      <c r="N61">
        <v>5</v>
      </c>
      <c r="O61" s="1">
        <v>45711</v>
      </c>
      <c r="P61" s="1">
        <v>45717</v>
      </c>
      <c r="Q61">
        <v>28</v>
      </c>
      <c r="R61">
        <v>5</v>
      </c>
      <c r="S61">
        <v>59</v>
      </c>
      <c r="T61" s="1">
        <v>45716</v>
      </c>
      <c r="U61" s="1">
        <v>45716</v>
      </c>
      <c r="V61" t="s">
        <v>666</v>
      </c>
    </row>
    <row r="62" spans="1:22" x14ac:dyDescent="0.25">
      <c r="A62">
        <v>45717</v>
      </c>
      <c r="B62">
        <v>45658</v>
      </c>
      <c r="C62">
        <v>46022</v>
      </c>
      <c r="D62">
        <v>2025</v>
      </c>
      <c r="E62">
        <v>3</v>
      </c>
      <c r="F62">
        <v>45717</v>
      </c>
      <c r="G62" s="1">
        <v>45747</v>
      </c>
      <c r="H62">
        <v>31</v>
      </c>
      <c r="I62" t="s">
        <v>461</v>
      </c>
      <c r="J62">
        <v>1</v>
      </c>
      <c r="K62" s="1">
        <v>45658</v>
      </c>
      <c r="L62" s="1">
        <v>45747</v>
      </c>
      <c r="M62">
        <v>9</v>
      </c>
      <c r="N62">
        <v>1</v>
      </c>
      <c r="O62" s="1">
        <v>45711</v>
      </c>
      <c r="P62" s="1">
        <v>45717</v>
      </c>
      <c r="Q62">
        <v>1</v>
      </c>
      <c r="R62">
        <v>6</v>
      </c>
      <c r="S62">
        <v>60</v>
      </c>
      <c r="T62" s="1">
        <v>45717</v>
      </c>
      <c r="U62" s="1">
        <v>45717</v>
      </c>
      <c r="V62" t="s">
        <v>944</v>
      </c>
    </row>
    <row r="63" spans="1:22" x14ac:dyDescent="0.25">
      <c r="A63">
        <v>45718</v>
      </c>
      <c r="B63">
        <v>45658</v>
      </c>
      <c r="C63">
        <v>46022</v>
      </c>
      <c r="D63">
        <v>2025</v>
      </c>
      <c r="E63">
        <v>3</v>
      </c>
      <c r="F63">
        <v>45717</v>
      </c>
      <c r="G63" s="1">
        <v>45747</v>
      </c>
      <c r="H63">
        <v>31</v>
      </c>
      <c r="I63" t="s">
        <v>461</v>
      </c>
      <c r="J63">
        <v>1</v>
      </c>
      <c r="K63" s="1">
        <v>45658</v>
      </c>
      <c r="L63" s="1">
        <v>45747</v>
      </c>
      <c r="M63">
        <v>10</v>
      </c>
      <c r="N63">
        <v>2</v>
      </c>
      <c r="O63" s="1">
        <v>45718</v>
      </c>
      <c r="P63" s="1">
        <v>45724</v>
      </c>
      <c r="Q63">
        <v>2</v>
      </c>
      <c r="R63">
        <v>0</v>
      </c>
      <c r="S63">
        <v>61</v>
      </c>
      <c r="T63" s="1">
        <v>45718</v>
      </c>
      <c r="U63" s="1">
        <v>45718</v>
      </c>
      <c r="V63" t="s">
        <v>945</v>
      </c>
    </row>
    <row r="64" spans="1:22" x14ac:dyDescent="0.25">
      <c r="A64">
        <v>45719</v>
      </c>
      <c r="B64">
        <v>45658</v>
      </c>
      <c r="C64">
        <v>46022</v>
      </c>
      <c r="D64">
        <v>2025</v>
      </c>
      <c r="E64">
        <v>3</v>
      </c>
      <c r="F64">
        <v>45717</v>
      </c>
      <c r="G64" s="1">
        <v>45747</v>
      </c>
      <c r="H64">
        <v>31</v>
      </c>
      <c r="I64" t="s">
        <v>461</v>
      </c>
      <c r="J64">
        <v>1</v>
      </c>
      <c r="K64" s="1">
        <v>45658</v>
      </c>
      <c r="L64" s="1">
        <v>45747</v>
      </c>
      <c r="M64">
        <v>10</v>
      </c>
      <c r="N64">
        <v>2</v>
      </c>
      <c r="O64" s="1">
        <v>45718</v>
      </c>
      <c r="P64" s="1">
        <v>45724</v>
      </c>
      <c r="Q64">
        <v>3</v>
      </c>
      <c r="R64">
        <v>1</v>
      </c>
      <c r="S64">
        <v>62</v>
      </c>
      <c r="T64" s="1">
        <v>45719</v>
      </c>
      <c r="U64" s="1">
        <v>45719</v>
      </c>
      <c r="V64" t="s">
        <v>941</v>
      </c>
    </row>
    <row r="65" spans="1:22" x14ac:dyDescent="0.25">
      <c r="A65">
        <v>45720</v>
      </c>
      <c r="B65">
        <v>45658</v>
      </c>
      <c r="C65">
        <v>46022</v>
      </c>
      <c r="D65">
        <v>2025</v>
      </c>
      <c r="E65">
        <v>3</v>
      </c>
      <c r="F65">
        <v>45717</v>
      </c>
      <c r="G65" s="1">
        <v>45747</v>
      </c>
      <c r="H65">
        <v>31</v>
      </c>
      <c r="I65" t="s">
        <v>461</v>
      </c>
      <c r="J65">
        <v>1</v>
      </c>
      <c r="K65" s="1">
        <v>45658</v>
      </c>
      <c r="L65" s="1">
        <v>45747</v>
      </c>
      <c r="M65">
        <v>10</v>
      </c>
      <c r="N65">
        <v>2</v>
      </c>
      <c r="O65" s="1">
        <v>45718</v>
      </c>
      <c r="P65" s="1">
        <v>45724</v>
      </c>
      <c r="Q65">
        <v>4</v>
      </c>
      <c r="R65">
        <v>2</v>
      </c>
      <c r="S65">
        <v>63</v>
      </c>
      <c r="T65" s="1">
        <v>45720</v>
      </c>
      <c r="U65" s="1">
        <v>45720</v>
      </c>
      <c r="V65" t="s">
        <v>940</v>
      </c>
    </row>
    <row r="66" spans="1:22" x14ac:dyDescent="0.25">
      <c r="A66">
        <v>45721</v>
      </c>
      <c r="B66">
        <v>45658</v>
      </c>
      <c r="C66">
        <v>46022</v>
      </c>
      <c r="D66">
        <v>2025</v>
      </c>
      <c r="E66">
        <v>3</v>
      </c>
      <c r="F66">
        <v>45717</v>
      </c>
      <c r="G66" s="1">
        <v>45747</v>
      </c>
      <c r="H66">
        <v>31</v>
      </c>
      <c r="I66" t="s">
        <v>461</v>
      </c>
      <c r="J66">
        <v>1</v>
      </c>
      <c r="K66" s="1">
        <v>45658</v>
      </c>
      <c r="L66" s="1">
        <v>45747</v>
      </c>
      <c r="M66">
        <v>10</v>
      </c>
      <c r="N66">
        <v>2</v>
      </c>
      <c r="O66" s="1">
        <v>45718</v>
      </c>
      <c r="P66" s="1">
        <v>45724</v>
      </c>
      <c r="Q66">
        <v>5</v>
      </c>
      <c r="R66">
        <v>3</v>
      </c>
      <c r="S66">
        <v>64</v>
      </c>
      <c r="T66" s="1">
        <v>45721</v>
      </c>
      <c r="U66" s="1">
        <v>45721</v>
      </c>
      <c r="V66" t="s">
        <v>942</v>
      </c>
    </row>
    <row r="67" spans="1:22" x14ac:dyDescent="0.25">
      <c r="A67">
        <v>45722</v>
      </c>
      <c r="B67">
        <v>45658</v>
      </c>
      <c r="C67">
        <v>46022</v>
      </c>
      <c r="D67">
        <v>2025</v>
      </c>
      <c r="E67">
        <v>3</v>
      </c>
      <c r="F67">
        <v>45717</v>
      </c>
      <c r="G67" s="1">
        <v>45747</v>
      </c>
      <c r="H67">
        <v>31</v>
      </c>
      <c r="I67" t="s">
        <v>461</v>
      </c>
      <c r="J67">
        <v>1</v>
      </c>
      <c r="K67" s="1">
        <v>45658</v>
      </c>
      <c r="L67" s="1">
        <v>45747</v>
      </c>
      <c r="M67">
        <v>10</v>
      </c>
      <c r="N67">
        <v>2</v>
      </c>
      <c r="O67" s="1">
        <v>45718</v>
      </c>
      <c r="P67" s="1">
        <v>45724</v>
      </c>
      <c r="Q67">
        <v>6</v>
      </c>
      <c r="R67">
        <v>4</v>
      </c>
      <c r="S67">
        <v>65</v>
      </c>
      <c r="T67" s="1">
        <v>45722</v>
      </c>
      <c r="U67" s="1">
        <v>45722</v>
      </c>
      <c r="V67" t="s">
        <v>943</v>
      </c>
    </row>
    <row r="68" spans="1:22" x14ac:dyDescent="0.25">
      <c r="A68">
        <v>45723</v>
      </c>
      <c r="B68">
        <v>45658</v>
      </c>
      <c r="C68">
        <v>46022</v>
      </c>
      <c r="D68">
        <v>2025</v>
      </c>
      <c r="E68">
        <v>3</v>
      </c>
      <c r="F68">
        <v>45717</v>
      </c>
      <c r="G68" s="1">
        <v>45747</v>
      </c>
      <c r="H68">
        <v>31</v>
      </c>
      <c r="I68" t="s">
        <v>461</v>
      </c>
      <c r="J68">
        <v>1</v>
      </c>
      <c r="K68" s="1">
        <v>45658</v>
      </c>
      <c r="L68" s="1">
        <v>45747</v>
      </c>
      <c r="M68">
        <v>10</v>
      </c>
      <c r="N68">
        <v>2</v>
      </c>
      <c r="O68" s="1">
        <v>45718</v>
      </c>
      <c r="P68" s="1">
        <v>45724</v>
      </c>
      <c r="Q68">
        <v>7</v>
      </c>
      <c r="R68">
        <v>5</v>
      </c>
      <c r="S68">
        <v>66</v>
      </c>
      <c r="T68" s="1">
        <v>45723</v>
      </c>
      <c r="U68" s="1">
        <v>45723</v>
      </c>
      <c r="V68" t="s">
        <v>666</v>
      </c>
    </row>
    <row r="69" spans="1:22" x14ac:dyDescent="0.25">
      <c r="A69">
        <v>45724</v>
      </c>
      <c r="B69">
        <v>45658</v>
      </c>
      <c r="C69">
        <v>46022</v>
      </c>
      <c r="D69">
        <v>2025</v>
      </c>
      <c r="E69">
        <v>3</v>
      </c>
      <c r="F69">
        <v>45717</v>
      </c>
      <c r="G69" s="1">
        <v>45747</v>
      </c>
      <c r="H69">
        <v>31</v>
      </c>
      <c r="I69" t="s">
        <v>461</v>
      </c>
      <c r="J69">
        <v>1</v>
      </c>
      <c r="K69" s="1">
        <v>45658</v>
      </c>
      <c r="L69" s="1">
        <v>45747</v>
      </c>
      <c r="M69">
        <v>10</v>
      </c>
      <c r="N69">
        <v>2</v>
      </c>
      <c r="O69" s="1">
        <v>45718</v>
      </c>
      <c r="P69" s="1">
        <v>45724</v>
      </c>
      <c r="Q69">
        <v>8</v>
      </c>
      <c r="R69">
        <v>6</v>
      </c>
      <c r="S69">
        <v>67</v>
      </c>
      <c r="T69" s="1">
        <v>45724</v>
      </c>
      <c r="U69" s="1">
        <v>45724</v>
      </c>
      <c r="V69" t="s">
        <v>944</v>
      </c>
    </row>
    <row r="70" spans="1:22" x14ac:dyDescent="0.25">
      <c r="A70">
        <v>45725</v>
      </c>
      <c r="B70">
        <v>45658</v>
      </c>
      <c r="C70">
        <v>46022</v>
      </c>
      <c r="D70">
        <v>2025</v>
      </c>
      <c r="E70">
        <v>3</v>
      </c>
      <c r="F70">
        <v>45717</v>
      </c>
      <c r="G70" s="1">
        <v>45747</v>
      </c>
      <c r="H70">
        <v>31</v>
      </c>
      <c r="I70" t="s">
        <v>461</v>
      </c>
      <c r="J70">
        <v>1</v>
      </c>
      <c r="K70" s="1">
        <v>45658</v>
      </c>
      <c r="L70" s="1">
        <v>45747</v>
      </c>
      <c r="M70">
        <v>11</v>
      </c>
      <c r="N70">
        <v>3</v>
      </c>
      <c r="O70" s="1">
        <v>45725</v>
      </c>
      <c r="P70" s="1">
        <v>45731</v>
      </c>
      <c r="Q70">
        <v>9</v>
      </c>
      <c r="R70">
        <v>0</v>
      </c>
      <c r="S70">
        <v>68</v>
      </c>
      <c r="T70" s="1">
        <v>45725</v>
      </c>
      <c r="U70" s="1">
        <v>45725</v>
      </c>
      <c r="V70" t="s">
        <v>945</v>
      </c>
    </row>
    <row r="71" spans="1:22" x14ac:dyDescent="0.25">
      <c r="A71">
        <v>45726</v>
      </c>
      <c r="B71">
        <v>45658</v>
      </c>
      <c r="C71">
        <v>46022</v>
      </c>
      <c r="D71">
        <v>2025</v>
      </c>
      <c r="E71">
        <v>3</v>
      </c>
      <c r="F71">
        <v>45717</v>
      </c>
      <c r="G71" s="1">
        <v>45747</v>
      </c>
      <c r="H71">
        <v>31</v>
      </c>
      <c r="I71" t="s">
        <v>461</v>
      </c>
      <c r="J71">
        <v>1</v>
      </c>
      <c r="K71" s="1">
        <v>45658</v>
      </c>
      <c r="L71" s="1">
        <v>45747</v>
      </c>
      <c r="M71">
        <v>11</v>
      </c>
      <c r="N71">
        <v>3</v>
      </c>
      <c r="O71" s="1">
        <v>45725</v>
      </c>
      <c r="P71" s="1">
        <v>45731</v>
      </c>
      <c r="Q71">
        <v>10</v>
      </c>
      <c r="R71">
        <v>1</v>
      </c>
      <c r="S71">
        <v>69</v>
      </c>
      <c r="T71" s="1">
        <v>45726</v>
      </c>
      <c r="U71" s="1">
        <v>45726</v>
      </c>
      <c r="V71" t="s">
        <v>941</v>
      </c>
    </row>
    <row r="72" spans="1:22" x14ac:dyDescent="0.25">
      <c r="A72">
        <v>45727</v>
      </c>
      <c r="B72">
        <v>45658</v>
      </c>
      <c r="C72">
        <v>46022</v>
      </c>
      <c r="D72">
        <v>2025</v>
      </c>
      <c r="E72">
        <v>3</v>
      </c>
      <c r="F72">
        <v>45717</v>
      </c>
      <c r="G72" s="1">
        <v>45747</v>
      </c>
      <c r="H72">
        <v>31</v>
      </c>
      <c r="I72" t="s">
        <v>461</v>
      </c>
      <c r="J72">
        <v>1</v>
      </c>
      <c r="K72" s="1">
        <v>45658</v>
      </c>
      <c r="L72" s="1">
        <v>45747</v>
      </c>
      <c r="M72">
        <v>11</v>
      </c>
      <c r="N72">
        <v>3</v>
      </c>
      <c r="O72" s="1">
        <v>45725</v>
      </c>
      <c r="P72" s="1">
        <v>45731</v>
      </c>
      <c r="Q72">
        <v>11</v>
      </c>
      <c r="R72">
        <v>2</v>
      </c>
      <c r="S72">
        <v>70</v>
      </c>
      <c r="T72" s="1">
        <v>45727</v>
      </c>
      <c r="U72" s="1">
        <v>45727</v>
      </c>
      <c r="V72" t="s">
        <v>940</v>
      </c>
    </row>
    <row r="73" spans="1:22" x14ac:dyDescent="0.25">
      <c r="A73">
        <v>45728</v>
      </c>
      <c r="B73">
        <v>45658</v>
      </c>
      <c r="C73">
        <v>46022</v>
      </c>
      <c r="D73">
        <v>2025</v>
      </c>
      <c r="E73">
        <v>3</v>
      </c>
      <c r="F73">
        <v>45717</v>
      </c>
      <c r="G73" s="1">
        <v>45747</v>
      </c>
      <c r="H73">
        <v>31</v>
      </c>
      <c r="I73" t="s">
        <v>461</v>
      </c>
      <c r="J73">
        <v>1</v>
      </c>
      <c r="K73" s="1">
        <v>45658</v>
      </c>
      <c r="L73" s="1">
        <v>45747</v>
      </c>
      <c r="M73">
        <v>11</v>
      </c>
      <c r="N73">
        <v>3</v>
      </c>
      <c r="O73" s="1">
        <v>45725</v>
      </c>
      <c r="P73" s="1">
        <v>45731</v>
      </c>
      <c r="Q73">
        <v>12</v>
      </c>
      <c r="R73">
        <v>3</v>
      </c>
      <c r="S73">
        <v>71</v>
      </c>
      <c r="T73" s="1">
        <v>45728</v>
      </c>
      <c r="U73" s="1">
        <v>45728</v>
      </c>
      <c r="V73" t="s">
        <v>942</v>
      </c>
    </row>
    <row r="74" spans="1:22" x14ac:dyDescent="0.25">
      <c r="A74">
        <v>45729</v>
      </c>
      <c r="B74">
        <v>45658</v>
      </c>
      <c r="C74">
        <v>46022</v>
      </c>
      <c r="D74">
        <v>2025</v>
      </c>
      <c r="E74">
        <v>3</v>
      </c>
      <c r="F74">
        <v>45717</v>
      </c>
      <c r="G74" s="1">
        <v>45747</v>
      </c>
      <c r="H74">
        <v>31</v>
      </c>
      <c r="I74" t="s">
        <v>461</v>
      </c>
      <c r="J74">
        <v>1</v>
      </c>
      <c r="K74" s="1">
        <v>45658</v>
      </c>
      <c r="L74" s="1">
        <v>45747</v>
      </c>
      <c r="M74">
        <v>11</v>
      </c>
      <c r="N74">
        <v>3</v>
      </c>
      <c r="O74" s="1">
        <v>45725</v>
      </c>
      <c r="P74" s="1">
        <v>45731</v>
      </c>
      <c r="Q74">
        <v>13</v>
      </c>
      <c r="R74">
        <v>4</v>
      </c>
      <c r="S74">
        <v>72</v>
      </c>
      <c r="T74" s="1">
        <v>45729</v>
      </c>
      <c r="U74" s="1">
        <v>45729</v>
      </c>
      <c r="V74" t="s">
        <v>943</v>
      </c>
    </row>
    <row r="75" spans="1:22" x14ac:dyDescent="0.25">
      <c r="A75">
        <v>45730</v>
      </c>
      <c r="B75">
        <v>45658</v>
      </c>
      <c r="C75">
        <v>46022</v>
      </c>
      <c r="D75">
        <v>2025</v>
      </c>
      <c r="E75">
        <v>3</v>
      </c>
      <c r="F75">
        <v>45717</v>
      </c>
      <c r="G75" s="1">
        <v>45747</v>
      </c>
      <c r="H75">
        <v>31</v>
      </c>
      <c r="I75" t="s">
        <v>461</v>
      </c>
      <c r="J75">
        <v>1</v>
      </c>
      <c r="K75" s="1">
        <v>45658</v>
      </c>
      <c r="L75" s="1">
        <v>45747</v>
      </c>
      <c r="M75">
        <v>11</v>
      </c>
      <c r="N75">
        <v>3</v>
      </c>
      <c r="O75" s="1">
        <v>45725</v>
      </c>
      <c r="P75" s="1">
        <v>45731</v>
      </c>
      <c r="Q75">
        <v>14</v>
      </c>
      <c r="R75">
        <v>5</v>
      </c>
      <c r="S75">
        <v>73</v>
      </c>
      <c r="T75" s="1">
        <v>45730</v>
      </c>
      <c r="U75" s="1">
        <v>45730</v>
      </c>
      <c r="V75" t="s">
        <v>666</v>
      </c>
    </row>
    <row r="76" spans="1:22" x14ac:dyDescent="0.25">
      <c r="A76">
        <v>45731</v>
      </c>
      <c r="B76">
        <v>45658</v>
      </c>
      <c r="C76">
        <v>46022</v>
      </c>
      <c r="D76">
        <v>2025</v>
      </c>
      <c r="E76">
        <v>3</v>
      </c>
      <c r="F76">
        <v>45717</v>
      </c>
      <c r="G76" s="1">
        <v>45747</v>
      </c>
      <c r="H76">
        <v>31</v>
      </c>
      <c r="I76" t="s">
        <v>461</v>
      </c>
      <c r="J76">
        <v>1</v>
      </c>
      <c r="K76" s="1">
        <v>45658</v>
      </c>
      <c r="L76" s="1">
        <v>45747</v>
      </c>
      <c r="M76">
        <v>11</v>
      </c>
      <c r="N76">
        <v>3</v>
      </c>
      <c r="O76" s="1">
        <v>45725</v>
      </c>
      <c r="P76" s="1">
        <v>45731</v>
      </c>
      <c r="Q76">
        <v>15</v>
      </c>
      <c r="R76">
        <v>6</v>
      </c>
      <c r="S76">
        <v>74</v>
      </c>
      <c r="T76" s="1">
        <v>45731</v>
      </c>
      <c r="U76" s="1">
        <v>45731</v>
      </c>
      <c r="V76" t="s">
        <v>944</v>
      </c>
    </row>
    <row r="77" spans="1:22" x14ac:dyDescent="0.25">
      <c r="A77">
        <v>45732</v>
      </c>
      <c r="B77">
        <v>45658</v>
      </c>
      <c r="C77">
        <v>46022</v>
      </c>
      <c r="D77">
        <v>2025</v>
      </c>
      <c r="E77">
        <v>3</v>
      </c>
      <c r="F77">
        <v>45717</v>
      </c>
      <c r="G77" s="1">
        <v>45747</v>
      </c>
      <c r="H77">
        <v>31</v>
      </c>
      <c r="I77" t="s">
        <v>461</v>
      </c>
      <c r="J77">
        <v>1</v>
      </c>
      <c r="K77" s="1">
        <v>45658</v>
      </c>
      <c r="L77" s="1">
        <v>45747</v>
      </c>
      <c r="M77">
        <v>12</v>
      </c>
      <c r="N77">
        <v>4</v>
      </c>
      <c r="O77" s="1">
        <v>45732</v>
      </c>
      <c r="P77" s="1">
        <v>45738</v>
      </c>
      <c r="Q77">
        <v>16</v>
      </c>
      <c r="R77">
        <v>0</v>
      </c>
      <c r="S77">
        <v>75</v>
      </c>
      <c r="T77" s="1">
        <v>45732</v>
      </c>
      <c r="U77" s="1">
        <v>45732</v>
      </c>
      <c r="V77" t="s">
        <v>945</v>
      </c>
    </row>
    <row r="78" spans="1:22" x14ac:dyDescent="0.25">
      <c r="A78">
        <v>45733</v>
      </c>
      <c r="B78">
        <v>45658</v>
      </c>
      <c r="C78">
        <v>46022</v>
      </c>
      <c r="D78">
        <v>2025</v>
      </c>
      <c r="E78">
        <v>3</v>
      </c>
      <c r="F78">
        <v>45717</v>
      </c>
      <c r="G78" s="1">
        <v>45747</v>
      </c>
      <c r="H78">
        <v>31</v>
      </c>
      <c r="I78" t="s">
        <v>461</v>
      </c>
      <c r="J78">
        <v>1</v>
      </c>
      <c r="K78" s="1">
        <v>45658</v>
      </c>
      <c r="L78" s="1">
        <v>45747</v>
      </c>
      <c r="M78">
        <v>12</v>
      </c>
      <c r="N78">
        <v>4</v>
      </c>
      <c r="O78" s="1">
        <v>45732</v>
      </c>
      <c r="P78" s="1">
        <v>45738</v>
      </c>
      <c r="Q78">
        <v>17</v>
      </c>
      <c r="R78">
        <v>1</v>
      </c>
      <c r="S78">
        <v>76</v>
      </c>
      <c r="T78" s="1">
        <v>45733</v>
      </c>
      <c r="U78" s="1">
        <v>45733</v>
      </c>
      <c r="V78" t="s">
        <v>941</v>
      </c>
    </row>
    <row r="79" spans="1:22" x14ac:dyDescent="0.25">
      <c r="A79">
        <v>45734</v>
      </c>
      <c r="B79">
        <v>45658</v>
      </c>
      <c r="C79">
        <v>46022</v>
      </c>
      <c r="D79">
        <v>2025</v>
      </c>
      <c r="E79">
        <v>3</v>
      </c>
      <c r="F79">
        <v>45717</v>
      </c>
      <c r="G79" s="1">
        <v>45747</v>
      </c>
      <c r="H79">
        <v>31</v>
      </c>
      <c r="I79" t="s">
        <v>461</v>
      </c>
      <c r="J79">
        <v>1</v>
      </c>
      <c r="K79" s="1">
        <v>45658</v>
      </c>
      <c r="L79" s="1">
        <v>45747</v>
      </c>
      <c r="M79">
        <v>12</v>
      </c>
      <c r="N79">
        <v>4</v>
      </c>
      <c r="O79" s="1">
        <v>45732</v>
      </c>
      <c r="P79" s="1">
        <v>45738</v>
      </c>
      <c r="Q79">
        <v>18</v>
      </c>
      <c r="R79">
        <v>2</v>
      </c>
      <c r="S79">
        <v>77</v>
      </c>
      <c r="T79" s="1">
        <v>45734</v>
      </c>
      <c r="U79" s="1">
        <v>45734</v>
      </c>
      <c r="V79" t="s">
        <v>940</v>
      </c>
    </row>
    <row r="80" spans="1:22" x14ac:dyDescent="0.25">
      <c r="A80">
        <v>45735</v>
      </c>
      <c r="B80">
        <v>45658</v>
      </c>
      <c r="C80">
        <v>46022</v>
      </c>
      <c r="D80">
        <v>2025</v>
      </c>
      <c r="E80">
        <v>3</v>
      </c>
      <c r="F80">
        <v>45717</v>
      </c>
      <c r="G80" s="1">
        <v>45747</v>
      </c>
      <c r="H80">
        <v>31</v>
      </c>
      <c r="I80" t="s">
        <v>461</v>
      </c>
      <c r="J80">
        <v>1</v>
      </c>
      <c r="K80" s="1">
        <v>45658</v>
      </c>
      <c r="L80" s="1">
        <v>45747</v>
      </c>
      <c r="M80">
        <v>12</v>
      </c>
      <c r="N80">
        <v>4</v>
      </c>
      <c r="O80" s="1">
        <v>45732</v>
      </c>
      <c r="P80" s="1">
        <v>45738</v>
      </c>
      <c r="Q80">
        <v>19</v>
      </c>
      <c r="R80">
        <v>3</v>
      </c>
      <c r="S80">
        <v>78</v>
      </c>
      <c r="T80" s="1">
        <v>45735</v>
      </c>
      <c r="U80" s="1">
        <v>45735</v>
      </c>
      <c r="V80" t="s">
        <v>942</v>
      </c>
    </row>
    <row r="81" spans="1:22" x14ac:dyDescent="0.25">
      <c r="A81">
        <v>45736</v>
      </c>
      <c r="B81">
        <v>45658</v>
      </c>
      <c r="C81">
        <v>46022</v>
      </c>
      <c r="D81">
        <v>2025</v>
      </c>
      <c r="E81">
        <v>3</v>
      </c>
      <c r="F81">
        <v>45717</v>
      </c>
      <c r="G81" s="1">
        <v>45747</v>
      </c>
      <c r="H81">
        <v>31</v>
      </c>
      <c r="I81" t="s">
        <v>461</v>
      </c>
      <c r="J81">
        <v>1</v>
      </c>
      <c r="K81" s="1">
        <v>45658</v>
      </c>
      <c r="L81" s="1">
        <v>45747</v>
      </c>
      <c r="M81">
        <v>12</v>
      </c>
      <c r="N81">
        <v>4</v>
      </c>
      <c r="O81" s="1">
        <v>45732</v>
      </c>
      <c r="P81" s="1">
        <v>45738</v>
      </c>
      <c r="Q81">
        <v>20</v>
      </c>
      <c r="R81">
        <v>4</v>
      </c>
      <c r="S81">
        <v>79</v>
      </c>
      <c r="T81" s="1">
        <v>45736</v>
      </c>
      <c r="U81" s="1">
        <v>45736</v>
      </c>
      <c r="V81" t="s">
        <v>943</v>
      </c>
    </row>
    <row r="82" spans="1:22" x14ac:dyDescent="0.25">
      <c r="A82">
        <v>45737</v>
      </c>
      <c r="B82">
        <v>45658</v>
      </c>
      <c r="C82">
        <v>46022</v>
      </c>
      <c r="D82">
        <v>2025</v>
      </c>
      <c r="E82">
        <v>3</v>
      </c>
      <c r="F82">
        <v>45717</v>
      </c>
      <c r="G82" s="1">
        <v>45747</v>
      </c>
      <c r="H82">
        <v>31</v>
      </c>
      <c r="I82" t="s">
        <v>461</v>
      </c>
      <c r="J82">
        <v>1</v>
      </c>
      <c r="K82" s="1">
        <v>45658</v>
      </c>
      <c r="L82" s="1">
        <v>45747</v>
      </c>
      <c r="M82">
        <v>12</v>
      </c>
      <c r="N82">
        <v>4</v>
      </c>
      <c r="O82" s="1">
        <v>45732</v>
      </c>
      <c r="P82" s="1">
        <v>45738</v>
      </c>
      <c r="Q82">
        <v>21</v>
      </c>
      <c r="R82">
        <v>5</v>
      </c>
      <c r="S82">
        <v>80</v>
      </c>
      <c r="T82" s="1">
        <v>45737</v>
      </c>
      <c r="U82" s="1">
        <v>45737</v>
      </c>
      <c r="V82" t="s">
        <v>666</v>
      </c>
    </row>
    <row r="83" spans="1:22" x14ac:dyDescent="0.25">
      <c r="A83">
        <v>45738</v>
      </c>
      <c r="B83">
        <v>45658</v>
      </c>
      <c r="C83">
        <v>46022</v>
      </c>
      <c r="D83">
        <v>2025</v>
      </c>
      <c r="E83">
        <v>3</v>
      </c>
      <c r="F83">
        <v>45717</v>
      </c>
      <c r="G83" s="1">
        <v>45747</v>
      </c>
      <c r="H83">
        <v>31</v>
      </c>
      <c r="I83" t="s">
        <v>461</v>
      </c>
      <c r="J83">
        <v>1</v>
      </c>
      <c r="K83" s="1">
        <v>45658</v>
      </c>
      <c r="L83" s="1">
        <v>45747</v>
      </c>
      <c r="M83">
        <v>12</v>
      </c>
      <c r="N83">
        <v>4</v>
      </c>
      <c r="O83" s="1">
        <v>45732</v>
      </c>
      <c r="P83" s="1">
        <v>45738</v>
      </c>
      <c r="Q83">
        <v>22</v>
      </c>
      <c r="R83">
        <v>6</v>
      </c>
      <c r="S83">
        <v>81</v>
      </c>
      <c r="T83" s="1">
        <v>45738</v>
      </c>
      <c r="U83" s="1">
        <v>45738</v>
      </c>
      <c r="V83" t="s">
        <v>944</v>
      </c>
    </row>
    <row r="84" spans="1:22" x14ac:dyDescent="0.25">
      <c r="A84">
        <v>45739</v>
      </c>
      <c r="B84">
        <v>45658</v>
      </c>
      <c r="C84">
        <v>46022</v>
      </c>
      <c r="D84">
        <v>2025</v>
      </c>
      <c r="E84">
        <v>3</v>
      </c>
      <c r="F84">
        <v>45717</v>
      </c>
      <c r="G84" s="1">
        <v>45747</v>
      </c>
      <c r="H84">
        <v>31</v>
      </c>
      <c r="I84" t="s">
        <v>461</v>
      </c>
      <c r="J84">
        <v>1</v>
      </c>
      <c r="K84" s="1">
        <v>45658</v>
      </c>
      <c r="L84" s="1">
        <v>45747</v>
      </c>
      <c r="M84">
        <v>13</v>
      </c>
      <c r="N84">
        <v>5</v>
      </c>
      <c r="O84" s="1">
        <v>45739</v>
      </c>
      <c r="P84" s="1">
        <v>45745</v>
      </c>
      <c r="Q84">
        <v>23</v>
      </c>
      <c r="R84">
        <v>0</v>
      </c>
      <c r="S84">
        <v>82</v>
      </c>
      <c r="T84" s="1">
        <v>45739</v>
      </c>
      <c r="U84" s="1">
        <v>45739</v>
      </c>
      <c r="V84" t="s">
        <v>945</v>
      </c>
    </row>
    <row r="85" spans="1:22" x14ac:dyDescent="0.25">
      <c r="A85">
        <v>45740</v>
      </c>
      <c r="B85">
        <v>45658</v>
      </c>
      <c r="C85">
        <v>46022</v>
      </c>
      <c r="D85">
        <v>2025</v>
      </c>
      <c r="E85">
        <v>3</v>
      </c>
      <c r="F85">
        <v>45717</v>
      </c>
      <c r="G85" s="1">
        <v>45747</v>
      </c>
      <c r="H85">
        <v>31</v>
      </c>
      <c r="I85" t="s">
        <v>461</v>
      </c>
      <c r="J85">
        <v>1</v>
      </c>
      <c r="K85" s="1">
        <v>45658</v>
      </c>
      <c r="L85" s="1">
        <v>45747</v>
      </c>
      <c r="M85">
        <v>13</v>
      </c>
      <c r="N85">
        <v>5</v>
      </c>
      <c r="O85" s="1">
        <v>45739</v>
      </c>
      <c r="P85" s="1">
        <v>45745</v>
      </c>
      <c r="Q85">
        <v>24</v>
      </c>
      <c r="R85">
        <v>1</v>
      </c>
      <c r="S85">
        <v>83</v>
      </c>
      <c r="T85" s="1">
        <v>45740</v>
      </c>
      <c r="U85" s="1">
        <v>45740</v>
      </c>
      <c r="V85" t="s">
        <v>941</v>
      </c>
    </row>
    <row r="86" spans="1:22" x14ac:dyDescent="0.25">
      <c r="A86">
        <v>45741</v>
      </c>
      <c r="B86">
        <v>45658</v>
      </c>
      <c r="C86">
        <v>46022</v>
      </c>
      <c r="D86">
        <v>2025</v>
      </c>
      <c r="E86">
        <v>3</v>
      </c>
      <c r="F86">
        <v>45717</v>
      </c>
      <c r="G86" s="1">
        <v>45747</v>
      </c>
      <c r="H86">
        <v>31</v>
      </c>
      <c r="I86" t="s">
        <v>461</v>
      </c>
      <c r="J86">
        <v>1</v>
      </c>
      <c r="K86" s="1">
        <v>45658</v>
      </c>
      <c r="L86" s="1">
        <v>45747</v>
      </c>
      <c r="M86">
        <v>13</v>
      </c>
      <c r="N86">
        <v>5</v>
      </c>
      <c r="O86" s="1">
        <v>45739</v>
      </c>
      <c r="P86" s="1">
        <v>45745</v>
      </c>
      <c r="Q86">
        <v>25</v>
      </c>
      <c r="R86">
        <v>2</v>
      </c>
      <c r="S86">
        <v>84</v>
      </c>
      <c r="T86" s="1">
        <v>45741</v>
      </c>
      <c r="U86" s="1">
        <v>45741</v>
      </c>
      <c r="V86" t="s">
        <v>940</v>
      </c>
    </row>
    <row r="87" spans="1:22" x14ac:dyDescent="0.25">
      <c r="A87">
        <v>45742</v>
      </c>
      <c r="B87">
        <v>45658</v>
      </c>
      <c r="C87">
        <v>46022</v>
      </c>
      <c r="D87">
        <v>2025</v>
      </c>
      <c r="E87">
        <v>3</v>
      </c>
      <c r="F87">
        <v>45717</v>
      </c>
      <c r="G87" s="1">
        <v>45747</v>
      </c>
      <c r="H87">
        <v>31</v>
      </c>
      <c r="I87" t="s">
        <v>461</v>
      </c>
      <c r="J87">
        <v>1</v>
      </c>
      <c r="K87" s="1">
        <v>45658</v>
      </c>
      <c r="L87" s="1">
        <v>45747</v>
      </c>
      <c r="M87">
        <v>13</v>
      </c>
      <c r="N87">
        <v>5</v>
      </c>
      <c r="O87" s="1">
        <v>45739</v>
      </c>
      <c r="P87" s="1">
        <v>45745</v>
      </c>
      <c r="Q87">
        <v>26</v>
      </c>
      <c r="R87">
        <v>3</v>
      </c>
      <c r="S87">
        <v>85</v>
      </c>
      <c r="T87" s="1">
        <v>45742</v>
      </c>
      <c r="U87" s="1">
        <v>45742</v>
      </c>
      <c r="V87" t="s">
        <v>942</v>
      </c>
    </row>
    <row r="88" spans="1:22" x14ac:dyDescent="0.25">
      <c r="A88">
        <v>45743</v>
      </c>
      <c r="B88">
        <v>45658</v>
      </c>
      <c r="C88">
        <v>46022</v>
      </c>
      <c r="D88">
        <v>2025</v>
      </c>
      <c r="E88">
        <v>3</v>
      </c>
      <c r="F88">
        <v>45717</v>
      </c>
      <c r="G88" s="1">
        <v>45747</v>
      </c>
      <c r="H88">
        <v>31</v>
      </c>
      <c r="I88" t="s">
        <v>461</v>
      </c>
      <c r="J88">
        <v>1</v>
      </c>
      <c r="K88" s="1">
        <v>45658</v>
      </c>
      <c r="L88" s="1">
        <v>45747</v>
      </c>
      <c r="M88">
        <v>13</v>
      </c>
      <c r="N88">
        <v>5</v>
      </c>
      <c r="O88" s="1">
        <v>45739</v>
      </c>
      <c r="P88" s="1">
        <v>45745</v>
      </c>
      <c r="Q88">
        <v>27</v>
      </c>
      <c r="R88">
        <v>4</v>
      </c>
      <c r="S88">
        <v>86</v>
      </c>
      <c r="T88" s="1">
        <v>45743</v>
      </c>
      <c r="U88" s="1">
        <v>45743</v>
      </c>
      <c r="V88" t="s">
        <v>943</v>
      </c>
    </row>
    <row r="89" spans="1:22" x14ac:dyDescent="0.25">
      <c r="A89">
        <v>45744</v>
      </c>
      <c r="B89">
        <v>45658</v>
      </c>
      <c r="C89">
        <v>46022</v>
      </c>
      <c r="D89">
        <v>2025</v>
      </c>
      <c r="E89">
        <v>3</v>
      </c>
      <c r="F89">
        <v>45717</v>
      </c>
      <c r="G89" s="1">
        <v>45747</v>
      </c>
      <c r="H89">
        <v>31</v>
      </c>
      <c r="I89" t="s">
        <v>461</v>
      </c>
      <c r="J89">
        <v>1</v>
      </c>
      <c r="K89" s="1">
        <v>45658</v>
      </c>
      <c r="L89" s="1">
        <v>45747</v>
      </c>
      <c r="M89">
        <v>13</v>
      </c>
      <c r="N89">
        <v>5</v>
      </c>
      <c r="O89" s="1">
        <v>45739</v>
      </c>
      <c r="P89" s="1">
        <v>45745</v>
      </c>
      <c r="Q89">
        <v>28</v>
      </c>
      <c r="R89">
        <v>5</v>
      </c>
      <c r="S89">
        <v>87</v>
      </c>
      <c r="T89" s="1">
        <v>45744</v>
      </c>
      <c r="U89" s="1">
        <v>45744</v>
      </c>
      <c r="V89" t="s">
        <v>666</v>
      </c>
    </row>
    <row r="90" spans="1:22" x14ac:dyDescent="0.25">
      <c r="A90">
        <v>45745</v>
      </c>
      <c r="B90">
        <v>45658</v>
      </c>
      <c r="C90">
        <v>46022</v>
      </c>
      <c r="D90">
        <v>2025</v>
      </c>
      <c r="E90">
        <v>3</v>
      </c>
      <c r="F90">
        <v>45717</v>
      </c>
      <c r="G90" s="1">
        <v>45747</v>
      </c>
      <c r="H90">
        <v>31</v>
      </c>
      <c r="I90" t="s">
        <v>461</v>
      </c>
      <c r="J90">
        <v>1</v>
      </c>
      <c r="K90" s="1">
        <v>45658</v>
      </c>
      <c r="L90" s="1">
        <v>45747</v>
      </c>
      <c r="M90">
        <v>13</v>
      </c>
      <c r="N90">
        <v>5</v>
      </c>
      <c r="O90" s="1">
        <v>45739</v>
      </c>
      <c r="P90" s="1">
        <v>45745</v>
      </c>
      <c r="Q90">
        <v>29</v>
      </c>
      <c r="R90">
        <v>6</v>
      </c>
      <c r="S90">
        <v>88</v>
      </c>
      <c r="T90" s="1">
        <v>45745</v>
      </c>
      <c r="U90" s="1">
        <v>45745</v>
      </c>
      <c r="V90" t="s">
        <v>944</v>
      </c>
    </row>
    <row r="91" spans="1:22" x14ac:dyDescent="0.25">
      <c r="A91">
        <v>45746</v>
      </c>
      <c r="B91">
        <v>45658</v>
      </c>
      <c r="C91">
        <v>46022</v>
      </c>
      <c r="D91">
        <v>2025</v>
      </c>
      <c r="E91">
        <v>3</v>
      </c>
      <c r="F91">
        <v>45717</v>
      </c>
      <c r="G91" s="1">
        <v>45747</v>
      </c>
      <c r="H91">
        <v>31</v>
      </c>
      <c r="I91" t="s">
        <v>461</v>
      </c>
      <c r="J91">
        <v>1</v>
      </c>
      <c r="K91" s="1">
        <v>45658</v>
      </c>
      <c r="L91" s="1">
        <v>45747</v>
      </c>
      <c r="M91">
        <v>14</v>
      </c>
      <c r="N91">
        <v>6</v>
      </c>
      <c r="O91" s="1">
        <v>45746</v>
      </c>
      <c r="P91" s="1">
        <v>45752</v>
      </c>
      <c r="Q91">
        <v>30</v>
      </c>
      <c r="R91">
        <v>0</v>
      </c>
      <c r="S91">
        <v>89</v>
      </c>
      <c r="T91" s="1">
        <v>45746</v>
      </c>
      <c r="U91" s="1">
        <v>45746</v>
      </c>
      <c r="V91" t="s">
        <v>945</v>
      </c>
    </row>
    <row r="92" spans="1:22" x14ac:dyDescent="0.25">
      <c r="A92">
        <v>45747</v>
      </c>
      <c r="B92">
        <v>45658</v>
      </c>
      <c r="C92">
        <v>46022</v>
      </c>
      <c r="D92">
        <v>2025</v>
      </c>
      <c r="E92">
        <v>3</v>
      </c>
      <c r="F92">
        <v>45717</v>
      </c>
      <c r="G92" s="1">
        <v>45747</v>
      </c>
      <c r="H92">
        <v>31</v>
      </c>
      <c r="I92" t="s">
        <v>461</v>
      </c>
      <c r="J92">
        <v>1</v>
      </c>
      <c r="K92" s="1">
        <v>45658</v>
      </c>
      <c r="L92" s="1">
        <v>45747</v>
      </c>
      <c r="M92">
        <v>14</v>
      </c>
      <c r="N92">
        <v>6</v>
      </c>
      <c r="O92" s="1">
        <v>45746</v>
      </c>
      <c r="P92" s="1">
        <v>45752</v>
      </c>
      <c r="Q92">
        <v>31</v>
      </c>
      <c r="R92">
        <v>1</v>
      </c>
      <c r="S92">
        <v>90</v>
      </c>
      <c r="T92" s="1">
        <v>45747</v>
      </c>
      <c r="U92" s="1">
        <v>45747</v>
      </c>
      <c r="V92" t="s">
        <v>941</v>
      </c>
    </row>
    <row r="93" spans="1:22" x14ac:dyDescent="0.25">
      <c r="A93">
        <v>45748</v>
      </c>
      <c r="B93">
        <v>45658</v>
      </c>
      <c r="C93">
        <v>46022</v>
      </c>
      <c r="D93">
        <v>2025</v>
      </c>
      <c r="E93">
        <v>4</v>
      </c>
      <c r="F93">
        <v>45748</v>
      </c>
      <c r="G93" s="1">
        <v>45777</v>
      </c>
      <c r="H93">
        <v>30</v>
      </c>
      <c r="I93" t="s">
        <v>598</v>
      </c>
      <c r="J93">
        <v>2</v>
      </c>
      <c r="K93" s="1">
        <v>45748</v>
      </c>
      <c r="L93" s="1">
        <v>45838</v>
      </c>
      <c r="M93">
        <v>14</v>
      </c>
      <c r="N93">
        <v>1</v>
      </c>
      <c r="O93" s="1">
        <v>45746</v>
      </c>
      <c r="P93" s="1">
        <v>45752</v>
      </c>
      <c r="Q93">
        <v>1</v>
      </c>
      <c r="R93">
        <v>2</v>
      </c>
      <c r="S93">
        <v>91</v>
      </c>
      <c r="T93" s="1">
        <v>45748</v>
      </c>
      <c r="U93" s="1">
        <v>45748</v>
      </c>
      <c r="V93" t="s">
        <v>940</v>
      </c>
    </row>
    <row r="94" spans="1:22" x14ac:dyDescent="0.25">
      <c r="A94">
        <v>45749</v>
      </c>
      <c r="B94">
        <v>45658</v>
      </c>
      <c r="C94">
        <v>46022</v>
      </c>
      <c r="D94">
        <v>2025</v>
      </c>
      <c r="E94">
        <v>4</v>
      </c>
      <c r="F94">
        <v>45748</v>
      </c>
      <c r="G94" s="1">
        <v>45777</v>
      </c>
      <c r="H94">
        <v>30</v>
      </c>
      <c r="I94" t="s">
        <v>598</v>
      </c>
      <c r="J94">
        <v>2</v>
      </c>
      <c r="K94" s="1">
        <v>45748</v>
      </c>
      <c r="L94" s="1">
        <v>45838</v>
      </c>
      <c r="M94">
        <v>14</v>
      </c>
      <c r="N94">
        <v>1</v>
      </c>
      <c r="O94" s="1">
        <v>45746</v>
      </c>
      <c r="P94" s="1">
        <v>45752</v>
      </c>
      <c r="Q94">
        <v>2</v>
      </c>
      <c r="R94">
        <v>3</v>
      </c>
      <c r="S94">
        <v>92</v>
      </c>
      <c r="T94" s="1">
        <v>45749</v>
      </c>
      <c r="U94" s="1">
        <v>45749</v>
      </c>
      <c r="V94" t="s">
        <v>942</v>
      </c>
    </row>
    <row r="95" spans="1:22" x14ac:dyDescent="0.25">
      <c r="A95">
        <v>45750</v>
      </c>
      <c r="B95">
        <v>45658</v>
      </c>
      <c r="C95">
        <v>46022</v>
      </c>
      <c r="D95">
        <v>2025</v>
      </c>
      <c r="E95">
        <v>4</v>
      </c>
      <c r="F95">
        <v>45748</v>
      </c>
      <c r="G95" s="1">
        <v>45777</v>
      </c>
      <c r="H95">
        <v>30</v>
      </c>
      <c r="I95" t="s">
        <v>598</v>
      </c>
      <c r="J95">
        <v>2</v>
      </c>
      <c r="K95" s="1">
        <v>45748</v>
      </c>
      <c r="L95" s="1">
        <v>45838</v>
      </c>
      <c r="M95">
        <v>14</v>
      </c>
      <c r="N95">
        <v>1</v>
      </c>
      <c r="O95" s="1">
        <v>45746</v>
      </c>
      <c r="P95" s="1">
        <v>45752</v>
      </c>
      <c r="Q95">
        <v>3</v>
      </c>
      <c r="R95">
        <v>4</v>
      </c>
      <c r="S95">
        <v>93</v>
      </c>
      <c r="T95" s="1">
        <v>45750</v>
      </c>
      <c r="U95" s="1">
        <v>45750</v>
      </c>
      <c r="V95" t="s">
        <v>943</v>
      </c>
    </row>
    <row r="96" spans="1:22" x14ac:dyDescent="0.25">
      <c r="A96">
        <v>45751</v>
      </c>
      <c r="B96">
        <v>45658</v>
      </c>
      <c r="C96">
        <v>46022</v>
      </c>
      <c r="D96">
        <v>2025</v>
      </c>
      <c r="E96">
        <v>4</v>
      </c>
      <c r="F96">
        <v>45748</v>
      </c>
      <c r="G96" s="1">
        <v>45777</v>
      </c>
      <c r="H96">
        <v>30</v>
      </c>
      <c r="I96" t="s">
        <v>598</v>
      </c>
      <c r="J96">
        <v>2</v>
      </c>
      <c r="K96" s="1">
        <v>45748</v>
      </c>
      <c r="L96" s="1">
        <v>45838</v>
      </c>
      <c r="M96">
        <v>14</v>
      </c>
      <c r="N96">
        <v>1</v>
      </c>
      <c r="O96" s="1">
        <v>45746</v>
      </c>
      <c r="P96" s="1">
        <v>45752</v>
      </c>
      <c r="Q96">
        <v>4</v>
      </c>
      <c r="R96">
        <v>5</v>
      </c>
      <c r="S96">
        <v>94</v>
      </c>
      <c r="T96" s="1">
        <v>45751</v>
      </c>
      <c r="U96" s="1">
        <v>45751</v>
      </c>
      <c r="V96" t="s">
        <v>666</v>
      </c>
    </row>
    <row r="97" spans="1:22" x14ac:dyDescent="0.25">
      <c r="A97">
        <v>45752</v>
      </c>
      <c r="B97">
        <v>45658</v>
      </c>
      <c r="C97">
        <v>46022</v>
      </c>
      <c r="D97">
        <v>2025</v>
      </c>
      <c r="E97">
        <v>4</v>
      </c>
      <c r="F97">
        <v>45748</v>
      </c>
      <c r="G97" s="1">
        <v>45777</v>
      </c>
      <c r="H97">
        <v>30</v>
      </c>
      <c r="I97" t="s">
        <v>598</v>
      </c>
      <c r="J97">
        <v>2</v>
      </c>
      <c r="K97" s="1">
        <v>45748</v>
      </c>
      <c r="L97" s="1">
        <v>45838</v>
      </c>
      <c r="M97">
        <v>14</v>
      </c>
      <c r="N97">
        <v>1</v>
      </c>
      <c r="O97" s="1">
        <v>45746</v>
      </c>
      <c r="P97" s="1">
        <v>45752</v>
      </c>
      <c r="Q97">
        <v>5</v>
      </c>
      <c r="R97">
        <v>6</v>
      </c>
      <c r="S97">
        <v>95</v>
      </c>
      <c r="T97" s="1">
        <v>45752</v>
      </c>
      <c r="U97" s="1">
        <v>45752</v>
      </c>
      <c r="V97" t="s">
        <v>944</v>
      </c>
    </row>
    <row r="98" spans="1:22" x14ac:dyDescent="0.25">
      <c r="A98">
        <v>45753</v>
      </c>
      <c r="B98">
        <v>45658</v>
      </c>
      <c r="C98">
        <v>46022</v>
      </c>
      <c r="D98">
        <v>2025</v>
      </c>
      <c r="E98">
        <v>4</v>
      </c>
      <c r="F98">
        <v>45748</v>
      </c>
      <c r="G98" s="1">
        <v>45777</v>
      </c>
      <c r="H98">
        <v>30</v>
      </c>
      <c r="I98" t="s">
        <v>598</v>
      </c>
      <c r="J98">
        <v>2</v>
      </c>
      <c r="K98" s="1">
        <v>45748</v>
      </c>
      <c r="L98" s="1">
        <v>45838</v>
      </c>
      <c r="M98">
        <v>15</v>
      </c>
      <c r="N98">
        <v>2</v>
      </c>
      <c r="O98" s="1">
        <v>45753</v>
      </c>
      <c r="P98" s="1">
        <v>45759</v>
      </c>
      <c r="Q98">
        <v>6</v>
      </c>
      <c r="R98">
        <v>0</v>
      </c>
      <c r="S98">
        <v>96</v>
      </c>
      <c r="T98" s="1">
        <v>45753</v>
      </c>
      <c r="U98" s="1">
        <v>45753</v>
      </c>
      <c r="V98" t="s">
        <v>945</v>
      </c>
    </row>
    <row r="99" spans="1:22" x14ac:dyDescent="0.25">
      <c r="A99">
        <v>45754</v>
      </c>
      <c r="B99">
        <v>45658</v>
      </c>
      <c r="C99">
        <v>46022</v>
      </c>
      <c r="D99">
        <v>2025</v>
      </c>
      <c r="E99">
        <v>4</v>
      </c>
      <c r="F99">
        <v>45748</v>
      </c>
      <c r="G99" s="1">
        <v>45777</v>
      </c>
      <c r="H99">
        <v>30</v>
      </c>
      <c r="I99" t="s">
        <v>598</v>
      </c>
      <c r="J99">
        <v>2</v>
      </c>
      <c r="K99" s="1">
        <v>45748</v>
      </c>
      <c r="L99" s="1">
        <v>45838</v>
      </c>
      <c r="M99">
        <v>15</v>
      </c>
      <c r="N99">
        <v>2</v>
      </c>
      <c r="O99" s="1">
        <v>45753</v>
      </c>
      <c r="P99" s="1">
        <v>45759</v>
      </c>
      <c r="Q99">
        <v>7</v>
      </c>
      <c r="R99">
        <v>1</v>
      </c>
      <c r="S99">
        <v>97</v>
      </c>
      <c r="T99" s="1">
        <v>45754</v>
      </c>
      <c r="U99" s="1">
        <v>45754</v>
      </c>
      <c r="V99" t="s">
        <v>941</v>
      </c>
    </row>
    <row r="100" spans="1:22" x14ac:dyDescent="0.25">
      <c r="A100">
        <v>45755</v>
      </c>
      <c r="B100">
        <v>45658</v>
      </c>
      <c r="C100">
        <v>46022</v>
      </c>
      <c r="D100">
        <v>2025</v>
      </c>
      <c r="E100">
        <v>4</v>
      </c>
      <c r="F100">
        <v>45748</v>
      </c>
      <c r="G100" s="1">
        <v>45777</v>
      </c>
      <c r="H100">
        <v>30</v>
      </c>
      <c r="I100" t="s">
        <v>598</v>
      </c>
      <c r="J100">
        <v>2</v>
      </c>
      <c r="K100" s="1">
        <v>45748</v>
      </c>
      <c r="L100" s="1">
        <v>45838</v>
      </c>
      <c r="M100">
        <v>15</v>
      </c>
      <c r="N100">
        <v>2</v>
      </c>
      <c r="O100" s="1">
        <v>45753</v>
      </c>
      <c r="P100" s="1">
        <v>45759</v>
      </c>
      <c r="Q100">
        <v>8</v>
      </c>
      <c r="R100">
        <v>2</v>
      </c>
      <c r="S100">
        <v>98</v>
      </c>
      <c r="T100" s="1">
        <v>45755</v>
      </c>
      <c r="U100" s="1">
        <v>45755</v>
      </c>
      <c r="V100" t="s">
        <v>940</v>
      </c>
    </row>
    <row r="101" spans="1:22" x14ac:dyDescent="0.25">
      <c r="A101">
        <v>45756</v>
      </c>
      <c r="B101">
        <v>45658</v>
      </c>
      <c r="C101">
        <v>46022</v>
      </c>
      <c r="D101">
        <v>2025</v>
      </c>
      <c r="E101">
        <v>4</v>
      </c>
      <c r="F101">
        <v>45748</v>
      </c>
      <c r="G101" s="1">
        <v>45777</v>
      </c>
      <c r="H101">
        <v>30</v>
      </c>
      <c r="I101" t="s">
        <v>598</v>
      </c>
      <c r="J101">
        <v>2</v>
      </c>
      <c r="K101" s="1">
        <v>45748</v>
      </c>
      <c r="L101" s="1">
        <v>45838</v>
      </c>
      <c r="M101">
        <v>15</v>
      </c>
      <c r="N101">
        <v>2</v>
      </c>
      <c r="O101" s="1">
        <v>45753</v>
      </c>
      <c r="P101" s="1">
        <v>45759</v>
      </c>
      <c r="Q101">
        <v>9</v>
      </c>
      <c r="R101">
        <v>3</v>
      </c>
      <c r="S101">
        <v>99</v>
      </c>
      <c r="T101" s="1">
        <v>45756</v>
      </c>
      <c r="U101" s="1">
        <v>45756</v>
      </c>
      <c r="V101" t="s">
        <v>942</v>
      </c>
    </row>
    <row r="102" spans="1:22" x14ac:dyDescent="0.25">
      <c r="A102">
        <v>45757</v>
      </c>
      <c r="B102">
        <v>45658</v>
      </c>
      <c r="C102">
        <v>46022</v>
      </c>
      <c r="D102">
        <v>2025</v>
      </c>
      <c r="E102">
        <v>4</v>
      </c>
      <c r="F102">
        <v>45748</v>
      </c>
      <c r="G102" s="1">
        <v>45777</v>
      </c>
      <c r="H102">
        <v>30</v>
      </c>
      <c r="I102" t="s">
        <v>598</v>
      </c>
      <c r="J102">
        <v>2</v>
      </c>
      <c r="K102" s="1">
        <v>45748</v>
      </c>
      <c r="L102" s="1">
        <v>45838</v>
      </c>
      <c r="M102">
        <v>15</v>
      </c>
      <c r="N102">
        <v>2</v>
      </c>
      <c r="O102" s="1">
        <v>45753</v>
      </c>
      <c r="P102" s="1">
        <v>45759</v>
      </c>
      <c r="Q102">
        <v>10</v>
      </c>
      <c r="R102">
        <v>4</v>
      </c>
      <c r="S102">
        <v>100</v>
      </c>
      <c r="T102" s="1">
        <v>45757</v>
      </c>
      <c r="U102" s="1">
        <v>45757</v>
      </c>
      <c r="V102" t="s">
        <v>943</v>
      </c>
    </row>
    <row r="103" spans="1:22" x14ac:dyDescent="0.25">
      <c r="A103">
        <v>45758</v>
      </c>
      <c r="B103">
        <v>45658</v>
      </c>
      <c r="C103">
        <v>46022</v>
      </c>
      <c r="D103">
        <v>2025</v>
      </c>
      <c r="E103">
        <v>4</v>
      </c>
      <c r="F103">
        <v>45748</v>
      </c>
      <c r="G103" s="1">
        <v>45777</v>
      </c>
      <c r="H103">
        <v>30</v>
      </c>
      <c r="I103" t="s">
        <v>598</v>
      </c>
      <c r="J103">
        <v>2</v>
      </c>
      <c r="K103" s="1">
        <v>45748</v>
      </c>
      <c r="L103" s="1">
        <v>45838</v>
      </c>
      <c r="M103">
        <v>15</v>
      </c>
      <c r="N103">
        <v>2</v>
      </c>
      <c r="O103" s="1">
        <v>45753</v>
      </c>
      <c r="P103" s="1">
        <v>45759</v>
      </c>
      <c r="Q103">
        <v>11</v>
      </c>
      <c r="R103">
        <v>5</v>
      </c>
      <c r="S103">
        <v>101</v>
      </c>
      <c r="T103" s="1">
        <v>45758</v>
      </c>
      <c r="U103" s="1">
        <v>45758</v>
      </c>
      <c r="V103" t="s">
        <v>666</v>
      </c>
    </row>
    <row r="104" spans="1:22" x14ac:dyDescent="0.25">
      <c r="A104">
        <v>45759</v>
      </c>
      <c r="B104">
        <v>45658</v>
      </c>
      <c r="C104">
        <v>46022</v>
      </c>
      <c r="D104">
        <v>2025</v>
      </c>
      <c r="E104">
        <v>4</v>
      </c>
      <c r="F104">
        <v>45748</v>
      </c>
      <c r="G104" s="1">
        <v>45777</v>
      </c>
      <c r="H104">
        <v>30</v>
      </c>
      <c r="I104" t="s">
        <v>598</v>
      </c>
      <c r="J104">
        <v>2</v>
      </c>
      <c r="K104" s="1">
        <v>45748</v>
      </c>
      <c r="L104" s="1">
        <v>45838</v>
      </c>
      <c r="M104">
        <v>15</v>
      </c>
      <c r="N104">
        <v>2</v>
      </c>
      <c r="O104" s="1">
        <v>45753</v>
      </c>
      <c r="P104" s="1">
        <v>45759</v>
      </c>
      <c r="Q104">
        <v>12</v>
      </c>
      <c r="R104">
        <v>6</v>
      </c>
      <c r="S104">
        <v>102</v>
      </c>
      <c r="T104" s="1">
        <v>45759</v>
      </c>
      <c r="U104" s="1">
        <v>45759</v>
      </c>
      <c r="V104" t="s">
        <v>944</v>
      </c>
    </row>
    <row r="105" spans="1:22" x14ac:dyDescent="0.25">
      <c r="A105">
        <v>45760</v>
      </c>
      <c r="B105">
        <v>45658</v>
      </c>
      <c r="C105">
        <v>46022</v>
      </c>
      <c r="D105">
        <v>2025</v>
      </c>
      <c r="E105">
        <v>4</v>
      </c>
      <c r="F105">
        <v>45748</v>
      </c>
      <c r="G105" s="1">
        <v>45777</v>
      </c>
      <c r="H105">
        <v>30</v>
      </c>
      <c r="I105" t="s">
        <v>598</v>
      </c>
      <c r="J105">
        <v>2</v>
      </c>
      <c r="K105" s="1">
        <v>45748</v>
      </c>
      <c r="L105" s="1">
        <v>45838</v>
      </c>
      <c r="M105">
        <v>16</v>
      </c>
      <c r="N105">
        <v>3</v>
      </c>
      <c r="O105" s="1">
        <v>45760</v>
      </c>
      <c r="P105" s="1">
        <v>45766</v>
      </c>
      <c r="Q105">
        <v>13</v>
      </c>
      <c r="R105">
        <v>0</v>
      </c>
      <c r="S105">
        <v>103</v>
      </c>
      <c r="T105" s="1">
        <v>45760</v>
      </c>
      <c r="U105" s="1">
        <v>45760</v>
      </c>
      <c r="V105" t="s">
        <v>945</v>
      </c>
    </row>
    <row r="106" spans="1:22" x14ac:dyDescent="0.25">
      <c r="A106">
        <v>45761</v>
      </c>
      <c r="B106">
        <v>45658</v>
      </c>
      <c r="C106">
        <v>46022</v>
      </c>
      <c r="D106">
        <v>2025</v>
      </c>
      <c r="E106">
        <v>4</v>
      </c>
      <c r="F106">
        <v>45748</v>
      </c>
      <c r="G106" s="1">
        <v>45777</v>
      </c>
      <c r="H106">
        <v>30</v>
      </c>
      <c r="I106" t="s">
        <v>598</v>
      </c>
      <c r="J106">
        <v>2</v>
      </c>
      <c r="K106" s="1">
        <v>45748</v>
      </c>
      <c r="L106" s="1">
        <v>45838</v>
      </c>
      <c r="M106">
        <v>16</v>
      </c>
      <c r="N106">
        <v>3</v>
      </c>
      <c r="O106" s="1">
        <v>45760</v>
      </c>
      <c r="P106" s="1">
        <v>45766</v>
      </c>
      <c r="Q106">
        <v>14</v>
      </c>
      <c r="R106">
        <v>1</v>
      </c>
      <c r="S106">
        <v>104</v>
      </c>
      <c r="T106" s="1">
        <v>45761</v>
      </c>
      <c r="U106" s="1">
        <v>45761</v>
      </c>
      <c r="V106" t="s">
        <v>941</v>
      </c>
    </row>
    <row r="107" spans="1:22" x14ac:dyDescent="0.25">
      <c r="A107">
        <v>45762</v>
      </c>
      <c r="B107">
        <v>45658</v>
      </c>
      <c r="C107">
        <v>46022</v>
      </c>
      <c r="D107">
        <v>2025</v>
      </c>
      <c r="E107">
        <v>4</v>
      </c>
      <c r="F107">
        <v>45748</v>
      </c>
      <c r="G107" s="1">
        <v>45777</v>
      </c>
      <c r="H107">
        <v>30</v>
      </c>
      <c r="I107" t="s">
        <v>598</v>
      </c>
      <c r="J107">
        <v>2</v>
      </c>
      <c r="K107" s="1">
        <v>45748</v>
      </c>
      <c r="L107" s="1">
        <v>45838</v>
      </c>
      <c r="M107">
        <v>16</v>
      </c>
      <c r="N107">
        <v>3</v>
      </c>
      <c r="O107" s="1">
        <v>45760</v>
      </c>
      <c r="P107" s="1">
        <v>45766</v>
      </c>
      <c r="Q107">
        <v>15</v>
      </c>
      <c r="R107">
        <v>2</v>
      </c>
      <c r="S107">
        <v>105</v>
      </c>
      <c r="T107" s="1">
        <v>45762</v>
      </c>
      <c r="U107" s="1">
        <v>45762</v>
      </c>
      <c r="V107" t="s">
        <v>940</v>
      </c>
    </row>
    <row r="108" spans="1:22" x14ac:dyDescent="0.25">
      <c r="A108">
        <v>45763</v>
      </c>
      <c r="B108">
        <v>45658</v>
      </c>
      <c r="C108">
        <v>46022</v>
      </c>
      <c r="D108">
        <v>2025</v>
      </c>
      <c r="E108">
        <v>4</v>
      </c>
      <c r="F108">
        <v>45748</v>
      </c>
      <c r="G108" s="1">
        <v>45777</v>
      </c>
      <c r="H108">
        <v>30</v>
      </c>
      <c r="I108" t="s">
        <v>598</v>
      </c>
      <c r="J108">
        <v>2</v>
      </c>
      <c r="K108" s="1">
        <v>45748</v>
      </c>
      <c r="L108" s="1">
        <v>45838</v>
      </c>
      <c r="M108">
        <v>16</v>
      </c>
      <c r="N108">
        <v>3</v>
      </c>
      <c r="O108" s="1">
        <v>45760</v>
      </c>
      <c r="P108" s="1">
        <v>45766</v>
      </c>
      <c r="Q108">
        <v>16</v>
      </c>
      <c r="R108">
        <v>3</v>
      </c>
      <c r="S108">
        <v>106</v>
      </c>
      <c r="T108" s="1">
        <v>45763</v>
      </c>
      <c r="U108" s="1">
        <v>45763</v>
      </c>
      <c r="V108" t="s">
        <v>942</v>
      </c>
    </row>
    <row r="109" spans="1:22" x14ac:dyDescent="0.25">
      <c r="A109">
        <v>45764</v>
      </c>
      <c r="B109">
        <v>45658</v>
      </c>
      <c r="C109">
        <v>46022</v>
      </c>
      <c r="D109">
        <v>2025</v>
      </c>
      <c r="E109">
        <v>4</v>
      </c>
      <c r="F109">
        <v>45748</v>
      </c>
      <c r="G109" s="1">
        <v>45777</v>
      </c>
      <c r="H109">
        <v>30</v>
      </c>
      <c r="I109" t="s">
        <v>598</v>
      </c>
      <c r="J109">
        <v>2</v>
      </c>
      <c r="K109" s="1">
        <v>45748</v>
      </c>
      <c r="L109" s="1">
        <v>45838</v>
      </c>
      <c r="M109">
        <v>16</v>
      </c>
      <c r="N109">
        <v>3</v>
      </c>
      <c r="O109" s="1">
        <v>45760</v>
      </c>
      <c r="P109" s="1">
        <v>45766</v>
      </c>
      <c r="Q109">
        <v>17</v>
      </c>
      <c r="R109">
        <v>4</v>
      </c>
      <c r="S109">
        <v>107</v>
      </c>
      <c r="T109" s="1">
        <v>45764</v>
      </c>
      <c r="U109" s="1">
        <v>45764</v>
      </c>
      <c r="V109" t="s">
        <v>943</v>
      </c>
    </row>
    <row r="110" spans="1:22" x14ac:dyDescent="0.25">
      <c r="A110">
        <v>45765</v>
      </c>
      <c r="B110">
        <v>45658</v>
      </c>
      <c r="C110">
        <v>46022</v>
      </c>
      <c r="D110">
        <v>2025</v>
      </c>
      <c r="E110">
        <v>4</v>
      </c>
      <c r="F110">
        <v>45748</v>
      </c>
      <c r="G110" s="1">
        <v>45777</v>
      </c>
      <c r="H110">
        <v>30</v>
      </c>
      <c r="I110" t="s">
        <v>598</v>
      </c>
      <c r="J110">
        <v>2</v>
      </c>
      <c r="K110" s="1">
        <v>45748</v>
      </c>
      <c r="L110" s="1">
        <v>45838</v>
      </c>
      <c r="M110">
        <v>16</v>
      </c>
      <c r="N110">
        <v>3</v>
      </c>
      <c r="O110" s="1">
        <v>45760</v>
      </c>
      <c r="P110" s="1">
        <v>45766</v>
      </c>
      <c r="Q110">
        <v>18</v>
      </c>
      <c r="R110">
        <v>5</v>
      </c>
      <c r="S110">
        <v>108</v>
      </c>
      <c r="T110" s="1">
        <v>45765</v>
      </c>
      <c r="U110" s="1">
        <v>45765</v>
      </c>
      <c r="V110" t="s">
        <v>666</v>
      </c>
    </row>
    <row r="111" spans="1:22" x14ac:dyDescent="0.25">
      <c r="A111">
        <v>45766</v>
      </c>
      <c r="B111">
        <v>45658</v>
      </c>
      <c r="C111">
        <v>46022</v>
      </c>
      <c r="D111">
        <v>2025</v>
      </c>
      <c r="E111">
        <v>4</v>
      </c>
      <c r="F111">
        <v>45748</v>
      </c>
      <c r="G111" s="1">
        <v>45777</v>
      </c>
      <c r="H111">
        <v>30</v>
      </c>
      <c r="I111" t="s">
        <v>598</v>
      </c>
      <c r="J111">
        <v>2</v>
      </c>
      <c r="K111" s="1">
        <v>45748</v>
      </c>
      <c r="L111" s="1">
        <v>45838</v>
      </c>
      <c r="M111">
        <v>16</v>
      </c>
      <c r="N111">
        <v>3</v>
      </c>
      <c r="O111" s="1">
        <v>45760</v>
      </c>
      <c r="P111" s="1">
        <v>45766</v>
      </c>
      <c r="Q111">
        <v>19</v>
      </c>
      <c r="R111">
        <v>6</v>
      </c>
      <c r="S111">
        <v>109</v>
      </c>
      <c r="T111" s="1">
        <v>45766</v>
      </c>
      <c r="U111" s="1">
        <v>45766</v>
      </c>
      <c r="V111" t="s">
        <v>944</v>
      </c>
    </row>
    <row r="112" spans="1:22" x14ac:dyDescent="0.25">
      <c r="A112">
        <v>45767</v>
      </c>
      <c r="B112">
        <v>45658</v>
      </c>
      <c r="C112">
        <v>46022</v>
      </c>
      <c r="D112">
        <v>2025</v>
      </c>
      <c r="E112">
        <v>4</v>
      </c>
      <c r="F112">
        <v>45748</v>
      </c>
      <c r="G112" s="1">
        <v>45777</v>
      </c>
      <c r="H112">
        <v>30</v>
      </c>
      <c r="I112" t="s">
        <v>598</v>
      </c>
      <c r="J112">
        <v>2</v>
      </c>
      <c r="K112" s="1">
        <v>45748</v>
      </c>
      <c r="L112" s="1">
        <v>45838</v>
      </c>
      <c r="M112">
        <v>17</v>
      </c>
      <c r="N112">
        <v>4</v>
      </c>
      <c r="O112" s="1">
        <v>45767</v>
      </c>
      <c r="P112" s="1">
        <v>45773</v>
      </c>
      <c r="Q112">
        <v>20</v>
      </c>
      <c r="R112">
        <v>0</v>
      </c>
      <c r="S112">
        <v>110</v>
      </c>
      <c r="T112" s="1">
        <v>45767</v>
      </c>
      <c r="U112" s="1">
        <v>45767</v>
      </c>
      <c r="V112" t="s">
        <v>945</v>
      </c>
    </row>
    <row r="113" spans="1:22" x14ac:dyDescent="0.25">
      <c r="A113">
        <v>45768</v>
      </c>
      <c r="B113">
        <v>45658</v>
      </c>
      <c r="C113">
        <v>46022</v>
      </c>
      <c r="D113">
        <v>2025</v>
      </c>
      <c r="E113">
        <v>4</v>
      </c>
      <c r="F113">
        <v>45748</v>
      </c>
      <c r="G113" s="1">
        <v>45777</v>
      </c>
      <c r="H113">
        <v>30</v>
      </c>
      <c r="I113" t="s">
        <v>598</v>
      </c>
      <c r="J113">
        <v>2</v>
      </c>
      <c r="K113" s="1">
        <v>45748</v>
      </c>
      <c r="L113" s="1">
        <v>45838</v>
      </c>
      <c r="M113">
        <v>17</v>
      </c>
      <c r="N113">
        <v>4</v>
      </c>
      <c r="O113" s="1">
        <v>45767</v>
      </c>
      <c r="P113" s="1">
        <v>45773</v>
      </c>
      <c r="Q113">
        <v>21</v>
      </c>
      <c r="R113">
        <v>1</v>
      </c>
      <c r="S113">
        <v>111</v>
      </c>
      <c r="T113" s="1">
        <v>45768</v>
      </c>
      <c r="U113" s="1">
        <v>45768</v>
      </c>
      <c r="V113" t="s">
        <v>941</v>
      </c>
    </row>
    <row r="114" spans="1:22" x14ac:dyDescent="0.25">
      <c r="A114">
        <v>45769</v>
      </c>
      <c r="B114">
        <v>45658</v>
      </c>
      <c r="C114">
        <v>46022</v>
      </c>
      <c r="D114">
        <v>2025</v>
      </c>
      <c r="E114">
        <v>4</v>
      </c>
      <c r="F114">
        <v>45748</v>
      </c>
      <c r="G114" s="1">
        <v>45777</v>
      </c>
      <c r="H114">
        <v>30</v>
      </c>
      <c r="I114" t="s">
        <v>598</v>
      </c>
      <c r="J114">
        <v>2</v>
      </c>
      <c r="K114" s="1">
        <v>45748</v>
      </c>
      <c r="L114" s="1">
        <v>45838</v>
      </c>
      <c r="M114">
        <v>17</v>
      </c>
      <c r="N114">
        <v>4</v>
      </c>
      <c r="O114" s="1">
        <v>45767</v>
      </c>
      <c r="P114" s="1">
        <v>45773</v>
      </c>
      <c r="Q114">
        <v>22</v>
      </c>
      <c r="R114">
        <v>2</v>
      </c>
      <c r="S114">
        <v>112</v>
      </c>
      <c r="T114" s="1">
        <v>45769</v>
      </c>
      <c r="U114" s="1">
        <v>45769</v>
      </c>
      <c r="V114" t="s">
        <v>940</v>
      </c>
    </row>
    <row r="115" spans="1:22" x14ac:dyDescent="0.25">
      <c r="A115">
        <v>45770</v>
      </c>
      <c r="B115">
        <v>45658</v>
      </c>
      <c r="C115">
        <v>46022</v>
      </c>
      <c r="D115">
        <v>2025</v>
      </c>
      <c r="E115">
        <v>4</v>
      </c>
      <c r="F115">
        <v>45748</v>
      </c>
      <c r="G115" s="1">
        <v>45777</v>
      </c>
      <c r="H115">
        <v>30</v>
      </c>
      <c r="I115" t="s">
        <v>598</v>
      </c>
      <c r="J115">
        <v>2</v>
      </c>
      <c r="K115" s="1">
        <v>45748</v>
      </c>
      <c r="L115" s="1">
        <v>45838</v>
      </c>
      <c r="M115">
        <v>17</v>
      </c>
      <c r="N115">
        <v>4</v>
      </c>
      <c r="O115" s="1">
        <v>45767</v>
      </c>
      <c r="P115" s="1">
        <v>45773</v>
      </c>
      <c r="Q115">
        <v>23</v>
      </c>
      <c r="R115">
        <v>3</v>
      </c>
      <c r="S115">
        <v>113</v>
      </c>
      <c r="T115" s="1">
        <v>45770</v>
      </c>
      <c r="U115" s="1">
        <v>45770</v>
      </c>
      <c r="V115" t="s">
        <v>942</v>
      </c>
    </row>
    <row r="116" spans="1:22" x14ac:dyDescent="0.25">
      <c r="A116">
        <v>45771</v>
      </c>
      <c r="B116">
        <v>45658</v>
      </c>
      <c r="C116">
        <v>46022</v>
      </c>
      <c r="D116">
        <v>2025</v>
      </c>
      <c r="E116">
        <v>4</v>
      </c>
      <c r="F116">
        <v>45748</v>
      </c>
      <c r="G116" s="1">
        <v>45777</v>
      </c>
      <c r="H116">
        <v>30</v>
      </c>
      <c r="I116" t="s">
        <v>598</v>
      </c>
      <c r="J116">
        <v>2</v>
      </c>
      <c r="K116" s="1">
        <v>45748</v>
      </c>
      <c r="L116" s="1">
        <v>45838</v>
      </c>
      <c r="M116">
        <v>17</v>
      </c>
      <c r="N116">
        <v>4</v>
      </c>
      <c r="O116" s="1">
        <v>45767</v>
      </c>
      <c r="P116" s="1">
        <v>45773</v>
      </c>
      <c r="Q116">
        <v>24</v>
      </c>
      <c r="R116">
        <v>4</v>
      </c>
      <c r="S116">
        <v>114</v>
      </c>
      <c r="T116" s="1">
        <v>45771</v>
      </c>
      <c r="U116" s="1">
        <v>45771</v>
      </c>
      <c r="V116" t="s">
        <v>943</v>
      </c>
    </row>
    <row r="117" spans="1:22" x14ac:dyDescent="0.25">
      <c r="A117">
        <v>45772</v>
      </c>
      <c r="B117">
        <v>45658</v>
      </c>
      <c r="C117">
        <v>46022</v>
      </c>
      <c r="D117">
        <v>2025</v>
      </c>
      <c r="E117">
        <v>4</v>
      </c>
      <c r="F117">
        <v>45748</v>
      </c>
      <c r="G117" s="1">
        <v>45777</v>
      </c>
      <c r="H117">
        <v>30</v>
      </c>
      <c r="I117" t="s">
        <v>598</v>
      </c>
      <c r="J117">
        <v>2</v>
      </c>
      <c r="K117" s="1">
        <v>45748</v>
      </c>
      <c r="L117" s="1">
        <v>45838</v>
      </c>
      <c r="M117">
        <v>17</v>
      </c>
      <c r="N117">
        <v>4</v>
      </c>
      <c r="O117" s="1">
        <v>45767</v>
      </c>
      <c r="P117" s="1">
        <v>45773</v>
      </c>
      <c r="Q117">
        <v>25</v>
      </c>
      <c r="R117">
        <v>5</v>
      </c>
      <c r="S117">
        <v>115</v>
      </c>
      <c r="T117" s="1">
        <v>45772</v>
      </c>
      <c r="U117" s="1">
        <v>45772</v>
      </c>
      <c r="V117" t="s">
        <v>666</v>
      </c>
    </row>
    <row r="118" spans="1:22" x14ac:dyDescent="0.25">
      <c r="A118">
        <v>45773</v>
      </c>
      <c r="B118">
        <v>45658</v>
      </c>
      <c r="C118">
        <v>46022</v>
      </c>
      <c r="D118">
        <v>2025</v>
      </c>
      <c r="E118">
        <v>4</v>
      </c>
      <c r="F118">
        <v>45748</v>
      </c>
      <c r="G118" s="1">
        <v>45777</v>
      </c>
      <c r="H118">
        <v>30</v>
      </c>
      <c r="I118" t="s">
        <v>598</v>
      </c>
      <c r="J118">
        <v>2</v>
      </c>
      <c r="K118" s="1">
        <v>45748</v>
      </c>
      <c r="L118" s="1">
        <v>45838</v>
      </c>
      <c r="M118">
        <v>17</v>
      </c>
      <c r="N118">
        <v>4</v>
      </c>
      <c r="O118" s="1">
        <v>45767</v>
      </c>
      <c r="P118" s="1">
        <v>45773</v>
      </c>
      <c r="Q118">
        <v>26</v>
      </c>
      <c r="R118">
        <v>6</v>
      </c>
      <c r="S118">
        <v>116</v>
      </c>
      <c r="T118" s="1">
        <v>45773</v>
      </c>
      <c r="U118" s="1">
        <v>45773</v>
      </c>
      <c r="V118" t="s">
        <v>944</v>
      </c>
    </row>
    <row r="119" spans="1:22" x14ac:dyDescent="0.25">
      <c r="A119">
        <v>45774</v>
      </c>
      <c r="B119">
        <v>45658</v>
      </c>
      <c r="C119">
        <v>46022</v>
      </c>
      <c r="D119">
        <v>2025</v>
      </c>
      <c r="E119">
        <v>4</v>
      </c>
      <c r="F119">
        <v>45748</v>
      </c>
      <c r="G119" s="1">
        <v>45777</v>
      </c>
      <c r="H119">
        <v>30</v>
      </c>
      <c r="I119" t="s">
        <v>598</v>
      </c>
      <c r="J119">
        <v>2</v>
      </c>
      <c r="K119" s="1">
        <v>45748</v>
      </c>
      <c r="L119" s="1">
        <v>45838</v>
      </c>
      <c r="M119">
        <v>18</v>
      </c>
      <c r="N119">
        <v>5</v>
      </c>
      <c r="O119" s="1">
        <v>45774</v>
      </c>
      <c r="P119" s="1">
        <v>45780</v>
      </c>
      <c r="Q119">
        <v>27</v>
      </c>
      <c r="R119">
        <v>0</v>
      </c>
      <c r="S119">
        <v>117</v>
      </c>
      <c r="T119" s="1">
        <v>45774</v>
      </c>
      <c r="U119" s="1">
        <v>45774</v>
      </c>
      <c r="V119" t="s">
        <v>945</v>
      </c>
    </row>
    <row r="120" spans="1:22" x14ac:dyDescent="0.25">
      <c r="A120">
        <v>45775</v>
      </c>
      <c r="B120">
        <v>45658</v>
      </c>
      <c r="C120">
        <v>46022</v>
      </c>
      <c r="D120">
        <v>2025</v>
      </c>
      <c r="E120">
        <v>4</v>
      </c>
      <c r="F120">
        <v>45748</v>
      </c>
      <c r="G120" s="1">
        <v>45777</v>
      </c>
      <c r="H120">
        <v>30</v>
      </c>
      <c r="I120" t="s">
        <v>598</v>
      </c>
      <c r="J120">
        <v>2</v>
      </c>
      <c r="K120" s="1">
        <v>45748</v>
      </c>
      <c r="L120" s="1">
        <v>45838</v>
      </c>
      <c r="M120">
        <v>18</v>
      </c>
      <c r="N120">
        <v>5</v>
      </c>
      <c r="O120" s="1">
        <v>45774</v>
      </c>
      <c r="P120" s="1">
        <v>45780</v>
      </c>
      <c r="Q120">
        <v>28</v>
      </c>
      <c r="R120">
        <v>1</v>
      </c>
      <c r="S120">
        <v>118</v>
      </c>
      <c r="T120" s="1">
        <v>45775</v>
      </c>
      <c r="U120" s="1">
        <v>45775</v>
      </c>
      <c r="V120" t="s">
        <v>941</v>
      </c>
    </row>
    <row r="121" spans="1:22" x14ac:dyDescent="0.25">
      <c r="A121">
        <v>45776</v>
      </c>
      <c r="B121">
        <v>45658</v>
      </c>
      <c r="C121">
        <v>46022</v>
      </c>
      <c r="D121">
        <v>2025</v>
      </c>
      <c r="E121">
        <v>4</v>
      </c>
      <c r="F121">
        <v>45748</v>
      </c>
      <c r="G121" s="1">
        <v>45777</v>
      </c>
      <c r="H121">
        <v>30</v>
      </c>
      <c r="I121" t="s">
        <v>598</v>
      </c>
      <c r="J121">
        <v>2</v>
      </c>
      <c r="K121" s="1">
        <v>45748</v>
      </c>
      <c r="L121" s="1">
        <v>45838</v>
      </c>
      <c r="M121">
        <v>18</v>
      </c>
      <c r="N121">
        <v>5</v>
      </c>
      <c r="O121" s="1">
        <v>45774</v>
      </c>
      <c r="P121" s="1">
        <v>45780</v>
      </c>
      <c r="Q121">
        <v>29</v>
      </c>
      <c r="R121">
        <v>2</v>
      </c>
      <c r="S121">
        <v>119</v>
      </c>
      <c r="T121" s="1">
        <v>45776</v>
      </c>
      <c r="U121" s="1">
        <v>45776</v>
      </c>
      <c r="V121" t="s">
        <v>940</v>
      </c>
    </row>
    <row r="122" spans="1:22" x14ac:dyDescent="0.25">
      <c r="A122">
        <v>45777</v>
      </c>
      <c r="B122">
        <v>45658</v>
      </c>
      <c r="C122">
        <v>46022</v>
      </c>
      <c r="D122">
        <v>2025</v>
      </c>
      <c r="E122">
        <v>4</v>
      </c>
      <c r="F122">
        <v>45748</v>
      </c>
      <c r="G122" s="1">
        <v>45777</v>
      </c>
      <c r="H122">
        <v>30</v>
      </c>
      <c r="I122" t="s">
        <v>598</v>
      </c>
      <c r="J122">
        <v>2</v>
      </c>
      <c r="K122" s="1">
        <v>45748</v>
      </c>
      <c r="L122" s="1">
        <v>45838</v>
      </c>
      <c r="M122">
        <v>18</v>
      </c>
      <c r="N122">
        <v>5</v>
      </c>
      <c r="O122" s="1">
        <v>45774</v>
      </c>
      <c r="P122" s="1">
        <v>45780</v>
      </c>
      <c r="Q122">
        <v>30</v>
      </c>
      <c r="R122">
        <v>3</v>
      </c>
      <c r="S122">
        <v>120</v>
      </c>
      <c r="T122" s="1">
        <v>45777</v>
      </c>
      <c r="U122" s="1">
        <v>45777</v>
      </c>
      <c r="V122" t="s">
        <v>942</v>
      </c>
    </row>
    <row r="123" spans="1:22" x14ac:dyDescent="0.25">
      <c r="A123">
        <v>45778</v>
      </c>
      <c r="B123">
        <v>45658</v>
      </c>
      <c r="C123">
        <v>46022</v>
      </c>
      <c r="D123">
        <v>2025</v>
      </c>
      <c r="E123">
        <v>5</v>
      </c>
      <c r="F123">
        <v>45778</v>
      </c>
      <c r="G123" s="1">
        <v>45808</v>
      </c>
      <c r="H123">
        <v>31</v>
      </c>
      <c r="I123" t="s">
        <v>962</v>
      </c>
      <c r="J123">
        <v>2</v>
      </c>
      <c r="K123" s="1">
        <v>45748</v>
      </c>
      <c r="L123" s="1">
        <v>45838</v>
      </c>
      <c r="M123">
        <v>18</v>
      </c>
      <c r="N123">
        <v>1</v>
      </c>
      <c r="O123" s="1">
        <v>45774</v>
      </c>
      <c r="P123" s="1">
        <v>45780</v>
      </c>
      <c r="Q123">
        <v>1</v>
      </c>
      <c r="R123">
        <v>4</v>
      </c>
      <c r="S123">
        <v>121</v>
      </c>
      <c r="T123" s="1">
        <v>45778</v>
      </c>
      <c r="U123" s="1">
        <v>45778</v>
      </c>
      <c r="V123" t="s">
        <v>943</v>
      </c>
    </row>
    <row r="124" spans="1:22" x14ac:dyDescent="0.25">
      <c r="A124">
        <v>45779</v>
      </c>
      <c r="B124">
        <v>45658</v>
      </c>
      <c r="C124">
        <v>46022</v>
      </c>
      <c r="D124">
        <v>2025</v>
      </c>
      <c r="E124">
        <v>5</v>
      </c>
      <c r="F124">
        <v>45778</v>
      </c>
      <c r="G124" s="1">
        <v>45808</v>
      </c>
      <c r="H124">
        <v>31</v>
      </c>
      <c r="I124" t="s">
        <v>962</v>
      </c>
      <c r="J124">
        <v>2</v>
      </c>
      <c r="K124" s="1">
        <v>45748</v>
      </c>
      <c r="L124" s="1">
        <v>45838</v>
      </c>
      <c r="M124">
        <v>18</v>
      </c>
      <c r="N124">
        <v>1</v>
      </c>
      <c r="O124" s="1">
        <v>45774</v>
      </c>
      <c r="P124" s="1">
        <v>45780</v>
      </c>
      <c r="Q124">
        <v>2</v>
      </c>
      <c r="R124">
        <v>5</v>
      </c>
      <c r="S124">
        <v>122</v>
      </c>
      <c r="T124" s="1">
        <v>45779</v>
      </c>
      <c r="U124" s="1">
        <v>45779</v>
      </c>
      <c r="V124" t="s">
        <v>666</v>
      </c>
    </row>
    <row r="125" spans="1:22" x14ac:dyDescent="0.25">
      <c r="A125">
        <v>45780</v>
      </c>
      <c r="B125">
        <v>45658</v>
      </c>
      <c r="C125">
        <v>46022</v>
      </c>
      <c r="D125">
        <v>2025</v>
      </c>
      <c r="E125">
        <v>5</v>
      </c>
      <c r="F125">
        <v>45778</v>
      </c>
      <c r="G125" s="1">
        <v>45808</v>
      </c>
      <c r="H125">
        <v>31</v>
      </c>
      <c r="I125" t="s">
        <v>962</v>
      </c>
      <c r="J125">
        <v>2</v>
      </c>
      <c r="K125" s="1">
        <v>45748</v>
      </c>
      <c r="L125" s="1">
        <v>45838</v>
      </c>
      <c r="M125">
        <v>18</v>
      </c>
      <c r="N125">
        <v>1</v>
      </c>
      <c r="O125" s="1">
        <v>45774</v>
      </c>
      <c r="P125" s="1">
        <v>45780</v>
      </c>
      <c r="Q125">
        <v>3</v>
      </c>
      <c r="R125">
        <v>6</v>
      </c>
      <c r="S125">
        <v>123</v>
      </c>
      <c r="T125" s="1">
        <v>45780</v>
      </c>
      <c r="U125" s="1">
        <v>45780</v>
      </c>
      <c r="V125" t="s">
        <v>944</v>
      </c>
    </row>
    <row r="126" spans="1:22" x14ac:dyDescent="0.25">
      <c r="A126">
        <v>45781</v>
      </c>
      <c r="B126">
        <v>45658</v>
      </c>
      <c r="C126">
        <v>46022</v>
      </c>
      <c r="D126">
        <v>2025</v>
      </c>
      <c r="E126">
        <v>5</v>
      </c>
      <c r="F126">
        <v>45778</v>
      </c>
      <c r="G126" s="1">
        <v>45808</v>
      </c>
      <c r="H126">
        <v>31</v>
      </c>
      <c r="I126" t="s">
        <v>962</v>
      </c>
      <c r="J126">
        <v>2</v>
      </c>
      <c r="K126" s="1">
        <v>45748</v>
      </c>
      <c r="L126" s="1">
        <v>45838</v>
      </c>
      <c r="M126">
        <v>19</v>
      </c>
      <c r="N126">
        <v>2</v>
      </c>
      <c r="O126" s="1">
        <v>45781</v>
      </c>
      <c r="P126" s="1">
        <v>45787</v>
      </c>
      <c r="Q126">
        <v>4</v>
      </c>
      <c r="R126">
        <v>0</v>
      </c>
      <c r="S126">
        <v>124</v>
      </c>
      <c r="T126" s="1">
        <v>45781</v>
      </c>
      <c r="U126" s="1">
        <v>45781</v>
      </c>
      <c r="V126" t="s">
        <v>945</v>
      </c>
    </row>
    <row r="127" spans="1:22" x14ac:dyDescent="0.25">
      <c r="A127">
        <v>45782</v>
      </c>
      <c r="B127">
        <v>45658</v>
      </c>
      <c r="C127">
        <v>46022</v>
      </c>
      <c r="D127">
        <v>2025</v>
      </c>
      <c r="E127">
        <v>5</v>
      </c>
      <c r="F127">
        <v>45778</v>
      </c>
      <c r="G127" s="1">
        <v>45808</v>
      </c>
      <c r="H127">
        <v>31</v>
      </c>
      <c r="I127" t="s">
        <v>962</v>
      </c>
      <c r="J127">
        <v>2</v>
      </c>
      <c r="K127" s="1">
        <v>45748</v>
      </c>
      <c r="L127" s="1">
        <v>45838</v>
      </c>
      <c r="M127">
        <v>19</v>
      </c>
      <c r="N127">
        <v>2</v>
      </c>
      <c r="O127" s="1">
        <v>45781</v>
      </c>
      <c r="P127" s="1">
        <v>45787</v>
      </c>
      <c r="Q127">
        <v>5</v>
      </c>
      <c r="R127">
        <v>1</v>
      </c>
      <c r="S127">
        <v>125</v>
      </c>
      <c r="T127" s="1">
        <v>45782</v>
      </c>
      <c r="U127" s="1">
        <v>45782</v>
      </c>
      <c r="V127" t="s">
        <v>941</v>
      </c>
    </row>
    <row r="128" spans="1:22" x14ac:dyDescent="0.25">
      <c r="A128">
        <v>45783</v>
      </c>
      <c r="B128">
        <v>45658</v>
      </c>
      <c r="C128">
        <v>46022</v>
      </c>
      <c r="D128">
        <v>2025</v>
      </c>
      <c r="E128">
        <v>5</v>
      </c>
      <c r="F128">
        <v>45778</v>
      </c>
      <c r="G128" s="1">
        <v>45808</v>
      </c>
      <c r="H128">
        <v>31</v>
      </c>
      <c r="I128" t="s">
        <v>962</v>
      </c>
      <c r="J128">
        <v>2</v>
      </c>
      <c r="K128" s="1">
        <v>45748</v>
      </c>
      <c r="L128" s="1">
        <v>45838</v>
      </c>
      <c r="M128">
        <v>19</v>
      </c>
      <c r="N128">
        <v>2</v>
      </c>
      <c r="O128" s="1">
        <v>45781</v>
      </c>
      <c r="P128" s="1">
        <v>45787</v>
      </c>
      <c r="Q128">
        <v>6</v>
      </c>
      <c r="R128">
        <v>2</v>
      </c>
      <c r="S128">
        <v>126</v>
      </c>
      <c r="T128" s="1">
        <v>45783</v>
      </c>
      <c r="U128" s="1">
        <v>45783</v>
      </c>
      <c r="V128" t="s">
        <v>940</v>
      </c>
    </row>
    <row r="129" spans="1:22" x14ac:dyDescent="0.25">
      <c r="A129">
        <v>45784</v>
      </c>
      <c r="B129">
        <v>45658</v>
      </c>
      <c r="C129">
        <v>46022</v>
      </c>
      <c r="D129">
        <v>2025</v>
      </c>
      <c r="E129">
        <v>5</v>
      </c>
      <c r="F129">
        <v>45778</v>
      </c>
      <c r="G129" s="1">
        <v>45808</v>
      </c>
      <c r="H129">
        <v>31</v>
      </c>
      <c r="I129" t="s">
        <v>962</v>
      </c>
      <c r="J129">
        <v>2</v>
      </c>
      <c r="K129" s="1">
        <v>45748</v>
      </c>
      <c r="L129" s="1">
        <v>45838</v>
      </c>
      <c r="M129">
        <v>19</v>
      </c>
      <c r="N129">
        <v>2</v>
      </c>
      <c r="O129" s="1">
        <v>45781</v>
      </c>
      <c r="P129" s="1">
        <v>45787</v>
      </c>
      <c r="Q129">
        <v>7</v>
      </c>
      <c r="R129">
        <v>3</v>
      </c>
      <c r="S129">
        <v>127</v>
      </c>
      <c r="T129" s="1">
        <v>45784</v>
      </c>
      <c r="U129" s="1">
        <v>45784</v>
      </c>
      <c r="V129" t="s">
        <v>942</v>
      </c>
    </row>
    <row r="130" spans="1:22" x14ac:dyDescent="0.25">
      <c r="A130">
        <v>45785</v>
      </c>
      <c r="B130">
        <v>45658</v>
      </c>
      <c r="C130">
        <v>46022</v>
      </c>
      <c r="D130">
        <v>2025</v>
      </c>
      <c r="E130">
        <v>5</v>
      </c>
      <c r="F130">
        <v>45778</v>
      </c>
      <c r="G130" s="1">
        <v>45808</v>
      </c>
      <c r="H130">
        <v>31</v>
      </c>
      <c r="I130" t="s">
        <v>962</v>
      </c>
      <c r="J130">
        <v>2</v>
      </c>
      <c r="K130" s="1">
        <v>45748</v>
      </c>
      <c r="L130" s="1">
        <v>45838</v>
      </c>
      <c r="M130">
        <v>19</v>
      </c>
      <c r="N130">
        <v>2</v>
      </c>
      <c r="O130" s="1">
        <v>45781</v>
      </c>
      <c r="P130" s="1">
        <v>45787</v>
      </c>
      <c r="Q130">
        <v>8</v>
      </c>
      <c r="R130">
        <v>4</v>
      </c>
      <c r="S130">
        <v>128</v>
      </c>
      <c r="T130" s="1">
        <v>45785</v>
      </c>
      <c r="U130" s="1">
        <v>45785</v>
      </c>
      <c r="V130" t="s">
        <v>943</v>
      </c>
    </row>
    <row r="131" spans="1:22" x14ac:dyDescent="0.25">
      <c r="A131">
        <v>45786</v>
      </c>
      <c r="B131">
        <v>45658</v>
      </c>
      <c r="C131">
        <v>46022</v>
      </c>
      <c r="D131">
        <v>2025</v>
      </c>
      <c r="E131">
        <v>5</v>
      </c>
      <c r="F131">
        <v>45778</v>
      </c>
      <c r="G131" s="1">
        <v>45808</v>
      </c>
      <c r="H131">
        <v>31</v>
      </c>
      <c r="I131" t="s">
        <v>962</v>
      </c>
      <c r="J131">
        <v>2</v>
      </c>
      <c r="K131" s="1">
        <v>45748</v>
      </c>
      <c r="L131" s="1">
        <v>45838</v>
      </c>
      <c r="M131">
        <v>19</v>
      </c>
      <c r="N131">
        <v>2</v>
      </c>
      <c r="O131" s="1">
        <v>45781</v>
      </c>
      <c r="P131" s="1">
        <v>45787</v>
      </c>
      <c r="Q131">
        <v>9</v>
      </c>
      <c r="R131">
        <v>5</v>
      </c>
      <c r="S131">
        <v>129</v>
      </c>
      <c r="T131" s="1">
        <v>45786</v>
      </c>
      <c r="U131" s="1">
        <v>45786</v>
      </c>
      <c r="V131" t="s">
        <v>666</v>
      </c>
    </row>
    <row r="132" spans="1:22" x14ac:dyDescent="0.25">
      <c r="A132">
        <v>45787</v>
      </c>
      <c r="B132">
        <v>45658</v>
      </c>
      <c r="C132">
        <v>46022</v>
      </c>
      <c r="D132">
        <v>2025</v>
      </c>
      <c r="E132">
        <v>5</v>
      </c>
      <c r="F132">
        <v>45778</v>
      </c>
      <c r="G132" s="1">
        <v>45808</v>
      </c>
      <c r="H132">
        <v>31</v>
      </c>
      <c r="I132" t="s">
        <v>962</v>
      </c>
      <c r="J132">
        <v>2</v>
      </c>
      <c r="K132" s="1">
        <v>45748</v>
      </c>
      <c r="L132" s="1">
        <v>45838</v>
      </c>
      <c r="M132">
        <v>19</v>
      </c>
      <c r="N132">
        <v>2</v>
      </c>
      <c r="O132" s="1">
        <v>45781</v>
      </c>
      <c r="P132" s="1">
        <v>45787</v>
      </c>
      <c r="Q132">
        <v>10</v>
      </c>
      <c r="R132">
        <v>6</v>
      </c>
      <c r="S132">
        <v>130</v>
      </c>
      <c r="T132" s="1">
        <v>45787</v>
      </c>
      <c r="U132" s="1">
        <v>45787</v>
      </c>
      <c r="V132" t="s">
        <v>944</v>
      </c>
    </row>
    <row r="133" spans="1:22" x14ac:dyDescent="0.25">
      <c r="A133">
        <v>45788</v>
      </c>
      <c r="B133">
        <v>45658</v>
      </c>
      <c r="C133">
        <v>46022</v>
      </c>
      <c r="D133">
        <v>2025</v>
      </c>
      <c r="E133">
        <v>5</v>
      </c>
      <c r="F133">
        <v>45778</v>
      </c>
      <c r="G133" s="1">
        <v>45808</v>
      </c>
      <c r="H133">
        <v>31</v>
      </c>
      <c r="I133" t="s">
        <v>962</v>
      </c>
      <c r="J133">
        <v>2</v>
      </c>
      <c r="K133" s="1">
        <v>45748</v>
      </c>
      <c r="L133" s="1">
        <v>45838</v>
      </c>
      <c r="M133">
        <v>20</v>
      </c>
      <c r="N133">
        <v>3</v>
      </c>
      <c r="O133" s="1">
        <v>45788</v>
      </c>
      <c r="P133" s="1">
        <v>45794</v>
      </c>
      <c r="Q133">
        <v>11</v>
      </c>
      <c r="R133">
        <v>0</v>
      </c>
      <c r="S133">
        <v>131</v>
      </c>
      <c r="T133" s="1">
        <v>45788</v>
      </c>
      <c r="U133" s="1">
        <v>45788</v>
      </c>
      <c r="V133" t="s">
        <v>945</v>
      </c>
    </row>
    <row r="134" spans="1:22" x14ac:dyDescent="0.25">
      <c r="A134">
        <v>45789</v>
      </c>
      <c r="B134">
        <v>45658</v>
      </c>
      <c r="C134">
        <v>46022</v>
      </c>
      <c r="D134">
        <v>2025</v>
      </c>
      <c r="E134">
        <v>5</v>
      </c>
      <c r="F134">
        <v>45778</v>
      </c>
      <c r="G134" s="1">
        <v>45808</v>
      </c>
      <c r="H134">
        <v>31</v>
      </c>
      <c r="I134" t="s">
        <v>962</v>
      </c>
      <c r="J134">
        <v>2</v>
      </c>
      <c r="K134" s="1">
        <v>45748</v>
      </c>
      <c r="L134" s="1">
        <v>45838</v>
      </c>
      <c r="M134">
        <v>20</v>
      </c>
      <c r="N134">
        <v>3</v>
      </c>
      <c r="O134" s="1">
        <v>45788</v>
      </c>
      <c r="P134" s="1">
        <v>45794</v>
      </c>
      <c r="Q134">
        <v>12</v>
      </c>
      <c r="R134">
        <v>1</v>
      </c>
      <c r="S134">
        <v>132</v>
      </c>
      <c r="T134" s="1">
        <v>45789</v>
      </c>
      <c r="U134" s="1">
        <v>45789</v>
      </c>
      <c r="V134" t="s">
        <v>941</v>
      </c>
    </row>
    <row r="135" spans="1:22" x14ac:dyDescent="0.25">
      <c r="A135">
        <v>45790</v>
      </c>
      <c r="B135">
        <v>45658</v>
      </c>
      <c r="C135">
        <v>46022</v>
      </c>
      <c r="D135">
        <v>2025</v>
      </c>
      <c r="E135">
        <v>5</v>
      </c>
      <c r="F135">
        <v>45778</v>
      </c>
      <c r="G135" s="1">
        <v>45808</v>
      </c>
      <c r="H135">
        <v>31</v>
      </c>
      <c r="I135" t="s">
        <v>962</v>
      </c>
      <c r="J135">
        <v>2</v>
      </c>
      <c r="K135" s="1">
        <v>45748</v>
      </c>
      <c r="L135" s="1">
        <v>45838</v>
      </c>
      <c r="M135">
        <v>20</v>
      </c>
      <c r="N135">
        <v>3</v>
      </c>
      <c r="O135" s="1">
        <v>45788</v>
      </c>
      <c r="P135" s="1">
        <v>45794</v>
      </c>
      <c r="Q135">
        <v>13</v>
      </c>
      <c r="R135">
        <v>2</v>
      </c>
      <c r="S135">
        <v>133</v>
      </c>
      <c r="T135" s="1">
        <v>45790</v>
      </c>
      <c r="U135" s="1">
        <v>45790</v>
      </c>
      <c r="V135" t="s">
        <v>940</v>
      </c>
    </row>
    <row r="136" spans="1:22" x14ac:dyDescent="0.25">
      <c r="A136">
        <v>45791</v>
      </c>
      <c r="B136">
        <v>45658</v>
      </c>
      <c r="C136">
        <v>46022</v>
      </c>
      <c r="D136">
        <v>2025</v>
      </c>
      <c r="E136">
        <v>5</v>
      </c>
      <c r="F136">
        <v>45778</v>
      </c>
      <c r="G136" s="1">
        <v>45808</v>
      </c>
      <c r="H136">
        <v>31</v>
      </c>
      <c r="I136" t="s">
        <v>962</v>
      </c>
      <c r="J136">
        <v>2</v>
      </c>
      <c r="K136" s="1">
        <v>45748</v>
      </c>
      <c r="L136" s="1">
        <v>45838</v>
      </c>
      <c r="M136">
        <v>20</v>
      </c>
      <c r="N136">
        <v>3</v>
      </c>
      <c r="O136" s="1">
        <v>45788</v>
      </c>
      <c r="P136" s="1">
        <v>45794</v>
      </c>
      <c r="Q136">
        <v>14</v>
      </c>
      <c r="R136">
        <v>3</v>
      </c>
      <c r="S136">
        <v>134</v>
      </c>
      <c r="T136" s="1">
        <v>45791</v>
      </c>
      <c r="U136" s="1">
        <v>45791</v>
      </c>
      <c r="V136" t="s">
        <v>942</v>
      </c>
    </row>
    <row r="137" spans="1:22" x14ac:dyDescent="0.25">
      <c r="A137">
        <v>45792</v>
      </c>
      <c r="B137">
        <v>45658</v>
      </c>
      <c r="C137">
        <v>46022</v>
      </c>
      <c r="D137">
        <v>2025</v>
      </c>
      <c r="E137">
        <v>5</v>
      </c>
      <c r="F137">
        <v>45778</v>
      </c>
      <c r="G137" s="1">
        <v>45808</v>
      </c>
      <c r="H137">
        <v>31</v>
      </c>
      <c r="I137" t="s">
        <v>962</v>
      </c>
      <c r="J137">
        <v>2</v>
      </c>
      <c r="K137" s="1">
        <v>45748</v>
      </c>
      <c r="L137" s="1">
        <v>45838</v>
      </c>
      <c r="M137">
        <v>20</v>
      </c>
      <c r="N137">
        <v>3</v>
      </c>
      <c r="O137" s="1">
        <v>45788</v>
      </c>
      <c r="P137" s="1">
        <v>45794</v>
      </c>
      <c r="Q137">
        <v>15</v>
      </c>
      <c r="R137">
        <v>4</v>
      </c>
      <c r="S137">
        <v>135</v>
      </c>
      <c r="T137" s="1">
        <v>45792</v>
      </c>
      <c r="U137" s="1">
        <v>45792</v>
      </c>
      <c r="V137" t="s">
        <v>943</v>
      </c>
    </row>
    <row r="138" spans="1:22" x14ac:dyDescent="0.25">
      <c r="A138">
        <v>45793</v>
      </c>
      <c r="B138">
        <v>45658</v>
      </c>
      <c r="C138">
        <v>46022</v>
      </c>
      <c r="D138">
        <v>2025</v>
      </c>
      <c r="E138">
        <v>5</v>
      </c>
      <c r="F138">
        <v>45778</v>
      </c>
      <c r="G138" s="1">
        <v>45808</v>
      </c>
      <c r="H138">
        <v>31</v>
      </c>
      <c r="I138" t="s">
        <v>962</v>
      </c>
      <c r="J138">
        <v>2</v>
      </c>
      <c r="K138" s="1">
        <v>45748</v>
      </c>
      <c r="L138" s="1">
        <v>45838</v>
      </c>
      <c r="M138">
        <v>20</v>
      </c>
      <c r="N138">
        <v>3</v>
      </c>
      <c r="O138" s="1">
        <v>45788</v>
      </c>
      <c r="P138" s="1">
        <v>45794</v>
      </c>
      <c r="Q138">
        <v>16</v>
      </c>
      <c r="R138">
        <v>5</v>
      </c>
      <c r="S138">
        <v>136</v>
      </c>
      <c r="T138" s="1">
        <v>45793</v>
      </c>
      <c r="U138" s="1">
        <v>45793</v>
      </c>
      <c r="V138" t="s">
        <v>666</v>
      </c>
    </row>
    <row r="139" spans="1:22" x14ac:dyDescent="0.25">
      <c r="A139">
        <v>45794</v>
      </c>
      <c r="B139">
        <v>45658</v>
      </c>
      <c r="C139">
        <v>46022</v>
      </c>
      <c r="D139">
        <v>2025</v>
      </c>
      <c r="E139">
        <v>5</v>
      </c>
      <c r="F139">
        <v>45778</v>
      </c>
      <c r="G139" s="1">
        <v>45808</v>
      </c>
      <c r="H139">
        <v>31</v>
      </c>
      <c r="I139" t="s">
        <v>962</v>
      </c>
      <c r="J139">
        <v>2</v>
      </c>
      <c r="K139" s="1">
        <v>45748</v>
      </c>
      <c r="L139" s="1">
        <v>45838</v>
      </c>
      <c r="M139">
        <v>20</v>
      </c>
      <c r="N139">
        <v>3</v>
      </c>
      <c r="O139" s="1">
        <v>45788</v>
      </c>
      <c r="P139" s="1">
        <v>45794</v>
      </c>
      <c r="Q139">
        <v>17</v>
      </c>
      <c r="R139">
        <v>6</v>
      </c>
      <c r="S139">
        <v>137</v>
      </c>
      <c r="T139" s="1">
        <v>45794</v>
      </c>
      <c r="U139" s="1">
        <v>45794</v>
      </c>
      <c r="V139" t="s">
        <v>944</v>
      </c>
    </row>
    <row r="140" spans="1:22" x14ac:dyDescent="0.25">
      <c r="A140">
        <v>45795</v>
      </c>
      <c r="B140">
        <v>45658</v>
      </c>
      <c r="C140">
        <v>46022</v>
      </c>
      <c r="D140">
        <v>2025</v>
      </c>
      <c r="E140">
        <v>5</v>
      </c>
      <c r="F140">
        <v>45778</v>
      </c>
      <c r="G140" s="1">
        <v>45808</v>
      </c>
      <c r="H140">
        <v>31</v>
      </c>
      <c r="I140" t="s">
        <v>962</v>
      </c>
      <c r="J140">
        <v>2</v>
      </c>
      <c r="K140" s="1">
        <v>45748</v>
      </c>
      <c r="L140" s="1">
        <v>45838</v>
      </c>
      <c r="M140">
        <v>21</v>
      </c>
      <c r="N140">
        <v>4</v>
      </c>
      <c r="O140" s="1">
        <v>45795</v>
      </c>
      <c r="P140" s="1">
        <v>45801</v>
      </c>
      <c r="Q140">
        <v>18</v>
      </c>
      <c r="R140">
        <v>0</v>
      </c>
      <c r="S140">
        <v>138</v>
      </c>
      <c r="T140" s="1">
        <v>45795</v>
      </c>
      <c r="U140" s="1">
        <v>45795</v>
      </c>
      <c r="V140" t="s">
        <v>945</v>
      </c>
    </row>
    <row r="141" spans="1:22" x14ac:dyDescent="0.25">
      <c r="A141">
        <v>45796</v>
      </c>
      <c r="B141">
        <v>45658</v>
      </c>
      <c r="C141">
        <v>46022</v>
      </c>
      <c r="D141">
        <v>2025</v>
      </c>
      <c r="E141">
        <v>5</v>
      </c>
      <c r="F141">
        <v>45778</v>
      </c>
      <c r="G141" s="1">
        <v>45808</v>
      </c>
      <c r="H141">
        <v>31</v>
      </c>
      <c r="I141" t="s">
        <v>962</v>
      </c>
      <c r="J141">
        <v>2</v>
      </c>
      <c r="K141" s="1">
        <v>45748</v>
      </c>
      <c r="L141" s="1">
        <v>45838</v>
      </c>
      <c r="M141">
        <v>21</v>
      </c>
      <c r="N141">
        <v>4</v>
      </c>
      <c r="O141" s="1">
        <v>45795</v>
      </c>
      <c r="P141" s="1">
        <v>45801</v>
      </c>
      <c r="Q141">
        <v>19</v>
      </c>
      <c r="R141">
        <v>1</v>
      </c>
      <c r="S141">
        <v>139</v>
      </c>
      <c r="T141" s="1">
        <v>45796</v>
      </c>
      <c r="U141" s="1">
        <v>45796</v>
      </c>
      <c r="V141" t="s">
        <v>941</v>
      </c>
    </row>
    <row r="142" spans="1:22" x14ac:dyDescent="0.25">
      <c r="A142">
        <v>45797</v>
      </c>
      <c r="B142">
        <v>45658</v>
      </c>
      <c r="C142">
        <v>46022</v>
      </c>
      <c r="D142">
        <v>2025</v>
      </c>
      <c r="E142">
        <v>5</v>
      </c>
      <c r="F142">
        <v>45778</v>
      </c>
      <c r="G142" s="1">
        <v>45808</v>
      </c>
      <c r="H142">
        <v>31</v>
      </c>
      <c r="I142" t="s">
        <v>962</v>
      </c>
      <c r="J142">
        <v>2</v>
      </c>
      <c r="K142" s="1">
        <v>45748</v>
      </c>
      <c r="L142" s="1">
        <v>45838</v>
      </c>
      <c r="M142">
        <v>21</v>
      </c>
      <c r="N142">
        <v>4</v>
      </c>
      <c r="O142" s="1">
        <v>45795</v>
      </c>
      <c r="P142" s="1">
        <v>45801</v>
      </c>
      <c r="Q142">
        <v>20</v>
      </c>
      <c r="R142">
        <v>2</v>
      </c>
      <c r="S142">
        <v>140</v>
      </c>
      <c r="T142" s="1">
        <v>45797</v>
      </c>
      <c r="U142" s="1">
        <v>45797</v>
      </c>
      <c r="V142" t="s">
        <v>940</v>
      </c>
    </row>
    <row r="143" spans="1:22" x14ac:dyDescent="0.25">
      <c r="A143">
        <v>45798</v>
      </c>
      <c r="B143">
        <v>45658</v>
      </c>
      <c r="C143">
        <v>46022</v>
      </c>
      <c r="D143">
        <v>2025</v>
      </c>
      <c r="E143">
        <v>5</v>
      </c>
      <c r="F143">
        <v>45778</v>
      </c>
      <c r="G143" s="1">
        <v>45808</v>
      </c>
      <c r="H143">
        <v>31</v>
      </c>
      <c r="I143" t="s">
        <v>962</v>
      </c>
      <c r="J143">
        <v>2</v>
      </c>
      <c r="K143" s="1">
        <v>45748</v>
      </c>
      <c r="L143" s="1">
        <v>45838</v>
      </c>
      <c r="M143">
        <v>21</v>
      </c>
      <c r="N143">
        <v>4</v>
      </c>
      <c r="O143" s="1">
        <v>45795</v>
      </c>
      <c r="P143" s="1">
        <v>45801</v>
      </c>
      <c r="Q143">
        <v>21</v>
      </c>
      <c r="R143">
        <v>3</v>
      </c>
      <c r="S143">
        <v>141</v>
      </c>
      <c r="T143" s="1">
        <v>45798</v>
      </c>
      <c r="U143" s="1">
        <v>45798</v>
      </c>
      <c r="V143" t="s">
        <v>942</v>
      </c>
    </row>
    <row r="144" spans="1:22" x14ac:dyDescent="0.25">
      <c r="A144">
        <v>45799</v>
      </c>
      <c r="B144">
        <v>45658</v>
      </c>
      <c r="C144">
        <v>46022</v>
      </c>
      <c r="D144">
        <v>2025</v>
      </c>
      <c r="E144">
        <v>5</v>
      </c>
      <c r="F144">
        <v>45778</v>
      </c>
      <c r="G144" s="1">
        <v>45808</v>
      </c>
      <c r="H144">
        <v>31</v>
      </c>
      <c r="I144" t="s">
        <v>962</v>
      </c>
      <c r="J144">
        <v>2</v>
      </c>
      <c r="K144" s="1">
        <v>45748</v>
      </c>
      <c r="L144" s="1">
        <v>45838</v>
      </c>
      <c r="M144">
        <v>21</v>
      </c>
      <c r="N144">
        <v>4</v>
      </c>
      <c r="O144" s="1">
        <v>45795</v>
      </c>
      <c r="P144" s="1">
        <v>45801</v>
      </c>
      <c r="Q144">
        <v>22</v>
      </c>
      <c r="R144">
        <v>4</v>
      </c>
      <c r="S144">
        <v>142</v>
      </c>
      <c r="T144" s="1">
        <v>45799</v>
      </c>
      <c r="U144" s="1">
        <v>45799</v>
      </c>
      <c r="V144" t="s">
        <v>943</v>
      </c>
    </row>
    <row r="145" spans="1:22" x14ac:dyDescent="0.25">
      <c r="A145">
        <v>45800</v>
      </c>
      <c r="B145">
        <v>45658</v>
      </c>
      <c r="C145">
        <v>46022</v>
      </c>
      <c r="D145">
        <v>2025</v>
      </c>
      <c r="E145">
        <v>5</v>
      </c>
      <c r="F145">
        <v>45778</v>
      </c>
      <c r="G145" s="1">
        <v>45808</v>
      </c>
      <c r="H145">
        <v>31</v>
      </c>
      <c r="I145" t="s">
        <v>962</v>
      </c>
      <c r="J145">
        <v>2</v>
      </c>
      <c r="K145" s="1">
        <v>45748</v>
      </c>
      <c r="L145" s="1">
        <v>45838</v>
      </c>
      <c r="M145">
        <v>21</v>
      </c>
      <c r="N145">
        <v>4</v>
      </c>
      <c r="O145" s="1">
        <v>45795</v>
      </c>
      <c r="P145" s="1">
        <v>45801</v>
      </c>
      <c r="Q145">
        <v>23</v>
      </c>
      <c r="R145">
        <v>5</v>
      </c>
      <c r="S145">
        <v>143</v>
      </c>
      <c r="T145" s="1">
        <v>45800</v>
      </c>
      <c r="U145" s="1">
        <v>45800</v>
      </c>
      <c r="V145" t="s">
        <v>666</v>
      </c>
    </row>
    <row r="146" spans="1:22" x14ac:dyDescent="0.25">
      <c r="A146">
        <v>45801</v>
      </c>
      <c r="B146">
        <v>45658</v>
      </c>
      <c r="C146">
        <v>46022</v>
      </c>
      <c r="D146">
        <v>2025</v>
      </c>
      <c r="E146">
        <v>5</v>
      </c>
      <c r="F146">
        <v>45778</v>
      </c>
      <c r="G146" s="1">
        <v>45808</v>
      </c>
      <c r="H146">
        <v>31</v>
      </c>
      <c r="I146" t="s">
        <v>962</v>
      </c>
      <c r="J146">
        <v>2</v>
      </c>
      <c r="K146" s="1">
        <v>45748</v>
      </c>
      <c r="L146" s="1">
        <v>45838</v>
      </c>
      <c r="M146">
        <v>21</v>
      </c>
      <c r="N146">
        <v>4</v>
      </c>
      <c r="O146" s="1">
        <v>45795</v>
      </c>
      <c r="P146" s="1">
        <v>45801</v>
      </c>
      <c r="Q146">
        <v>24</v>
      </c>
      <c r="R146">
        <v>6</v>
      </c>
      <c r="S146">
        <v>144</v>
      </c>
      <c r="T146" s="1">
        <v>45801</v>
      </c>
      <c r="U146" s="1">
        <v>45801</v>
      </c>
      <c r="V146" t="s">
        <v>944</v>
      </c>
    </row>
    <row r="147" spans="1:22" x14ac:dyDescent="0.25">
      <c r="A147">
        <v>45802</v>
      </c>
      <c r="B147">
        <v>45658</v>
      </c>
      <c r="C147">
        <v>46022</v>
      </c>
      <c r="D147">
        <v>2025</v>
      </c>
      <c r="E147">
        <v>5</v>
      </c>
      <c r="F147">
        <v>45778</v>
      </c>
      <c r="G147" s="1">
        <v>45808</v>
      </c>
      <c r="H147">
        <v>31</v>
      </c>
      <c r="I147" t="s">
        <v>962</v>
      </c>
      <c r="J147">
        <v>2</v>
      </c>
      <c r="K147" s="1">
        <v>45748</v>
      </c>
      <c r="L147" s="1">
        <v>45838</v>
      </c>
      <c r="M147">
        <v>22</v>
      </c>
      <c r="N147">
        <v>5</v>
      </c>
      <c r="O147" s="1">
        <v>45802</v>
      </c>
      <c r="P147" s="1">
        <v>45808</v>
      </c>
      <c r="Q147">
        <v>25</v>
      </c>
      <c r="R147">
        <v>0</v>
      </c>
      <c r="S147">
        <v>145</v>
      </c>
      <c r="T147" s="1">
        <v>45802</v>
      </c>
      <c r="U147" s="1">
        <v>45802</v>
      </c>
      <c r="V147" t="s">
        <v>945</v>
      </c>
    </row>
    <row r="148" spans="1:22" x14ac:dyDescent="0.25">
      <c r="A148">
        <v>45803</v>
      </c>
      <c r="B148">
        <v>45658</v>
      </c>
      <c r="C148">
        <v>46022</v>
      </c>
      <c r="D148">
        <v>2025</v>
      </c>
      <c r="E148">
        <v>5</v>
      </c>
      <c r="F148">
        <v>45778</v>
      </c>
      <c r="G148" s="1">
        <v>45808</v>
      </c>
      <c r="H148">
        <v>31</v>
      </c>
      <c r="I148" t="s">
        <v>962</v>
      </c>
      <c r="J148">
        <v>2</v>
      </c>
      <c r="K148" s="1">
        <v>45748</v>
      </c>
      <c r="L148" s="1">
        <v>45838</v>
      </c>
      <c r="M148">
        <v>22</v>
      </c>
      <c r="N148">
        <v>5</v>
      </c>
      <c r="O148" s="1">
        <v>45802</v>
      </c>
      <c r="P148" s="1">
        <v>45808</v>
      </c>
      <c r="Q148">
        <v>26</v>
      </c>
      <c r="R148">
        <v>1</v>
      </c>
      <c r="S148">
        <v>146</v>
      </c>
      <c r="T148" s="1">
        <v>45803</v>
      </c>
      <c r="U148" s="1">
        <v>45803</v>
      </c>
      <c r="V148" t="s">
        <v>941</v>
      </c>
    </row>
    <row r="149" spans="1:22" x14ac:dyDescent="0.25">
      <c r="A149">
        <v>45804</v>
      </c>
      <c r="B149">
        <v>45658</v>
      </c>
      <c r="C149">
        <v>46022</v>
      </c>
      <c r="D149">
        <v>2025</v>
      </c>
      <c r="E149">
        <v>5</v>
      </c>
      <c r="F149">
        <v>45778</v>
      </c>
      <c r="G149" s="1">
        <v>45808</v>
      </c>
      <c r="H149">
        <v>31</v>
      </c>
      <c r="I149" t="s">
        <v>962</v>
      </c>
      <c r="J149">
        <v>2</v>
      </c>
      <c r="K149" s="1">
        <v>45748</v>
      </c>
      <c r="L149" s="1">
        <v>45838</v>
      </c>
      <c r="M149">
        <v>22</v>
      </c>
      <c r="N149">
        <v>5</v>
      </c>
      <c r="O149" s="1">
        <v>45802</v>
      </c>
      <c r="P149" s="1">
        <v>45808</v>
      </c>
      <c r="Q149">
        <v>27</v>
      </c>
      <c r="R149">
        <v>2</v>
      </c>
      <c r="S149">
        <v>147</v>
      </c>
      <c r="T149" s="1">
        <v>45804</v>
      </c>
      <c r="U149" s="1">
        <v>45804</v>
      </c>
      <c r="V149" t="s">
        <v>940</v>
      </c>
    </row>
    <row r="150" spans="1:22" x14ac:dyDescent="0.25">
      <c r="A150">
        <v>45805</v>
      </c>
      <c r="B150">
        <v>45658</v>
      </c>
      <c r="C150">
        <v>46022</v>
      </c>
      <c r="D150">
        <v>2025</v>
      </c>
      <c r="E150">
        <v>5</v>
      </c>
      <c r="F150">
        <v>45778</v>
      </c>
      <c r="G150" s="1">
        <v>45808</v>
      </c>
      <c r="H150">
        <v>31</v>
      </c>
      <c r="I150" t="s">
        <v>962</v>
      </c>
      <c r="J150">
        <v>2</v>
      </c>
      <c r="K150" s="1">
        <v>45748</v>
      </c>
      <c r="L150" s="1">
        <v>45838</v>
      </c>
      <c r="M150">
        <v>22</v>
      </c>
      <c r="N150">
        <v>5</v>
      </c>
      <c r="O150" s="1">
        <v>45802</v>
      </c>
      <c r="P150" s="1">
        <v>45808</v>
      </c>
      <c r="Q150">
        <v>28</v>
      </c>
      <c r="R150">
        <v>3</v>
      </c>
      <c r="S150">
        <v>148</v>
      </c>
      <c r="T150" s="1">
        <v>45805</v>
      </c>
      <c r="U150" s="1">
        <v>45805</v>
      </c>
      <c r="V150" t="s">
        <v>942</v>
      </c>
    </row>
    <row r="151" spans="1:22" x14ac:dyDescent="0.25">
      <c r="A151">
        <v>45806</v>
      </c>
      <c r="B151">
        <v>45658</v>
      </c>
      <c r="C151">
        <v>46022</v>
      </c>
      <c r="D151">
        <v>2025</v>
      </c>
      <c r="E151">
        <v>5</v>
      </c>
      <c r="F151">
        <v>45778</v>
      </c>
      <c r="G151" s="1">
        <v>45808</v>
      </c>
      <c r="H151">
        <v>31</v>
      </c>
      <c r="I151" t="s">
        <v>962</v>
      </c>
      <c r="J151">
        <v>2</v>
      </c>
      <c r="K151" s="1">
        <v>45748</v>
      </c>
      <c r="L151" s="1">
        <v>45838</v>
      </c>
      <c r="M151">
        <v>22</v>
      </c>
      <c r="N151">
        <v>5</v>
      </c>
      <c r="O151" s="1">
        <v>45802</v>
      </c>
      <c r="P151" s="1">
        <v>45808</v>
      </c>
      <c r="Q151">
        <v>29</v>
      </c>
      <c r="R151">
        <v>4</v>
      </c>
      <c r="S151">
        <v>149</v>
      </c>
      <c r="T151" s="1">
        <v>45806</v>
      </c>
      <c r="U151" s="1">
        <v>45806</v>
      </c>
      <c r="V151" t="s">
        <v>943</v>
      </c>
    </row>
    <row r="152" spans="1:22" x14ac:dyDescent="0.25">
      <c r="A152">
        <v>45807</v>
      </c>
      <c r="B152">
        <v>45658</v>
      </c>
      <c r="C152">
        <v>46022</v>
      </c>
      <c r="D152">
        <v>2025</v>
      </c>
      <c r="E152">
        <v>5</v>
      </c>
      <c r="F152">
        <v>45778</v>
      </c>
      <c r="G152" s="1">
        <v>45808</v>
      </c>
      <c r="H152">
        <v>31</v>
      </c>
      <c r="I152" t="s">
        <v>962</v>
      </c>
      <c r="J152">
        <v>2</v>
      </c>
      <c r="K152" s="1">
        <v>45748</v>
      </c>
      <c r="L152" s="1">
        <v>45838</v>
      </c>
      <c r="M152">
        <v>22</v>
      </c>
      <c r="N152">
        <v>5</v>
      </c>
      <c r="O152" s="1">
        <v>45802</v>
      </c>
      <c r="P152" s="1">
        <v>45808</v>
      </c>
      <c r="Q152">
        <v>30</v>
      </c>
      <c r="R152">
        <v>5</v>
      </c>
      <c r="S152">
        <v>150</v>
      </c>
      <c r="T152" s="1">
        <v>45807</v>
      </c>
      <c r="U152" s="1">
        <v>45807</v>
      </c>
      <c r="V152" t="s">
        <v>666</v>
      </c>
    </row>
    <row r="153" spans="1:22" x14ac:dyDescent="0.25">
      <c r="A153">
        <v>45808</v>
      </c>
      <c r="B153">
        <v>45658</v>
      </c>
      <c r="C153">
        <v>46022</v>
      </c>
      <c r="D153">
        <v>2025</v>
      </c>
      <c r="E153">
        <v>5</v>
      </c>
      <c r="F153">
        <v>45778</v>
      </c>
      <c r="G153" s="1">
        <v>45808</v>
      </c>
      <c r="H153">
        <v>31</v>
      </c>
      <c r="I153" t="s">
        <v>962</v>
      </c>
      <c r="J153">
        <v>2</v>
      </c>
      <c r="K153" s="1">
        <v>45748</v>
      </c>
      <c r="L153" s="1">
        <v>45838</v>
      </c>
      <c r="M153">
        <v>22</v>
      </c>
      <c r="N153">
        <v>5</v>
      </c>
      <c r="O153" s="1">
        <v>45802</v>
      </c>
      <c r="P153" s="1">
        <v>45808</v>
      </c>
      <c r="Q153">
        <v>31</v>
      </c>
      <c r="R153">
        <v>6</v>
      </c>
      <c r="S153">
        <v>151</v>
      </c>
      <c r="T153" s="1">
        <v>45808</v>
      </c>
      <c r="U153" s="1">
        <v>45808</v>
      </c>
      <c r="V153" t="s">
        <v>944</v>
      </c>
    </row>
    <row r="154" spans="1:22" x14ac:dyDescent="0.25">
      <c r="A154">
        <v>45809</v>
      </c>
      <c r="B154">
        <v>45658</v>
      </c>
      <c r="C154">
        <v>46022</v>
      </c>
      <c r="D154">
        <v>2025</v>
      </c>
      <c r="E154">
        <v>6</v>
      </c>
      <c r="F154">
        <v>45809</v>
      </c>
      <c r="G154" s="1">
        <v>45838</v>
      </c>
      <c r="H154">
        <v>30</v>
      </c>
      <c r="I154" t="s">
        <v>946</v>
      </c>
      <c r="J154">
        <v>2</v>
      </c>
      <c r="K154" s="1">
        <v>45748</v>
      </c>
      <c r="L154" s="1">
        <v>45838</v>
      </c>
      <c r="M154">
        <v>23</v>
      </c>
      <c r="N154">
        <v>1</v>
      </c>
      <c r="O154" s="1">
        <v>45809</v>
      </c>
      <c r="P154" s="1">
        <v>45815</v>
      </c>
      <c r="Q154">
        <v>1</v>
      </c>
      <c r="R154">
        <v>0</v>
      </c>
      <c r="S154">
        <v>152</v>
      </c>
      <c r="T154" s="1">
        <v>45809</v>
      </c>
      <c r="U154" s="1">
        <v>45809</v>
      </c>
      <c r="V154" t="s">
        <v>945</v>
      </c>
    </row>
    <row r="155" spans="1:22" x14ac:dyDescent="0.25">
      <c r="A155">
        <v>45810</v>
      </c>
      <c r="B155">
        <v>45658</v>
      </c>
      <c r="C155">
        <v>46022</v>
      </c>
      <c r="D155">
        <v>2025</v>
      </c>
      <c r="E155">
        <v>6</v>
      </c>
      <c r="F155">
        <v>45809</v>
      </c>
      <c r="G155" s="1">
        <v>45838</v>
      </c>
      <c r="H155">
        <v>30</v>
      </c>
      <c r="I155" t="s">
        <v>946</v>
      </c>
      <c r="J155">
        <v>2</v>
      </c>
      <c r="K155" s="1">
        <v>45748</v>
      </c>
      <c r="L155" s="1">
        <v>45838</v>
      </c>
      <c r="M155">
        <v>23</v>
      </c>
      <c r="N155">
        <v>1</v>
      </c>
      <c r="O155" s="1">
        <v>45809</v>
      </c>
      <c r="P155" s="1">
        <v>45815</v>
      </c>
      <c r="Q155">
        <v>2</v>
      </c>
      <c r="R155">
        <v>1</v>
      </c>
      <c r="S155">
        <v>153</v>
      </c>
      <c r="T155" s="1">
        <v>45810</v>
      </c>
      <c r="U155" s="1">
        <v>45810</v>
      </c>
      <c r="V155" t="s">
        <v>941</v>
      </c>
    </row>
    <row r="156" spans="1:22" x14ac:dyDescent="0.25">
      <c r="A156">
        <v>45811</v>
      </c>
      <c r="B156">
        <v>45658</v>
      </c>
      <c r="C156">
        <v>46022</v>
      </c>
      <c r="D156">
        <v>2025</v>
      </c>
      <c r="E156">
        <v>6</v>
      </c>
      <c r="F156">
        <v>45809</v>
      </c>
      <c r="G156" s="1">
        <v>45838</v>
      </c>
      <c r="H156">
        <v>30</v>
      </c>
      <c r="I156" t="s">
        <v>946</v>
      </c>
      <c r="J156">
        <v>2</v>
      </c>
      <c r="K156" s="1">
        <v>45748</v>
      </c>
      <c r="L156" s="1">
        <v>45838</v>
      </c>
      <c r="M156">
        <v>23</v>
      </c>
      <c r="N156">
        <v>1</v>
      </c>
      <c r="O156" s="1">
        <v>45809</v>
      </c>
      <c r="P156" s="1">
        <v>45815</v>
      </c>
      <c r="Q156">
        <v>3</v>
      </c>
      <c r="R156">
        <v>2</v>
      </c>
      <c r="S156">
        <v>154</v>
      </c>
      <c r="T156" s="1">
        <v>45811</v>
      </c>
      <c r="U156" s="1">
        <v>45811</v>
      </c>
      <c r="V156" t="s">
        <v>940</v>
      </c>
    </row>
    <row r="157" spans="1:22" x14ac:dyDescent="0.25">
      <c r="A157">
        <v>45812</v>
      </c>
      <c r="B157">
        <v>45658</v>
      </c>
      <c r="C157">
        <v>46022</v>
      </c>
      <c r="D157">
        <v>2025</v>
      </c>
      <c r="E157">
        <v>6</v>
      </c>
      <c r="F157">
        <v>45809</v>
      </c>
      <c r="G157" s="1">
        <v>45838</v>
      </c>
      <c r="H157">
        <v>30</v>
      </c>
      <c r="I157" t="s">
        <v>946</v>
      </c>
      <c r="J157">
        <v>2</v>
      </c>
      <c r="K157" s="1">
        <v>45748</v>
      </c>
      <c r="L157" s="1">
        <v>45838</v>
      </c>
      <c r="M157">
        <v>23</v>
      </c>
      <c r="N157">
        <v>1</v>
      </c>
      <c r="O157" s="1">
        <v>45809</v>
      </c>
      <c r="P157" s="1">
        <v>45815</v>
      </c>
      <c r="Q157">
        <v>4</v>
      </c>
      <c r="R157">
        <v>3</v>
      </c>
      <c r="S157">
        <v>155</v>
      </c>
      <c r="T157" s="1">
        <v>45812</v>
      </c>
      <c r="U157" s="1">
        <v>45812</v>
      </c>
      <c r="V157" t="s">
        <v>942</v>
      </c>
    </row>
    <row r="158" spans="1:22" x14ac:dyDescent="0.25">
      <c r="A158">
        <v>45813</v>
      </c>
      <c r="B158">
        <v>45658</v>
      </c>
      <c r="C158">
        <v>46022</v>
      </c>
      <c r="D158">
        <v>2025</v>
      </c>
      <c r="E158">
        <v>6</v>
      </c>
      <c r="F158">
        <v>45809</v>
      </c>
      <c r="G158" s="1">
        <v>45838</v>
      </c>
      <c r="H158">
        <v>30</v>
      </c>
      <c r="I158" t="s">
        <v>946</v>
      </c>
      <c r="J158">
        <v>2</v>
      </c>
      <c r="K158" s="1">
        <v>45748</v>
      </c>
      <c r="L158" s="1">
        <v>45838</v>
      </c>
      <c r="M158">
        <v>23</v>
      </c>
      <c r="N158">
        <v>1</v>
      </c>
      <c r="O158" s="1">
        <v>45809</v>
      </c>
      <c r="P158" s="1">
        <v>45815</v>
      </c>
      <c r="Q158">
        <v>5</v>
      </c>
      <c r="R158">
        <v>4</v>
      </c>
      <c r="S158">
        <v>156</v>
      </c>
      <c r="T158" s="1">
        <v>45813</v>
      </c>
      <c r="U158" s="1">
        <v>45813</v>
      </c>
      <c r="V158" t="s">
        <v>943</v>
      </c>
    </row>
    <row r="159" spans="1:22" x14ac:dyDescent="0.25">
      <c r="A159">
        <v>45814</v>
      </c>
      <c r="B159">
        <v>45658</v>
      </c>
      <c r="C159">
        <v>46022</v>
      </c>
      <c r="D159">
        <v>2025</v>
      </c>
      <c r="E159">
        <v>6</v>
      </c>
      <c r="F159">
        <v>45809</v>
      </c>
      <c r="G159" s="1">
        <v>45838</v>
      </c>
      <c r="H159">
        <v>30</v>
      </c>
      <c r="I159" t="s">
        <v>946</v>
      </c>
      <c r="J159">
        <v>2</v>
      </c>
      <c r="K159" s="1">
        <v>45748</v>
      </c>
      <c r="L159" s="1">
        <v>45838</v>
      </c>
      <c r="M159">
        <v>23</v>
      </c>
      <c r="N159">
        <v>1</v>
      </c>
      <c r="O159" s="1">
        <v>45809</v>
      </c>
      <c r="P159" s="1">
        <v>45815</v>
      </c>
      <c r="Q159">
        <v>6</v>
      </c>
      <c r="R159">
        <v>5</v>
      </c>
      <c r="S159">
        <v>157</v>
      </c>
      <c r="T159" s="1">
        <v>45814</v>
      </c>
      <c r="U159" s="1">
        <v>45814</v>
      </c>
      <c r="V159" t="s">
        <v>666</v>
      </c>
    </row>
    <row r="160" spans="1:22" x14ac:dyDescent="0.25">
      <c r="A160">
        <v>45815</v>
      </c>
      <c r="B160">
        <v>45658</v>
      </c>
      <c r="C160">
        <v>46022</v>
      </c>
      <c r="D160">
        <v>2025</v>
      </c>
      <c r="E160">
        <v>6</v>
      </c>
      <c r="F160">
        <v>45809</v>
      </c>
      <c r="G160" s="1">
        <v>45838</v>
      </c>
      <c r="H160">
        <v>30</v>
      </c>
      <c r="I160" t="s">
        <v>946</v>
      </c>
      <c r="J160">
        <v>2</v>
      </c>
      <c r="K160" s="1">
        <v>45748</v>
      </c>
      <c r="L160" s="1">
        <v>45838</v>
      </c>
      <c r="M160">
        <v>23</v>
      </c>
      <c r="N160">
        <v>1</v>
      </c>
      <c r="O160" s="1">
        <v>45809</v>
      </c>
      <c r="P160" s="1">
        <v>45815</v>
      </c>
      <c r="Q160">
        <v>7</v>
      </c>
      <c r="R160">
        <v>6</v>
      </c>
      <c r="S160">
        <v>158</v>
      </c>
      <c r="T160" s="1">
        <v>45815</v>
      </c>
      <c r="U160" s="1">
        <v>45815</v>
      </c>
      <c r="V160" t="s">
        <v>944</v>
      </c>
    </row>
    <row r="161" spans="1:22" x14ac:dyDescent="0.25">
      <c r="A161">
        <v>45816</v>
      </c>
      <c r="B161">
        <v>45658</v>
      </c>
      <c r="C161">
        <v>46022</v>
      </c>
      <c r="D161">
        <v>2025</v>
      </c>
      <c r="E161">
        <v>6</v>
      </c>
      <c r="F161">
        <v>45809</v>
      </c>
      <c r="G161" s="1">
        <v>45838</v>
      </c>
      <c r="H161">
        <v>30</v>
      </c>
      <c r="I161" t="s">
        <v>946</v>
      </c>
      <c r="J161">
        <v>2</v>
      </c>
      <c r="K161" s="1">
        <v>45748</v>
      </c>
      <c r="L161" s="1">
        <v>45838</v>
      </c>
      <c r="M161">
        <v>24</v>
      </c>
      <c r="N161">
        <v>2</v>
      </c>
      <c r="O161" s="1">
        <v>45816</v>
      </c>
      <c r="P161" s="1">
        <v>45822</v>
      </c>
      <c r="Q161">
        <v>8</v>
      </c>
      <c r="R161">
        <v>0</v>
      </c>
      <c r="S161">
        <v>159</v>
      </c>
      <c r="T161" s="1">
        <v>45816</v>
      </c>
      <c r="U161" s="1">
        <v>45816</v>
      </c>
      <c r="V161" t="s">
        <v>945</v>
      </c>
    </row>
    <row r="162" spans="1:22" x14ac:dyDescent="0.25">
      <c r="A162">
        <v>45817</v>
      </c>
      <c r="B162">
        <v>45658</v>
      </c>
      <c r="C162">
        <v>46022</v>
      </c>
      <c r="D162">
        <v>2025</v>
      </c>
      <c r="E162">
        <v>6</v>
      </c>
      <c r="F162">
        <v>45809</v>
      </c>
      <c r="G162" s="1">
        <v>45838</v>
      </c>
      <c r="H162">
        <v>30</v>
      </c>
      <c r="I162" t="s">
        <v>946</v>
      </c>
      <c r="J162">
        <v>2</v>
      </c>
      <c r="K162" s="1">
        <v>45748</v>
      </c>
      <c r="L162" s="1">
        <v>45838</v>
      </c>
      <c r="M162">
        <v>24</v>
      </c>
      <c r="N162">
        <v>2</v>
      </c>
      <c r="O162" s="1">
        <v>45816</v>
      </c>
      <c r="P162" s="1">
        <v>45822</v>
      </c>
      <c r="Q162">
        <v>9</v>
      </c>
      <c r="R162">
        <v>1</v>
      </c>
      <c r="S162">
        <v>160</v>
      </c>
      <c r="T162" s="1">
        <v>45817</v>
      </c>
      <c r="U162" s="1">
        <v>45817</v>
      </c>
      <c r="V162" t="s">
        <v>941</v>
      </c>
    </row>
    <row r="163" spans="1:22" x14ac:dyDescent="0.25">
      <c r="A163">
        <v>45818</v>
      </c>
      <c r="B163">
        <v>45658</v>
      </c>
      <c r="C163">
        <v>46022</v>
      </c>
      <c r="D163">
        <v>2025</v>
      </c>
      <c r="E163">
        <v>6</v>
      </c>
      <c r="F163">
        <v>45809</v>
      </c>
      <c r="G163" s="1">
        <v>45838</v>
      </c>
      <c r="H163">
        <v>30</v>
      </c>
      <c r="I163" t="s">
        <v>946</v>
      </c>
      <c r="J163">
        <v>2</v>
      </c>
      <c r="K163" s="1">
        <v>45748</v>
      </c>
      <c r="L163" s="1">
        <v>45838</v>
      </c>
      <c r="M163">
        <v>24</v>
      </c>
      <c r="N163">
        <v>2</v>
      </c>
      <c r="O163" s="1">
        <v>45816</v>
      </c>
      <c r="P163" s="1">
        <v>45822</v>
      </c>
      <c r="Q163">
        <v>10</v>
      </c>
      <c r="R163">
        <v>2</v>
      </c>
      <c r="S163">
        <v>161</v>
      </c>
      <c r="T163" s="1">
        <v>45818</v>
      </c>
      <c r="U163" s="1">
        <v>45818</v>
      </c>
      <c r="V163" t="s">
        <v>940</v>
      </c>
    </row>
    <row r="164" spans="1:22" x14ac:dyDescent="0.25">
      <c r="A164">
        <v>45819</v>
      </c>
      <c r="B164">
        <v>45658</v>
      </c>
      <c r="C164">
        <v>46022</v>
      </c>
      <c r="D164">
        <v>2025</v>
      </c>
      <c r="E164">
        <v>6</v>
      </c>
      <c r="F164">
        <v>45809</v>
      </c>
      <c r="G164" s="1">
        <v>45838</v>
      </c>
      <c r="H164">
        <v>30</v>
      </c>
      <c r="I164" t="s">
        <v>946</v>
      </c>
      <c r="J164">
        <v>2</v>
      </c>
      <c r="K164" s="1">
        <v>45748</v>
      </c>
      <c r="L164" s="1">
        <v>45838</v>
      </c>
      <c r="M164">
        <v>24</v>
      </c>
      <c r="N164">
        <v>2</v>
      </c>
      <c r="O164" s="1">
        <v>45816</v>
      </c>
      <c r="P164" s="1">
        <v>45822</v>
      </c>
      <c r="Q164">
        <v>11</v>
      </c>
      <c r="R164">
        <v>3</v>
      </c>
      <c r="S164">
        <v>162</v>
      </c>
      <c r="T164" s="1">
        <v>45819</v>
      </c>
      <c r="U164" s="1">
        <v>45819</v>
      </c>
      <c r="V164" t="s">
        <v>942</v>
      </c>
    </row>
    <row r="165" spans="1:22" x14ac:dyDescent="0.25">
      <c r="A165">
        <v>45820</v>
      </c>
      <c r="B165">
        <v>45658</v>
      </c>
      <c r="C165">
        <v>46022</v>
      </c>
      <c r="D165">
        <v>2025</v>
      </c>
      <c r="E165">
        <v>6</v>
      </c>
      <c r="F165">
        <v>45809</v>
      </c>
      <c r="G165" s="1">
        <v>45838</v>
      </c>
      <c r="H165">
        <v>30</v>
      </c>
      <c r="I165" t="s">
        <v>946</v>
      </c>
      <c r="J165">
        <v>2</v>
      </c>
      <c r="K165" s="1">
        <v>45748</v>
      </c>
      <c r="L165" s="1">
        <v>45838</v>
      </c>
      <c r="M165">
        <v>24</v>
      </c>
      <c r="N165">
        <v>2</v>
      </c>
      <c r="O165" s="1">
        <v>45816</v>
      </c>
      <c r="P165" s="1">
        <v>45822</v>
      </c>
      <c r="Q165">
        <v>12</v>
      </c>
      <c r="R165">
        <v>4</v>
      </c>
      <c r="S165">
        <v>163</v>
      </c>
      <c r="T165" s="1">
        <v>45820</v>
      </c>
      <c r="U165" s="1">
        <v>45820</v>
      </c>
      <c r="V165" t="s">
        <v>943</v>
      </c>
    </row>
    <row r="166" spans="1:22" x14ac:dyDescent="0.25">
      <c r="A166">
        <v>45821</v>
      </c>
      <c r="B166">
        <v>45658</v>
      </c>
      <c r="C166">
        <v>46022</v>
      </c>
      <c r="D166">
        <v>2025</v>
      </c>
      <c r="E166">
        <v>6</v>
      </c>
      <c r="F166">
        <v>45809</v>
      </c>
      <c r="G166" s="1">
        <v>45838</v>
      </c>
      <c r="H166">
        <v>30</v>
      </c>
      <c r="I166" t="s">
        <v>946</v>
      </c>
      <c r="J166">
        <v>2</v>
      </c>
      <c r="K166" s="1">
        <v>45748</v>
      </c>
      <c r="L166" s="1">
        <v>45838</v>
      </c>
      <c r="M166">
        <v>24</v>
      </c>
      <c r="N166">
        <v>2</v>
      </c>
      <c r="O166" s="1">
        <v>45816</v>
      </c>
      <c r="P166" s="1">
        <v>45822</v>
      </c>
      <c r="Q166">
        <v>13</v>
      </c>
      <c r="R166">
        <v>5</v>
      </c>
      <c r="S166">
        <v>164</v>
      </c>
      <c r="T166" s="1">
        <v>45821</v>
      </c>
      <c r="U166" s="1">
        <v>45821</v>
      </c>
      <c r="V166" t="s">
        <v>666</v>
      </c>
    </row>
    <row r="167" spans="1:22" x14ac:dyDescent="0.25">
      <c r="A167">
        <v>45822</v>
      </c>
      <c r="B167">
        <v>45658</v>
      </c>
      <c r="C167">
        <v>46022</v>
      </c>
      <c r="D167">
        <v>2025</v>
      </c>
      <c r="E167">
        <v>6</v>
      </c>
      <c r="F167">
        <v>45809</v>
      </c>
      <c r="G167" s="1">
        <v>45838</v>
      </c>
      <c r="H167">
        <v>30</v>
      </c>
      <c r="I167" t="s">
        <v>946</v>
      </c>
      <c r="J167">
        <v>2</v>
      </c>
      <c r="K167" s="1">
        <v>45748</v>
      </c>
      <c r="L167" s="1">
        <v>45838</v>
      </c>
      <c r="M167">
        <v>24</v>
      </c>
      <c r="N167">
        <v>2</v>
      </c>
      <c r="O167" s="1">
        <v>45816</v>
      </c>
      <c r="P167" s="1">
        <v>45822</v>
      </c>
      <c r="Q167">
        <v>14</v>
      </c>
      <c r="R167">
        <v>6</v>
      </c>
      <c r="S167">
        <v>165</v>
      </c>
      <c r="T167" s="1">
        <v>45822</v>
      </c>
      <c r="U167" s="1">
        <v>45822</v>
      </c>
      <c r="V167" t="s">
        <v>944</v>
      </c>
    </row>
    <row r="168" spans="1:22" x14ac:dyDescent="0.25">
      <c r="A168">
        <v>45823</v>
      </c>
      <c r="B168">
        <v>45658</v>
      </c>
      <c r="C168">
        <v>46022</v>
      </c>
      <c r="D168">
        <v>2025</v>
      </c>
      <c r="E168">
        <v>6</v>
      </c>
      <c r="F168">
        <v>45809</v>
      </c>
      <c r="G168" s="1">
        <v>45838</v>
      </c>
      <c r="H168">
        <v>30</v>
      </c>
      <c r="I168" t="s">
        <v>946</v>
      </c>
      <c r="J168">
        <v>2</v>
      </c>
      <c r="K168" s="1">
        <v>45748</v>
      </c>
      <c r="L168" s="1">
        <v>45838</v>
      </c>
      <c r="M168">
        <v>25</v>
      </c>
      <c r="N168">
        <v>3</v>
      </c>
      <c r="O168" s="1">
        <v>45823</v>
      </c>
      <c r="P168" s="1">
        <v>45829</v>
      </c>
      <c r="Q168">
        <v>15</v>
      </c>
      <c r="R168">
        <v>0</v>
      </c>
      <c r="S168">
        <v>166</v>
      </c>
      <c r="T168" s="1">
        <v>45823</v>
      </c>
      <c r="U168" s="1">
        <v>45823</v>
      </c>
      <c r="V168" t="s">
        <v>945</v>
      </c>
    </row>
    <row r="169" spans="1:22" x14ac:dyDescent="0.25">
      <c r="A169">
        <v>45824</v>
      </c>
      <c r="B169">
        <v>45658</v>
      </c>
      <c r="C169">
        <v>46022</v>
      </c>
      <c r="D169">
        <v>2025</v>
      </c>
      <c r="E169">
        <v>6</v>
      </c>
      <c r="F169">
        <v>45809</v>
      </c>
      <c r="G169" s="1">
        <v>45838</v>
      </c>
      <c r="H169">
        <v>30</v>
      </c>
      <c r="I169" t="s">
        <v>946</v>
      </c>
      <c r="J169">
        <v>2</v>
      </c>
      <c r="K169" s="1">
        <v>45748</v>
      </c>
      <c r="L169" s="1">
        <v>45838</v>
      </c>
      <c r="M169">
        <v>25</v>
      </c>
      <c r="N169">
        <v>3</v>
      </c>
      <c r="O169" s="1">
        <v>45823</v>
      </c>
      <c r="P169" s="1">
        <v>45829</v>
      </c>
      <c r="Q169">
        <v>16</v>
      </c>
      <c r="R169">
        <v>1</v>
      </c>
      <c r="S169">
        <v>167</v>
      </c>
      <c r="T169" s="1">
        <v>45824</v>
      </c>
      <c r="U169" s="1">
        <v>45824</v>
      </c>
      <c r="V169" t="s">
        <v>941</v>
      </c>
    </row>
    <row r="170" spans="1:22" x14ac:dyDescent="0.25">
      <c r="A170">
        <v>45825</v>
      </c>
      <c r="B170">
        <v>45658</v>
      </c>
      <c r="C170">
        <v>46022</v>
      </c>
      <c r="D170">
        <v>2025</v>
      </c>
      <c r="E170">
        <v>6</v>
      </c>
      <c r="F170">
        <v>45809</v>
      </c>
      <c r="G170" s="1">
        <v>45838</v>
      </c>
      <c r="H170">
        <v>30</v>
      </c>
      <c r="I170" t="s">
        <v>946</v>
      </c>
      <c r="J170">
        <v>2</v>
      </c>
      <c r="K170" s="1">
        <v>45748</v>
      </c>
      <c r="L170" s="1">
        <v>45838</v>
      </c>
      <c r="M170">
        <v>25</v>
      </c>
      <c r="N170">
        <v>3</v>
      </c>
      <c r="O170" s="1">
        <v>45823</v>
      </c>
      <c r="P170" s="1">
        <v>45829</v>
      </c>
      <c r="Q170">
        <v>17</v>
      </c>
      <c r="R170">
        <v>2</v>
      </c>
      <c r="S170">
        <v>168</v>
      </c>
      <c r="T170" s="1">
        <v>45825</v>
      </c>
      <c r="U170" s="1">
        <v>45825</v>
      </c>
      <c r="V170" t="s">
        <v>940</v>
      </c>
    </row>
    <row r="171" spans="1:22" x14ac:dyDescent="0.25">
      <c r="A171">
        <v>45826</v>
      </c>
      <c r="B171">
        <v>45658</v>
      </c>
      <c r="C171">
        <v>46022</v>
      </c>
      <c r="D171">
        <v>2025</v>
      </c>
      <c r="E171">
        <v>6</v>
      </c>
      <c r="F171">
        <v>45809</v>
      </c>
      <c r="G171" s="1">
        <v>45838</v>
      </c>
      <c r="H171">
        <v>30</v>
      </c>
      <c r="I171" t="s">
        <v>946</v>
      </c>
      <c r="J171">
        <v>2</v>
      </c>
      <c r="K171" s="1">
        <v>45748</v>
      </c>
      <c r="L171" s="1">
        <v>45838</v>
      </c>
      <c r="M171">
        <v>25</v>
      </c>
      <c r="N171">
        <v>3</v>
      </c>
      <c r="O171" s="1">
        <v>45823</v>
      </c>
      <c r="P171" s="1">
        <v>45829</v>
      </c>
      <c r="Q171">
        <v>18</v>
      </c>
      <c r="R171">
        <v>3</v>
      </c>
      <c r="S171">
        <v>169</v>
      </c>
      <c r="T171" s="1">
        <v>45826</v>
      </c>
      <c r="U171" s="1">
        <v>45826</v>
      </c>
      <c r="V171" t="s">
        <v>942</v>
      </c>
    </row>
    <row r="172" spans="1:22" x14ac:dyDescent="0.25">
      <c r="A172">
        <v>45827</v>
      </c>
      <c r="B172">
        <v>45658</v>
      </c>
      <c r="C172">
        <v>46022</v>
      </c>
      <c r="D172">
        <v>2025</v>
      </c>
      <c r="E172">
        <v>6</v>
      </c>
      <c r="F172">
        <v>45809</v>
      </c>
      <c r="G172" s="1">
        <v>45838</v>
      </c>
      <c r="H172">
        <v>30</v>
      </c>
      <c r="I172" t="s">
        <v>946</v>
      </c>
      <c r="J172">
        <v>2</v>
      </c>
      <c r="K172" s="1">
        <v>45748</v>
      </c>
      <c r="L172" s="1">
        <v>45838</v>
      </c>
      <c r="M172">
        <v>25</v>
      </c>
      <c r="N172">
        <v>3</v>
      </c>
      <c r="O172" s="1">
        <v>45823</v>
      </c>
      <c r="P172" s="1">
        <v>45829</v>
      </c>
      <c r="Q172">
        <v>19</v>
      </c>
      <c r="R172">
        <v>4</v>
      </c>
      <c r="S172">
        <v>170</v>
      </c>
      <c r="T172" s="1">
        <v>45827</v>
      </c>
      <c r="U172" s="1">
        <v>45827</v>
      </c>
      <c r="V172" t="s">
        <v>943</v>
      </c>
    </row>
    <row r="173" spans="1:22" x14ac:dyDescent="0.25">
      <c r="A173">
        <v>45828</v>
      </c>
      <c r="B173">
        <v>45658</v>
      </c>
      <c r="C173">
        <v>46022</v>
      </c>
      <c r="D173">
        <v>2025</v>
      </c>
      <c r="E173">
        <v>6</v>
      </c>
      <c r="F173">
        <v>45809</v>
      </c>
      <c r="G173" s="1">
        <v>45838</v>
      </c>
      <c r="H173">
        <v>30</v>
      </c>
      <c r="I173" t="s">
        <v>946</v>
      </c>
      <c r="J173">
        <v>2</v>
      </c>
      <c r="K173" s="1">
        <v>45748</v>
      </c>
      <c r="L173" s="1">
        <v>45838</v>
      </c>
      <c r="M173">
        <v>25</v>
      </c>
      <c r="N173">
        <v>3</v>
      </c>
      <c r="O173" s="1">
        <v>45823</v>
      </c>
      <c r="P173" s="1">
        <v>45829</v>
      </c>
      <c r="Q173">
        <v>20</v>
      </c>
      <c r="R173">
        <v>5</v>
      </c>
      <c r="S173">
        <v>171</v>
      </c>
      <c r="T173" s="1">
        <v>45828</v>
      </c>
      <c r="U173" s="1">
        <v>45828</v>
      </c>
      <c r="V173" t="s">
        <v>666</v>
      </c>
    </row>
    <row r="174" spans="1:22" x14ac:dyDescent="0.25">
      <c r="A174">
        <v>45829</v>
      </c>
      <c r="B174">
        <v>45658</v>
      </c>
      <c r="C174">
        <v>46022</v>
      </c>
      <c r="D174">
        <v>2025</v>
      </c>
      <c r="E174">
        <v>6</v>
      </c>
      <c r="F174">
        <v>45809</v>
      </c>
      <c r="G174" s="1">
        <v>45838</v>
      </c>
      <c r="H174">
        <v>30</v>
      </c>
      <c r="I174" t="s">
        <v>946</v>
      </c>
      <c r="J174">
        <v>2</v>
      </c>
      <c r="K174" s="1">
        <v>45748</v>
      </c>
      <c r="L174" s="1">
        <v>45838</v>
      </c>
      <c r="M174">
        <v>25</v>
      </c>
      <c r="N174">
        <v>3</v>
      </c>
      <c r="O174" s="1">
        <v>45823</v>
      </c>
      <c r="P174" s="1">
        <v>45829</v>
      </c>
      <c r="Q174">
        <v>21</v>
      </c>
      <c r="R174">
        <v>6</v>
      </c>
      <c r="S174">
        <v>172</v>
      </c>
      <c r="T174" s="1">
        <v>45829</v>
      </c>
      <c r="U174" s="1">
        <v>45829</v>
      </c>
      <c r="V174" t="s">
        <v>944</v>
      </c>
    </row>
    <row r="175" spans="1:22" x14ac:dyDescent="0.25">
      <c r="A175">
        <v>45830</v>
      </c>
      <c r="B175">
        <v>45658</v>
      </c>
      <c r="C175">
        <v>46022</v>
      </c>
      <c r="D175">
        <v>2025</v>
      </c>
      <c r="E175">
        <v>6</v>
      </c>
      <c r="F175">
        <v>45809</v>
      </c>
      <c r="G175" s="1">
        <v>45838</v>
      </c>
      <c r="H175">
        <v>30</v>
      </c>
      <c r="I175" t="s">
        <v>946</v>
      </c>
      <c r="J175">
        <v>2</v>
      </c>
      <c r="K175" s="1">
        <v>45748</v>
      </c>
      <c r="L175" s="1">
        <v>45838</v>
      </c>
      <c r="M175">
        <v>26</v>
      </c>
      <c r="N175">
        <v>4</v>
      </c>
      <c r="O175" s="1">
        <v>45830</v>
      </c>
      <c r="P175" s="1">
        <v>45836</v>
      </c>
      <c r="Q175">
        <v>22</v>
      </c>
      <c r="R175">
        <v>0</v>
      </c>
      <c r="S175">
        <v>173</v>
      </c>
      <c r="T175" s="1">
        <v>45830</v>
      </c>
      <c r="U175" s="1">
        <v>45830</v>
      </c>
      <c r="V175" t="s">
        <v>945</v>
      </c>
    </row>
    <row r="176" spans="1:22" x14ac:dyDescent="0.25">
      <c r="A176">
        <v>45831</v>
      </c>
      <c r="B176">
        <v>45658</v>
      </c>
      <c r="C176">
        <v>46022</v>
      </c>
      <c r="D176">
        <v>2025</v>
      </c>
      <c r="E176">
        <v>6</v>
      </c>
      <c r="F176">
        <v>45809</v>
      </c>
      <c r="G176" s="1">
        <v>45838</v>
      </c>
      <c r="H176">
        <v>30</v>
      </c>
      <c r="I176" t="s">
        <v>946</v>
      </c>
      <c r="J176">
        <v>2</v>
      </c>
      <c r="K176" s="1">
        <v>45748</v>
      </c>
      <c r="L176" s="1">
        <v>45838</v>
      </c>
      <c r="M176">
        <v>26</v>
      </c>
      <c r="N176">
        <v>4</v>
      </c>
      <c r="O176" s="1">
        <v>45830</v>
      </c>
      <c r="P176" s="1">
        <v>45836</v>
      </c>
      <c r="Q176">
        <v>23</v>
      </c>
      <c r="R176">
        <v>1</v>
      </c>
      <c r="S176">
        <v>174</v>
      </c>
      <c r="T176" s="1">
        <v>45831</v>
      </c>
      <c r="U176" s="1">
        <v>45831</v>
      </c>
      <c r="V176" t="s">
        <v>941</v>
      </c>
    </row>
    <row r="177" spans="1:22" x14ac:dyDescent="0.25">
      <c r="A177">
        <v>45832</v>
      </c>
      <c r="B177">
        <v>45658</v>
      </c>
      <c r="C177">
        <v>46022</v>
      </c>
      <c r="D177">
        <v>2025</v>
      </c>
      <c r="E177">
        <v>6</v>
      </c>
      <c r="F177">
        <v>45809</v>
      </c>
      <c r="G177" s="1">
        <v>45838</v>
      </c>
      <c r="H177">
        <v>30</v>
      </c>
      <c r="I177" t="s">
        <v>946</v>
      </c>
      <c r="J177">
        <v>2</v>
      </c>
      <c r="K177" s="1">
        <v>45748</v>
      </c>
      <c r="L177" s="1">
        <v>45838</v>
      </c>
      <c r="M177">
        <v>26</v>
      </c>
      <c r="N177">
        <v>4</v>
      </c>
      <c r="O177" s="1">
        <v>45830</v>
      </c>
      <c r="P177" s="1">
        <v>45836</v>
      </c>
      <c r="Q177">
        <v>24</v>
      </c>
      <c r="R177">
        <v>2</v>
      </c>
      <c r="S177">
        <v>175</v>
      </c>
      <c r="T177" s="1">
        <v>45832</v>
      </c>
      <c r="U177" s="1">
        <v>45832</v>
      </c>
      <c r="V177" t="s">
        <v>940</v>
      </c>
    </row>
    <row r="178" spans="1:22" x14ac:dyDescent="0.25">
      <c r="A178">
        <v>45833</v>
      </c>
      <c r="B178">
        <v>45658</v>
      </c>
      <c r="C178">
        <v>46022</v>
      </c>
      <c r="D178">
        <v>2025</v>
      </c>
      <c r="E178">
        <v>6</v>
      </c>
      <c r="F178">
        <v>45809</v>
      </c>
      <c r="G178" s="1">
        <v>45838</v>
      </c>
      <c r="H178">
        <v>30</v>
      </c>
      <c r="I178" t="s">
        <v>946</v>
      </c>
      <c r="J178">
        <v>2</v>
      </c>
      <c r="K178" s="1">
        <v>45748</v>
      </c>
      <c r="L178" s="1">
        <v>45838</v>
      </c>
      <c r="M178">
        <v>26</v>
      </c>
      <c r="N178">
        <v>4</v>
      </c>
      <c r="O178" s="1">
        <v>45830</v>
      </c>
      <c r="P178" s="1">
        <v>45836</v>
      </c>
      <c r="Q178">
        <v>25</v>
      </c>
      <c r="R178">
        <v>3</v>
      </c>
      <c r="S178">
        <v>176</v>
      </c>
      <c r="T178" s="1">
        <v>45833</v>
      </c>
      <c r="U178" s="1">
        <v>45833</v>
      </c>
      <c r="V178" t="s">
        <v>942</v>
      </c>
    </row>
    <row r="179" spans="1:22" x14ac:dyDescent="0.25">
      <c r="A179">
        <v>45834</v>
      </c>
      <c r="B179">
        <v>45658</v>
      </c>
      <c r="C179">
        <v>46022</v>
      </c>
      <c r="D179">
        <v>2025</v>
      </c>
      <c r="E179">
        <v>6</v>
      </c>
      <c r="F179">
        <v>45809</v>
      </c>
      <c r="G179" s="1">
        <v>45838</v>
      </c>
      <c r="H179">
        <v>30</v>
      </c>
      <c r="I179" t="s">
        <v>946</v>
      </c>
      <c r="J179">
        <v>2</v>
      </c>
      <c r="K179" s="1">
        <v>45748</v>
      </c>
      <c r="L179" s="1">
        <v>45838</v>
      </c>
      <c r="M179">
        <v>26</v>
      </c>
      <c r="N179">
        <v>4</v>
      </c>
      <c r="O179" s="1">
        <v>45830</v>
      </c>
      <c r="P179" s="1">
        <v>45836</v>
      </c>
      <c r="Q179">
        <v>26</v>
      </c>
      <c r="R179">
        <v>4</v>
      </c>
      <c r="S179">
        <v>177</v>
      </c>
      <c r="T179" s="1">
        <v>45834</v>
      </c>
      <c r="U179" s="1">
        <v>45834</v>
      </c>
      <c r="V179" t="s">
        <v>943</v>
      </c>
    </row>
    <row r="180" spans="1:22" x14ac:dyDescent="0.25">
      <c r="A180">
        <v>45835</v>
      </c>
      <c r="B180">
        <v>45658</v>
      </c>
      <c r="C180">
        <v>46022</v>
      </c>
      <c r="D180">
        <v>2025</v>
      </c>
      <c r="E180">
        <v>6</v>
      </c>
      <c r="F180">
        <v>45809</v>
      </c>
      <c r="G180" s="1">
        <v>45838</v>
      </c>
      <c r="H180">
        <v>30</v>
      </c>
      <c r="I180" t="s">
        <v>946</v>
      </c>
      <c r="J180">
        <v>2</v>
      </c>
      <c r="K180" s="1">
        <v>45748</v>
      </c>
      <c r="L180" s="1">
        <v>45838</v>
      </c>
      <c r="M180">
        <v>26</v>
      </c>
      <c r="N180">
        <v>4</v>
      </c>
      <c r="O180" s="1">
        <v>45830</v>
      </c>
      <c r="P180" s="1">
        <v>45836</v>
      </c>
      <c r="Q180">
        <v>27</v>
      </c>
      <c r="R180">
        <v>5</v>
      </c>
      <c r="S180">
        <v>178</v>
      </c>
      <c r="T180" s="1">
        <v>45835</v>
      </c>
      <c r="U180" s="1">
        <v>45835</v>
      </c>
      <c r="V180" t="s">
        <v>666</v>
      </c>
    </row>
    <row r="181" spans="1:22" x14ac:dyDescent="0.25">
      <c r="A181">
        <v>45836</v>
      </c>
      <c r="B181">
        <v>45658</v>
      </c>
      <c r="C181">
        <v>46022</v>
      </c>
      <c r="D181">
        <v>2025</v>
      </c>
      <c r="E181">
        <v>6</v>
      </c>
      <c r="F181">
        <v>45809</v>
      </c>
      <c r="G181" s="1">
        <v>45838</v>
      </c>
      <c r="H181">
        <v>30</v>
      </c>
      <c r="I181" t="s">
        <v>946</v>
      </c>
      <c r="J181">
        <v>2</v>
      </c>
      <c r="K181" s="1">
        <v>45748</v>
      </c>
      <c r="L181" s="1">
        <v>45838</v>
      </c>
      <c r="M181">
        <v>26</v>
      </c>
      <c r="N181">
        <v>4</v>
      </c>
      <c r="O181" s="1">
        <v>45830</v>
      </c>
      <c r="P181" s="1">
        <v>45836</v>
      </c>
      <c r="Q181">
        <v>28</v>
      </c>
      <c r="R181">
        <v>6</v>
      </c>
      <c r="S181">
        <v>179</v>
      </c>
      <c r="T181" s="1">
        <v>45836</v>
      </c>
      <c r="U181" s="1">
        <v>45836</v>
      </c>
      <c r="V181" t="s">
        <v>944</v>
      </c>
    </row>
    <row r="182" spans="1:22" x14ac:dyDescent="0.25">
      <c r="A182">
        <v>45837</v>
      </c>
      <c r="B182">
        <v>45658</v>
      </c>
      <c r="C182">
        <v>46022</v>
      </c>
      <c r="D182">
        <v>2025</v>
      </c>
      <c r="E182">
        <v>6</v>
      </c>
      <c r="F182">
        <v>45809</v>
      </c>
      <c r="G182" s="1">
        <v>45838</v>
      </c>
      <c r="H182">
        <v>30</v>
      </c>
      <c r="I182" t="s">
        <v>946</v>
      </c>
      <c r="J182">
        <v>2</v>
      </c>
      <c r="K182" s="1">
        <v>45748</v>
      </c>
      <c r="L182" s="1">
        <v>45838</v>
      </c>
      <c r="M182">
        <v>27</v>
      </c>
      <c r="N182">
        <v>5</v>
      </c>
      <c r="O182" s="1">
        <v>45837</v>
      </c>
      <c r="P182" s="1">
        <v>45843</v>
      </c>
      <c r="Q182">
        <v>29</v>
      </c>
      <c r="R182">
        <v>0</v>
      </c>
      <c r="S182">
        <v>180</v>
      </c>
      <c r="T182" s="1">
        <v>45837</v>
      </c>
      <c r="U182" s="1">
        <v>45837</v>
      </c>
      <c r="V182" t="s">
        <v>945</v>
      </c>
    </row>
    <row r="183" spans="1:22" x14ac:dyDescent="0.25">
      <c r="A183">
        <v>45838</v>
      </c>
      <c r="B183">
        <v>45658</v>
      </c>
      <c r="C183">
        <v>46022</v>
      </c>
      <c r="D183">
        <v>2025</v>
      </c>
      <c r="E183">
        <v>6</v>
      </c>
      <c r="F183">
        <v>45809</v>
      </c>
      <c r="G183" s="1">
        <v>45838</v>
      </c>
      <c r="H183">
        <v>30</v>
      </c>
      <c r="I183" t="s">
        <v>946</v>
      </c>
      <c r="J183">
        <v>2</v>
      </c>
      <c r="K183" s="1">
        <v>45748</v>
      </c>
      <c r="L183" s="1">
        <v>45838</v>
      </c>
      <c r="M183">
        <v>27</v>
      </c>
      <c r="N183">
        <v>5</v>
      </c>
      <c r="O183" s="1">
        <v>45837</v>
      </c>
      <c r="P183" s="1">
        <v>45843</v>
      </c>
      <c r="Q183">
        <v>30</v>
      </c>
      <c r="R183">
        <v>1</v>
      </c>
      <c r="S183">
        <v>181</v>
      </c>
      <c r="T183" s="1">
        <v>45838</v>
      </c>
      <c r="U183" s="1">
        <v>45838</v>
      </c>
      <c r="V183" t="s">
        <v>941</v>
      </c>
    </row>
    <row r="184" spans="1:22" x14ac:dyDescent="0.25">
      <c r="A184">
        <v>45839</v>
      </c>
      <c r="B184">
        <v>45658</v>
      </c>
      <c r="C184">
        <v>46022</v>
      </c>
      <c r="D184">
        <v>2025</v>
      </c>
      <c r="E184">
        <v>7</v>
      </c>
      <c r="F184">
        <v>45839</v>
      </c>
      <c r="G184" s="1">
        <v>45869</v>
      </c>
      <c r="H184">
        <v>31</v>
      </c>
      <c r="I184" t="s">
        <v>963</v>
      </c>
      <c r="J184">
        <v>3</v>
      </c>
      <c r="K184" s="1">
        <v>45839</v>
      </c>
      <c r="L184" s="1">
        <v>45930</v>
      </c>
      <c r="M184">
        <v>27</v>
      </c>
      <c r="N184">
        <v>1</v>
      </c>
      <c r="O184" s="1">
        <v>45837</v>
      </c>
      <c r="P184" s="1">
        <v>45843</v>
      </c>
      <c r="Q184">
        <v>1</v>
      </c>
      <c r="R184">
        <v>2</v>
      </c>
      <c r="S184">
        <v>182</v>
      </c>
      <c r="T184" s="1">
        <v>45839</v>
      </c>
      <c r="U184" s="1">
        <v>45839</v>
      </c>
      <c r="V184" t="s">
        <v>940</v>
      </c>
    </row>
    <row r="185" spans="1:22" x14ac:dyDescent="0.25">
      <c r="A185">
        <v>45840</v>
      </c>
      <c r="B185">
        <v>45658</v>
      </c>
      <c r="C185">
        <v>46022</v>
      </c>
      <c r="D185">
        <v>2025</v>
      </c>
      <c r="E185">
        <v>7</v>
      </c>
      <c r="F185">
        <v>45839</v>
      </c>
      <c r="G185" s="1">
        <v>45869</v>
      </c>
      <c r="H185">
        <v>31</v>
      </c>
      <c r="I185" t="s">
        <v>963</v>
      </c>
      <c r="J185">
        <v>3</v>
      </c>
      <c r="K185" s="1">
        <v>45839</v>
      </c>
      <c r="L185" s="1">
        <v>45930</v>
      </c>
      <c r="M185">
        <v>27</v>
      </c>
      <c r="N185">
        <v>1</v>
      </c>
      <c r="O185" s="1">
        <v>45837</v>
      </c>
      <c r="P185" s="1">
        <v>45843</v>
      </c>
      <c r="Q185">
        <v>2</v>
      </c>
      <c r="R185">
        <v>3</v>
      </c>
      <c r="S185">
        <v>183</v>
      </c>
      <c r="T185" s="1">
        <v>45840</v>
      </c>
      <c r="U185" s="1">
        <v>45840</v>
      </c>
      <c r="V185" t="s">
        <v>942</v>
      </c>
    </row>
    <row r="186" spans="1:22" x14ac:dyDescent="0.25">
      <c r="A186">
        <v>45841</v>
      </c>
      <c r="B186">
        <v>45658</v>
      </c>
      <c r="C186">
        <v>46022</v>
      </c>
      <c r="D186">
        <v>2025</v>
      </c>
      <c r="E186">
        <v>7</v>
      </c>
      <c r="F186">
        <v>45839</v>
      </c>
      <c r="G186" s="1">
        <v>45869</v>
      </c>
      <c r="H186">
        <v>31</v>
      </c>
      <c r="I186" t="s">
        <v>963</v>
      </c>
      <c r="J186">
        <v>3</v>
      </c>
      <c r="K186" s="1">
        <v>45839</v>
      </c>
      <c r="L186" s="1">
        <v>45930</v>
      </c>
      <c r="M186">
        <v>27</v>
      </c>
      <c r="N186">
        <v>1</v>
      </c>
      <c r="O186" s="1">
        <v>45837</v>
      </c>
      <c r="P186" s="1">
        <v>45843</v>
      </c>
      <c r="Q186">
        <v>3</v>
      </c>
      <c r="R186">
        <v>4</v>
      </c>
      <c r="S186">
        <v>184</v>
      </c>
      <c r="T186" s="1">
        <v>45841</v>
      </c>
      <c r="U186" s="1">
        <v>45841</v>
      </c>
      <c r="V186" t="s">
        <v>943</v>
      </c>
    </row>
    <row r="187" spans="1:22" x14ac:dyDescent="0.25">
      <c r="A187">
        <v>45842</v>
      </c>
      <c r="B187">
        <v>45658</v>
      </c>
      <c r="C187">
        <v>46022</v>
      </c>
      <c r="D187">
        <v>2025</v>
      </c>
      <c r="E187">
        <v>7</v>
      </c>
      <c r="F187">
        <v>45839</v>
      </c>
      <c r="G187" s="1">
        <v>45869</v>
      </c>
      <c r="H187">
        <v>31</v>
      </c>
      <c r="I187" t="s">
        <v>963</v>
      </c>
      <c r="J187">
        <v>3</v>
      </c>
      <c r="K187" s="1">
        <v>45839</v>
      </c>
      <c r="L187" s="1">
        <v>45930</v>
      </c>
      <c r="M187">
        <v>27</v>
      </c>
      <c r="N187">
        <v>1</v>
      </c>
      <c r="O187" s="1">
        <v>45837</v>
      </c>
      <c r="P187" s="1">
        <v>45843</v>
      </c>
      <c r="Q187">
        <v>4</v>
      </c>
      <c r="R187">
        <v>5</v>
      </c>
      <c r="S187">
        <v>185</v>
      </c>
      <c r="T187" s="1">
        <v>45842</v>
      </c>
      <c r="U187" s="1">
        <v>45842</v>
      </c>
      <c r="V187" t="s">
        <v>666</v>
      </c>
    </row>
    <row r="188" spans="1:22" x14ac:dyDescent="0.25">
      <c r="A188">
        <v>45843</v>
      </c>
      <c r="B188">
        <v>45658</v>
      </c>
      <c r="C188">
        <v>46022</v>
      </c>
      <c r="D188">
        <v>2025</v>
      </c>
      <c r="E188">
        <v>7</v>
      </c>
      <c r="F188">
        <v>45839</v>
      </c>
      <c r="G188" s="1">
        <v>45869</v>
      </c>
      <c r="H188">
        <v>31</v>
      </c>
      <c r="I188" t="s">
        <v>963</v>
      </c>
      <c r="J188">
        <v>3</v>
      </c>
      <c r="K188" s="1">
        <v>45839</v>
      </c>
      <c r="L188" s="1">
        <v>45930</v>
      </c>
      <c r="M188">
        <v>27</v>
      </c>
      <c r="N188">
        <v>1</v>
      </c>
      <c r="O188" s="1">
        <v>45837</v>
      </c>
      <c r="P188" s="1">
        <v>45843</v>
      </c>
      <c r="Q188">
        <v>5</v>
      </c>
      <c r="R188">
        <v>6</v>
      </c>
      <c r="S188">
        <v>186</v>
      </c>
      <c r="T188" s="1">
        <v>45843</v>
      </c>
      <c r="U188" s="1">
        <v>45843</v>
      </c>
      <c r="V188" t="s">
        <v>944</v>
      </c>
    </row>
    <row r="189" spans="1:22" x14ac:dyDescent="0.25">
      <c r="A189">
        <v>45844</v>
      </c>
      <c r="B189">
        <v>45658</v>
      </c>
      <c r="C189">
        <v>46022</v>
      </c>
      <c r="D189">
        <v>2025</v>
      </c>
      <c r="E189">
        <v>7</v>
      </c>
      <c r="F189">
        <v>45839</v>
      </c>
      <c r="G189" s="1">
        <v>45869</v>
      </c>
      <c r="H189">
        <v>31</v>
      </c>
      <c r="I189" t="s">
        <v>963</v>
      </c>
      <c r="J189">
        <v>3</v>
      </c>
      <c r="K189" s="1">
        <v>45839</v>
      </c>
      <c r="L189" s="1">
        <v>45930</v>
      </c>
      <c r="M189">
        <v>28</v>
      </c>
      <c r="N189">
        <v>2</v>
      </c>
      <c r="O189" s="1">
        <v>45844</v>
      </c>
      <c r="P189" s="1">
        <v>45850</v>
      </c>
      <c r="Q189">
        <v>6</v>
      </c>
      <c r="R189">
        <v>0</v>
      </c>
      <c r="S189">
        <v>187</v>
      </c>
      <c r="T189" s="1">
        <v>45844</v>
      </c>
      <c r="U189" s="1">
        <v>45844</v>
      </c>
      <c r="V189" t="s">
        <v>945</v>
      </c>
    </row>
    <row r="190" spans="1:22" x14ac:dyDescent="0.25">
      <c r="A190">
        <v>45845</v>
      </c>
      <c r="B190">
        <v>45658</v>
      </c>
      <c r="C190">
        <v>46022</v>
      </c>
      <c r="D190">
        <v>2025</v>
      </c>
      <c r="E190">
        <v>7</v>
      </c>
      <c r="F190">
        <v>45839</v>
      </c>
      <c r="G190" s="1">
        <v>45869</v>
      </c>
      <c r="H190">
        <v>31</v>
      </c>
      <c r="I190" t="s">
        <v>963</v>
      </c>
      <c r="J190">
        <v>3</v>
      </c>
      <c r="K190" s="1">
        <v>45839</v>
      </c>
      <c r="L190" s="1">
        <v>45930</v>
      </c>
      <c r="M190">
        <v>28</v>
      </c>
      <c r="N190">
        <v>2</v>
      </c>
      <c r="O190" s="1">
        <v>45844</v>
      </c>
      <c r="P190" s="1">
        <v>45850</v>
      </c>
      <c r="Q190">
        <v>7</v>
      </c>
      <c r="R190">
        <v>1</v>
      </c>
      <c r="S190">
        <v>188</v>
      </c>
      <c r="T190" s="1">
        <v>45845</v>
      </c>
      <c r="U190" s="1">
        <v>45845</v>
      </c>
      <c r="V190" t="s">
        <v>941</v>
      </c>
    </row>
    <row r="191" spans="1:22" x14ac:dyDescent="0.25">
      <c r="A191">
        <v>45846</v>
      </c>
      <c r="B191">
        <v>45658</v>
      </c>
      <c r="C191">
        <v>46022</v>
      </c>
      <c r="D191">
        <v>2025</v>
      </c>
      <c r="E191">
        <v>7</v>
      </c>
      <c r="F191">
        <v>45839</v>
      </c>
      <c r="G191" s="1">
        <v>45869</v>
      </c>
      <c r="H191">
        <v>31</v>
      </c>
      <c r="I191" t="s">
        <v>963</v>
      </c>
      <c r="J191">
        <v>3</v>
      </c>
      <c r="K191" s="1">
        <v>45839</v>
      </c>
      <c r="L191" s="1">
        <v>45930</v>
      </c>
      <c r="M191">
        <v>28</v>
      </c>
      <c r="N191">
        <v>2</v>
      </c>
      <c r="O191" s="1">
        <v>45844</v>
      </c>
      <c r="P191" s="1">
        <v>45850</v>
      </c>
      <c r="Q191">
        <v>8</v>
      </c>
      <c r="R191">
        <v>2</v>
      </c>
      <c r="S191">
        <v>189</v>
      </c>
      <c r="T191" s="1">
        <v>45846</v>
      </c>
      <c r="U191" s="1">
        <v>45846</v>
      </c>
      <c r="V191" t="s">
        <v>940</v>
      </c>
    </row>
    <row r="192" spans="1:22" x14ac:dyDescent="0.25">
      <c r="A192">
        <v>45847</v>
      </c>
      <c r="B192">
        <v>45658</v>
      </c>
      <c r="C192">
        <v>46022</v>
      </c>
      <c r="D192">
        <v>2025</v>
      </c>
      <c r="E192">
        <v>7</v>
      </c>
      <c r="F192">
        <v>45839</v>
      </c>
      <c r="G192" s="1">
        <v>45869</v>
      </c>
      <c r="H192">
        <v>31</v>
      </c>
      <c r="I192" t="s">
        <v>963</v>
      </c>
      <c r="J192">
        <v>3</v>
      </c>
      <c r="K192" s="1">
        <v>45839</v>
      </c>
      <c r="L192" s="1">
        <v>45930</v>
      </c>
      <c r="M192">
        <v>28</v>
      </c>
      <c r="N192">
        <v>2</v>
      </c>
      <c r="O192" s="1">
        <v>45844</v>
      </c>
      <c r="P192" s="1">
        <v>45850</v>
      </c>
      <c r="Q192">
        <v>9</v>
      </c>
      <c r="R192">
        <v>3</v>
      </c>
      <c r="S192">
        <v>190</v>
      </c>
      <c r="T192" s="1">
        <v>45847</v>
      </c>
      <c r="U192" s="1">
        <v>45847</v>
      </c>
      <c r="V192" t="s">
        <v>942</v>
      </c>
    </row>
    <row r="193" spans="1:22" x14ac:dyDescent="0.25">
      <c r="A193">
        <v>45848</v>
      </c>
      <c r="B193">
        <v>45658</v>
      </c>
      <c r="C193">
        <v>46022</v>
      </c>
      <c r="D193">
        <v>2025</v>
      </c>
      <c r="E193">
        <v>7</v>
      </c>
      <c r="F193">
        <v>45839</v>
      </c>
      <c r="G193" s="1">
        <v>45869</v>
      </c>
      <c r="H193">
        <v>31</v>
      </c>
      <c r="I193" t="s">
        <v>963</v>
      </c>
      <c r="J193">
        <v>3</v>
      </c>
      <c r="K193" s="1">
        <v>45839</v>
      </c>
      <c r="L193" s="1">
        <v>45930</v>
      </c>
      <c r="M193">
        <v>28</v>
      </c>
      <c r="N193">
        <v>2</v>
      </c>
      <c r="O193" s="1">
        <v>45844</v>
      </c>
      <c r="P193" s="1">
        <v>45850</v>
      </c>
      <c r="Q193">
        <v>10</v>
      </c>
      <c r="R193">
        <v>4</v>
      </c>
      <c r="S193">
        <v>191</v>
      </c>
      <c r="T193" s="1">
        <v>45848</v>
      </c>
      <c r="U193" s="1">
        <v>45848</v>
      </c>
      <c r="V193" t="s">
        <v>943</v>
      </c>
    </row>
    <row r="194" spans="1:22" x14ac:dyDescent="0.25">
      <c r="A194">
        <v>45849</v>
      </c>
      <c r="B194">
        <v>45658</v>
      </c>
      <c r="C194">
        <v>46022</v>
      </c>
      <c r="D194">
        <v>2025</v>
      </c>
      <c r="E194">
        <v>7</v>
      </c>
      <c r="F194">
        <v>45839</v>
      </c>
      <c r="G194" s="1">
        <v>45869</v>
      </c>
      <c r="H194">
        <v>31</v>
      </c>
      <c r="I194" t="s">
        <v>963</v>
      </c>
      <c r="J194">
        <v>3</v>
      </c>
      <c r="K194" s="1">
        <v>45839</v>
      </c>
      <c r="L194" s="1">
        <v>45930</v>
      </c>
      <c r="M194">
        <v>28</v>
      </c>
      <c r="N194">
        <v>2</v>
      </c>
      <c r="O194" s="1">
        <v>45844</v>
      </c>
      <c r="P194" s="1">
        <v>45850</v>
      </c>
      <c r="Q194">
        <v>11</v>
      </c>
      <c r="R194">
        <v>5</v>
      </c>
      <c r="S194">
        <v>192</v>
      </c>
      <c r="T194" s="1">
        <v>45849</v>
      </c>
      <c r="U194" s="1">
        <v>45849</v>
      </c>
      <c r="V194" t="s">
        <v>666</v>
      </c>
    </row>
    <row r="195" spans="1:22" x14ac:dyDescent="0.25">
      <c r="A195">
        <v>45850</v>
      </c>
      <c r="B195">
        <v>45658</v>
      </c>
      <c r="C195">
        <v>46022</v>
      </c>
      <c r="D195">
        <v>2025</v>
      </c>
      <c r="E195">
        <v>7</v>
      </c>
      <c r="F195">
        <v>45839</v>
      </c>
      <c r="G195" s="1">
        <v>45869</v>
      </c>
      <c r="H195">
        <v>31</v>
      </c>
      <c r="I195" t="s">
        <v>963</v>
      </c>
      <c r="J195">
        <v>3</v>
      </c>
      <c r="K195" s="1">
        <v>45839</v>
      </c>
      <c r="L195" s="1">
        <v>45930</v>
      </c>
      <c r="M195">
        <v>28</v>
      </c>
      <c r="N195">
        <v>2</v>
      </c>
      <c r="O195" s="1">
        <v>45844</v>
      </c>
      <c r="P195" s="1">
        <v>45850</v>
      </c>
      <c r="Q195">
        <v>12</v>
      </c>
      <c r="R195">
        <v>6</v>
      </c>
      <c r="S195">
        <v>193</v>
      </c>
      <c r="T195" s="1">
        <v>45850</v>
      </c>
      <c r="U195" s="1">
        <v>45850</v>
      </c>
      <c r="V195" t="s">
        <v>944</v>
      </c>
    </row>
    <row r="196" spans="1:22" x14ac:dyDescent="0.25">
      <c r="A196">
        <v>45851</v>
      </c>
      <c r="B196">
        <v>45658</v>
      </c>
      <c r="C196">
        <v>46022</v>
      </c>
      <c r="D196">
        <v>2025</v>
      </c>
      <c r="E196">
        <v>7</v>
      </c>
      <c r="F196">
        <v>45839</v>
      </c>
      <c r="G196" s="1">
        <v>45869</v>
      </c>
      <c r="H196">
        <v>31</v>
      </c>
      <c r="I196" t="s">
        <v>963</v>
      </c>
      <c r="J196">
        <v>3</v>
      </c>
      <c r="K196" s="1">
        <v>45839</v>
      </c>
      <c r="L196" s="1">
        <v>45930</v>
      </c>
      <c r="M196">
        <v>29</v>
      </c>
      <c r="N196">
        <v>3</v>
      </c>
      <c r="O196" s="1">
        <v>45851</v>
      </c>
      <c r="P196" s="1">
        <v>45857</v>
      </c>
      <c r="Q196">
        <v>13</v>
      </c>
      <c r="R196">
        <v>0</v>
      </c>
      <c r="S196">
        <v>194</v>
      </c>
      <c r="T196" s="1">
        <v>45851</v>
      </c>
      <c r="U196" s="1">
        <v>45851</v>
      </c>
      <c r="V196" t="s">
        <v>945</v>
      </c>
    </row>
    <row r="197" spans="1:22" x14ac:dyDescent="0.25">
      <c r="A197">
        <v>45852</v>
      </c>
      <c r="B197">
        <v>45658</v>
      </c>
      <c r="C197">
        <v>46022</v>
      </c>
      <c r="D197">
        <v>2025</v>
      </c>
      <c r="E197">
        <v>7</v>
      </c>
      <c r="F197">
        <v>45839</v>
      </c>
      <c r="G197" s="1">
        <v>45869</v>
      </c>
      <c r="H197">
        <v>31</v>
      </c>
      <c r="I197" t="s">
        <v>963</v>
      </c>
      <c r="J197">
        <v>3</v>
      </c>
      <c r="K197" s="1">
        <v>45839</v>
      </c>
      <c r="L197" s="1">
        <v>45930</v>
      </c>
      <c r="M197">
        <v>29</v>
      </c>
      <c r="N197">
        <v>3</v>
      </c>
      <c r="O197" s="1">
        <v>45851</v>
      </c>
      <c r="P197" s="1">
        <v>45857</v>
      </c>
      <c r="Q197">
        <v>14</v>
      </c>
      <c r="R197">
        <v>1</v>
      </c>
      <c r="S197">
        <v>195</v>
      </c>
      <c r="T197" s="1">
        <v>45852</v>
      </c>
      <c r="U197" s="1">
        <v>45852</v>
      </c>
      <c r="V197" t="s">
        <v>941</v>
      </c>
    </row>
    <row r="198" spans="1:22" x14ac:dyDescent="0.25">
      <c r="A198">
        <v>45853</v>
      </c>
      <c r="B198">
        <v>45658</v>
      </c>
      <c r="C198">
        <v>46022</v>
      </c>
      <c r="D198">
        <v>2025</v>
      </c>
      <c r="E198">
        <v>7</v>
      </c>
      <c r="F198">
        <v>45839</v>
      </c>
      <c r="G198" s="1">
        <v>45869</v>
      </c>
      <c r="H198">
        <v>31</v>
      </c>
      <c r="I198" t="s">
        <v>963</v>
      </c>
      <c r="J198">
        <v>3</v>
      </c>
      <c r="K198" s="1">
        <v>45839</v>
      </c>
      <c r="L198" s="1">
        <v>45930</v>
      </c>
      <c r="M198">
        <v>29</v>
      </c>
      <c r="N198">
        <v>3</v>
      </c>
      <c r="O198" s="1">
        <v>45851</v>
      </c>
      <c r="P198" s="1">
        <v>45857</v>
      </c>
      <c r="Q198">
        <v>15</v>
      </c>
      <c r="R198">
        <v>2</v>
      </c>
      <c r="S198">
        <v>196</v>
      </c>
      <c r="T198" s="1">
        <v>45853</v>
      </c>
      <c r="U198" s="1">
        <v>45853</v>
      </c>
      <c r="V198" t="s">
        <v>940</v>
      </c>
    </row>
    <row r="199" spans="1:22" x14ac:dyDescent="0.25">
      <c r="A199">
        <v>45854</v>
      </c>
      <c r="B199">
        <v>45658</v>
      </c>
      <c r="C199">
        <v>46022</v>
      </c>
      <c r="D199">
        <v>2025</v>
      </c>
      <c r="E199">
        <v>7</v>
      </c>
      <c r="F199">
        <v>45839</v>
      </c>
      <c r="G199" s="1">
        <v>45869</v>
      </c>
      <c r="H199">
        <v>31</v>
      </c>
      <c r="I199" t="s">
        <v>963</v>
      </c>
      <c r="J199">
        <v>3</v>
      </c>
      <c r="K199" s="1">
        <v>45839</v>
      </c>
      <c r="L199" s="1">
        <v>45930</v>
      </c>
      <c r="M199">
        <v>29</v>
      </c>
      <c r="N199">
        <v>3</v>
      </c>
      <c r="O199" s="1">
        <v>45851</v>
      </c>
      <c r="P199" s="1">
        <v>45857</v>
      </c>
      <c r="Q199">
        <v>16</v>
      </c>
      <c r="R199">
        <v>3</v>
      </c>
      <c r="S199">
        <v>197</v>
      </c>
      <c r="T199" s="1">
        <v>45854</v>
      </c>
      <c r="U199" s="1">
        <v>45854</v>
      </c>
      <c r="V199" t="s">
        <v>942</v>
      </c>
    </row>
    <row r="200" spans="1:22" x14ac:dyDescent="0.25">
      <c r="A200">
        <v>45855</v>
      </c>
      <c r="B200">
        <v>45658</v>
      </c>
      <c r="C200">
        <v>46022</v>
      </c>
      <c r="D200">
        <v>2025</v>
      </c>
      <c r="E200">
        <v>7</v>
      </c>
      <c r="F200">
        <v>45839</v>
      </c>
      <c r="G200" s="1">
        <v>45869</v>
      </c>
      <c r="H200">
        <v>31</v>
      </c>
      <c r="I200" t="s">
        <v>963</v>
      </c>
      <c r="J200">
        <v>3</v>
      </c>
      <c r="K200" s="1">
        <v>45839</v>
      </c>
      <c r="L200" s="1">
        <v>45930</v>
      </c>
      <c r="M200">
        <v>29</v>
      </c>
      <c r="N200">
        <v>3</v>
      </c>
      <c r="O200" s="1">
        <v>45851</v>
      </c>
      <c r="P200" s="1">
        <v>45857</v>
      </c>
      <c r="Q200">
        <v>17</v>
      </c>
      <c r="R200">
        <v>4</v>
      </c>
      <c r="S200">
        <v>198</v>
      </c>
      <c r="T200" s="1">
        <v>45855</v>
      </c>
      <c r="U200" s="1">
        <v>45855</v>
      </c>
      <c r="V200" t="s">
        <v>943</v>
      </c>
    </row>
    <row r="201" spans="1:22" x14ac:dyDescent="0.25">
      <c r="A201">
        <v>45856</v>
      </c>
      <c r="B201">
        <v>45658</v>
      </c>
      <c r="C201">
        <v>46022</v>
      </c>
      <c r="D201">
        <v>2025</v>
      </c>
      <c r="E201">
        <v>7</v>
      </c>
      <c r="F201">
        <v>45839</v>
      </c>
      <c r="G201" s="1">
        <v>45869</v>
      </c>
      <c r="H201">
        <v>31</v>
      </c>
      <c r="I201" t="s">
        <v>963</v>
      </c>
      <c r="J201">
        <v>3</v>
      </c>
      <c r="K201" s="1">
        <v>45839</v>
      </c>
      <c r="L201" s="1">
        <v>45930</v>
      </c>
      <c r="M201">
        <v>29</v>
      </c>
      <c r="N201">
        <v>3</v>
      </c>
      <c r="O201" s="1">
        <v>45851</v>
      </c>
      <c r="P201" s="1">
        <v>45857</v>
      </c>
      <c r="Q201">
        <v>18</v>
      </c>
      <c r="R201">
        <v>5</v>
      </c>
      <c r="S201">
        <v>199</v>
      </c>
      <c r="T201" s="1">
        <v>45856</v>
      </c>
      <c r="U201" s="1">
        <v>45856</v>
      </c>
      <c r="V201" t="s">
        <v>666</v>
      </c>
    </row>
    <row r="202" spans="1:22" x14ac:dyDescent="0.25">
      <c r="A202">
        <v>45857</v>
      </c>
      <c r="B202">
        <v>45658</v>
      </c>
      <c r="C202">
        <v>46022</v>
      </c>
      <c r="D202">
        <v>2025</v>
      </c>
      <c r="E202">
        <v>7</v>
      </c>
      <c r="F202">
        <v>45839</v>
      </c>
      <c r="G202" s="1">
        <v>45869</v>
      </c>
      <c r="H202">
        <v>31</v>
      </c>
      <c r="I202" t="s">
        <v>963</v>
      </c>
      <c r="J202">
        <v>3</v>
      </c>
      <c r="K202" s="1">
        <v>45839</v>
      </c>
      <c r="L202" s="1">
        <v>45930</v>
      </c>
      <c r="M202">
        <v>29</v>
      </c>
      <c r="N202">
        <v>3</v>
      </c>
      <c r="O202" s="1">
        <v>45851</v>
      </c>
      <c r="P202" s="1">
        <v>45857</v>
      </c>
      <c r="Q202">
        <v>19</v>
      </c>
      <c r="R202">
        <v>6</v>
      </c>
      <c r="S202">
        <v>200</v>
      </c>
      <c r="T202" s="1">
        <v>45857</v>
      </c>
      <c r="U202" s="1">
        <v>45857</v>
      </c>
      <c r="V202" t="s">
        <v>944</v>
      </c>
    </row>
    <row r="203" spans="1:22" x14ac:dyDescent="0.25">
      <c r="A203">
        <v>45858</v>
      </c>
      <c r="B203">
        <v>45658</v>
      </c>
      <c r="C203">
        <v>46022</v>
      </c>
      <c r="D203">
        <v>2025</v>
      </c>
      <c r="E203">
        <v>7</v>
      </c>
      <c r="F203">
        <v>45839</v>
      </c>
      <c r="G203" s="1">
        <v>45869</v>
      </c>
      <c r="H203">
        <v>31</v>
      </c>
      <c r="I203" t="s">
        <v>963</v>
      </c>
      <c r="J203">
        <v>3</v>
      </c>
      <c r="K203" s="1">
        <v>45839</v>
      </c>
      <c r="L203" s="1">
        <v>45930</v>
      </c>
      <c r="M203">
        <v>30</v>
      </c>
      <c r="N203">
        <v>4</v>
      </c>
      <c r="O203" s="1">
        <v>45858</v>
      </c>
      <c r="P203" s="1">
        <v>45864</v>
      </c>
      <c r="Q203">
        <v>20</v>
      </c>
      <c r="R203">
        <v>0</v>
      </c>
      <c r="S203">
        <v>201</v>
      </c>
      <c r="T203" s="1">
        <v>45858</v>
      </c>
      <c r="U203" s="1">
        <v>45858</v>
      </c>
      <c r="V203" t="s">
        <v>945</v>
      </c>
    </row>
    <row r="204" spans="1:22" x14ac:dyDescent="0.25">
      <c r="A204">
        <v>45859</v>
      </c>
      <c r="B204">
        <v>45658</v>
      </c>
      <c r="C204">
        <v>46022</v>
      </c>
      <c r="D204">
        <v>2025</v>
      </c>
      <c r="E204">
        <v>7</v>
      </c>
      <c r="F204">
        <v>45839</v>
      </c>
      <c r="G204" s="1">
        <v>45869</v>
      </c>
      <c r="H204">
        <v>31</v>
      </c>
      <c r="I204" t="s">
        <v>963</v>
      </c>
      <c r="J204">
        <v>3</v>
      </c>
      <c r="K204" s="1">
        <v>45839</v>
      </c>
      <c r="L204" s="1">
        <v>45930</v>
      </c>
      <c r="M204">
        <v>30</v>
      </c>
      <c r="N204">
        <v>4</v>
      </c>
      <c r="O204" s="1">
        <v>45858</v>
      </c>
      <c r="P204" s="1">
        <v>45864</v>
      </c>
      <c r="Q204">
        <v>21</v>
      </c>
      <c r="R204">
        <v>1</v>
      </c>
      <c r="S204">
        <v>202</v>
      </c>
      <c r="T204" s="1">
        <v>45859</v>
      </c>
      <c r="U204" s="1">
        <v>45859</v>
      </c>
      <c r="V204" t="s">
        <v>941</v>
      </c>
    </row>
    <row r="205" spans="1:22" x14ac:dyDescent="0.25">
      <c r="A205">
        <v>45860</v>
      </c>
      <c r="B205">
        <v>45658</v>
      </c>
      <c r="C205">
        <v>46022</v>
      </c>
      <c r="D205">
        <v>2025</v>
      </c>
      <c r="E205">
        <v>7</v>
      </c>
      <c r="F205">
        <v>45839</v>
      </c>
      <c r="G205" s="1">
        <v>45869</v>
      </c>
      <c r="H205">
        <v>31</v>
      </c>
      <c r="I205" t="s">
        <v>963</v>
      </c>
      <c r="J205">
        <v>3</v>
      </c>
      <c r="K205" s="1">
        <v>45839</v>
      </c>
      <c r="L205" s="1">
        <v>45930</v>
      </c>
      <c r="M205">
        <v>30</v>
      </c>
      <c r="N205">
        <v>4</v>
      </c>
      <c r="O205" s="1">
        <v>45858</v>
      </c>
      <c r="P205" s="1">
        <v>45864</v>
      </c>
      <c r="Q205">
        <v>22</v>
      </c>
      <c r="R205">
        <v>2</v>
      </c>
      <c r="S205">
        <v>203</v>
      </c>
      <c r="T205" s="1">
        <v>45860</v>
      </c>
      <c r="U205" s="1">
        <v>45860</v>
      </c>
      <c r="V205" t="s">
        <v>940</v>
      </c>
    </row>
    <row r="206" spans="1:22" x14ac:dyDescent="0.25">
      <c r="A206">
        <v>45861</v>
      </c>
      <c r="B206">
        <v>45658</v>
      </c>
      <c r="C206">
        <v>46022</v>
      </c>
      <c r="D206">
        <v>2025</v>
      </c>
      <c r="E206">
        <v>7</v>
      </c>
      <c r="F206">
        <v>45839</v>
      </c>
      <c r="G206" s="1">
        <v>45869</v>
      </c>
      <c r="H206">
        <v>31</v>
      </c>
      <c r="I206" t="s">
        <v>963</v>
      </c>
      <c r="J206">
        <v>3</v>
      </c>
      <c r="K206" s="1">
        <v>45839</v>
      </c>
      <c r="L206" s="1">
        <v>45930</v>
      </c>
      <c r="M206">
        <v>30</v>
      </c>
      <c r="N206">
        <v>4</v>
      </c>
      <c r="O206" s="1">
        <v>45858</v>
      </c>
      <c r="P206" s="1">
        <v>45864</v>
      </c>
      <c r="Q206">
        <v>23</v>
      </c>
      <c r="R206">
        <v>3</v>
      </c>
      <c r="S206">
        <v>204</v>
      </c>
      <c r="T206" s="1">
        <v>45861</v>
      </c>
      <c r="U206" s="1">
        <v>45861</v>
      </c>
      <c r="V206" t="s">
        <v>942</v>
      </c>
    </row>
    <row r="207" spans="1:22" x14ac:dyDescent="0.25">
      <c r="A207">
        <v>45862</v>
      </c>
      <c r="B207">
        <v>45658</v>
      </c>
      <c r="C207">
        <v>46022</v>
      </c>
      <c r="D207">
        <v>2025</v>
      </c>
      <c r="E207">
        <v>7</v>
      </c>
      <c r="F207">
        <v>45839</v>
      </c>
      <c r="G207" s="1">
        <v>45869</v>
      </c>
      <c r="H207">
        <v>31</v>
      </c>
      <c r="I207" t="s">
        <v>963</v>
      </c>
      <c r="J207">
        <v>3</v>
      </c>
      <c r="K207" s="1">
        <v>45839</v>
      </c>
      <c r="L207" s="1">
        <v>45930</v>
      </c>
      <c r="M207">
        <v>30</v>
      </c>
      <c r="N207">
        <v>4</v>
      </c>
      <c r="O207" s="1">
        <v>45858</v>
      </c>
      <c r="P207" s="1">
        <v>45864</v>
      </c>
      <c r="Q207">
        <v>24</v>
      </c>
      <c r="R207">
        <v>4</v>
      </c>
      <c r="S207">
        <v>205</v>
      </c>
      <c r="T207" s="1">
        <v>45862</v>
      </c>
      <c r="U207" s="1">
        <v>45862</v>
      </c>
      <c r="V207" t="s">
        <v>943</v>
      </c>
    </row>
    <row r="208" spans="1:22" x14ac:dyDescent="0.25">
      <c r="A208">
        <v>45863</v>
      </c>
      <c r="B208">
        <v>45658</v>
      </c>
      <c r="C208">
        <v>46022</v>
      </c>
      <c r="D208">
        <v>2025</v>
      </c>
      <c r="E208">
        <v>7</v>
      </c>
      <c r="F208">
        <v>45839</v>
      </c>
      <c r="G208" s="1">
        <v>45869</v>
      </c>
      <c r="H208">
        <v>31</v>
      </c>
      <c r="I208" t="s">
        <v>963</v>
      </c>
      <c r="J208">
        <v>3</v>
      </c>
      <c r="K208" s="1">
        <v>45839</v>
      </c>
      <c r="L208" s="1">
        <v>45930</v>
      </c>
      <c r="M208">
        <v>30</v>
      </c>
      <c r="N208">
        <v>4</v>
      </c>
      <c r="O208" s="1">
        <v>45858</v>
      </c>
      <c r="P208" s="1">
        <v>45864</v>
      </c>
      <c r="Q208">
        <v>25</v>
      </c>
      <c r="R208">
        <v>5</v>
      </c>
      <c r="S208">
        <v>206</v>
      </c>
      <c r="T208" s="1">
        <v>45863</v>
      </c>
      <c r="U208" s="1">
        <v>45863</v>
      </c>
      <c r="V208" t="s">
        <v>666</v>
      </c>
    </row>
    <row r="209" spans="1:22" x14ac:dyDescent="0.25">
      <c r="A209">
        <v>45864</v>
      </c>
      <c r="B209">
        <v>45658</v>
      </c>
      <c r="C209">
        <v>46022</v>
      </c>
      <c r="D209">
        <v>2025</v>
      </c>
      <c r="E209">
        <v>7</v>
      </c>
      <c r="F209">
        <v>45839</v>
      </c>
      <c r="G209" s="1">
        <v>45869</v>
      </c>
      <c r="H209">
        <v>31</v>
      </c>
      <c r="I209" t="s">
        <v>963</v>
      </c>
      <c r="J209">
        <v>3</v>
      </c>
      <c r="K209" s="1">
        <v>45839</v>
      </c>
      <c r="L209" s="1">
        <v>45930</v>
      </c>
      <c r="M209">
        <v>30</v>
      </c>
      <c r="N209">
        <v>4</v>
      </c>
      <c r="O209" s="1">
        <v>45858</v>
      </c>
      <c r="P209" s="1">
        <v>45864</v>
      </c>
      <c r="Q209">
        <v>26</v>
      </c>
      <c r="R209">
        <v>6</v>
      </c>
      <c r="S209">
        <v>207</v>
      </c>
      <c r="T209" s="1">
        <v>45864</v>
      </c>
      <c r="U209" s="1">
        <v>45864</v>
      </c>
      <c r="V209" t="s">
        <v>944</v>
      </c>
    </row>
    <row r="210" spans="1:22" x14ac:dyDescent="0.25">
      <c r="A210">
        <v>45865</v>
      </c>
      <c r="B210">
        <v>45658</v>
      </c>
      <c r="C210">
        <v>46022</v>
      </c>
      <c r="D210">
        <v>2025</v>
      </c>
      <c r="E210">
        <v>7</v>
      </c>
      <c r="F210">
        <v>45839</v>
      </c>
      <c r="G210" s="1">
        <v>45869</v>
      </c>
      <c r="H210">
        <v>31</v>
      </c>
      <c r="I210" t="s">
        <v>963</v>
      </c>
      <c r="J210">
        <v>3</v>
      </c>
      <c r="K210" s="1">
        <v>45839</v>
      </c>
      <c r="L210" s="1">
        <v>45930</v>
      </c>
      <c r="M210">
        <v>31</v>
      </c>
      <c r="N210">
        <v>5</v>
      </c>
      <c r="O210" s="1">
        <v>45865</v>
      </c>
      <c r="P210" s="1">
        <v>45871</v>
      </c>
      <c r="Q210">
        <v>27</v>
      </c>
      <c r="R210">
        <v>0</v>
      </c>
      <c r="S210">
        <v>208</v>
      </c>
      <c r="T210" s="1">
        <v>45865</v>
      </c>
      <c r="U210" s="1">
        <v>45865</v>
      </c>
      <c r="V210" t="s">
        <v>945</v>
      </c>
    </row>
    <row r="211" spans="1:22" x14ac:dyDescent="0.25">
      <c r="A211">
        <v>45866</v>
      </c>
      <c r="B211">
        <v>45658</v>
      </c>
      <c r="C211">
        <v>46022</v>
      </c>
      <c r="D211">
        <v>2025</v>
      </c>
      <c r="E211">
        <v>7</v>
      </c>
      <c r="F211">
        <v>45839</v>
      </c>
      <c r="G211" s="1">
        <v>45869</v>
      </c>
      <c r="H211">
        <v>31</v>
      </c>
      <c r="I211" t="s">
        <v>963</v>
      </c>
      <c r="J211">
        <v>3</v>
      </c>
      <c r="K211" s="1">
        <v>45839</v>
      </c>
      <c r="L211" s="1">
        <v>45930</v>
      </c>
      <c r="M211">
        <v>31</v>
      </c>
      <c r="N211">
        <v>5</v>
      </c>
      <c r="O211" s="1">
        <v>45865</v>
      </c>
      <c r="P211" s="1">
        <v>45871</v>
      </c>
      <c r="Q211">
        <v>28</v>
      </c>
      <c r="R211">
        <v>1</v>
      </c>
      <c r="S211">
        <v>209</v>
      </c>
      <c r="T211" s="1">
        <v>45866</v>
      </c>
      <c r="U211" s="1">
        <v>45866</v>
      </c>
      <c r="V211" t="s">
        <v>941</v>
      </c>
    </row>
    <row r="212" spans="1:22" x14ac:dyDescent="0.25">
      <c r="A212">
        <v>45867</v>
      </c>
      <c r="B212">
        <v>45658</v>
      </c>
      <c r="C212">
        <v>46022</v>
      </c>
      <c r="D212">
        <v>2025</v>
      </c>
      <c r="E212">
        <v>7</v>
      </c>
      <c r="F212">
        <v>45839</v>
      </c>
      <c r="G212" s="1">
        <v>45869</v>
      </c>
      <c r="H212">
        <v>31</v>
      </c>
      <c r="I212" t="s">
        <v>963</v>
      </c>
      <c r="J212">
        <v>3</v>
      </c>
      <c r="K212" s="1">
        <v>45839</v>
      </c>
      <c r="L212" s="1">
        <v>45930</v>
      </c>
      <c r="M212">
        <v>31</v>
      </c>
      <c r="N212">
        <v>5</v>
      </c>
      <c r="O212" s="1">
        <v>45865</v>
      </c>
      <c r="P212" s="1">
        <v>45871</v>
      </c>
      <c r="Q212">
        <v>29</v>
      </c>
      <c r="R212">
        <v>2</v>
      </c>
      <c r="S212">
        <v>210</v>
      </c>
      <c r="T212" s="1">
        <v>45867</v>
      </c>
      <c r="U212" s="1">
        <v>45867</v>
      </c>
      <c r="V212" t="s">
        <v>940</v>
      </c>
    </row>
    <row r="213" spans="1:22" x14ac:dyDescent="0.25">
      <c r="A213">
        <v>45868</v>
      </c>
      <c r="B213">
        <v>45658</v>
      </c>
      <c r="C213">
        <v>46022</v>
      </c>
      <c r="D213">
        <v>2025</v>
      </c>
      <c r="E213">
        <v>7</v>
      </c>
      <c r="F213">
        <v>45839</v>
      </c>
      <c r="G213" s="1">
        <v>45869</v>
      </c>
      <c r="H213">
        <v>31</v>
      </c>
      <c r="I213" t="s">
        <v>963</v>
      </c>
      <c r="J213">
        <v>3</v>
      </c>
      <c r="K213" s="1">
        <v>45839</v>
      </c>
      <c r="L213" s="1">
        <v>45930</v>
      </c>
      <c r="M213">
        <v>31</v>
      </c>
      <c r="N213">
        <v>5</v>
      </c>
      <c r="O213" s="1">
        <v>45865</v>
      </c>
      <c r="P213" s="1">
        <v>45871</v>
      </c>
      <c r="Q213">
        <v>30</v>
      </c>
      <c r="R213">
        <v>3</v>
      </c>
      <c r="S213">
        <v>211</v>
      </c>
      <c r="T213" s="1">
        <v>45868</v>
      </c>
      <c r="U213" s="1">
        <v>45868</v>
      </c>
      <c r="V213" t="s">
        <v>942</v>
      </c>
    </row>
    <row r="214" spans="1:22" x14ac:dyDescent="0.25">
      <c r="A214">
        <v>45869</v>
      </c>
      <c r="B214">
        <v>45658</v>
      </c>
      <c r="C214">
        <v>46022</v>
      </c>
      <c r="D214">
        <v>2025</v>
      </c>
      <c r="E214">
        <v>7</v>
      </c>
      <c r="F214">
        <v>45839</v>
      </c>
      <c r="G214" s="1">
        <v>45869</v>
      </c>
      <c r="H214">
        <v>31</v>
      </c>
      <c r="I214" t="s">
        <v>963</v>
      </c>
      <c r="J214">
        <v>3</v>
      </c>
      <c r="K214" s="1">
        <v>45839</v>
      </c>
      <c r="L214" s="1">
        <v>45930</v>
      </c>
      <c r="M214">
        <v>31</v>
      </c>
      <c r="N214">
        <v>5</v>
      </c>
      <c r="O214" s="1">
        <v>45865</v>
      </c>
      <c r="P214" s="1">
        <v>45871</v>
      </c>
      <c r="Q214">
        <v>31</v>
      </c>
      <c r="R214">
        <v>4</v>
      </c>
      <c r="S214">
        <v>212</v>
      </c>
      <c r="T214" s="1">
        <v>45869</v>
      </c>
      <c r="U214" s="1">
        <v>45869</v>
      </c>
      <c r="V214" t="s">
        <v>943</v>
      </c>
    </row>
    <row r="215" spans="1:22" x14ac:dyDescent="0.25">
      <c r="A215">
        <v>45870</v>
      </c>
      <c r="B215">
        <v>45658</v>
      </c>
      <c r="C215">
        <v>46022</v>
      </c>
      <c r="D215">
        <v>2025</v>
      </c>
      <c r="E215">
        <v>8</v>
      </c>
      <c r="F215">
        <v>45870</v>
      </c>
      <c r="G215" s="1">
        <v>45900</v>
      </c>
      <c r="H215">
        <v>31</v>
      </c>
      <c r="I215" t="s">
        <v>964</v>
      </c>
      <c r="J215">
        <v>3</v>
      </c>
      <c r="K215" s="1">
        <v>45839</v>
      </c>
      <c r="L215" s="1">
        <v>45930</v>
      </c>
      <c r="M215">
        <v>31</v>
      </c>
      <c r="N215">
        <v>1</v>
      </c>
      <c r="O215" s="1">
        <v>45865</v>
      </c>
      <c r="P215" s="1">
        <v>45871</v>
      </c>
      <c r="Q215">
        <v>1</v>
      </c>
      <c r="R215">
        <v>5</v>
      </c>
      <c r="S215">
        <v>213</v>
      </c>
      <c r="T215" s="1">
        <v>45870</v>
      </c>
      <c r="U215" s="1">
        <v>45870</v>
      </c>
      <c r="V215" t="s">
        <v>666</v>
      </c>
    </row>
    <row r="216" spans="1:22" x14ac:dyDescent="0.25">
      <c r="A216">
        <v>45871</v>
      </c>
      <c r="B216">
        <v>45658</v>
      </c>
      <c r="C216">
        <v>46022</v>
      </c>
      <c r="D216">
        <v>2025</v>
      </c>
      <c r="E216">
        <v>8</v>
      </c>
      <c r="F216">
        <v>45870</v>
      </c>
      <c r="G216" s="1">
        <v>45900</v>
      </c>
      <c r="H216">
        <v>31</v>
      </c>
      <c r="I216" t="s">
        <v>964</v>
      </c>
      <c r="J216">
        <v>3</v>
      </c>
      <c r="K216" s="1">
        <v>45839</v>
      </c>
      <c r="L216" s="1">
        <v>45930</v>
      </c>
      <c r="M216">
        <v>31</v>
      </c>
      <c r="N216">
        <v>1</v>
      </c>
      <c r="O216" s="1">
        <v>45865</v>
      </c>
      <c r="P216" s="1">
        <v>45871</v>
      </c>
      <c r="Q216">
        <v>2</v>
      </c>
      <c r="R216">
        <v>6</v>
      </c>
      <c r="S216">
        <v>214</v>
      </c>
      <c r="T216" s="1">
        <v>45871</v>
      </c>
      <c r="U216" s="1">
        <v>45871</v>
      </c>
      <c r="V216" t="s">
        <v>944</v>
      </c>
    </row>
    <row r="217" spans="1:22" x14ac:dyDescent="0.25">
      <c r="A217">
        <v>45872</v>
      </c>
      <c r="B217">
        <v>45658</v>
      </c>
      <c r="C217">
        <v>46022</v>
      </c>
      <c r="D217">
        <v>2025</v>
      </c>
      <c r="E217">
        <v>8</v>
      </c>
      <c r="F217">
        <v>45870</v>
      </c>
      <c r="G217" s="1">
        <v>45900</v>
      </c>
      <c r="H217">
        <v>31</v>
      </c>
      <c r="I217" t="s">
        <v>964</v>
      </c>
      <c r="J217">
        <v>3</v>
      </c>
      <c r="K217" s="1">
        <v>45839</v>
      </c>
      <c r="L217" s="1">
        <v>45930</v>
      </c>
      <c r="M217">
        <v>32</v>
      </c>
      <c r="N217">
        <v>2</v>
      </c>
      <c r="O217" s="1">
        <v>45872</v>
      </c>
      <c r="P217" s="1">
        <v>45878</v>
      </c>
      <c r="Q217">
        <v>3</v>
      </c>
      <c r="R217">
        <v>0</v>
      </c>
      <c r="S217">
        <v>215</v>
      </c>
      <c r="T217" s="1">
        <v>45872</v>
      </c>
      <c r="U217" s="1">
        <v>45872</v>
      </c>
      <c r="V217" t="s">
        <v>945</v>
      </c>
    </row>
    <row r="218" spans="1:22" x14ac:dyDescent="0.25">
      <c r="A218">
        <v>45873</v>
      </c>
      <c r="B218">
        <v>45658</v>
      </c>
      <c r="C218">
        <v>46022</v>
      </c>
      <c r="D218">
        <v>2025</v>
      </c>
      <c r="E218">
        <v>8</v>
      </c>
      <c r="F218">
        <v>45870</v>
      </c>
      <c r="G218" s="1">
        <v>45900</v>
      </c>
      <c r="H218">
        <v>31</v>
      </c>
      <c r="I218" t="s">
        <v>964</v>
      </c>
      <c r="J218">
        <v>3</v>
      </c>
      <c r="K218" s="1">
        <v>45839</v>
      </c>
      <c r="L218" s="1">
        <v>45930</v>
      </c>
      <c r="M218">
        <v>32</v>
      </c>
      <c r="N218">
        <v>2</v>
      </c>
      <c r="O218" s="1">
        <v>45872</v>
      </c>
      <c r="P218" s="1">
        <v>45878</v>
      </c>
      <c r="Q218">
        <v>4</v>
      </c>
      <c r="R218">
        <v>1</v>
      </c>
      <c r="S218">
        <v>216</v>
      </c>
      <c r="T218" s="1">
        <v>45873</v>
      </c>
      <c r="U218" s="1">
        <v>45873</v>
      </c>
      <c r="V218" t="s">
        <v>941</v>
      </c>
    </row>
    <row r="219" spans="1:22" x14ac:dyDescent="0.25">
      <c r="A219">
        <v>45874</v>
      </c>
      <c r="B219">
        <v>45658</v>
      </c>
      <c r="C219">
        <v>46022</v>
      </c>
      <c r="D219">
        <v>2025</v>
      </c>
      <c r="E219">
        <v>8</v>
      </c>
      <c r="F219">
        <v>45870</v>
      </c>
      <c r="G219" s="1">
        <v>45900</v>
      </c>
      <c r="H219">
        <v>31</v>
      </c>
      <c r="I219" t="s">
        <v>964</v>
      </c>
      <c r="J219">
        <v>3</v>
      </c>
      <c r="K219" s="1">
        <v>45839</v>
      </c>
      <c r="L219" s="1">
        <v>45930</v>
      </c>
      <c r="M219">
        <v>32</v>
      </c>
      <c r="N219">
        <v>2</v>
      </c>
      <c r="O219" s="1">
        <v>45872</v>
      </c>
      <c r="P219" s="1">
        <v>45878</v>
      </c>
      <c r="Q219">
        <v>5</v>
      </c>
      <c r="R219">
        <v>2</v>
      </c>
      <c r="S219">
        <v>217</v>
      </c>
      <c r="T219" s="1">
        <v>45874</v>
      </c>
      <c r="U219" s="1">
        <v>45874</v>
      </c>
      <c r="V219" t="s">
        <v>940</v>
      </c>
    </row>
    <row r="220" spans="1:22" x14ac:dyDescent="0.25">
      <c r="A220">
        <v>45875</v>
      </c>
      <c r="B220">
        <v>45658</v>
      </c>
      <c r="C220">
        <v>46022</v>
      </c>
      <c r="D220">
        <v>2025</v>
      </c>
      <c r="E220">
        <v>8</v>
      </c>
      <c r="F220">
        <v>45870</v>
      </c>
      <c r="G220" s="1">
        <v>45900</v>
      </c>
      <c r="H220">
        <v>31</v>
      </c>
      <c r="I220" t="s">
        <v>964</v>
      </c>
      <c r="J220">
        <v>3</v>
      </c>
      <c r="K220" s="1">
        <v>45839</v>
      </c>
      <c r="L220" s="1">
        <v>45930</v>
      </c>
      <c r="M220">
        <v>32</v>
      </c>
      <c r="N220">
        <v>2</v>
      </c>
      <c r="O220" s="1">
        <v>45872</v>
      </c>
      <c r="P220" s="1">
        <v>45878</v>
      </c>
      <c r="Q220">
        <v>6</v>
      </c>
      <c r="R220">
        <v>3</v>
      </c>
      <c r="S220">
        <v>218</v>
      </c>
      <c r="T220" s="1">
        <v>45875</v>
      </c>
      <c r="U220" s="1">
        <v>45875</v>
      </c>
      <c r="V220" t="s">
        <v>942</v>
      </c>
    </row>
    <row r="221" spans="1:22" x14ac:dyDescent="0.25">
      <c r="A221">
        <v>45876</v>
      </c>
      <c r="B221">
        <v>45658</v>
      </c>
      <c r="C221">
        <v>46022</v>
      </c>
      <c r="D221">
        <v>2025</v>
      </c>
      <c r="E221">
        <v>8</v>
      </c>
      <c r="F221">
        <v>45870</v>
      </c>
      <c r="G221" s="1">
        <v>45900</v>
      </c>
      <c r="H221">
        <v>31</v>
      </c>
      <c r="I221" t="s">
        <v>964</v>
      </c>
      <c r="J221">
        <v>3</v>
      </c>
      <c r="K221" s="1">
        <v>45839</v>
      </c>
      <c r="L221" s="1">
        <v>45930</v>
      </c>
      <c r="M221">
        <v>32</v>
      </c>
      <c r="N221">
        <v>2</v>
      </c>
      <c r="O221" s="1">
        <v>45872</v>
      </c>
      <c r="P221" s="1">
        <v>45878</v>
      </c>
      <c r="Q221">
        <v>7</v>
      </c>
      <c r="R221">
        <v>4</v>
      </c>
      <c r="S221">
        <v>219</v>
      </c>
      <c r="T221" s="1">
        <v>45876</v>
      </c>
      <c r="U221" s="1">
        <v>45876</v>
      </c>
      <c r="V221" t="s">
        <v>943</v>
      </c>
    </row>
    <row r="222" spans="1:22" x14ac:dyDescent="0.25">
      <c r="A222">
        <v>45877</v>
      </c>
      <c r="B222">
        <v>45658</v>
      </c>
      <c r="C222">
        <v>46022</v>
      </c>
      <c r="D222">
        <v>2025</v>
      </c>
      <c r="E222">
        <v>8</v>
      </c>
      <c r="F222">
        <v>45870</v>
      </c>
      <c r="G222" s="1">
        <v>45900</v>
      </c>
      <c r="H222">
        <v>31</v>
      </c>
      <c r="I222" t="s">
        <v>964</v>
      </c>
      <c r="J222">
        <v>3</v>
      </c>
      <c r="K222" s="1">
        <v>45839</v>
      </c>
      <c r="L222" s="1">
        <v>45930</v>
      </c>
      <c r="M222">
        <v>32</v>
      </c>
      <c r="N222">
        <v>2</v>
      </c>
      <c r="O222" s="1">
        <v>45872</v>
      </c>
      <c r="P222" s="1">
        <v>45878</v>
      </c>
      <c r="Q222">
        <v>8</v>
      </c>
      <c r="R222">
        <v>5</v>
      </c>
      <c r="S222">
        <v>220</v>
      </c>
      <c r="T222" s="1">
        <v>45877</v>
      </c>
      <c r="U222" s="1">
        <v>45877</v>
      </c>
      <c r="V222" t="s">
        <v>666</v>
      </c>
    </row>
    <row r="223" spans="1:22" x14ac:dyDescent="0.25">
      <c r="A223">
        <v>45878</v>
      </c>
      <c r="B223">
        <v>45658</v>
      </c>
      <c r="C223">
        <v>46022</v>
      </c>
      <c r="D223">
        <v>2025</v>
      </c>
      <c r="E223">
        <v>8</v>
      </c>
      <c r="F223">
        <v>45870</v>
      </c>
      <c r="G223" s="1">
        <v>45900</v>
      </c>
      <c r="H223">
        <v>31</v>
      </c>
      <c r="I223" t="s">
        <v>964</v>
      </c>
      <c r="J223">
        <v>3</v>
      </c>
      <c r="K223" s="1">
        <v>45839</v>
      </c>
      <c r="L223" s="1">
        <v>45930</v>
      </c>
      <c r="M223">
        <v>32</v>
      </c>
      <c r="N223">
        <v>2</v>
      </c>
      <c r="O223" s="1">
        <v>45872</v>
      </c>
      <c r="P223" s="1">
        <v>45878</v>
      </c>
      <c r="Q223">
        <v>9</v>
      </c>
      <c r="R223">
        <v>6</v>
      </c>
      <c r="S223">
        <v>221</v>
      </c>
      <c r="T223" s="1">
        <v>45878</v>
      </c>
      <c r="U223" s="1">
        <v>45878</v>
      </c>
      <c r="V223" t="s">
        <v>944</v>
      </c>
    </row>
    <row r="224" spans="1:22" x14ac:dyDescent="0.25">
      <c r="A224">
        <v>45879</v>
      </c>
      <c r="B224">
        <v>45658</v>
      </c>
      <c r="C224">
        <v>46022</v>
      </c>
      <c r="D224">
        <v>2025</v>
      </c>
      <c r="E224">
        <v>8</v>
      </c>
      <c r="F224">
        <v>45870</v>
      </c>
      <c r="G224" s="1">
        <v>45900</v>
      </c>
      <c r="H224">
        <v>31</v>
      </c>
      <c r="I224" t="s">
        <v>964</v>
      </c>
      <c r="J224">
        <v>3</v>
      </c>
      <c r="K224" s="1">
        <v>45839</v>
      </c>
      <c r="L224" s="1">
        <v>45930</v>
      </c>
      <c r="M224">
        <v>33</v>
      </c>
      <c r="N224">
        <v>3</v>
      </c>
      <c r="O224" s="1">
        <v>45879</v>
      </c>
      <c r="P224" s="1">
        <v>45885</v>
      </c>
      <c r="Q224">
        <v>10</v>
      </c>
      <c r="R224">
        <v>0</v>
      </c>
      <c r="S224">
        <v>222</v>
      </c>
      <c r="T224" s="1">
        <v>45879</v>
      </c>
      <c r="U224" s="1">
        <v>45879</v>
      </c>
      <c r="V224" t="s">
        <v>945</v>
      </c>
    </row>
    <row r="225" spans="1:22" x14ac:dyDescent="0.25">
      <c r="A225">
        <v>45880</v>
      </c>
      <c r="B225">
        <v>45658</v>
      </c>
      <c r="C225">
        <v>46022</v>
      </c>
      <c r="D225">
        <v>2025</v>
      </c>
      <c r="E225">
        <v>8</v>
      </c>
      <c r="F225">
        <v>45870</v>
      </c>
      <c r="G225" s="1">
        <v>45900</v>
      </c>
      <c r="H225">
        <v>31</v>
      </c>
      <c r="I225" t="s">
        <v>964</v>
      </c>
      <c r="J225">
        <v>3</v>
      </c>
      <c r="K225" s="1">
        <v>45839</v>
      </c>
      <c r="L225" s="1">
        <v>45930</v>
      </c>
      <c r="M225">
        <v>33</v>
      </c>
      <c r="N225">
        <v>3</v>
      </c>
      <c r="O225" s="1">
        <v>45879</v>
      </c>
      <c r="P225" s="1">
        <v>45885</v>
      </c>
      <c r="Q225">
        <v>11</v>
      </c>
      <c r="R225">
        <v>1</v>
      </c>
      <c r="S225">
        <v>223</v>
      </c>
      <c r="T225" s="1">
        <v>45880</v>
      </c>
      <c r="U225" s="1">
        <v>45880</v>
      </c>
      <c r="V225" t="s">
        <v>941</v>
      </c>
    </row>
    <row r="226" spans="1:22" x14ac:dyDescent="0.25">
      <c r="A226">
        <v>45881</v>
      </c>
      <c r="B226">
        <v>45658</v>
      </c>
      <c r="C226">
        <v>46022</v>
      </c>
      <c r="D226">
        <v>2025</v>
      </c>
      <c r="E226">
        <v>8</v>
      </c>
      <c r="F226">
        <v>45870</v>
      </c>
      <c r="G226" s="1">
        <v>45900</v>
      </c>
      <c r="H226">
        <v>31</v>
      </c>
      <c r="I226" t="s">
        <v>964</v>
      </c>
      <c r="J226">
        <v>3</v>
      </c>
      <c r="K226" s="1">
        <v>45839</v>
      </c>
      <c r="L226" s="1">
        <v>45930</v>
      </c>
      <c r="M226">
        <v>33</v>
      </c>
      <c r="N226">
        <v>3</v>
      </c>
      <c r="O226" s="1">
        <v>45879</v>
      </c>
      <c r="P226" s="1">
        <v>45885</v>
      </c>
      <c r="Q226">
        <v>12</v>
      </c>
      <c r="R226">
        <v>2</v>
      </c>
      <c r="S226">
        <v>224</v>
      </c>
      <c r="T226" s="1">
        <v>45881</v>
      </c>
      <c r="U226" s="1">
        <v>45881</v>
      </c>
      <c r="V226" t="s">
        <v>940</v>
      </c>
    </row>
    <row r="227" spans="1:22" x14ac:dyDescent="0.25">
      <c r="A227">
        <v>45882</v>
      </c>
      <c r="B227">
        <v>45658</v>
      </c>
      <c r="C227">
        <v>46022</v>
      </c>
      <c r="D227">
        <v>2025</v>
      </c>
      <c r="E227">
        <v>8</v>
      </c>
      <c r="F227">
        <v>45870</v>
      </c>
      <c r="G227" s="1">
        <v>45900</v>
      </c>
      <c r="H227">
        <v>31</v>
      </c>
      <c r="I227" t="s">
        <v>964</v>
      </c>
      <c r="J227">
        <v>3</v>
      </c>
      <c r="K227" s="1">
        <v>45839</v>
      </c>
      <c r="L227" s="1">
        <v>45930</v>
      </c>
      <c r="M227">
        <v>33</v>
      </c>
      <c r="N227">
        <v>3</v>
      </c>
      <c r="O227" s="1">
        <v>45879</v>
      </c>
      <c r="P227" s="1">
        <v>45885</v>
      </c>
      <c r="Q227">
        <v>13</v>
      </c>
      <c r="R227">
        <v>3</v>
      </c>
      <c r="S227">
        <v>225</v>
      </c>
      <c r="T227" s="1">
        <v>45882</v>
      </c>
      <c r="U227" s="1">
        <v>45882</v>
      </c>
      <c r="V227" t="s">
        <v>942</v>
      </c>
    </row>
    <row r="228" spans="1:22" x14ac:dyDescent="0.25">
      <c r="A228">
        <v>45883</v>
      </c>
      <c r="B228">
        <v>45658</v>
      </c>
      <c r="C228">
        <v>46022</v>
      </c>
      <c r="D228">
        <v>2025</v>
      </c>
      <c r="E228">
        <v>8</v>
      </c>
      <c r="F228">
        <v>45870</v>
      </c>
      <c r="G228" s="1">
        <v>45900</v>
      </c>
      <c r="H228">
        <v>31</v>
      </c>
      <c r="I228" t="s">
        <v>964</v>
      </c>
      <c r="J228">
        <v>3</v>
      </c>
      <c r="K228" s="1">
        <v>45839</v>
      </c>
      <c r="L228" s="1">
        <v>45930</v>
      </c>
      <c r="M228">
        <v>33</v>
      </c>
      <c r="N228">
        <v>3</v>
      </c>
      <c r="O228" s="1">
        <v>45879</v>
      </c>
      <c r="P228" s="1">
        <v>45885</v>
      </c>
      <c r="Q228">
        <v>14</v>
      </c>
      <c r="R228">
        <v>4</v>
      </c>
      <c r="S228">
        <v>226</v>
      </c>
      <c r="T228" s="1">
        <v>45883</v>
      </c>
      <c r="U228" s="1">
        <v>45883</v>
      </c>
      <c r="V228" t="s">
        <v>943</v>
      </c>
    </row>
    <row r="229" spans="1:22" x14ac:dyDescent="0.25">
      <c r="A229">
        <v>45884</v>
      </c>
      <c r="B229">
        <v>45658</v>
      </c>
      <c r="C229">
        <v>46022</v>
      </c>
      <c r="D229">
        <v>2025</v>
      </c>
      <c r="E229">
        <v>8</v>
      </c>
      <c r="F229">
        <v>45870</v>
      </c>
      <c r="G229" s="1">
        <v>45900</v>
      </c>
      <c r="H229">
        <v>31</v>
      </c>
      <c r="I229" t="s">
        <v>964</v>
      </c>
      <c r="J229">
        <v>3</v>
      </c>
      <c r="K229" s="1">
        <v>45839</v>
      </c>
      <c r="L229" s="1">
        <v>45930</v>
      </c>
      <c r="M229">
        <v>33</v>
      </c>
      <c r="N229">
        <v>3</v>
      </c>
      <c r="O229" s="1">
        <v>45879</v>
      </c>
      <c r="P229" s="1">
        <v>45885</v>
      </c>
      <c r="Q229">
        <v>15</v>
      </c>
      <c r="R229">
        <v>5</v>
      </c>
      <c r="S229">
        <v>227</v>
      </c>
      <c r="T229" s="1">
        <v>45884</v>
      </c>
      <c r="U229" s="1">
        <v>45884</v>
      </c>
      <c r="V229" t="s">
        <v>666</v>
      </c>
    </row>
    <row r="230" spans="1:22" x14ac:dyDescent="0.25">
      <c r="A230">
        <v>45885</v>
      </c>
      <c r="B230">
        <v>45658</v>
      </c>
      <c r="C230">
        <v>46022</v>
      </c>
      <c r="D230">
        <v>2025</v>
      </c>
      <c r="E230">
        <v>8</v>
      </c>
      <c r="F230">
        <v>45870</v>
      </c>
      <c r="G230" s="1">
        <v>45900</v>
      </c>
      <c r="H230">
        <v>31</v>
      </c>
      <c r="I230" t="s">
        <v>964</v>
      </c>
      <c r="J230">
        <v>3</v>
      </c>
      <c r="K230" s="1">
        <v>45839</v>
      </c>
      <c r="L230" s="1">
        <v>45930</v>
      </c>
      <c r="M230">
        <v>33</v>
      </c>
      <c r="N230">
        <v>3</v>
      </c>
      <c r="O230" s="1">
        <v>45879</v>
      </c>
      <c r="P230" s="1">
        <v>45885</v>
      </c>
      <c r="Q230">
        <v>16</v>
      </c>
      <c r="R230">
        <v>6</v>
      </c>
      <c r="S230">
        <v>228</v>
      </c>
      <c r="T230" s="1">
        <v>45885</v>
      </c>
      <c r="U230" s="1">
        <v>45885</v>
      </c>
      <c r="V230" t="s">
        <v>944</v>
      </c>
    </row>
    <row r="231" spans="1:22" x14ac:dyDescent="0.25">
      <c r="A231">
        <v>45886</v>
      </c>
      <c r="B231">
        <v>45658</v>
      </c>
      <c r="C231">
        <v>46022</v>
      </c>
      <c r="D231">
        <v>2025</v>
      </c>
      <c r="E231">
        <v>8</v>
      </c>
      <c r="F231">
        <v>45870</v>
      </c>
      <c r="G231" s="1">
        <v>45900</v>
      </c>
      <c r="H231">
        <v>31</v>
      </c>
      <c r="I231" t="s">
        <v>964</v>
      </c>
      <c r="J231">
        <v>3</v>
      </c>
      <c r="K231" s="1">
        <v>45839</v>
      </c>
      <c r="L231" s="1">
        <v>45930</v>
      </c>
      <c r="M231">
        <v>34</v>
      </c>
      <c r="N231">
        <v>4</v>
      </c>
      <c r="O231" s="1">
        <v>45886</v>
      </c>
      <c r="P231" s="1">
        <v>45892</v>
      </c>
      <c r="Q231">
        <v>17</v>
      </c>
      <c r="R231">
        <v>0</v>
      </c>
      <c r="S231">
        <v>229</v>
      </c>
      <c r="T231" s="1">
        <v>45886</v>
      </c>
      <c r="U231" s="1">
        <v>45886</v>
      </c>
      <c r="V231" t="s">
        <v>945</v>
      </c>
    </row>
    <row r="232" spans="1:22" x14ac:dyDescent="0.25">
      <c r="A232">
        <v>45887</v>
      </c>
      <c r="B232">
        <v>45658</v>
      </c>
      <c r="C232">
        <v>46022</v>
      </c>
      <c r="D232">
        <v>2025</v>
      </c>
      <c r="E232">
        <v>8</v>
      </c>
      <c r="F232">
        <v>45870</v>
      </c>
      <c r="G232" s="1">
        <v>45900</v>
      </c>
      <c r="H232">
        <v>31</v>
      </c>
      <c r="I232" t="s">
        <v>964</v>
      </c>
      <c r="J232">
        <v>3</v>
      </c>
      <c r="K232" s="1">
        <v>45839</v>
      </c>
      <c r="L232" s="1">
        <v>45930</v>
      </c>
      <c r="M232">
        <v>34</v>
      </c>
      <c r="N232">
        <v>4</v>
      </c>
      <c r="O232" s="1">
        <v>45886</v>
      </c>
      <c r="P232" s="1">
        <v>45892</v>
      </c>
      <c r="Q232">
        <v>18</v>
      </c>
      <c r="R232">
        <v>1</v>
      </c>
      <c r="S232">
        <v>230</v>
      </c>
      <c r="T232" s="1">
        <v>45887</v>
      </c>
      <c r="U232" s="1">
        <v>45887</v>
      </c>
      <c r="V232" t="s">
        <v>941</v>
      </c>
    </row>
    <row r="233" spans="1:22" x14ac:dyDescent="0.25">
      <c r="A233">
        <v>45888</v>
      </c>
      <c r="B233">
        <v>45658</v>
      </c>
      <c r="C233">
        <v>46022</v>
      </c>
      <c r="D233">
        <v>2025</v>
      </c>
      <c r="E233">
        <v>8</v>
      </c>
      <c r="F233">
        <v>45870</v>
      </c>
      <c r="G233" s="1">
        <v>45900</v>
      </c>
      <c r="H233">
        <v>31</v>
      </c>
      <c r="I233" t="s">
        <v>964</v>
      </c>
      <c r="J233">
        <v>3</v>
      </c>
      <c r="K233" s="1">
        <v>45839</v>
      </c>
      <c r="L233" s="1">
        <v>45930</v>
      </c>
      <c r="M233">
        <v>34</v>
      </c>
      <c r="N233">
        <v>4</v>
      </c>
      <c r="O233" s="1">
        <v>45886</v>
      </c>
      <c r="P233" s="1">
        <v>45892</v>
      </c>
      <c r="Q233">
        <v>19</v>
      </c>
      <c r="R233">
        <v>2</v>
      </c>
      <c r="S233">
        <v>231</v>
      </c>
      <c r="T233" s="1">
        <v>45888</v>
      </c>
      <c r="U233" s="1">
        <v>45888</v>
      </c>
      <c r="V233" t="s">
        <v>940</v>
      </c>
    </row>
    <row r="234" spans="1:22" x14ac:dyDescent="0.25">
      <c r="A234">
        <v>45889</v>
      </c>
      <c r="B234">
        <v>45658</v>
      </c>
      <c r="C234">
        <v>46022</v>
      </c>
      <c r="D234">
        <v>2025</v>
      </c>
      <c r="E234">
        <v>8</v>
      </c>
      <c r="F234">
        <v>45870</v>
      </c>
      <c r="G234" s="1">
        <v>45900</v>
      </c>
      <c r="H234">
        <v>31</v>
      </c>
      <c r="I234" t="s">
        <v>964</v>
      </c>
      <c r="J234">
        <v>3</v>
      </c>
      <c r="K234" s="1">
        <v>45839</v>
      </c>
      <c r="L234" s="1">
        <v>45930</v>
      </c>
      <c r="M234">
        <v>34</v>
      </c>
      <c r="N234">
        <v>4</v>
      </c>
      <c r="O234" s="1">
        <v>45886</v>
      </c>
      <c r="P234" s="1">
        <v>45892</v>
      </c>
      <c r="Q234">
        <v>20</v>
      </c>
      <c r="R234">
        <v>3</v>
      </c>
      <c r="S234">
        <v>232</v>
      </c>
      <c r="T234" s="1">
        <v>45889</v>
      </c>
      <c r="U234" s="1">
        <v>45889</v>
      </c>
      <c r="V234" t="s">
        <v>942</v>
      </c>
    </row>
    <row r="235" spans="1:22" x14ac:dyDescent="0.25">
      <c r="A235">
        <v>45890</v>
      </c>
      <c r="B235">
        <v>45658</v>
      </c>
      <c r="C235">
        <v>46022</v>
      </c>
      <c r="D235">
        <v>2025</v>
      </c>
      <c r="E235">
        <v>8</v>
      </c>
      <c r="F235">
        <v>45870</v>
      </c>
      <c r="G235" s="1">
        <v>45900</v>
      </c>
      <c r="H235">
        <v>31</v>
      </c>
      <c r="I235" t="s">
        <v>964</v>
      </c>
      <c r="J235">
        <v>3</v>
      </c>
      <c r="K235" s="1">
        <v>45839</v>
      </c>
      <c r="L235" s="1">
        <v>45930</v>
      </c>
      <c r="M235">
        <v>34</v>
      </c>
      <c r="N235">
        <v>4</v>
      </c>
      <c r="O235" s="1">
        <v>45886</v>
      </c>
      <c r="P235" s="1">
        <v>45892</v>
      </c>
      <c r="Q235">
        <v>21</v>
      </c>
      <c r="R235">
        <v>4</v>
      </c>
      <c r="S235">
        <v>233</v>
      </c>
      <c r="T235" s="1">
        <v>45890</v>
      </c>
      <c r="U235" s="1">
        <v>45890</v>
      </c>
      <c r="V235" t="s">
        <v>943</v>
      </c>
    </row>
    <row r="236" spans="1:22" x14ac:dyDescent="0.25">
      <c r="A236">
        <v>45891</v>
      </c>
      <c r="B236">
        <v>45658</v>
      </c>
      <c r="C236">
        <v>46022</v>
      </c>
      <c r="D236">
        <v>2025</v>
      </c>
      <c r="E236">
        <v>8</v>
      </c>
      <c r="F236">
        <v>45870</v>
      </c>
      <c r="G236" s="1">
        <v>45900</v>
      </c>
      <c r="H236">
        <v>31</v>
      </c>
      <c r="I236" t="s">
        <v>964</v>
      </c>
      <c r="J236">
        <v>3</v>
      </c>
      <c r="K236" s="1">
        <v>45839</v>
      </c>
      <c r="L236" s="1">
        <v>45930</v>
      </c>
      <c r="M236">
        <v>34</v>
      </c>
      <c r="N236">
        <v>4</v>
      </c>
      <c r="O236" s="1">
        <v>45886</v>
      </c>
      <c r="P236" s="1">
        <v>45892</v>
      </c>
      <c r="Q236">
        <v>22</v>
      </c>
      <c r="R236">
        <v>5</v>
      </c>
      <c r="S236">
        <v>234</v>
      </c>
      <c r="T236" s="1">
        <v>45891</v>
      </c>
      <c r="U236" s="1">
        <v>45891</v>
      </c>
      <c r="V236" t="s">
        <v>666</v>
      </c>
    </row>
    <row r="237" spans="1:22" x14ac:dyDescent="0.25">
      <c r="A237">
        <v>45892</v>
      </c>
      <c r="B237">
        <v>45658</v>
      </c>
      <c r="C237">
        <v>46022</v>
      </c>
      <c r="D237">
        <v>2025</v>
      </c>
      <c r="E237">
        <v>8</v>
      </c>
      <c r="F237">
        <v>45870</v>
      </c>
      <c r="G237" s="1">
        <v>45900</v>
      </c>
      <c r="H237">
        <v>31</v>
      </c>
      <c r="I237" t="s">
        <v>964</v>
      </c>
      <c r="J237">
        <v>3</v>
      </c>
      <c r="K237" s="1">
        <v>45839</v>
      </c>
      <c r="L237" s="1">
        <v>45930</v>
      </c>
      <c r="M237">
        <v>34</v>
      </c>
      <c r="N237">
        <v>4</v>
      </c>
      <c r="O237" s="1">
        <v>45886</v>
      </c>
      <c r="P237" s="1">
        <v>45892</v>
      </c>
      <c r="Q237">
        <v>23</v>
      </c>
      <c r="R237">
        <v>6</v>
      </c>
      <c r="S237">
        <v>235</v>
      </c>
      <c r="T237" s="1">
        <v>45892</v>
      </c>
      <c r="U237" s="1">
        <v>45892</v>
      </c>
      <c r="V237" t="s">
        <v>944</v>
      </c>
    </row>
    <row r="238" spans="1:22" x14ac:dyDescent="0.25">
      <c r="A238">
        <v>45893</v>
      </c>
      <c r="B238">
        <v>45658</v>
      </c>
      <c r="C238">
        <v>46022</v>
      </c>
      <c r="D238">
        <v>2025</v>
      </c>
      <c r="E238">
        <v>8</v>
      </c>
      <c r="F238">
        <v>45870</v>
      </c>
      <c r="G238" s="1">
        <v>45900</v>
      </c>
      <c r="H238">
        <v>31</v>
      </c>
      <c r="I238" t="s">
        <v>964</v>
      </c>
      <c r="J238">
        <v>3</v>
      </c>
      <c r="K238" s="1">
        <v>45839</v>
      </c>
      <c r="L238" s="1">
        <v>45930</v>
      </c>
      <c r="M238">
        <v>35</v>
      </c>
      <c r="N238">
        <v>5</v>
      </c>
      <c r="O238" s="1">
        <v>45893</v>
      </c>
      <c r="P238" s="1">
        <v>45899</v>
      </c>
      <c r="Q238">
        <v>24</v>
      </c>
      <c r="R238">
        <v>0</v>
      </c>
      <c r="S238">
        <v>236</v>
      </c>
      <c r="T238" s="1">
        <v>45893</v>
      </c>
      <c r="U238" s="1">
        <v>45893</v>
      </c>
      <c r="V238" t="s">
        <v>945</v>
      </c>
    </row>
    <row r="239" spans="1:22" x14ac:dyDescent="0.25">
      <c r="A239">
        <v>45894</v>
      </c>
      <c r="B239">
        <v>45658</v>
      </c>
      <c r="C239">
        <v>46022</v>
      </c>
      <c r="D239">
        <v>2025</v>
      </c>
      <c r="E239">
        <v>8</v>
      </c>
      <c r="F239">
        <v>45870</v>
      </c>
      <c r="G239" s="1">
        <v>45900</v>
      </c>
      <c r="H239">
        <v>31</v>
      </c>
      <c r="I239" t="s">
        <v>964</v>
      </c>
      <c r="J239">
        <v>3</v>
      </c>
      <c r="K239" s="1">
        <v>45839</v>
      </c>
      <c r="L239" s="1">
        <v>45930</v>
      </c>
      <c r="M239">
        <v>35</v>
      </c>
      <c r="N239">
        <v>5</v>
      </c>
      <c r="O239" s="1">
        <v>45893</v>
      </c>
      <c r="P239" s="1">
        <v>45899</v>
      </c>
      <c r="Q239">
        <v>25</v>
      </c>
      <c r="R239">
        <v>1</v>
      </c>
      <c r="S239">
        <v>237</v>
      </c>
      <c r="T239" s="1">
        <v>45894</v>
      </c>
      <c r="U239" s="1">
        <v>45894</v>
      </c>
      <c r="V239" t="s">
        <v>941</v>
      </c>
    </row>
    <row r="240" spans="1:22" x14ac:dyDescent="0.25">
      <c r="A240">
        <v>45895</v>
      </c>
      <c r="B240">
        <v>45658</v>
      </c>
      <c r="C240">
        <v>46022</v>
      </c>
      <c r="D240">
        <v>2025</v>
      </c>
      <c r="E240">
        <v>8</v>
      </c>
      <c r="F240">
        <v>45870</v>
      </c>
      <c r="G240" s="1">
        <v>45900</v>
      </c>
      <c r="H240">
        <v>31</v>
      </c>
      <c r="I240" t="s">
        <v>964</v>
      </c>
      <c r="J240">
        <v>3</v>
      </c>
      <c r="K240" s="1">
        <v>45839</v>
      </c>
      <c r="L240" s="1">
        <v>45930</v>
      </c>
      <c r="M240">
        <v>35</v>
      </c>
      <c r="N240">
        <v>5</v>
      </c>
      <c r="O240" s="1">
        <v>45893</v>
      </c>
      <c r="P240" s="1">
        <v>45899</v>
      </c>
      <c r="Q240">
        <v>26</v>
      </c>
      <c r="R240">
        <v>2</v>
      </c>
      <c r="S240">
        <v>238</v>
      </c>
      <c r="T240" s="1">
        <v>45895</v>
      </c>
      <c r="U240" s="1">
        <v>45895</v>
      </c>
      <c r="V240" t="s">
        <v>940</v>
      </c>
    </row>
    <row r="241" spans="1:22" x14ac:dyDescent="0.25">
      <c r="A241">
        <v>45896</v>
      </c>
      <c r="B241">
        <v>45658</v>
      </c>
      <c r="C241">
        <v>46022</v>
      </c>
      <c r="D241">
        <v>2025</v>
      </c>
      <c r="E241">
        <v>8</v>
      </c>
      <c r="F241">
        <v>45870</v>
      </c>
      <c r="G241" s="1">
        <v>45900</v>
      </c>
      <c r="H241">
        <v>31</v>
      </c>
      <c r="I241" t="s">
        <v>964</v>
      </c>
      <c r="J241">
        <v>3</v>
      </c>
      <c r="K241" s="1">
        <v>45839</v>
      </c>
      <c r="L241" s="1">
        <v>45930</v>
      </c>
      <c r="M241">
        <v>35</v>
      </c>
      <c r="N241">
        <v>5</v>
      </c>
      <c r="O241" s="1">
        <v>45893</v>
      </c>
      <c r="P241" s="1">
        <v>45899</v>
      </c>
      <c r="Q241">
        <v>27</v>
      </c>
      <c r="R241">
        <v>3</v>
      </c>
      <c r="S241">
        <v>239</v>
      </c>
      <c r="T241" s="1">
        <v>45896</v>
      </c>
      <c r="U241" s="1">
        <v>45896</v>
      </c>
      <c r="V241" t="s">
        <v>942</v>
      </c>
    </row>
    <row r="242" spans="1:22" x14ac:dyDescent="0.25">
      <c r="A242">
        <v>45897</v>
      </c>
      <c r="B242">
        <v>45658</v>
      </c>
      <c r="C242">
        <v>46022</v>
      </c>
      <c r="D242">
        <v>2025</v>
      </c>
      <c r="E242">
        <v>8</v>
      </c>
      <c r="F242">
        <v>45870</v>
      </c>
      <c r="G242" s="1">
        <v>45900</v>
      </c>
      <c r="H242">
        <v>31</v>
      </c>
      <c r="I242" t="s">
        <v>964</v>
      </c>
      <c r="J242">
        <v>3</v>
      </c>
      <c r="K242" s="1">
        <v>45839</v>
      </c>
      <c r="L242" s="1">
        <v>45930</v>
      </c>
      <c r="M242">
        <v>35</v>
      </c>
      <c r="N242">
        <v>5</v>
      </c>
      <c r="O242" s="1">
        <v>45893</v>
      </c>
      <c r="P242" s="1">
        <v>45899</v>
      </c>
      <c r="Q242">
        <v>28</v>
      </c>
      <c r="R242">
        <v>4</v>
      </c>
      <c r="S242">
        <v>240</v>
      </c>
      <c r="T242" s="1">
        <v>45897</v>
      </c>
      <c r="U242" s="1">
        <v>45897</v>
      </c>
      <c r="V242" t="s">
        <v>943</v>
      </c>
    </row>
    <row r="243" spans="1:22" x14ac:dyDescent="0.25">
      <c r="A243">
        <v>45898</v>
      </c>
      <c r="B243">
        <v>45658</v>
      </c>
      <c r="C243">
        <v>46022</v>
      </c>
      <c r="D243">
        <v>2025</v>
      </c>
      <c r="E243">
        <v>8</v>
      </c>
      <c r="F243">
        <v>45870</v>
      </c>
      <c r="G243" s="1">
        <v>45900</v>
      </c>
      <c r="H243">
        <v>31</v>
      </c>
      <c r="I243" t="s">
        <v>964</v>
      </c>
      <c r="J243">
        <v>3</v>
      </c>
      <c r="K243" s="1">
        <v>45839</v>
      </c>
      <c r="L243" s="1">
        <v>45930</v>
      </c>
      <c r="M243">
        <v>35</v>
      </c>
      <c r="N243">
        <v>5</v>
      </c>
      <c r="O243" s="1">
        <v>45893</v>
      </c>
      <c r="P243" s="1">
        <v>45899</v>
      </c>
      <c r="Q243">
        <v>29</v>
      </c>
      <c r="R243">
        <v>5</v>
      </c>
      <c r="S243">
        <v>241</v>
      </c>
      <c r="T243" s="1">
        <v>45898</v>
      </c>
      <c r="U243" s="1">
        <v>45898</v>
      </c>
      <c r="V243" t="s">
        <v>666</v>
      </c>
    </row>
    <row r="244" spans="1:22" x14ac:dyDescent="0.25">
      <c r="A244">
        <v>45899</v>
      </c>
      <c r="B244">
        <v>45658</v>
      </c>
      <c r="C244">
        <v>46022</v>
      </c>
      <c r="D244">
        <v>2025</v>
      </c>
      <c r="E244">
        <v>8</v>
      </c>
      <c r="F244">
        <v>45870</v>
      </c>
      <c r="G244" s="1">
        <v>45900</v>
      </c>
      <c r="H244">
        <v>31</v>
      </c>
      <c r="I244" t="s">
        <v>964</v>
      </c>
      <c r="J244">
        <v>3</v>
      </c>
      <c r="K244" s="1">
        <v>45839</v>
      </c>
      <c r="L244" s="1">
        <v>45930</v>
      </c>
      <c r="M244">
        <v>35</v>
      </c>
      <c r="N244">
        <v>5</v>
      </c>
      <c r="O244" s="1">
        <v>45893</v>
      </c>
      <c r="P244" s="1">
        <v>45899</v>
      </c>
      <c r="Q244">
        <v>30</v>
      </c>
      <c r="R244">
        <v>6</v>
      </c>
      <c r="S244">
        <v>242</v>
      </c>
      <c r="T244" s="1">
        <v>45899</v>
      </c>
      <c r="U244" s="1">
        <v>45899</v>
      </c>
      <c r="V244" t="s">
        <v>944</v>
      </c>
    </row>
    <row r="245" spans="1:22" x14ac:dyDescent="0.25">
      <c r="A245">
        <v>45900</v>
      </c>
      <c r="B245">
        <v>45658</v>
      </c>
      <c r="C245">
        <v>46022</v>
      </c>
      <c r="D245">
        <v>2025</v>
      </c>
      <c r="E245">
        <v>8</v>
      </c>
      <c r="F245">
        <v>45870</v>
      </c>
      <c r="G245" s="1">
        <v>45900</v>
      </c>
      <c r="H245">
        <v>31</v>
      </c>
      <c r="I245" t="s">
        <v>964</v>
      </c>
      <c r="J245">
        <v>3</v>
      </c>
      <c r="K245" s="1">
        <v>45839</v>
      </c>
      <c r="L245" s="1">
        <v>45930</v>
      </c>
      <c r="M245">
        <v>36</v>
      </c>
      <c r="N245">
        <v>6</v>
      </c>
      <c r="O245" s="1">
        <v>45900</v>
      </c>
      <c r="P245" s="1">
        <v>45906</v>
      </c>
      <c r="Q245">
        <v>31</v>
      </c>
      <c r="R245">
        <v>0</v>
      </c>
      <c r="S245">
        <v>243</v>
      </c>
      <c r="T245" s="1">
        <v>45900</v>
      </c>
      <c r="U245" s="1">
        <v>45900</v>
      </c>
      <c r="V245" t="s">
        <v>945</v>
      </c>
    </row>
    <row r="246" spans="1:22" x14ac:dyDescent="0.25">
      <c r="A246">
        <v>45901</v>
      </c>
      <c r="B246">
        <v>45658</v>
      </c>
      <c r="C246">
        <v>46022</v>
      </c>
      <c r="D246">
        <v>2025</v>
      </c>
      <c r="E246">
        <v>9</v>
      </c>
      <c r="F246">
        <v>45901</v>
      </c>
      <c r="G246" s="1">
        <v>45930</v>
      </c>
      <c r="H246">
        <v>30</v>
      </c>
      <c r="I246" t="s">
        <v>965</v>
      </c>
      <c r="J246">
        <v>3</v>
      </c>
      <c r="K246" s="1">
        <v>45839</v>
      </c>
      <c r="L246" s="1">
        <v>45930</v>
      </c>
      <c r="M246">
        <v>36</v>
      </c>
      <c r="N246">
        <v>1</v>
      </c>
      <c r="O246" s="1">
        <v>45900</v>
      </c>
      <c r="P246" s="1">
        <v>45906</v>
      </c>
      <c r="Q246">
        <v>1</v>
      </c>
      <c r="R246">
        <v>1</v>
      </c>
      <c r="S246">
        <v>244</v>
      </c>
      <c r="T246" s="1">
        <v>45901</v>
      </c>
      <c r="U246" s="1">
        <v>45901</v>
      </c>
      <c r="V246" t="s">
        <v>941</v>
      </c>
    </row>
    <row r="247" spans="1:22" x14ac:dyDescent="0.25">
      <c r="A247">
        <v>45902</v>
      </c>
      <c r="B247">
        <v>45658</v>
      </c>
      <c r="C247">
        <v>46022</v>
      </c>
      <c r="D247">
        <v>2025</v>
      </c>
      <c r="E247">
        <v>9</v>
      </c>
      <c r="F247">
        <v>45901</v>
      </c>
      <c r="G247" s="1">
        <v>45930</v>
      </c>
      <c r="H247">
        <v>30</v>
      </c>
      <c r="I247" t="s">
        <v>965</v>
      </c>
      <c r="J247">
        <v>3</v>
      </c>
      <c r="K247" s="1">
        <v>45839</v>
      </c>
      <c r="L247" s="1">
        <v>45930</v>
      </c>
      <c r="M247">
        <v>36</v>
      </c>
      <c r="N247">
        <v>1</v>
      </c>
      <c r="O247" s="1">
        <v>45900</v>
      </c>
      <c r="P247" s="1">
        <v>45906</v>
      </c>
      <c r="Q247">
        <v>2</v>
      </c>
      <c r="R247">
        <v>2</v>
      </c>
      <c r="S247">
        <v>245</v>
      </c>
      <c r="T247" s="1">
        <v>45902</v>
      </c>
      <c r="U247" s="1">
        <v>45902</v>
      </c>
      <c r="V247" t="s">
        <v>940</v>
      </c>
    </row>
    <row r="248" spans="1:22" x14ac:dyDescent="0.25">
      <c r="A248">
        <v>45903</v>
      </c>
      <c r="B248">
        <v>45658</v>
      </c>
      <c r="C248">
        <v>46022</v>
      </c>
      <c r="D248">
        <v>2025</v>
      </c>
      <c r="E248">
        <v>9</v>
      </c>
      <c r="F248">
        <v>45901</v>
      </c>
      <c r="G248" s="1">
        <v>45930</v>
      </c>
      <c r="H248">
        <v>30</v>
      </c>
      <c r="I248" t="s">
        <v>965</v>
      </c>
      <c r="J248">
        <v>3</v>
      </c>
      <c r="K248" s="1">
        <v>45839</v>
      </c>
      <c r="L248" s="1">
        <v>45930</v>
      </c>
      <c r="M248">
        <v>36</v>
      </c>
      <c r="N248">
        <v>1</v>
      </c>
      <c r="O248" s="1">
        <v>45900</v>
      </c>
      <c r="P248" s="1">
        <v>45906</v>
      </c>
      <c r="Q248">
        <v>3</v>
      </c>
      <c r="R248">
        <v>3</v>
      </c>
      <c r="S248">
        <v>246</v>
      </c>
      <c r="T248" s="1">
        <v>45903</v>
      </c>
      <c r="U248" s="1">
        <v>45903</v>
      </c>
      <c r="V248" t="s">
        <v>942</v>
      </c>
    </row>
    <row r="249" spans="1:22" x14ac:dyDescent="0.25">
      <c r="A249">
        <v>45904</v>
      </c>
      <c r="B249">
        <v>45658</v>
      </c>
      <c r="C249">
        <v>46022</v>
      </c>
      <c r="D249">
        <v>2025</v>
      </c>
      <c r="E249">
        <v>9</v>
      </c>
      <c r="F249">
        <v>45901</v>
      </c>
      <c r="G249" s="1">
        <v>45930</v>
      </c>
      <c r="H249">
        <v>30</v>
      </c>
      <c r="I249" t="s">
        <v>965</v>
      </c>
      <c r="J249">
        <v>3</v>
      </c>
      <c r="K249" s="1">
        <v>45839</v>
      </c>
      <c r="L249" s="1">
        <v>45930</v>
      </c>
      <c r="M249">
        <v>36</v>
      </c>
      <c r="N249">
        <v>1</v>
      </c>
      <c r="O249" s="1">
        <v>45900</v>
      </c>
      <c r="P249" s="1">
        <v>45906</v>
      </c>
      <c r="Q249">
        <v>4</v>
      </c>
      <c r="R249">
        <v>4</v>
      </c>
      <c r="S249">
        <v>247</v>
      </c>
      <c r="T249" s="1">
        <v>45904</v>
      </c>
      <c r="U249" s="1">
        <v>45904</v>
      </c>
      <c r="V249" t="s">
        <v>943</v>
      </c>
    </row>
    <row r="250" spans="1:22" x14ac:dyDescent="0.25">
      <c r="A250">
        <v>45905</v>
      </c>
      <c r="B250">
        <v>45658</v>
      </c>
      <c r="C250">
        <v>46022</v>
      </c>
      <c r="D250">
        <v>2025</v>
      </c>
      <c r="E250">
        <v>9</v>
      </c>
      <c r="F250">
        <v>45901</v>
      </c>
      <c r="G250" s="1">
        <v>45930</v>
      </c>
      <c r="H250">
        <v>30</v>
      </c>
      <c r="I250" t="s">
        <v>965</v>
      </c>
      <c r="J250">
        <v>3</v>
      </c>
      <c r="K250" s="1">
        <v>45839</v>
      </c>
      <c r="L250" s="1">
        <v>45930</v>
      </c>
      <c r="M250">
        <v>36</v>
      </c>
      <c r="N250">
        <v>1</v>
      </c>
      <c r="O250" s="1">
        <v>45900</v>
      </c>
      <c r="P250" s="1">
        <v>45906</v>
      </c>
      <c r="Q250">
        <v>5</v>
      </c>
      <c r="R250">
        <v>5</v>
      </c>
      <c r="S250">
        <v>248</v>
      </c>
      <c r="T250" s="1">
        <v>45905</v>
      </c>
      <c r="U250" s="1">
        <v>45905</v>
      </c>
      <c r="V250" t="s">
        <v>666</v>
      </c>
    </row>
    <row r="251" spans="1:22" x14ac:dyDescent="0.25">
      <c r="A251">
        <v>45906</v>
      </c>
      <c r="B251">
        <v>45658</v>
      </c>
      <c r="C251">
        <v>46022</v>
      </c>
      <c r="D251">
        <v>2025</v>
      </c>
      <c r="E251">
        <v>9</v>
      </c>
      <c r="F251">
        <v>45901</v>
      </c>
      <c r="G251" s="1">
        <v>45930</v>
      </c>
      <c r="H251">
        <v>30</v>
      </c>
      <c r="I251" t="s">
        <v>965</v>
      </c>
      <c r="J251">
        <v>3</v>
      </c>
      <c r="K251" s="1">
        <v>45839</v>
      </c>
      <c r="L251" s="1">
        <v>45930</v>
      </c>
      <c r="M251">
        <v>36</v>
      </c>
      <c r="N251">
        <v>1</v>
      </c>
      <c r="O251" s="1">
        <v>45900</v>
      </c>
      <c r="P251" s="1">
        <v>45906</v>
      </c>
      <c r="Q251">
        <v>6</v>
      </c>
      <c r="R251">
        <v>6</v>
      </c>
      <c r="S251">
        <v>249</v>
      </c>
      <c r="T251" s="1">
        <v>45906</v>
      </c>
      <c r="U251" s="1">
        <v>45906</v>
      </c>
      <c r="V251" t="s">
        <v>944</v>
      </c>
    </row>
    <row r="252" spans="1:22" x14ac:dyDescent="0.25">
      <c r="A252">
        <v>45907</v>
      </c>
      <c r="B252">
        <v>45658</v>
      </c>
      <c r="C252">
        <v>46022</v>
      </c>
      <c r="D252">
        <v>2025</v>
      </c>
      <c r="E252">
        <v>9</v>
      </c>
      <c r="F252">
        <v>45901</v>
      </c>
      <c r="G252" s="1">
        <v>45930</v>
      </c>
      <c r="H252">
        <v>30</v>
      </c>
      <c r="I252" t="s">
        <v>965</v>
      </c>
      <c r="J252">
        <v>3</v>
      </c>
      <c r="K252" s="1">
        <v>45839</v>
      </c>
      <c r="L252" s="1">
        <v>45930</v>
      </c>
      <c r="M252">
        <v>37</v>
      </c>
      <c r="N252">
        <v>2</v>
      </c>
      <c r="O252" s="1">
        <v>45907</v>
      </c>
      <c r="P252" s="1">
        <v>45913</v>
      </c>
      <c r="Q252">
        <v>7</v>
      </c>
      <c r="R252">
        <v>0</v>
      </c>
      <c r="S252">
        <v>250</v>
      </c>
      <c r="T252" s="1">
        <v>45907</v>
      </c>
      <c r="U252" s="1">
        <v>45907</v>
      </c>
      <c r="V252" t="s">
        <v>945</v>
      </c>
    </row>
    <row r="253" spans="1:22" x14ac:dyDescent="0.25">
      <c r="A253">
        <v>45908</v>
      </c>
      <c r="B253">
        <v>45658</v>
      </c>
      <c r="C253">
        <v>46022</v>
      </c>
      <c r="D253">
        <v>2025</v>
      </c>
      <c r="E253">
        <v>9</v>
      </c>
      <c r="F253">
        <v>45901</v>
      </c>
      <c r="G253" s="1">
        <v>45930</v>
      </c>
      <c r="H253">
        <v>30</v>
      </c>
      <c r="I253" t="s">
        <v>965</v>
      </c>
      <c r="J253">
        <v>3</v>
      </c>
      <c r="K253" s="1">
        <v>45839</v>
      </c>
      <c r="L253" s="1">
        <v>45930</v>
      </c>
      <c r="M253">
        <v>37</v>
      </c>
      <c r="N253">
        <v>2</v>
      </c>
      <c r="O253" s="1">
        <v>45907</v>
      </c>
      <c r="P253" s="1">
        <v>45913</v>
      </c>
      <c r="Q253">
        <v>8</v>
      </c>
      <c r="R253">
        <v>1</v>
      </c>
      <c r="S253">
        <v>251</v>
      </c>
      <c r="T253" s="1">
        <v>45908</v>
      </c>
      <c r="U253" s="1">
        <v>45908</v>
      </c>
      <c r="V253" t="s">
        <v>941</v>
      </c>
    </row>
    <row r="254" spans="1:22" x14ac:dyDescent="0.25">
      <c r="A254">
        <v>45909</v>
      </c>
      <c r="B254">
        <v>45658</v>
      </c>
      <c r="C254">
        <v>46022</v>
      </c>
      <c r="D254">
        <v>2025</v>
      </c>
      <c r="E254">
        <v>9</v>
      </c>
      <c r="F254">
        <v>45901</v>
      </c>
      <c r="G254" s="1">
        <v>45930</v>
      </c>
      <c r="H254">
        <v>30</v>
      </c>
      <c r="I254" t="s">
        <v>965</v>
      </c>
      <c r="J254">
        <v>3</v>
      </c>
      <c r="K254" s="1">
        <v>45839</v>
      </c>
      <c r="L254" s="1">
        <v>45930</v>
      </c>
      <c r="M254">
        <v>37</v>
      </c>
      <c r="N254">
        <v>2</v>
      </c>
      <c r="O254" s="1">
        <v>45907</v>
      </c>
      <c r="P254" s="1">
        <v>45913</v>
      </c>
      <c r="Q254">
        <v>9</v>
      </c>
      <c r="R254">
        <v>2</v>
      </c>
      <c r="S254">
        <v>252</v>
      </c>
      <c r="T254" s="1">
        <v>45909</v>
      </c>
      <c r="U254" s="1">
        <v>45909</v>
      </c>
      <c r="V254" t="s">
        <v>940</v>
      </c>
    </row>
    <row r="255" spans="1:22" x14ac:dyDescent="0.25">
      <c r="A255">
        <v>45910</v>
      </c>
      <c r="B255">
        <v>45658</v>
      </c>
      <c r="C255">
        <v>46022</v>
      </c>
      <c r="D255">
        <v>2025</v>
      </c>
      <c r="E255">
        <v>9</v>
      </c>
      <c r="F255">
        <v>45901</v>
      </c>
      <c r="G255" s="1">
        <v>45930</v>
      </c>
      <c r="H255">
        <v>30</v>
      </c>
      <c r="I255" t="s">
        <v>965</v>
      </c>
      <c r="J255">
        <v>3</v>
      </c>
      <c r="K255" s="1">
        <v>45839</v>
      </c>
      <c r="L255" s="1">
        <v>45930</v>
      </c>
      <c r="M255">
        <v>37</v>
      </c>
      <c r="N255">
        <v>2</v>
      </c>
      <c r="O255" s="1">
        <v>45907</v>
      </c>
      <c r="P255" s="1">
        <v>45913</v>
      </c>
      <c r="Q255">
        <v>10</v>
      </c>
      <c r="R255">
        <v>3</v>
      </c>
      <c r="S255">
        <v>253</v>
      </c>
      <c r="T255" s="1">
        <v>45910</v>
      </c>
      <c r="U255" s="1">
        <v>45910</v>
      </c>
      <c r="V255" t="s">
        <v>942</v>
      </c>
    </row>
    <row r="256" spans="1:22" x14ac:dyDescent="0.25">
      <c r="A256">
        <v>45911</v>
      </c>
      <c r="B256">
        <v>45658</v>
      </c>
      <c r="C256">
        <v>46022</v>
      </c>
      <c r="D256">
        <v>2025</v>
      </c>
      <c r="E256">
        <v>9</v>
      </c>
      <c r="F256">
        <v>45901</v>
      </c>
      <c r="G256" s="1">
        <v>45930</v>
      </c>
      <c r="H256">
        <v>30</v>
      </c>
      <c r="I256" t="s">
        <v>965</v>
      </c>
      <c r="J256">
        <v>3</v>
      </c>
      <c r="K256" s="1">
        <v>45839</v>
      </c>
      <c r="L256" s="1">
        <v>45930</v>
      </c>
      <c r="M256">
        <v>37</v>
      </c>
      <c r="N256">
        <v>2</v>
      </c>
      <c r="O256" s="1">
        <v>45907</v>
      </c>
      <c r="P256" s="1">
        <v>45913</v>
      </c>
      <c r="Q256">
        <v>11</v>
      </c>
      <c r="R256">
        <v>4</v>
      </c>
      <c r="S256">
        <v>254</v>
      </c>
      <c r="T256" s="1">
        <v>45911</v>
      </c>
      <c r="U256" s="1">
        <v>45911</v>
      </c>
      <c r="V256" t="s">
        <v>943</v>
      </c>
    </row>
    <row r="257" spans="1:22" x14ac:dyDescent="0.25">
      <c r="A257">
        <v>45912</v>
      </c>
      <c r="B257">
        <v>45658</v>
      </c>
      <c r="C257">
        <v>46022</v>
      </c>
      <c r="D257">
        <v>2025</v>
      </c>
      <c r="E257">
        <v>9</v>
      </c>
      <c r="F257">
        <v>45901</v>
      </c>
      <c r="G257" s="1">
        <v>45930</v>
      </c>
      <c r="H257">
        <v>30</v>
      </c>
      <c r="I257" t="s">
        <v>965</v>
      </c>
      <c r="J257">
        <v>3</v>
      </c>
      <c r="K257" s="1">
        <v>45839</v>
      </c>
      <c r="L257" s="1">
        <v>45930</v>
      </c>
      <c r="M257">
        <v>37</v>
      </c>
      <c r="N257">
        <v>2</v>
      </c>
      <c r="O257" s="1">
        <v>45907</v>
      </c>
      <c r="P257" s="1">
        <v>45913</v>
      </c>
      <c r="Q257">
        <v>12</v>
      </c>
      <c r="R257">
        <v>5</v>
      </c>
      <c r="S257">
        <v>255</v>
      </c>
      <c r="T257" s="1">
        <v>45912</v>
      </c>
      <c r="U257" s="1">
        <v>45912</v>
      </c>
      <c r="V257" t="s">
        <v>666</v>
      </c>
    </row>
    <row r="258" spans="1:22" x14ac:dyDescent="0.25">
      <c r="A258">
        <v>45913</v>
      </c>
      <c r="B258">
        <v>45658</v>
      </c>
      <c r="C258">
        <v>46022</v>
      </c>
      <c r="D258">
        <v>2025</v>
      </c>
      <c r="E258">
        <v>9</v>
      </c>
      <c r="F258">
        <v>45901</v>
      </c>
      <c r="G258" s="1">
        <v>45930</v>
      </c>
      <c r="H258">
        <v>30</v>
      </c>
      <c r="I258" t="s">
        <v>965</v>
      </c>
      <c r="J258">
        <v>3</v>
      </c>
      <c r="K258" s="1">
        <v>45839</v>
      </c>
      <c r="L258" s="1">
        <v>45930</v>
      </c>
      <c r="M258">
        <v>37</v>
      </c>
      <c r="N258">
        <v>2</v>
      </c>
      <c r="O258" s="1">
        <v>45907</v>
      </c>
      <c r="P258" s="1">
        <v>45913</v>
      </c>
      <c r="Q258">
        <v>13</v>
      </c>
      <c r="R258">
        <v>6</v>
      </c>
      <c r="S258">
        <v>256</v>
      </c>
      <c r="T258" s="1">
        <v>45913</v>
      </c>
      <c r="U258" s="1">
        <v>45913</v>
      </c>
      <c r="V258" t="s">
        <v>944</v>
      </c>
    </row>
    <row r="259" spans="1:22" x14ac:dyDescent="0.25">
      <c r="A259">
        <v>45914</v>
      </c>
      <c r="B259">
        <v>45658</v>
      </c>
      <c r="C259">
        <v>46022</v>
      </c>
      <c r="D259">
        <v>2025</v>
      </c>
      <c r="E259">
        <v>9</v>
      </c>
      <c r="F259">
        <v>45901</v>
      </c>
      <c r="G259" s="1">
        <v>45930</v>
      </c>
      <c r="H259">
        <v>30</v>
      </c>
      <c r="I259" t="s">
        <v>965</v>
      </c>
      <c r="J259">
        <v>3</v>
      </c>
      <c r="K259" s="1">
        <v>45839</v>
      </c>
      <c r="L259" s="1">
        <v>45930</v>
      </c>
      <c r="M259">
        <v>38</v>
      </c>
      <c r="N259">
        <v>3</v>
      </c>
      <c r="O259" s="1">
        <v>45914</v>
      </c>
      <c r="P259" s="1">
        <v>45920</v>
      </c>
      <c r="Q259">
        <v>14</v>
      </c>
      <c r="R259">
        <v>0</v>
      </c>
      <c r="S259">
        <v>257</v>
      </c>
      <c r="T259" s="1">
        <v>45914</v>
      </c>
      <c r="U259" s="1">
        <v>45914</v>
      </c>
      <c r="V259" t="s">
        <v>945</v>
      </c>
    </row>
    <row r="260" spans="1:22" x14ac:dyDescent="0.25">
      <c r="A260">
        <v>45915</v>
      </c>
      <c r="B260">
        <v>45658</v>
      </c>
      <c r="C260">
        <v>46022</v>
      </c>
      <c r="D260">
        <v>2025</v>
      </c>
      <c r="E260">
        <v>9</v>
      </c>
      <c r="F260">
        <v>45901</v>
      </c>
      <c r="G260" s="1">
        <v>45930</v>
      </c>
      <c r="H260">
        <v>30</v>
      </c>
      <c r="I260" t="s">
        <v>965</v>
      </c>
      <c r="J260">
        <v>3</v>
      </c>
      <c r="K260" s="1">
        <v>45839</v>
      </c>
      <c r="L260" s="1">
        <v>45930</v>
      </c>
      <c r="M260">
        <v>38</v>
      </c>
      <c r="N260">
        <v>3</v>
      </c>
      <c r="O260" s="1">
        <v>45914</v>
      </c>
      <c r="P260" s="1">
        <v>45920</v>
      </c>
      <c r="Q260">
        <v>15</v>
      </c>
      <c r="R260">
        <v>1</v>
      </c>
      <c r="S260">
        <v>258</v>
      </c>
      <c r="T260" s="1">
        <v>45915</v>
      </c>
      <c r="U260" s="1">
        <v>45915</v>
      </c>
      <c r="V260" t="s">
        <v>941</v>
      </c>
    </row>
    <row r="261" spans="1:22" x14ac:dyDescent="0.25">
      <c r="A261">
        <v>45916</v>
      </c>
      <c r="B261">
        <v>45658</v>
      </c>
      <c r="C261">
        <v>46022</v>
      </c>
      <c r="D261">
        <v>2025</v>
      </c>
      <c r="E261">
        <v>9</v>
      </c>
      <c r="F261">
        <v>45901</v>
      </c>
      <c r="G261" s="1">
        <v>45930</v>
      </c>
      <c r="H261">
        <v>30</v>
      </c>
      <c r="I261" t="s">
        <v>965</v>
      </c>
      <c r="J261">
        <v>3</v>
      </c>
      <c r="K261" s="1">
        <v>45839</v>
      </c>
      <c r="L261" s="1">
        <v>45930</v>
      </c>
      <c r="M261">
        <v>38</v>
      </c>
      <c r="N261">
        <v>3</v>
      </c>
      <c r="O261" s="1">
        <v>45914</v>
      </c>
      <c r="P261" s="1">
        <v>45920</v>
      </c>
      <c r="Q261">
        <v>16</v>
      </c>
      <c r="R261">
        <v>2</v>
      </c>
      <c r="S261">
        <v>259</v>
      </c>
      <c r="T261" s="1">
        <v>45916</v>
      </c>
      <c r="U261" s="1">
        <v>45916</v>
      </c>
      <c r="V261" t="s">
        <v>940</v>
      </c>
    </row>
    <row r="262" spans="1:22" x14ac:dyDescent="0.25">
      <c r="A262">
        <v>45917</v>
      </c>
      <c r="B262">
        <v>45658</v>
      </c>
      <c r="C262">
        <v>46022</v>
      </c>
      <c r="D262">
        <v>2025</v>
      </c>
      <c r="E262">
        <v>9</v>
      </c>
      <c r="F262">
        <v>45901</v>
      </c>
      <c r="G262" s="1">
        <v>45930</v>
      </c>
      <c r="H262">
        <v>30</v>
      </c>
      <c r="I262" t="s">
        <v>965</v>
      </c>
      <c r="J262">
        <v>3</v>
      </c>
      <c r="K262" s="1">
        <v>45839</v>
      </c>
      <c r="L262" s="1">
        <v>45930</v>
      </c>
      <c r="M262">
        <v>38</v>
      </c>
      <c r="N262">
        <v>3</v>
      </c>
      <c r="O262" s="1">
        <v>45914</v>
      </c>
      <c r="P262" s="1">
        <v>45920</v>
      </c>
      <c r="Q262">
        <v>17</v>
      </c>
      <c r="R262">
        <v>3</v>
      </c>
      <c r="S262">
        <v>260</v>
      </c>
      <c r="T262" s="1">
        <v>45917</v>
      </c>
      <c r="U262" s="1">
        <v>45917</v>
      </c>
      <c r="V262" t="s">
        <v>942</v>
      </c>
    </row>
    <row r="263" spans="1:22" x14ac:dyDescent="0.25">
      <c r="A263">
        <v>45918</v>
      </c>
      <c r="B263">
        <v>45658</v>
      </c>
      <c r="C263">
        <v>46022</v>
      </c>
      <c r="D263">
        <v>2025</v>
      </c>
      <c r="E263">
        <v>9</v>
      </c>
      <c r="F263">
        <v>45901</v>
      </c>
      <c r="G263" s="1">
        <v>45930</v>
      </c>
      <c r="H263">
        <v>30</v>
      </c>
      <c r="I263" t="s">
        <v>965</v>
      </c>
      <c r="J263">
        <v>3</v>
      </c>
      <c r="K263" s="1">
        <v>45839</v>
      </c>
      <c r="L263" s="1">
        <v>45930</v>
      </c>
      <c r="M263">
        <v>38</v>
      </c>
      <c r="N263">
        <v>3</v>
      </c>
      <c r="O263" s="1">
        <v>45914</v>
      </c>
      <c r="P263" s="1">
        <v>45920</v>
      </c>
      <c r="Q263">
        <v>18</v>
      </c>
      <c r="R263">
        <v>4</v>
      </c>
      <c r="S263">
        <v>261</v>
      </c>
      <c r="T263" s="1">
        <v>45918</v>
      </c>
      <c r="U263" s="1">
        <v>45918</v>
      </c>
      <c r="V263" t="s">
        <v>943</v>
      </c>
    </row>
    <row r="264" spans="1:22" x14ac:dyDescent="0.25">
      <c r="A264">
        <v>45919</v>
      </c>
      <c r="B264">
        <v>45658</v>
      </c>
      <c r="C264">
        <v>46022</v>
      </c>
      <c r="D264">
        <v>2025</v>
      </c>
      <c r="E264">
        <v>9</v>
      </c>
      <c r="F264">
        <v>45901</v>
      </c>
      <c r="G264" s="1">
        <v>45930</v>
      </c>
      <c r="H264">
        <v>30</v>
      </c>
      <c r="I264" t="s">
        <v>965</v>
      </c>
      <c r="J264">
        <v>3</v>
      </c>
      <c r="K264" s="1">
        <v>45839</v>
      </c>
      <c r="L264" s="1">
        <v>45930</v>
      </c>
      <c r="M264">
        <v>38</v>
      </c>
      <c r="N264">
        <v>3</v>
      </c>
      <c r="O264" s="1">
        <v>45914</v>
      </c>
      <c r="P264" s="1">
        <v>45920</v>
      </c>
      <c r="Q264">
        <v>19</v>
      </c>
      <c r="R264">
        <v>5</v>
      </c>
      <c r="S264">
        <v>262</v>
      </c>
      <c r="T264" s="1">
        <v>45919</v>
      </c>
      <c r="U264" s="1">
        <v>45919</v>
      </c>
      <c r="V264" t="s">
        <v>666</v>
      </c>
    </row>
    <row r="265" spans="1:22" x14ac:dyDescent="0.25">
      <c r="A265">
        <v>45920</v>
      </c>
      <c r="B265">
        <v>45658</v>
      </c>
      <c r="C265">
        <v>46022</v>
      </c>
      <c r="D265">
        <v>2025</v>
      </c>
      <c r="E265">
        <v>9</v>
      </c>
      <c r="F265">
        <v>45901</v>
      </c>
      <c r="G265" s="1">
        <v>45930</v>
      </c>
      <c r="H265">
        <v>30</v>
      </c>
      <c r="I265" t="s">
        <v>965</v>
      </c>
      <c r="J265">
        <v>3</v>
      </c>
      <c r="K265" s="1">
        <v>45839</v>
      </c>
      <c r="L265" s="1">
        <v>45930</v>
      </c>
      <c r="M265">
        <v>38</v>
      </c>
      <c r="N265">
        <v>3</v>
      </c>
      <c r="O265" s="1">
        <v>45914</v>
      </c>
      <c r="P265" s="1">
        <v>45920</v>
      </c>
      <c r="Q265">
        <v>20</v>
      </c>
      <c r="R265">
        <v>6</v>
      </c>
      <c r="S265">
        <v>263</v>
      </c>
      <c r="T265" s="1">
        <v>45920</v>
      </c>
      <c r="U265" s="1">
        <v>45920</v>
      </c>
      <c r="V265" t="s">
        <v>944</v>
      </c>
    </row>
    <row r="266" spans="1:22" x14ac:dyDescent="0.25">
      <c r="A266">
        <v>45921</v>
      </c>
      <c r="B266">
        <v>45658</v>
      </c>
      <c r="C266">
        <v>46022</v>
      </c>
      <c r="D266">
        <v>2025</v>
      </c>
      <c r="E266">
        <v>9</v>
      </c>
      <c r="F266">
        <v>45901</v>
      </c>
      <c r="G266" s="1">
        <v>45930</v>
      </c>
      <c r="H266">
        <v>30</v>
      </c>
      <c r="I266" t="s">
        <v>965</v>
      </c>
      <c r="J266">
        <v>3</v>
      </c>
      <c r="K266" s="1">
        <v>45839</v>
      </c>
      <c r="L266" s="1">
        <v>45930</v>
      </c>
      <c r="M266">
        <v>39</v>
      </c>
      <c r="N266">
        <v>4</v>
      </c>
      <c r="O266" s="1">
        <v>45921</v>
      </c>
      <c r="P266" s="1">
        <v>45927</v>
      </c>
      <c r="Q266">
        <v>21</v>
      </c>
      <c r="R266">
        <v>0</v>
      </c>
      <c r="S266">
        <v>264</v>
      </c>
      <c r="T266" s="1">
        <v>45921</v>
      </c>
      <c r="U266" s="1">
        <v>45921</v>
      </c>
      <c r="V266" t="s">
        <v>945</v>
      </c>
    </row>
    <row r="267" spans="1:22" x14ac:dyDescent="0.25">
      <c r="A267">
        <v>45922</v>
      </c>
      <c r="B267">
        <v>45658</v>
      </c>
      <c r="C267">
        <v>46022</v>
      </c>
      <c r="D267">
        <v>2025</v>
      </c>
      <c r="E267">
        <v>9</v>
      </c>
      <c r="F267">
        <v>45901</v>
      </c>
      <c r="G267" s="1">
        <v>45930</v>
      </c>
      <c r="H267">
        <v>30</v>
      </c>
      <c r="I267" t="s">
        <v>965</v>
      </c>
      <c r="J267">
        <v>3</v>
      </c>
      <c r="K267" s="1">
        <v>45839</v>
      </c>
      <c r="L267" s="1">
        <v>45930</v>
      </c>
      <c r="M267">
        <v>39</v>
      </c>
      <c r="N267">
        <v>4</v>
      </c>
      <c r="O267" s="1">
        <v>45921</v>
      </c>
      <c r="P267" s="1">
        <v>45927</v>
      </c>
      <c r="Q267">
        <v>22</v>
      </c>
      <c r="R267">
        <v>1</v>
      </c>
      <c r="S267">
        <v>265</v>
      </c>
      <c r="T267" s="1">
        <v>45922</v>
      </c>
      <c r="U267" s="1">
        <v>45922</v>
      </c>
      <c r="V267" t="s">
        <v>941</v>
      </c>
    </row>
    <row r="268" spans="1:22" x14ac:dyDescent="0.25">
      <c r="A268">
        <v>45923</v>
      </c>
      <c r="B268">
        <v>45658</v>
      </c>
      <c r="C268">
        <v>46022</v>
      </c>
      <c r="D268">
        <v>2025</v>
      </c>
      <c r="E268">
        <v>9</v>
      </c>
      <c r="F268">
        <v>45901</v>
      </c>
      <c r="G268" s="1">
        <v>45930</v>
      </c>
      <c r="H268">
        <v>30</v>
      </c>
      <c r="I268" t="s">
        <v>965</v>
      </c>
      <c r="J268">
        <v>3</v>
      </c>
      <c r="K268" s="1">
        <v>45839</v>
      </c>
      <c r="L268" s="1">
        <v>45930</v>
      </c>
      <c r="M268">
        <v>39</v>
      </c>
      <c r="N268">
        <v>4</v>
      </c>
      <c r="O268" s="1">
        <v>45921</v>
      </c>
      <c r="P268" s="1">
        <v>45927</v>
      </c>
      <c r="Q268">
        <v>23</v>
      </c>
      <c r="R268">
        <v>2</v>
      </c>
      <c r="S268">
        <v>266</v>
      </c>
      <c r="T268" s="1">
        <v>45923</v>
      </c>
      <c r="U268" s="1">
        <v>45923</v>
      </c>
      <c r="V268" t="s">
        <v>940</v>
      </c>
    </row>
    <row r="269" spans="1:22" x14ac:dyDescent="0.25">
      <c r="A269">
        <v>45924</v>
      </c>
      <c r="B269">
        <v>45658</v>
      </c>
      <c r="C269">
        <v>46022</v>
      </c>
      <c r="D269">
        <v>2025</v>
      </c>
      <c r="E269">
        <v>9</v>
      </c>
      <c r="F269">
        <v>45901</v>
      </c>
      <c r="G269" s="1">
        <v>45930</v>
      </c>
      <c r="H269">
        <v>30</v>
      </c>
      <c r="I269" t="s">
        <v>965</v>
      </c>
      <c r="J269">
        <v>3</v>
      </c>
      <c r="K269" s="1">
        <v>45839</v>
      </c>
      <c r="L269" s="1">
        <v>45930</v>
      </c>
      <c r="M269">
        <v>39</v>
      </c>
      <c r="N269">
        <v>4</v>
      </c>
      <c r="O269" s="1">
        <v>45921</v>
      </c>
      <c r="P269" s="1">
        <v>45927</v>
      </c>
      <c r="Q269">
        <v>24</v>
      </c>
      <c r="R269">
        <v>3</v>
      </c>
      <c r="S269">
        <v>267</v>
      </c>
      <c r="T269" s="1">
        <v>45924</v>
      </c>
      <c r="U269" s="1">
        <v>45924</v>
      </c>
      <c r="V269" t="s">
        <v>942</v>
      </c>
    </row>
    <row r="270" spans="1:22" x14ac:dyDescent="0.25">
      <c r="A270">
        <v>45925</v>
      </c>
      <c r="B270">
        <v>45658</v>
      </c>
      <c r="C270">
        <v>46022</v>
      </c>
      <c r="D270">
        <v>2025</v>
      </c>
      <c r="E270">
        <v>9</v>
      </c>
      <c r="F270">
        <v>45901</v>
      </c>
      <c r="G270" s="1">
        <v>45930</v>
      </c>
      <c r="H270">
        <v>30</v>
      </c>
      <c r="I270" t="s">
        <v>965</v>
      </c>
      <c r="J270">
        <v>3</v>
      </c>
      <c r="K270" s="1">
        <v>45839</v>
      </c>
      <c r="L270" s="1">
        <v>45930</v>
      </c>
      <c r="M270">
        <v>39</v>
      </c>
      <c r="N270">
        <v>4</v>
      </c>
      <c r="O270" s="1">
        <v>45921</v>
      </c>
      <c r="P270" s="1">
        <v>45927</v>
      </c>
      <c r="Q270">
        <v>25</v>
      </c>
      <c r="R270">
        <v>4</v>
      </c>
      <c r="S270">
        <v>268</v>
      </c>
      <c r="T270" s="1">
        <v>45925</v>
      </c>
      <c r="U270" s="1">
        <v>45925</v>
      </c>
      <c r="V270" t="s">
        <v>943</v>
      </c>
    </row>
    <row r="271" spans="1:22" x14ac:dyDescent="0.25">
      <c r="A271">
        <v>45926</v>
      </c>
      <c r="B271">
        <v>45658</v>
      </c>
      <c r="C271">
        <v>46022</v>
      </c>
      <c r="D271">
        <v>2025</v>
      </c>
      <c r="E271">
        <v>9</v>
      </c>
      <c r="F271">
        <v>45901</v>
      </c>
      <c r="G271" s="1">
        <v>45930</v>
      </c>
      <c r="H271">
        <v>30</v>
      </c>
      <c r="I271" t="s">
        <v>965</v>
      </c>
      <c r="J271">
        <v>3</v>
      </c>
      <c r="K271" s="1">
        <v>45839</v>
      </c>
      <c r="L271" s="1">
        <v>45930</v>
      </c>
      <c r="M271">
        <v>39</v>
      </c>
      <c r="N271">
        <v>4</v>
      </c>
      <c r="O271" s="1">
        <v>45921</v>
      </c>
      <c r="P271" s="1">
        <v>45927</v>
      </c>
      <c r="Q271">
        <v>26</v>
      </c>
      <c r="R271">
        <v>5</v>
      </c>
      <c r="S271">
        <v>269</v>
      </c>
      <c r="T271" s="1">
        <v>45926</v>
      </c>
      <c r="U271" s="1">
        <v>45926</v>
      </c>
      <c r="V271" t="s">
        <v>666</v>
      </c>
    </row>
    <row r="272" spans="1:22" x14ac:dyDescent="0.25">
      <c r="A272">
        <v>45927</v>
      </c>
      <c r="B272">
        <v>45658</v>
      </c>
      <c r="C272">
        <v>46022</v>
      </c>
      <c r="D272">
        <v>2025</v>
      </c>
      <c r="E272">
        <v>9</v>
      </c>
      <c r="F272">
        <v>45901</v>
      </c>
      <c r="G272" s="1">
        <v>45930</v>
      </c>
      <c r="H272">
        <v>30</v>
      </c>
      <c r="I272" t="s">
        <v>965</v>
      </c>
      <c r="J272">
        <v>3</v>
      </c>
      <c r="K272" s="1">
        <v>45839</v>
      </c>
      <c r="L272" s="1">
        <v>45930</v>
      </c>
      <c r="M272">
        <v>39</v>
      </c>
      <c r="N272">
        <v>4</v>
      </c>
      <c r="O272" s="1">
        <v>45921</v>
      </c>
      <c r="P272" s="1">
        <v>45927</v>
      </c>
      <c r="Q272">
        <v>27</v>
      </c>
      <c r="R272">
        <v>6</v>
      </c>
      <c r="S272">
        <v>270</v>
      </c>
      <c r="T272" s="1">
        <v>45927</v>
      </c>
      <c r="U272" s="1">
        <v>45927</v>
      </c>
      <c r="V272" t="s">
        <v>944</v>
      </c>
    </row>
    <row r="273" spans="1:22" x14ac:dyDescent="0.25">
      <c r="A273">
        <v>45928</v>
      </c>
      <c r="B273">
        <v>45658</v>
      </c>
      <c r="C273">
        <v>46022</v>
      </c>
      <c r="D273">
        <v>2025</v>
      </c>
      <c r="E273">
        <v>9</v>
      </c>
      <c r="F273">
        <v>45901</v>
      </c>
      <c r="G273" s="1">
        <v>45930</v>
      </c>
      <c r="H273">
        <v>30</v>
      </c>
      <c r="I273" t="s">
        <v>965</v>
      </c>
      <c r="J273">
        <v>3</v>
      </c>
      <c r="K273" s="1">
        <v>45839</v>
      </c>
      <c r="L273" s="1">
        <v>45930</v>
      </c>
      <c r="M273">
        <v>40</v>
      </c>
      <c r="N273">
        <v>5</v>
      </c>
      <c r="O273" s="1">
        <v>45928</v>
      </c>
      <c r="P273" s="1">
        <v>45934</v>
      </c>
      <c r="Q273">
        <v>28</v>
      </c>
      <c r="R273">
        <v>0</v>
      </c>
      <c r="S273">
        <v>271</v>
      </c>
      <c r="T273" s="1">
        <v>45928</v>
      </c>
      <c r="U273" s="1">
        <v>45928</v>
      </c>
      <c r="V273" t="s">
        <v>945</v>
      </c>
    </row>
    <row r="274" spans="1:22" x14ac:dyDescent="0.25">
      <c r="A274">
        <v>45929</v>
      </c>
      <c r="B274">
        <v>45658</v>
      </c>
      <c r="C274">
        <v>46022</v>
      </c>
      <c r="D274">
        <v>2025</v>
      </c>
      <c r="E274">
        <v>9</v>
      </c>
      <c r="F274">
        <v>45901</v>
      </c>
      <c r="G274" s="1">
        <v>45930</v>
      </c>
      <c r="H274">
        <v>30</v>
      </c>
      <c r="I274" t="s">
        <v>965</v>
      </c>
      <c r="J274">
        <v>3</v>
      </c>
      <c r="K274" s="1">
        <v>45839</v>
      </c>
      <c r="L274" s="1">
        <v>45930</v>
      </c>
      <c r="M274">
        <v>40</v>
      </c>
      <c r="N274">
        <v>5</v>
      </c>
      <c r="O274" s="1">
        <v>45928</v>
      </c>
      <c r="P274" s="1">
        <v>45934</v>
      </c>
      <c r="Q274">
        <v>29</v>
      </c>
      <c r="R274">
        <v>1</v>
      </c>
      <c r="S274">
        <v>272</v>
      </c>
      <c r="T274" s="1">
        <v>45929</v>
      </c>
      <c r="U274" s="1">
        <v>45929</v>
      </c>
      <c r="V274" t="s">
        <v>941</v>
      </c>
    </row>
    <row r="275" spans="1:22" x14ac:dyDescent="0.25">
      <c r="A275">
        <v>45930</v>
      </c>
      <c r="B275">
        <v>45658</v>
      </c>
      <c r="C275">
        <v>46022</v>
      </c>
      <c r="D275">
        <v>2025</v>
      </c>
      <c r="E275">
        <v>9</v>
      </c>
      <c r="F275">
        <v>45901</v>
      </c>
      <c r="G275" s="1">
        <v>45930</v>
      </c>
      <c r="H275">
        <v>30</v>
      </c>
      <c r="I275" t="s">
        <v>965</v>
      </c>
      <c r="J275">
        <v>3</v>
      </c>
      <c r="K275" s="1">
        <v>45839</v>
      </c>
      <c r="L275" s="1">
        <v>45930</v>
      </c>
      <c r="M275">
        <v>40</v>
      </c>
      <c r="N275">
        <v>5</v>
      </c>
      <c r="O275" s="1">
        <v>45928</v>
      </c>
      <c r="P275" s="1">
        <v>45934</v>
      </c>
      <c r="Q275">
        <v>30</v>
      </c>
      <c r="R275">
        <v>2</v>
      </c>
      <c r="S275">
        <v>273</v>
      </c>
      <c r="T275" s="1">
        <v>45930</v>
      </c>
      <c r="U275" s="1">
        <v>45930</v>
      </c>
      <c r="V275" t="s">
        <v>940</v>
      </c>
    </row>
    <row r="276" spans="1:22" x14ac:dyDescent="0.25">
      <c r="A276">
        <v>45931</v>
      </c>
      <c r="B276">
        <v>45658</v>
      </c>
      <c r="C276">
        <v>46022</v>
      </c>
      <c r="D276">
        <v>2025</v>
      </c>
      <c r="E276">
        <v>10</v>
      </c>
      <c r="F276">
        <v>45931</v>
      </c>
      <c r="G276" s="1">
        <v>45961</v>
      </c>
      <c r="H276">
        <v>31</v>
      </c>
      <c r="I276" t="s">
        <v>966</v>
      </c>
      <c r="J276">
        <v>4</v>
      </c>
      <c r="K276" s="1">
        <v>45931</v>
      </c>
      <c r="L276" s="1">
        <v>46022</v>
      </c>
      <c r="M276">
        <v>40</v>
      </c>
      <c r="N276">
        <v>1</v>
      </c>
      <c r="O276" s="1">
        <v>45928</v>
      </c>
      <c r="P276" s="1">
        <v>45934</v>
      </c>
      <c r="Q276">
        <v>1</v>
      </c>
      <c r="R276">
        <v>3</v>
      </c>
      <c r="S276">
        <v>274</v>
      </c>
      <c r="T276" s="1">
        <v>45931</v>
      </c>
      <c r="U276" s="1">
        <v>45931</v>
      </c>
      <c r="V276" t="s">
        <v>942</v>
      </c>
    </row>
    <row r="277" spans="1:22" x14ac:dyDescent="0.25">
      <c r="A277">
        <v>45932</v>
      </c>
      <c r="B277">
        <v>45658</v>
      </c>
      <c r="C277">
        <v>46022</v>
      </c>
      <c r="D277">
        <v>2025</v>
      </c>
      <c r="E277">
        <v>10</v>
      </c>
      <c r="F277">
        <v>45931</v>
      </c>
      <c r="G277" s="1">
        <v>45961</v>
      </c>
      <c r="H277">
        <v>31</v>
      </c>
      <c r="I277" t="s">
        <v>966</v>
      </c>
      <c r="J277">
        <v>4</v>
      </c>
      <c r="K277" s="1">
        <v>45931</v>
      </c>
      <c r="L277" s="1">
        <v>46022</v>
      </c>
      <c r="M277">
        <v>40</v>
      </c>
      <c r="N277">
        <v>1</v>
      </c>
      <c r="O277" s="1">
        <v>45928</v>
      </c>
      <c r="P277" s="1">
        <v>45934</v>
      </c>
      <c r="Q277">
        <v>2</v>
      </c>
      <c r="R277">
        <v>4</v>
      </c>
      <c r="S277">
        <v>275</v>
      </c>
      <c r="T277" s="1">
        <v>45932</v>
      </c>
      <c r="U277" s="1">
        <v>45932</v>
      </c>
      <c r="V277" t="s">
        <v>943</v>
      </c>
    </row>
    <row r="278" spans="1:22" x14ac:dyDescent="0.25">
      <c r="A278">
        <v>45933</v>
      </c>
      <c r="B278">
        <v>45658</v>
      </c>
      <c r="C278">
        <v>46022</v>
      </c>
      <c r="D278">
        <v>2025</v>
      </c>
      <c r="E278">
        <v>10</v>
      </c>
      <c r="F278">
        <v>45931</v>
      </c>
      <c r="G278" s="1">
        <v>45961</v>
      </c>
      <c r="H278">
        <v>31</v>
      </c>
      <c r="I278" t="s">
        <v>966</v>
      </c>
      <c r="J278">
        <v>4</v>
      </c>
      <c r="K278" s="1">
        <v>45931</v>
      </c>
      <c r="L278" s="1">
        <v>46022</v>
      </c>
      <c r="M278">
        <v>40</v>
      </c>
      <c r="N278">
        <v>1</v>
      </c>
      <c r="O278" s="1">
        <v>45928</v>
      </c>
      <c r="P278" s="1">
        <v>45934</v>
      </c>
      <c r="Q278">
        <v>3</v>
      </c>
      <c r="R278">
        <v>5</v>
      </c>
      <c r="S278">
        <v>276</v>
      </c>
      <c r="T278" s="1">
        <v>45933</v>
      </c>
      <c r="U278" s="1">
        <v>45933</v>
      </c>
      <c r="V278" t="s">
        <v>666</v>
      </c>
    </row>
    <row r="279" spans="1:22" x14ac:dyDescent="0.25">
      <c r="A279">
        <v>45934</v>
      </c>
      <c r="B279">
        <v>45658</v>
      </c>
      <c r="C279">
        <v>46022</v>
      </c>
      <c r="D279">
        <v>2025</v>
      </c>
      <c r="E279">
        <v>10</v>
      </c>
      <c r="F279">
        <v>45931</v>
      </c>
      <c r="G279" s="1">
        <v>45961</v>
      </c>
      <c r="H279">
        <v>31</v>
      </c>
      <c r="I279" t="s">
        <v>966</v>
      </c>
      <c r="J279">
        <v>4</v>
      </c>
      <c r="K279" s="1">
        <v>45931</v>
      </c>
      <c r="L279" s="1">
        <v>46022</v>
      </c>
      <c r="M279">
        <v>40</v>
      </c>
      <c r="N279">
        <v>1</v>
      </c>
      <c r="O279" s="1">
        <v>45928</v>
      </c>
      <c r="P279" s="1">
        <v>45934</v>
      </c>
      <c r="Q279">
        <v>4</v>
      </c>
      <c r="R279">
        <v>6</v>
      </c>
      <c r="S279">
        <v>277</v>
      </c>
      <c r="T279" s="1">
        <v>45934</v>
      </c>
      <c r="U279" s="1">
        <v>45934</v>
      </c>
      <c r="V279" t="s">
        <v>944</v>
      </c>
    </row>
    <row r="280" spans="1:22" x14ac:dyDescent="0.25">
      <c r="A280">
        <v>45935</v>
      </c>
      <c r="B280">
        <v>45658</v>
      </c>
      <c r="C280">
        <v>46022</v>
      </c>
      <c r="D280">
        <v>2025</v>
      </c>
      <c r="E280">
        <v>10</v>
      </c>
      <c r="F280">
        <v>45931</v>
      </c>
      <c r="G280" s="1">
        <v>45961</v>
      </c>
      <c r="H280">
        <v>31</v>
      </c>
      <c r="I280" t="s">
        <v>966</v>
      </c>
      <c r="J280">
        <v>4</v>
      </c>
      <c r="K280" s="1">
        <v>45931</v>
      </c>
      <c r="L280" s="1">
        <v>46022</v>
      </c>
      <c r="M280">
        <v>41</v>
      </c>
      <c r="N280">
        <v>2</v>
      </c>
      <c r="O280" s="1">
        <v>45935</v>
      </c>
      <c r="P280" s="1">
        <v>45941</v>
      </c>
      <c r="Q280">
        <v>5</v>
      </c>
      <c r="R280">
        <v>0</v>
      </c>
      <c r="S280">
        <v>278</v>
      </c>
      <c r="T280" s="1">
        <v>45935</v>
      </c>
      <c r="U280" s="1">
        <v>45935</v>
      </c>
      <c r="V280" t="s">
        <v>945</v>
      </c>
    </row>
    <row r="281" spans="1:22" x14ac:dyDescent="0.25">
      <c r="A281">
        <v>45936</v>
      </c>
      <c r="B281">
        <v>45658</v>
      </c>
      <c r="C281">
        <v>46022</v>
      </c>
      <c r="D281">
        <v>2025</v>
      </c>
      <c r="E281">
        <v>10</v>
      </c>
      <c r="F281">
        <v>45931</v>
      </c>
      <c r="G281" s="1">
        <v>45961</v>
      </c>
      <c r="H281">
        <v>31</v>
      </c>
      <c r="I281" t="s">
        <v>966</v>
      </c>
      <c r="J281">
        <v>4</v>
      </c>
      <c r="K281" s="1">
        <v>45931</v>
      </c>
      <c r="L281" s="1">
        <v>46022</v>
      </c>
      <c r="M281">
        <v>41</v>
      </c>
      <c r="N281">
        <v>2</v>
      </c>
      <c r="O281" s="1">
        <v>45935</v>
      </c>
      <c r="P281" s="1">
        <v>45941</v>
      </c>
      <c r="Q281">
        <v>6</v>
      </c>
      <c r="R281">
        <v>1</v>
      </c>
      <c r="S281">
        <v>279</v>
      </c>
      <c r="T281" s="1">
        <v>45936</v>
      </c>
      <c r="U281" s="1">
        <v>45936</v>
      </c>
      <c r="V281" t="s">
        <v>941</v>
      </c>
    </row>
    <row r="282" spans="1:22" x14ac:dyDescent="0.25">
      <c r="A282">
        <v>45937</v>
      </c>
      <c r="B282">
        <v>45658</v>
      </c>
      <c r="C282">
        <v>46022</v>
      </c>
      <c r="D282">
        <v>2025</v>
      </c>
      <c r="E282">
        <v>10</v>
      </c>
      <c r="F282">
        <v>45931</v>
      </c>
      <c r="G282" s="1">
        <v>45961</v>
      </c>
      <c r="H282">
        <v>31</v>
      </c>
      <c r="I282" t="s">
        <v>966</v>
      </c>
      <c r="J282">
        <v>4</v>
      </c>
      <c r="K282" s="1">
        <v>45931</v>
      </c>
      <c r="L282" s="1">
        <v>46022</v>
      </c>
      <c r="M282">
        <v>41</v>
      </c>
      <c r="N282">
        <v>2</v>
      </c>
      <c r="O282" s="1">
        <v>45935</v>
      </c>
      <c r="P282" s="1">
        <v>45941</v>
      </c>
      <c r="Q282">
        <v>7</v>
      </c>
      <c r="R282">
        <v>2</v>
      </c>
      <c r="S282">
        <v>280</v>
      </c>
      <c r="T282" s="1">
        <v>45937</v>
      </c>
      <c r="U282" s="1">
        <v>45937</v>
      </c>
      <c r="V282" t="s">
        <v>940</v>
      </c>
    </row>
    <row r="283" spans="1:22" x14ac:dyDescent="0.25">
      <c r="A283">
        <v>45938</v>
      </c>
      <c r="B283">
        <v>45658</v>
      </c>
      <c r="C283">
        <v>46022</v>
      </c>
      <c r="D283">
        <v>2025</v>
      </c>
      <c r="E283">
        <v>10</v>
      </c>
      <c r="F283">
        <v>45931</v>
      </c>
      <c r="G283" s="1">
        <v>45961</v>
      </c>
      <c r="H283">
        <v>31</v>
      </c>
      <c r="I283" t="s">
        <v>966</v>
      </c>
      <c r="J283">
        <v>4</v>
      </c>
      <c r="K283" s="1">
        <v>45931</v>
      </c>
      <c r="L283" s="1">
        <v>46022</v>
      </c>
      <c r="M283">
        <v>41</v>
      </c>
      <c r="N283">
        <v>2</v>
      </c>
      <c r="O283" s="1">
        <v>45935</v>
      </c>
      <c r="P283" s="1">
        <v>45941</v>
      </c>
      <c r="Q283">
        <v>8</v>
      </c>
      <c r="R283">
        <v>3</v>
      </c>
      <c r="S283">
        <v>281</v>
      </c>
      <c r="T283" s="1">
        <v>45938</v>
      </c>
      <c r="U283" s="1">
        <v>45938</v>
      </c>
      <c r="V283" t="s">
        <v>942</v>
      </c>
    </row>
    <row r="284" spans="1:22" x14ac:dyDescent="0.25">
      <c r="A284">
        <v>45939</v>
      </c>
      <c r="B284">
        <v>45658</v>
      </c>
      <c r="C284">
        <v>46022</v>
      </c>
      <c r="D284">
        <v>2025</v>
      </c>
      <c r="E284">
        <v>10</v>
      </c>
      <c r="F284">
        <v>45931</v>
      </c>
      <c r="G284" s="1">
        <v>45961</v>
      </c>
      <c r="H284">
        <v>31</v>
      </c>
      <c r="I284" t="s">
        <v>966</v>
      </c>
      <c r="J284">
        <v>4</v>
      </c>
      <c r="K284" s="1">
        <v>45931</v>
      </c>
      <c r="L284" s="1">
        <v>46022</v>
      </c>
      <c r="M284">
        <v>41</v>
      </c>
      <c r="N284">
        <v>2</v>
      </c>
      <c r="O284" s="1">
        <v>45935</v>
      </c>
      <c r="P284" s="1">
        <v>45941</v>
      </c>
      <c r="Q284">
        <v>9</v>
      </c>
      <c r="R284">
        <v>4</v>
      </c>
      <c r="S284">
        <v>282</v>
      </c>
      <c r="T284" s="1">
        <v>45939</v>
      </c>
      <c r="U284" s="1">
        <v>45939</v>
      </c>
      <c r="V284" t="s">
        <v>943</v>
      </c>
    </row>
    <row r="285" spans="1:22" x14ac:dyDescent="0.25">
      <c r="A285">
        <v>45940</v>
      </c>
      <c r="B285">
        <v>45658</v>
      </c>
      <c r="C285">
        <v>46022</v>
      </c>
      <c r="D285">
        <v>2025</v>
      </c>
      <c r="E285">
        <v>10</v>
      </c>
      <c r="F285">
        <v>45931</v>
      </c>
      <c r="G285" s="1">
        <v>45961</v>
      </c>
      <c r="H285">
        <v>31</v>
      </c>
      <c r="I285" t="s">
        <v>966</v>
      </c>
      <c r="J285">
        <v>4</v>
      </c>
      <c r="K285" s="1">
        <v>45931</v>
      </c>
      <c r="L285" s="1">
        <v>46022</v>
      </c>
      <c r="M285">
        <v>41</v>
      </c>
      <c r="N285">
        <v>2</v>
      </c>
      <c r="O285" s="1">
        <v>45935</v>
      </c>
      <c r="P285" s="1">
        <v>45941</v>
      </c>
      <c r="Q285">
        <v>10</v>
      </c>
      <c r="R285">
        <v>5</v>
      </c>
      <c r="S285">
        <v>283</v>
      </c>
      <c r="T285" s="1">
        <v>45940</v>
      </c>
      <c r="U285" s="1">
        <v>45940</v>
      </c>
      <c r="V285" t="s">
        <v>666</v>
      </c>
    </row>
    <row r="286" spans="1:22" x14ac:dyDescent="0.25">
      <c r="A286">
        <v>45941</v>
      </c>
      <c r="B286">
        <v>45658</v>
      </c>
      <c r="C286">
        <v>46022</v>
      </c>
      <c r="D286">
        <v>2025</v>
      </c>
      <c r="E286">
        <v>10</v>
      </c>
      <c r="F286">
        <v>45931</v>
      </c>
      <c r="G286" s="1">
        <v>45961</v>
      </c>
      <c r="H286">
        <v>31</v>
      </c>
      <c r="I286" t="s">
        <v>966</v>
      </c>
      <c r="J286">
        <v>4</v>
      </c>
      <c r="K286" s="1">
        <v>45931</v>
      </c>
      <c r="L286" s="1">
        <v>46022</v>
      </c>
      <c r="M286">
        <v>41</v>
      </c>
      <c r="N286">
        <v>2</v>
      </c>
      <c r="O286" s="1">
        <v>45935</v>
      </c>
      <c r="P286" s="1">
        <v>45941</v>
      </c>
      <c r="Q286">
        <v>11</v>
      </c>
      <c r="R286">
        <v>6</v>
      </c>
      <c r="S286">
        <v>284</v>
      </c>
      <c r="T286" s="1">
        <v>45941</v>
      </c>
      <c r="U286" s="1">
        <v>45941</v>
      </c>
      <c r="V286" t="s">
        <v>944</v>
      </c>
    </row>
    <row r="287" spans="1:22" x14ac:dyDescent="0.25">
      <c r="A287">
        <v>45942</v>
      </c>
      <c r="B287">
        <v>45658</v>
      </c>
      <c r="C287">
        <v>46022</v>
      </c>
      <c r="D287">
        <v>2025</v>
      </c>
      <c r="E287">
        <v>10</v>
      </c>
      <c r="F287">
        <v>45931</v>
      </c>
      <c r="G287" s="1">
        <v>45961</v>
      </c>
      <c r="H287">
        <v>31</v>
      </c>
      <c r="I287" t="s">
        <v>966</v>
      </c>
      <c r="J287">
        <v>4</v>
      </c>
      <c r="K287" s="1">
        <v>45931</v>
      </c>
      <c r="L287" s="1">
        <v>46022</v>
      </c>
      <c r="M287">
        <v>42</v>
      </c>
      <c r="N287">
        <v>3</v>
      </c>
      <c r="O287" s="1">
        <v>45942</v>
      </c>
      <c r="P287" s="1">
        <v>45948</v>
      </c>
      <c r="Q287">
        <v>12</v>
      </c>
      <c r="R287">
        <v>0</v>
      </c>
      <c r="S287">
        <v>285</v>
      </c>
      <c r="T287" s="1">
        <v>45942</v>
      </c>
      <c r="U287" s="1">
        <v>45942</v>
      </c>
      <c r="V287" t="s">
        <v>945</v>
      </c>
    </row>
    <row r="288" spans="1:22" x14ac:dyDescent="0.25">
      <c r="A288">
        <v>45943</v>
      </c>
      <c r="B288">
        <v>45658</v>
      </c>
      <c r="C288">
        <v>46022</v>
      </c>
      <c r="D288">
        <v>2025</v>
      </c>
      <c r="E288">
        <v>10</v>
      </c>
      <c r="F288">
        <v>45931</v>
      </c>
      <c r="G288" s="1">
        <v>45961</v>
      </c>
      <c r="H288">
        <v>31</v>
      </c>
      <c r="I288" t="s">
        <v>966</v>
      </c>
      <c r="J288">
        <v>4</v>
      </c>
      <c r="K288" s="1">
        <v>45931</v>
      </c>
      <c r="L288" s="1">
        <v>46022</v>
      </c>
      <c r="M288">
        <v>42</v>
      </c>
      <c r="N288">
        <v>3</v>
      </c>
      <c r="O288" s="1">
        <v>45942</v>
      </c>
      <c r="P288" s="1">
        <v>45948</v>
      </c>
      <c r="Q288">
        <v>13</v>
      </c>
      <c r="R288">
        <v>1</v>
      </c>
      <c r="S288">
        <v>286</v>
      </c>
      <c r="T288" s="1">
        <v>45943</v>
      </c>
      <c r="U288" s="1">
        <v>45943</v>
      </c>
      <c r="V288" t="s">
        <v>941</v>
      </c>
    </row>
    <row r="289" spans="1:22" x14ac:dyDescent="0.25">
      <c r="A289">
        <v>45944</v>
      </c>
      <c r="B289">
        <v>45658</v>
      </c>
      <c r="C289">
        <v>46022</v>
      </c>
      <c r="D289">
        <v>2025</v>
      </c>
      <c r="E289">
        <v>10</v>
      </c>
      <c r="F289">
        <v>45931</v>
      </c>
      <c r="G289" s="1">
        <v>45961</v>
      </c>
      <c r="H289">
        <v>31</v>
      </c>
      <c r="I289" t="s">
        <v>966</v>
      </c>
      <c r="J289">
        <v>4</v>
      </c>
      <c r="K289" s="1">
        <v>45931</v>
      </c>
      <c r="L289" s="1">
        <v>46022</v>
      </c>
      <c r="M289">
        <v>42</v>
      </c>
      <c r="N289">
        <v>3</v>
      </c>
      <c r="O289" s="1">
        <v>45942</v>
      </c>
      <c r="P289" s="1">
        <v>45948</v>
      </c>
      <c r="Q289">
        <v>14</v>
      </c>
      <c r="R289">
        <v>2</v>
      </c>
      <c r="S289">
        <v>287</v>
      </c>
      <c r="T289" s="1">
        <v>45944</v>
      </c>
      <c r="U289" s="1">
        <v>45944</v>
      </c>
      <c r="V289" t="s">
        <v>940</v>
      </c>
    </row>
    <row r="290" spans="1:22" x14ac:dyDescent="0.25">
      <c r="A290">
        <v>45945</v>
      </c>
      <c r="B290">
        <v>45658</v>
      </c>
      <c r="C290">
        <v>46022</v>
      </c>
      <c r="D290">
        <v>2025</v>
      </c>
      <c r="E290">
        <v>10</v>
      </c>
      <c r="F290">
        <v>45931</v>
      </c>
      <c r="G290" s="1">
        <v>45961</v>
      </c>
      <c r="H290">
        <v>31</v>
      </c>
      <c r="I290" t="s">
        <v>966</v>
      </c>
      <c r="J290">
        <v>4</v>
      </c>
      <c r="K290" s="1">
        <v>45931</v>
      </c>
      <c r="L290" s="1">
        <v>46022</v>
      </c>
      <c r="M290">
        <v>42</v>
      </c>
      <c r="N290">
        <v>3</v>
      </c>
      <c r="O290" s="1">
        <v>45942</v>
      </c>
      <c r="P290" s="1">
        <v>45948</v>
      </c>
      <c r="Q290">
        <v>15</v>
      </c>
      <c r="R290">
        <v>3</v>
      </c>
      <c r="S290">
        <v>288</v>
      </c>
      <c r="T290" s="1">
        <v>45945</v>
      </c>
      <c r="U290" s="1">
        <v>45945</v>
      </c>
      <c r="V290" t="s">
        <v>942</v>
      </c>
    </row>
    <row r="291" spans="1:22" x14ac:dyDescent="0.25">
      <c r="A291">
        <v>45946</v>
      </c>
      <c r="B291">
        <v>45658</v>
      </c>
      <c r="C291">
        <v>46022</v>
      </c>
      <c r="D291">
        <v>2025</v>
      </c>
      <c r="E291">
        <v>10</v>
      </c>
      <c r="F291">
        <v>45931</v>
      </c>
      <c r="G291" s="1">
        <v>45961</v>
      </c>
      <c r="H291">
        <v>31</v>
      </c>
      <c r="I291" t="s">
        <v>966</v>
      </c>
      <c r="J291">
        <v>4</v>
      </c>
      <c r="K291" s="1">
        <v>45931</v>
      </c>
      <c r="L291" s="1">
        <v>46022</v>
      </c>
      <c r="M291">
        <v>42</v>
      </c>
      <c r="N291">
        <v>3</v>
      </c>
      <c r="O291" s="1">
        <v>45942</v>
      </c>
      <c r="P291" s="1">
        <v>45948</v>
      </c>
      <c r="Q291">
        <v>16</v>
      </c>
      <c r="R291">
        <v>4</v>
      </c>
      <c r="S291">
        <v>289</v>
      </c>
      <c r="T291" s="1">
        <v>45946</v>
      </c>
      <c r="U291" s="1">
        <v>45946</v>
      </c>
      <c r="V291" t="s">
        <v>943</v>
      </c>
    </row>
    <row r="292" spans="1:22" x14ac:dyDescent="0.25">
      <c r="A292">
        <v>45947</v>
      </c>
      <c r="B292">
        <v>45658</v>
      </c>
      <c r="C292">
        <v>46022</v>
      </c>
      <c r="D292">
        <v>2025</v>
      </c>
      <c r="E292">
        <v>10</v>
      </c>
      <c r="F292">
        <v>45931</v>
      </c>
      <c r="G292" s="1">
        <v>45961</v>
      </c>
      <c r="H292">
        <v>31</v>
      </c>
      <c r="I292" t="s">
        <v>966</v>
      </c>
      <c r="J292">
        <v>4</v>
      </c>
      <c r="K292" s="1">
        <v>45931</v>
      </c>
      <c r="L292" s="1">
        <v>46022</v>
      </c>
      <c r="M292">
        <v>42</v>
      </c>
      <c r="N292">
        <v>3</v>
      </c>
      <c r="O292" s="1">
        <v>45942</v>
      </c>
      <c r="P292" s="1">
        <v>45948</v>
      </c>
      <c r="Q292">
        <v>17</v>
      </c>
      <c r="R292">
        <v>5</v>
      </c>
      <c r="S292">
        <v>290</v>
      </c>
      <c r="T292" s="1">
        <v>45947</v>
      </c>
      <c r="U292" s="1">
        <v>45947</v>
      </c>
      <c r="V292" t="s">
        <v>666</v>
      </c>
    </row>
    <row r="293" spans="1:22" x14ac:dyDescent="0.25">
      <c r="A293">
        <v>45948</v>
      </c>
      <c r="B293">
        <v>45658</v>
      </c>
      <c r="C293">
        <v>46022</v>
      </c>
      <c r="D293">
        <v>2025</v>
      </c>
      <c r="E293">
        <v>10</v>
      </c>
      <c r="F293">
        <v>45931</v>
      </c>
      <c r="G293" s="1">
        <v>45961</v>
      </c>
      <c r="H293">
        <v>31</v>
      </c>
      <c r="I293" t="s">
        <v>966</v>
      </c>
      <c r="J293">
        <v>4</v>
      </c>
      <c r="K293" s="1">
        <v>45931</v>
      </c>
      <c r="L293" s="1">
        <v>46022</v>
      </c>
      <c r="M293">
        <v>42</v>
      </c>
      <c r="N293">
        <v>3</v>
      </c>
      <c r="O293" s="1">
        <v>45942</v>
      </c>
      <c r="P293" s="1">
        <v>45948</v>
      </c>
      <c r="Q293">
        <v>18</v>
      </c>
      <c r="R293">
        <v>6</v>
      </c>
      <c r="S293">
        <v>291</v>
      </c>
      <c r="T293" s="1">
        <v>45948</v>
      </c>
      <c r="U293" s="1">
        <v>45948</v>
      </c>
      <c r="V293" t="s">
        <v>944</v>
      </c>
    </row>
    <row r="294" spans="1:22" x14ac:dyDescent="0.25">
      <c r="A294">
        <v>45949</v>
      </c>
      <c r="B294">
        <v>45658</v>
      </c>
      <c r="C294">
        <v>46022</v>
      </c>
      <c r="D294">
        <v>2025</v>
      </c>
      <c r="E294">
        <v>10</v>
      </c>
      <c r="F294">
        <v>45931</v>
      </c>
      <c r="G294" s="1">
        <v>45961</v>
      </c>
      <c r="H294">
        <v>31</v>
      </c>
      <c r="I294" t="s">
        <v>966</v>
      </c>
      <c r="J294">
        <v>4</v>
      </c>
      <c r="K294" s="1">
        <v>45931</v>
      </c>
      <c r="L294" s="1">
        <v>46022</v>
      </c>
      <c r="M294">
        <v>43</v>
      </c>
      <c r="N294">
        <v>4</v>
      </c>
      <c r="O294" s="1">
        <v>45949</v>
      </c>
      <c r="P294" s="1">
        <v>45955</v>
      </c>
      <c r="Q294">
        <v>19</v>
      </c>
      <c r="R294">
        <v>0</v>
      </c>
      <c r="S294">
        <v>292</v>
      </c>
      <c r="T294" s="1">
        <v>45949</v>
      </c>
      <c r="U294" s="1">
        <v>45949</v>
      </c>
      <c r="V294" t="s">
        <v>945</v>
      </c>
    </row>
    <row r="295" spans="1:22" x14ac:dyDescent="0.25">
      <c r="A295">
        <v>45950</v>
      </c>
      <c r="B295">
        <v>45658</v>
      </c>
      <c r="C295">
        <v>46022</v>
      </c>
      <c r="D295">
        <v>2025</v>
      </c>
      <c r="E295">
        <v>10</v>
      </c>
      <c r="F295">
        <v>45931</v>
      </c>
      <c r="G295" s="1">
        <v>45961</v>
      </c>
      <c r="H295">
        <v>31</v>
      </c>
      <c r="I295" t="s">
        <v>966</v>
      </c>
      <c r="J295">
        <v>4</v>
      </c>
      <c r="K295" s="1">
        <v>45931</v>
      </c>
      <c r="L295" s="1">
        <v>46022</v>
      </c>
      <c r="M295">
        <v>43</v>
      </c>
      <c r="N295">
        <v>4</v>
      </c>
      <c r="O295" s="1">
        <v>45949</v>
      </c>
      <c r="P295" s="1">
        <v>45955</v>
      </c>
      <c r="Q295">
        <v>20</v>
      </c>
      <c r="R295">
        <v>1</v>
      </c>
      <c r="S295">
        <v>293</v>
      </c>
      <c r="T295" s="1">
        <v>45950</v>
      </c>
      <c r="U295" s="1">
        <v>45950</v>
      </c>
      <c r="V295" t="s">
        <v>941</v>
      </c>
    </row>
    <row r="296" spans="1:22" x14ac:dyDescent="0.25">
      <c r="A296">
        <v>45951</v>
      </c>
      <c r="B296">
        <v>45658</v>
      </c>
      <c r="C296">
        <v>46022</v>
      </c>
      <c r="D296">
        <v>2025</v>
      </c>
      <c r="E296">
        <v>10</v>
      </c>
      <c r="F296">
        <v>45931</v>
      </c>
      <c r="G296" s="1">
        <v>45961</v>
      </c>
      <c r="H296">
        <v>31</v>
      </c>
      <c r="I296" t="s">
        <v>966</v>
      </c>
      <c r="J296">
        <v>4</v>
      </c>
      <c r="K296" s="1">
        <v>45931</v>
      </c>
      <c r="L296" s="1">
        <v>46022</v>
      </c>
      <c r="M296">
        <v>43</v>
      </c>
      <c r="N296">
        <v>4</v>
      </c>
      <c r="O296" s="1">
        <v>45949</v>
      </c>
      <c r="P296" s="1">
        <v>45955</v>
      </c>
      <c r="Q296">
        <v>21</v>
      </c>
      <c r="R296">
        <v>2</v>
      </c>
      <c r="S296">
        <v>294</v>
      </c>
      <c r="T296" s="1">
        <v>45951</v>
      </c>
      <c r="U296" s="1">
        <v>45951</v>
      </c>
      <c r="V296" t="s">
        <v>940</v>
      </c>
    </row>
    <row r="297" spans="1:22" x14ac:dyDescent="0.25">
      <c r="A297">
        <v>45952</v>
      </c>
      <c r="B297">
        <v>45658</v>
      </c>
      <c r="C297">
        <v>46022</v>
      </c>
      <c r="D297">
        <v>2025</v>
      </c>
      <c r="E297">
        <v>10</v>
      </c>
      <c r="F297">
        <v>45931</v>
      </c>
      <c r="G297" s="1">
        <v>45961</v>
      </c>
      <c r="H297">
        <v>31</v>
      </c>
      <c r="I297" t="s">
        <v>966</v>
      </c>
      <c r="J297">
        <v>4</v>
      </c>
      <c r="K297" s="1">
        <v>45931</v>
      </c>
      <c r="L297" s="1">
        <v>46022</v>
      </c>
      <c r="M297">
        <v>43</v>
      </c>
      <c r="N297">
        <v>4</v>
      </c>
      <c r="O297" s="1">
        <v>45949</v>
      </c>
      <c r="P297" s="1">
        <v>45955</v>
      </c>
      <c r="Q297">
        <v>22</v>
      </c>
      <c r="R297">
        <v>3</v>
      </c>
      <c r="S297">
        <v>295</v>
      </c>
      <c r="T297" s="1">
        <v>45952</v>
      </c>
      <c r="U297" s="1">
        <v>45952</v>
      </c>
      <c r="V297" t="s">
        <v>942</v>
      </c>
    </row>
    <row r="298" spans="1:22" x14ac:dyDescent="0.25">
      <c r="A298">
        <v>45953</v>
      </c>
      <c r="B298">
        <v>45658</v>
      </c>
      <c r="C298">
        <v>46022</v>
      </c>
      <c r="D298">
        <v>2025</v>
      </c>
      <c r="E298">
        <v>10</v>
      </c>
      <c r="F298">
        <v>45931</v>
      </c>
      <c r="G298" s="1">
        <v>45961</v>
      </c>
      <c r="H298">
        <v>31</v>
      </c>
      <c r="I298" t="s">
        <v>966</v>
      </c>
      <c r="J298">
        <v>4</v>
      </c>
      <c r="K298" s="1">
        <v>45931</v>
      </c>
      <c r="L298" s="1">
        <v>46022</v>
      </c>
      <c r="M298">
        <v>43</v>
      </c>
      <c r="N298">
        <v>4</v>
      </c>
      <c r="O298" s="1">
        <v>45949</v>
      </c>
      <c r="P298" s="1">
        <v>45955</v>
      </c>
      <c r="Q298">
        <v>23</v>
      </c>
      <c r="R298">
        <v>4</v>
      </c>
      <c r="S298">
        <v>296</v>
      </c>
      <c r="T298" s="1">
        <v>45953</v>
      </c>
      <c r="U298" s="1">
        <v>45953</v>
      </c>
      <c r="V298" t="s">
        <v>943</v>
      </c>
    </row>
    <row r="299" spans="1:22" x14ac:dyDescent="0.25">
      <c r="A299">
        <v>45954</v>
      </c>
      <c r="B299">
        <v>45658</v>
      </c>
      <c r="C299">
        <v>46022</v>
      </c>
      <c r="D299">
        <v>2025</v>
      </c>
      <c r="E299">
        <v>10</v>
      </c>
      <c r="F299">
        <v>45931</v>
      </c>
      <c r="G299" s="1">
        <v>45961</v>
      </c>
      <c r="H299">
        <v>31</v>
      </c>
      <c r="I299" t="s">
        <v>966</v>
      </c>
      <c r="J299">
        <v>4</v>
      </c>
      <c r="K299" s="1">
        <v>45931</v>
      </c>
      <c r="L299" s="1">
        <v>46022</v>
      </c>
      <c r="M299">
        <v>43</v>
      </c>
      <c r="N299">
        <v>4</v>
      </c>
      <c r="O299" s="1">
        <v>45949</v>
      </c>
      <c r="P299" s="1">
        <v>45955</v>
      </c>
      <c r="Q299">
        <v>24</v>
      </c>
      <c r="R299">
        <v>5</v>
      </c>
      <c r="S299">
        <v>297</v>
      </c>
      <c r="T299" s="1">
        <v>45954</v>
      </c>
      <c r="U299" s="1">
        <v>45954</v>
      </c>
      <c r="V299" t="s">
        <v>666</v>
      </c>
    </row>
    <row r="300" spans="1:22" x14ac:dyDescent="0.25">
      <c r="A300">
        <v>45955</v>
      </c>
      <c r="B300">
        <v>45658</v>
      </c>
      <c r="C300">
        <v>46022</v>
      </c>
      <c r="D300">
        <v>2025</v>
      </c>
      <c r="E300">
        <v>10</v>
      </c>
      <c r="F300">
        <v>45931</v>
      </c>
      <c r="G300" s="1">
        <v>45961</v>
      </c>
      <c r="H300">
        <v>31</v>
      </c>
      <c r="I300" t="s">
        <v>966</v>
      </c>
      <c r="J300">
        <v>4</v>
      </c>
      <c r="K300" s="1">
        <v>45931</v>
      </c>
      <c r="L300" s="1">
        <v>46022</v>
      </c>
      <c r="M300">
        <v>43</v>
      </c>
      <c r="N300">
        <v>4</v>
      </c>
      <c r="O300" s="1">
        <v>45949</v>
      </c>
      <c r="P300" s="1">
        <v>45955</v>
      </c>
      <c r="Q300">
        <v>25</v>
      </c>
      <c r="R300">
        <v>6</v>
      </c>
      <c r="S300">
        <v>298</v>
      </c>
      <c r="T300" s="1">
        <v>45955</v>
      </c>
      <c r="U300" s="1">
        <v>45955</v>
      </c>
      <c r="V300" t="s">
        <v>944</v>
      </c>
    </row>
    <row r="301" spans="1:22" x14ac:dyDescent="0.25">
      <c r="A301">
        <v>45956</v>
      </c>
      <c r="B301">
        <v>45658</v>
      </c>
      <c r="C301">
        <v>46022</v>
      </c>
      <c r="D301">
        <v>2025</v>
      </c>
      <c r="E301">
        <v>10</v>
      </c>
      <c r="F301">
        <v>45931</v>
      </c>
      <c r="G301" s="1">
        <v>45961</v>
      </c>
      <c r="H301">
        <v>31</v>
      </c>
      <c r="I301" t="s">
        <v>966</v>
      </c>
      <c r="J301">
        <v>4</v>
      </c>
      <c r="K301" s="1">
        <v>45931</v>
      </c>
      <c r="L301" s="1">
        <v>46022</v>
      </c>
      <c r="M301">
        <v>44</v>
      </c>
      <c r="N301">
        <v>5</v>
      </c>
      <c r="O301" s="1">
        <v>45956</v>
      </c>
      <c r="P301" s="1">
        <v>45962</v>
      </c>
      <c r="Q301">
        <v>26</v>
      </c>
      <c r="R301">
        <v>0</v>
      </c>
      <c r="S301">
        <v>299</v>
      </c>
      <c r="T301" s="1">
        <v>45956</v>
      </c>
      <c r="U301" s="1">
        <v>45956</v>
      </c>
      <c r="V301" t="s">
        <v>945</v>
      </c>
    </row>
    <row r="302" spans="1:22" x14ac:dyDescent="0.25">
      <c r="A302">
        <v>45957</v>
      </c>
      <c r="B302">
        <v>45658</v>
      </c>
      <c r="C302">
        <v>46022</v>
      </c>
      <c r="D302">
        <v>2025</v>
      </c>
      <c r="E302">
        <v>10</v>
      </c>
      <c r="F302">
        <v>45931</v>
      </c>
      <c r="G302" s="1">
        <v>45961</v>
      </c>
      <c r="H302">
        <v>31</v>
      </c>
      <c r="I302" t="s">
        <v>966</v>
      </c>
      <c r="J302">
        <v>4</v>
      </c>
      <c r="K302" s="1">
        <v>45931</v>
      </c>
      <c r="L302" s="1">
        <v>46022</v>
      </c>
      <c r="M302">
        <v>44</v>
      </c>
      <c r="N302">
        <v>5</v>
      </c>
      <c r="O302" s="1">
        <v>45956</v>
      </c>
      <c r="P302" s="1">
        <v>45962</v>
      </c>
      <c r="Q302">
        <v>27</v>
      </c>
      <c r="R302">
        <v>1</v>
      </c>
      <c r="S302">
        <v>300</v>
      </c>
      <c r="T302" s="1">
        <v>45957</v>
      </c>
      <c r="U302" s="1">
        <v>45957</v>
      </c>
      <c r="V302" t="s">
        <v>941</v>
      </c>
    </row>
    <row r="303" spans="1:22" x14ac:dyDescent="0.25">
      <c r="A303">
        <v>45958</v>
      </c>
      <c r="B303">
        <v>45658</v>
      </c>
      <c r="C303">
        <v>46022</v>
      </c>
      <c r="D303">
        <v>2025</v>
      </c>
      <c r="E303">
        <v>10</v>
      </c>
      <c r="F303">
        <v>45931</v>
      </c>
      <c r="G303" s="1">
        <v>45961</v>
      </c>
      <c r="H303">
        <v>31</v>
      </c>
      <c r="I303" t="s">
        <v>966</v>
      </c>
      <c r="J303">
        <v>4</v>
      </c>
      <c r="K303" s="1">
        <v>45931</v>
      </c>
      <c r="L303" s="1">
        <v>46022</v>
      </c>
      <c r="M303">
        <v>44</v>
      </c>
      <c r="N303">
        <v>5</v>
      </c>
      <c r="O303" s="1">
        <v>45956</v>
      </c>
      <c r="P303" s="1">
        <v>45962</v>
      </c>
      <c r="Q303">
        <v>28</v>
      </c>
      <c r="R303">
        <v>2</v>
      </c>
      <c r="S303">
        <v>301</v>
      </c>
      <c r="T303" s="1">
        <v>45958</v>
      </c>
      <c r="U303" s="1">
        <v>45958</v>
      </c>
      <c r="V303" t="s">
        <v>940</v>
      </c>
    </row>
    <row r="304" spans="1:22" x14ac:dyDescent="0.25">
      <c r="A304">
        <v>45959</v>
      </c>
      <c r="B304">
        <v>45658</v>
      </c>
      <c r="C304">
        <v>46022</v>
      </c>
      <c r="D304">
        <v>2025</v>
      </c>
      <c r="E304">
        <v>10</v>
      </c>
      <c r="F304">
        <v>45931</v>
      </c>
      <c r="G304" s="1">
        <v>45961</v>
      </c>
      <c r="H304">
        <v>31</v>
      </c>
      <c r="I304" t="s">
        <v>966</v>
      </c>
      <c r="J304">
        <v>4</v>
      </c>
      <c r="K304" s="1">
        <v>45931</v>
      </c>
      <c r="L304" s="1">
        <v>46022</v>
      </c>
      <c r="M304">
        <v>44</v>
      </c>
      <c r="N304">
        <v>5</v>
      </c>
      <c r="O304" s="1">
        <v>45956</v>
      </c>
      <c r="P304" s="1">
        <v>45962</v>
      </c>
      <c r="Q304">
        <v>29</v>
      </c>
      <c r="R304">
        <v>3</v>
      </c>
      <c r="S304">
        <v>302</v>
      </c>
      <c r="T304" s="1">
        <v>45959</v>
      </c>
      <c r="U304" s="1">
        <v>45959</v>
      </c>
      <c r="V304" t="s">
        <v>942</v>
      </c>
    </row>
    <row r="305" spans="1:22" x14ac:dyDescent="0.25">
      <c r="A305">
        <v>45960</v>
      </c>
      <c r="B305">
        <v>45658</v>
      </c>
      <c r="C305">
        <v>46022</v>
      </c>
      <c r="D305">
        <v>2025</v>
      </c>
      <c r="E305">
        <v>10</v>
      </c>
      <c r="F305">
        <v>45931</v>
      </c>
      <c r="G305" s="1">
        <v>45961</v>
      </c>
      <c r="H305">
        <v>31</v>
      </c>
      <c r="I305" t="s">
        <v>966</v>
      </c>
      <c r="J305">
        <v>4</v>
      </c>
      <c r="K305" s="1">
        <v>45931</v>
      </c>
      <c r="L305" s="1">
        <v>46022</v>
      </c>
      <c r="M305">
        <v>44</v>
      </c>
      <c r="N305">
        <v>5</v>
      </c>
      <c r="O305" s="1">
        <v>45956</v>
      </c>
      <c r="P305" s="1">
        <v>45962</v>
      </c>
      <c r="Q305">
        <v>30</v>
      </c>
      <c r="R305">
        <v>4</v>
      </c>
      <c r="S305">
        <v>303</v>
      </c>
      <c r="T305" s="1">
        <v>45960</v>
      </c>
      <c r="U305" s="1">
        <v>45960</v>
      </c>
      <c r="V305" t="s">
        <v>943</v>
      </c>
    </row>
    <row r="306" spans="1:22" x14ac:dyDescent="0.25">
      <c r="A306">
        <v>45961</v>
      </c>
      <c r="B306">
        <v>45658</v>
      </c>
      <c r="C306">
        <v>46022</v>
      </c>
      <c r="D306">
        <v>2025</v>
      </c>
      <c r="E306">
        <v>10</v>
      </c>
      <c r="F306">
        <v>45931</v>
      </c>
      <c r="G306" s="1">
        <v>45961</v>
      </c>
      <c r="H306">
        <v>31</v>
      </c>
      <c r="I306" t="s">
        <v>966</v>
      </c>
      <c r="J306">
        <v>4</v>
      </c>
      <c r="K306" s="1">
        <v>45931</v>
      </c>
      <c r="L306" s="1">
        <v>46022</v>
      </c>
      <c r="M306">
        <v>44</v>
      </c>
      <c r="N306">
        <v>5</v>
      </c>
      <c r="O306" s="1">
        <v>45956</v>
      </c>
      <c r="P306" s="1">
        <v>45962</v>
      </c>
      <c r="Q306">
        <v>31</v>
      </c>
      <c r="R306">
        <v>5</v>
      </c>
      <c r="S306">
        <v>304</v>
      </c>
      <c r="T306" s="1">
        <v>45961</v>
      </c>
      <c r="U306" s="1">
        <v>45961</v>
      </c>
      <c r="V306" t="s">
        <v>666</v>
      </c>
    </row>
    <row r="307" spans="1:22" x14ac:dyDescent="0.25">
      <c r="A307">
        <v>45962</v>
      </c>
      <c r="B307">
        <v>45658</v>
      </c>
      <c r="C307">
        <v>46022</v>
      </c>
      <c r="D307">
        <v>2025</v>
      </c>
      <c r="E307">
        <v>11</v>
      </c>
      <c r="F307">
        <v>45962</v>
      </c>
      <c r="G307" s="1">
        <v>45991</v>
      </c>
      <c r="H307">
        <v>30</v>
      </c>
      <c r="I307" t="s">
        <v>967</v>
      </c>
      <c r="J307">
        <v>4</v>
      </c>
      <c r="K307" s="1">
        <v>45931</v>
      </c>
      <c r="L307" s="1">
        <v>46022</v>
      </c>
      <c r="M307">
        <v>44</v>
      </c>
      <c r="N307">
        <v>1</v>
      </c>
      <c r="O307" s="1">
        <v>45956</v>
      </c>
      <c r="P307" s="1">
        <v>45962</v>
      </c>
      <c r="Q307">
        <v>1</v>
      </c>
      <c r="R307">
        <v>6</v>
      </c>
      <c r="S307">
        <v>305</v>
      </c>
      <c r="T307" s="1">
        <v>45962</v>
      </c>
      <c r="U307" s="1">
        <v>45962</v>
      </c>
      <c r="V307" t="s">
        <v>944</v>
      </c>
    </row>
    <row r="308" spans="1:22" x14ac:dyDescent="0.25">
      <c r="A308">
        <v>45963</v>
      </c>
      <c r="B308">
        <v>45658</v>
      </c>
      <c r="C308">
        <v>46022</v>
      </c>
      <c r="D308">
        <v>2025</v>
      </c>
      <c r="E308">
        <v>11</v>
      </c>
      <c r="F308">
        <v>45962</v>
      </c>
      <c r="G308" s="1">
        <v>45991</v>
      </c>
      <c r="H308">
        <v>30</v>
      </c>
      <c r="I308" t="s">
        <v>967</v>
      </c>
      <c r="J308">
        <v>4</v>
      </c>
      <c r="K308" s="1">
        <v>45931</v>
      </c>
      <c r="L308" s="1">
        <v>46022</v>
      </c>
      <c r="M308">
        <v>45</v>
      </c>
      <c r="N308">
        <v>2</v>
      </c>
      <c r="O308" s="1">
        <v>45963</v>
      </c>
      <c r="P308" s="1">
        <v>45969</v>
      </c>
      <c r="Q308">
        <v>2</v>
      </c>
      <c r="R308">
        <v>0</v>
      </c>
      <c r="S308">
        <v>306</v>
      </c>
      <c r="T308" s="1">
        <v>45963</v>
      </c>
      <c r="U308" s="1">
        <v>45963</v>
      </c>
      <c r="V308" t="s">
        <v>945</v>
      </c>
    </row>
    <row r="309" spans="1:22" x14ac:dyDescent="0.25">
      <c r="A309">
        <v>45964</v>
      </c>
      <c r="B309">
        <v>45658</v>
      </c>
      <c r="C309">
        <v>46022</v>
      </c>
      <c r="D309">
        <v>2025</v>
      </c>
      <c r="E309">
        <v>11</v>
      </c>
      <c r="F309">
        <v>45962</v>
      </c>
      <c r="G309" s="1">
        <v>45991</v>
      </c>
      <c r="H309">
        <v>30</v>
      </c>
      <c r="I309" t="s">
        <v>967</v>
      </c>
      <c r="J309">
        <v>4</v>
      </c>
      <c r="K309" s="1">
        <v>45931</v>
      </c>
      <c r="L309" s="1">
        <v>46022</v>
      </c>
      <c r="M309">
        <v>45</v>
      </c>
      <c r="N309">
        <v>2</v>
      </c>
      <c r="O309" s="1">
        <v>45963</v>
      </c>
      <c r="P309" s="1">
        <v>45969</v>
      </c>
      <c r="Q309">
        <v>3</v>
      </c>
      <c r="R309">
        <v>1</v>
      </c>
      <c r="S309">
        <v>307</v>
      </c>
      <c r="T309" s="1">
        <v>45964</v>
      </c>
      <c r="U309" s="1">
        <v>45964</v>
      </c>
      <c r="V309" t="s">
        <v>941</v>
      </c>
    </row>
    <row r="310" spans="1:22" x14ac:dyDescent="0.25">
      <c r="A310">
        <v>45965</v>
      </c>
      <c r="B310">
        <v>45658</v>
      </c>
      <c r="C310">
        <v>46022</v>
      </c>
      <c r="D310">
        <v>2025</v>
      </c>
      <c r="E310">
        <v>11</v>
      </c>
      <c r="F310">
        <v>45962</v>
      </c>
      <c r="G310" s="1">
        <v>45991</v>
      </c>
      <c r="H310">
        <v>30</v>
      </c>
      <c r="I310" t="s">
        <v>967</v>
      </c>
      <c r="J310">
        <v>4</v>
      </c>
      <c r="K310" s="1">
        <v>45931</v>
      </c>
      <c r="L310" s="1">
        <v>46022</v>
      </c>
      <c r="M310">
        <v>45</v>
      </c>
      <c r="N310">
        <v>2</v>
      </c>
      <c r="O310" s="1">
        <v>45963</v>
      </c>
      <c r="P310" s="1">
        <v>45969</v>
      </c>
      <c r="Q310">
        <v>4</v>
      </c>
      <c r="R310">
        <v>2</v>
      </c>
      <c r="S310">
        <v>308</v>
      </c>
      <c r="T310" s="1">
        <v>45965</v>
      </c>
      <c r="U310" s="1">
        <v>45965</v>
      </c>
      <c r="V310" t="s">
        <v>940</v>
      </c>
    </row>
    <row r="311" spans="1:22" x14ac:dyDescent="0.25">
      <c r="A311">
        <v>45966</v>
      </c>
      <c r="B311">
        <v>45658</v>
      </c>
      <c r="C311">
        <v>46022</v>
      </c>
      <c r="D311">
        <v>2025</v>
      </c>
      <c r="E311">
        <v>11</v>
      </c>
      <c r="F311">
        <v>45962</v>
      </c>
      <c r="G311" s="1">
        <v>45991</v>
      </c>
      <c r="H311">
        <v>30</v>
      </c>
      <c r="I311" t="s">
        <v>967</v>
      </c>
      <c r="J311">
        <v>4</v>
      </c>
      <c r="K311" s="1">
        <v>45931</v>
      </c>
      <c r="L311" s="1">
        <v>46022</v>
      </c>
      <c r="M311">
        <v>45</v>
      </c>
      <c r="N311">
        <v>2</v>
      </c>
      <c r="O311" s="1">
        <v>45963</v>
      </c>
      <c r="P311" s="1">
        <v>45969</v>
      </c>
      <c r="Q311">
        <v>5</v>
      </c>
      <c r="R311">
        <v>3</v>
      </c>
      <c r="S311">
        <v>309</v>
      </c>
      <c r="T311" s="1">
        <v>45966</v>
      </c>
      <c r="U311" s="1">
        <v>45966</v>
      </c>
      <c r="V311" t="s">
        <v>942</v>
      </c>
    </row>
    <row r="312" spans="1:22" x14ac:dyDescent="0.25">
      <c r="A312">
        <v>45967</v>
      </c>
      <c r="B312">
        <v>45658</v>
      </c>
      <c r="C312">
        <v>46022</v>
      </c>
      <c r="D312">
        <v>2025</v>
      </c>
      <c r="E312">
        <v>11</v>
      </c>
      <c r="F312">
        <v>45962</v>
      </c>
      <c r="G312" s="1">
        <v>45991</v>
      </c>
      <c r="H312">
        <v>30</v>
      </c>
      <c r="I312" t="s">
        <v>967</v>
      </c>
      <c r="J312">
        <v>4</v>
      </c>
      <c r="K312" s="1">
        <v>45931</v>
      </c>
      <c r="L312" s="1">
        <v>46022</v>
      </c>
      <c r="M312">
        <v>45</v>
      </c>
      <c r="N312">
        <v>2</v>
      </c>
      <c r="O312" s="1">
        <v>45963</v>
      </c>
      <c r="P312" s="1">
        <v>45969</v>
      </c>
      <c r="Q312">
        <v>6</v>
      </c>
      <c r="R312">
        <v>4</v>
      </c>
      <c r="S312">
        <v>310</v>
      </c>
      <c r="T312" s="1">
        <v>45967</v>
      </c>
      <c r="U312" s="1">
        <v>45967</v>
      </c>
      <c r="V312" t="s">
        <v>943</v>
      </c>
    </row>
    <row r="313" spans="1:22" x14ac:dyDescent="0.25">
      <c r="A313">
        <v>45968</v>
      </c>
      <c r="B313">
        <v>45658</v>
      </c>
      <c r="C313">
        <v>46022</v>
      </c>
      <c r="D313">
        <v>2025</v>
      </c>
      <c r="E313">
        <v>11</v>
      </c>
      <c r="F313">
        <v>45962</v>
      </c>
      <c r="G313" s="1">
        <v>45991</v>
      </c>
      <c r="H313">
        <v>30</v>
      </c>
      <c r="I313" t="s">
        <v>967</v>
      </c>
      <c r="J313">
        <v>4</v>
      </c>
      <c r="K313" s="1">
        <v>45931</v>
      </c>
      <c r="L313" s="1">
        <v>46022</v>
      </c>
      <c r="M313">
        <v>45</v>
      </c>
      <c r="N313">
        <v>2</v>
      </c>
      <c r="O313" s="1">
        <v>45963</v>
      </c>
      <c r="P313" s="1">
        <v>45969</v>
      </c>
      <c r="Q313">
        <v>7</v>
      </c>
      <c r="R313">
        <v>5</v>
      </c>
      <c r="S313">
        <v>311</v>
      </c>
      <c r="T313" s="1">
        <v>45968</v>
      </c>
      <c r="U313" s="1">
        <v>45968</v>
      </c>
      <c r="V313" t="s">
        <v>666</v>
      </c>
    </row>
    <row r="314" spans="1:22" x14ac:dyDescent="0.25">
      <c r="A314">
        <v>45969</v>
      </c>
      <c r="B314">
        <v>45658</v>
      </c>
      <c r="C314">
        <v>46022</v>
      </c>
      <c r="D314">
        <v>2025</v>
      </c>
      <c r="E314">
        <v>11</v>
      </c>
      <c r="F314">
        <v>45962</v>
      </c>
      <c r="G314" s="1">
        <v>45991</v>
      </c>
      <c r="H314">
        <v>30</v>
      </c>
      <c r="I314" t="s">
        <v>967</v>
      </c>
      <c r="J314">
        <v>4</v>
      </c>
      <c r="K314" s="1">
        <v>45931</v>
      </c>
      <c r="L314" s="1">
        <v>46022</v>
      </c>
      <c r="M314">
        <v>45</v>
      </c>
      <c r="N314">
        <v>2</v>
      </c>
      <c r="O314" s="1">
        <v>45963</v>
      </c>
      <c r="P314" s="1">
        <v>45969</v>
      </c>
      <c r="Q314">
        <v>8</v>
      </c>
      <c r="R314">
        <v>6</v>
      </c>
      <c r="S314">
        <v>312</v>
      </c>
      <c r="T314" s="1">
        <v>45969</v>
      </c>
      <c r="U314" s="1">
        <v>45969</v>
      </c>
      <c r="V314" t="s">
        <v>944</v>
      </c>
    </row>
    <row r="315" spans="1:22" x14ac:dyDescent="0.25">
      <c r="A315">
        <v>45970</v>
      </c>
      <c r="B315">
        <v>45658</v>
      </c>
      <c r="C315">
        <v>46022</v>
      </c>
      <c r="D315">
        <v>2025</v>
      </c>
      <c r="E315">
        <v>11</v>
      </c>
      <c r="F315">
        <v>45962</v>
      </c>
      <c r="G315" s="1">
        <v>45991</v>
      </c>
      <c r="H315">
        <v>30</v>
      </c>
      <c r="I315" t="s">
        <v>967</v>
      </c>
      <c r="J315">
        <v>4</v>
      </c>
      <c r="K315" s="1">
        <v>45931</v>
      </c>
      <c r="L315" s="1">
        <v>46022</v>
      </c>
      <c r="M315">
        <v>46</v>
      </c>
      <c r="N315">
        <v>3</v>
      </c>
      <c r="O315" s="1">
        <v>45970</v>
      </c>
      <c r="P315" s="1">
        <v>45976</v>
      </c>
      <c r="Q315">
        <v>9</v>
      </c>
      <c r="R315">
        <v>0</v>
      </c>
      <c r="S315">
        <v>313</v>
      </c>
      <c r="T315" s="1">
        <v>45970</v>
      </c>
      <c r="U315" s="1">
        <v>45970</v>
      </c>
      <c r="V315" t="s">
        <v>945</v>
      </c>
    </row>
    <row r="316" spans="1:22" x14ac:dyDescent="0.25">
      <c r="A316">
        <v>45971</v>
      </c>
      <c r="B316">
        <v>45658</v>
      </c>
      <c r="C316">
        <v>46022</v>
      </c>
      <c r="D316">
        <v>2025</v>
      </c>
      <c r="E316">
        <v>11</v>
      </c>
      <c r="F316">
        <v>45962</v>
      </c>
      <c r="G316" s="1">
        <v>45991</v>
      </c>
      <c r="H316">
        <v>30</v>
      </c>
      <c r="I316" t="s">
        <v>967</v>
      </c>
      <c r="J316">
        <v>4</v>
      </c>
      <c r="K316" s="1">
        <v>45931</v>
      </c>
      <c r="L316" s="1">
        <v>46022</v>
      </c>
      <c r="M316">
        <v>46</v>
      </c>
      <c r="N316">
        <v>3</v>
      </c>
      <c r="O316" s="1">
        <v>45970</v>
      </c>
      <c r="P316" s="1">
        <v>45976</v>
      </c>
      <c r="Q316">
        <v>10</v>
      </c>
      <c r="R316">
        <v>1</v>
      </c>
      <c r="S316">
        <v>314</v>
      </c>
      <c r="T316" s="1">
        <v>45971</v>
      </c>
      <c r="U316" s="1">
        <v>45971</v>
      </c>
      <c r="V316" t="s">
        <v>941</v>
      </c>
    </row>
    <row r="317" spans="1:22" x14ac:dyDescent="0.25">
      <c r="A317">
        <v>45972</v>
      </c>
      <c r="B317">
        <v>45658</v>
      </c>
      <c r="C317">
        <v>46022</v>
      </c>
      <c r="D317">
        <v>2025</v>
      </c>
      <c r="E317">
        <v>11</v>
      </c>
      <c r="F317">
        <v>45962</v>
      </c>
      <c r="G317" s="1">
        <v>45991</v>
      </c>
      <c r="H317">
        <v>30</v>
      </c>
      <c r="I317" t="s">
        <v>967</v>
      </c>
      <c r="J317">
        <v>4</v>
      </c>
      <c r="K317" s="1">
        <v>45931</v>
      </c>
      <c r="L317" s="1">
        <v>46022</v>
      </c>
      <c r="M317">
        <v>46</v>
      </c>
      <c r="N317">
        <v>3</v>
      </c>
      <c r="O317" s="1">
        <v>45970</v>
      </c>
      <c r="P317" s="1">
        <v>45976</v>
      </c>
      <c r="Q317">
        <v>11</v>
      </c>
      <c r="R317">
        <v>2</v>
      </c>
      <c r="S317">
        <v>315</v>
      </c>
      <c r="T317" s="1">
        <v>45972</v>
      </c>
      <c r="U317" s="1">
        <v>45972</v>
      </c>
      <c r="V317" t="s">
        <v>940</v>
      </c>
    </row>
    <row r="318" spans="1:22" x14ac:dyDescent="0.25">
      <c r="A318">
        <v>45973</v>
      </c>
      <c r="B318">
        <v>45658</v>
      </c>
      <c r="C318">
        <v>46022</v>
      </c>
      <c r="D318">
        <v>2025</v>
      </c>
      <c r="E318">
        <v>11</v>
      </c>
      <c r="F318">
        <v>45962</v>
      </c>
      <c r="G318" s="1">
        <v>45991</v>
      </c>
      <c r="H318">
        <v>30</v>
      </c>
      <c r="I318" t="s">
        <v>967</v>
      </c>
      <c r="J318">
        <v>4</v>
      </c>
      <c r="K318" s="1">
        <v>45931</v>
      </c>
      <c r="L318" s="1">
        <v>46022</v>
      </c>
      <c r="M318">
        <v>46</v>
      </c>
      <c r="N318">
        <v>3</v>
      </c>
      <c r="O318" s="1">
        <v>45970</v>
      </c>
      <c r="P318" s="1">
        <v>45976</v>
      </c>
      <c r="Q318">
        <v>12</v>
      </c>
      <c r="R318">
        <v>3</v>
      </c>
      <c r="S318">
        <v>316</v>
      </c>
      <c r="T318" s="1">
        <v>45973</v>
      </c>
      <c r="U318" s="1">
        <v>45973</v>
      </c>
      <c r="V318" t="s">
        <v>942</v>
      </c>
    </row>
    <row r="319" spans="1:22" x14ac:dyDescent="0.25">
      <c r="A319">
        <v>45974</v>
      </c>
      <c r="B319">
        <v>45658</v>
      </c>
      <c r="C319">
        <v>46022</v>
      </c>
      <c r="D319">
        <v>2025</v>
      </c>
      <c r="E319">
        <v>11</v>
      </c>
      <c r="F319">
        <v>45962</v>
      </c>
      <c r="G319" s="1">
        <v>45991</v>
      </c>
      <c r="H319">
        <v>30</v>
      </c>
      <c r="I319" t="s">
        <v>967</v>
      </c>
      <c r="J319">
        <v>4</v>
      </c>
      <c r="K319" s="1">
        <v>45931</v>
      </c>
      <c r="L319" s="1">
        <v>46022</v>
      </c>
      <c r="M319">
        <v>46</v>
      </c>
      <c r="N319">
        <v>3</v>
      </c>
      <c r="O319" s="1">
        <v>45970</v>
      </c>
      <c r="P319" s="1">
        <v>45976</v>
      </c>
      <c r="Q319">
        <v>13</v>
      </c>
      <c r="R319">
        <v>4</v>
      </c>
      <c r="S319">
        <v>317</v>
      </c>
      <c r="T319" s="1">
        <v>45974</v>
      </c>
      <c r="U319" s="1">
        <v>45974</v>
      </c>
      <c r="V319" t="s">
        <v>943</v>
      </c>
    </row>
    <row r="320" spans="1:22" x14ac:dyDescent="0.25">
      <c r="A320">
        <v>45975</v>
      </c>
      <c r="B320">
        <v>45658</v>
      </c>
      <c r="C320">
        <v>46022</v>
      </c>
      <c r="D320">
        <v>2025</v>
      </c>
      <c r="E320">
        <v>11</v>
      </c>
      <c r="F320">
        <v>45962</v>
      </c>
      <c r="G320" s="1">
        <v>45991</v>
      </c>
      <c r="H320">
        <v>30</v>
      </c>
      <c r="I320" t="s">
        <v>967</v>
      </c>
      <c r="J320">
        <v>4</v>
      </c>
      <c r="K320" s="1">
        <v>45931</v>
      </c>
      <c r="L320" s="1">
        <v>46022</v>
      </c>
      <c r="M320">
        <v>46</v>
      </c>
      <c r="N320">
        <v>3</v>
      </c>
      <c r="O320" s="1">
        <v>45970</v>
      </c>
      <c r="P320" s="1">
        <v>45976</v>
      </c>
      <c r="Q320">
        <v>14</v>
      </c>
      <c r="R320">
        <v>5</v>
      </c>
      <c r="S320">
        <v>318</v>
      </c>
      <c r="T320" s="1">
        <v>45975</v>
      </c>
      <c r="U320" s="1">
        <v>45975</v>
      </c>
      <c r="V320" t="s">
        <v>666</v>
      </c>
    </row>
    <row r="321" spans="1:22" x14ac:dyDescent="0.25">
      <c r="A321">
        <v>45976</v>
      </c>
      <c r="B321">
        <v>45658</v>
      </c>
      <c r="C321">
        <v>46022</v>
      </c>
      <c r="D321">
        <v>2025</v>
      </c>
      <c r="E321">
        <v>11</v>
      </c>
      <c r="F321">
        <v>45962</v>
      </c>
      <c r="G321" s="1">
        <v>45991</v>
      </c>
      <c r="H321">
        <v>30</v>
      </c>
      <c r="I321" t="s">
        <v>967</v>
      </c>
      <c r="J321">
        <v>4</v>
      </c>
      <c r="K321" s="1">
        <v>45931</v>
      </c>
      <c r="L321" s="1">
        <v>46022</v>
      </c>
      <c r="M321">
        <v>46</v>
      </c>
      <c r="N321">
        <v>3</v>
      </c>
      <c r="O321" s="1">
        <v>45970</v>
      </c>
      <c r="P321" s="1">
        <v>45976</v>
      </c>
      <c r="Q321">
        <v>15</v>
      </c>
      <c r="R321">
        <v>6</v>
      </c>
      <c r="S321">
        <v>319</v>
      </c>
      <c r="T321" s="1">
        <v>45976</v>
      </c>
      <c r="U321" s="1">
        <v>45976</v>
      </c>
      <c r="V321" t="s">
        <v>944</v>
      </c>
    </row>
    <row r="322" spans="1:22" x14ac:dyDescent="0.25">
      <c r="A322">
        <v>45977</v>
      </c>
      <c r="B322">
        <v>45658</v>
      </c>
      <c r="C322">
        <v>46022</v>
      </c>
      <c r="D322">
        <v>2025</v>
      </c>
      <c r="E322">
        <v>11</v>
      </c>
      <c r="F322">
        <v>45962</v>
      </c>
      <c r="G322" s="1">
        <v>45991</v>
      </c>
      <c r="H322">
        <v>30</v>
      </c>
      <c r="I322" t="s">
        <v>967</v>
      </c>
      <c r="J322">
        <v>4</v>
      </c>
      <c r="K322" s="1">
        <v>45931</v>
      </c>
      <c r="L322" s="1">
        <v>46022</v>
      </c>
      <c r="M322">
        <v>47</v>
      </c>
      <c r="N322">
        <v>4</v>
      </c>
      <c r="O322" s="1">
        <v>45977</v>
      </c>
      <c r="P322" s="1">
        <v>45983</v>
      </c>
      <c r="Q322">
        <v>16</v>
      </c>
      <c r="R322">
        <v>0</v>
      </c>
      <c r="S322">
        <v>320</v>
      </c>
      <c r="T322" s="1">
        <v>45977</v>
      </c>
      <c r="U322" s="1">
        <v>45977</v>
      </c>
      <c r="V322" t="s">
        <v>945</v>
      </c>
    </row>
    <row r="323" spans="1:22" x14ac:dyDescent="0.25">
      <c r="A323">
        <v>45978</v>
      </c>
      <c r="B323">
        <v>45658</v>
      </c>
      <c r="C323">
        <v>46022</v>
      </c>
      <c r="D323">
        <v>2025</v>
      </c>
      <c r="E323">
        <v>11</v>
      </c>
      <c r="F323">
        <v>45962</v>
      </c>
      <c r="G323" s="1">
        <v>45991</v>
      </c>
      <c r="H323">
        <v>30</v>
      </c>
      <c r="I323" t="s">
        <v>967</v>
      </c>
      <c r="J323">
        <v>4</v>
      </c>
      <c r="K323" s="1">
        <v>45931</v>
      </c>
      <c r="L323" s="1">
        <v>46022</v>
      </c>
      <c r="M323">
        <v>47</v>
      </c>
      <c r="N323">
        <v>4</v>
      </c>
      <c r="O323" s="1">
        <v>45977</v>
      </c>
      <c r="P323" s="1">
        <v>45983</v>
      </c>
      <c r="Q323">
        <v>17</v>
      </c>
      <c r="R323">
        <v>1</v>
      </c>
      <c r="S323">
        <v>321</v>
      </c>
      <c r="T323" s="1">
        <v>45978</v>
      </c>
      <c r="U323" s="1">
        <v>45978</v>
      </c>
      <c r="V323" t="s">
        <v>941</v>
      </c>
    </row>
    <row r="324" spans="1:22" x14ac:dyDescent="0.25">
      <c r="A324">
        <v>45979</v>
      </c>
      <c r="B324">
        <v>45658</v>
      </c>
      <c r="C324">
        <v>46022</v>
      </c>
      <c r="D324">
        <v>2025</v>
      </c>
      <c r="E324">
        <v>11</v>
      </c>
      <c r="F324">
        <v>45962</v>
      </c>
      <c r="G324" s="1">
        <v>45991</v>
      </c>
      <c r="H324">
        <v>30</v>
      </c>
      <c r="I324" t="s">
        <v>967</v>
      </c>
      <c r="J324">
        <v>4</v>
      </c>
      <c r="K324" s="1">
        <v>45931</v>
      </c>
      <c r="L324" s="1">
        <v>46022</v>
      </c>
      <c r="M324">
        <v>47</v>
      </c>
      <c r="N324">
        <v>4</v>
      </c>
      <c r="O324" s="1">
        <v>45977</v>
      </c>
      <c r="P324" s="1">
        <v>45983</v>
      </c>
      <c r="Q324">
        <v>18</v>
      </c>
      <c r="R324">
        <v>2</v>
      </c>
      <c r="S324">
        <v>322</v>
      </c>
      <c r="T324" s="1">
        <v>45979</v>
      </c>
      <c r="U324" s="1">
        <v>45979</v>
      </c>
      <c r="V324" t="s">
        <v>940</v>
      </c>
    </row>
    <row r="325" spans="1:22" x14ac:dyDescent="0.25">
      <c r="A325">
        <v>45980</v>
      </c>
      <c r="B325">
        <v>45658</v>
      </c>
      <c r="C325">
        <v>46022</v>
      </c>
      <c r="D325">
        <v>2025</v>
      </c>
      <c r="E325">
        <v>11</v>
      </c>
      <c r="F325">
        <v>45962</v>
      </c>
      <c r="G325" s="1">
        <v>45991</v>
      </c>
      <c r="H325">
        <v>30</v>
      </c>
      <c r="I325" t="s">
        <v>967</v>
      </c>
      <c r="J325">
        <v>4</v>
      </c>
      <c r="K325" s="1">
        <v>45931</v>
      </c>
      <c r="L325" s="1">
        <v>46022</v>
      </c>
      <c r="M325">
        <v>47</v>
      </c>
      <c r="N325">
        <v>4</v>
      </c>
      <c r="O325" s="1">
        <v>45977</v>
      </c>
      <c r="P325" s="1">
        <v>45983</v>
      </c>
      <c r="Q325">
        <v>19</v>
      </c>
      <c r="R325">
        <v>3</v>
      </c>
      <c r="S325">
        <v>323</v>
      </c>
      <c r="T325" s="1">
        <v>45980</v>
      </c>
      <c r="U325" s="1">
        <v>45980</v>
      </c>
      <c r="V325" t="s">
        <v>942</v>
      </c>
    </row>
    <row r="326" spans="1:22" x14ac:dyDescent="0.25">
      <c r="A326">
        <v>45981</v>
      </c>
      <c r="B326">
        <v>45658</v>
      </c>
      <c r="C326">
        <v>46022</v>
      </c>
      <c r="D326">
        <v>2025</v>
      </c>
      <c r="E326">
        <v>11</v>
      </c>
      <c r="F326">
        <v>45962</v>
      </c>
      <c r="G326" s="1">
        <v>45991</v>
      </c>
      <c r="H326">
        <v>30</v>
      </c>
      <c r="I326" t="s">
        <v>967</v>
      </c>
      <c r="J326">
        <v>4</v>
      </c>
      <c r="K326" s="1">
        <v>45931</v>
      </c>
      <c r="L326" s="1">
        <v>46022</v>
      </c>
      <c r="M326">
        <v>47</v>
      </c>
      <c r="N326">
        <v>4</v>
      </c>
      <c r="O326" s="1">
        <v>45977</v>
      </c>
      <c r="P326" s="1">
        <v>45983</v>
      </c>
      <c r="Q326">
        <v>20</v>
      </c>
      <c r="R326">
        <v>4</v>
      </c>
      <c r="S326">
        <v>324</v>
      </c>
      <c r="T326" s="1">
        <v>45981</v>
      </c>
      <c r="U326" s="1">
        <v>45981</v>
      </c>
      <c r="V326" t="s">
        <v>943</v>
      </c>
    </row>
    <row r="327" spans="1:22" x14ac:dyDescent="0.25">
      <c r="A327">
        <v>45982</v>
      </c>
      <c r="B327">
        <v>45658</v>
      </c>
      <c r="C327">
        <v>46022</v>
      </c>
      <c r="D327">
        <v>2025</v>
      </c>
      <c r="E327">
        <v>11</v>
      </c>
      <c r="F327">
        <v>45962</v>
      </c>
      <c r="G327" s="1">
        <v>45991</v>
      </c>
      <c r="H327">
        <v>30</v>
      </c>
      <c r="I327" t="s">
        <v>967</v>
      </c>
      <c r="J327">
        <v>4</v>
      </c>
      <c r="K327" s="1">
        <v>45931</v>
      </c>
      <c r="L327" s="1">
        <v>46022</v>
      </c>
      <c r="M327">
        <v>47</v>
      </c>
      <c r="N327">
        <v>4</v>
      </c>
      <c r="O327" s="1">
        <v>45977</v>
      </c>
      <c r="P327" s="1">
        <v>45983</v>
      </c>
      <c r="Q327">
        <v>21</v>
      </c>
      <c r="R327">
        <v>5</v>
      </c>
      <c r="S327">
        <v>325</v>
      </c>
      <c r="T327" s="1">
        <v>45982</v>
      </c>
      <c r="U327" s="1">
        <v>45982</v>
      </c>
      <c r="V327" t="s">
        <v>666</v>
      </c>
    </row>
    <row r="328" spans="1:22" x14ac:dyDescent="0.25">
      <c r="A328">
        <v>45983</v>
      </c>
      <c r="B328">
        <v>45658</v>
      </c>
      <c r="C328">
        <v>46022</v>
      </c>
      <c r="D328">
        <v>2025</v>
      </c>
      <c r="E328">
        <v>11</v>
      </c>
      <c r="F328">
        <v>45962</v>
      </c>
      <c r="G328" s="1">
        <v>45991</v>
      </c>
      <c r="H328">
        <v>30</v>
      </c>
      <c r="I328" t="s">
        <v>967</v>
      </c>
      <c r="J328">
        <v>4</v>
      </c>
      <c r="K328" s="1">
        <v>45931</v>
      </c>
      <c r="L328" s="1">
        <v>46022</v>
      </c>
      <c r="M328">
        <v>47</v>
      </c>
      <c r="N328">
        <v>4</v>
      </c>
      <c r="O328" s="1">
        <v>45977</v>
      </c>
      <c r="P328" s="1">
        <v>45983</v>
      </c>
      <c r="Q328">
        <v>22</v>
      </c>
      <c r="R328">
        <v>6</v>
      </c>
      <c r="S328">
        <v>326</v>
      </c>
      <c r="T328" s="1">
        <v>45983</v>
      </c>
      <c r="U328" s="1">
        <v>45983</v>
      </c>
      <c r="V328" t="s">
        <v>944</v>
      </c>
    </row>
    <row r="329" spans="1:22" x14ac:dyDescent="0.25">
      <c r="A329">
        <v>45984</v>
      </c>
      <c r="B329">
        <v>45658</v>
      </c>
      <c r="C329">
        <v>46022</v>
      </c>
      <c r="D329">
        <v>2025</v>
      </c>
      <c r="E329">
        <v>11</v>
      </c>
      <c r="F329">
        <v>45962</v>
      </c>
      <c r="G329" s="1">
        <v>45991</v>
      </c>
      <c r="H329">
        <v>30</v>
      </c>
      <c r="I329" t="s">
        <v>967</v>
      </c>
      <c r="J329">
        <v>4</v>
      </c>
      <c r="K329" s="1">
        <v>45931</v>
      </c>
      <c r="L329" s="1">
        <v>46022</v>
      </c>
      <c r="M329">
        <v>48</v>
      </c>
      <c r="N329">
        <v>5</v>
      </c>
      <c r="O329" s="1">
        <v>45984</v>
      </c>
      <c r="P329" s="1">
        <v>45990</v>
      </c>
      <c r="Q329">
        <v>23</v>
      </c>
      <c r="R329">
        <v>0</v>
      </c>
      <c r="S329">
        <v>327</v>
      </c>
      <c r="T329" s="1">
        <v>45984</v>
      </c>
      <c r="U329" s="1">
        <v>45984</v>
      </c>
      <c r="V329" t="s">
        <v>945</v>
      </c>
    </row>
    <row r="330" spans="1:22" x14ac:dyDescent="0.25">
      <c r="A330">
        <v>45985</v>
      </c>
      <c r="B330">
        <v>45658</v>
      </c>
      <c r="C330">
        <v>46022</v>
      </c>
      <c r="D330">
        <v>2025</v>
      </c>
      <c r="E330">
        <v>11</v>
      </c>
      <c r="F330">
        <v>45962</v>
      </c>
      <c r="G330" s="1">
        <v>45991</v>
      </c>
      <c r="H330">
        <v>30</v>
      </c>
      <c r="I330" t="s">
        <v>967</v>
      </c>
      <c r="J330">
        <v>4</v>
      </c>
      <c r="K330" s="1">
        <v>45931</v>
      </c>
      <c r="L330" s="1">
        <v>46022</v>
      </c>
      <c r="M330">
        <v>48</v>
      </c>
      <c r="N330">
        <v>5</v>
      </c>
      <c r="O330" s="1">
        <v>45984</v>
      </c>
      <c r="P330" s="1">
        <v>45990</v>
      </c>
      <c r="Q330">
        <v>24</v>
      </c>
      <c r="R330">
        <v>1</v>
      </c>
      <c r="S330">
        <v>328</v>
      </c>
      <c r="T330" s="1">
        <v>45985</v>
      </c>
      <c r="U330" s="1">
        <v>45985</v>
      </c>
      <c r="V330" t="s">
        <v>941</v>
      </c>
    </row>
    <row r="331" spans="1:22" x14ac:dyDescent="0.25">
      <c r="A331">
        <v>45986</v>
      </c>
      <c r="B331">
        <v>45658</v>
      </c>
      <c r="C331">
        <v>46022</v>
      </c>
      <c r="D331">
        <v>2025</v>
      </c>
      <c r="E331">
        <v>11</v>
      </c>
      <c r="F331">
        <v>45962</v>
      </c>
      <c r="G331" s="1">
        <v>45991</v>
      </c>
      <c r="H331">
        <v>30</v>
      </c>
      <c r="I331" t="s">
        <v>967</v>
      </c>
      <c r="J331">
        <v>4</v>
      </c>
      <c r="K331" s="1">
        <v>45931</v>
      </c>
      <c r="L331" s="1">
        <v>46022</v>
      </c>
      <c r="M331">
        <v>48</v>
      </c>
      <c r="N331">
        <v>5</v>
      </c>
      <c r="O331" s="1">
        <v>45984</v>
      </c>
      <c r="P331" s="1">
        <v>45990</v>
      </c>
      <c r="Q331">
        <v>25</v>
      </c>
      <c r="R331">
        <v>2</v>
      </c>
      <c r="S331">
        <v>329</v>
      </c>
      <c r="T331" s="1">
        <v>45986</v>
      </c>
      <c r="U331" s="1">
        <v>45986</v>
      </c>
      <c r="V331" t="s">
        <v>940</v>
      </c>
    </row>
    <row r="332" spans="1:22" x14ac:dyDescent="0.25">
      <c r="A332">
        <v>45987</v>
      </c>
      <c r="B332">
        <v>45658</v>
      </c>
      <c r="C332">
        <v>46022</v>
      </c>
      <c r="D332">
        <v>2025</v>
      </c>
      <c r="E332">
        <v>11</v>
      </c>
      <c r="F332">
        <v>45962</v>
      </c>
      <c r="G332" s="1">
        <v>45991</v>
      </c>
      <c r="H332">
        <v>30</v>
      </c>
      <c r="I332" t="s">
        <v>967</v>
      </c>
      <c r="J332">
        <v>4</v>
      </c>
      <c r="K332" s="1">
        <v>45931</v>
      </c>
      <c r="L332" s="1">
        <v>46022</v>
      </c>
      <c r="M332">
        <v>48</v>
      </c>
      <c r="N332">
        <v>5</v>
      </c>
      <c r="O332" s="1">
        <v>45984</v>
      </c>
      <c r="P332" s="1">
        <v>45990</v>
      </c>
      <c r="Q332">
        <v>26</v>
      </c>
      <c r="R332">
        <v>3</v>
      </c>
      <c r="S332">
        <v>330</v>
      </c>
      <c r="T332" s="1">
        <v>45987</v>
      </c>
      <c r="U332" s="1">
        <v>45987</v>
      </c>
      <c r="V332" t="s">
        <v>942</v>
      </c>
    </row>
    <row r="333" spans="1:22" x14ac:dyDescent="0.25">
      <c r="A333">
        <v>45988</v>
      </c>
      <c r="B333">
        <v>45658</v>
      </c>
      <c r="C333">
        <v>46022</v>
      </c>
      <c r="D333">
        <v>2025</v>
      </c>
      <c r="E333">
        <v>11</v>
      </c>
      <c r="F333">
        <v>45962</v>
      </c>
      <c r="G333" s="1">
        <v>45991</v>
      </c>
      <c r="H333">
        <v>30</v>
      </c>
      <c r="I333" t="s">
        <v>967</v>
      </c>
      <c r="J333">
        <v>4</v>
      </c>
      <c r="K333" s="1">
        <v>45931</v>
      </c>
      <c r="L333" s="1">
        <v>46022</v>
      </c>
      <c r="M333">
        <v>48</v>
      </c>
      <c r="N333">
        <v>5</v>
      </c>
      <c r="O333" s="1">
        <v>45984</v>
      </c>
      <c r="P333" s="1">
        <v>45990</v>
      </c>
      <c r="Q333">
        <v>27</v>
      </c>
      <c r="R333">
        <v>4</v>
      </c>
      <c r="S333">
        <v>331</v>
      </c>
      <c r="T333" s="1">
        <v>45988</v>
      </c>
      <c r="U333" s="1">
        <v>45988</v>
      </c>
      <c r="V333" t="s">
        <v>943</v>
      </c>
    </row>
    <row r="334" spans="1:22" x14ac:dyDescent="0.25">
      <c r="A334">
        <v>45989</v>
      </c>
      <c r="B334">
        <v>45658</v>
      </c>
      <c r="C334">
        <v>46022</v>
      </c>
      <c r="D334">
        <v>2025</v>
      </c>
      <c r="E334">
        <v>11</v>
      </c>
      <c r="F334">
        <v>45962</v>
      </c>
      <c r="G334" s="1">
        <v>45991</v>
      </c>
      <c r="H334">
        <v>30</v>
      </c>
      <c r="I334" t="s">
        <v>967</v>
      </c>
      <c r="J334">
        <v>4</v>
      </c>
      <c r="K334" s="1">
        <v>45931</v>
      </c>
      <c r="L334" s="1">
        <v>46022</v>
      </c>
      <c r="M334">
        <v>48</v>
      </c>
      <c r="N334">
        <v>5</v>
      </c>
      <c r="O334" s="1">
        <v>45984</v>
      </c>
      <c r="P334" s="1">
        <v>45990</v>
      </c>
      <c r="Q334">
        <v>28</v>
      </c>
      <c r="R334">
        <v>5</v>
      </c>
      <c r="S334">
        <v>332</v>
      </c>
      <c r="T334" s="1">
        <v>45989</v>
      </c>
      <c r="U334" s="1">
        <v>45989</v>
      </c>
      <c r="V334" t="s">
        <v>666</v>
      </c>
    </row>
    <row r="335" spans="1:22" x14ac:dyDescent="0.25">
      <c r="A335">
        <v>45990</v>
      </c>
      <c r="B335">
        <v>45658</v>
      </c>
      <c r="C335">
        <v>46022</v>
      </c>
      <c r="D335">
        <v>2025</v>
      </c>
      <c r="E335">
        <v>11</v>
      </c>
      <c r="F335">
        <v>45962</v>
      </c>
      <c r="G335" s="1">
        <v>45991</v>
      </c>
      <c r="H335">
        <v>30</v>
      </c>
      <c r="I335" t="s">
        <v>967</v>
      </c>
      <c r="J335">
        <v>4</v>
      </c>
      <c r="K335" s="1">
        <v>45931</v>
      </c>
      <c r="L335" s="1">
        <v>46022</v>
      </c>
      <c r="M335">
        <v>48</v>
      </c>
      <c r="N335">
        <v>5</v>
      </c>
      <c r="O335" s="1">
        <v>45984</v>
      </c>
      <c r="P335" s="1">
        <v>45990</v>
      </c>
      <c r="Q335">
        <v>29</v>
      </c>
      <c r="R335">
        <v>6</v>
      </c>
      <c r="S335">
        <v>333</v>
      </c>
      <c r="T335" s="1">
        <v>45990</v>
      </c>
      <c r="U335" s="1">
        <v>45990</v>
      </c>
      <c r="V335" t="s">
        <v>944</v>
      </c>
    </row>
    <row r="336" spans="1:22" x14ac:dyDescent="0.25">
      <c r="A336">
        <v>45991</v>
      </c>
      <c r="B336">
        <v>45658</v>
      </c>
      <c r="C336">
        <v>46022</v>
      </c>
      <c r="D336">
        <v>2025</v>
      </c>
      <c r="E336">
        <v>11</v>
      </c>
      <c r="F336">
        <v>45962</v>
      </c>
      <c r="G336" s="1">
        <v>45991</v>
      </c>
      <c r="H336">
        <v>30</v>
      </c>
      <c r="I336" t="s">
        <v>967</v>
      </c>
      <c r="J336">
        <v>4</v>
      </c>
      <c r="K336" s="1">
        <v>45931</v>
      </c>
      <c r="L336" s="1">
        <v>46022</v>
      </c>
      <c r="M336">
        <v>49</v>
      </c>
      <c r="N336">
        <v>6</v>
      </c>
      <c r="O336" s="1">
        <v>45991</v>
      </c>
      <c r="P336" s="1">
        <v>45997</v>
      </c>
      <c r="Q336">
        <v>30</v>
      </c>
      <c r="R336">
        <v>0</v>
      </c>
      <c r="S336">
        <v>334</v>
      </c>
      <c r="T336" s="1">
        <v>45991</v>
      </c>
      <c r="U336" s="1">
        <v>45991</v>
      </c>
      <c r="V336" t="s">
        <v>945</v>
      </c>
    </row>
    <row r="337" spans="1:22" x14ac:dyDescent="0.25">
      <c r="A337">
        <v>45992</v>
      </c>
      <c r="B337">
        <v>45658</v>
      </c>
      <c r="C337">
        <v>46022</v>
      </c>
      <c r="D337">
        <v>2025</v>
      </c>
      <c r="E337">
        <v>12</v>
      </c>
      <c r="F337">
        <v>45992</v>
      </c>
      <c r="G337" s="1">
        <v>46022</v>
      </c>
      <c r="H337">
        <v>31</v>
      </c>
      <c r="I337" t="s">
        <v>961</v>
      </c>
      <c r="J337">
        <v>4</v>
      </c>
      <c r="K337" s="1">
        <v>45931</v>
      </c>
      <c r="L337" s="1">
        <v>46022</v>
      </c>
      <c r="M337">
        <v>49</v>
      </c>
      <c r="N337">
        <v>1</v>
      </c>
      <c r="O337" s="1">
        <v>45991</v>
      </c>
      <c r="P337" s="1">
        <v>45997</v>
      </c>
      <c r="Q337">
        <v>1</v>
      </c>
      <c r="R337">
        <v>1</v>
      </c>
      <c r="S337">
        <v>335</v>
      </c>
      <c r="T337" s="1">
        <v>45992</v>
      </c>
      <c r="U337" s="1">
        <v>45992</v>
      </c>
      <c r="V337" t="s">
        <v>941</v>
      </c>
    </row>
    <row r="338" spans="1:22" x14ac:dyDescent="0.25">
      <c r="A338">
        <v>45993</v>
      </c>
      <c r="B338">
        <v>45658</v>
      </c>
      <c r="C338">
        <v>46022</v>
      </c>
      <c r="D338">
        <v>2025</v>
      </c>
      <c r="E338">
        <v>12</v>
      </c>
      <c r="F338">
        <v>45992</v>
      </c>
      <c r="G338" s="1">
        <v>46022</v>
      </c>
      <c r="H338">
        <v>31</v>
      </c>
      <c r="I338" t="s">
        <v>961</v>
      </c>
      <c r="J338">
        <v>4</v>
      </c>
      <c r="K338" s="1">
        <v>45931</v>
      </c>
      <c r="L338" s="1">
        <v>46022</v>
      </c>
      <c r="M338">
        <v>49</v>
      </c>
      <c r="N338">
        <v>1</v>
      </c>
      <c r="O338" s="1">
        <v>45991</v>
      </c>
      <c r="P338" s="1">
        <v>45997</v>
      </c>
      <c r="Q338">
        <v>2</v>
      </c>
      <c r="R338">
        <v>2</v>
      </c>
      <c r="S338">
        <v>336</v>
      </c>
      <c r="T338" s="1">
        <v>45993</v>
      </c>
      <c r="U338" s="1">
        <v>45993</v>
      </c>
      <c r="V338" t="s">
        <v>940</v>
      </c>
    </row>
    <row r="339" spans="1:22" x14ac:dyDescent="0.25">
      <c r="A339">
        <v>45994</v>
      </c>
      <c r="B339">
        <v>45658</v>
      </c>
      <c r="C339">
        <v>46022</v>
      </c>
      <c r="D339">
        <v>2025</v>
      </c>
      <c r="E339">
        <v>12</v>
      </c>
      <c r="F339">
        <v>45992</v>
      </c>
      <c r="G339" s="1">
        <v>46022</v>
      </c>
      <c r="H339">
        <v>31</v>
      </c>
      <c r="I339" t="s">
        <v>961</v>
      </c>
      <c r="J339">
        <v>4</v>
      </c>
      <c r="K339" s="1">
        <v>45931</v>
      </c>
      <c r="L339" s="1">
        <v>46022</v>
      </c>
      <c r="M339">
        <v>49</v>
      </c>
      <c r="N339">
        <v>1</v>
      </c>
      <c r="O339" s="1">
        <v>45991</v>
      </c>
      <c r="P339" s="1">
        <v>45997</v>
      </c>
      <c r="Q339">
        <v>3</v>
      </c>
      <c r="R339">
        <v>3</v>
      </c>
      <c r="S339">
        <v>337</v>
      </c>
      <c r="T339" s="1">
        <v>45994</v>
      </c>
      <c r="U339" s="1">
        <v>45994</v>
      </c>
      <c r="V339" t="s">
        <v>942</v>
      </c>
    </row>
    <row r="340" spans="1:22" x14ac:dyDescent="0.25">
      <c r="A340">
        <v>45995</v>
      </c>
      <c r="B340">
        <v>45658</v>
      </c>
      <c r="C340">
        <v>46022</v>
      </c>
      <c r="D340">
        <v>2025</v>
      </c>
      <c r="E340">
        <v>12</v>
      </c>
      <c r="F340">
        <v>45992</v>
      </c>
      <c r="G340" s="1">
        <v>46022</v>
      </c>
      <c r="H340">
        <v>31</v>
      </c>
      <c r="I340" t="s">
        <v>961</v>
      </c>
      <c r="J340">
        <v>4</v>
      </c>
      <c r="K340" s="1">
        <v>45931</v>
      </c>
      <c r="L340" s="1">
        <v>46022</v>
      </c>
      <c r="M340">
        <v>49</v>
      </c>
      <c r="N340">
        <v>1</v>
      </c>
      <c r="O340" s="1">
        <v>45991</v>
      </c>
      <c r="P340" s="1">
        <v>45997</v>
      </c>
      <c r="Q340">
        <v>4</v>
      </c>
      <c r="R340">
        <v>4</v>
      </c>
      <c r="S340">
        <v>338</v>
      </c>
      <c r="T340" s="1">
        <v>45995</v>
      </c>
      <c r="U340" s="1">
        <v>45995</v>
      </c>
      <c r="V340" t="s">
        <v>943</v>
      </c>
    </row>
    <row r="341" spans="1:22" x14ac:dyDescent="0.25">
      <c r="A341">
        <v>45996</v>
      </c>
      <c r="B341">
        <v>45658</v>
      </c>
      <c r="C341">
        <v>46022</v>
      </c>
      <c r="D341">
        <v>2025</v>
      </c>
      <c r="E341">
        <v>12</v>
      </c>
      <c r="F341">
        <v>45992</v>
      </c>
      <c r="G341" s="1">
        <v>46022</v>
      </c>
      <c r="H341">
        <v>31</v>
      </c>
      <c r="I341" t="s">
        <v>961</v>
      </c>
      <c r="J341">
        <v>4</v>
      </c>
      <c r="K341" s="1">
        <v>45931</v>
      </c>
      <c r="L341" s="1">
        <v>46022</v>
      </c>
      <c r="M341">
        <v>49</v>
      </c>
      <c r="N341">
        <v>1</v>
      </c>
      <c r="O341" s="1">
        <v>45991</v>
      </c>
      <c r="P341" s="1">
        <v>45997</v>
      </c>
      <c r="Q341">
        <v>5</v>
      </c>
      <c r="R341">
        <v>5</v>
      </c>
      <c r="S341">
        <v>339</v>
      </c>
      <c r="T341" s="1">
        <v>45996</v>
      </c>
      <c r="U341" s="1">
        <v>45996</v>
      </c>
      <c r="V341" t="s">
        <v>666</v>
      </c>
    </row>
    <row r="342" spans="1:22" x14ac:dyDescent="0.25">
      <c r="A342">
        <v>45997</v>
      </c>
      <c r="B342">
        <v>45658</v>
      </c>
      <c r="C342">
        <v>46022</v>
      </c>
      <c r="D342">
        <v>2025</v>
      </c>
      <c r="E342">
        <v>12</v>
      </c>
      <c r="F342">
        <v>45992</v>
      </c>
      <c r="G342" s="1">
        <v>46022</v>
      </c>
      <c r="H342">
        <v>31</v>
      </c>
      <c r="I342" t="s">
        <v>961</v>
      </c>
      <c r="J342">
        <v>4</v>
      </c>
      <c r="K342" s="1">
        <v>45931</v>
      </c>
      <c r="L342" s="1">
        <v>46022</v>
      </c>
      <c r="M342">
        <v>49</v>
      </c>
      <c r="N342">
        <v>1</v>
      </c>
      <c r="O342" s="1">
        <v>45991</v>
      </c>
      <c r="P342" s="1">
        <v>45997</v>
      </c>
      <c r="Q342">
        <v>6</v>
      </c>
      <c r="R342">
        <v>6</v>
      </c>
      <c r="S342">
        <v>340</v>
      </c>
      <c r="T342" s="1">
        <v>45997</v>
      </c>
      <c r="U342" s="1">
        <v>45997</v>
      </c>
      <c r="V342" t="s">
        <v>944</v>
      </c>
    </row>
    <row r="343" spans="1:22" x14ac:dyDescent="0.25">
      <c r="A343">
        <v>45998</v>
      </c>
      <c r="B343">
        <v>45658</v>
      </c>
      <c r="C343">
        <v>46022</v>
      </c>
      <c r="D343">
        <v>2025</v>
      </c>
      <c r="E343">
        <v>12</v>
      </c>
      <c r="F343">
        <v>45992</v>
      </c>
      <c r="G343" s="1">
        <v>46022</v>
      </c>
      <c r="H343">
        <v>31</v>
      </c>
      <c r="I343" t="s">
        <v>961</v>
      </c>
      <c r="J343">
        <v>4</v>
      </c>
      <c r="K343" s="1">
        <v>45931</v>
      </c>
      <c r="L343" s="1">
        <v>46022</v>
      </c>
      <c r="M343">
        <v>50</v>
      </c>
      <c r="N343">
        <v>2</v>
      </c>
      <c r="O343" s="1">
        <v>45998</v>
      </c>
      <c r="P343" s="1">
        <v>46004</v>
      </c>
      <c r="Q343">
        <v>7</v>
      </c>
      <c r="R343">
        <v>0</v>
      </c>
      <c r="S343">
        <v>341</v>
      </c>
      <c r="T343" s="1">
        <v>45998</v>
      </c>
      <c r="U343" s="1">
        <v>45998</v>
      </c>
      <c r="V343" t="s">
        <v>945</v>
      </c>
    </row>
    <row r="344" spans="1:22" x14ac:dyDescent="0.25">
      <c r="A344">
        <v>45999</v>
      </c>
      <c r="B344">
        <v>45658</v>
      </c>
      <c r="C344">
        <v>46022</v>
      </c>
      <c r="D344">
        <v>2025</v>
      </c>
      <c r="E344">
        <v>12</v>
      </c>
      <c r="F344">
        <v>45992</v>
      </c>
      <c r="G344" s="1">
        <v>46022</v>
      </c>
      <c r="H344">
        <v>31</v>
      </c>
      <c r="I344" t="s">
        <v>961</v>
      </c>
      <c r="J344">
        <v>4</v>
      </c>
      <c r="K344" s="1">
        <v>45931</v>
      </c>
      <c r="L344" s="1">
        <v>46022</v>
      </c>
      <c r="M344">
        <v>50</v>
      </c>
      <c r="N344">
        <v>2</v>
      </c>
      <c r="O344" s="1">
        <v>45998</v>
      </c>
      <c r="P344" s="1">
        <v>46004</v>
      </c>
      <c r="Q344">
        <v>8</v>
      </c>
      <c r="R344">
        <v>1</v>
      </c>
      <c r="S344">
        <v>342</v>
      </c>
      <c r="T344" s="1">
        <v>45999</v>
      </c>
      <c r="U344" s="1">
        <v>45999</v>
      </c>
      <c r="V344" t="s">
        <v>941</v>
      </c>
    </row>
    <row r="345" spans="1:22" x14ac:dyDescent="0.25">
      <c r="A345">
        <v>46000</v>
      </c>
      <c r="B345">
        <v>45658</v>
      </c>
      <c r="C345">
        <v>46022</v>
      </c>
      <c r="D345">
        <v>2025</v>
      </c>
      <c r="E345">
        <v>12</v>
      </c>
      <c r="F345">
        <v>45992</v>
      </c>
      <c r="G345" s="1">
        <v>46022</v>
      </c>
      <c r="H345">
        <v>31</v>
      </c>
      <c r="I345" t="s">
        <v>961</v>
      </c>
      <c r="J345">
        <v>4</v>
      </c>
      <c r="K345" s="1">
        <v>45931</v>
      </c>
      <c r="L345" s="1">
        <v>46022</v>
      </c>
      <c r="M345">
        <v>50</v>
      </c>
      <c r="N345">
        <v>2</v>
      </c>
      <c r="O345" s="1">
        <v>45998</v>
      </c>
      <c r="P345" s="1">
        <v>46004</v>
      </c>
      <c r="Q345">
        <v>9</v>
      </c>
      <c r="R345">
        <v>2</v>
      </c>
      <c r="S345">
        <v>343</v>
      </c>
      <c r="T345" s="1">
        <v>46000</v>
      </c>
      <c r="U345" s="1">
        <v>46000</v>
      </c>
      <c r="V345" t="s">
        <v>940</v>
      </c>
    </row>
    <row r="346" spans="1:22" x14ac:dyDescent="0.25">
      <c r="A346">
        <v>46001</v>
      </c>
      <c r="B346">
        <v>45658</v>
      </c>
      <c r="C346">
        <v>46022</v>
      </c>
      <c r="D346">
        <v>2025</v>
      </c>
      <c r="E346">
        <v>12</v>
      </c>
      <c r="F346">
        <v>45992</v>
      </c>
      <c r="G346" s="1">
        <v>46022</v>
      </c>
      <c r="H346">
        <v>31</v>
      </c>
      <c r="I346" t="s">
        <v>961</v>
      </c>
      <c r="J346">
        <v>4</v>
      </c>
      <c r="K346" s="1">
        <v>45931</v>
      </c>
      <c r="L346" s="1">
        <v>46022</v>
      </c>
      <c r="M346">
        <v>50</v>
      </c>
      <c r="N346">
        <v>2</v>
      </c>
      <c r="O346" s="1">
        <v>45998</v>
      </c>
      <c r="P346" s="1">
        <v>46004</v>
      </c>
      <c r="Q346">
        <v>10</v>
      </c>
      <c r="R346">
        <v>3</v>
      </c>
      <c r="S346">
        <v>344</v>
      </c>
      <c r="T346" s="1">
        <v>46001</v>
      </c>
      <c r="U346" s="1">
        <v>46001</v>
      </c>
      <c r="V346" t="s">
        <v>942</v>
      </c>
    </row>
    <row r="347" spans="1:22" x14ac:dyDescent="0.25">
      <c r="A347">
        <v>46002</v>
      </c>
      <c r="B347">
        <v>45658</v>
      </c>
      <c r="C347">
        <v>46022</v>
      </c>
      <c r="D347">
        <v>2025</v>
      </c>
      <c r="E347">
        <v>12</v>
      </c>
      <c r="F347">
        <v>45992</v>
      </c>
      <c r="G347" s="1">
        <v>46022</v>
      </c>
      <c r="H347">
        <v>31</v>
      </c>
      <c r="I347" t="s">
        <v>961</v>
      </c>
      <c r="J347">
        <v>4</v>
      </c>
      <c r="K347" s="1">
        <v>45931</v>
      </c>
      <c r="L347" s="1">
        <v>46022</v>
      </c>
      <c r="M347">
        <v>50</v>
      </c>
      <c r="N347">
        <v>2</v>
      </c>
      <c r="O347" s="1">
        <v>45998</v>
      </c>
      <c r="P347" s="1">
        <v>46004</v>
      </c>
      <c r="Q347">
        <v>11</v>
      </c>
      <c r="R347">
        <v>4</v>
      </c>
      <c r="S347">
        <v>345</v>
      </c>
      <c r="T347" s="1">
        <v>46002</v>
      </c>
      <c r="U347" s="1">
        <v>46002</v>
      </c>
      <c r="V347" t="s">
        <v>943</v>
      </c>
    </row>
    <row r="348" spans="1:22" x14ac:dyDescent="0.25">
      <c r="A348">
        <v>46003</v>
      </c>
      <c r="B348">
        <v>45658</v>
      </c>
      <c r="C348">
        <v>46022</v>
      </c>
      <c r="D348">
        <v>2025</v>
      </c>
      <c r="E348">
        <v>12</v>
      </c>
      <c r="F348">
        <v>45992</v>
      </c>
      <c r="G348" s="1">
        <v>46022</v>
      </c>
      <c r="H348">
        <v>31</v>
      </c>
      <c r="I348" t="s">
        <v>961</v>
      </c>
      <c r="J348">
        <v>4</v>
      </c>
      <c r="K348" s="1">
        <v>45931</v>
      </c>
      <c r="L348" s="1">
        <v>46022</v>
      </c>
      <c r="M348">
        <v>50</v>
      </c>
      <c r="N348">
        <v>2</v>
      </c>
      <c r="O348" s="1">
        <v>45998</v>
      </c>
      <c r="P348" s="1">
        <v>46004</v>
      </c>
      <c r="Q348">
        <v>12</v>
      </c>
      <c r="R348">
        <v>5</v>
      </c>
      <c r="S348">
        <v>346</v>
      </c>
      <c r="T348" s="1">
        <v>46003</v>
      </c>
      <c r="U348" s="1">
        <v>46003</v>
      </c>
      <c r="V348" t="s">
        <v>666</v>
      </c>
    </row>
    <row r="349" spans="1:22" x14ac:dyDescent="0.25">
      <c r="A349">
        <v>46004</v>
      </c>
      <c r="B349">
        <v>45658</v>
      </c>
      <c r="C349">
        <v>46022</v>
      </c>
      <c r="D349">
        <v>2025</v>
      </c>
      <c r="E349">
        <v>12</v>
      </c>
      <c r="F349">
        <v>45992</v>
      </c>
      <c r="G349" s="1">
        <v>46022</v>
      </c>
      <c r="H349">
        <v>31</v>
      </c>
      <c r="I349" t="s">
        <v>961</v>
      </c>
      <c r="J349">
        <v>4</v>
      </c>
      <c r="K349" s="1">
        <v>45931</v>
      </c>
      <c r="L349" s="1">
        <v>46022</v>
      </c>
      <c r="M349">
        <v>50</v>
      </c>
      <c r="N349">
        <v>2</v>
      </c>
      <c r="O349" s="1">
        <v>45998</v>
      </c>
      <c r="P349" s="1">
        <v>46004</v>
      </c>
      <c r="Q349">
        <v>13</v>
      </c>
      <c r="R349">
        <v>6</v>
      </c>
      <c r="S349">
        <v>347</v>
      </c>
      <c r="T349" s="1">
        <v>46004</v>
      </c>
      <c r="U349" s="1">
        <v>46004</v>
      </c>
      <c r="V349" t="s">
        <v>944</v>
      </c>
    </row>
    <row r="350" spans="1:22" x14ac:dyDescent="0.25">
      <c r="A350">
        <v>46005</v>
      </c>
      <c r="B350">
        <v>45658</v>
      </c>
      <c r="C350">
        <v>46022</v>
      </c>
      <c r="D350">
        <v>2025</v>
      </c>
      <c r="E350">
        <v>12</v>
      </c>
      <c r="F350">
        <v>45992</v>
      </c>
      <c r="G350" s="1">
        <v>46022</v>
      </c>
      <c r="H350">
        <v>31</v>
      </c>
      <c r="I350" t="s">
        <v>961</v>
      </c>
      <c r="J350">
        <v>4</v>
      </c>
      <c r="K350" s="1">
        <v>45931</v>
      </c>
      <c r="L350" s="1">
        <v>46022</v>
      </c>
      <c r="M350">
        <v>51</v>
      </c>
      <c r="N350">
        <v>3</v>
      </c>
      <c r="O350" s="1">
        <v>46005</v>
      </c>
      <c r="P350" s="1">
        <v>46011</v>
      </c>
      <c r="Q350">
        <v>14</v>
      </c>
      <c r="R350">
        <v>0</v>
      </c>
      <c r="S350">
        <v>348</v>
      </c>
      <c r="T350" s="1">
        <v>46005</v>
      </c>
      <c r="U350" s="1">
        <v>46005</v>
      </c>
      <c r="V350" t="s">
        <v>945</v>
      </c>
    </row>
    <row r="351" spans="1:22" x14ac:dyDescent="0.25">
      <c r="A351">
        <v>46006</v>
      </c>
      <c r="B351">
        <v>45658</v>
      </c>
      <c r="C351">
        <v>46022</v>
      </c>
      <c r="D351">
        <v>2025</v>
      </c>
      <c r="E351">
        <v>12</v>
      </c>
      <c r="F351">
        <v>45992</v>
      </c>
      <c r="G351" s="1">
        <v>46022</v>
      </c>
      <c r="H351">
        <v>31</v>
      </c>
      <c r="I351" t="s">
        <v>961</v>
      </c>
      <c r="J351">
        <v>4</v>
      </c>
      <c r="K351" s="1">
        <v>45931</v>
      </c>
      <c r="L351" s="1">
        <v>46022</v>
      </c>
      <c r="M351">
        <v>51</v>
      </c>
      <c r="N351">
        <v>3</v>
      </c>
      <c r="O351" s="1">
        <v>46005</v>
      </c>
      <c r="P351" s="1">
        <v>46011</v>
      </c>
      <c r="Q351">
        <v>15</v>
      </c>
      <c r="R351">
        <v>1</v>
      </c>
      <c r="S351">
        <v>349</v>
      </c>
      <c r="T351" s="1">
        <v>46006</v>
      </c>
      <c r="U351" s="1">
        <v>46006</v>
      </c>
      <c r="V351" t="s">
        <v>941</v>
      </c>
    </row>
    <row r="352" spans="1:22" x14ac:dyDescent="0.25">
      <c r="A352">
        <v>46007</v>
      </c>
      <c r="B352">
        <v>45658</v>
      </c>
      <c r="C352">
        <v>46022</v>
      </c>
      <c r="D352">
        <v>2025</v>
      </c>
      <c r="E352">
        <v>12</v>
      </c>
      <c r="F352">
        <v>45992</v>
      </c>
      <c r="G352" s="1">
        <v>46022</v>
      </c>
      <c r="H352">
        <v>31</v>
      </c>
      <c r="I352" t="s">
        <v>961</v>
      </c>
      <c r="J352">
        <v>4</v>
      </c>
      <c r="K352" s="1">
        <v>45931</v>
      </c>
      <c r="L352" s="1">
        <v>46022</v>
      </c>
      <c r="M352">
        <v>51</v>
      </c>
      <c r="N352">
        <v>3</v>
      </c>
      <c r="O352" s="1">
        <v>46005</v>
      </c>
      <c r="P352" s="1">
        <v>46011</v>
      </c>
      <c r="Q352">
        <v>16</v>
      </c>
      <c r="R352">
        <v>2</v>
      </c>
      <c r="S352">
        <v>350</v>
      </c>
      <c r="T352" s="1">
        <v>46007</v>
      </c>
      <c r="U352" s="1">
        <v>46007</v>
      </c>
      <c r="V352" t="s">
        <v>940</v>
      </c>
    </row>
    <row r="353" spans="1:22" x14ac:dyDescent="0.25">
      <c r="A353">
        <v>46008</v>
      </c>
      <c r="B353">
        <v>45658</v>
      </c>
      <c r="C353">
        <v>46022</v>
      </c>
      <c r="D353">
        <v>2025</v>
      </c>
      <c r="E353">
        <v>12</v>
      </c>
      <c r="F353">
        <v>45992</v>
      </c>
      <c r="G353" s="1">
        <v>46022</v>
      </c>
      <c r="H353">
        <v>31</v>
      </c>
      <c r="I353" t="s">
        <v>961</v>
      </c>
      <c r="J353">
        <v>4</v>
      </c>
      <c r="K353" s="1">
        <v>45931</v>
      </c>
      <c r="L353" s="1">
        <v>46022</v>
      </c>
      <c r="M353">
        <v>51</v>
      </c>
      <c r="N353">
        <v>3</v>
      </c>
      <c r="O353" s="1">
        <v>46005</v>
      </c>
      <c r="P353" s="1">
        <v>46011</v>
      </c>
      <c r="Q353">
        <v>17</v>
      </c>
      <c r="R353">
        <v>3</v>
      </c>
      <c r="S353">
        <v>351</v>
      </c>
      <c r="T353" s="1">
        <v>46008</v>
      </c>
      <c r="U353" s="1">
        <v>46008</v>
      </c>
      <c r="V353" t="s">
        <v>942</v>
      </c>
    </row>
    <row r="354" spans="1:22" x14ac:dyDescent="0.25">
      <c r="A354">
        <v>46009</v>
      </c>
      <c r="B354">
        <v>45658</v>
      </c>
      <c r="C354">
        <v>46022</v>
      </c>
      <c r="D354">
        <v>2025</v>
      </c>
      <c r="E354">
        <v>12</v>
      </c>
      <c r="F354">
        <v>45992</v>
      </c>
      <c r="G354" s="1">
        <v>46022</v>
      </c>
      <c r="H354">
        <v>31</v>
      </c>
      <c r="I354" t="s">
        <v>961</v>
      </c>
      <c r="J354">
        <v>4</v>
      </c>
      <c r="K354" s="1">
        <v>45931</v>
      </c>
      <c r="L354" s="1">
        <v>46022</v>
      </c>
      <c r="M354">
        <v>51</v>
      </c>
      <c r="N354">
        <v>3</v>
      </c>
      <c r="O354" s="1">
        <v>46005</v>
      </c>
      <c r="P354" s="1">
        <v>46011</v>
      </c>
      <c r="Q354">
        <v>18</v>
      </c>
      <c r="R354">
        <v>4</v>
      </c>
      <c r="S354">
        <v>352</v>
      </c>
      <c r="T354" s="1">
        <v>46009</v>
      </c>
      <c r="U354" s="1">
        <v>46009</v>
      </c>
      <c r="V354" t="s">
        <v>943</v>
      </c>
    </row>
    <row r="355" spans="1:22" x14ac:dyDescent="0.25">
      <c r="A355">
        <v>46010</v>
      </c>
      <c r="B355">
        <v>45658</v>
      </c>
      <c r="C355">
        <v>46022</v>
      </c>
      <c r="D355">
        <v>2025</v>
      </c>
      <c r="E355">
        <v>12</v>
      </c>
      <c r="F355">
        <v>45992</v>
      </c>
      <c r="G355" s="1">
        <v>46022</v>
      </c>
      <c r="H355">
        <v>31</v>
      </c>
      <c r="I355" t="s">
        <v>961</v>
      </c>
      <c r="J355">
        <v>4</v>
      </c>
      <c r="K355" s="1">
        <v>45931</v>
      </c>
      <c r="L355" s="1">
        <v>46022</v>
      </c>
      <c r="M355">
        <v>51</v>
      </c>
      <c r="N355">
        <v>3</v>
      </c>
      <c r="O355" s="1">
        <v>46005</v>
      </c>
      <c r="P355" s="1">
        <v>46011</v>
      </c>
      <c r="Q355">
        <v>19</v>
      </c>
      <c r="R355">
        <v>5</v>
      </c>
      <c r="S355">
        <v>353</v>
      </c>
      <c r="T355" s="1">
        <v>46010</v>
      </c>
      <c r="U355" s="1">
        <v>46010</v>
      </c>
      <c r="V355" t="s">
        <v>666</v>
      </c>
    </row>
    <row r="356" spans="1:22" x14ac:dyDescent="0.25">
      <c r="A356">
        <v>46011</v>
      </c>
      <c r="B356">
        <v>45658</v>
      </c>
      <c r="C356">
        <v>46022</v>
      </c>
      <c r="D356">
        <v>2025</v>
      </c>
      <c r="E356">
        <v>12</v>
      </c>
      <c r="F356">
        <v>45992</v>
      </c>
      <c r="G356" s="1">
        <v>46022</v>
      </c>
      <c r="H356">
        <v>31</v>
      </c>
      <c r="I356" t="s">
        <v>961</v>
      </c>
      <c r="J356">
        <v>4</v>
      </c>
      <c r="K356" s="1">
        <v>45931</v>
      </c>
      <c r="L356" s="1">
        <v>46022</v>
      </c>
      <c r="M356">
        <v>51</v>
      </c>
      <c r="N356">
        <v>3</v>
      </c>
      <c r="O356" s="1">
        <v>46005</v>
      </c>
      <c r="P356" s="1">
        <v>46011</v>
      </c>
      <c r="Q356">
        <v>20</v>
      </c>
      <c r="R356">
        <v>6</v>
      </c>
      <c r="S356">
        <v>354</v>
      </c>
      <c r="T356" s="1">
        <v>46011</v>
      </c>
      <c r="U356" s="1">
        <v>46011</v>
      </c>
      <c r="V356" t="s">
        <v>944</v>
      </c>
    </row>
    <row r="357" spans="1:22" x14ac:dyDescent="0.25">
      <c r="A357">
        <v>46012</v>
      </c>
      <c r="B357">
        <v>45658</v>
      </c>
      <c r="C357">
        <v>46022</v>
      </c>
      <c r="D357">
        <v>2025</v>
      </c>
      <c r="E357">
        <v>12</v>
      </c>
      <c r="F357">
        <v>45992</v>
      </c>
      <c r="G357" s="1">
        <v>46022</v>
      </c>
      <c r="H357">
        <v>31</v>
      </c>
      <c r="I357" t="s">
        <v>961</v>
      </c>
      <c r="J357">
        <v>4</v>
      </c>
      <c r="K357" s="1">
        <v>45931</v>
      </c>
      <c r="L357" s="1">
        <v>46022</v>
      </c>
      <c r="M357">
        <v>52</v>
      </c>
      <c r="N357">
        <v>4</v>
      </c>
      <c r="O357" s="1">
        <v>46012</v>
      </c>
      <c r="P357" s="1">
        <v>46018</v>
      </c>
      <c r="Q357">
        <v>21</v>
      </c>
      <c r="R357">
        <v>0</v>
      </c>
      <c r="S357">
        <v>355</v>
      </c>
      <c r="T357" s="1">
        <v>46012</v>
      </c>
      <c r="U357" s="1">
        <v>46012</v>
      </c>
      <c r="V357" t="s">
        <v>945</v>
      </c>
    </row>
    <row r="358" spans="1:22" x14ac:dyDescent="0.25">
      <c r="A358">
        <v>46013</v>
      </c>
      <c r="B358">
        <v>45658</v>
      </c>
      <c r="C358">
        <v>46022</v>
      </c>
      <c r="D358">
        <v>2025</v>
      </c>
      <c r="E358">
        <v>12</v>
      </c>
      <c r="F358">
        <v>45992</v>
      </c>
      <c r="G358" s="1">
        <v>46022</v>
      </c>
      <c r="H358">
        <v>31</v>
      </c>
      <c r="I358" t="s">
        <v>961</v>
      </c>
      <c r="J358">
        <v>4</v>
      </c>
      <c r="K358" s="1">
        <v>45931</v>
      </c>
      <c r="L358" s="1">
        <v>46022</v>
      </c>
      <c r="M358">
        <v>52</v>
      </c>
      <c r="N358">
        <v>4</v>
      </c>
      <c r="O358" s="1">
        <v>46012</v>
      </c>
      <c r="P358" s="1">
        <v>46018</v>
      </c>
      <c r="Q358">
        <v>22</v>
      </c>
      <c r="R358">
        <v>1</v>
      </c>
      <c r="S358">
        <v>356</v>
      </c>
      <c r="T358" s="1">
        <v>46013</v>
      </c>
      <c r="U358" s="1">
        <v>46013</v>
      </c>
      <c r="V358" t="s">
        <v>941</v>
      </c>
    </row>
    <row r="359" spans="1:22" x14ac:dyDescent="0.25">
      <c r="A359">
        <v>46014</v>
      </c>
      <c r="B359">
        <v>45658</v>
      </c>
      <c r="C359">
        <v>46022</v>
      </c>
      <c r="D359">
        <v>2025</v>
      </c>
      <c r="E359">
        <v>12</v>
      </c>
      <c r="F359">
        <v>45992</v>
      </c>
      <c r="G359" s="1">
        <v>46022</v>
      </c>
      <c r="H359">
        <v>31</v>
      </c>
      <c r="I359" t="s">
        <v>961</v>
      </c>
      <c r="J359">
        <v>4</v>
      </c>
      <c r="K359" s="1">
        <v>45931</v>
      </c>
      <c r="L359" s="1">
        <v>46022</v>
      </c>
      <c r="M359">
        <v>52</v>
      </c>
      <c r="N359">
        <v>4</v>
      </c>
      <c r="O359" s="1">
        <v>46012</v>
      </c>
      <c r="P359" s="1">
        <v>46018</v>
      </c>
      <c r="Q359">
        <v>23</v>
      </c>
      <c r="R359">
        <v>2</v>
      </c>
      <c r="S359">
        <v>357</v>
      </c>
      <c r="T359" s="1">
        <v>46014</v>
      </c>
      <c r="U359" s="1">
        <v>46014</v>
      </c>
      <c r="V359" t="s">
        <v>940</v>
      </c>
    </row>
    <row r="360" spans="1:22" x14ac:dyDescent="0.25">
      <c r="A360">
        <v>46015</v>
      </c>
      <c r="B360">
        <v>45658</v>
      </c>
      <c r="C360">
        <v>46022</v>
      </c>
      <c r="D360">
        <v>2025</v>
      </c>
      <c r="E360">
        <v>12</v>
      </c>
      <c r="F360">
        <v>45992</v>
      </c>
      <c r="G360" s="1">
        <v>46022</v>
      </c>
      <c r="H360">
        <v>31</v>
      </c>
      <c r="I360" t="s">
        <v>961</v>
      </c>
      <c r="J360">
        <v>4</v>
      </c>
      <c r="K360" s="1">
        <v>45931</v>
      </c>
      <c r="L360" s="1">
        <v>46022</v>
      </c>
      <c r="M360">
        <v>52</v>
      </c>
      <c r="N360">
        <v>4</v>
      </c>
      <c r="O360" s="1">
        <v>46012</v>
      </c>
      <c r="P360" s="1">
        <v>46018</v>
      </c>
      <c r="Q360">
        <v>24</v>
      </c>
      <c r="R360">
        <v>3</v>
      </c>
      <c r="S360">
        <v>358</v>
      </c>
      <c r="T360" s="1">
        <v>46015</v>
      </c>
      <c r="U360" s="1">
        <v>46015</v>
      </c>
      <c r="V360" t="s">
        <v>942</v>
      </c>
    </row>
    <row r="361" spans="1:22" x14ac:dyDescent="0.25">
      <c r="A361">
        <v>46016</v>
      </c>
      <c r="B361">
        <v>45658</v>
      </c>
      <c r="C361">
        <v>46022</v>
      </c>
      <c r="D361">
        <v>2025</v>
      </c>
      <c r="E361">
        <v>12</v>
      </c>
      <c r="F361">
        <v>45992</v>
      </c>
      <c r="G361" s="1">
        <v>46022</v>
      </c>
      <c r="H361">
        <v>31</v>
      </c>
      <c r="I361" t="s">
        <v>961</v>
      </c>
      <c r="J361">
        <v>4</v>
      </c>
      <c r="K361" s="1">
        <v>45931</v>
      </c>
      <c r="L361" s="1">
        <v>46022</v>
      </c>
      <c r="M361">
        <v>52</v>
      </c>
      <c r="N361">
        <v>4</v>
      </c>
      <c r="O361" s="1">
        <v>46012</v>
      </c>
      <c r="P361" s="1">
        <v>46018</v>
      </c>
      <c r="Q361">
        <v>25</v>
      </c>
      <c r="R361">
        <v>4</v>
      </c>
      <c r="S361">
        <v>359</v>
      </c>
      <c r="T361" s="1">
        <v>46016</v>
      </c>
      <c r="U361" s="1">
        <v>46016</v>
      </c>
      <c r="V361" t="s">
        <v>943</v>
      </c>
    </row>
    <row r="362" spans="1:22" x14ac:dyDescent="0.25">
      <c r="A362">
        <v>46017</v>
      </c>
      <c r="B362">
        <v>45658</v>
      </c>
      <c r="C362">
        <v>46022</v>
      </c>
      <c r="D362">
        <v>2025</v>
      </c>
      <c r="E362">
        <v>12</v>
      </c>
      <c r="F362">
        <v>45992</v>
      </c>
      <c r="G362" s="1">
        <v>46022</v>
      </c>
      <c r="H362">
        <v>31</v>
      </c>
      <c r="I362" t="s">
        <v>961</v>
      </c>
      <c r="J362">
        <v>4</v>
      </c>
      <c r="K362" s="1">
        <v>45931</v>
      </c>
      <c r="L362" s="1">
        <v>46022</v>
      </c>
      <c r="M362">
        <v>52</v>
      </c>
      <c r="N362">
        <v>4</v>
      </c>
      <c r="O362" s="1">
        <v>46012</v>
      </c>
      <c r="P362" s="1">
        <v>46018</v>
      </c>
      <c r="Q362">
        <v>26</v>
      </c>
      <c r="R362">
        <v>5</v>
      </c>
      <c r="S362">
        <v>360</v>
      </c>
      <c r="T362" s="1">
        <v>46017</v>
      </c>
      <c r="U362" s="1">
        <v>46017</v>
      </c>
      <c r="V362" t="s">
        <v>666</v>
      </c>
    </row>
    <row r="363" spans="1:22" x14ac:dyDescent="0.25">
      <c r="A363">
        <v>46018</v>
      </c>
      <c r="B363">
        <v>45658</v>
      </c>
      <c r="C363">
        <v>46022</v>
      </c>
      <c r="D363">
        <v>2025</v>
      </c>
      <c r="E363">
        <v>12</v>
      </c>
      <c r="F363">
        <v>45992</v>
      </c>
      <c r="G363" s="1">
        <v>46022</v>
      </c>
      <c r="H363">
        <v>31</v>
      </c>
      <c r="I363" t="s">
        <v>961</v>
      </c>
      <c r="J363">
        <v>4</v>
      </c>
      <c r="K363" s="1">
        <v>45931</v>
      </c>
      <c r="L363" s="1">
        <v>46022</v>
      </c>
      <c r="M363">
        <v>52</v>
      </c>
      <c r="N363">
        <v>4</v>
      </c>
      <c r="O363" s="1">
        <v>46012</v>
      </c>
      <c r="P363" s="1">
        <v>46018</v>
      </c>
      <c r="Q363">
        <v>27</v>
      </c>
      <c r="R363">
        <v>6</v>
      </c>
      <c r="S363">
        <v>361</v>
      </c>
      <c r="T363" s="1">
        <v>46018</v>
      </c>
      <c r="U363" s="1">
        <v>46018</v>
      </c>
      <c r="V363" t="s">
        <v>944</v>
      </c>
    </row>
    <row r="364" spans="1:22" x14ac:dyDescent="0.25">
      <c r="A364">
        <v>46019</v>
      </c>
      <c r="B364">
        <v>45658</v>
      </c>
      <c r="C364">
        <v>46022</v>
      </c>
      <c r="D364">
        <v>2025</v>
      </c>
      <c r="E364">
        <v>12</v>
      </c>
      <c r="F364">
        <v>45992</v>
      </c>
      <c r="G364" s="1">
        <v>46022</v>
      </c>
      <c r="H364">
        <v>31</v>
      </c>
      <c r="I364" t="s">
        <v>961</v>
      </c>
      <c r="J364">
        <v>4</v>
      </c>
      <c r="K364" s="1">
        <v>45931</v>
      </c>
      <c r="L364" s="1">
        <v>46022</v>
      </c>
      <c r="M364">
        <v>53</v>
      </c>
      <c r="N364">
        <v>5</v>
      </c>
      <c r="O364" s="1">
        <v>46019</v>
      </c>
      <c r="P364" s="1">
        <v>46025</v>
      </c>
      <c r="Q364">
        <v>28</v>
      </c>
      <c r="R364">
        <v>0</v>
      </c>
      <c r="S364">
        <v>362</v>
      </c>
      <c r="T364" s="1">
        <v>46019</v>
      </c>
      <c r="U364" s="1">
        <v>46019</v>
      </c>
      <c r="V364" t="s">
        <v>945</v>
      </c>
    </row>
    <row r="365" spans="1:22" x14ac:dyDescent="0.25">
      <c r="A365">
        <v>46020</v>
      </c>
      <c r="B365">
        <v>45658</v>
      </c>
      <c r="C365">
        <v>46022</v>
      </c>
      <c r="D365">
        <v>2025</v>
      </c>
      <c r="E365">
        <v>12</v>
      </c>
      <c r="F365">
        <v>45992</v>
      </c>
      <c r="G365" s="1">
        <v>46022</v>
      </c>
      <c r="H365">
        <v>31</v>
      </c>
      <c r="I365" t="s">
        <v>961</v>
      </c>
      <c r="J365">
        <v>4</v>
      </c>
      <c r="K365" s="1">
        <v>45931</v>
      </c>
      <c r="L365" s="1">
        <v>46022</v>
      </c>
      <c r="M365">
        <v>53</v>
      </c>
      <c r="N365">
        <v>5</v>
      </c>
      <c r="O365" s="1">
        <v>46019</v>
      </c>
      <c r="P365" s="1">
        <v>46025</v>
      </c>
      <c r="Q365">
        <v>29</v>
      </c>
      <c r="R365">
        <v>1</v>
      </c>
      <c r="S365">
        <v>363</v>
      </c>
      <c r="T365" s="1">
        <v>46020</v>
      </c>
      <c r="U365" s="1">
        <v>46020</v>
      </c>
      <c r="V365" t="s">
        <v>941</v>
      </c>
    </row>
    <row r="366" spans="1:22" x14ac:dyDescent="0.25">
      <c r="A366">
        <v>46021</v>
      </c>
      <c r="B366">
        <v>45658</v>
      </c>
      <c r="C366">
        <v>46022</v>
      </c>
      <c r="D366">
        <v>2025</v>
      </c>
      <c r="E366">
        <v>12</v>
      </c>
      <c r="F366">
        <v>45992</v>
      </c>
      <c r="G366" s="1">
        <v>46022</v>
      </c>
      <c r="H366">
        <v>31</v>
      </c>
      <c r="I366" t="s">
        <v>961</v>
      </c>
      <c r="J366">
        <v>4</v>
      </c>
      <c r="K366" s="1">
        <v>45931</v>
      </c>
      <c r="L366" s="1">
        <v>46022</v>
      </c>
      <c r="M366">
        <v>53</v>
      </c>
      <c r="N366">
        <v>5</v>
      </c>
      <c r="O366" s="1">
        <v>46019</v>
      </c>
      <c r="P366" s="1">
        <v>46025</v>
      </c>
      <c r="Q366">
        <v>30</v>
      </c>
      <c r="R366">
        <v>2</v>
      </c>
      <c r="S366">
        <v>364</v>
      </c>
      <c r="T366" s="1">
        <v>46021</v>
      </c>
      <c r="U366" s="1">
        <v>46021</v>
      </c>
      <c r="V366" t="s">
        <v>940</v>
      </c>
    </row>
    <row r="367" spans="1:22" x14ac:dyDescent="0.25">
      <c r="A367">
        <v>46022</v>
      </c>
      <c r="B367">
        <v>45658</v>
      </c>
      <c r="C367">
        <v>46022</v>
      </c>
      <c r="D367">
        <v>2025</v>
      </c>
      <c r="E367">
        <v>12</v>
      </c>
      <c r="F367">
        <v>45992</v>
      </c>
      <c r="G367" s="1">
        <v>46022</v>
      </c>
      <c r="H367">
        <v>31</v>
      </c>
      <c r="I367" t="s">
        <v>961</v>
      </c>
      <c r="J367">
        <v>4</v>
      </c>
      <c r="K367" s="1">
        <v>45931</v>
      </c>
      <c r="L367" s="1">
        <v>46022</v>
      </c>
      <c r="M367">
        <v>53</v>
      </c>
      <c r="N367">
        <v>5</v>
      </c>
      <c r="O367" s="1">
        <v>46019</v>
      </c>
      <c r="P367" s="1">
        <v>46025</v>
      </c>
      <c r="Q367">
        <v>31</v>
      </c>
      <c r="R367">
        <v>3</v>
      </c>
      <c r="S367">
        <v>365</v>
      </c>
      <c r="T367" s="1">
        <v>46022</v>
      </c>
      <c r="U367" s="1">
        <v>46022</v>
      </c>
      <c r="V367" t="s">
        <v>942</v>
      </c>
    </row>
    <row r="368" spans="1:22" x14ac:dyDescent="0.25">
      <c r="A368">
        <v>46023</v>
      </c>
      <c r="B368">
        <v>46023</v>
      </c>
      <c r="C368">
        <v>46387</v>
      </c>
      <c r="D368">
        <v>2026</v>
      </c>
      <c r="E368">
        <v>1</v>
      </c>
      <c r="F368">
        <v>46023</v>
      </c>
      <c r="G368" s="1">
        <v>46053</v>
      </c>
      <c r="H368">
        <v>31</v>
      </c>
      <c r="I368" t="s">
        <v>55</v>
      </c>
      <c r="J368">
        <v>1</v>
      </c>
      <c r="K368" s="1">
        <v>46023</v>
      </c>
      <c r="L368" s="1">
        <v>46112</v>
      </c>
      <c r="M368">
        <v>1</v>
      </c>
      <c r="N368">
        <v>1</v>
      </c>
      <c r="O368" s="1">
        <v>46019</v>
      </c>
      <c r="P368" s="1">
        <v>46025</v>
      </c>
      <c r="Q368">
        <v>1</v>
      </c>
      <c r="R368">
        <v>4</v>
      </c>
      <c r="S368">
        <v>1</v>
      </c>
      <c r="T368" s="1">
        <v>46023</v>
      </c>
      <c r="U368" s="1">
        <v>46023</v>
      </c>
      <c r="V368" t="s">
        <v>943</v>
      </c>
    </row>
  </sheetData>
  <pageMargins left="0.7" right="0.7" top="0.75" bottom="0.75" header="0.3" footer="0.3"/>
  <tableParts count="1">
    <tablePart r:id="rId1"/>
  </tablePart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E91DA0-8D8F-4939-9361-32330E4A6A22}">
  <dimension ref="A1:AL31"/>
  <sheetViews>
    <sheetView workbookViewId="0">
      <selection sqref="A1:AL31"/>
    </sheetView>
  </sheetViews>
  <sheetFormatPr defaultRowHeight="15" x14ac:dyDescent="0.25"/>
  <cols>
    <col min="1" max="2" width="14" bestFit="1" customWidth="1"/>
    <col min="3" max="3" width="14.28515625" bestFit="1" customWidth="1"/>
    <col min="4" max="4" width="21.5703125" bestFit="1" customWidth="1"/>
    <col min="5" max="5" width="21.7109375" bestFit="1" customWidth="1"/>
    <col min="6" max="6" width="12.7109375" bestFit="1" customWidth="1"/>
    <col min="7" max="7" width="13" bestFit="1" customWidth="1"/>
    <col min="8" max="8" width="29.7109375" bestFit="1" customWidth="1"/>
    <col min="9" max="9" width="28.28515625" bestFit="1" customWidth="1"/>
    <col min="10" max="10" width="15.7109375" bestFit="1" customWidth="1"/>
    <col min="11" max="11" width="65.42578125" bestFit="1" customWidth="1"/>
    <col min="12" max="12" width="6.7109375" bestFit="1" customWidth="1"/>
    <col min="13" max="13" width="7.42578125" bestFit="1" customWidth="1"/>
    <col min="14" max="14" width="80.85546875" bestFit="1" customWidth="1"/>
    <col min="15" max="15" width="17.7109375" bestFit="1" customWidth="1"/>
    <col min="16" max="16" width="19.140625" bestFit="1" customWidth="1"/>
    <col min="17" max="17" width="14.28515625" bestFit="1" customWidth="1"/>
    <col min="18" max="18" width="9" bestFit="1" customWidth="1"/>
    <col min="19" max="19" width="9.7109375" bestFit="1" customWidth="1"/>
    <col min="20" max="20" width="11.7109375" bestFit="1" customWidth="1"/>
    <col min="21" max="21" width="14.28515625" bestFit="1" customWidth="1"/>
    <col min="22" max="22" width="11.7109375" bestFit="1" customWidth="1"/>
    <col min="23" max="23" width="9" bestFit="1" customWidth="1"/>
    <col min="24" max="24" width="9.7109375" bestFit="1" customWidth="1"/>
    <col min="25" max="25" width="13.42578125" bestFit="1" customWidth="1"/>
    <col min="26" max="26" width="14.7109375" bestFit="1" customWidth="1"/>
    <col min="27" max="27" width="26" bestFit="1" customWidth="1"/>
    <col min="28" max="28" width="8.5703125" bestFit="1" customWidth="1"/>
    <col min="29" max="29" width="23.28515625" bestFit="1" customWidth="1"/>
    <col min="30" max="30" width="26.140625" bestFit="1" customWidth="1"/>
    <col min="31" max="31" width="29.7109375" bestFit="1" customWidth="1"/>
    <col min="32" max="32" width="20" bestFit="1" customWidth="1"/>
    <col min="33" max="33" width="9.7109375" bestFit="1" customWidth="1"/>
    <col min="34" max="34" width="13.7109375" bestFit="1" customWidth="1"/>
    <col min="35" max="35" width="12" bestFit="1" customWidth="1"/>
    <col min="36" max="36" width="14" bestFit="1" customWidth="1"/>
    <col min="37" max="37" width="13.28515625" bestFit="1" customWidth="1"/>
    <col min="38" max="38" width="26" bestFit="1" customWidth="1"/>
  </cols>
  <sheetData>
    <row r="1" spans="1:38" x14ac:dyDescent="0.25">
      <c r="A1" t="s">
        <v>971</v>
      </c>
      <c r="B1" t="s">
        <v>972</v>
      </c>
      <c r="C1" t="s">
        <v>973</v>
      </c>
      <c r="D1" t="s">
        <v>974</v>
      </c>
      <c r="E1" t="s">
        <v>975</v>
      </c>
      <c r="F1" t="s">
        <v>976</v>
      </c>
      <c r="G1" t="s">
        <v>977</v>
      </c>
      <c r="H1" t="s">
        <v>978</v>
      </c>
      <c r="I1" t="s">
        <v>979</v>
      </c>
      <c r="J1" t="s">
        <v>980</v>
      </c>
      <c r="K1" t="s">
        <v>13</v>
      </c>
      <c r="L1" t="s">
        <v>14</v>
      </c>
      <c r="M1" t="s">
        <v>15</v>
      </c>
      <c r="N1" t="s">
        <v>16</v>
      </c>
      <c r="O1" t="s">
        <v>981</v>
      </c>
      <c r="P1" t="s">
        <v>982</v>
      </c>
      <c r="Q1" t="s">
        <v>983</v>
      </c>
      <c r="R1" t="s">
        <v>20</v>
      </c>
      <c r="S1" t="s">
        <v>21</v>
      </c>
      <c r="T1" t="s">
        <v>984</v>
      </c>
      <c r="U1" t="s">
        <v>985</v>
      </c>
      <c r="V1" t="s">
        <v>986</v>
      </c>
      <c r="W1" t="s">
        <v>25</v>
      </c>
      <c r="X1" t="s">
        <v>26</v>
      </c>
      <c r="Y1" t="s">
        <v>987</v>
      </c>
      <c r="Z1" t="s">
        <v>28</v>
      </c>
      <c r="AA1" t="s">
        <v>988</v>
      </c>
      <c r="AB1" t="s">
        <v>30</v>
      </c>
      <c r="AC1" t="s">
        <v>31</v>
      </c>
      <c r="AD1" t="s">
        <v>32</v>
      </c>
      <c r="AE1" t="s">
        <v>989</v>
      </c>
      <c r="AF1" t="s">
        <v>990</v>
      </c>
      <c r="AG1" t="s">
        <v>991</v>
      </c>
      <c r="AH1" t="s">
        <v>992</v>
      </c>
      <c r="AI1" t="s">
        <v>993</v>
      </c>
      <c r="AJ1" t="s">
        <v>994</v>
      </c>
      <c r="AK1" t="s">
        <v>995</v>
      </c>
      <c r="AL1" t="s">
        <v>996</v>
      </c>
    </row>
    <row r="2" spans="1:38" x14ac:dyDescent="0.25">
      <c r="A2" t="s">
        <v>210</v>
      </c>
      <c r="B2">
        <v>45660</v>
      </c>
      <c r="C2">
        <v>0.89583333333333326</v>
      </c>
      <c r="D2">
        <v>45661</v>
      </c>
      <c r="E2">
        <v>0.26736111111111116</v>
      </c>
      <c r="F2">
        <v>45661</v>
      </c>
      <c r="G2">
        <v>0.4577430555555555</v>
      </c>
      <c r="H2" t="s">
        <v>864</v>
      </c>
      <c r="K2" t="s">
        <v>214</v>
      </c>
      <c r="L2" t="s">
        <v>215</v>
      </c>
      <c r="M2" t="s">
        <v>865</v>
      </c>
      <c r="N2" t="s">
        <v>866</v>
      </c>
      <c r="Q2" t="s">
        <v>867</v>
      </c>
      <c r="R2" t="s">
        <v>868</v>
      </c>
      <c r="S2" t="s">
        <v>218</v>
      </c>
      <c r="T2" t="s">
        <v>65</v>
      </c>
      <c r="Y2" t="s">
        <v>869</v>
      </c>
      <c r="Z2" t="s">
        <v>67</v>
      </c>
      <c r="AA2" t="s">
        <v>219</v>
      </c>
      <c r="AB2" t="s">
        <v>206</v>
      </c>
      <c r="AC2" t="s">
        <v>220</v>
      </c>
      <c r="AD2" t="s">
        <v>71</v>
      </c>
      <c r="AE2" t="s">
        <v>221</v>
      </c>
      <c r="AF2">
        <v>9</v>
      </c>
      <c r="AG2">
        <v>45660</v>
      </c>
      <c r="AI2">
        <v>0.89583333333333326</v>
      </c>
      <c r="AK2" s="32"/>
      <c r="AL2" t="s">
        <v>997</v>
      </c>
    </row>
    <row r="3" spans="1:38" x14ac:dyDescent="0.25">
      <c r="A3" t="s">
        <v>395</v>
      </c>
      <c r="B3">
        <v>45664</v>
      </c>
      <c r="C3">
        <v>0.58333333333333326</v>
      </c>
      <c r="F3">
        <v>45667</v>
      </c>
      <c r="G3">
        <v>0.59781250000000008</v>
      </c>
      <c r="H3" t="s">
        <v>870</v>
      </c>
      <c r="I3" t="s">
        <v>400</v>
      </c>
      <c r="K3" t="s">
        <v>401</v>
      </c>
      <c r="L3" t="s">
        <v>134</v>
      </c>
      <c r="M3" t="s">
        <v>871</v>
      </c>
      <c r="N3" t="s">
        <v>872</v>
      </c>
      <c r="Y3" t="s">
        <v>873</v>
      </c>
      <c r="Z3" t="s">
        <v>67</v>
      </c>
      <c r="AA3" t="s">
        <v>404</v>
      </c>
      <c r="AB3" t="s">
        <v>405</v>
      </c>
      <c r="AC3" t="s">
        <v>406</v>
      </c>
      <c r="AD3" t="s">
        <v>71</v>
      </c>
      <c r="AE3" t="s">
        <v>407</v>
      </c>
      <c r="AF3">
        <v>9</v>
      </c>
      <c r="AG3">
        <v>45664</v>
      </c>
      <c r="AI3">
        <v>0.58333333333333326</v>
      </c>
      <c r="AK3" s="32"/>
      <c r="AL3" t="s">
        <v>997</v>
      </c>
    </row>
    <row r="4" spans="1:38" x14ac:dyDescent="0.25">
      <c r="A4" t="s">
        <v>53</v>
      </c>
      <c r="B4">
        <v>45663</v>
      </c>
      <c r="C4">
        <v>0.64583333333333326</v>
      </c>
      <c r="D4">
        <v>45667</v>
      </c>
      <c r="F4">
        <v>45667</v>
      </c>
      <c r="G4">
        <v>0.82629629629629631</v>
      </c>
      <c r="H4" t="s">
        <v>874</v>
      </c>
      <c r="K4" t="s">
        <v>60</v>
      </c>
      <c r="M4" t="s">
        <v>871</v>
      </c>
      <c r="N4" t="s">
        <v>875</v>
      </c>
      <c r="Q4" t="s">
        <v>62</v>
      </c>
      <c r="R4" t="s">
        <v>868</v>
      </c>
      <c r="S4" t="s">
        <v>64</v>
      </c>
      <c r="T4" t="s">
        <v>65</v>
      </c>
      <c r="Y4" t="s">
        <v>876</v>
      </c>
      <c r="Z4" t="s">
        <v>67</v>
      </c>
      <c r="AA4" t="s">
        <v>68</v>
      </c>
      <c r="AB4" t="s">
        <v>69</v>
      </c>
      <c r="AC4" t="s">
        <v>70</v>
      </c>
      <c r="AD4" t="s">
        <v>71</v>
      </c>
      <c r="AE4" t="s">
        <v>72</v>
      </c>
      <c r="AF4">
        <v>9</v>
      </c>
      <c r="AG4">
        <v>45663</v>
      </c>
      <c r="AI4">
        <v>0.64583333333333326</v>
      </c>
      <c r="AK4" s="32"/>
      <c r="AL4" t="s">
        <v>997</v>
      </c>
    </row>
    <row r="5" spans="1:38" x14ac:dyDescent="0.25">
      <c r="A5" t="s">
        <v>341</v>
      </c>
      <c r="B5">
        <v>45670</v>
      </c>
      <c r="C5">
        <v>0.50347222222222232</v>
      </c>
      <c r="F5">
        <v>45670</v>
      </c>
      <c r="G5">
        <v>0.50537037037037047</v>
      </c>
      <c r="H5" t="s">
        <v>344</v>
      </c>
      <c r="I5" t="s">
        <v>877</v>
      </c>
      <c r="J5" t="s">
        <v>878</v>
      </c>
      <c r="K5" t="s">
        <v>348</v>
      </c>
      <c r="L5" t="s">
        <v>84</v>
      </c>
      <c r="M5" t="s">
        <v>879</v>
      </c>
      <c r="N5" t="s">
        <v>880</v>
      </c>
      <c r="Y5" t="s">
        <v>869</v>
      </c>
      <c r="Z5" t="s">
        <v>67</v>
      </c>
      <c r="AA5" t="s">
        <v>350</v>
      </c>
      <c r="AB5" t="s">
        <v>351</v>
      </c>
      <c r="AC5" t="s">
        <v>352</v>
      </c>
      <c r="AD5" t="s">
        <v>123</v>
      </c>
      <c r="AE5" t="s">
        <v>353</v>
      </c>
      <c r="AF5">
        <v>9</v>
      </c>
      <c r="AG5">
        <v>45670</v>
      </c>
      <c r="AI5">
        <v>0.50347222222222232</v>
      </c>
      <c r="AK5" s="32"/>
      <c r="AL5" t="s">
        <v>997</v>
      </c>
    </row>
    <row r="6" spans="1:38" x14ac:dyDescent="0.25">
      <c r="A6" t="s">
        <v>356</v>
      </c>
      <c r="B6">
        <v>45671</v>
      </c>
      <c r="C6">
        <v>0.64067129629629638</v>
      </c>
      <c r="F6">
        <v>45671</v>
      </c>
      <c r="G6">
        <v>0.64067129629629638</v>
      </c>
      <c r="H6" t="s">
        <v>878</v>
      </c>
      <c r="I6" t="s">
        <v>881</v>
      </c>
      <c r="J6" t="s">
        <v>361</v>
      </c>
      <c r="K6" t="s">
        <v>362</v>
      </c>
      <c r="L6" t="s">
        <v>363</v>
      </c>
      <c r="M6" t="s">
        <v>865</v>
      </c>
      <c r="N6" t="s">
        <v>882</v>
      </c>
      <c r="Q6" t="s">
        <v>883</v>
      </c>
      <c r="R6" t="s">
        <v>884</v>
      </c>
      <c r="S6" t="s">
        <v>367</v>
      </c>
      <c r="T6" t="s">
        <v>65</v>
      </c>
      <c r="Y6" t="s">
        <v>885</v>
      </c>
      <c r="Z6" t="s">
        <v>67</v>
      </c>
      <c r="AA6" t="s">
        <v>219</v>
      </c>
      <c r="AB6" t="s">
        <v>368</v>
      </c>
      <c r="AC6" t="s">
        <v>160</v>
      </c>
      <c r="AD6" t="s">
        <v>123</v>
      </c>
      <c r="AE6" t="s">
        <v>353</v>
      </c>
      <c r="AF6">
        <v>9</v>
      </c>
      <c r="AG6">
        <v>45671</v>
      </c>
      <c r="AI6">
        <v>0.64067129629629638</v>
      </c>
      <c r="AK6" s="32"/>
      <c r="AL6" t="s">
        <v>997</v>
      </c>
    </row>
    <row r="7" spans="1:38" x14ac:dyDescent="0.25">
      <c r="A7" t="s">
        <v>224</v>
      </c>
      <c r="B7">
        <v>45672</v>
      </c>
      <c r="C7">
        <v>0.5398842592592592</v>
      </c>
      <c r="F7">
        <v>45672</v>
      </c>
      <c r="G7">
        <v>0.5398842592592592</v>
      </c>
      <c r="H7" t="s">
        <v>864</v>
      </c>
      <c r="K7" t="s">
        <v>227</v>
      </c>
      <c r="L7" t="s">
        <v>84</v>
      </c>
      <c r="M7" t="s">
        <v>879</v>
      </c>
      <c r="N7" t="s">
        <v>886</v>
      </c>
      <c r="Q7" t="s">
        <v>229</v>
      </c>
      <c r="R7" t="s">
        <v>868</v>
      </c>
      <c r="S7" t="s">
        <v>230</v>
      </c>
      <c r="T7" t="s">
        <v>65</v>
      </c>
      <c r="Y7" t="s">
        <v>885</v>
      </c>
      <c r="Z7" t="s">
        <v>67</v>
      </c>
      <c r="AA7" t="s">
        <v>231</v>
      </c>
      <c r="AB7" t="s">
        <v>232</v>
      </c>
      <c r="AC7" t="s">
        <v>70</v>
      </c>
      <c r="AD7" t="s">
        <v>71</v>
      </c>
      <c r="AE7" t="s">
        <v>221</v>
      </c>
      <c r="AF7">
        <v>9</v>
      </c>
      <c r="AG7">
        <v>45672</v>
      </c>
      <c r="AI7">
        <v>0.5398842592592592</v>
      </c>
      <c r="AK7" s="32"/>
      <c r="AL7" t="s">
        <v>997</v>
      </c>
    </row>
    <row r="8" spans="1:38" x14ac:dyDescent="0.25">
      <c r="A8" t="s">
        <v>129</v>
      </c>
      <c r="B8">
        <v>45673</v>
      </c>
      <c r="C8">
        <v>0.5</v>
      </c>
      <c r="D8">
        <v>45673</v>
      </c>
      <c r="E8">
        <v>0.75</v>
      </c>
      <c r="F8">
        <v>45673</v>
      </c>
      <c r="G8">
        <v>0.81587962962962957</v>
      </c>
      <c r="H8" t="s">
        <v>887</v>
      </c>
      <c r="K8" t="s">
        <v>133</v>
      </c>
      <c r="L8" t="s">
        <v>134</v>
      </c>
      <c r="M8" t="s">
        <v>871</v>
      </c>
      <c r="N8" t="s">
        <v>888</v>
      </c>
      <c r="Y8" t="s">
        <v>876</v>
      </c>
      <c r="Z8" t="s">
        <v>67</v>
      </c>
      <c r="AA8" t="s">
        <v>136</v>
      </c>
      <c r="AB8" t="s">
        <v>69</v>
      </c>
      <c r="AC8" t="s">
        <v>70</v>
      </c>
      <c r="AD8" t="s">
        <v>71</v>
      </c>
      <c r="AE8" t="s">
        <v>137</v>
      </c>
      <c r="AF8">
        <v>9</v>
      </c>
      <c r="AG8">
        <v>45673</v>
      </c>
      <c r="AI8">
        <v>0.5</v>
      </c>
      <c r="AK8" s="32"/>
      <c r="AL8" t="s">
        <v>997</v>
      </c>
    </row>
    <row r="9" spans="1:38" x14ac:dyDescent="0.25">
      <c r="A9" t="s">
        <v>371</v>
      </c>
      <c r="B9">
        <v>45673</v>
      </c>
      <c r="C9">
        <v>0.87708333333333344</v>
      </c>
      <c r="D9">
        <v>45673</v>
      </c>
      <c r="E9">
        <v>0.88611111111111107</v>
      </c>
      <c r="F9">
        <v>45674</v>
      </c>
      <c r="G9">
        <v>0.51179398148148159</v>
      </c>
      <c r="H9" t="s">
        <v>878</v>
      </c>
      <c r="K9" t="s">
        <v>374</v>
      </c>
      <c r="L9" t="s">
        <v>178</v>
      </c>
      <c r="M9" t="s">
        <v>865</v>
      </c>
      <c r="N9" t="s">
        <v>889</v>
      </c>
      <c r="R9" t="s">
        <v>890</v>
      </c>
      <c r="S9" t="s">
        <v>891</v>
      </c>
      <c r="Y9" t="s">
        <v>876</v>
      </c>
      <c r="Z9" t="s">
        <v>67</v>
      </c>
      <c r="AA9" t="s">
        <v>89</v>
      </c>
      <c r="AB9" t="s">
        <v>90</v>
      </c>
      <c r="AC9" t="s">
        <v>378</v>
      </c>
      <c r="AD9" t="s">
        <v>195</v>
      </c>
      <c r="AE9" t="s">
        <v>353</v>
      </c>
      <c r="AF9">
        <v>9</v>
      </c>
      <c r="AG9">
        <v>45673</v>
      </c>
      <c r="AI9">
        <v>0.87708333333333344</v>
      </c>
      <c r="AK9" s="32"/>
      <c r="AL9" t="s">
        <v>997</v>
      </c>
    </row>
    <row r="10" spans="1:38" x14ac:dyDescent="0.25">
      <c r="A10" t="s">
        <v>236</v>
      </c>
      <c r="B10">
        <v>45678</v>
      </c>
      <c r="C10">
        <v>0.79166666666666674</v>
      </c>
      <c r="D10">
        <v>45679</v>
      </c>
      <c r="E10">
        <v>0.13125000000000009</v>
      </c>
      <c r="F10">
        <v>45679</v>
      </c>
      <c r="G10">
        <v>0.13255787037037048</v>
      </c>
      <c r="H10" t="s">
        <v>864</v>
      </c>
      <c r="K10" t="s">
        <v>239</v>
      </c>
      <c r="L10" t="s">
        <v>178</v>
      </c>
      <c r="M10" t="s">
        <v>865</v>
      </c>
      <c r="N10" t="s">
        <v>892</v>
      </c>
      <c r="Q10" t="s">
        <v>241</v>
      </c>
      <c r="R10" t="s">
        <v>63</v>
      </c>
      <c r="S10" t="s">
        <v>242</v>
      </c>
      <c r="T10" t="s">
        <v>65</v>
      </c>
      <c r="Y10" t="s">
        <v>893</v>
      </c>
      <c r="Z10" t="s">
        <v>67</v>
      </c>
      <c r="AA10" t="s">
        <v>244</v>
      </c>
      <c r="AB10" t="s">
        <v>206</v>
      </c>
      <c r="AC10" t="s">
        <v>160</v>
      </c>
      <c r="AD10" t="s">
        <v>71</v>
      </c>
      <c r="AE10" t="s">
        <v>221</v>
      </c>
      <c r="AF10">
        <v>9</v>
      </c>
      <c r="AG10">
        <v>45678</v>
      </c>
      <c r="AI10">
        <v>0.79166666666666674</v>
      </c>
      <c r="AK10" s="32"/>
      <c r="AL10" t="s">
        <v>997</v>
      </c>
    </row>
    <row r="11" spans="1:38" x14ac:dyDescent="0.25">
      <c r="A11" t="s">
        <v>246</v>
      </c>
      <c r="B11">
        <v>45679</v>
      </c>
      <c r="C11">
        <v>0.33333333333333326</v>
      </c>
      <c r="D11">
        <v>45679</v>
      </c>
      <c r="E11">
        <v>0.80069444444444438</v>
      </c>
      <c r="F11">
        <v>45679</v>
      </c>
      <c r="G11">
        <v>0.8020370370370371</v>
      </c>
      <c r="H11" t="s">
        <v>864</v>
      </c>
      <c r="K11" t="s">
        <v>249</v>
      </c>
      <c r="L11" t="s">
        <v>250</v>
      </c>
      <c r="M11" t="s">
        <v>894</v>
      </c>
      <c r="N11" t="s">
        <v>895</v>
      </c>
      <c r="Q11" t="s">
        <v>252</v>
      </c>
      <c r="R11" t="s">
        <v>896</v>
      </c>
      <c r="S11" t="s">
        <v>254</v>
      </c>
      <c r="T11" t="s">
        <v>65</v>
      </c>
      <c r="Y11" t="s">
        <v>885</v>
      </c>
      <c r="Z11" t="s">
        <v>67</v>
      </c>
      <c r="AA11" t="s">
        <v>244</v>
      </c>
      <c r="AB11" t="s">
        <v>206</v>
      </c>
      <c r="AC11" t="s">
        <v>122</v>
      </c>
      <c r="AD11" t="s">
        <v>71</v>
      </c>
      <c r="AE11" t="s">
        <v>221</v>
      </c>
      <c r="AF11">
        <v>9</v>
      </c>
      <c r="AG11">
        <v>45679</v>
      </c>
      <c r="AI11">
        <v>0.33333333333333326</v>
      </c>
      <c r="AK11" s="32"/>
      <c r="AL11" t="s">
        <v>997</v>
      </c>
    </row>
    <row r="12" spans="1:38" x14ac:dyDescent="0.25">
      <c r="A12" t="s">
        <v>409</v>
      </c>
      <c r="B12">
        <v>45680</v>
      </c>
      <c r="C12">
        <v>0.625</v>
      </c>
      <c r="F12">
        <v>45680</v>
      </c>
      <c r="G12">
        <v>0.66545138888888888</v>
      </c>
      <c r="H12" t="s">
        <v>897</v>
      </c>
      <c r="I12" t="s">
        <v>400</v>
      </c>
      <c r="K12" t="s">
        <v>414</v>
      </c>
      <c r="L12" t="s">
        <v>84</v>
      </c>
      <c r="M12" t="s">
        <v>879</v>
      </c>
      <c r="N12" t="s">
        <v>898</v>
      </c>
      <c r="Y12" t="s">
        <v>899</v>
      </c>
      <c r="Z12" t="s">
        <v>67</v>
      </c>
      <c r="AA12" t="s">
        <v>352</v>
      </c>
      <c r="AB12" t="s">
        <v>417</v>
      </c>
      <c r="AC12" t="s">
        <v>406</v>
      </c>
      <c r="AD12" t="s">
        <v>418</v>
      </c>
      <c r="AF12">
        <v>9</v>
      </c>
      <c r="AG12">
        <v>45680</v>
      </c>
      <c r="AI12">
        <v>0.625</v>
      </c>
      <c r="AK12" s="32"/>
      <c r="AL12" t="s">
        <v>997</v>
      </c>
    </row>
    <row r="13" spans="1:38" x14ac:dyDescent="0.25">
      <c r="A13" t="s">
        <v>140</v>
      </c>
      <c r="B13">
        <v>45682</v>
      </c>
      <c r="C13">
        <v>0.45833333333333326</v>
      </c>
      <c r="D13">
        <v>45682</v>
      </c>
      <c r="E13">
        <v>0.58333333333333326</v>
      </c>
      <c r="F13">
        <v>45682</v>
      </c>
      <c r="G13">
        <v>0.58054398148148145</v>
      </c>
      <c r="H13" t="s">
        <v>887</v>
      </c>
      <c r="K13" t="s">
        <v>144</v>
      </c>
      <c r="L13" t="s">
        <v>145</v>
      </c>
      <c r="M13" t="s">
        <v>894</v>
      </c>
      <c r="N13" t="s">
        <v>900</v>
      </c>
      <c r="Y13" t="s">
        <v>901</v>
      </c>
      <c r="Z13" t="s">
        <v>67</v>
      </c>
      <c r="AA13" t="s">
        <v>147</v>
      </c>
      <c r="AB13" t="s">
        <v>90</v>
      </c>
      <c r="AC13" t="s">
        <v>70</v>
      </c>
      <c r="AD13" t="s">
        <v>123</v>
      </c>
      <c r="AE13" t="s">
        <v>137</v>
      </c>
      <c r="AF13">
        <v>9</v>
      </c>
      <c r="AG13">
        <v>45682</v>
      </c>
      <c r="AI13">
        <v>0.45833333333333326</v>
      </c>
      <c r="AK13" s="32"/>
      <c r="AL13" t="s">
        <v>997</v>
      </c>
    </row>
    <row r="14" spans="1:38" x14ac:dyDescent="0.25">
      <c r="A14" t="s">
        <v>77</v>
      </c>
      <c r="B14">
        <v>45682</v>
      </c>
      <c r="C14">
        <v>0.76875000000000004</v>
      </c>
      <c r="F14">
        <v>45683</v>
      </c>
      <c r="G14">
        <v>0.44056712962962963</v>
      </c>
      <c r="H14" t="s">
        <v>874</v>
      </c>
      <c r="I14" t="s">
        <v>902</v>
      </c>
      <c r="K14" t="s">
        <v>83</v>
      </c>
      <c r="L14" t="s">
        <v>84</v>
      </c>
      <c r="M14" t="s">
        <v>879</v>
      </c>
      <c r="N14" t="s">
        <v>903</v>
      </c>
      <c r="Q14" t="s">
        <v>904</v>
      </c>
      <c r="R14" t="s">
        <v>868</v>
      </c>
      <c r="S14" t="s">
        <v>87</v>
      </c>
      <c r="T14" t="s">
        <v>65</v>
      </c>
      <c r="Y14" t="s">
        <v>901</v>
      </c>
      <c r="Z14" t="s">
        <v>67</v>
      </c>
      <c r="AA14" t="s">
        <v>89</v>
      </c>
      <c r="AB14" t="s">
        <v>90</v>
      </c>
      <c r="AC14" t="s">
        <v>91</v>
      </c>
      <c r="AD14" t="s">
        <v>92</v>
      </c>
      <c r="AE14" t="s">
        <v>72</v>
      </c>
      <c r="AF14">
        <v>9</v>
      </c>
      <c r="AG14">
        <v>45682</v>
      </c>
      <c r="AI14">
        <v>0.76875000000000004</v>
      </c>
      <c r="AK14" s="32"/>
      <c r="AL14" t="s">
        <v>997</v>
      </c>
    </row>
    <row r="15" spans="1:38" x14ac:dyDescent="0.25">
      <c r="A15" t="s">
        <v>96</v>
      </c>
      <c r="B15">
        <v>45683</v>
      </c>
      <c r="C15">
        <v>0.84027777777777768</v>
      </c>
      <c r="D15">
        <v>45683</v>
      </c>
      <c r="E15">
        <v>0.84652777777777777</v>
      </c>
      <c r="F15">
        <v>45683</v>
      </c>
      <c r="G15">
        <v>0.85009259259259262</v>
      </c>
      <c r="H15" t="s">
        <v>874</v>
      </c>
      <c r="I15" t="s">
        <v>902</v>
      </c>
      <c r="K15" t="s">
        <v>100</v>
      </c>
      <c r="L15" t="s">
        <v>101</v>
      </c>
      <c r="M15" t="s">
        <v>865</v>
      </c>
      <c r="N15" t="s">
        <v>905</v>
      </c>
      <c r="Q15" t="s">
        <v>906</v>
      </c>
      <c r="R15" t="s">
        <v>868</v>
      </c>
      <c r="S15" t="s">
        <v>104</v>
      </c>
      <c r="T15" t="s">
        <v>907</v>
      </c>
      <c r="Y15" t="s">
        <v>876</v>
      </c>
      <c r="Z15" t="s">
        <v>67</v>
      </c>
      <c r="AA15" t="s">
        <v>105</v>
      </c>
      <c r="AB15" t="s">
        <v>69</v>
      </c>
      <c r="AC15" t="s">
        <v>106</v>
      </c>
      <c r="AD15" t="s">
        <v>71</v>
      </c>
      <c r="AE15" t="s">
        <v>72</v>
      </c>
      <c r="AF15">
        <v>9</v>
      </c>
      <c r="AG15">
        <v>45683</v>
      </c>
      <c r="AI15">
        <v>0.84027777777777768</v>
      </c>
      <c r="AK15" s="32"/>
      <c r="AL15" t="s">
        <v>997</v>
      </c>
    </row>
    <row r="16" spans="1:38" x14ac:dyDescent="0.25">
      <c r="A16" t="s">
        <v>256</v>
      </c>
      <c r="B16">
        <v>45685</v>
      </c>
      <c r="C16">
        <v>0.625</v>
      </c>
      <c r="D16">
        <v>45686</v>
      </c>
      <c r="E16">
        <v>0.91736111111111107</v>
      </c>
      <c r="F16">
        <v>45686</v>
      </c>
      <c r="G16">
        <v>0.91833333333333322</v>
      </c>
      <c r="H16" t="s">
        <v>864</v>
      </c>
      <c r="I16" t="s">
        <v>902</v>
      </c>
      <c r="K16" t="s">
        <v>260</v>
      </c>
      <c r="L16" t="s">
        <v>261</v>
      </c>
      <c r="M16" t="s">
        <v>908</v>
      </c>
      <c r="N16" t="s">
        <v>909</v>
      </c>
      <c r="Q16" t="s">
        <v>910</v>
      </c>
      <c r="R16" t="s">
        <v>911</v>
      </c>
      <c r="S16" t="s">
        <v>265</v>
      </c>
      <c r="T16" t="s">
        <v>65</v>
      </c>
      <c r="Y16" t="s">
        <v>912</v>
      </c>
      <c r="Z16" t="s">
        <v>67</v>
      </c>
      <c r="AA16" t="s">
        <v>244</v>
      </c>
      <c r="AB16" t="s">
        <v>206</v>
      </c>
      <c r="AC16" t="s">
        <v>70</v>
      </c>
      <c r="AD16" t="s">
        <v>266</v>
      </c>
      <c r="AE16" t="s">
        <v>221</v>
      </c>
      <c r="AF16">
        <v>9</v>
      </c>
      <c r="AG16">
        <v>45685</v>
      </c>
      <c r="AI16">
        <v>0.625</v>
      </c>
      <c r="AK16" s="32"/>
      <c r="AL16" t="s">
        <v>997</v>
      </c>
    </row>
    <row r="17" spans="1:38" x14ac:dyDescent="0.25">
      <c r="A17" t="s">
        <v>151</v>
      </c>
      <c r="B17">
        <v>45688</v>
      </c>
      <c r="C17">
        <v>0.49988425925925917</v>
      </c>
      <c r="F17">
        <v>45688</v>
      </c>
      <c r="G17">
        <v>0.49988425925925917</v>
      </c>
      <c r="H17" t="s">
        <v>887</v>
      </c>
      <c r="K17" t="s">
        <v>154</v>
      </c>
      <c r="L17" t="s">
        <v>155</v>
      </c>
      <c r="M17" t="s">
        <v>879</v>
      </c>
      <c r="N17" t="s">
        <v>913</v>
      </c>
      <c r="Y17" t="s">
        <v>869</v>
      </c>
      <c r="Z17" t="s">
        <v>67</v>
      </c>
      <c r="AA17" t="s">
        <v>158</v>
      </c>
      <c r="AB17" t="s">
        <v>159</v>
      </c>
      <c r="AC17" t="s">
        <v>160</v>
      </c>
      <c r="AD17" t="s">
        <v>71</v>
      </c>
      <c r="AE17" t="s">
        <v>137</v>
      </c>
      <c r="AF17">
        <v>9</v>
      </c>
      <c r="AG17">
        <v>45688</v>
      </c>
      <c r="AI17">
        <v>0.49988425925925917</v>
      </c>
      <c r="AK17" s="32"/>
      <c r="AL17" t="s">
        <v>997</v>
      </c>
    </row>
    <row r="18" spans="1:38" x14ac:dyDescent="0.25">
      <c r="A18" t="s">
        <v>269</v>
      </c>
      <c r="B18">
        <v>45689</v>
      </c>
      <c r="C18">
        <v>4.1666666666666741E-2</v>
      </c>
      <c r="E18">
        <v>0.10416666666666674</v>
      </c>
      <c r="F18">
        <v>45689</v>
      </c>
      <c r="G18">
        <v>0.11982638888888886</v>
      </c>
      <c r="H18" t="s">
        <v>864</v>
      </c>
      <c r="K18" t="s">
        <v>272</v>
      </c>
      <c r="L18" t="s">
        <v>273</v>
      </c>
      <c r="M18" t="s">
        <v>908</v>
      </c>
      <c r="N18" t="s">
        <v>914</v>
      </c>
      <c r="Q18" t="s">
        <v>915</v>
      </c>
      <c r="R18" t="s">
        <v>916</v>
      </c>
      <c r="S18" t="s">
        <v>276</v>
      </c>
      <c r="T18" t="s">
        <v>65</v>
      </c>
      <c r="Y18" t="s">
        <v>885</v>
      </c>
      <c r="Z18" t="s">
        <v>67</v>
      </c>
      <c r="AA18" t="s">
        <v>244</v>
      </c>
      <c r="AB18" t="s">
        <v>206</v>
      </c>
      <c r="AC18" t="s">
        <v>122</v>
      </c>
      <c r="AD18" t="s">
        <v>71</v>
      </c>
      <c r="AE18" t="s">
        <v>221</v>
      </c>
      <c r="AF18">
        <v>9</v>
      </c>
      <c r="AG18">
        <v>45689</v>
      </c>
      <c r="AI18">
        <v>4.1666666666666741E-2</v>
      </c>
      <c r="AK18" s="32"/>
      <c r="AL18" t="s">
        <v>997</v>
      </c>
    </row>
    <row r="19" spans="1:38" x14ac:dyDescent="0.25">
      <c r="A19" t="s">
        <v>382</v>
      </c>
      <c r="B19">
        <v>45690</v>
      </c>
      <c r="C19">
        <v>0.72569444444444442</v>
      </c>
      <c r="D19">
        <v>45690</v>
      </c>
      <c r="E19">
        <v>0.75</v>
      </c>
      <c r="F19">
        <v>45691</v>
      </c>
      <c r="G19">
        <v>0.50143518518518526</v>
      </c>
      <c r="H19" t="s">
        <v>176</v>
      </c>
      <c r="I19" t="s">
        <v>878</v>
      </c>
      <c r="K19" t="s">
        <v>385</v>
      </c>
      <c r="L19" t="s">
        <v>145</v>
      </c>
      <c r="M19" t="s">
        <v>894</v>
      </c>
      <c r="N19" t="s">
        <v>917</v>
      </c>
      <c r="Y19" t="s">
        <v>876</v>
      </c>
      <c r="Z19" t="s">
        <v>67</v>
      </c>
      <c r="AA19" t="s">
        <v>105</v>
      </c>
      <c r="AB19" t="s">
        <v>69</v>
      </c>
      <c r="AC19" t="s">
        <v>180</v>
      </c>
      <c r="AD19" t="s">
        <v>92</v>
      </c>
      <c r="AF19">
        <v>9</v>
      </c>
      <c r="AG19">
        <v>45690</v>
      </c>
      <c r="AI19">
        <v>0.72569444444444442</v>
      </c>
      <c r="AK19" s="32"/>
      <c r="AL19" t="s">
        <v>997</v>
      </c>
    </row>
    <row r="20" spans="1:38" x14ac:dyDescent="0.25">
      <c r="A20" t="s">
        <v>388</v>
      </c>
      <c r="F20">
        <v>45691</v>
      </c>
      <c r="G20">
        <v>0.69484953703703711</v>
      </c>
      <c r="H20" t="s">
        <v>878</v>
      </c>
      <c r="K20" t="s">
        <v>390</v>
      </c>
      <c r="L20" t="s">
        <v>363</v>
      </c>
      <c r="M20" t="s">
        <v>865</v>
      </c>
      <c r="N20" t="s">
        <v>918</v>
      </c>
      <c r="Y20" t="s">
        <v>901</v>
      </c>
      <c r="Z20" t="s">
        <v>67</v>
      </c>
      <c r="AA20" t="s">
        <v>136</v>
      </c>
      <c r="AB20" t="s">
        <v>69</v>
      </c>
      <c r="AC20" t="s">
        <v>106</v>
      </c>
      <c r="AD20" t="s">
        <v>71</v>
      </c>
      <c r="AE20" t="s">
        <v>353</v>
      </c>
      <c r="AF20">
        <v>9</v>
      </c>
      <c r="AG20">
        <v>45691</v>
      </c>
      <c r="AI20">
        <v>0.69484953703703711</v>
      </c>
      <c r="AK20" s="32"/>
      <c r="AL20" t="s">
        <v>997</v>
      </c>
    </row>
    <row r="21" spans="1:38" x14ac:dyDescent="0.25">
      <c r="A21" t="s">
        <v>279</v>
      </c>
      <c r="B21">
        <v>45691</v>
      </c>
      <c r="C21">
        <v>0.77083333333333326</v>
      </c>
      <c r="D21">
        <v>45692</v>
      </c>
      <c r="E21">
        <v>0.79166666666666674</v>
      </c>
      <c r="F21">
        <v>45692</v>
      </c>
      <c r="G21">
        <v>0.53023148148148147</v>
      </c>
      <c r="H21" t="s">
        <v>864</v>
      </c>
      <c r="K21" t="s">
        <v>282</v>
      </c>
      <c r="L21" t="s">
        <v>283</v>
      </c>
      <c r="M21" t="s">
        <v>879</v>
      </c>
      <c r="N21" t="s">
        <v>919</v>
      </c>
      <c r="Q21" t="s">
        <v>920</v>
      </c>
      <c r="R21" t="s">
        <v>286</v>
      </c>
      <c r="S21" t="s">
        <v>921</v>
      </c>
      <c r="T21" t="s">
        <v>288</v>
      </c>
      <c r="Y21" t="s">
        <v>876</v>
      </c>
      <c r="Z21" t="s">
        <v>67</v>
      </c>
      <c r="AA21" t="s">
        <v>105</v>
      </c>
      <c r="AB21" t="s">
        <v>69</v>
      </c>
      <c r="AC21" t="s">
        <v>70</v>
      </c>
      <c r="AD21" t="s">
        <v>195</v>
      </c>
      <c r="AE21" t="s">
        <v>221</v>
      </c>
      <c r="AF21">
        <v>9</v>
      </c>
      <c r="AG21">
        <v>45691</v>
      </c>
      <c r="AI21">
        <v>0.77083333333333326</v>
      </c>
      <c r="AK21" s="32"/>
      <c r="AL21" t="s">
        <v>997</v>
      </c>
    </row>
    <row r="22" spans="1:38" x14ac:dyDescent="0.25">
      <c r="A22" t="s">
        <v>161</v>
      </c>
      <c r="B22">
        <v>45693</v>
      </c>
      <c r="C22">
        <v>0.12291666666666656</v>
      </c>
      <c r="F22">
        <v>45693</v>
      </c>
      <c r="G22">
        <v>0.12339120370370371</v>
      </c>
      <c r="H22" t="s">
        <v>922</v>
      </c>
      <c r="I22" t="s">
        <v>167</v>
      </c>
      <c r="K22" t="s">
        <v>168</v>
      </c>
      <c r="L22" t="s">
        <v>155</v>
      </c>
      <c r="M22" t="s">
        <v>879</v>
      </c>
      <c r="N22" t="s">
        <v>923</v>
      </c>
      <c r="Y22" t="s">
        <v>885</v>
      </c>
      <c r="Z22" t="s">
        <v>67</v>
      </c>
      <c r="AA22" t="s">
        <v>170</v>
      </c>
      <c r="AB22" t="s">
        <v>90</v>
      </c>
      <c r="AC22" t="s">
        <v>171</v>
      </c>
      <c r="AD22" t="s">
        <v>123</v>
      </c>
      <c r="AE22" t="s">
        <v>137</v>
      </c>
      <c r="AF22">
        <v>9</v>
      </c>
      <c r="AG22">
        <v>45693</v>
      </c>
      <c r="AI22">
        <v>0.12291666666666656</v>
      </c>
      <c r="AK22" s="32"/>
      <c r="AL22" t="s">
        <v>997</v>
      </c>
    </row>
    <row r="23" spans="1:38" x14ac:dyDescent="0.25">
      <c r="A23" t="s">
        <v>292</v>
      </c>
      <c r="B23">
        <v>45695</v>
      </c>
      <c r="C23">
        <v>0.27430555555555558</v>
      </c>
      <c r="D23">
        <v>45695</v>
      </c>
      <c r="E23">
        <v>0.28472222222222232</v>
      </c>
      <c r="F23">
        <v>45695</v>
      </c>
      <c r="G23">
        <v>0.30738425925925927</v>
      </c>
      <c r="H23" t="s">
        <v>864</v>
      </c>
      <c r="K23" t="s">
        <v>296</v>
      </c>
      <c r="L23" t="s">
        <v>203</v>
      </c>
      <c r="M23" t="s">
        <v>894</v>
      </c>
      <c r="N23" t="s">
        <v>924</v>
      </c>
      <c r="Q23" t="s">
        <v>925</v>
      </c>
      <c r="R23" t="s">
        <v>926</v>
      </c>
      <c r="S23" t="s">
        <v>300</v>
      </c>
      <c r="T23" t="s">
        <v>65</v>
      </c>
      <c r="Y23" t="s">
        <v>885</v>
      </c>
      <c r="Z23" t="s">
        <v>67</v>
      </c>
      <c r="AA23" t="s">
        <v>301</v>
      </c>
      <c r="AB23" t="s">
        <v>121</v>
      </c>
      <c r="AC23" t="s">
        <v>180</v>
      </c>
      <c r="AD23" t="s">
        <v>92</v>
      </c>
      <c r="AE23" t="s">
        <v>221</v>
      </c>
      <c r="AF23">
        <v>9</v>
      </c>
      <c r="AG23">
        <v>45695</v>
      </c>
      <c r="AI23">
        <v>0.27430555555555558</v>
      </c>
      <c r="AK23" s="32"/>
      <c r="AL23" t="s">
        <v>997</v>
      </c>
    </row>
    <row r="24" spans="1:38" x14ac:dyDescent="0.25">
      <c r="A24" t="s">
        <v>305</v>
      </c>
      <c r="B24">
        <v>45688</v>
      </c>
      <c r="C24">
        <v>0.5</v>
      </c>
      <c r="D24">
        <v>45695</v>
      </c>
      <c r="E24">
        <v>0.54166666666666674</v>
      </c>
      <c r="F24">
        <v>45696</v>
      </c>
      <c r="G24">
        <v>0.3903240740740741</v>
      </c>
      <c r="H24" t="s">
        <v>864</v>
      </c>
      <c r="K24" t="s">
        <v>308</v>
      </c>
      <c r="L24" t="s">
        <v>250</v>
      </c>
      <c r="M24" t="s">
        <v>894</v>
      </c>
      <c r="N24" t="s">
        <v>927</v>
      </c>
      <c r="Q24" t="s">
        <v>928</v>
      </c>
      <c r="S24" t="s">
        <v>230</v>
      </c>
      <c r="T24" t="s">
        <v>907</v>
      </c>
      <c r="Y24" t="s">
        <v>885</v>
      </c>
      <c r="Z24" t="s">
        <v>67</v>
      </c>
      <c r="AA24" t="s">
        <v>205</v>
      </c>
      <c r="AB24" t="s">
        <v>206</v>
      </c>
      <c r="AC24" t="s">
        <v>106</v>
      </c>
      <c r="AD24" t="s">
        <v>71</v>
      </c>
      <c r="AE24" t="s">
        <v>221</v>
      </c>
      <c r="AF24">
        <v>9</v>
      </c>
      <c r="AG24">
        <v>45688</v>
      </c>
      <c r="AI24">
        <v>0.5</v>
      </c>
      <c r="AK24" s="32"/>
      <c r="AL24" t="s">
        <v>997</v>
      </c>
    </row>
    <row r="25" spans="1:38" x14ac:dyDescent="0.25">
      <c r="A25" t="s">
        <v>437</v>
      </c>
      <c r="B25">
        <v>45701</v>
      </c>
      <c r="C25">
        <v>8.3333333333333259E-2</v>
      </c>
      <c r="F25">
        <v>45701</v>
      </c>
      <c r="G25">
        <v>0.51225694444444447</v>
      </c>
      <c r="H25" t="s">
        <v>440</v>
      </c>
      <c r="I25" t="s">
        <v>929</v>
      </c>
      <c r="J25" t="s">
        <v>878</v>
      </c>
      <c r="K25" t="s">
        <v>443</v>
      </c>
      <c r="L25" t="s">
        <v>191</v>
      </c>
      <c r="M25" t="s">
        <v>865</v>
      </c>
      <c r="N25" t="s">
        <v>930</v>
      </c>
      <c r="Y25" t="s">
        <v>931</v>
      </c>
      <c r="Z25" t="s">
        <v>67</v>
      </c>
      <c r="AA25" t="s">
        <v>120</v>
      </c>
      <c r="AB25" t="s">
        <v>121</v>
      </c>
      <c r="AC25" t="s">
        <v>378</v>
      </c>
      <c r="AD25" t="s">
        <v>446</v>
      </c>
      <c r="AF25">
        <v>9</v>
      </c>
      <c r="AG25">
        <v>45701</v>
      </c>
      <c r="AI25">
        <v>8.3333333333333259E-2</v>
      </c>
      <c r="AK25" s="32"/>
      <c r="AL25" t="s">
        <v>997</v>
      </c>
    </row>
    <row r="26" spans="1:38" x14ac:dyDescent="0.25">
      <c r="A26" t="s">
        <v>110</v>
      </c>
      <c r="B26">
        <v>45701</v>
      </c>
      <c r="C26">
        <v>0.66666666666666674</v>
      </c>
      <c r="F26">
        <v>45702</v>
      </c>
      <c r="G26">
        <v>0.29906250000000001</v>
      </c>
      <c r="H26" t="s">
        <v>874</v>
      </c>
      <c r="K26" t="s">
        <v>113</v>
      </c>
      <c r="L26" t="s">
        <v>114</v>
      </c>
      <c r="M26" t="s">
        <v>908</v>
      </c>
      <c r="N26" t="s">
        <v>932</v>
      </c>
      <c r="Q26" t="s">
        <v>116</v>
      </c>
      <c r="R26" t="s">
        <v>916</v>
      </c>
      <c r="S26" t="s">
        <v>118</v>
      </c>
      <c r="T26" t="s">
        <v>65</v>
      </c>
      <c r="Y26" t="s">
        <v>885</v>
      </c>
      <c r="Z26" t="s">
        <v>67</v>
      </c>
      <c r="AA26" t="s">
        <v>120</v>
      </c>
      <c r="AB26" t="s">
        <v>121</v>
      </c>
      <c r="AC26" t="s">
        <v>122</v>
      </c>
      <c r="AD26" t="s">
        <v>123</v>
      </c>
      <c r="AE26" t="s">
        <v>72</v>
      </c>
      <c r="AF26">
        <v>9</v>
      </c>
      <c r="AG26">
        <v>45701</v>
      </c>
      <c r="AI26">
        <v>0.66666666666666674</v>
      </c>
      <c r="AK26" s="32"/>
      <c r="AL26" t="s">
        <v>997</v>
      </c>
    </row>
    <row r="27" spans="1:38" x14ac:dyDescent="0.25">
      <c r="A27" t="s">
        <v>313</v>
      </c>
      <c r="B27">
        <v>45705</v>
      </c>
      <c r="C27">
        <v>0.34877314814814819</v>
      </c>
      <c r="F27">
        <v>45705</v>
      </c>
      <c r="G27">
        <v>0.34877314814814819</v>
      </c>
      <c r="H27" t="s">
        <v>864</v>
      </c>
      <c r="I27" t="s">
        <v>317</v>
      </c>
      <c r="K27" t="s">
        <v>318</v>
      </c>
      <c r="L27" t="s">
        <v>134</v>
      </c>
      <c r="M27" t="s">
        <v>871</v>
      </c>
      <c r="N27" t="s">
        <v>933</v>
      </c>
      <c r="Q27" t="s">
        <v>934</v>
      </c>
      <c r="R27" t="s">
        <v>868</v>
      </c>
      <c r="S27" t="s">
        <v>218</v>
      </c>
      <c r="T27" t="s">
        <v>65</v>
      </c>
      <c r="Y27" t="s">
        <v>876</v>
      </c>
      <c r="Z27" t="s">
        <v>67</v>
      </c>
      <c r="AA27" t="s">
        <v>68</v>
      </c>
      <c r="AB27" t="s">
        <v>69</v>
      </c>
      <c r="AC27" t="s">
        <v>122</v>
      </c>
      <c r="AD27" t="s">
        <v>123</v>
      </c>
      <c r="AE27" t="s">
        <v>221</v>
      </c>
      <c r="AF27">
        <v>9</v>
      </c>
      <c r="AG27">
        <v>45705</v>
      </c>
      <c r="AI27">
        <v>0.34877314814814819</v>
      </c>
      <c r="AK27" s="32"/>
      <c r="AL27" t="s">
        <v>997</v>
      </c>
    </row>
    <row r="28" spans="1:38" x14ac:dyDescent="0.25">
      <c r="A28" t="s">
        <v>324</v>
      </c>
      <c r="B28">
        <v>45705</v>
      </c>
      <c r="C28">
        <v>0.39716435185185195</v>
      </c>
      <c r="F28">
        <v>45705</v>
      </c>
      <c r="G28">
        <v>0.39716435185185195</v>
      </c>
      <c r="H28" t="s">
        <v>864</v>
      </c>
      <c r="K28" t="s">
        <v>326</v>
      </c>
      <c r="L28" t="s">
        <v>327</v>
      </c>
      <c r="M28" t="s">
        <v>871</v>
      </c>
      <c r="N28" t="s">
        <v>935</v>
      </c>
      <c r="Q28" t="s">
        <v>936</v>
      </c>
      <c r="R28" t="s">
        <v>868</v>
      </c>
      <c r="S28" t="s">
        <v>218</v>
      </c>
      <c r="T28" t="s">
        <v>907</v>
      </c>
      <c r="Y28" t="s">
        <v>876</v>
      </c>
      <c r="Z28" t="s">
        <v>67</v>
      </c>
      <c r="AA28" t="s">
        <v>330</v>
      </c>
      <c r="AB28" t="s">
        <v>69</v>
      </c>
      <c r="AC28" t="s">
        <v>122</v>
      </c>
      <c r="AD28" t="s">
        <v>71</v>
      </c>
      <c r="AE28" t="s">
        <v>221</v>
      </c>
      <c r="AF28">
        <v>9</v>
      </c>
      <c r="AG28">
        <v>45705</v>
      </c>
      <c r="AI28">
        <v>0.39716435185185195</v>
      </c>
      <c r="AK28" s="32"/>
      <c r="AL28" t="s">
        <v>997</v>
      </c>
    </row>
    <row r="29" spans="1:38" x14ac:dyDescent="0.25">
      <c r="A29" t="s">
        <v>173</v>
      </c>
      <c r="B29">
        <v>45705</v>
      </c>
      <c r="C29">
        <v>0.52497685185185183</v>
      </c>
      <c r="F29">
        <v>45705</v>
      </c>
      <c r="G29">
        <v>0.52497685185185183</v>
      </c>
      <c r="H29" t="s">
        <v>922</v>
      </c>
      <c r="I29" t="s">
        <v>176</v>
      </c>
      <c r="K29" t="s">
        <v>177</v>
      </c>
      <c r="L29" t="s">
        <v>178</v>
      </c>
      <c r="M29" t="s">
        <v>865</v>
      </c>
      <c r="N29" t="s">
        <v>937</v>
      </c>
      <c r="Y29" t="s">
        <v>876</v>
      </c>
      <c r="Z29" t="s">
        <v>67</v>
      </c>
      <c r="AA29" t="s">
        <v>68</v>
      </c>
      <c r="AB29" t="s">
        <v>69</v>
      </c>
      <c r="AC29" t="s">
        <v>180</v>
      </c>
      <c r="AD29" t="s">
        <v>181</v>
      </c>
      <c r="AE29" t="s">
        <v>137</v>
      </c>
      <c r="AF29">
        <v>9</v>
      </c>
      <c r="AG29">
        <v>45705</v>
      </c>
      <c r="AI29">
        <v>0.52497685185185183</v>
      </c>
      <c r="AK29" s="32"/>
      <c r="AL29" t="s">
        <v>997</v>
      </c>
    </row>
    <row r="30" spans="1:38" x14ac:dyDescent="0.25">
      <c r="A30" t="s">
        <v>420</v>
      </c>
      <c r="B30">
        <v>45705</v>
      </c>
      <c r="C30">
        <v>0.83333333333333326</v>
      </c>
      <c r="D30">
        <v>45705</v>
      </c>
      <c r="E30">
        <v>0.98958333333333326</v>
      </c>
      <c r="F30">
        <v>45706</v>
      </c>
      <c r="G30">
        <v>0.73564814814814805</v>
      </c>
      <c r="H30" t="s">
        <v>423</v>
      </c>
      <c r="I30" t="s">
        <v>897</v>
      </c>
      <c r="K30" t="s">
        <v>425</v>
      </c>
      <c r="L30" t="s">
        <v>426</v>
      </c>
      <c r="M30" t="s">
        <v>879</v>
      </c>
      <c r="N30" t="s">
        <v>938</v>
      </c>
      <c r="Y30" t="s">
        <v>899</v>
      </c>
      <c r="Z30" t="s">
        <v>67</v>
      </c>
      <c r="AA30" t="s">
        <v>106</v>
      </c>
      <c r="AB30" t="s">
        <v>417</v>
      </c>
      <c r="AC30" t="s">
        <v>106</v>
      </c>
      <c r="AD30" t="s">
        <v>266</v>
      </c>
      <c r="AF30">
        <v>9</v>
      </c>
      <c r="AG30">
        <v>45705</v>
      </c>
      <c r="AI30">
        <v>0.83333333333333326</v>
      </c>
      <c r="AK30" s="32"/>
      <c r="AL30" t="s">
        <v>997</v>
      </c>
    </row>
    <row r="31" spans="1:38" x14ac:dyDescent="0.25">
      <c r="A31" t="s">
        <v>429</v>
      </c>
      <c r="B31">
        <v>42906</v>
      </c>
      <c r="C31">
        <v>0.53615740740740736</v>
      </c>
      <c r="D31">
        <v>45555</v>
      </c>
      <c r="F31">
        <v>45708</v>
      </c>
      <c r="G31">
        <v>0.53615740740740736</v>
      </c>
      <c r="H31" t="s">
        <v>897</v>
      </c>
      <c r="K31" t="s">
        <v>432</v>
      </c>
      <c r="L31" t="s">
        <v>101</v>
      </c>
      <c r="M31" t="s">
        <v>879</v>
      </c>
      <c r="N31" t="s">
        <v>939</v>
      </c>
      <c r="Y31" t="s">
        <v>876</v>
      </c>
      <c r="Z31" t="s">
        <v>67</v>
      </c>
      <c r="AA31" t="s">
        <v>434</v>
      </c>
      <c r="AB31" t="s">
        <v>69</v>
      </c>
      <c r="AC31" t="s">
        <v>352</v>
      </c>
      <c r="AD31" t="s">
        <v>435</v>
      </c>
      <c r="AE31" t="s">
        <v>436</v>
      </c>
      <c r="AF31">
        <v>9</v>
      </c>
      <c r="AG31">
        <v>42906</v>
      </c>
      <c r="AI31">
        <v>0.53615740740740736</v>
      </c>
      <c r="AK31" s="32"/>
      <c r="AL31" t="s">
        <v>997</v>
      </c>
    </row>
  </sheetData>
  <pageMargins left="0.7" right="0.7" top="0.75" bottom="0.75" header="0.3" footer="0.3"/>
  <tableParts count="1">
    <tablePart r:id="rId1"/>
  </tableParts>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3B68A9-C1D8-4601-B7F4-30892520B5D2}">
  <dimension ref="A1"/>
  <sheetViews>
    <sheetView workbookViewId="0"/>
  </sheetViews>
  <sheetFormatPr defaultRowHeight="15" x14ac:dyDescent="0.25"/>
  <sheetData>
    <row r="1" spans="1:1" x14ac:dyDescent="0.25">
      <c r="A1" t="s">
        <v>970</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F35B5B-83D7-4E52-BA23-EC3B256D7DEF}">
  <dimension ref="A1"/>
  <sheetViews>
    <sheetView workbookViewId="0"/>
  </sheetViews>
  <sheetFormatPr defaultRowHeight="15" x14ac:dyDescent="0.25"/>
  <sheetData>
    <row r="1" spans="1:1" x14ac:dyDescent="0.25">
      <c r="A1" t="s">
        <v>969</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F3EF83-B98D-4862-96BA-1B5965DA32B6}">
  <dimension ref="A1"/>
  <sheetViews>
    <sheetView workbookViewId="0"/>
  </sheetViews>
  <sheetFormatPr defaultRowHeight="15" x14ac:dyDescent="0.25"/>
  <sheetData>
    <row r="1" spans="1:1" x14ac:dyDescent="0.25">
      <c r="A1" t="s">
        <v>968</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9CEC22-1AEB-4DDE-BFF0-8387953C0AD5}">
  <dimension ref="A1"/>
  <sheetViews>
    <sheetView workbookViewId="0"/>
  </sheetViews>
  <sheetFormatPr defaultRowHeight="15" x14ac:dyDescent="0.25"/>
  <sheetData>
    <row r="1" spans="1:1" x14ac:dyDescent="0.25">
      <c r="A1" t="s">
        <v>863</v>
      </c>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2332AB-6214-4DE5-892C-6E0F89E34DE7}">
  <sheetPr codeName="Sheet12">
    <tabColor theme="3"/>
  </sheetPr>
  <dimension ref="A1:EA1013"/>
  <sheetViews>
    <sheetView tabSelected="1" workbookViewId="0">
      <selection sqref="A1:M1013"/>
    </sheetView>
  </sheetViews>
  <sheetFormatPr defaultColWidth="8.85546875" defaultRowHeight="15.75" x14ac:dyDescent="0.25"/>
  <cols>
    <col min="1" max="1" width="44.5703125" style="3" bestFit="1" customWidth="1"/>
    <col min="2" max="2" width="12" style="3" bestFit="1" customWidth="1"/>
    <col min="3" max="3" width="15.85546875" style="3" bestFit="1" customWidth="1"/>
    <col min="4" max="4" width="16.140625" style="3" bestFit="1" customWidth="1"/>
    <col min="5" max="5" width="14.85546875" style="3" bestFit="1" customWidth="1"/>
    <col min="6" max="6" width="81.140625" style="3" bestFit="1" customWidth="1"/>
    <col min="7" max="7" width="14.7109375" style="3" bestFit="1" customWidth="1"/>
    <col min="8" max="8" width="78.7109375" style="3" bestFit="1" customWidth="1"/>
    <col min="9" max="9" width="21" style="3" bestFit="1" customWidth="1"/>
    <col min="10" max="10" width="10" style="3" bestFit="1" customWidth="1"/>
    <col min="11" max="11" width="12" style="3" bestFit="1" customWidth="1"/>
    <col min="12" max="12" width="13.85546875" style="3" bestFit="1" customWidth="1"/>
    <col min="13" max="13" width="13.140625" style="3" bestFit="1" customWidth="1"/>
    <col min="14" max="14" width="20.42578125" style="3" bestFit="1" customWidth="1"/>
    <col min="15" max="15" width="43.42578125" style="3" bestFit="1" customWidth="1"/>
    <col min="16" max="16" width="11.28515625" style="3" bestFit="1" customWidth="1"/>
    <col min="17" max="17" width="15" style="3" bestFit="1" customWidth="1"/>
    <col min="18" max="18" width="15.140625" style="3" bestFit="1" customWidth="1"/>
    <col min="19" max="19" width="14.7109375" style="3" bestFit="1" customWidth="1"/>
    <col min="20" max="20" width="76.28515625" style="3" bestFit="1" customWidth="1"/>
    <col min="21" max="21" width="29.7109375" style="3" bestFit="1" customWidth="1"/>
    <col min="22" max="22" width="71.7109375" style="3" bestFit="1" customWidth="1"/>
    <col min="23" max="23" width="35.5703125" style="3" bestFit="1" customWidth="1"/>
    <col min="24" max="24" width="25.28515625" style="3" bestFit="1" customWidth="1"/>
    <col min="25" max="25" width="37" style="3" bestFit="1" customWidth="1"/>
    <col min="26" max="26" width="42.28515625" style="3" bestFit="1" customWidth="1"/>
    <col min="27" max="27" width="37.85546875" style="3" bestFit="1" customWidth="1"/>
    <col min="28" max="28" width="36.5703125" style="3" bestFit="1" customWidth="1"/>
    <col min="29" max="30" width="14.42578125" style="3" bestFit="1" customWidth="1"/>
    <col min="31" max="31" width="14.7109375" style="3" bestFit="1" customWidth="1"/>
    <col min="32" max="32" width="23" style="3" bestFit="1" customWidth="1"/>
    <col min="33" max="33" width="23.28515625" style="3" bestFit="1" customWidth="1"/>
    <col min="34" max="34" width="13.28515625" style="3" bestFit="1" customWidth="1"/>
    <col min="35" max="35" width="13.42578125" style="3" bestFit="1" customWidth="1"/>
    <col min="36" max="36" width="29.7109375" style="3" bestFit="1" customWidth="1"/>
    <col min="37" max="37" width="33.85546875" style="3" bestFit="1" customWidth="1"/>
    <col min="38" max="38" width="28.28515625" style="3" bestFit="1" customWidth="1"/>
    <col min="39" max="39" width="65.42578125" style="3" bestFit="1" customWidth="1"/>
    <col min="40" max="40" width="6.7109375" style="3" bestFit="1" customWidth="1"/>
    <col min="41" max="41" width="7.42578125" style="3" bestFit="1" customWidth="1"/>
    <col min="42" max="42" width="80.85546875" style="3" bestFit="1" customWidth="1"/>
    <col min="43" max="43" width="18.5703125" style="3" bestFit="1" customWidth="1"/>
    <col min="44" max="44" width="20.140625" style="3" bestFit="1" customWidth="1"/>
    <col min="45" max="45" width="14.7109375" style="3" bestFit="1" customWidth="1"/>
    <col min="46" max="46" width="9" style="3" bestFit="1" customWidth="1"/>
    <col min="47" max="47" width="9.7109375" style="3" bestFit="1" customWidth="1"/>
    <col min="48" max="48" width="12.5703125" style="3" bestFit="1" customWidth="1"/>
    <col min="49" max="49" width="14.7109375" style="3" bestFit="1" customWidth="1"/>
    <col min="50" max="50" width="12.5703125" style="3" bestFit="1" customWidth="1"/>
    <col min="51" max="51" width="9" style="3" bestFit="1" customWidth="1"/>
    <col min="52" max="52" width="9.7109375" style="3" bestFit="1" customWidth="1"/>
    <col min="53" max="53" width="13.85546875" style="3" bestFit="1" customWidth="1"/>
    <col min="54" max="54" width="14.7109375" style="3" bestFit="1" customWidth="1"/>
    <col min="55" max="55" width="26" style="3" bestFit="1" customWidth="1"/>
    <col min="56" max="56" width="8.5703125" style="3" bestFit="1" customWidth="1"/>
    <col min="57" max="57" width="25" style="3" bestFit="1" customWidth="1"/>
    <col min="58" max="58" width="26.140625" style="3" bestFit="1" customWidth="1"/>
    <col min="59" max="59" width="42.42578125" style="3" bestFit="1" customWidth="1"/>
    <col min="60" max="60" width="24.28515625" style="3" bestFit="1" customWidth="1"/>
    <col min="61" max="61" width="11.7109375" style="3" bestFit="1" customWidth="1"/>
    <col min="62" max="62" width="12" style="3" bestFit="1" customWidth="1"/>
    <col min="63" max="63" width="14" style="3" bestFit="1" customWidth="1"/>
    <col min="64" max="64" width="6.85546875" style="3" bestFit="1" customWidth="1"/>
    <col min="65" max="65" width="14.42578125" style="3" bestFit="1" customWidth="1"/>
    <col min="66" max="66" width="14.28515625" style="3" bestFit="1" customWidth="1"/>
    <col min="67" max="67" width="16.5703125" style="3" bestFit="1" customWidth="1"/>
    <col min="68" max="68" width="6.42578125" style="3" bestFit="1" customWidth="1"/>
    <col min="69" max="69" width="12.7109375" style="3" bestFit="1" customWidth="1"/>
    <col min="70" max="70" width="11.85546875" style="3" bestFit="1" customWidth="1"/>
    <col min="71" max="71" width="30.85546875" style="3" bestFit="1" customWidth="1"/>
    <col min="72" max="72" width="80.85546875" style="3" bestFit="1" customWidth="1"/>
    <col min="73" max="73" width="11.7109375" style="3" bestFit="1" customWidth="1"/>
    <col min="74" max="74" width="29.7109375" style="3" bestFit="1" customWidth="1"/>
    <col min="75" max="75" width="32.85546875" style="3" bestFit="1" customWidth="1"/>
    <col min="76" max="76" width="13" style="3" bestFit="1" customWidth="1"/>
    <col min="77" max="77" width="7" style="3" bestFit="1" customWidth="1"/>
    <col min="78" max="78" width="20.140625" style="13" bestFit="1" customWidth="1"/>
    <col min="79" max="79" width="16" style="19" bestFit="1" customWidth="1"/>
    <col min="80" max="80" width="24.28515625" style="15" bestFit="1" customWidth="1"/>
    <col min="81" max="81" width="18.7109375" style="21" bestFit="1" customWidth="1"/>
    <col min="82" max="82" width="15.42578125" style="21" bestFit="1" customWidth="1"/>
    <col min="83" max="83" width="16.28515625" style="3" bestFit="1" customWidth="1"/>
    <col min="84" max="84" width="19" style="3" bestFit="1" customWidth="1"/>
    <col min="85" max="86" width="36.5703125" style="3" bestFit="1" customWidth="1"/>
    <col min="87" max="87" width="66.28515625" style="3" bestFit="1" customWidth="1"/>
    <col min="88" max="88" width="27.7109375" style="3" bestFit="1" customWidth="1"/>
    <col min="89" max="89" width="28" style="3" bestFit="1" customWidth="1"/>
    <col min="90" max="90" width="22.28515625" style="3" bestFit="1" customWidth="1"/>
    <col min="91" max="91" width="72.7109375" style="3" bestFit="1" customWidth="1"/>
    <col min="92" max="92" width="10" style="13" bestFit="1" customWidth="1"/>
    <col min="93" max="93" width="10.7109375" style="13" bestFit="1" customWidth="1"/>
    <col min="94" max="94" width="80.85546875" style="3" bestFit="1" customWidth="1"/>
    <col min="95" max="95" width="24.42578125" style="13" bestFit="1" customWidth="1"/>
    <col min="96" max="96" width="26.42578125" style="13" bestFit="1" customWidth="1"/>
    <col min="97" max="97" width="20.28515625" style="13" bestFit="1" customWidth="1"/>
    <col min="98" max="98" width="12.42578125" style="13" bestFit="1" customWidth="1"/>
    <col min="99" max="99" width="13.28515625" style="13" bestFit="1" customWidth="1"/>
    <col min="100" max="100" width="17.140625" style="13" bestFit="1" customWidth="1"/>
    <col min="101" max="101" width="20.28515625" style="13" bestFit="1" customWidth="1"/>
    <col min="102" max="102" width="17.140625" style="13" bestFit="1" customWidth="1"/>
    <col min="103" max="103" width="12.42578125" style="13" bestFit="1" customWidth="1"/>
    <col min="104" max="104" width="13.28515625" style="13" bestFit="1" customWidth="1"/>
    <col min="105" max="105" width="18.85546875" style="3" bestFit="1" customWidth="1"/>
    <col min="106" max="106" width="20.85546875" style="3" bestFit="1" customWidth="1"/>
    <col min="107" max="107" width="28.42578125" style="3" bestFit="1" customWidth="1"/>
    <col min="108" max="108" width="12" style="13" bestFit="1" customWidth="1"/>
    <col min="109" max="109" width="27.28515625" style="3" bestFit="1" customWidth="1"/>
    <col min="110" max="110" width="28.42578125" style="3" bestFit="1" customWidth="1"/>
    <col min="111" max="111" width="46.28515625" style="3" bestFit="1" customWidth="1"/>
    <col min="112" max="112" width="31.7109375" style="13" bestFit="1" customWidth="1"/>
    <col min="113" max="113" width="19.7109375" style="30" bestFit="1" customWidth="1"/>
    <col min="114" max="114" width="19.85546875" style="22" bestFit="1" customWidth="1"/>
    <col min="115" max="115" width="30.28515625" style="30" bestFit="1" customWidth="1"/>
    <col min="116" max="116" width="30.5703125" style="22" bestFit="1" customWidth="1"/>
    <col min="117" max="117" width="18.140625" style="30" bestFit="1" customWidth="1"/>
    <col min="118" max="118" width="18.28515625" style="22" bestFit="1" customWidth="1"/>
    <col min="119" max="119" width="10.28515625" style="13" bestFit="1" customWidth="1"/>
    <col min="120" max="120" width="19.28515625" style="24" bestFit="1" customWidth="1"/>
    <col min="121" max="121" width="21.28515625" style="24" bestFit="1" customWidth="1"/>
    <col min="122" max="122" width="9.42578125" style="24" bestFit="1" customWidth="1"/>
    <col min="123" max="123" width="17.28515625" style="26" bestFit="1" customWidth="1"/>
    <col min="124" max="124" width="28.140625" style="28" bestFit="1" customWidth="1"/>
    <col min="125" max="125" width="8.7109375" style="13" bestFit="1" customWidth="1"/>
    <col min="126" max="126" width="80.85546875" style="3" bestFit="1" customWidth="1"/>
    <col min="127" max="127" width="65.7109375" style="3" bestFit="1" customWidth="1"/>
    <col min="128" max="129" width="80.85546875" style="3" bestFit="1" customWidth="1"/>
    <col min="130" max="130" width="22.28515625" style="13" bestFit="1" customWidth="1"/>
    <col min="131" max="131" width="25.7109375" style="13" bestFit="1" customWidth="1"/>
    <col min="132" max="132" width="26.85546875" style="3" bestFit="1" customWidth="1"/>
    <col min="133" max="133" width="80.85546875" style="3" bestFit="1" customWidth="1"/>
    <col min="134" max="16384" width="8.85546875" style="3"/>
  </cols>
  <sheetData>
    <row r="1" spans="1:131" s="16" customFormat="1" ht="18.75" x14ac:dyDescent="0.3">
      <c r="A1" t="s">
        <v>998</v>
      </c>
      <c r="B1" t="s">
        <v>999</v>
      </c>
      <c r="C1" t="s">
        <v>1000</v>
      </c>
      <c r="D1" t="s">
        <v>1001</v>
      </c>
      <c r="E1" t="s">
        <v>1002</v>
      </c>
      <c r="F1" t="s">
        <v>1003</v>
      </c>
      <c r="G1" t="s">
        <v>971</v>
      </c>
      <c r="H1" t="s">
        <v>13</v>
      </c>
      <c r="I1" t="s">
        <v>990</v>
      </c>
      <c r="J1" t="s">
        <v>991</v>
      </c>
      <c r="K1" t="s">
        <v>993</v>
      </c>
      <c r="L1" t="s">
        <v>995</v>
      </c>
      <c r="M1" t="s">
        <v>1004</v>
      </c>
    </row>
    <row r="2" spans="1:131" x14ac:dyDescent="0.25">
      <c r="A2" t="s">
        <v>1028</v>
      </c>
      <c r="B2" t="s">
        <v>1006</v>
      </c>
      <c r="C2" s="2">
        <v>45769.578119537036</v>
      </c>
      <c r="D2" s="2">
        <v>45761.614560185182</v>
      </c>
      <c r="E2" s="2">
        <v>45761.616076296297</v>
      </c>
      <c r="F2" t="s">
        <v>1007</v>
      </c>
      <c r="G2" t="s">
        <v>1373</v>
      </c>
      <c r="H2" t="s">
        <v>1374</v>
      </c>
      <c r="I2">
        <v>9</v>
      </c>
      <c r="J2">
        <v>39448</v>
      </c>
      <c r="K2">
        <v>0.5</v>
      </c>
      <c r="L2">
        <v>0.5</v>
      </c>
      <c r="M2" t="s">
        <v>1009</v>
      </c>
      <c r="BY2" s="13"/>
      <c r="BZ2" s="19"/>
      <c r="CA2" s="15"/>
      <c r="CB2" s="21"/>
      <c r="CD2" s="3"/>
      <c r="CM2" s="13"/>
      <c r="CO2" s="3"/>
      <c r="CP2" s="13"/>
      <c r="CZ2" s="3"/>
      <c r="DC2" s="13"/>
      <c r="DD2" s="3"/>
      <c r="DG2" s="13"/>
      <c r="DH2" s="30"/>
      <c r="DI2" s="22"/>
      <c r="DJ2" s="30"/>
      <c r="DK2" s="22"/>
      <c r="DL2" s="30"/>
      <c r="DM2" s="22"/>
      <c r="DN2" s="13"/>
      <c r="DO2" s="24"/>
      <c r="DR2" s="26"/>
      <c r="DS2" s="28"/>
      <c r="DT2" s="13"/>
      <c r="DU2" s="3"/>
      <c r="DY2" s="13"/>
      <c r="EA2" s="3"/>
    </row>
    <row r="3" spans="1:131" x14ac:dyDescent="0.25">
      <c r="A3" t="s">
        <v>1005</v>
      </c>
      <c r="B3" t="s">
        <v>1006</v>
      </c>
      <c r="C3" s="2">
        <v>45769.578089016206</v>
      </c>
      <c r="D3" s="2">
        <v>45769.034166666665</v>
      </c>
      <c r="E3" s="2">
        <v>45760.803204236108</v>
      </c>
      <c r="F3" t="s">
        <v>1007</v>
      </c>
      <c r="G3" t="s">
        <v>429</v>
      </c>
      <c r="H3" t="s">
        <v>432</v>
      </c>
      <c r="I3">
        <v>9</v>
      </c>
      <c r="J3">
        <v>42906</v>
      </c>
      <c r="K3">
        <v>0.53615740740740736</v>
      </c>
      <c r="L3">
        <v>0.5</v>
      </c>
      <c r="M3" t="s">
        <v>1009</v>
      </c>
      <c r="BY3" s="13"/>
      <c r="BZ3" s="19"/>
      <c r="CA3" s="15"/>
      <c r="CB3" s="21"/>
      <c r="CD3" s="3"/>
      <c r="CM3" s="13"/>
      <c r="CO3" s="3"/>
      <c r="CP3" s="13"/>
      <c r="CZ3" s="3"/>
      <c r="DC3" s="13"/>
      <c r="DD3" s="3"/>
      <c r="DG3" s="13"/>
      <c r="DH3" s="30"/>
      <c r="DI3" s="22"/>
      <c r="DJ3" s="30"/>
      <c r="DK3" s="22"/>
      <c r="DL3" s="30"/>
      <c r="DM3" s="22"/>
      <c r="DN3" s="13"/>
      <c r="DO3" s="24"/>
      <c r="DR3" s="26"/>
      <c r="DS3" s="28"/>
      <c r="DT3" s="13"/>
      <c r="DU3" s="3"/>
      <c r="DY3" s="13"/>
      <c r="EA3" s="3"/>
    </row>
    <row r="4" spans="1:131" x14ac:dyDescent="0.25">
      <c r="A4" t="s">
        <v>1011</v>
      </c>
      <c r="B4" t="s">
        <v>1006</v>
      </c>
      <c r="C4" s="2">
        <v>45769.578111863426</v>
      </c>
      <c r="D4" s="2">
        <v>45769.037777777776</v>
      </c>
      <c r="E4" s="2">
        <v>45712.703342291665</v>
      </c>
      <c r="F4" t="s">
        <v>1007</v>
      </c>
      <c r="G4" t="s">
        <v>429</v>
      </c>
      <c r="H4" t="s">
        <v>432</v>
      </c>
      <c r="I4">
        <v>9</v>
      </c>
      <c r="J4">
        <v>42906</v>
      </c>
      <c r="K4">
        <v>0.53615740740740736</v>
      </c>
      <c r="L4">
        <v>0.5</v>
      </c>
      <c r="M4" t="s">
        <v>1009</v>
      </c>
      <c r="BY4" s="13"/>
      <c r="BZ4" s="19"/>
      <c r="CA4" s="15"/>
      <c r="CB4" s="21"/>
      <c r="CD4" s="3"/>
      <c r="CM4" s="13"/>
      <c r="CO4" s="3"/>
      <c r="CP4" s="13"/>
      <c r="CZ4" s="3"/>
      <c r="DC4" s="13"/>
      <c r="DD4" s="3"/>
      <c r="DG4" s="13"/>
      <c r="DH4" s="30"/>
      <c r="DI4" s="22"/>
      <c r="DJ4" s="30"/>
      <c r="DK4" s="22"/>
      <c r="DL4" s="30"/>
      <c r="DM4" s="22"/>
      <c r="DN4" s="13"/>
      <c r="DO4" s="24"/>
      <c r="DR4" s="26"/>
      <c r="DS4" s="28"/>
      <c r="DT4" s="13"/>
      <c r="DU4" s="3"/>
      <c r="DY4" s="13"/>
      <c r="EA4" s="3"/>
    </row>
    <row r="5" spans="1:131" x14ac:dyDescent="0.25">
      <c r="A5" t="s">
        <v>1012</v>
      </c>
      <c r="B5" t="s">
        <v>1006</v>
      </c>
      <c r="C5" s="2">
        <v>45769.578112280091</v>
      </c>
      <c r="D5" s="2">
        <v>45769.035879629628</v>
      </c>
      <c r="E5" s="2">
        <v>45713.368867349534</v>
      </c>
      <c r="F5" t="s">
        <v>1007</v>
      </c>
      <c r="G5" t="s">
        <v>429</v>
      </c>
      <c r="H5" t="s">
        <v>432</v>
      </c>
      <c r="I5">
        <v>9</v>
      </c>
      <c r="J5">
        <v>42906</v>
      </c>
      <c r="K5">
        <v>0.53615740740740736</v>
      </c>
      <c r="L5">
        <v>0.5</v>
      </c>
      <c r="M5" t="s">
        <v>1009</v>
      </c>
      <c r="BY5" s="13"/>
      <c r="BZ5" s="19"/>
      <c r="CA5" s="15"/>
      <c r="CB5" s="21"/>
      <c r="CD5" s="3"/>
      <c r="CM5" s="13"/>
      <c r="CO5" s="3"/>
      <c r="CP5" s="13"/>
      <c r="CZ5" s="3"/>
      <c r="DC5" s="13"/>
      <c r="DD5" s="3"/>
      <c r="DG5" s="13"/>
      <c r="DH5" s="30"/>
      <c r="DI5" s="22"/>
      <c r="DJ5" s="30"/>
      <c r="DK5" s="22"/>
      <c r="DL5" s="30"/>
      <c r="DM5" s="22"/>
      <c r="DN5" s="13"/>
      <c r="DO5" s="24"/>
      <c r="DR5" s="26"/>
      <c r="DS5" s="28"/>
      <c r="DT5" s="13"/>
      <c r="DU5" s="3"/>
      <c r="DY5" s="13"/>
      <c r="EA5" s="3"/>
    </row>
    <row r="6" spans="1:131" x14ac:dyDescent="0.25">
      <c r="A6" t="s">
        <v>1013</v>
      </c>
      <c r="B6" t="s">
        <v>1006</v>
      </c>
      <c r="C6" s="2">
        <v>45769.578112673611</v>
      </c>
      <c r="D6" s="2">
        <v>45769.037800925929</v>
      </c>
      <c r="E6" s="2">
        <v>45718.720149895831</v>
      </c>
      <c r="F6" t="s">
        <v>1007</v>
      </c>
      <c r="G6" t="s">
        <v>429</v>
      </c>
      <c r="H6" t="s">
        <v>432</v>
      </c>
      <c r="I6">
        <v>9</v>
      </c>
      <c r="J6">
        <v>42906</v>
      </c>
      <c r="K6">
        <v>0.53615740740740736</v>
      </c>
      <c r="L6">
        <v>0.5</v>
      </c>
      <c r="M6" t="s">
        <v>1009</v>
      </c>
      <c r="BY6" s="13"/>
      <c r="BZ6" s="19"/>
      <c r="CA6" s="15"/>
      <c r="CB6" s="21"/>
      <c r="CD6" s="3"/>
      <c r="CM6" s="13"/>
      <c r="CO6" s="3"/>
      <c r="CP6" s="13"/>
      <c r="CZ6" s="3"/>
      <c r="DC6" s="13"/>
      <c r="DD6" s="3"/>
      <c r="DG6" s="13"/>
      <c r="DH6" s="30"/>
      <c r="DI6" s="22"/>
      <c r="DJ6" s="30"/>
      <c r="DK6" s="22"/>
      <c r="DL6" s="30"/>
      <c r="DM6" s="22"/>
      <c r="DN6" s="13"/>
      <c r="DO6" s="24"/>
      <c r="DR6" s="26"/>
      <c r="DS6" s="28"/>
      <c r="DT6" s="13"/>
      <c r="DU6" s="3"/>
      <c r="DY6" s="13"/>
      <c r="EA6" s="3"/>
    </row>
    <row r="7" spans="1:131" x14ac:dyDescent="0.25">
      <c r="A7" t="s">
        <v>1014</v>
      </c>
      <c r="B7" t="s">
        <v>1006</v>
      </c>
      <c r="C7" s="2">
        <v>45769.578113090276</v>
      </c>
      <c r="D7" s="2">
        <v>45769.037800925929</v>
      </c>
      <c r="E7" s="2">
        <v>45719.845094884258</v>
      </c>
      <c r="F7" t="s">
        <v>1007</v>
      </c>
      <c r="G7" t="s">
        <v>429</v>
      </c>
      <c r="H7" t="s">
        <v>432</v>
      </c>
      <c r="I7">
        <v>9</v>
      </c>
      <c r="J7">
        <v>42906</v>
      </c>
      <c r="K7">
        <v>0.53615740740740736</v>
      </c>
      <c r="L7">
        <v>0.5</v>
      </c>
      <c r="M7" t="s">
        <v>1009</v>
      </c>
      <c r="BY7" s="13"/>
      <c r="BZ7" s="19"/>
      <c r="CA7" s="15"/>
      <c r="CB7" s="21"/>
      <c r="CD7" s="3"/>
      <c r="CM7" s="13"/>
      <c r="CO7" s="3"/>
      <c r="CP7" s="13"/>
      <c r="CZ7" s="3"/>
      <c r="DC7" s="13"/>
      <c r="DD7" s="3"/>
      <c r="DG7" s="13"/>
      <c r="DH7" s="30"/>
      <c r="DI7" s="22"/>
      <c r="DJ7" s="30"/>
      <c r="DK7" s="22"/>
      <c r="DL7" s="30"/>
      <c r="DM7" s="22"/>
      <c r="DN7" s="13"/>
      <c r="DO7" s="24"/>
      <c r="DR7" s="26"/>
      <c r="DS7" s="28"/>
      <c r="DT7" s="13"/>
      <c r="DU7" s="3"/>
      <c r="DY7" s="13"/>
      <c r="EA7" s="3"/>
    </row>
    <row r="8" spans="1:131" x14ac:dyDescent="0.25">
      <c r="A8" t="s">
        <v>1015</v>
      </c>
      <c r="B8" t="s">
        <v>1006</v>
      </c>
      <c r="C8" s="2">
        <v>45769.578113564814</v>
      </c>
      <c r="D8" s="2">
        <v>45726.85528935185</v>
      </c>
      <c r="E8" s="2">
        <v>45726.856810578705</v>
      </c>
      <c r="F8" t="s">
        <v>1007</v>
      </c>
      <c r="G8" t="s">
        <v>429</v>
      </c>
      <c r="H8" t="s">
        <v>432</v>
      </c>
      <c r="I8">
        <v>9</v>
      </c>
      <c r="J8">
        <v>42906</v>
      </c>
      <c r="K8">
        <v>0.53615740740740736</v>
      </c>
      <c r="L8">
        <v>0.5</v>
      </c>
      <c r="M8" t="s">
        <v>1009</v>
      </c>
      <c r="BY8" s="13"/>
      <c r="BZ8" s="19"/>
      <c r="CA8" s="15"/>
      <c r="CB8" s="21"/>
      <c r="CD8" s="3"/>
      <c r="CM8" s="13"/>
      <c r="CO8" s="3"/>
      <c r="CP8" s="13"/>
      <c r="CZ8" s="3"/>
      <c r="DC8" s="13"/>
      <c r="DD8" s="3"/>
      <c r="DG8" s="13"/>
      <c r="DH8" s="30"/>
      <c r="DI8" s="22"/>
      <c r="DJ8" s="30"/>
      <c r="DK8" s="22"/>
      <c r="DL8" s="30"/>
      <c r="DM8" s="22"/>
      <c r="DN8" s="13"/>
      <c r="DO8" s="24"/>
      <c r="DR8" s="26"/>
      <c r="DS8" s="28"/>
      <c r="DT8" s="13"/>
      <c r="DU8" s="3"/>
      <c r="DY8" s="13"/>
      <c r="EA8" s="3"/>
    </row>
    <row r="9" spans="1:131" x14ac:dyDescent="0.25">
      <c r="A9" t="s">
        <v>1016</v>
      </c>
      <c r="B9" t="s">
        <v>1006</v>
      </c>
      <c r="C9" s="2">
        <v>45769.578113993055</v>
      </c>
      <c r="D9" s="2">
        <v>45727.548941782406</v>
      </c>
      <c r="E9" s="2">
        <v>45727.544082731481</v>
      </c>
      <c r="F9" t="s">
        <v>1007</v>
      </c>
      <c r="G9" t="s">
        <v>429</v>
      </c>
      <c r="H9" t="s">
        <v>432</v>
      </c>
      <c r="I9">
        <v>9</v>
      </c>
      <c r="J9">
        <v>42906</v>
      </c>
      <c r="K9">
        <v>0.53615740740740736</v>
      </c>
      <c r="L9">
        <v>0.5</v>
      </c>
      <c r="M9" t="s">
        <v>1009</v>
      </c>
      <c r="BY9" s="13"/>
      <c r="BZ9" s="19"/>
      <c r="CA9" s="15"/>
      <c r="CB9" s="21"/>
      <c r="CD9" s="3"/>
      <c r="CM9" s="13"/>
      <c r="CO9" s="3"/>
      <c r="CP9" s="13"/>
      <c r="CZ9" s="3"/>
      <c r="DC9" s="13"/>
      <c r="DD9" s="3"/>
      <c r="DG9" s="13"/>
      <c r="DH9" s="30"/>
      <c r="DI9" s="22"/>
      <c r="DJ9" s="30"/>
      <c r="DK9" s="22"/>
      <c r="DL9" s="30"/>
      <c r="DM9" s="22"/>
      <c r="DN9" s="13"/>
      <c r="DO9" s="24"/>
      <c r="DR9" s="26"/>
      <c r="DS9" s="28"/>
      <c r="DT9" s="13"/>
      <c r="DU9" s="3"/>
      <c r="DY9" s="13"/>
      <c r="EA9" s="3"/>
    </row>
    <row r="10" spans="1:131" x14ac:dyDescent="0.25">
      <c r="A10" t="s">
        <v>1017</v>
      </c>
      <c r="B10" t="s">
        <v>1006</v>
      </c>
      <c r="C10" s="2">
        <v>45769.578114386575</v>
      </c>
      <c r="D10" s="2">
        <v>45730.674748101854</v>
      </c>
      <c r="E10" s="2">
        <v>45730.674747743054</v>
      </c>
      <c r="F10" t="s">
        <v>1007</v>
      </c>
      <c r="G10" t="s">
        <v>429</v>
      </c>
      <c r="H10" t="s">
        <v>432</v>
      </c>
      <c r="I10">
        <v>9</v>
      </c>
      <c r="J10">
        <v>42906</v>
      </c>
      <c r="K10">
        <v>0.53615740740740736</v>
      </c>
      <c r="L10">
        <v>0.5</v>
      </c>
      <c r="M10" t="s">
        <v>1009</v>
      </c>
      <c r="BY10" s="13"/>
      <c r="BZ10" s="19"/>
      <c r="CA10" s="15"/>
      <c r="CB10" s="21"/>
      <c r="CD10" s="3"/>
      <c r="CM10" s="13"/>
      <c r="CO10" s="3"/>
      <c r="CP10" s="13"/>
      <c r="CZ10" s="3"/>
      <c r="DC10" s="13"/>
      <c r="DD10" s="3"/>
      <c r="DG10" s="13"/>
      <c r="DH10" s="30"/>
      <c r="DI10" s="22"/>
      <c r="DJ10" s="30"/>
      <c r="DK10" s="22"/>
      <c r="DL10" s="30"/>
      <c r="DM10" s="22"/>
      <c r="DN10" s="13"/>
      <c r="DO10" s="24"/>
      <c r="DR10" s="26"/>
      <c r="DS10" s="28"/>
      <c r="DT10" s="13"/>
      <c r="DU10" s="3"/>
      <c r="DY10" s="13"/>
      <c r="EA10" s="3"/>
    </row>
    <row r="11" spans="1:131" x14ac:dyDescent="0.25">
      <c r="A11" t="s">
        <v>1019</v>
      </c>
      <c r="B11" t="s">
        <v>1006</v>
      </c>
      <c r="C11" s="2">
        <v>45769.578115219905</v>
      </c>
      <c r="D11" s="2">
        <v>45740.441161863426</v>
      </c>
      <c r="E11" s="2">
        <v>45740.441161643517</v>
      </c>
      <c r="F11" t="s">
        <v>1007</v>
      </c>
      <c r="G11" t="s">
        <v>429</v>
      </c>
      <c r="H11" t="s">
        <v>432</v>
      </c>
      <c r="I11">
        <v>9</v>
      </c>
      <c r="J11">
        <v>42906</v>
      </c>
      <c r="K11">
        <v>0.53615740740740736</v>
      </c>
      <c r="L11">
        <v>0.5</v>
      </c>
      <c r="M11" t="s">
        <v>1009</v>
      </c>
      <c r="BY11" s="13"/>
      <c r="BZ11" s="19"/>
      <c r="CA11" s="15"/>
      <c r="CB11" s="21"/>
      <c r="CD11" s="3"/>
      <c r="CM11" s="13"/>
      <c r="CO11" s="3"/>
      <c r="CP11" s="13"/>
      <c r="CZ11" s="3"/>
      <c r="DC11" s="13"/>
      <c r="DD11" s="3"/>
      <c r="DG11" s="13"/>
      <c r="DH11" s="30"/>
      <c r="DI11" s="22"/>
      <c r="DJ11" s="30"/>
      <c r="DK11" s="22"/>
      <c r="DL11" s="30"/>
      <c r="DM11" s="22"/>
      <c r="DN11" s="13"/>
      <c r="DO11" s="24"/>
      <c r="DR11" s="26"/>
      <c r="DS11" s="28"/>
      <c r="DT11" s="13"/>
      <c r="DU11" s="3"/>
      <c r="DY11" s="13"/>
      <c r="EA11" s="3"/>
    </row>
    <row r="12" spans="1:131" x14ac:dyDescent="0.25">
      <c r="A12" t="s">
        <v>1020</v>
      </c>
      <c r="B12" t="s">
        <v>1006</v>
      </c>
      <c r="C12" s="2">
        <v>45769.578115682867</v>
      </c>
      <c r="D12" s="2">
        <v>45747.434178240743</v>
      </c>
      <c r="E12" s="2">
        <v>45746.492342094905</v>
      </c>
      <c r="F12" t="s">
        <v>1007</v>
      </c>
      <c r="G12" t="s">
        <v>429</v>
      </c>
      <c r="H12" t="s">
        <v>432</v>
      </c>
      <c r="I12">
        <v>9</v>
      </c>
      <c r="J12">
        <v>42906</v>
      </c>
      <c r="K12">
        <v>0.53615740740740736</v>
      </c>
      <c r="L12">
        <v>0.5</v>
      </c>
      <c r="M12" t="s">
        <v>1009</v>
      </c>
      <c r="BY12" s="13"/>
      <c r="BZ12" s="19"/>
      <c r="CA12" s="15"/>
      <c r="CB12" s="21"/>
      <c r="CD12" s="3"/>
      <c r="CM12" s="13"/>
      <c r="CO12" s="3"/>
      <c r="CP12" s="13"/>
      <c r="CZ12" s="3"/>
      <c r="DC12" s="13"/>
      <c r="DD12" s="3"/>
      <c r="DG12" s="13"/>
      <c r="DH12" s="30"/>
      <c r="DI12" s="22"/>
      <c r="DJ12" s="30"/>
      <c r="DK12" s="22"/>
      <c r="DL12" s="30"/>
      <c r="DM12" s="22"/>
      <c r="DN12" s="13"/>
      <c r="DO12" s="24"/>
      <c r="DR12" s="26"/>
      <c r="DS12" s="28"/>
      <c r="DT12" s="13"/>
      <c r="DU12" s="3"/>
      <c r="DY12" s="13"/>
      <c r="EA12" s="3"/>
    </row>
    <row r="13" spans="1:131" x14ac:dyDescent="0.25">
      <c r="A13" t="s">
        <v>1021</v>
      </c>
      <c r="B13" t="s">
        <v>1006</v>
      </c>
      <c r="C13" s="2">
        <v>45769.578116168981</v>
      </c>
      <c r="D13" s="2">
        <v>45748.008692129632</v>
      </c>
      <c r="E13" s="2">
        <v>45760.803375069445</v>
      </c>
      <c r="F13" t="s">
        <v>1007</v>
      </c>
      <c r="G13" t="s">
        <v>429</v>
      </c>
      <c r="H13" t="s">
        <v>432</v>
      </c>
      <c r="I13">
        <v>9</v>
      </c>
      <c r="J13">
        <v>42906</v>
      </c>
      <c r="K13">
        <v>0.53615740740740736</v>
      </c>
      <c r="L13">
        <v>0.5</v>
      </c>
      <c r="M13" t="s">
        <v>1009</v>
      </c>
      <c r="BY13" s="13"/>
      <c r="BZ13" s="19"/>
      <c r="CA13" s="15"/>
      <c r="CB13" s="21"/>
      <c r="CD13" s="3"/>
      <c r="CM13" s="13"/>
      <c r="CO13" s="3"/>
      <c r="CP13" s="13"/>
      <c r="CZ13" s="3"/>
      <c r="DC13" s="13"/>
      <c r="DD13" s="3"/>
      <c r="DG13" s="13"/>
      <c r="DH13" s="30"/>
      <c r="DI13" s="22"/>
      <c r="DJ13" s="30"/>
      <c r="DK13" s="22"/>
      <c r="DL13" s="30"/>
      <c r="DM13" s="22"/>
      <c r="DN13" s="13"/>
      <c r="DO13" s="24"/>
      <c r="DR13" s="26"/>
      <c r="DS13" s="28"/>
      <c r="DT13" s="13"/>
      <c r="DU13" s="3"/>
      <c r="DY13" s="13"/>
      <c r="EA13" s="3"/>
    </row>
    <row r="14" spans="1:131" x14ac:dyDescent="0.25">
      <c r="A14" t="s">
        <v>1024</v>
      </c>
      <c r="B14" t="s">
        <v>1006</v>
      </c>
      <c r="C14" s="2">
        <v>45769.578117557867</v>
      </c>
      <c r="D14" s="2">
        <v>45755.522465879629</v>
      </c>
      <c r="E14" s="2">
        <v>45755.517505011572</v>
      </c>
      <c r="F14" t="s">
        <v>1007</v>
      </c>
      <c r="G14" t="s">
        <v>429</v>
      </c>
      <c r="H14" t="s">
        <v>432</v>
      </c>
      <c r="I14">
        <v>9</v>
      </c>
      <c r="J14">
        <v>42906</v>
      </c>
      <c r="K14">
        <v>0.53615740740740736</v>
      </c>
      <c r="L14">
        <v>0.5</v>
      </c>
      <c r="M14" t="s">
        <v>1009</v>
      </c>
      <c r="BY14" s="13"/>
      <c r="BZ14" s="19"/>
      <c r="CA14" s="15"/>
      <c r="CB14" s="21"/>
      <c r="CD14" s="3"/>
      <c r="CM14" s="13"/>
      <c r="CO14" s="3"/>
      <c r="CP14" s="13"/>
      <c r="CZ14" s="3"/>
      <c r="DC14" s="13"/>
      <c r="DD14" s="3"/>
      <c r="DG14" s="13"/>
      <c r="DH14" s="30"/>
      <c r="DI14" s="22"/>
      <c r="DJ14" s="30"/>
      <c r="DK14" s="22"/>
      <c r="DL14" s="30"/>
      <c r="DM14" s="22"/>
      <c r="DN14" s="13"/>
      <c r="DO14" s="24"/>
      <c r="DR14" s="26"/>
      <c r="DS14" s="28"/>
      <c r="DT14" s="13"/>
      <c r="DU14" s="3"/>
      <c r="DY14" s="13"/>
      <c r="EA14" s="3"/>
    </row>
    <row r="15" spans="1:131" x14ac:dyDescent="0.25">
      <c r="A15" t="s">
        <v>1025</v>
      </c>
      <c r="B15" t="s">
        <v>1006</v>
      </c>
      <c r="C15" s="2">
        <v>45769.578118020836</v>
      </c>
      <c r="D15" s="2">
        <v>45756.741511504631</v>
      </c>
      <c r="E15" s="2">
        <v>45756.741511087967</v>
      </c>
      <c r="F15" t="s">
        <v>1007</v>
      </c>
      <c r="G15" t="s">
        <v>429</v>
      </c>
      <c r="H15" t="s">
        <v>432</v>
      </c>
      <c r="I15">
        <v>9</v>
      </c>
      <c r="J15">
        <v>42906</v>
      </c>
      <c r="K15">
        <v>0.53615740740740736</v>
      </c>
      <c r="L15">
        <v>0.5</v>
      </c>
      <c r="M15" t="s">
        <v>1009</v>
      </c>
      <c r="BY15" s="13"/>
      <c r="BZ15" s="19"/>
      <c r="CA15" s="15"/>
      <c r="CB15" s="21"/>
      <c r="CD15" s="3"/>
      <c r="CM15" s="13"/>
      <c r="CO15" s="3"/>
      <c r="CP15" s="13"/>
      <c r="CZ15" s="3"/>
      <c r="DC15" s="13"/>
      <c r="DD15" s="3"/>
      <c r="DG15" s="13"/>
      <c r="DH15" s="30"/>
      <c r="DI15" s="22"/>
      <c r="DJ15" s="30"/>
      <c r="DK15" s="22"/>
      <c r="DL15" s="30"/>
      <c r="DM15" s="22"/>
      <c r="DN15" s="13"/>
      <c r="DO15" s="24"/>
      <c r="DR15" s="26"/>
      <c r="DS15" s="28"/>
      <c r="DT15" s="13"/>
      <c r="DU15" s="3"/>
      <c r="DY15" s="13"/>
      <c r="EA15" s="3"/>
    </row>
    <row r="16" spans="1:131" x14ac:dyDescent="0.25">
      <c r="A16" t="s">
        <v>1026</v>
      </c>
      <c r="B16" t="s">
        <v>1006</v>
      </c>
      <c r="C16" s="2">
        <v>45769.578118518519</v>
      </c>
      <c r="D16" s="2">
        <v>45758.796925532406</v>
      </c>
      <c r="E16" s="2">
        <v>45758.796925092596</v>
      </c>
      <c r="F16" t="s">
        <v>1007</v>
      </c>
      <c r="G16" t="s">
        <v>429</v>
      </c>
      <c r="H16" t="s">
        <v>432</v>
      </c>
      <c r="I16">
        <v>9</v>
      </c>
      <c r="J16">
        <v>42906</v>
      </c>
      <c r="K16">
        <v>0.53615740740740736</v>
      </c>
      <c r="L16">
        <v>0.5</v>
      </c>
      <c r="M16" t="s">
        <v>1009</v>
      </c>
      <c r="BY16" s="13"/>
      <c r="BZ16" s="19"/>
      <c r="CA16" s="15"/>
      <c r="CB16" s="21"/>
      <c r="CD16" s="3"/>
      <c r="CM16" s="13"/>
      <c r="CO16" s="3"/>
      <c r="CP16" s="13"/>
      <c r="CZ16" s="3"/>
      <c r="DC16" s="13"/>
      <c r="DD16" s="3"/>
      <c r="DG16" s="13"/>
      <c r="DH16" s="30"/>
      <c r="DI16" s="22"/>
      <c r="DJ16" s="30"/>
      <c r="DK16" s="22"/>
      <c r="DL16" s="30"/>
      <c r="DM16" s="22"/>
      <c r="DN16" s="13"/>
      <c r="DO16" s="24"/>
      <c r="DR16" s="26"/>
      <c r="DS16" s="28"/>
      <c r="DT16" s="13"/>
      <c r="DU16" s="3"/>
      <c r="DY16" s="13"/>
      <c r="EA16" s="3"/>
    </row>
    <row r="17" spans="1:131" x14ac:dyDescent="0.25">
      <c r="A17" t="s">
        <v>1027</v>
      </c>
      <c r="B17" t="s">
        <v>1006</v>
      </c>
      <c r="C17" s="2">
        <v>45769.578119039354</v>
      </c>
      <c r="D17" s="2">
        <v>45762.136261574073</v>
      </c>
      <c r="E17" s="2">
        <v>45761.611620300922</v>
      </c>
      <c r="F17" t="s">
        <v>1007</v>
      </c>
      <c r="G17" t="s">
        <v>429</v>
      </c>
      <c r="H17" t="s">
        <v>432</v>
      </c>
      <c r="I17">
        <v>9</v>
      </c>
      <c r="J17">
        <v>42906</v>
      </c>
      <c r="K17">
        <v>0.53615740740740736</v>
      </c>
      <c r="L17">
        <v>0.5</v>
      </c>
      <c r="M17" t="s">
        <v>1009</v>
      </c>
      <c r="BY17" s="13"/>
      <c r="BZ17" s="19"/>
      <c r="CA17" s="15"/>
      <c r="CB17" s="21"/>
      <c r="CD17" s="3"/>
      <c r="CM17" s="13"/>
      <c r="CO17" s="3"/>
      <c r="CP17" s="13"/>
      <c r="CZ17" s="3"/>
      <c r="DC17" s="13"/>
      <c r="DD17" s="3"/>
      <c r="DG17" s="13"/>
      <c r="DH17" s="30"/>
      <c r="DI17" s="22"/>
      <c r="DJ17" s="30"/>
      <c r="DK17" s="22"/>
      <c r="DL17" s="30"/>
      <c r="DM17" s="22"/>
      <c r="DN17" s="13"/>
      <c r="DO17" s="24"/>
      <c r="DR17" s="26"/>
      <c r="DS17" s="28"/>
      <c r="DT17" s="13"/>
      <c r="DU17" s="3"/>
      <c r="DY17" s="13"/>
      <c r="EA17" s="3"/>
    </row>
    <row r="18" spans="1:131" x14ac:dyDescent="0.25">
      <c r="A18" t="s">
        <v>1028</v>
      </c>
      <c r="B18" t="s">
        <v>1006</v>
      </c>
      <c r="C18" s="2">
        <v>45769.578119537036</v>
      </c>
      <c r="D18" s="2">
        <v>45761.614560185182</v>
      </c>
      <c r="E18" s="2">
        <v>45761.616076296297</v>
      </c>
      <c r="F18" t="s">
        <v>1007</v>
      </c>
      <c r="G18" t="s">
        <v>1326</v>
      </c>
      <c r="H18" t="s">
        <v>432</v>
      </c>
      <c r="I18">
        <v>9</v>
      </c>
      <c r="J18">
        <v>43466</v>
      </c>
      <c r="K18">
        <v>0.5</v>
      </c>
      <c r="L18">
        <v>0.5</v>
      </c>
      <c r="M18" t="s">
        <v>1009</v>
      </c>
      <c r="BY18" s="13"/>
      <c r="BZ18" s="19"/>
      <c r="CA18" s="15"/>
      <c r="CB18" s="21"/>
      <c r="CD18" s="3"/>
      <c r="CM18" s="13"/>
      <c r="CO18" s="3"/>
      <c r="CP18" s="13"/>
      <c r="CZ18" s="3"/>
      <c r="DC18" s="13"/>
      <c r="DD18" s="3"/>
      <c r="DG18" s="13"/>
      <c r="DH18" s="30"/>
      <c r="DI18" s="22"/>
      <c r="DJ18" s="30"/>
      <c r="DK18" s="22"/>
      <c r="DL18" s="30"/>
      <c r="DM18" s="22"/>
      <c r="DN18" s="13"/>
      <c r="DO18" s="24"/>
      <c r="DR18" s="26"/>
      <c r="DS18" s="28"/>
      <c r="DT18" s="13"/>
      <c r="DU18" s="3"/>
      <c r="DY18" s="13"/>
      <c r="EA18" s="3"/>
    </row>
    <row r="19" spans="1:131" x14ac:dyDescent="0.25">
      <c r="A19" t="s">
        <v>1028</v>
      </c>
      <c r="B19" t="s">
        <v>1006</v>
      </c>
      <c r="C19" s="2">
        <v>45769.578119537036</v>
      </c>
      <c r="D19" s="2">
        <v>45761.614560185182</v>
      </c>
      <c r="E19" s="2">
        <v>45761.616076296297</v>
      </c>
      <c r="F19" t="s">
        <v>1007</v>
      </c>
      <c r="G19" t="s">
        <v>1157</v>
      </c>
      <c r="H19" t="s">
        <v>144</v>
      </c>
      <c r="I19">
        <v>9</v>
      </c>
      <c r="J19">
        <v>44383</v>
      </c>
      <c r="K19">
        <v>0.54915509259259254</v>
      </c>
      <c r="L19">
        <v>0.54166666666666674</v>
      </c>
      <c r="M19" t="s">
        <v>1009</v>
      </c>
      <c r="BY19" s="13"/>
      <c r="BZ19" s="19"/>
      <c r="CA19" s="15"/>
      <c r="CB19" s="21"/>
      <c r="CD19" s="3"/>
      <c r="CM19" s="13"/>
      <c r="CO19" s="3"/>
      <c r="CP19" s="13"/>
      <c r="CZ19" s="3"/>
      <c r="DC19" s="13"/>
      <c r="DD19" s="3"/>
      <c r="DG19" s="13"/>
      <c r="DH19" s="30"/>
      <c r="DI19" s="22"/>
      <c r="DJ19" s="30"/>
      <c r="DK19" s="22"/>
      <c r="DL19" s="30"/>
      <c r="DM19" s="22"/>
      <c r="DN19" s="13"/>
      <c r="DO19" s="24"/>
      <c r="DR19" s="26"/>
      <c r="DS19" s="28"/>
      <c r="DT19" s="13"/>
      <c r="DU19" s="3"/>
      <c r="DY19" s="13"/>
      <c r="EA19" s="3"/>
    </row>
    <row r="20" spans="1:131" x14ac:dyDescent="0.25">
      <c r="A20" t="s">
        <v>1028</v>
      </c>
      <c r="B20" t="s">
        <v>1006</v>
      </c>
      <c r="C20" s="2">
        <v>45769.578119537036</v>
      </c>
      <c r="D20" s="2">
        <v>45761.614560185182</v>
      </c>
      <c r="E20" s="2">
        <v>45761.616076296297</v>
      </c>
      <c r="F20" t="s">
        <v>1007</v>
      </c>
      <c r="G20" t="s">
        <v>1159</v>
      </c>
      <c r="H20" t="s">
        <v>401</v>
      </c>
      <c r="I20">
        <v>9</v>
      </c>
      <c r="J20">
        <v>44657</v>
      </c>
      <c r="K20">
        <v>0.36458333333333326</v>
      </c>
      <c r="L20">
        <v>0.33333333333333326</v>
      </c>
      <c r="M20" t="s">
        <v>1010</v>
      </c>
      <c r="BY20" s="13"/>
      <c r="BZ20" s="19"/>
      <c r="CA20" s="15"/>
      <c r="CB20" s="21"/>
      <c r="CD20" s="3"/>
      <c r="CM20" s="13"/>
      <c r="CO20" s="3"/>
      <c r="CP20" s="13"/>
      <c r="CZ20" s="3"/>
      <c r="DC20" s="13"/>
      <c r="DD20" s="3"/>
      <c r="DG20" s="13"/>
      <c r="DH20" s="30"/>
      <c r="DI20" s="22"/>
      <c r="DJ20" s="30"/>
      <c r="DK20" s="22"/>
      <c r="DL20" s="30"/>
      <c r="DM20" s="22"/>
      <c r="DN20" s="13"/>
      <c r="DO20" s="24"/>
      <c r="DR20" s="26"/>
      <c r="DS20" s="28"/>
      <c r="DT20" s="13"/>
      <c r="DU20" s="3"/>
      <c r="DY20" s="13"/>
      <c r="EA20" s="3"/>
    </row>
    <row r="21" spans="1:131" x14ac:dyDescent="0.25">
      <c r="A21" t="s">
        <v>1028</v>
      </c>
      <c r="B21" t="s">
        <v>1006</v>
      </c>
      <c r="C21" s="2">
        <v>45769.578119537036</v>
      </c>
      <c r="D21" s="2">
        <v>45761.614560185182</v>
      </c>
      <c r="E21" s="2">
        <v>45761.616076296297</v>
      </c>
      <c r="F21" t="s">
        <v>1007</v>
      </c>
      <c r="G21" t="s">
        <v>1251</v>
      </c>
      <c r="H21" t="s">
        <v>1084</v>
      </c>
      <c r="I21">
        <v>9</v>
      </c>
      <c r="J21">
        <v>44789</v>
      </c>
      <c r="K21">
        <v>0.83333333333333326</v>
      </c>
      <c r="L21">
        <v>0.83333333333333326</v>
      </c>
      <c r="M21" t="s">
        <v>1008</v>
      </c>
      <c r="BY21" s="13"/>
      <c r="BZ21" s="19"/>
      <c r="CA21" s="15"/>
      <c r="CB21" s="21"/>
      <c r="CD21" s="3"/>
      <c r="CM21" s="13"/>
      <c r="CO21" s="3"/>
      <c r="CP21" s="13"/>
      <c r="CZ21" s="3"/>
      <c r="DC21" s="13"/>
      <c r="DD21" s="3"/>
      <c r="DG21" s="13"/>
      <c r="DH21" s="30"/>
      <c r="DI21" s="22"/>
      <c r="DJ21" s="30"/>
      <c r="DK21" s="22"/>
      <c r="DL21" s="30"/>
      <c r="DM21" s="22"/>
      <c r="DN21" s="13"/>
      <c r="DO21" s="24"/>
      <c r="DR21" s="26"/>
      <c r="DS21" s="28"/>
      <c r="DT21" s="13"/>
      <c r="DU21" s="3"/>
      <c r="DY21" s="13"/>
      <c r="EA21" s="3"/>
    </row>
    <row r="22" spans="1:131" x14ac:dyDescent="0.25">
      <c r="A22" t="s">
        <v>1028</v>
      </c>
      <c r="B22" t="s">
        <v>1006</v>
      </c>
      <c r="C22" s="2">
        <v>45769.578119537036</v>
      </c>
      <c r="D22" s="2">
        <v>45761.614560185182</v>
      </c>
      <c r="E22" s="2">
        <v>45761.616076296297</v>
      </c>
      <c r="F22" t="s">
        <v>1007</v>
      </c>
      <c r="G22" t="s">
        <v>1126</v>
      </c>
      <c r="H22" t="s">
        <v>1127</v>
      </c>
      <c r="I22">
        <v>9</v>
      </c>
      <c r="J22">
        <v>45039</v>
      </c>
      <c r="K22">
        <v>0.52986111111111112</v>
      </c>
      <c r="L22">
        <v>0.5</v>
      </c>
      <c r="M22" t="s">
        <v>1009</v>
      </c>
      <c r="BY22" s="13"/>
      <c r="BZ22" s="19"/>
      <c r="CA22" s="15"/>
      <c r="CB22" s="21"/>
      <c r="CD22" s="3"/>
      <c r="CM22" s="13"/>
      <c r="CO22" s="3"/>
      <c r="CP22" s="13"/>
      <c r="CZ22" s="3"/>
      <c r="DC22" s="13"/>
      <c r="DD22" s="3"/>
      <c r="DG22" s="13"/>
      <c r="DH22" s="30"/>
      <c r="DI22" s="22"/>
      <c r="DJ22" s="30"/>
      <c r="DK22" s="22"/>
      <c r="DL22" s="30"/>
      <c r="DM22" s="22"/>
      <c r="DN22" s="13"/>
      <c r="DO22" s="24"/>
      <c r="DR22" s="26"/>
      <c r="DS22" s="28"/>
      <c r="DT22" s="13"/>
      <c r="DU22" s="3"/>
      <c r="DY22" s="13"/>
      <c r="EA22" s="3"/>
    </row>
    <row r="23" spans="1:131" x14ac:dyDescent="0.25">
      <c r="A23" t="s">
        <v>1028</v>
      </c>
      <c r="B23" t="s">
        <v>1006</v>
      </c>
      <c r="C23" s="2">
        <v>45769.578119537036</v>
      </c>
      <c r="D23" s="2">
        <v>45761.614560185182</v>
      </c>
      <c r="E23" s="2">
        <v>45761.616076296297</v>
      </c>
      <c r="F23" t="s">
        <v>1007</v>
      </c>
      <c r="G23" t="s">
        <v>1033</v>
      </c>
      <c r="H23" t="s">
        <v>1034</v>
      </c>
      <c r="I23">
        <v>9</v>
      </c>
      <c r="J23">
        <v>45142</v>
      </c>
      <c r="K23">
        <v>0.45833333333333326</v>
      </c>
      <c r="L23">
        <v>0.45833333333333326</v>
      </c>
      <c r="M23" t="s">
        <v>1010</v>
      </c>
      <c r="BY23" s="13"/>
      <c r="BZ23" s="19"/>
      <c r="CA23" s="15"/>
      <c r="CB23" s="21"/>
      <c r="CD23" s="3"/>
      <c r="CM23" s="13"/>
      <c r="CO23" s="3"/>
      <c r="CP23" s="13"/>
      <c r="CZ23" s="3"/>
      <c r="DC23" s="13"/>
      <c r="DD23" s="3"/>
      <c r="DG23" s="13"/>
      <c r="DH23" s="30"/>
      <c r="DI23" s="22"/>
      <c r="DJ23" s="30"/>
      <c r="DK23" s="22"/>
      <c r="DL23" s="30"/>
      <c r="DM23" s="22"/>
      <c r="DN23" s="13"/>
      <c r="DO23" s="24"/>
      <c r="DR23" s="26"/>
      <c r="DS23" s="28"/>
      <c r="DT23" s="13"/>
      <c r="DU23" s="3"/>
      <c r="DY23" s="13"/>
      <c r="EA23" s="3"/>
    </row>
    <row r="24" spans="1:131" x14ac:dyDescent="0.25">
      <c r="A24" t="s">
        <v>1028</v>
      </c>
      <c r="B24" t="s">
        <v>1006</v>
      </c>
      <c r="C24" s="2">
        <v>45769.578119537036</v>
      </c>
      <c r="D24" s="2">
        <v>45761.614560185182</v>
      </c>
      <c r="E24" s="2">
        <v>45761.616076296297</v>
      </c>
      <c r="F24" t="s">
        <v>1007</v>
      </c>
      <c r="G24" t="s">
        <v>1201</v>
      </c>
      <c r="H24" t="s">
        <v>1202</v>
      </c>
      <c r="I24">
        <v>9</v>
      </c>
      <c r="J24">
        <v>45184</v>
      </c>
      <c r="K24">
        <v>0.5</v>
      </c>
      <c r="L24">
        <v>0.5</v>
      </c>
      <c r="M24" t="s">
        <v>1009</v>
      </c>
      <c r="BY24" s="13"/>
      <c r="BZ24" s="19"/>
      <c r="CA24" s="15"/>
      <c r="CB24" s="21"/>
      <c r="CD24" s="3"/>
      <c r="CM24" s="13"/>
      <c r="CO24" s="3"/>
      <c r="CP24" s="13"/>
      <c r="CZ24" s="3"/>
      <c r="DC24" s="13"/>
      <c r="DD24" s="3"/>
      <c r="DG24" s="13"/>
      <c r="DH24" s="30"/>
      <c r="DI24" s="22"/>
      <c r="DJ24" s="30"/>
      <c r="DK24" s="22"/>
      <c r="DL24" s="30"/>
      <c r="DM24" s="22"/>
      <c r="DN24" s="13"/>
      <c r="DO24" s="24"/>
      <c r="DR24" s="26"/>
      <c r="DS24" s="28"/>
      <c r="DT24" s="13"/>
      <c r="DU24" s="3"/>
      <c r="DY24" s="13"/>
      <c r="EA24" s="3"/>
    </row>
    <row r="25" spans="1:131" x14ac:dyDescent="0.25">
      <c r="A25" t="s">
        <v>1028</v>
      </c>
      <c r="B25" t="s">
        <v>1006</v>
      </c>
      <c r="C25" s="2">
        <v>45769.578119537036</v>
      </c>
      <c r="D25" s="2">
        <v>45761.614560185182</v>
      </c>
      <c r="E25" s="2">
        <v>45761.616076296297</v>
      </c>
      <c r="F25" t="s">
        <v>1007</v>
      </c>
      <c r="G25" t="s">
        <v>1047</v>
      </c>
      <c r="H25" t="s">
        <v>1048</v>
      </c>
      <c r="I25">
        <v>9</v>
      </c>
      <c r="J25">
        <v>45233</v>
      </c>
      <c r="K25">
        <v>0.54166666666666674</v>
      </c>
      <c r="L25">
        <v>0.54166666666666674</v>
      </c>
      <c r="M25" t="s">
        <v>1009</v>
      </c>
      <c r="BY25" s="13"/>
      <c r="BZ25" s="19"/>
      <c r="CA25" s="15"/>
      <c r="CB25" s="21"/>
      <c r="CD25" s="3"/>
      <c r="CM25" s="13"/>
      <c r="CO25" s="3"/>
      <c r="CP25" s="13"/>
      <c r="CZ25" s="3"/>
      <c r="DC25" s="13"/>
      <c r="DD25" s="3"/>
      <c r="DG25" s="13"/>
      <c r="DH25" s="30"/>
      <c r="DI25" s="22"/>
      <c r="DJ25" s="30"/>
      <c r="DK25" s="22"/>
      <c r="DL25" s="30"/>
      <c r="DM25" s="22"/>
      <c r="DN25" s="13"/>
      <c r="DO25" s="24"/>
      <c r="DR25" s="26"/>
      <c r="DS25" s="28"/>
      <c r="DT25" s="13"/>
      <c r="DU25" s="3"/>
      <c r="DY25" s="13"/>
      <c r="EA25" s="3"/>
    </row>
    <row r="26" spans="1:131" x14ac:dyDescent="0.25">
      <c r="A26" t="s">
        <v>1028</v>
      </c>
      <c r="B26" t="s">
        <v>1006</v>
      </c>
      <c r="C26" s="2">
        <v>45769.578119537036</v>
      </c>
      <c r="D26" s="2">
        <v>45761.614560185182</v>
      </c>
      <c r="E26" s="2">
        <v>45761.616076296297</v>
      </c>
      <c r="F26" t="s">
        <v>1007</v>
      </c>
      <c r="G26" t="s">
        <v>1037</v>
      </c>
      <c r="H26" t="s">
        <v>1038</v>
      </c>
      <c r="I26">
        <v>9</v>
      </c>
      <c r="J26">
        <v>45286</v>
      </c>
      <c r="K26">
        <v>0.5</v>
      </c>
      <c r="L26">
        <v>0.5</v>
      </c>
      <c r="M26" t="s">
        <v>1009</v>
      </c>
      <c r="BY26" s="13"/>
      <c r="BZ26" s="19"/>
      <c r="CA26" s="15"/>
      <c r="CB26" s="21"/>
      <c r="CD26" s="3"/>
      <c r="CM26" s="13"/>
      <c r="CO26" s="3"/>
      <c r="CP26" s="13"/>
      <c r="CZ26" s="3"/>
      <c r="DC26" s="13"/>
      <c r="DD26" s="3"/>
      <c r="DG26" s="13"/>
      <c r="DH26" s="30"/>
      <c r="DI26" s="22"/>
      <c r="DJ26" s="30"/>
      <c r="DK26" s="22"/>
      <c r="DL26" s="30"/>
      <c r="DM26" s="22"/>
      <c r="DN26" s="13"/>
      <c r="DO26" s="24"/>
      <c r="DR26" s="26"/>
      <c r="DS26" s="28"/>
      <c r="DT26" s="13"/>
      <c r="DU26" s="3"/>
      <c r="DY26" s="13"/>
      <c r="EA26" s="3"/>
    </row>
    <row r="27" spans="1:131" x14ac:dyDescent="0.25">
      <c r="A27" t="s">
        <v>1028</v>
      </c>
      <c r="B27" t="s">
        <v>1006</v>
      </c>
      <c r="C27" s="2">
        <v>45769.578119537036</v>
      </c>
      <c r="D27" s="2">
        <v>45761.614560185182</v>
      </c>
      <c r="E27" s="2">
        <v>45761.616076296297</v>
      </c>
      <c r="F27" t="s">
        <v>1007</v>
      </c>
      <c r="G27" t="s">
        <v>1029</v>
      </c>
      <c r="H27" t="s">
        <v>1030</v>
      </c>
      <c r="I27">
        <v>9</v>
      </c>
      <c r="J27">
        <v>45306</v>
      </c>
      <c r="K27">
        <v>0.39583333333333326</v>
      </c>
      <c r="L27">
        <v>0.375</v>
      </c>
      <c r="M27" t="s">
        <v>1010</v>
      </c>
      <c r="BY27" s="13"/>
      <c r="BZ27" s="19"/>
      <c r="CA27" s="15"/>
      <c r="CB27" s="21"/>
      <c r="CD27" s="3"/>
      <c r="CM27" s="13"/>
      <c r="CO27" s="3"/>
      <c r="CP27" s="13"/>
      <c r="CZ27" s="3"/>
      <c r="DC27" s="13"/>
      <c r="DD27" s="3"/>
      <c r="DG27" s="13"/>
      <c r="DH27" s="30"/>
      <c r="DI27" s="22"/>
      <c r="DJ27" s="30"/>
      <c r="DK27" s="22"/>
      <c r="DL27" s="30"/>
      <c r="DM27" s="22"/>
      <c r="DN27" s="13"/>
      <c r="DO27" s="24"/>
      <c r="DR27" s="26"/>
      <c r="DS27" s="28"/>
      <c r="DT27" s="13"/>
      <c r="DU27" s="3"/>
      <c r="DY27" s="13"/>
      <c r="EA27" s="3"/>
    </row>
    <row r="28" spans="1:131" x14ac:dyDescent="0.25">
      <c r="A28" t="s">
        <v>1028</v>
      </c>
      <c r="B28" t="s">
        <v>1006</v>
      </c>
      <c r="C28" s="2">
        <v>45769.578119537036</v>
      </c>
      <c r="D28" s="2">
        <v>45761.614560185182</v>
      </c>
      <c r="E28" s="2">
        <v>45761.616076296297</v>
      </c>
      <c r="F28" t="s">
        <v>1007</v>
      </c>
      <c r="G28" t="s">
        <v>1031</v>
      </c>
      <c r="H28" t="s">
        <v>1032</v>
      </c>
      <c r="I28">
        <v>9</v>
      </c>
      <c r="J28">
        <v>45308</v>
      </c>
      <c r="K28">
        <v>0.65101851851851844</v>
      </c>
      <c r="L28">
        <v>0.625</v>
      </c>
      <c r="M28" t="s">
        <v>1009</v>
      </c>
      <c r="BY28" s="13"/>
      <c r="BZ28" s="19"/>
      <c r="CA28" s="15"/>
      <c r="CB28" s="21"/>
      <c r="CD28" s="3"/>
      <c r="CM28" s="13"/>
      <c r="CO28" s="3"/>
      <c r="CP28" s="13"/>
      <c r="CZ28" s="3"/>
      <c r="DC28" s="13"/>
      <c r="DD28" s="3"/>
      <c r="DG28" s="13"/>
      <c r="DH28" s="30"/>
      <c r="DI28" s="22"/>
      <c r="DJ28" s="30"/>
      <c r="DK28" s="22"/>
      <c r="DL28" s="30"/>
      <c r="DM28" s="22"/>
      <c r="DN28" s="13"/>
      <c r="DO28" s="24"/>
      <c r="DR28" s="26"/>
      <c r="DS28" s="28"/>
      <c r="DT28" s="13"/>
      <c r="DU28" s="3"/>
      <c r="DY28" s="13"/>
      <c r="EA28" s="3"/>
    </row>
    <row r="29" spans="1:131" x14ac:dyDescent="0.25">
      <c r="A29" t="s">
        <v>1028</v>
      </c>
      <c r="B29" t="s">
        <v>1006</v>
      </c>
      <c r="C29" s="2">
        <v>45769.578119537036</v>
      </c>
      <c r="D29" s="2">
        <v>45761.614560185182</v>
      </c>
      <c r="E29" s="2">
        <v>45761.616076296297</v>
      </c>
      <c r="F29" t="s">
        <v>1007</v>
      </c>
      <c r="G29" t="s">
        <v>1035</v>
      </c>
      <c r="H29" t="s">
        <v>1036</v>
      </c>
      <c r="I29">
        <v>9</v>
      </c>
      <c r="J29">
        <v>45310</v>
      </c>
      <c r="K29">
        <v>0.80208333333333326</v>
      </c>
      <c r="L29">
        <v>0.79166666666666674</v>
      </c>
      <c r="M29" t="s">
        <v>1008</v>
      </c>
      <c r="BY29" s="13"/>
      <c r="BZ29" s="19"/>
      <c r="CA29" s="15"/>
      <c r="CB29" s="21"/>
      <c r="CD29" s="3"/>
      <c r="CM29" s="13"/>
      <c r="CO29" s="3"/>
      <c r="CP29" s="13"/>
      <c r="CZ29" s="3"/>
      <c r="DC29" s="13"/>
      <c r="DD29" s="3"/>
      <c r="DG29" s="13"/>
      <c r="DH29" s="30"/>
      <c r="DI29" s="22"/>
      <c r="DJ29" s="30"/>
      <c r="DK29" s="22"/>
      <c r="DL29" s="30"/>
      <c r="DM29" s="22"/>
      <c r="DN29" s="13"/>
      <c r="DO29" s="24"/>
      <c r="DR29" s="26"/>
      <c r="DS29" s="28"/>
      <c r="DT29" s="13"/>
      <c r="DU29" s="3"/>
      <c r="DY29" s="13"/>
      <c r="EA29" s="3"/>
    </row>
    <row r="30" spans="1:131" x14ac:dyDescent="0.25">
      <c r="A30" t="s">
        <v>1028</v>
      </c>
      <c r="B30" t="s">
        <v>1006</v>
      </c>
      <c r="C30" s="2">
        <v>45769.578119537036</v>
      </c>
      <c r="D30" s="2">
        <v>45761.614560185182</v>
      </c>
      <c r="E30" s="2">
        <v>45761.616076296297</v>
      </c>
      <c r="F30" t="s">
        <v>1007</v>
      </c>
      <c r="G30" t="s">
        <v>1039</v>
      </c>
      <c r="H30" t="s">
        <v>1040</v>
      </c>
      <c r="I30">
        <v>9</v>
      </c>
      <c r="J30">
        <v>45316</v>
      </c>
      <c r="K30">
        <v>0.83333333333333326</v>
      </c>
      <c r="L30">
        <v>0.83333333333333326</v>
      </c>
      <c r="M30" t="s">
        <v>1008</v>
      </c>
      <c r="BY30" s="13"/>
      <c r="BZ30" s="19"/>
      <c r="CA30" s="15"/>
      <c r="CB30" s="21"/>
      <c r="CD30" s="3"/>
      <c r="CM30" s="13"/>
      <c r="CO30" s="3"/>
      <c r="CP30" s="13"/>
      <c r="CZ30" s="3"/>
      <c r="DC30" s="13"/>
      <c r="DD30" s="3"/>
      <c r="DG30" s="13"/>
      <c r="DH30" s="30"/>
      <c r="DI30" s="22"/>
      <c r="DJ30" s="30"/>
      <c r="DK30" s="22"/>
      <c r="DL30" s="30"/>
      <c r="DM30" s="22"/>
      <c r="DN30" s="13"/>
      <c r="DO30" s="24"/>
      <c r="DR30" s="26"/>
      <c r="DS30" s="28"/>
      <c r="DT30" s="13"/>
      <c r="DU30" s="3"/>
      <c r="DY30" s="13"/>
      <c r="EA30" s="3"/>
    </row>
    <row r="31" spans="1:131" x14ac:dyDescent="0.25">
      <c r="A31" t="s">
        <v>1028</v>
      </c>
      <c r="B31" t="s">
        <v>1006</v>
      </c>
      <c r="C31" s="2">
        <v>45769.578119537036</v>
      </c>
      <c r="D31" s="2">
        <v>45761.614560185182</v>
      </c>
      <c r="E31" s="2">
        <v>45761.616076296297</v>
      </c>
      <c r="F31" t="s">
        <v>1007</v>
      </c>
      <c r="G31" t="s">
        <v>1041</v>
      </c>
      <c r="H31" t="s">
        <v>1042</v>
      </c>
      <c r="I31">
        <v>9</v>
      </c>
      <c r="J31">
        <v>45321</v>
      </c>
      <c r="K31">
        <v>0.48750000000000004</v>
      </c>
      <c r="L31">
        <v>0.45833333333333326</v>
      </c>
      <c r="M31" t="s">
        <v>1010</v>
      </c>
      <c r="BY31" s="13"/>
      <c r="BZ31" s="19"/>
      <c r="CA31" s="15"/>
      <c r="CB31" s="21"/>
      <c r="CD31" s="3"/>
      <c r="CM31" s="13"/>
      <c r="CO31" s="3"/>
      <c r="CP31" s="13"/>
      <c r="CZ31" s="3"/>
      <c r="DC31" s="13"/>
      <c r="DD31" s="3"/>
      <c r="DG31" s="13"/>
      <c r="DH31" s="30"/>
      <c r="DI31" s="22"/>
      <c r="DJ31" s="30"/>
      <c r="DK31" s="22"/>
      <c r="DL31" s="30"/>
      <c r="DM31" s="22"/>
      <c r="DN31" s="13"/>
      <c r="DO31" s="24"/>
      <c r="DR31" s="26"/>
      <c r="DS31" s="28"/>
      <c r="DT31" s="13"/>
      <c r="DU31" s="3"/>
      <c r="DY31" s="13"/>
      <c r="EA31" s="3"/>
    </row>
    <row r="32" spans="1:131" x14ac:dyDescent="0.25">
      <c r="A32" t="s">
        <v>1028</v>
      </c>
      <c r="B32" t="s">
        <v>1006</v>
      </c>
      <c r="C32" s="2">
        <v>45769.578119537036</v>
      </c>
      <c r="D32" s="2">
        <v>45761.614560185182</v>
      </c>
      <c r="E32" s="2">
        <v>45761.616076296297</v>
      </c>
      <c r="F32" t="s">
        <v>1007</v>
      </c>
      <c r="G32" t="s">
        <v>1043</v>
      </c>
      <c r="H32" t="s">
        <v>1044</v>
      </c>
      <c r="I32">
        <v>9</v>
      </c>
      <c r="J32">
        <v>45321</v>
      </c>
      <c r="K32">
        <v>0.75739583333333327</v>
      </c>
      <c r="L32">
        <v>0.75</v>
      </c>
      <c r="M32" t="s">
        <v>1008</v>
      </c>
      <c r="BY32" s="13"/>
      <c r="BZ32" s="19"/>
      <c r="CA32" s="15"/>
      <c r="CB32" s="21"/>
      <c r="CD32" s="3"/>
      <c r="CM32" s="13"/>
      <c r="CO32" s="3"/>
      <c r="CP32" s="13"/>
      <c r="CZ32" s="3"/>
      <c r="DC32" s="13"/>
      <c r="DD32" s="3"/>
      <c r="DG32" s="13"/>
      <c r="DH32" s="30"/>
      <c r="DI32" s="22"/>
      <c r="DJ32" s="30"/>
      <c r="DK32" s="22"/>
      <c r="DL32" s="30"/>
      <c r="DM32" s="22"/>
      <c r="DN32" s="13"/>
      <c r="DO32" s="24"/>
      <c r="DR32" s="26"/>
      <c r="DS32" s="28"/>
      <c r="DT32" s="13"/>
      <c r="DU32" s="3"/>
      <c r="DY32" s="13"/>
      <c r="EA32" s="3"/>
    </row>
    <row r="33" spans="1:13" x14ac:dyDescent="0.25">
      <c r="A33" t="s">
        <v>1028</v>
      </c>
      <c r="B33" t="s">
        <v>1006</v>
      </c>
      <c r="C33" s="2">
        <v>45769.578119537036</v>
      </c>
      <c r="D33" s="2">
        <v>45761.614560185182</v>
      </c>
      <c r="E33" s="2">
        <v>45761.616076296297</v>
      </c>
      <c r="F33" t="s">
        <v>1007</v>
      </c>
      <c r="G33" t="s">
        <v>1056</v>
      </c>
      <c r="H33" t="s">
        <v>1057</v>
      </c>
      <c r="I33">
        <v>9</v>
      </c>
      <c r="J33">
        <v>45321</v>
      </c>
      <c r="K33">
        <v>0.5</v>
      </c>
      <c r="L33">
        <v>0.5</v>
      </c>
      <c r="M33" t="s">
        <v>1009</v>
      </c>
    </row>
    <row r="34" spans="1:13" x14ac:dyDescent="0.25">
      <c r="A34" t="s">
        <v>1028</v>
      </c>
      <c r="B34" t="s">
        <v>1006</v>
      </c>
      <c r="C34" s="2">
        <v>45769.578119537036</v>
      </c>
      <c r="D34" s="2">
        <v>45761.614560185182</v>
      </c>
      <c r="E34" s="2">
        <v>45761.616076296297</v>
      </c>
      <c r="F34" t="s">
        <v>1007</v>
      </c>
      <c r="G34" t="s">
        <v>1049</v>
      </c>
      <c r="H34" t="s">
        <v>1050</v>
      </c>
      <c r="I34">
        <v>9</v>
      </c>
      <c r="J34">
        <v>45322</v>
      </c>
      <c r="K34">
        <v>0.75</v>
      </c>
      <c r="L34">
        <v>0.75</v>
      </c>
      <c r="M34" t="s">
        <v>1008</v>
      </c>
    </row>
    <row r="35" spans="1:13" x14ac:dyDescent="0.25">
      <c r="A35" t="s">
        <v>1028</v>
      </c>
      <c r="B35" t="s">
        <v>1006</v>
      </c>
      <c r="C35" s="2">
        <v>45769.578119537036</v>
      </c>
      <c r="D35" s="2">
        <v>45761.614560185182</v>
      </c>
      <c r="E35" s="2">
        <v>45761.616076296297</v>
      </c>
      <c r="F35" t="s">
        <v>1007</v>
      </c>
      <c r="G35" t="s">
        <v>1055</v>
      </c>
      <c r="H35" t="s">
        <v>1048</v>
      </c>
      <c r="I35">
        <v>9</v>
      </c>
      <c r="J35">
        <v>45322</v>
      </c>
      <c r="K35">
        <v>0.41666666666666674</v>
      </c>
      <c r="L35">
        <v>0.41666666666666674</v>
      </c>
      <c r="M35" t="s">
        <v>1010</v>
      </c>
    </row>
    <row r="36" spans="1:13" x14ac:dyDescent="0.25">
      <c r="A36" t="s">
        <v>1028</v>
      </c>
      <c r="B36" t="s">
        <v>1006</v>
      </c>
      <c r="C36" s="2">
        <v>45769.578119537036</v>
      </c>
      <c r="D36" s="2">
        <v>45761.614560185182</v>
      </c>
      <c r="E36" s="2">
        <v>45761.616076296297</v>
      </c>
      <c r="F36" t="s">
        <v>1007</v>
      </c>
      <c r="G36" t="s">
        <v>1045</v>
      </c>
      <c r="H36" t="s">
        <v>1046</v>
      </c>
      <c r="I36">
        <v>9</v>
      </c>
      <c r="J36">
        <v>45323</v>
      </c>
      <c r="K36">
        <v>0.45833333333333326</v>
      </c>
      <c r="L36">
        <v>0.45833333333333326</v>
      </c>
      <c r="M36" t="s">
        <v>1010</v>
      </c>
    </row>
    <row r="37" spans="1:13" x14ac:dyDescent="0.25">
      <c r="A37" t="s">
        <v>1028</v>
      </c>
      <c r="B37" t="s">
        <v>1006</v>
      </c>
      <c r="C37" s="2">
        <v>45769.578119537036</v>
      </c>
      <c r="D37" s="2">
        <v>45761.614560185182</v>
      </c>
      <c r="E37" s="2">
        <v>45761.616076296297</v>
      </c>
      <c r="F37" t="s">
        <v>1007</v>
      </c>
      <c r="G37" t="s">
        <v>1180</v>
      </c>
      <c r="H37" t="s">
        <v>1181</v>
      </c>
      <c r="I37">
        <v>9</v>
      </c>
      <c r="J37">
        <v>45323</v>
      </c>
      <c r="K37">
        <v>0.5</v>
      </c>
      <c r="L37">
        <v>0.5</v>
      </c>
      <c r="M37" t="s">
        <v>1009</v>
      </c>
    </row>
    <row r="38" spans="1:13" x14ac:dyDescent="0.25">
      <c r="A38" t="s">
        <v>1028</v>
      </c>
      <c r="B38" t="s">
        <v>1006</v>
      </c>
      <c r="C38" s="2">
        <v>45769.578119537036</v>
      </c>
      <c r="D38" s="2">
        <v>45761.614560185182</v>
      </c>
      <c r="E38" s="2">
        <v>45761.616076296297</v>
      </c>
      <c r="F38" t="s">
        <v>1007</v>
      </c>
      <c r="G38" t="s">
        <v>1051</v>
      </c>
      <c r="H38" t="s">
        <v>1052</v>
      </c>
      <c r="I38">
        <v>9</v>
      </c>
      <c r="J38">
        <v>45329</v>
      </c>
      <c r="K38">
        <v>0.50572916666666656</v>
      </c>
      <c r="L38">
        <v>0.5</v>
      </c>
      <c r="M38" t="s">
        <v>1009</v>
      </c>
    </row>
    <row r="39" spans="1:13" x14ac:dyDescent="0.25">
      <c r="A39" t="s">
        <v>1028</v>
      </c>
      <c r="B39" t="s">
        <v>1006</v>
      </c>
      <c r="C39" s="2">
        <v>45769.578119537036</v>
      </c>
      <c r="D39" s="2">
        <v>45761.614560185182</v>
      </c>
      <c r="E39" s="2">
        <v>45761.616076296297</v>
      </c>
      <c r="F39" t="s">
        <v>1007</v>
      </c>
      <c r="G39" t="s">
        <v>1053</v>
      </c>
      <c r="H39" t="s">
        <v>1054</v>
      </c>
      <c r="I39">
        <v>9</v>
      </c>
      <c r="J39">
        <v>45331</v>
      </c>
      <c r="K39">
        <v>0.69791666666666674</v>
      </c>
      <c r="L39">
        <v>0.66666666666666674</v>
      </c>
      <c r="M39" t="s">
        <v>1009</v>
      </c>
    </row>
    <row r="40" spans="1:13" x14ac:dyDescent="0.25">
      <c r="A40" t="s">
        <v>1028</v>
      </c>
      <c r="B40" t="s">
        <v>1006</v>
      </c>
      <c r="C40" s="2">
        <v>45769.578119537036</v>
      </c>
      <c r="D40" s="2">
        <v>45761.614560185182</v>
      </c>
      <c r="E40" s="2">
        <v>45761.616076296297</v>
      </c>
      <c r="F40" t="s">
        <v>1007</v>
      </c>
      <c r="G40" t="s">
        <v>1058</v>
      </c>
      <c r="H40" t="s">
        <v>362</v>
      </c>
      <c r="I40">
        <v>9</v>
      </c>
      <c r="J40">
        <v>45343</v>
      </c>
      <c r="K40">
        <v>0.50707175925925929</v>
      </c>
      <c r="L40">
        <v>0.5</v>
      </c>
      <c r="M40" t="s">
        <v>1009</v>
      </c>
    </row>
    <row r="41" spans="1:13" x14ac:dyDescent="0.25">
      <c r="A41" t="s">
        <v>1028</v>
      </c>
      <c r="B41" t="s">
        <v>1006</v>
      </c>
      <c r="C41" s="2">
        <v>45769.578119537036</v>
      </c>
      <c r="D41" s="2">
        <v>45761.614560185182</v>
      </c>
      <c r="E41" s="2">
        <v>45761.616076296297</v>
      </c>
      <c r="F41" t="s">
        <v>1007</v>
      </c>
      <c r="G41" t="s">
        <v>1059</v>
      </c>
      <c r="H41" t="s">
        <v>1060</v>
      </c>
      <c r="I41">
        <v>9</v>
      </c>
      <c r="J41">
        <v>45343</v>
      </c>
      <c r="K41">
        <v>0.60886574074074074</v>
      </c>
      <c r="L41">
        <v>0.58333333333333326</v>
      </c>
      <c r="M41" t="s">
        <v>1009</v>
      </c>
    </row>
    <row r="42" spans="1:13" x14ac:dyDescent="0.25">
      <c r="A42" t="s">
        <v>1028</v>
      </c>
      <c r="B42" t="s">
        <v>1006</v>
      </c>
      <c r="C42" s="2">
        <v>45769.578119537036</v>
      </c>
      <c r="D42" s="2">
        <v>45761.614560185182</v>
      </c>
      <c r="E42" s="2">
        <v>45761.616076296297</v>
      </c>
      <c r="F42" t="s">
        <v>1007</v>
      </c>
      <c r="G42" t="s">
        <v>1061</v>
      </c>
      <c r="H42" t="s">
        <v>1062</v>
      </c>
      <c r="I42">
        <v>9</v>
      </c>
      <c r="J42">
        <v>45344</v>
      </c>
      <c r="K42">
        <v>0.5</v>
      </c>
      <c r="L42">
        <v>0.5</v>
      </c>
      <c r="M42" t="s">
        <v>1009</v>
      </c>
    </row>
    <row r="43" spans="1:13" x14ac:dyDescent="0.25">
      <c r="A43" t="s">
        <v>1028</v>
      </c>
      <c r="B43" t="s">
        <v>1006</v>
      </c>
      <c r="C43" s="2">
        <v>45769.578119537036</v>
      </c>
      <c r="D43" s="2">
        <v>45761.614560185182</v>
      </c>
      <c r="E43" s="2">
        <v>45761.616076296297</v>
      </c>
      <c r="F43" t="s">
        <v>1007</v>
      </c>
      <c r="G43" t="s">
        <v>1101</v>
      </c>
      <c r="H43" t="s">
        <v>1100</v>
      </c>
      <c r="I43">
        <v>9</v>
      </c>
      <c r="J43">
        <v>45346</v>
      </c>
      <c r="K43">
        <v>0.70902777777777781</v>
      </c>
      <c r="L43">
        <v>0.70833333333333326</v>
      </c>
      <c r="M43" t="s">
        <v>1009</v>
      </c>
    </row>
    <row r="44" spans="1:13" x14ac:dyDescent="0.25">
      <c r="A44" t="s">
        <v>1028</v>
      </c>
      <c r="B44" t="s">
        <v>1006</v>
      </c>
      <c r="C44" s="2">
        <v>45769.578119537036</v>
      </c>
      <c r="D44" s="2">
        <v>45761.614560185182</v>
      </c>
      <c r="E44" s="2">
        <v>45761.616076296297</v>
      </c>
      <c r="F44" t="s">
        <v>1007</v>
      </c>
      <c r="G44" t="s">
        <v>1421</v>
      </c>
      <c r="H44" t="s">
        <v>1325</v>
      </c>
      <c r="I44">
        <v>9</v>
      </c>
      <c r="J44">
        <v>45350</v>
      </c>
      <c r="K44">
        <v>0</v>
      </c>
      <c r="L44">
        <v>0</v>
      </c>
      <c r="M44" t="s">
        <v>1010</v>
      </c>
    </row>
    <row r="45" spans="1:13" x14ac:dyDescent="0.25">
      <c r="A45" t="s">
        <v>1028</v>
      </c>
      <c r="B45" t="s">
        <v>1006</v>
      </c>
      <c r="C45" s="2">
        <v>45769.578119537036</v>
      </c>
      <c r="D45" s="2">
        <v>45761.614560185182</v>
      </c>
      <c r="E45" s="2">
        <v>45761.616076296297</v>
      </c>
      <c r="F45" t="s">
        <v>1007</v>
      </c>
      <c r="G45" t="s">
        <v>1063</v>
      </c>
      <c r="H45" t="s">
        <v>1064</v>
      </c>
      <c r="I45">
        <v>9</v>
      </c>
      <c r="J45">
        <v>45351</v>
      </c>
      <c r="K45">
        <v>0.75</v>
      </c>
      <c r="L45">
        <v>0.75</v>
      </c>
      <c r="M45" t="s">
        <v>1008</v>
      </c>
    </row>
    <row r="46" spans="1:13" x14ac:dyDescent="0.25">
      <c r="A46" t="s">
        <v>1028</v>
      </c>
      <c r="B46" t="s">
        <v>1006</v>
      </c>
      <c r="C46" s="2">
        <v>45769.578119537036</v>
      </c>
      <c r="D46" s="2">
        <v>45761.614560185182</v>
      </c>
      <c r="E46" s="2">
        <v>45761.616076296297</v>
      </c>
      <c r="F46" t="s">
        <v>1007</v>
      </c>
      <c r="G46" t="s">
        <v>1065</v>
      </c>
      <c r="H46" t="s">
        <v>1066</v>
      </c>
      <c r="I46">
        <v>9</v>
      </c>
      <c r="J46">
        <v>45355</v>
      </c>
      <c r="K46">
        <v>0.74355324074074081</v>
      </c>
      <c r="L46">
        <v>0.70833333333333326</v>
      </c>
      <c r="M46" t="s">
        <v>1009</v>
      </c>
    </row>
    <row r="47" spans="1:13" x14ac:dyDescent="0.25">
      <c r="A47" t="s">
        <v>1028</v>
      </c>
      <c r="B47" t="s">
        <v>1006</v>
      </c>
      <c r="C47" s="2">
        <v>45769.578119537036</v>
      </c>
      <c r="D47" s="2">
        <v>45761.614560185182</v>
      </c>
      <c r="E47" s="2">
        <v>45761.616076296297</v>
      </c>
      <c r="F47" t="s">
        <v>1007</v>
      </c>
      <c r="G47" t="s">
        <v>1067</v>
      </c>
      <c r="H47" t="s">
        <v>1068</v>
      </c>
      <c r="I47">
        <v>9</v>
      </c>
      <c r="J47">
        <v>45355</v>
      </c>
      <c r="K47">
        <v>0.88378472222222215</v>
      </c>
      <c r="L47">
        <v>0.875</v>
      </c>
      <c r="M47" t="s">
        <v>1008</v>
      </c>
    </row>
    <row r="48" spans="1:13" x14ac:dyDescent="0.25">
      <c r="A48" t="s">
        <v>1028</v>
      </c>
      <c r="B48" t="s">
        <v>1006</v>
      </c>
      <c r="C48" s="2">
        <v>45769.578119537036</v>
      </c>
      <c r="D48" s="2">
        <v>45761.614560185182</v>
      </c>
      <c r="E48" s="2">
        <v>45761.616076296297</v>
      </c>
      <c r="F48" t="s">
        <v>1007</v>
      </c>
      <c r="G48" t="s">
        <v>1069</v>
      </c>
      <c r="H48" t="s">
        <v>1070</v>
      </c>
      <c r="I48">
        <v>9</v>
      </c>
      <c r="J48">
        <v>45357</v>
      </c>
      <c r="K48">
        <v>0.23032407407407418</v>
      </c>
      <c r="L48">
        <v>0.20833333333333326</v>
      </c>
      <c r="M48" t="s">
        <v>1010</v>
      </c>
    </row>
    <row r="49" spans="1:13" x14ac:dyDescent="0.25">
      <c r="A49" t="s">
        <v>1028</v>
      </c>
      <c r="B49" t="s">
        <v>1006</v>
      </c>
      <c r="C49" s="2">
        <v>45769.578119537036</v>
      </c>
      <c r="D49" s="2">
        <v>45761.614560185182</v>
      </c>
      <c r="E49" s="2">
        <v>45761.616076296297</v>
      </c>
      <c r="F49" t="s">
        <v>1007</v>
      </c>
      <c r="G49" t="s">
        <v>1071</v>
      </c>
      <c r="H49" t="s">
        <v>1072</v>
      </c>
      <c r="I49">
        <v>9</v>
      </c>
      <c r="J49">
        <v>45359</v>
      </c>
      <c r="K49">
        <v>0.61944444444444446</v>
      </c>
      <c r="L49">
        <v>0.58333333333333326</v>
      </c>
      <c r="M49" t="s">
        <v>1009</v>
      </c>
    </row>
    <row r="50" spans="1:13" x14ac:dyDescent="0.25">
      <c r="A50" t="s">
        <v>1028</v>
      </c>
      <c r="B50" t="s">
        <v>1006</v>
      </c>
      <c r="C50" s="2">
        <v>45769.578119537036</v>
      </c>
      <c r="D50" s="2">
        <v>45761.614560185182</v>
      </c>
      <c r="E50" s="2">
        <v>45761.616076296297</v>
      </c>
      <c r="F50" t="s">
        <v>1007</v>
      </c>
      <c r="G50" t="s">
        <v>1073</v>
      </c>
      <c r="H50" t="s">
        <v>1074</v>
      </c>
      <c r="I50">
        <v>9</v>
      </c>
      <c r="J50">
        <v>45364</v>
      </c>
      <c r="K50">
        <v>0.875</v>
      </c>
      <c r="L50">
        <v>0.875</v>
      </c>
      <c r="M50" t="s">
        <v>1008</v>
      </c>
    </row>
    <row r="51" spans="1:13" x14ac:dyDescent="0.25">
      <c r="A51" t="s">
        <v>1028</v>
      </c>
      <c r="B51" t="s">
        <v>1006</v>
      </c>
      <c r="C51" s="2">
        <v>45769.578119537036</v>
      </c>
      <c r="D51" s="2">
        <v>45761.614560185182</v>
      </c>
      <c r="E51" s="2">
        <v>45761.616076296297</v>
      </c>
      <c r="F51" t="s">
        <v>1007</v>
      </c>
      <c r="G51" t="s">
        <v>1075</v>
      </c>
      <c r="H51" t="s">
        <v>1076</v>
      </c>
      <c r="I51">
        <v>9</v>
      </c>
      <c r="J51">
        <v>45364</v>
      </c>
      <c r="K51">
        <v>0.76388888888888884</v>
      </c>
      <c r="L51">
        <v>0.75</v>
      </c>
      <c r="M51" t="s">
        <v>1008</v>
      </c>
    </row>
    <row r="52" spans="1:13" x14ac:dyDescent="0.25">
      <c r="A52" t="s">
        <v>1028</v>
      </c>
      <c r="B52" t="s">
        <v>1006</v>
      </c>
      <c r="C52" s="2">
        <v>45769.578119537036</v>
      </c>
      <c r="D52" s="2">
        <v>45761.614560185182</v>
      </c>
      <c r="E52" s="2">
        <v>45761.616076296297</v>
      </c>
      <c r="F52" t="s">
        <v>1007</v>
      </c>
      <c r="G52" t="s">
        <v>1077</v>
      </c>
      <c r="H52" t="s">
        <v>1078</v>
      </c>
      <c r="I52">
        <v>9</v>
      </c>
      <c r="J52">
        <v>45365</v>
      </c>
      <c r="K52">
        <v>0.38883101851851842</v>
      </c>
      <c r="L52">
        <v>0.375</v>
      </c>
      <c r="M52" t="s">
        <v>1010</v>
      </c>
    </row>
    <row r="53" spans="1:13" x14ac:dyDescent="0.25">
      <c r="A53" t="s">
        <v>1028</v>
      </c>
      <c r="B53" t="s">
        <v>1006</v>
      </c>
      <c r="C53" s="2">
        <v>45769.578119537036</v>
      </c>
      <c r="D53" s="2">
        <v>45761.614560185182</v>
      </c>
      <c r="E53" s="2">
        <v>45761.616076296297</v>
      </c>
      <c r="F53" t="s">
        <v>1007</v>
      </c>
      <c r="G53" t="s">
        <v>1079</v>
      </c>
      <c r="H53" t="s">
        <v>1080</v>
      </c>
      <c r="I53">
        <v>9</v>
      </c>
      <c r="J53">
        <v>45371</v>
      </c>
      <c r="K53">
        <v>0.14841435185185192</v>
      </c>
      <c r="L53">
        <v>0.125</v>
      </c>
      <c r="M53" t="s">
        <v>1010</v>
      </c>
    </row>
    <row r="54" spans="1:13" x14ac:dyDescent="0.25">
      <c r="A54" t="s">
        <v>1028</v>
      </c>
      <c r="B54" t="s">
        <v>1006</v>
      </c>
      <c r="C54" s="2">
        <v>45769.578119537036</v>
      </c>
      <c r="D54" s="2">
        <v>45761.614560185182</v>
      </c>
      <c r="E54" s="2">
        <v>45761.616076296297</v>
      </c>
      <c r="F54" t="s">
        <v>1007</v>
      </c>
      <c r="G54" t="s">
        <v>1081</v>
      </c>
      <c r="H54" t="s">
        <v>1082</v>
      </c>
      <c r="I54">
        <v>9</v>
      </c>
      <c r="J54">
        <v>45371</v>
      </c>
      <c r="K54">
        <v>0.1298611111111112</v>
      </c>
      <c r="L54">
        <v>0.125</v>
      </c>
      <c r="M54" t="s">
        <v>1010</v>
      </c>
    </row>
    <row r="55" spans="1:13" x14ac:dyDescent="0.25">
      <c r="A55" t="s">
        <v>1028</v>
      </c>
      <c r="B55" t="s">
        <v>1006</v>
      </c>
      <c r="C55" s="2">
        <v>45769.578119537036</v>
      </c>
      <c r="D55" s="2">
        <v>45761.614560185182</v>
      </c>
      <c r="E55" s="2">
        <v>45761.616076296297</v>
      </c>
      <c r="F55" t="s">
        <v>1007</v>
      </c>
      <c r="G55" t="s">
        <v>1083</v>
      </c>
      <c r="H55" t="s">
        <v>1084</v>
      </c>
      <c r="I55">
        <v>9</v>
      </c>
      <c r="J55">
        <v>45376</v>
      </c>
      <c r="K55">
        <v>4.1666666666666741E-2</v>
      </c>
      <c r="L55">
        <v>4.1666666666666741E-2</v>
      </c>
      <c r="M55" t="s">
        <v>1010</v>
      </c>
    </row>
    <row r="56" spans="1:13" x14ac:dyDescent="0.25">
      <c r="A56" t="s">
        <v>1028</v>
      </c>
      <c r="B56" t="s">
        <v>1006</v>
      </c>
      <c r="C56" s="2">
        <v>45769.578119537036</v>
      </c>
      <c r="D56" s="2">
        <v>45761.614560185182</v>
      </c>
      <c r="E56" s="2">
        <v>45761.616076296297</v>
      </c>
      <c r="F56" t="s">
        <v>1007</v>
      </c>
      <c r="G56" t="s">
        <v>1085</v>
      </c>
      <c r="H56" t="s">
        <v>1086</v>
      </c>
      <c r="I56">
        <v>9</v>
      </c>
      <c r="J56">
        <v>45376</v>
      </c>
      <c r="K56">
        <v>0.91388888888888897</v>
      </c>
      <c r="L56">
        <v>0.875</v>
      </c>
      <c r="M56" t="s">
        <v>1008</v>
      </c>
    </row>
    <row r="57" spans="1:13" x14ac:dyDescent="0.25">
      <c r="A57" t="s">
        <v>1028</v>
      </c>
      <c r="B57" t="s">
        <v>1006</v>
      </c>
      <c r="C57" s="2">
        <v>45769.578119537036</v>
      </c>
      <c r="D57" s="2">
        <v>45761.614560185182</v>
      </c>
      <c r="E57" s="2">
        <v>45761.616076296297</v>
      </c>
      <c r="F57" t="s">
        <v>1007</v>
      </c>
      <c r="G57" t="s">
        <v>1087</v>
      </c>
      <c r="H57" t="s">
        <v>1088</v>
      </c>
      <c r="I57">
        <v>9</v>
      </c>
      <c r="J57">
        <v>45377</v>
      </c>
      <c r="K57">
        <v>0.45833333333333326</v>
      </c>
      <c r="L57">
        <v>0.45833333333333326</v>
      </c>
      <c r="M57" t="s">
        <v>1010</v>
      </c>
    </row>
    <row r="58" spans="1:13" x14ac:dyDescent="0.25">
      <c r="A58" t="s">
        <v>1028</v>
      </c>
      <c r="B58" t="s">
        <v>1006</v>
      </c>
      <c r="C58" s="2">
        <v>45769.578119537036</v>
      </c>
      <c r="D58" s="2">
        <v>45761.614560185182</v>
      </c>
      <c r="E58" s="2">
        <v>45761.616076296297</v>
      </c>
      <c r="F58" t="s">
        <v>1007</v>
      </c>
      <c r="G58" t="s">
        <v>1089</v>
      </c>
      <c r="H58" t="s">
        <v>1090</v>
      </c>
      <c r="I58">
        <v>9</v>
      </c>
      <c r="J58">
        <v>45377</v>
      </c>
      <c r="K58">
        <v>0.33333333333333326</v>
      </c>
      <c r="L58">
        <v>0.33333333333333326</v>
      </c>
      <c r="M58" t="s">
        <v>1010</v>
      </c>
    </row>
    <row r="59" spans="1:13" x14ac:dyDescent="0.25">
      <c r="A59" t="s">
        <v>1028</v>
      </c>
      <c r="B59" t="s">
        <v>1006</v>
      </c>
      <c r="C59" s="2">
        <v>45769.578119537036</v>
      </c>
      <c r="D59" s="2">
        <v>45761.614560185182</v>
      </c>
      <c r="E59" s="2">
        <v>45761.616076296297</v>
      </c>
      <c r="F59" t="s">
        <v>1007</v>
      </c>
      <c r="G59" t="s">
        <v>1091</v>
      </c>
      <c r="H59" t="s">
        <v>1092</v>
      </c>
      <c r="I59">
        <v>9</v>
      </c>
      <c r="J59">
        <v>45383</v>
      </c>
      <c r="K59">
        <v>0.4770833333333333</v>
      </c>
      <c r="L59">
        <v>0.45833333333333326</v>
      </c>
      <c r="M59" t="s">
        <v>1010</v>
      </c>
    </row>
    <row r="60" spans="1:13" x14ac:dyDescent="0.25">
      <c r="A60" t="s">
        <v>1028</v>
      </c>
      <c r="B60" t="s">
        <v>1006</v>
      </c>
      <c r="C60" s="2">
        <v>45769.578119537036</v>
      </c>
      <c r="D60" s="2">
        <v>45761.614560185182</v>
      </c>
      <c r="E60" s="2">
        <v>45761.616076296297</v>
      </c>
      <c r="F60" t="s">
        <v>1007</v>
      </c>
      <c r="G60" t="s">
        <v>1099</v>
      </c>
      <c r="H60" t="s">
        <v>1100</v>
      </c>
      <c r="I60">
        <v>9</v>
      </c>
      <c r="J60">
        <v>45387</v>
      </c>
      <c r="K60">
        <v>0.73384259259259266</v>
      </c>
      <c r="L60">
        <v>0.70833333333333326</v>
      </c>
      <c r="M60" t="s">
        <v>1009</v>
      </c>
    </row>
    <row r="61" spans="1:13" x14ac:dyDescent="0.25">
      <c r="A61" t="s">
        <v>1028</v>
      </c>
      <c r="B61" t="s">
        <v>1006</v>
      </c>
      <c r="C61" s="2">
        <v>45769.578119537036</v>
      </c>
      <c r="D61" s="2">
        <v>45761.614560185182</v>
      </c>
      <c r="E61" s="2">
        <v>45761.616076296297</v>
      </c>
      <c r="F61" t="s">
        <v>1007</v>
      </c>
      <c r="G61" t="s">
        <v>1093</v>
      </c>
      <c r="H61" t="s">
        <v>1094</v>
      </c>
      <c r="I61">
        <v>9</v>
      </c>
      <c r="J61">
        <v>45388</v>
      </c>
      <c r="K61">
        <v>3.4722222222223209E-3</v>
      </c>
      <c r="L61">
        <v>0</v>
      </c>
      <c r="M61" t="s">
        <v>1010</v>
      </c>
    </row>
    <row r="62" spans="1:13" x14ac:dyDescent="0.25">
      <c r="A62" t="s">
        <v>1028</v>
      </c>
      <c r="B62" t="s">
        <v>1006</v>
      </c>
      <c r="C62" s="2">
        <v>45769.578119537036</v>
      </c>
      <c r="D62" s="2">
        <v>45761.614560185182</v>
      </c>
      <c r="E62" s="2">
        <v>45761.616076296297</v>
      </c>
      <c r="F62" t="s">
        <v>1007</v>
      </c>
      <c r="G62" t="s">
        <v>1095</v>
      </c>
      <c r="H62" t="s">
        <v>1096</v>
      </c>
      <c r="I62">
        <v>9</v>
      </c>
      <c r="J62">
        <v>45390</v>
      </c>
      <c r="K62">
        <v>0.5</v>
      </c>
      <c r="L62">
        <v>0.5</v>
      </c>
      <c r="M62" t="s">
        <v>1009</v>
      </c>
    </row>
    <row r="63" spans="1:13" x14ac:dyDescent="0.25">
      <c r="A63" t="s">
        <v>1028</v>
      </c>
      <c r="B63" t="s">
        <v>1006</v>
      </c>
      <c r="C63" s="2">
        <v>45769.578119537036</v>
      </c>
      <c r="D63" s="2">
        <v>45761.614560185182</v>
      </c>
      <c r="E63" s="2">
        <v>45761.616076296297</v>
      </c>
      <c r="F63" t="s">
        <v>1007</v>
      </c>
      <c r="G63" t="s">
        <v>1102</v>
      </c>
      <c r="H63" t="s">
        <v>1100</v>
      </c>
      <c r="I63">
        <v>9</v>
      </c>
      <c r="J63">
        <v>45397</v>
      </c>
      <c r="K63">
        <v>0.76041666666666674</v>
      </c>
      <c r="L63">
        <v>0.75</v>
      </c>
      <c r="M63" t="s">
        <v>1008</v>
      </c>
    </row>
    <row r="64" spans="1:13" x14ac:dyDescent="0.25">
      <c r="A64" t="s">
        <v>1028</v>
      </c>
      <c r="B64" t="s">
        <v>1006</v>
      </c>
      <c r="C64" s="2">
        <v>45769.578119537036</v>
      </c>
      <c r="D64" s="2">
        <v>45761.614560185182</v>
      </c>
      <c r="E64" s="2">
        <v>45761.616076296297</v>
      </c>
      <c r="F64" t="s">
        <v>1007</v>
      </c>
      <c r="G64" t="s">
        <v>1097</v>
      </c>
      <c r="H64" t="s">
        <v>1098</v>
      </c>
      <c r="I64">
        <v>9</v>
      </c>
      <c r="J64">
        <v>45398</v>
      </c>
      <c r="K64">
        <v>0.75</v>
      </c>
      <c r="L64">
        <v>0.75</v>
      </c>
      <c r="M64" t="s">
        <v>1008</v>
      </c>
    </row>
    <row r="65" spans="1:13" x14ac:dyDescent="0.25">
      <c r="A65" t="s">
        <v>1028</v>
      </c>
      <c r="B65" t="s">
        <v>1006</v>
      </c>
      <c r="C65" s="2">
        <v>45769.578119537036</v>
      </c>
      <c r="D65" s="2">
        <v>45761.614560185182</v>
      </c>
      <c r="E65" s="2">
        <v>45761.616076296297</v>
      </c>
      <c r="F65" t="s">
        <v>1007</v>
      </c>
      <c r="G65" t="s">
        <v>1103</v>
      </c>
      <c r="H65" t="s">
        <v>1104</v>
      </c>
      <c r="I65">
        <v>9</v>
      </c>
      <c r="J65">
        <v>45401</v>
      </c>
      <c r="K65">
        <v>5.2083333333333259E-2</v>
      </c>
      <c r="L65">
        <v>4.1666666666666741E-2</v>
      </c>
      <c r="M65" t="s">
        <v>1010</v>
      </c>
    </row>
    <row r="66" spans="1:13" x14ac:dyDescent="0.25">
      <c r="A66" t="s">
        <v>1028</v>
      </c>
      <c r="B66" t="s">
        <v>1006</v>
      </c>
      <c r="C66" s="2">
        <v>45769.578119537036</v>
      </c>
      <c r="D66" s="2">
        <v>45761.614560185182</v>
      </c>
      <c r="E66" s="2">
        <v>45761.616076296297</v>
      </c>
      <c r="F66" t="s">
        <v>1007</v>
      </c>
      <c r="G66" t="s">
        <v>1105</v>
      </c>
      <c r="H66" t="s">
        <v>1106</v>
      </c>
      <c r="I66">
        <v>9</v>
      </c>
      <c r="J66">
        <v>45402</v>
      </c>
      <c r="K66">
        <v>0.45833333333333326</v>
      </c>
      <c r="L66">
        <v>0.45833333333333326</v>
      </c>
      <c r="M66" t="s">
        <v>1010</v>
      </c>
    </row>
    <row r="67" spans="1:13" x14ac:dyDescent="0.25">
      <c r="A67" t="s">
        <v>1028</v>
      </c>
      <c r="B67" t="s">
        <v>1006</v>
      </c>
      <c r="C67" s="2">
        <v>45769.578119537036</v>
      </c>
      <c r="D67" s="2">
        <v>45761.614560185182</v>
      </c>
      <c r="E67" s="2">
        <v>45761.616076296297</v>
      </c>
      <c r="F67" t="s">
        <v>1007</v>
      </c>
      <c r="G67" t="s">
        <v>1107</v>
      </c>
      <c r="H67" t="s">
        <v>1108</v>
      </c>
      <c r="I67">
        <v>9</v>
      </c>
      <c r="J67">
        <v>45406</v>
      </c>
      <c r="K67">
        <v>8.1250000000000044E-2</v>
      </c>
      <c r="L67">
        <v>4.1666666666666741E-2</v>
      </c>
      <c r="M67" t="s">
        <v>1010</v>
      </c>
    </row>
    <row r="68" spans="1:13" x14ac:dyDescent="0.25">
      <c r="A68" t="s">
        <v>1028</v>
      </c>
      <c r="B68" t="s">
        <v>1006</v>
      </c>
      <c r="C68" s="2">
        <v>45769.578119537036</v>
      </c>
      <c r="D68" s="2">
        <v>45761.614560185182</v>
      </c>
      <c r="E68" s="2">
        <v>45761.616076296297</v>
      </c>
      <c r="F68" t="s">
        <v>1007</v>
      </c>
      <c r="G68" t="s">
        <v>1109</v>
      </c>
      <c r="H68" t="s">
        <v>1110</v>
      </c>
      <c r="I68">
        <v>9</v>
      </c>
      <c r="J68">
        <v>45410</v>
      </c>
      <c r="K68">
        <v>0.77806712962962954</v>
      </c>
      <c r="L68">
        <v>0.75</v>
      </c>
      <c r="M68" t="s">
        <v>1008</v>
      </c>
    </row>
    <row r="69" spans="1:13" x14ac:dyDescent="0.25">
      <c r="A69" t="s">
        <v>1028</v>
      </c>
      <c r="B69" t="s">
        <v>1006</v>
      </c>
      <c r="C69" s="2">
        <v>45769.578119537036</v>
      </c>
      <c r="D69" s="2">
        <v>45761.614560185182</v>
      </c>
      <c r="E69" s="2">
        <v>45761.616076296297</v>
      </c>
      <c r="F69" t="s">
        <v>1007</v>
      </c>
      <c r="G69" t="s">
        <v>1111</v>
      </c>
      <c r="H69" t="s">
        <v>1112</v>
      </c>
      <c r="I69">
        <v>9</v>
      </c>
      <c r="J69">
        <v>45412</v>
      </c>
      <c r="K69">
        <v>0.60416666666666674</v>
      </c>
      <c r="L69">
        <v>0.58333333333333326</v>
      </c>
      <c r="M69" t="s">
        <v>1009</v>
      </c>
    </row>
    <row r="70" spans="1:13" x14ac:dyDescent="0.25">
      <c r="A70" t="s">
        <v>1028</v>
      </c>
      <c r="B70" t="s">
        <v>1006</v>
      </c>
      <c r="C70" s="2">
        <v>45769.578119537036</v>
      </c>
      <c r="D70" s="2">
        <v>45761.614560185182</v>
      </c>
      <c r="E70" s="2">
        <v>45761.616076296297</v>
      </c>
      <c r="F70" t="s">
        <v>1007</v>
      </c>
      <c r="G70" t="s">
        <v>1113</v>
      </c>
      <c r="H70" t="s">
        <v>1114</v>
      </c>
      <c r="I70">
        <v>9</v>
      </c>
      <c r="J70">
        <v>45412</v>
      </c>
      <c r="K70">
        <v>0.75</v>
      </c>
      <c r="L70">
        <v>0.75</v>
      </c>
      <c r="M70" t="s">
        <v>1008</v>
      </c>
    </row>
    <row r="71" spans="1:13" x14ac:dyDescent="0.25">
      <c r="A71" t="s">
        <v>1028</v>
      </c>
      <c r="B71" t="s">
        <v>1006</v>
      </c>
      <c r="C71" s="2">
        <v>45769.578119537036</v>
      </c>
      <c r="D71" s="2">
        <v>45761.614560185182</v>
      </c>
      <c r="E71" s="2">
        <v>45761.616076296297</v>
      </c>
      <c r="F71" t="s">
        <v>1007</v>
      </c>
      <c r="G71" t="s">
        <v>1118</v>
      </c>
      <c r="H71" t="s">
        <v>1119</v>
      </c>
      <c r="I71">
        <v>9</v>
      </c>
      <c r="J71">
        <v>45412</v>
      </c>
      <c r="K71">
        <v>0.6875</v>
      </c>
      <c r="L71">
        <v>0.66666666666666674</v>
      </c>
      <c r="M71" t="s">
        <v>1009</v>
      </c>
    </row>
    <row r="72" spans="1:13" x14ac:dyDescent="0.25">
      <c r="A72" t="s">
        <v>1028</v>
      </c>
      <c r="B72" t="s">
        <v>1006</v>
      </c>
      <c r="C72" s="2">
        <v>45769.578119537036</v>
      </c>
      <c r="D72" s="2">
        <v>45761.614560185182</v>
      </c>
      <c r="E72" s="2">
        <v>45761.616076296297</v>
      </c>
      <c r="F72" t="s">
        <v>1007</v>
      </c>
      <c r="G72" t="s">
        <v>1115</v>
      </c>
      <c r="H72" t="s">
        <v>1116</v>
      </c>
      <c r="I72">
        <v>9</v>
      </c>
      <c r="J72">
        <v>45413</v>
      </c>
      <c r="K72">
        <v>4.1666666666666741E-2</v>
      </c>
      <c r="L72">
        <v>4.1666666666666741E-2</v>
      </c>
      <c r="M72" t="s">
        <v>1010</v>
      </c>
    </row>
    <row r="73" spans="1:13" x14ac:dyDescent="0.25">
      <c r="A73" t="s">
        <v>1028</v>
      </c>
      <c r="B73" t="s">
        <v>1006</v>
      </c>
      <c r="C73" s="2">
        <v>45769.578119537036</v>
      </c>
      <c r="D73" s="2">
        <v>45761.614560185182</v>
      </c>
      <c r="E73" s="2">
        <v>45761.616076296297</v>
      </c>
      <c r="F73" t="s">
        <v>1007</v>
      </c>
      <c r="G73" t="s">
        <v>1117</v>
      </c>
      <c r="H73" t="s">
        <v>326</v>
      </c>
      <c r="I73">
        <v>9</v>
      </c>
      <c r="J73">
        <v>45413</v>
      </c>
      <c r="K73">
        <v>0.58819444444444446</v>
      </c>
      <c r="L73">
        <v>0.58333333333333326</v>
      </c>
      <c r="M73" t="s">
        <v>1009</v>
      </c>
    </row>
    <row r="74" spans="1:13" x14ac:dyDescent="0.25">
      <c r="A74" t="s">
        <v>1028</v>
      </c>
      <c r="B74" t="s">
        <v>1006</v>
      </c>
      <c r="C74" s="2">
        <v>45769.578119537036</v>
      </c>
      <c r="D74" s="2">
        <v>45761.614560185182</v>
      </c>
      <c r="E74" s="2">
        <v>45761.616076296297</v>
      </c>
      <c r="F74" t="s">
        <v>1007</v>
      </c>
      <c r="G74" t="s">
        <v>1120</v>
      </c>
      <c r="H74" t="s">
        <v>1121</v>
      </c>
      <c r="I74">
        <v>9</v>
      </c>
      <c r="J74">
        <v>45418</v>
      </c>
      <c r="K74">
        <v>0.75</v>
      </c>
      <c r="L74">
        <v>0.75</v>
      </c>
      <c r="M74" t="s">
        <v>1008</v>
      </c>
    </row>
    <row r="75" spans="1:13" x14ac:dyDescent="0.25">
      <c r="A75" t="s">
        <v>1028</v>
      </c>
      <c r="B75" t="s">
        <v>1006</v>
      </c>
      <c r="C75" s="2">
        <v>45769.578119537036</v>
      </c>
      <c r="D75" s="2">
        <v>45761.614560185182</v>
      </c>
      <c r="E75" s="2">
        <v>45761.616076296297</v>
      </c>
      <c r="F75" t="s">
        <v>1007</v>
      </c>
      <c r="G75" t="s">
        <v>1122</v>
      </c>
      <c r="H75" t="s">
        <v>1123</v>
      </c>
      <c r="I75">
        <v>9</v>
      </c>
      <c r="J75">
        <v>45419</v>
      </c>
      <c r="K75">
        <v>0.70833333333333326</v>
      </c>
      <c r="L75">
        <v>0.70833333333333326</v>
      </c>
      <c r="M75" t="s">
        <v>1009</v>
      </c>
    </row>
    <row r="76" spans="1:13" x14ac:dyDescent="0.25">
      <c r="A76" t="s">
        <v>1028</v>
      </c>
      <c r="B76" t="s">
        <v>1006</v>
      </c>
      <c r="C76" s="2">
        <v>45769.578119537036</v>
      </c>
      <c r="D76" s="2">
        <v>45761.614560185182</v>
      </c>
      <c r="E76" s="2">
        <v>45761.616076296297</v>
      </c>
      <c r="F76" t="s">
        <v>1007</v>
      </c>
      <c r="G76" t="s">
        <v>1124</v>
      </c>
      <c r="H76" t="s">
        <v>1125</v>
      </c>
      <c r="I76">
        <v>9</v>
      </c>
      <c r="J76">
        <v>45420</v>
      </c>
      <c r="K76">
        <v>0.56018518518518512</v>
      </c>
      <c r="L76">
        <v>0.54166666666666674</v>
      </c>
      <c r="M76" t="s">
        <v>1009</v>
      </c>
    </row>
    <row r="77" spans="1:13" x14ac:dyDescent="0.25">
      <c r="A77" t="s">
        <v>1028</v>
      </c>
      <c r="B77" t="s">
        <v>1006</v>
      </c>
      <c r="C77" s="2">
        <v>45769.578119537036</v>
      </c>
      <c r="D77" s="2">
        <v>45761.614560185182</v>
      </c>
      <c r="E77" s="2">
        <v>45761.616076296297</v>
      </c>
      <c r="F77" t="s">
        <v>1007</v>
      </c>
      <c r="G77" t="s">
        <v>1133</v>
      </c>
      <c r="H77" t="s">
        <v>282</v>
      </c>
      <c r="I77">
        <v>9</v>
      </c>
      <c r="J77">
        <v>45420</v>
      </c>
      <c r="K77">
        <v>6.94444444444553E-4</v>
      </c>
      <c r="L77">
        <v>0</v>
      </c>
      <c r="M77" t="s">
        <v>1010</v>
      </c>
    </row>
    <row r="78" spans="1:13" x14ac:dyDescent="0.25">
      <c r="A78" t="s">
        <v>1028</v>
      </c>
      <c r="B78" t="s">
        <v>1006</v>
      </c>
      <c r="C78" s="2">
        <v>45769.578119537036</v>
      </c>
      <c r="D78" s="2">
        <v>45761.614560185182</v>
      </c>
      <c r="E78" s="2">
        <v>45761.616076296297</v>
      </c>
      <c r="F78" t="s">
        <v>1007</v>
      </c>
      <c r="G78" t="s">
        <v>1128</v>
      </c>
      <c r="H78" t="s">
        <v>1129</v>
      </c>
      <c r="I78">
        <v>9</v>
      </c>
      <c r="J78">
        <v>45422</v>
      </c>
      <c r="K78">
        <v>0.35763888888888884</v>
      </c>
      <c r="L78">
        <v>0.33333333333333326</v>
      </c>
      <c r="M78" t="s">
        <v>1010</v>
      </c>
    </row>
    <row r="79" spans="1:13" x14ac:dyDescent="0.25">
      <c r="A79" t="s">
        <v>1028</v>
      </c>
      <c r="B79" t="s">
        <v>1006</v>
      </c>
      <c r="C79" s="2">
        <v>45769.578119537036</v>
      </c>
      <c r="D79" s="2">
        <v>45761.614560185182</v>
      </c>
      <c r="E79" s="2">
        <v>45761.616076296297</v>
      </c>
      <c r="F79" t="s">
        <v>1007</v>
      </c>
      <c r="G79" t="s">
        <v>1130</v>
      </c>
      <c r="H79" t="s">
        <v>282</v>
      </c>
      <c r="I79">
        <v>9</v>
      </c>
      <c r="J79">
        <v>45422</v>
      </c>
      <c r="K79">
        <v>0.67361111111111116</v>
      </c>
      <c r="L79">
        <v>0.66666666666666674</v>
      </c>
      <c r="M79" t="s">
        <v>1009</v>
      </c>
    </row>
    <row r="80" spans="1:13" x14ac:dyDescent="0.25">
      <c r="A80" t="s">
        <v>1028</v>
      </c>
      <c r="B80" t="s">
        <v>1006</v>
      </c>
      <c r="C80" s="2">
        <v>45769.578119537036</v>
      </c>
      <c r="D80" s="2">
        <v>45761.614560185182</v>
      </c>
      <c r="E80" s="2">
        <v>45761.616076296297</v>
      </c>
      <c r="F80" t="s">
        <v>1007</v>
      </c>
      <c r="G80" t="s">
        <v>1219</v>
      </c>
      <c r="H80" t="s">
        <v>1220</v>
      </c>
      <c r="I80">
        <v>9</v>
      </c>
      <c r="J80">
        <v>45423</v>
      </c>
      <c r="K80">
        <v>4.1666666666666741E-2</v>
      </c>
      <c r="L80">
        <v>4.1666666666666741E-2</v>
      </c>
      <c r="M80" t="s">
        <v>1010</v>
      </c>
    </row>
    <row r="81" spans="1:13" x14ac:dyDescent="0.25">
      <c r="A81" t="s">
        <v>1028</v>
      </c>
      <c r="B81" t="s">
        <v>1006</v>
      </c>
      <c r="C81" s="2">
        <v>45769.578119537036</v>
      </c>
      <c r="D81" s="2">
        <v>45761.614560185182</v>
      </c>
      <c r="E81" s="2">
        <v>45761.616076296297</v>
      </c>
      <c r="F81" t="s">
        <v>1007</v>
      </c>
      <c r="G81" t="s">
        <v>1131</v>
      </c>
      <c r="H81" t="s">
        <v>1132</v>
      </c>
      <c r="I81">
        <v>9</v>
      </c>
      <c r="J81">
        <v>45424</v>
      </c>
      <c r="K81">
        <v>0.35416666666666674</v>
      </c>
      <c r="L81">
        <v>0.33333333333333326</v>
      </c>
      <c r="M81" t="s">
        <v>1010</v>
      </c>
    </row>
    <row r="82" spans="1:13" x14ac:dyDescent="0.25">
      <c r="A82" t="s">
        <v>1028</v>
      </c>
      <c r="B82" t="s">
        <v>1006</v>
      </c>
      <c r="C82" s="2">
        <v>45769.578119537036</v>
      </c>
      <c r="D82" s="2">
        <v>45761.614560185182</v>
      </c>
      <c r="E82" s="2">
        <v>45761.616076296297</v>
      </c>
      <c r="F82" t="s">
        <v>1007</v>
      </c>
      <c r="G82" t="s">
        <v>1134</v>
      </c>
      <c r="H82" t="s">
        <v>326</v>
      </c>
      <c r="I82">
        <v>9</v>
      </c>
      <c r="J82">
        <v>45426</v>
      </c>
      <c r="K82">
        <v>0.30555555555555558</v>
      </c>
      <c r="L82">
        <v>0.29166666666666674</v>
      </c>
      <c r="M82" t="s">
        <v>1010</v>
      </c>
    </row>
    <row r="83" spans="1:13" x14ac:dyDescent="0.25">
      <c r="A83" t="s">
        <v>1028</v>
      </c>
      <c r="B83" t="s">
        <v>1006</v>
      </c>
      <c r="C83" s="2">
        <v>45769.578119537036</v>
      </c>
      <c r="D83" s="2">
        <v>45761.614560185182</v>
      </c>
      <c r="E83" s="2">
        <v>45761.616076296297</v>
      </c>
      <c r="F83" t="s">
        <v>1007</v>
      </c>
      <c r="G83" t="s">
        <v>1142</v>
      </c>
      <c r="H83" t="s">
        <v>1143</v>
      </c>
      <c r="I83">
        <v>9</v>
      </c>
      <c r="J83">
        <v>45428</v>
      </c>
      <c r="K83">
        <v>0.5</v>
      </c>
      <c r="L83">
        <v>0.5</v>
      </c>
      <c r="M83" t="s">
        <v>1009</v>
      </c>
    </row>
    <row r="84" spans="1:13" x14ac:dyDescent="0.25">
      <c r="A84" t="s">
        <v>1028</v>
      </c>
      <c r="B84" t="s">
        <v>1006</v>
      </c>
      <c r="C84" s="2">
        <v>45769.578119537036</v>
      </c>
      <c r="D84" s="2">
        <v>45761.614560185182</v>
      </c>
      <c r="E84" s="2">
        <v>45761.616076296297</v>
      </c>
      <c r="F84" t="s">
        <v>1007</v>
      </c>
      <c r="G84" t="s">
        <v>1135</v>
      </c>
      <c r="H84" t="s">
        <v>1136</v>
      </c>
      <c r="I84">
        <v>9</v>
      </c>
      <c r="J84">
        <v>45430</v>
      </c>
      <c r="K84">
        <v>0.40972222222222232</v>
      </c>
      <c r="L84">
        <v>0.375</v>
      </c>
      <c r="M84" t="s">
        <v>1010</v>
      </c>
    </row>
    <row r="85" spans="1:13" x14ac:dyDescent="0.25">
      <c r="A85" t="s">
        <v>1028</v>
      </c>
      <c r="B85" t="s">
        <v>1006</v>
      </c>
      <c r="C85" s="2">
        <v>45769.578119537036</v>
      </c>
      <c r="D85" s="2">
        <v>45761.614560185182</v>
      </c>
      <c r="E85" s="2">
        <v>45761.616076296297</v>
      </c>
      <c r="F85" t="s">
        <v>1007</v>
      </c>
      <c r="G85" t="s">
        <v>1137</v>
      </c>
      <c r="H85" t="s">
        <v>1084</v>
      </c>
      <c r="I85">
        <v>9</v>
      </c>
      <c r="J85">
        <v>45430</v>
      </c>
      <c r="K85">
        <v>0.75</v>
      </c>
      <c r="L85">
        <v>0.75</v>
      </c>
      <c r="M85" t="s">
        <v>1008</v>
      </c>
    </row>
    <row r="86" spans="1:13" x14ac:dyDescent="0.25">
      <c r="A86" t="s">
        <v>1028</v>
      </c>
      <c r="B86" t="s">
        <v>1006</v>
      </c>
      <c r="C86" s="2">
        <v>45769.578119537036</v>
      </c>
      <c r="D86" s="2">
        <v>45761.614560185182</v>
      </c>
      <c r="E86" s="2">
        <v>45761.616076296297</v>
      </c>
      <c r="F86" t="s">
        <v>1007</v>
      </c>
      <c r="G86" t="s">
        <v>1140</v>
      </c>
      <c r="H86" t="s">
        <v>1141</v>
      </c>
      <c r="I86">
        <v>9</v>
      </c>
      <c r="J86">
        <v>45432</v>
      </c>
      <c r="K86">
        <v>0.375</v>
      </c>
      <c r="L86">
        <v>0.375</v>
      </c>
      <c r="M86" t="s">
        <v>1010</v>
      </c>
    </row>
    <row r="87" spans="1:13" x14ac:dyDescent="0.25">
      <c r="A87" t="s">
        <v>1028</v>
      </c>
      <c r="B87" t="s">
        <v>1006</v>
      </c>
      <c r="C87" s="2">
        <v>45769.578119537036</v>
      </c>
      <c r="D87" s="2">
        <v>45761.614560185182</v>
      </c>
      <c r="E87" s="2">
        <v>45761.616076296297</v>
      </c>
      <c r="F87" t="s">
        <v>1007</v>
      </c>
      <c r="G87" t="s">
        <v>1138</v>
      </c>
      <c r="H87" t="s">
        <v>1139</v>
      </c>
      <c r="I87">
        <v>9</v>
      </c>
      <c r="J87">
        <v>45433</v>
      </c>
      <c r="K87">
        <v>0.66666666666666674</v>
      </c>
      <c r="L87">
        <v>0.66666666666666674</v>
      </c>
      <c r="M87" t="s">
        <v>1009</v>
      </c>
    </row>
    <row r="88" spans="1:13" x14ac:dyDescent="0.25">
      <c r="A88" t="s">
        <v>1028</v>
      </c>
      <c r="B88" t="s">
        <v>1006</v>
      </c>
      <c r="C88" s="2">
        <v>45769.578119537036</v>
      </c>
      <c r="D88" s="2">
        <v>45761.614560185182</v>
      </c>
      <c r="E88" s="2">
        <v>45761.616076296297</v>
      </c>
      <c r="F88" t="s">
        <v>1007</v>
      </c>
      <c r="G88" t="s">
        <v>1144</v>
      </c>
      <c r="H88" t="s">
        <v>1145</v>
      </c>
      <c r="I88">
        <v>9</v>
      </c>
      <c r="J88">
        <v>45435</v>
      </c>
      <c r="K88">
        <v>0.75</v>
      </c>
      <c r="L88">
        <v>0.75</v>
      </c>
      <c r="M88" t="s">
        <v>1008</v>
      </c>
    </row>
    <row r="89" spans="1:13" x14ac:dyDescent="0.25">
      <c r="A89" t="s">
        <v>1028</v>
      </c>
      <c r="B89" t="s">
        <v>1006</v>
      </c>
      <c r="C89" s="2">
        <v>45769.578119537036</v>
      </c>
      <c r="D89" s="2">
        <v>45761.614560185182</v>
      </c>
      <c r="E89" s="2">
        <v>45761.616076296297</v>
      </c>
      <c r="F89" t="s">
        <v>1007</v>
      </c>
      <c r="G89" t="s">
        <v>1146</v>
      </c>
      <c r="H89" t="s">
        <v>1147</v>
      </c>
      <c r="I89">
        <v>9</v>
      </c>
      <c r="J89">
        <v>45439</v>
      </c>
      <c r="K89">
        <v>0</v>
      </c>
      <c r="L89">
        <v>0</v>
      </c>
      <c r="M89" t="s">
        <v>1010</v>
      </c>
    </row>
    <row r="90" spans="1:13" x14ac:dyDescent="0.25">
      <c r="A90" t="s">
        <v>1028</v>
      </c>
      <c r="B90" t="s">
        <v>1006</v>
      </c>
      <c r="C90" s="2">
        <v>45769.578119537036</v>
      </c>
      <c r="D90" s="2">
        <v>45761.614560185182</v>
      </c>
      <c r="E90" s="2">
        <v>45761.616076296297</v>
      </c>
      <c r="F90" t="s">
        <v>1007</v>
      </c>
      <c r="G90" t="s">
        <v>1148</v>
      </c>
      <c r="H90" t="s">
        <v>1149</v>
      </c>
      <c r="I90">
        <v>9</v>
      </c>
      <c r="J90">
        <v>45441</v>
      </c>
      <c r="K90">
        <v>0.55208333333333326</v>
      </c>
      <c r="L90">
        <v>0.54166666666666674</v>
      </c>
      <c r="M90" t="s">
        <v>1009</v>
      </c>
    </row>
    <row r="91" spans="1:13" x14ac:dyDescent="0.25">
      <c r="A91" t="s">
        <v>1028</v>
      </c>
      <c r="B91" t="s">
        <v>1006</v>
      </c>
      <c r="C91" s="2">
        <v>45769.578119537036</v>
      </c>
      <c r="D91" s="2">
        <v>45761.614560185182</v>
      </c>
      <c r="E91" s="2">
        <v>45761.616076296297</v>
      </c>
      <c r="F91" t="s">
        <v>1007</v>
      </c>
      <c r="G91" t="s">
        <v>1150</v>
      </c>
      <c r="H91" t="s">
        <v>1151</v>
      </c>
      <c r="I91">
        <v>9</v>
      </c>
      <c r="J91">
        <v>45441</v>
      </c>
      <c r="K91">
        <v>0.61458333333333326</v>
      </c>
      <c r="L91">
        <v>0.58333333333333326</v>
      </c>
      <c r="M91" t="s">
        <v>1009</v>
      </c>
    </row>
    <row r="92" spans="1:13" x14ac:dyDescent="0.25">
      <c r="A92" t="s">
        <v>1028</v>
      </c>
      <c r="B92" t="s">
        <v>1006</v>
      </c>
      <c r="C92" s="2">
        <v>45769.578119537036</v>
      </c>
      <c r="D92" s="2">
        <v>45761.614560185182</v>
      </c>
      <c r="E92" s="2">
        <v>45761.616076296297</v>
      </c>
      <c r="F92" t="s">
        <v>1007</v>
      </c>
      <c r="G92" t="s">
        <v>1152</v>
      </c>
      <c r="H92" t="s">
        <v>1153</v>
      </c>
      <c r="I92">
        <v>9</v>
      </c>
      <c r="J92">
        <v>45444</v>
      </c>
      <c r="K92">
        <v>0.97986111111111107</v>
      </c>
      <c r="L92">
        <v>0.95833333333333326</v>
      </c>
      <c r="M92" t="s">
        <v>1008</v>
      </c>
    </row>
    <row r="93" spans="1:13" x14ac:dyDescent="0.25">
      <c r="A93" t="s">
        <v>1028</v>
      </c>
      <c r="B93" t="s">
        <v>1006</v>
      </c>
      <c r="C93" s="2">
        <v>45769.578119537036</v>
      </c>
      <c r="D93" s="2">
        <v>45761.614560185182</v>
      </c>
      <c r="E93" s="2">
        <v>45761.616076296297</v>
      </c>
      <c r="F93" t="s">
        <v>1007</v>
      </c>
      <c r="G93" t="s">
        <v>1154</v>
      </c>
      <c r="H93" t="s">
        <v>1084</v>
      </c>
      <c r="I93">
        <v>9</v>
      </c>
      <c r="J93">
        <v>45445</v>
      </c>
      <c r="K93">
        <v>0.11111111111111116</v>
      </c>
      <c r="L93">
        <v>8.3333333333333259E-2</v>
      </c>
      <c r="M93" t="s">
        <v>1010</v>
      </c>
    </row>
    <row r="94" spans="1:13" x14ac:dyDescent="0.25">
      <c r="A94" t="s">
        <v>1028</v>
      </c>
      <c r="B94" t="s">
        <v>1006</v>
      </c>
      <c r="C94" s="2">
        <v>45769.578119537036</v>
      </c>
      <c r="D94" s="2">
        <v>45761.614560185182</v>
      </c>
      <c r="E94" s="2">
        <v>45761.616076296297</v>
      </c>
      <c r="F94" t="s">
        <v>1007</v>
      </c>
      <c r="G94" t="s">
        <v>1155</v>
      </c>
      <c r="H94" t="s">
        <v>1156</v>
      </c>
      <c r="I94">
        <v>9</v>
      </c>
      <c r="J94">
        <v>45445</v>
      </c>
      <c r="K94">
        <v>0.77083333333333326</v>
      </c>
      <c r="L94">
        <v>0.75</v>
      </c>
      <c r="M94" t="s">
        <v>1008</v>
      </c>
    </row>
    <row r="95" spans="1:13" x14ac:dyDescent="0.25">
      <c r="A95" t="s">
        <v>1028</v>
      </c>
      <c r="B95" t="s">
        <v>1006</v>
      </c>
      <c r="C95" s="2">
        <v>45769.578119537036</v>
      </c>
      <c r="D95" s="2">
        <v>45761.614560185182</v>
      </c>
      <c r="E95" s="2">
        <v>45761.616076296297</v>
      </c>
      <c r="F95" t="s">
        <v>1007</v>
      </c>
      <c r="G95" t="s">
        <v>1158</v>
      </c>
      <c r="H95" t="s">
        <v>390</v>
      </c>
      <c r="I95">
        <v>9</v>
      </c>
      <c r="J95">
        <v>45449</v>
      </c>
      <c r="K95">
        <v>0.14236111111111116</v>
      </c>
      <c r="L95">
        <v>0.125</v>
      </c>
      <c r="M95" t="s">
        <v>1010</v>
      </c>
    </row>
    <row r="96" spans="1:13" x14ac:dyDescent="0.25">
      <c r="A96" t="s">
        <v>1028</v>
      </c>
      <c r="B96" t="s">
        <v>1006</v>
      </c>
      <c r="C96" s="2">
        <v>45769.578119537036</v>
      </c>
      <c r="D96" s="2">
        <v>45761.614560185182</v>
      </c>
      <c r="E96" s="2">
        <v>45761.616076296297</v>
      </c>
      <c r="F96" t="s">
        <v>1007</v>
      </c>
      <c r="G96" t="s">
        <v>1221</v>
      </c>
      <c r="H96" t="s">
        <v>1222</v>
      </c>
      <c r="I96">
        <v>9</v>
      </c>
      <c r="J96">
        <v>45450</v>
      </c>
      <c r="K96">
        <v>0.66666666666666674</v>
      </c>
      <c r="L96">
        <v>0.66666666666666674</v>
      </c>
      <c r="M96" t="s">
        <v>1009</v>
      </c>
    </row>
    <row r="97" spans="1:13" x14ac:dyDescent="0.25">
      <c r="A97" t="s">
        <v>1028</v>
      </c>
      <c r="B97" t="s">
        <v>1006</v>
      </c>
      <c r="C97" s="2">
        <v>45769.578119537036</v>
      </c>
      <c r="D97" s="2">
        <v>45761.614560185182</v>
      </c>
      <c r="E97" s="2">
        <v>45761.616076296297</v>
      </c>
      <c r="F97" t="s">
        <v>1007</v>
      </c>
      <c r="G97" t="s">
        <v>1160</v>
      </c>
      <c r="H97" t="s">
        <v>401</v>
      </c>
      <c r="I97">
        <v>9</v>
      </c>
      <c r="J97">
        <v>45455</v>
      </c>
      <c r="K97">
        <v>0.55972222222222223</v>
      </c>
      <c r="L97">
        <v>0.54166666666666674</v>
      </c>
      <c r="M97" t="s">
        <v>1009</v>
      </c>
    </row>
    <row r="98" spans="1:13" x14ac:dyDescent="0.25">
      <c r="A98" t="s">
        <v>1028</v>
      </c>
      <c r="B98" t="s">
        <v>1006</v>
      </c>
      <c r="C98" s="2">
        <v>45769.578119537036</v>
      </c>
      <c r="D98" s="2">
        <v>45761.614560185182</v>
      </c>
      <c r="E98" s="2">
        <v>45761.616076296297</v>
      </c>
      <c r="F98" t="s">
        <v>1007</v>
      </c>
      <c r="G98" t="s">
        <v>1161</v>
      </c>
      <c r="H98" t="s">
        <v>1162</v>
      </c>
      <c r="I98">
        <v>9</v>
      </c>
      <c r="J98">
        <v>45456</v>
      </c>
      <c r="K98">
        <v>0.68721064814814814</v>
      </c>
      <c r="L98">
        <v>0.66666666666666674</v>
      </c>
      <c r="M98" t="s">
        <v>1009</v>
      </c>
    </row>
    <row r="99" spans="1:13" x14ac:dyDescent="0.25">
      <c r="A99" t="s">
        <v>1028</v>
      </c>
      <c r="B99" t="s">
        <v>1006</v>
      </c>
      <c r="C99" s="2">
        <v>45769.578119537036</v>
      </c>
      <c r="D99" s="2">
        <v>45761.614560185182</v>
      </c>
      <c r="E99" s="2">
        <v>45761.616076296297</v>
      </c>
      <c r="F99" t="s">
        <v>1007</v>
      </c>
      <c r="G99" t="s">
        <v>1163</v>
      </c>
      <c r="H99" t="s">
        <v>1147</v>
      </c>
      <c r="I99">
        <v>9</v>
      </c>
      <c r="J99">
        <v>45456</v>
      </c>
      <c r="K99">
        <v>0.8125</v>
      </c>
      <c r="L99">
        <v>0.79166666666666674</v>
      </c>
      <c r="M99" t="s">
        <v>1008</v>
      </c>
    </row>
    <row r="100" spans="1:13" x14ac:dyDescent="0.25">
      <c r="A100" t="s">
        <v>1028</v>
      </c>
      <c r="B100" t="s">
        <v>1006</v>
      </c>
      <c r="C100" s="2">
        <v>45769.578119537036</v>
      </c>
      <c r="D100" s="2">
        <v>45761.614560185182</v>
      </c>
      <c r="E100" s="2">
        <v>45761.616076296297</v>
      </c>
      <c r="F100" t="s">
        <v>1007</v>
      </c>
      <c r="G100" t="s">
        <v>1164</v>
      </c>
      <c r="H100" t="s">
        <v>1165</v>
      </c>
      <c r="I100">
        <v>9</v>
      </c>
      <c r="J100">
        <v>45457</v>
      </c>
      <c r="K100">
        <v>0.8125</v>
      </c>
      <c r="L100">
        <v>0.79166666666666674</v>
      </c>
      <c r="M100" t="s">
        <v>1008</v>
      </c>
    </row>
    <row r="101" spans="1:13" x14ac:dyDescent="0.25">
      <c r="A101" t="s">
        <v>1028</v>
      </c>
      <c r="B101" t="s">
        <v>1006</v>
      </c>
      <c r="C101" s="2">
        <v>45769.578119537036</v>
      </c>
      <c r="D101" s="2">
        <v>45761.614560185182</v>
      </c>
      <c r="E101" s="2">
        <v>45761.616076296297</v>
      </c>
      <c r="F101" t="s">
        <v>1007</v>
      </c>
      <c r="G101" t="s">
        <v>1166</v>
      </c>
      <c r="H101" t="s">
        <v>1167</v>
      </c>
      <c r="I101">
        <v>9</v>
      </c>
      <c r="J101">
        <v>45458</v>
      </c>
      <c r="K101">
        <v>0.49164351851851862</v>
      </c>
      <c r="L101">
        <v>0.45833333333333326</v>
      </c>
      <c r="M101" t="s">
        <v>1010</v>
      </c>
    </row>
    <row r="102" spans="1:13" x14ac:dyDescent="0.25">
      <c r="A102" t="s">
        <v>1028</v>
      </c>
      <c r="B102" t="s">
        <v>1006</v>
      </c>
      <c r="C102" s="2">
        <v>45769.578119537036</v>
      </c>
      <c r="D102" s="2">
        <v>45761.614560185182</v>
      </c>
      <c r="E102" s="2">
        <v>45761.616076296297</v>
      </c>
      <c r="F102" t="s">
        <v>1007</v>
      </c>
      <c r="G102" t="s">
        <v>1168</v>
      </c>
      <c r="H102" t="s">
        <v>607</v>
      </c>
      <c r="I102">
        <v>9</v>
      </c>
      <c r="J102">
        <v>45458</v>
      </c>
      <c r="K102">
        <v>0.10000000000000009</v>
      </c>
      <c r="L102">
        <v>8.3333333333333259E-2</v>
      </c>
      <c r="M102" t="s">
        <v>1010</v>
      </c>
    </row>
    <row r="103" spans="1:13" x14ac:dyDescent="0.25">
      <c r="A103" t="s">
        <v>1028</v>
      </c>
      <c r="B103" t="s">
        <v>1006</v>
      </c>
      <c r="C103" s="2">
        <v>45769.578119537036</v>
      </c>
      <c r="D103" s="2">
        <v>45761.614560185182</v>
      </c>
      <c r="E103" s="2">
        <v>45761.616076296297</v>
      </c>
      <c r="F103" t="s">
        <v>1007</v>
      </c>
      <c r="G103" t="s">
        <v>1169</v>
      </c>
      <c r="H103" t="s">
        <v>1170</v>
      </c>
      <c r="I103">
        <v>9</v>
      </c>
      <c r="J103">
        <v>45464</v>
      </c>
      <c r="K103">
        <v>0.9375</v>
      </c>
      <c r="L103">
        <v>0.91666666666666674</v>
      </c>
      <c r="M103" t="s">
        <v>1008</v>
      </c>
    </row>
    <row r="104" spans="1:13" x14ac:dyDescent="0.25">
      <c r="A104" t="s">
        <v>1028</v>
      </c>
      <c r="B104" t="s">
        <v>1006</v>
      </c>
      <c r="C104" s="2">
        <v>45769.578119537036</v>
      </c>
      <c r="D104" s="2">
        <v>45761.614560185182</v>
      </c>
      <c r="E104" s="2">
        <v>45761.616076296297</v>
      </c>
      <c r="F104" t="s">
        <v>1007</v>
      </c>
      <c r="G104" t="s">
        <v>1171</v>
      </c>
      <c r="H104" t="s">
        <v>1172</v>
      </c>
      <c r="I104">
        <v>9</v>
      </c>
      <c r="J104">
        <v>45464</v>
      </c>
      <c r="K104">
        <v>0.83333333333333326</v>
      </c>
      <c r="L104">
        <v>0.83333333333333326</v>
      </c>
      <c r="M104" t="s">
        <v>1008</v>
      </c>
    </row>
    <row r="105" spans="1:13" x14ac:dyDescent="0.25">
      <c r="A105" t="s">
        <v>1028</v>
      </c>
      <c r="B105" t="s">
        <v>1006</v>
      </c>
      <c r="C105" s="2">
        <v>45769.578119537036</v>
      </c>
      <c r="D105" s="2">
        <v>45761.614560185182</v>
      </c>
      <c r="E105" s="2">
        <v>45761.616076296297</v>
      </c>
      <c r="F105" t="s">
        <v>1007</v>
      </c>
      <c r="G105" t="s">
        <v>1173</v>
      </c>
      <c r="H105" t="s">
        <v>1174</v>
      </c>
      <c r="I105">
        <v>9</v>
      </c>
      <c r="J105">
        <v>45468</v>
      </c>
      <c r="K105">
        <v>0.6510069444444444</v>
      </c>
      <c r="L105">
        <v>0.625</v>
      </c>
      <c r="M105" t="s">
        <v>1009</v>
      </c>
    </row>
    <row r="106" spans="1:13" x14ac:dyDescent="0.25">
      <c r="A106" t="s">
        <v>1028</v>
      </c>
      <c r="B106" t="s">
        <v>1006</v>
      </c>
      <c r="C106" s="2">
        <v>45769.578119537036</v>
      </c>
      <c r="D106" s="2">
        <v>45761.614560185182</v>
      </c>
      <c r="E106" s="2">
        <v>45761.616076296297</v>
      </c>
      <c r="F106" t="s">
        <v>1007</v>
      </c>
      <c r="G106" t="s">
        <v>1175</v>
      </c>
      <c r="H106" t="s">
        <v>1046</v>
      </c>
      <c r="I106">
        <v>9</v>
      </c>
      <c r="J106">
        <v>45469</v>
      </c>
      <c r="K106">
        <v>0.25394675925925925</v>
      </c>
      <c r="L106">
        <v>0.25</v>
      </c>
      <c r="M106" t="s">
        <v>1010</v>
      </c>
    </row>
    <row r="107" spans="1:13" x14ac:dyDescent="0.25">
      <c r="A107" t="s">
        <v>1028</v>
      </c>
      <c r="B107" t="s">
        <v>1006</v>
      </c>
      <c r="C107" s="2">
        <v>45769.578119537036</v>
      </c>
      <c r="D107" s="2">
        <v>45761.614560185182</v>
      </c>
      <c r="E107" s="2">
        <v>45761.616076296297</v>
      </c>
      <c r="F107" t="s">
        <v>1007</v>
      </c>
      <c r="G107" t="s">
        <v>1176</v>
      </c>
      <c r="H107" t="s">
        <v>1177</v>
      </c>
      <c r="I107">
        <v>9</v>
      </c>
      <c r="J107">
        <v>45469</v>
      </c>
      <c r="K107">
        <v>0.32916666666666661</v>
      </c>
      <c r="L107">
        <v>0.29166666666666674</v>
      </c>
      <c r="M107" t="s">
        <v>1010</v>
      </c>
    </row>
    <row r="108" spans="1:13" x14ac:dyDescent="0.25">
      <c r="A108" t="s">
        <v>1028</v>
      </c>
      <c r="B108" t="s">
        <v>1006</v>
      </c>
      <c r="C108" s="2">
        <v>45769.578119537036</v>
      </c>
      <c r="D108" s="2">
        <v>45761.614560185182</v>
      </c>
      <c r="E108" s="2">
        <v>45761.616076296297</v>
      </c>
      <c r="F108" t="s">
        <v>1007</v>
      </c>
      <c r="G108" t="s">
        <v>1178</v>
      </c>
      <c r="H108" t="s">
        <v>1179</v>
      </c>
      <c r="I108">
        <v>9</v>
      </c>
      <c r="J108">
        <v>45469</v>
      </c>
      <c r="K108">
        <v>0.48124999999999996</v>
      </c>
      <c r="L108">
        <v>0.45833333333333326</v>
      </c>
      <c r="M108" t="s">
        <v>1010</v>
      </c>
    </row>
    <row r="109" spans="1:13" x14ac:dyDescent="0.25">
      <c r="A109" t="s">
        <v>1028</v>
      </c>
      <c r="B109" t="s">
        <v>1006</v>
      </c>
      <c r="C109" s="2">
        <v>45769.578119537036</v>
      </c>
      <c r="D109" s="2">
        <v>45761.614560185182</v>
      </c>
      <c r="E109" s="2">
        <v>45761.616076296297</v>
      </c>
      <c r="F109" t="s">
        <v>1007</v>
      </c>
      <c r="G109" t="s">
        <v>1184</v>
      </c>
      <c r="H109" t="s">
        <v>1185</v>
      </c>
      <c r="I109">
        <v>9</v>
      </c>
      <c r="J109">
        <v>45469</v>
      </c>
      <c r="K109">
        <v>0.75</v>
      </c>
      <c r="L109">
        <v>0.75</v>
      </c>
      <c r="M109" t="s">
        <v>1008</v>
      </c>
    </row>
    <row r="110" spans="1:13" x14ac:dyDescent="0.25">
      <c r="A110" t="s">
        <v>1028</v>
      </c>
      <c r="B110" t="s">
        <v>1006</v>
      </c>
      <c r="C110" s="2">
        <v>45769.578119537036</v>
      </c>
      <c r="D110" s="2">
        <v>45761.614560185182</v>
      </c>
      <c r="E110" s="2">
        <v>45761.616076296297</v>
      </c>
      <c r="F110" t="s">
        <v>1007</v>
      </c>
      <c r="G110" t="s">
        <v>1194</v>
      </c>
      <c r="H110" t="s">
        <v>133</v>
      </c>
      <c r="I110">
        <v>9</v>
      </c>
      <c r="J110">
        <v>45469</v>
      </c>
      <c r="K110">
        <v>0.68124999999999991</v>
      </c>
      <c r="L110">
        <v>0.66666666666666674</v>
      </c>
      <c r="M110" t="s">
        <v>1009</v>
      </c>
    </row>
    <row r="111" spans="1:13" x14ac:dyDescent="0.25">
      <c r="A111" t="s">
        <v>1028</v>
      </c>
      <c r="B111" t="s">
        <v>1006</v>
      </c>
      <c r="C111" s="2">
        <v>45769.578119537036</v>
      </c>
      <c r="D111" s="2">
        <v>45761.614560185182</v>
      </c>
      <c r="E111" s="2">
        <v>45761.616076296297</v>
      </c>
      <c r="F111" t="s">
        <v>1007</v>
      </c>
      <c r="G111" t="s">
        <v>1182</v>
      </c>
      <c r="H111" t="s">
        <v>1183</v>
      </c>
      <c r="I111">
        <v>9</v>
      </c>
      <c r="J111">
        <v>45470</v>
      </c>
      <c r="K111">
        <v>0.34722222222222232</v>
      </c>
      <c r="L111">
        <v>0.33333333333333326</v>
      </c>
      <c r="M111" t="s">
        <v>1010</v>
      </c>
    </row>
    <row r="112" spans="1:13" x14ac:dyDescent="0.25">
      <c r="A112" t="s">
        <v>1028</v>
      </c>
      <c r="B112" t="s">
        <v>1006</v>
      </c>
      <c r="C112" s="2">
        <v>45769.578119537036</v>
      </c>
      <c r="D112" s="2">
        <v>45761.614560185182</v>
      </c>
      <c r="E112" s="2">
        <v>45761.616076296297</v>
      </c>
      <c r="F112" t="s">
        <v>1007</v>
      </c>
      <c r="G112" t="s">
        <v>1186</v>
      </c>
      <c r="H112" t="s">
        <v>1187</v>
      </c>
      <c r="I112">
        <v>9</v>
      </c>
      <c r="J112">
        <v>45470</v>
      </c>
      <c r="K112">
        <v>0.39236111111111116</v>
      </c>
      <c r="L112">
        <v>0.375</v>
      </c>
      <c r="M112" t="s">
        <v>1010</v>
      </c>
    </row>
    <row r="113" spans="1:13" x14ac:dyDescent="0.25">
      <c r="A113" t="s">
        <v>1028</v>
      </c>
      <c r="B113" t="s">
        <v>1006</v>
      </c>
      <c r="C113" s="2">
        <v>45769.578119537036</v>
      </c>
      <c r="D113" s="2">
        <v>45761.614560185182</v>
      </c>
      <c r="E113" s="2">
        <v>45761.616076296297</v>
      </c>
      <c r="F113" t="s">
        <v>1007</v>
      </c>
      <c r="G113" t="s">
        <v>1188</v>
      </c>
      <c r="H113" t="s">
        <v>390</v>
      </c>
      <c r="I113">
        <v>9</v>
      </c>
      <c r="J113">
        <v>45470</v>
      </c>
      <c r="K113">
        <v>0.43055555555555558</v>
      </c>
      <c r="L113">
        <v>0.41666666666666674</v>
      </c>
      <c r="M113" t="s">
        <v>1010</v>
      </c>
    </row>
    <row r="114" spans="1:13" x14ac:dyDescent="0.25">
      <c r="A114" t="s">
        <v>1028</v>
      </c>
      <c r="B114" t="s">
        <v>1006</v>
      </c>
      <c r="C114" s="2">
        <v>45769.578119537036</v>
      </c>
      <c r="D114" s="2">
        <v>45761.614560185182</v>
      </c>
      <c r="E114" s="2">
        <v>45761.616076296297</v>
      </c>
      <c r="F114" t="s">
        <v>1007</v>
      </c>
      <c r="G114" t="s">
        <v>1189</v>
      </c>
      <c r="H114" t="s">
        <v>374</v>
      </c>
      <c r="I114">
        <v>9</v>
      </c>
      <c r="J114">
        <v>45471</v>
      </c>
      <c r="K114">
        <v>0.64583333333333326</v>
      </c>
      <c r="L114">
        <v>0.625</v>
      </c>
      <c r="M114" t="s">
        <v>1009</v>
      </c>
    </row>
    <row r="115" spans="1:13" x14ac:dyDescent="0.25">
      <c r="A115" t="s">
        <v>1028</v>
      </c>
      <c r="B115" t="s">
        <v>1006</v>
      </c>
      <c r="C115" s="2">
        <v>45769.578119537036</v>
      </c>
      <c r="D115" s="2">
        <v>45761.614560185182</v>
      </c>
      <c r="E115" s="2">
        <v>45761.616076296297</v>
      </c>
      <c r="F115" t="s">
        <v>1007</v>
      </c>
      <c r="G115" t="s">
        <v>1190</v>
      </c>
      <c r="H115" t="s">
        <v>1191</v>
      </c>
      <c r="I115">
        <v>9</v>
      </c>
      <c r="J115">
        <v>45472</v>
      </c>
      <c r="K115">
        <v>0</v>
      </c>
      <c r="L115">
        <v>0</v>
      </c>
      <c r="M115" t="s">
        <v>1010</v>
      </c>
    </row>
    <row r="116" spans="1:13" x14ac:dyDescent="0.25">
      <c r="A116" t="s">
        <v>1028</v>
      </c>
      <c r="B116" t="s">
        <v>1006</v>
      </c>
      <c r="C116" s="2">
        <v>45769.578119537036</v>
      </c>
      <c r="D116" s="2">
        <v>45761.614560185182</v>
      </c>
      <c r="E116" s="2">
        <v>45761.616076296297</v>
      </c>
      <c r="F116" t="s">
        <v>1007</v>
      </c>
      <c r="G116" t="s">
        <v>1192</v>
      </c>
      <c r="H116" t="s">
        <v>1193</v>
      </c>
      <c r="I116">
        <v>9</v>
      </c>
      <c r="J116">
        <v>45474</v>
      </c>
      <c r="K116">
        <v>0.44763888888888892</v>
      </c>
      <c r="L116">
        <v>0.41666666666666674</v>
      </c>
      <c r="M116" t="s">
        <v>1010</v>
      </c>
    </row>
    <row r="117" spans="1:13" x14ac:dyDescent="0.25">
      <c r="A117" t="s">
        <v>1028</v>
      </c>
      <c r="B117" t="s">
        <v>1006</v>
      </c>
      <c r="C117" s="2">
        <v>45769.578119537036</v>
      </c>
      <c r="D117" s="2">
        <v>45761.614560185182</v>
      </c>
      <c r="E117" s="2">
        <v>45761.616076296297</v>
      </c>
      <c r="F117" t="s">
        <v>1007</v>
      </c>
      <c r="G117" t="s">
        <v>1197</v>
      </c>
      <c r="H117" t="s">
        <v>1198</v>
      </c>
      <c r="I117">
        <v>9</v>
      </c>
      <c r="J117">
        <v>45475</v>
      </c>
      <c r="K117">
        <v>0.97916666666666674</v>
      </c>
      <c r="L117">
        <v>0.95833333333333326</v>
      </c>
      <c r="M117" t="s">
        <v>1008</v>
      </c>
    </row>
    <row r="118" spans="1:13" x14ac:dyDescent="0.25">
      <c r="A118" t="s">
        <v>1028</v>
      </c>
      <c r="B118" t="s">
        <v>1006</v>
      </c>
      <c r="C118" s="2">
        <v>45769.578119537036</v>
      </c>
      <c r="D118" s="2">
        <v>45761.614560185182</v>
      </c>
      <c r="E118" s="2">
        <v>45761.616076296297</v>
      </c>
      <c r="F118" t="s">
        <v>1007</v>
      </c>
      <c r="G118" t="s">
        <v>1195</v>
      </c>
      <c r="H118" t="s">
        <v>1196</v>
      </c>
      <c r="I118">
        <v>9</v>
      </c>
      <c r="J118">
        <v>45476</v>
      </c>
      <c r="K118">
        <v>0.3633912037037037</v>
      </c>
      <c r="L118">
        <v>0.33333333333333326</v>
      </c>
      <c r="M118" t="s">
        <v>1010</v>
      </c>
    </row>
    <row r="119" spans="1:13" x14ac:dyDescent="0.25">
      <c r="A119" t="s">
        <v>1028</v>
      </c>
      <c r="B119" t="s">
        <v>1006</v>
      </c>
      <c r="C119" s="2">
        <v>45769.578119537036</v>
      </c>
      <c r="D119" s="2">
        <v>45761.614560185182</v>
      </c>
      <c r="E119" s="2">
        <v>45761.616076296297</v>
      </c>
      <c r="F119" t="s">
        <v>1007</v>
      </c>
      <c r="G119" t="s">
        <v>1199</v>
      </c>
      <c r="H119" t="s">
        <v>1200</v>
      </c>
      <c r="I119">
        <v>9</v>
      </c>
      <c r="J119">
        <v>45482</v>
      </c>
      <c r="K119">
        <v>0.8350925925925925</v>
      </c>
      <c r="L119">
        <v>0.83333333333333326</v>
      </c>
      <c r="M119" t="s">
        <v>1008</v>
      </c>
    </row>
    <row r="120" spans="1:13" x14ac:dyDescent="0.25">
      <c r="A120" t="s">
        <v>1028</v>
      </c>
      <c r="B120" t="s">
        <v>1006</v>
      </c>
      <c r="C120" s="2">
        <v>45769.578119537036</v>
      </c>
      <c r="D120" s="2">
        <v>45761.614560185182</v>
      </c>
      <c r="E120" s="2">
        <v>45761.616076296297</v>
      </c>
      <c r="F120" t="s">
        <v>1007</v>
      </c>
      <c r="G120" t="s">
        <v>1203</v>
      </c>
      <c r="H120" t="s">
        <v>1204</v>
      </c>
      <c r="I120">
        <v>9</v>
      </c>
      <c r="J120">
        <v>45486</v>
      </c>
      <c r="K120">
        <v>0.11111111111111116</v>
      </c>
      <c r="L120">
        <v>8.3333333333333259E-2</v>
      </c>
      <c r="M120" t="s">
        <v>1010</v>
      </c>
    </row>
    <row r="121" spans="1:13" x14ac:dyDescent="0.25">
      <c r="A121" t="s">
        <v>1028</v>
      </c>
      <c r="B121" t="s">
        <v>1006</v>
      </c>
      <c r="C121" s="2">
        <v>45769.578119537036</v>
      </c>
      <c r="D121" s="2">
        <v>45761.614560185182</v>
      </c>
      <c r="E121" s="2">
        <v>45761.616076296297</v>
      </c>
      <c r="F121" t="s">
        <v>1007</v>
      </c>
      <c r="G121" t="s">
        <v>1207</v>
      </c>
      <c r="H121" t="s">
        <v>1208</v>
      </c>
      <c r="I121">
        <v>9</v>
      </c>
      <c r="J121">
        <v>45486</v>
      </c>
      <c r="K121">
        <v>0.375</v>
      </c>
      <c r="L121">
        <v>0.375</v>
      </c>
      <c r="M121" t="s">
        <v>1010</v>
      </c>
    </row>
    <row r="122" spans="1:13" x14ac:dyDescent="0.25">
      <c r="A122" t="s">
        <v>1028</v>
      </c>
      <c r="B122" t="s">
        <v>1006</v>
      </c>
      <c r="C122" s="2">
        <v>45769.578119537036</v>
      </c>
      <c r="D122" s="2">
        <v>45761.614560185182</v>
      </c>
      <c r="E122" s="2">
        <v>45761.616076296297</v>
      </c>
      <c r="F122" t="s">
        <v>1007</v>
      </c>
      <c r="G122" t="s">
        <v>1205</v>
      </c>
      <c r="H122" t="s">
        <v>1206</v>
      </c>
      <c r="I122">
        <v>9</v>
      </c>
      <c r="J122">
        <v>45487</v>
      </c>
      <c r="K122">
        <v>0.21620370370370368</v>
      </c>
      <c r="L122">
        <v>0.20833333333333326</v>
      </c>
      <c r="M122" t="s">
        <v>1010</v>
      </c>
    </row>
    <row r="123" spans="1:13" x14ac:dyDescent="0.25">
      <c r="A123" t="s">
        <v>1028</v>
      </c>
      <c r="B123" t="s">
        <v>1006</v>
      </c>
      <c r="C123" s="2">
        <v>45769.578119537036</v>
      </c>
      <c r="D123" s="2">
        <v>45761.614560185182</v>
      </c>
      <c r="E123" s="2">
        <v>45761.616076296297</v>
      </c>
      <c r="F123" t="s">
        <v>1007</v>
      </c>
      <c r="G123" t="s">
        <v>1211</v>
      </c>
      <c r="H123" t="s">
        <v>1212</v>
      </c>
      <c r="I123">
        <v>9</v>
      </c>
      <c r="J123">
        <v>45488</v>
      </c>
      <c r="K123">
        <v>0.72916666666666674</v>
      </c>
      <c r="L123">
        <v>0.70833333333333326</v>
      </c>
      <c r="M123" t="s">
        <v>1009</v>
      </c>
    </row>
    <row r="124" spans="1:13" x14ac:dyDescent="0.25">
      <c r="A124" t="s">
        <v>1028</v>
      </c>
      <c r="B124" t="s">
        <v>1006</v>
      </c>
      <c r="C124" s="2">
        <v>45769.578119537036</v>
      </c>
      <c r="D124" s="2">
        <v>45761.614560185182</v>
      </c>
      <c r="E124" s="2">
        <v>45761.616076296297</v>
      </c>
      <c r="F124" t="s">
        <v>1007</v>
      </c>
      <c r="G124" t="s">
        <v>1209</v>
      </c>
      <c r="H124" t="s">
        <v>1210</v>
      </c>
      <c r="I124">
        <v>9</v>
      </c>
      <c r="J124">
        <v>45491</v>
      </c>
      <c r="K124">
        <v>0.79305555555555562</v>
      </c>
      <c r="L124">
        <v>0.79166666666666674</v>
      </c>
      <c r="M124" t="s">
        <v>1008</v>
      </c>
    </row>
    <row r="125" spans="1:13" x14ac:dyDescent="0.25">
      <c r="A125" t="s">
        <v>1028</v>
      </c>
      <c r="B125" t="s">
        <v>1006</v>
      </c>
      <c r="C125" s="2">
        <v>45769.578119537036</v>
      </c>
      <c r="D125" s="2">
        <v>45761.614560185182</v>
      </c>
      <c r="E125" s="2">
        <v>45761.616076296297</v>
      </c>
      <c r="F125" t="s">
        <v>1007</v>
      </c>
      <c r="G125" t="s">
        <v>1213</v>
      </c>
      <c r="H125" t="s">
        <v>1214</v>
      </c>
      <c r="I125">
        <v>9</v>
      </c>
      <c r="J125">
        <v>45494</v>
      </c>
      <c r="K125">
        <v>0.625</v>
      </c>
      <c r="L125">
        <v>0.625</v>
      </c>
      <c r="M125" t="s">
        <v>1009</v>
      </c>
    </row>
    <row r="126" spans="1:13" x14ac:dyDescent="0.25">
      <c r="A126" t="s">
        <v>1028</v>
      </c>
      <c r="B126" t="s">
        <v>1006</v>
      </c>
      <c r="C126" s="2">
        <v>45769.578119537036</v>
      </c>
      <c r="D126" s="2">
        <v>45761.614560185182</v>
      </c>
      <c r="E126" s="2">
        <v>45761.616076296297</v>
      </c>
      <c r="F126" t="s">
        <v>1007</v>
      </c>
      <c r="G126" t="s">
        <v>1215</v>
      </c>
      <c r="H126" t="s">
        <v>390</v>
      </c>
      <c r="I126">
        <v>9</v>
      </c>
      <c r="J126">
        <v>45498</v>
      </c>
      <c r="K126">
        <v>0.8125</v>
      </c>
      <c r="L126">
        <v>0.79166666666666674</v>
      </c>
      <c r="M126" t="s">
        <v>1008</v>
      </c>
    </row>
    <row r="127" spans="1:13" x14ac:dyDescent="0.25">
      <c r="A127" t="s">
        <v>1028</v>
      </c>
      <c r="B127" t="s">
        <v>1006</v>
      </c>
      <c r="C127" s="2">
        <v>45769.578119537036</v>
      </c>
      <c r="D127" s="2">
        <v>45761.614560185182</v>
      </c>
      <c r="E127" s="2">
        <v>45761.616076296297</v>
      </c>
      <c r="F127" t="s">
        <v>1007</v>
      </c>
      <c r="G127" t="s">
        <v>1216</v>
      </c>
      <c r="H127" t="s">
        <v>1070</v>
      </c>
      <c r="I127">
        <v>9</v>
      </c>
      <c r="J127">
        <v>45501</v>
      </c>
      <c r="K127">
        <v>0.22569444444444442</v>
      </c>
      <c r="L127">
        <v>0.20833333333333326</v>
      </c>
      <c r="M127" t="s">
        <v>1010</v>
      </c>
    </row>
    <row r="128" spans="1:13" x14ac:dyDescent="0.25">
      <c r="A128" t="s">
        <v>1028</v>
      </c>
      <c r="B128" t="s">
        <v>1006</v>
      </c>
      <c r="C128" s="2">
        <v>45769.578119537036</v>
      </c>
      <c r="D128" s="2">
        <v>45761.614560185182</v>
      </c>
      <c r="E128" s="2">
        <v>45761.616076296297</v>
      </c>
      <c r="F128" t="s">
        <v>1007</v>
      </c>
      <c r="G128" t="s">
        <v>1217</v>
      </c>
      <c r="H128" t="s">
        <v>1218</v>
      </c>
      <c r="I128">
        <v>9</v>
      </c>
      <c r="J128">
        <v>45502</v>
      </c>
      <c r="K128">
        <v>0.68888888888888888</v>
      </c>
      <c r="L128">
        <v>0.66666666666666674</v>
      </c>
      <c r="M128" t="s">
        <v>1009</v>
      </c>
    </row>
    <row r="129" spans="1:13" x14ac:dyDescent="0.25">
      <c r="A129" t="s">
        <v>1028</v>
      </c>
      <c r="B129" t="s">
        <v>1006</v>
      </c>
      <c r="C129" s="2">
        <v>45769.578119537036</v>
      </c>
      <c r="D129" s="2">
        <v>45761.614560185182</v>
      </c>
      <c r="E129" s="2">
        <v>45761.616076296297</v>
      </c>
      <c r="F129" t="s">
        <v>1007</v>
      </c>
      <c r="G129" t="s">
        <v>1223</v>
      </c>
      <c r="H129" t="s">
        <v>1224</v>
      </c>
      <c r="I129">
        <v>9</v>
      </c>
      <c r="J129">
        <v>45505</v>
      </c>
      <c r="K129">
        <v>0.80555555555555558</v>
      </c>
      <c r="L129">
        <v>0.79166666666666674</v>
      </c>
      <c r="M129" t="s">
        <v>1008</v>
      </c>
    </row>
    <row r="130" spans="1:13" x14ac:dyDescent="0.25">
      <c r="A130" t="s">
        <v>1028</v>
      </c>
      <c r="B130" t="s">
        <v>1006</v>
      </c>
      <c r="C130" s="2">
        <v>45769.578119537036</v>
      </c>
      <c r="D130" s="2">
        <v>45761.614560185182</v>
      </c>
      <c r="E130" s="2">
        <v>45761.616076296297</v>
      </c>
      <c r="F130" t="s">
        <v>1007</v>
      </c>
      <c r="G130" t="s">
        <v>1225</v>
      </c>
      <c r="H130" t="s">
        <v>1226</v>
      </c>
      <c r="I130">
        <v>9</v>
      </c>
      <c r="J130">
        <v>45506</v>
      </c>
      <c r="K130">
        <v>0.41203703703703698</v>
      </c>
      <c r="L130">
        <v>0.375</v>
      </c>
      <c r="M130" t="s">
        <v>1010</v>
      </c>
    </row>
    <row r="131" spans="1:13" x14ac:dyDescent="0.25">
      <c r="A131" t="s">
        <v>1028</v>
      </c>
      <c r="B131" t="s">
        <v>1006</v>
      </c>
      <c r="C131" s="2">
        <v>45769.578119537036</v>
      </c>
      <c r="D131" s="2">
        <v>45761.614560185182</v>
      </c>
      <c r="E131" s="2">
        <v>45761.616076296297</v>
      </c>
      <c r="F131" t="s">
        <v>1007</v>
      </c>
      <c r="G131" t="s">
        <v>1227</v>
      </c>
      <c r="H131" t="s">
        <v>1228</v>
      </c>
      <c r="I131">
        <v>9</v>
      </c>
      <c r="J131">
        <v>45507</v>
      </c>
      <c r="K131">
        <v>0.83333333333333326</v>
      </c>
      <c r="L131">
        <v>0.83333333333333326</v>
      </c>
      <c r="M131" t="s">
        <v>1008</v>
      </c>
    </row>
    <row r="132" spans="1:13" x14ac:dyDescent="0.25">
      <c r="A132" t="s">
        <v>1028</v>
      </c>
      <c r="B132" t="s">
        <v>1006</v>
      </c>
      <c r="C132" s="2">
        <v>45769.578119537036</v>
      </c>
      <c r="D132" s="2">
        <v>45761.614560185182</v>
      </c>
      <c r="E132" s="2">
        <v>45761.616076296297</v>
      </c>
      <c r="F132" t="s">
        <v>1007</v>
      </c>
      <c r="G132" t="s">
        <v>1229</v>
      </c>
      <c r="H132" t="s">
        <v>1230</v>
      </c>
      <c r="I132">
        <v>9</v>
      </c>
      <c r="J132">
        <v>45508</v>
      </c>
      <c r="K132">
        <v>0.97567129629629634</v>
      </c>
      <c r="L132">
        <v>0.95833333333333326</v>
      </c>
      <c r="M132" t="s">
        <v>1008</v>
      </c>
    </row>
    <row r="133" spans="1:13" x14ac:dyDescent="0.25">
      <c r="A133" t="s">
        <v>1028</v>
      </c>
      <c r="B133" t="s">
        <v>1006</v>
      </c>
      <c r="C133" s="2">
        <v>45769.578119537036</v>
      </c>
      <c r="D133" s="2">
        <v>45761.614560185182</v>
      </c>
      <c r="E133" s="2">
        <v>45761.616076296297</v>
      </c>
      <c r="F133" t="s">
        <v>1007</v>
      </c>
      <c r="G133" t="s">
        <v>1231</v>
      </c>
      <c r="H133" t="s">
        <v>1232</v>
      </c>
      <c r="I133">
        <v>9</v>
      </c>
      <c r="J133">
        <v>45509</v>
      </c>
      <c r="K133">
        <v>0.72795138888888888</v>
      </c>
      <c r="L133">
        <v>0.70833333333333326</v>
      </c>
      <c r="M133" t="s">
        <v>1009</v>
      </c>
    </row>
    <row r="134" spans="1:13" x14ac:dyDescent="0.25">
      <c r="A134" t="s">
        <v>1028</v>
      </c>
      <c r="B134" t="s">
        <v>1006</v>
      </c>
      <c r="C134" s="2">
        <v>45769.578119537036</v>
      </c>
      <c r="D134" s="2">
        <v>45761.614560185182</v>
      </c>
      <c r="E134" s="2">
        <v>45761.616076296297</v>
      </c>
      <c r="F134" t="s">
        <v>1007</v>
      </c>
      <c r="G134" t="s">
        <v>1233</v>
      </c>
      <c r="H134" t="s">
        <v>1234</v>
      </c>
      <c r="I134">
        <v>9</v>
      </c>
      <c r="J134">
        <v>45510</v>
      </c>
      <c r="K134">
        <v>0.17013888888888884</v>
      </c>
      <c r="L134">
        <v>0.16666666666666674</v>
      </c>
      <c r="M134" t="s">
        <v>1010</v>
      </c>
    </row>
    <row r="135" spans="1:13" x14ac:dyDescent="0.25">
      <c r="A135" t="s">
        <v>1028</v>
      </c>
      <c r="B135" t="s">
        <v>1006</v>
      </c>
      <c r="C135" s="2">
        <v>45769.578119537036</v>
      </c>
      <c r="D135" s="2">
        <v>45761.614560185182</v>
      </c>
      <c r="E135" s="2">
        <v>45761.616076296297</v>
      </c>
      <c r="F135" t="s">
        <v>1007</v>
      </c>
      <c r="G135" t="s">
        <v>1235</v>
      </c>
      <c r="H135" t="s">
        <v>1236</v>
      </c>
      <c r="I135">
        <v>9</v>
      </c>
      <c r="J135">
        <v>45510</v>
      </c>
      <c r="K135">
        <v>0.91666666666666674</v>
      </c>
      <c r="L135">
        <v>0.91666666666666674</v>
      </c>
      <c r="M135" t="s">
        <v>1008</v>
      </c>
    </row>
    <row r="136" spans="1:13" x14ac:dyDescent="0.25">
      <c r="A136" t="s">
        <v>1028</v>
      </c>
      <c r="B136" t="s">
        <v>1006</v>
      </c>
      <c r="C136" s="2">
        <v>45769.578119537036</v>
      </c>
      <c r="D136" s="2">
        <v>45761.614560185182</v>
      </c>
      <c r="E136" s="2">
        <v>45761.616076296297</v>
      </c>
      <c r="F136" t="s">
        <v>1007</v>
      </c>
      <c r="G136" t="s">
        <v>1237</v>
      </c>
      <c r="H136" t="s">
        <v>1224</v>
      </c>
      <c r="I136">
        <v>9</v>
      </c>
      <c r="J136">
        <v>45513</v>
      </c>
      <c r="K136">
        <v>0.57430555555555562</v>
      </c>
      <c r="L136">
        <v>0.54166666666666674</v>
      </c>
      <c r="M136" t="s">
        <v>1009</v>
      </c>
    </row>
    <row r="137" spans="1:13" x14ac:dyDescent="0.25">
      <c r="A137" t="s">
        <v>1028</v>
      </c>
      <c r="B137" t="s">
        <v>1006</v>
      </c>
      <c r="C137" s="2">
        <v>45769.578119537036</v>
      </c>
      <c r="D137" s="2">
        <v>45761.614560185182</v>
      </c>
      <c r="E137" s="2">
        <v>45761.616076296297</v>
      </c>
      <c r="F137" t="s">
        <v>1007</v>
      </c>
      <c r="G137" t="s">
        <v>1238</v>
      </c>
      <c r="H137" t="s">
        <v>1239</v>
      </c>
      <c r="I137">
        <v>9</v>
      </c>
      <c r="J137">
        <v>45513</v>
      </c>
      <c r="K137">
        <v>0.95833333333333326</v>
      </c>
      <c r="L137">
        <v>0.95833333333333326</v>
      </c>
      <c r="M137" t="s">
        <v>1008</v>
      </c>
    </row>
    <row r="138" spans="1:13" x14ac:dyDescent="0.25">
      <c r="A138" t="s">
        <v>1028</v>
      </c>
      <c r="B138" t="s">
        <v>1006</v>
      </c>
      <c r="C138" s="2">
        <v>45769.578119537036</v>
      </c>
      <c r="D138" s="2">
        <v>45761.614560185182</v>
      </c>
      <c r="E138" s="2">
        <v>45761.616076296297</v>
      </c>
      <c r="F138" t="s">
        <v>1007</v>
      </c>
      <c r="G138" t="s">
        <v>1240</v>
      </c>
      <c r="H138" t="s">
        <v>1241</v>
      </c>
      <c r="I138">
        <v>9</v>
      </c>
      <c r="J138">
        <v>45513</v>
      </c>
      <c r="K138">
        <v>0.625</v>
      </c>
      <c r="L138">
        <v>0.625</v>
      </c>
      <c r="M138" t="s">
        <v>1009</v>
      </c>
    </row>
    <row r="139" spans="1:13" x14ac:dyDescent="0.25">
      <c r="A139" t="s">
        <v>1028</v>
      </c>
      <c r="B139" t="s">
        <v>1006</v>
      </c>
      <c r="C139" s="2">
        <v>45769.578119537036</v>
      </c>
      <c r="D139" s="2">
        <v>45761.614560185182</v>
      </c>
      <c r="E139" s="2">
        <v>45761.616076296297</v>
      </c>
      <c r="F139" t="s">
        <v>1007</v>
      </c>
      <c r="G139" t="s">
        <v>1242</v>
      </c>
      <c r="H139" t="s">
        <v>1243</v>
      </c>
      <c r="I139">
        <v>9</v>
      </c>
      <c r="J139">
        <v>45516</v>
      </c>
      <c r="K139">
        <v>0.16167824074074066</v>
      </c>
      <c r="L139">
        <v>0.125</v>
      </c>
      <c r="M139" t="s">
        <v>1010</v>
      </c>
    </row>
    <row r="140" spans="1:13" x14ac:dyDescent="0.25">
      <c r="A140" t="s">
        <v>1028</v>
      </c>
      <c r="B140" t="s">
        <v>1006</v>
      </c>
      <c r="C140" s="2">
        <v>45769.578119537036</v>
      </c>
      <c r="D140" s="2">
        <v>45761.614560185182</v>
      </c>
      <c r="E140" s="2">
        <v>45761.616076296297</v>
      </c>
      <c r="F140" t="s">
        <v>1007</v>
      </c>
      <c r="G140" t="s">
        <v>1244</v>
      </c>
      <c r="H140" t="s">
        <v>1245</v>
      </c>
      <c r="I140">
        <v>9</v>
      </c>
      <c r="J140">
        <v>45516</v>
      </c>
      <c r="K140">
        <v>0.16666666666666674</v>
      </c>
      <c r="L140">
        <v>0.16666666666666674</v>
      </c>
      <c r="M140" t="s">
        <v>1010</v>
      </c>
    </row>
    <row r="141" spans="1:13" x14ac:dyDescent="0.25">
      <c r="A141" t="s">
        <v>1028</v>
      </c>
      <c r="B141" t="s">
        <v>1006</v>
      </c>
      <c r="C141" s="2">
        <v>45769.578119537036</v>
      </c>
      <c r="D141" s="2">
        <v>45761.614560185182</v>
      </c>
      <c r="E141" s="2">
        <v>45761.616076296297</v>
      </c>
      <c r="F141" t="s">
        <v>1007</v>
      </c>
      <c r="G141" t="s">
        <v>1246</v>
      </c>
      <c r="H141" t="s">
        <v>1247</v>
      </c>
      <c r="I141">
        <v>9</v>
      </c>
      <c r="J141">
        <v>45516</v>
      </c>
      <c r="K141">
        <v>0.90625</v>
      </c>
      <c r="L141">
        <v>0.875</v>
      </c>
      <c r="M141" t="s">
        <v>1008</v>
      </c>
    </row>
    <row r="142" spans="1:13" x14ac:dyDescent="0.25">
      <c r="A142" t="s">
        <v>1028</v>
      </c>
      <c r="B142" t="s">
        <v>1006</v>
      </c>
      <c r="C142" s="2">
        <v>45769.578119537036</v>
      </c>
      <c r="D142" s="2">
        <v>45761.614560185182</v>
      </c>
      <c r="E142" s="2">
        <v>45761.616076296297</v>
      </c>
      <c r="F142" t="s">
        <v>1007</v>
      </c>
      <c r="G142" t="s">
        <v>1248</v>
      </c>
      <c r="H142" t="s">
        <v>1249</v>
      </c>
      <c r="I142">
        <v>9</v>
      </c>
      <c r="J142">
        <v>45520</v>
      </c>
      <c r="K142">
        <v>6.7361111111111205E-2</v>
      </c>
      <c r="L142">
        <v>4.1666666666666741E-2</v>
      </c>
      <c r="M142" t="s">
        <v>1010</v>
      </c>
    </row>
    <row r="143" spans="1:13" x14ac:dyDescent="0.25">
      <c r="A143" t="s">
        <v>1028</v>
      </c>
      <c r="B143" t="s">
        <v>1006</v>
      </c>
      <c r="C143" s="2">
        <v>45769.578119537036</v>
      </c>
      <c r="D143" s="2">
        <v>45761.614560185182</v>
      </c>
      <c r="E143" s="2">
        <v>45761.616076296297</v>
      </c>
      <c r="F143" t="s">
        <v>1007</v>
      </c>
      <c r="G143" t="s">
        <v>1250</v>
      </c>
      <c r="H143" t="s">
        <v>1191</v>
      </c>
      <c r="I143">
        <v>9</v>
      </c>
      <c r="J143">
        <v>45520</v>
      </c>
      <c r="K143">
        <v>8.3333333333333259E-2</v>
      </c>
      <c r="L143">
        <v>8.3333333333333259E-2</v>
      </c>
      <c r="M143" t="s">
        <v>1010</v>
      </c>
    </row>
    <row r="144" spans="1:13" x14ac:dyDescent="0.25">
      <c r="A144" t="s">
        <v>1028</v>
      </c>
      <c r="B144" t="s">
        <v>1006</v>
      </c>
      <c r="C144" s="2">
        <v>45769.578119537036</v>
      </c>
      <c r="D144" s="2">
        <v>45761.614560185182</v>
      </c>
      <c r="E144" s="2">
        <v>45761.616076296297</v>
      </c>
      <c r="F144" t="s">
        <v>1007</v>
      </c>
      <c r="G144" t="s">
        <v>1252</v>
      </c>
      <c r="H144" t="s">
        <v>1253</v>
      </c>
      <c r="I144">
        <v>9</v>
      </c>
      <c r="J144">
        <v>45521</v>
      </c>
      <c r="K144">
        <v>0.66666666666666674</v>
      </c>
      <c r="L144">
        <v>0.66666666666666674</v>
      </c>
      <c r="M144" t="s">
        <v>1009</v>
      </c>
    </row>
    <row r="145" spans="1:13" x14ac:dyDescent="0.25">
      <c r="A145" t="s">
        <v>1028</v>
      </c>
      <c r="B145" t="s">
        <v>1006</v>
      </c>
      <c r="C145" s="2">
        <v>45769.578119537036</v>
      </c>
      <c r="D145" s="2">
        <v>45761.614560185182</v>
      </c>
      <c r="E145" s="2">
        <v>45761.616076296297</v>
      </c>
      <c r="F145" t="s">
        <v>1007</v>
      </c>
      <c r="G145" t="s">
        <v>1254</v>
      </c>
      <c r="H145" t="s">
        <v>1098</v>
      </c>
      <c r="I145">
        <v>9</v>
      </c>
      <c r="J145">
        <v>45523</v>
      </c>
      <c r="K145">
        <v>0.5044212962962964</v>
      </c>
      <c r="L145">
        <v>0.5</v>
      </c>
      <c r="M145" t="s">
        <v>1009</v>
      </c>
    </row>
    <row r="146" spans="1:13" x14ac:dyDescent="0.25">
      <c r="A146" t="s">
        <v>1028</v>
      </c>
      <c r="B146" t="s">
        <v>1006</v>
      </c>
      <c r="C146" s="2">
        <v>45769.578119537036</v>
      </c>
      <c r="D146" s="2">
        <v>45761.614560185182</v>
      </c>
      <c r="E146" s="2">
        <v>45761.616076296297</v>
      </c>
      <c r="F146" t="s">
        <v>1007</v>
      </c>
      <c r="G146" t="s">
        <v>1255</v>
      </c>
      <c r="H146" t="s">
        <v>1256</v>
      </c>
      <c r="I146">
        <v>9</v>
      </c>
      <c r="J146">
        <v>45523</v>
      </c>
      <c r="K146">
        <v>0.70833333333333326</v>
      </c>
      <c r="L146">
        <v>0.70833333333333326</v>
      </c>
      <c r="M146" t="s">
        <v>1009</v>
      </c>
    </row>
    <row r="147" spans="1:13" x14ac:dyDescent="0.25">
      <c r="A147" t="s">
        <v>1028</v>
      </c>
      <c r="B147" t="s">
        <v>1006</v>
      </c>
      <c r="C147" s="2">
        <v>45769.578119537036</v>
      </c>
      <c r="D147" s="2">
        <v>45761.614560185182</v>
      </c>
      <c r="E147" s="2">
        <v>45761.616076296297</v>
      </c>
      <c r="F147" t="s">
        <v>1007</v>
      </c>
      <c r="G147" t="s">
        <v>1257</v>
      </c>
      <c r="H147" t="s">
        <v>1084</v>
      </c>
      <c r="I147">
        <v>9</v>
      </c>
      <c r="J147">
        <v>45527</v>
      </c>
      <c r="K147">
        <v>0.46180555555555558</v>
      </c>
      <c r="L147">
        <v>0.45833333333333326</v>
      </c>
      <c r="M147" t="s">
        <v>1010</v>
      </c>
    </row>
    <row r="148" spans="1:13" x14ac:dyDescent="0.25">
      <c r="A148" t="s">
        <v>1028</v>
      </c>
      <c r="B148" t="s">
        <v>1006</v>
      </c>
      <c r="C148" s="2">
        <v>45769.578119537036</v>
      </c>
      <c r="D148" s="2">
        <v>45761.614560185182</v>
      </c>
      <c r="E148" s="2">
        <v>45761.616076296297</v>
      </c>
      <c r="F148" t="s">
        <v>1007</v>
      </c>
      <c r="G148" t="s">
        <v>1258</v>
      </c>
      <c r="H148" t="s">
        <v>1259</v>
      </c>
      <c r="I148">
        <v>9</v>
      </c>
      <c r="J148">
        <v>45530</v>
      </c>
      <c r="K148">
        <v>6.25E-2</v>
      </c>
      <c r="L148">
        <v>4.1666666666666741E-2</v>
      </c>
      <c r="M148" t="s">
        <v>1010</v>
      </c>
    </row>
    <row r="149" spans="1:13" x14ac:dyDescent="0.25">
      <c r="A149" t="s">
        <v>1028</v>
      </c>
      <c r="B149" t="s">
        <v>1006</v>
      </c>
      <c r="C149" s="2">
        <v>45769.578119537036</v>
      </c>
      <c r="D149" s="2">
        <v>45761.614560185182</v>
      </c>
      <c r="E149" s="2">
        <v>45761.616076296297</v>
      </c>
      <c r="F149" t="s">
        <v>1007</v>
      </c>
      <c r="G149" t="s">
        <v>1260</v>
      </c>
      <c r="H149" t="s">
        <v>1261</v>
      </c>
      <c r="I149">
        <v>9</v>
      </c>
      <c r="J149">
        <v>45530</v>
      </c>
      <c r="K149">
        <v>0.125</v>
      </c>
      <c r="L149">
        <v>0.125</v>
      </c>
      <c r="M149" t="s">
        <v>1010</v>
      </c>
    </row>
    <row r="150" spans="1:13" x14ac:dyDescent="0.25">
      <c r="A150" t="s">
        <v>1028</v>
      </c>
      <c r="B150" t="s">
        <v>1006</v>
      </c>
      <c r="C150" s="2">
        <v>45769.578119537036</v>
      </c>
      <c r="D150" s="2">
        <v>45761.614560185182</v>
      </c>
      <c r="E150" s="2">
        <v>45761.616076296297</v>
      </c>
      <c r="F150" t="s">
        <v>1007</v>
      </c>
      <c r="G150" t="s">
        <v>1266</v>
      </c>
      <c r="H150" t="s">
        <v>1267</v>
      </c>
      <c r="I150">
        <v>9</v>
      </c>
      <c r="J150">
        <v>45532</v>
      </c>
      <c r="K150">
        <v>0.70833333333333326</v>
      </c>
      <c r="L150">
        <v>0.70833333333333326</v>
      </c>
      <c r="M150" t="s">
        <v>1009</v>
      </c>
    </row>
    <row r="151" spans="1:13" x14ac:dyDescent="0.25">
      <c r="A151" t="s">
        <v>1028</v>
      </c>
      <c r="B151" t="s">
        <v>1006</v>
      </c>
      <c r="C151" s="2">
        <v>45769.578119537036</v>
      </c>
      <c r="D151" s="2">
        <v>45761.614560185182</v>
      </c>
      <c r="E151" s="2">
        <v>45761.616076296297</v>
      </c>
      <c r="F151" t="s">
        <v>1007</v>
      </c>
      <c r="G151" t="s">
        <v>1262</v>
      </c>
      <c r="H151" t="s">
        <v>1263</v>
      </c>
      <c r="I151">
        <v>9</v>
      </c>
      <c r="J151">
        <v>45533</v>
      </c>
      <c r="K151">
        <v>0.17361111111111116</v>
      </c>
      <c r="L151">
        <v>0.16666666666666674</v>
      </c>
      <c r="M151" t="s">
        <v>1010</v>
      </c>
    </row>
    <row r="152" spans="1:13" x14ac:dyDescent="0.25">
      <c r="A152" t="s">
        <v>1028</v>
      </c>
      <c r="B152" t="s">
        <v>1006</v>
      </c>
      <c r="C152" s="2">
        <v>45769.578119537036</v>
      </c>
      <c r="D152" s="2">
        <v>45761.614560185182</v>
      </c>
      <c r="E152" s="2">
        <v>45761.616076296297</v>
      </c>
      <c r="F152" t="s">
        <v>1007</v>
      </c>
      <c r="G152" t="s">
        <v>1268</v>
      </c>
      <c r="H152" t="s">
        <v>1269</v>
      </c>
      <c r="I152">
        <v>9</v>
      </c>
      <c r="J152">
        <v>45533</v>
      </c>
      <c r="K152">
        <v>0.85416666666666674</v>
      </c>
      <c r="L152">
        <v>0.83333333333333326</v>
      </c>
      <c r="M152" t="s">
        <v>1008</v>
      </c>
    </row>
    <row r="153" spans="1:13" x14ac:dyDescent="0.25">
      <c r="A153" t="s">
        <v>1028</v>
      </c>
      <c r="B153" t="s">
        <v>1006</v>
      </c>
      <c r="C153" s="2">
        <v>45769.578119537036</v>
      </c>
      <c r="D153" s="2">
        <v>45761.614560185182</v>
      </c>
      <c r="E153" s="2">
        <v>45761.616076296297</v>
      </c>
      <c r="F153" t="s">
        <v>1007</v>
      </c>
      <c r="G153" t="s">
        <v>1264</v>
      </c>
      <c r="H153" t="s">
        <v>1265</v>
      </c>
      <c r="I153">
        <v>9</v>
      </c>
      <c r="J153">
        <v>45534</v>
      </c>
      <c r="K153">
        <v>0.54659722222222218</v>
      </c>
      <c r="L153">
        <v>0.54166666666666674</v>
      </c>
      <c r="M153" t="s">
        <v>1009</v>
      </c>
    </row>
    <row r="154" spans="1:13" x14ac:dyDescent="0.25">
      <c r="A154" t="s">
        <v>1028</v>
      </c>
      <c r="B154" t="s">
        <v>1006</v>
      </c>
      <c r="C154" s="2">
        <v>45769.578119537036</v>
      </c>
      <c r="D154" s="2">
        <v>45761.614560185182</v>
      </c>
      <c r="E154" s="2">
        <v>45761.616076296297</v>
      </c>
      <c r="F154" t="s">
        <v>1007</v>
      </c>
      <c r="G154" t="s">
        <v>1270</v>
      </c>
      <c r="H154" t="s">
        <v>1271</v>
      </c>
      <c r="I154">
        <v>9</v>
      </c>
      <c r="J154">
        <v>45536</v>
      </c>
      <c r="K154">
        <v>0.8278240740740741</v>
      </c>
      <c r="L154">
        <v>0.79166666666666674</v>
      </c>
      <c r="M154" t="s">
        <v>1008</v>
      </c>
    </row>
    <row r="155" spans="1:13" x14ac:dyDescent="0.25">
      <c r="A155" t="s">
        <v>1028</v>
      </c>
      <c r="B155" t="s">
        <v>1006</v>
      </c>
      <c r="C155" s="2">
        <v>45769.578119537036</v>
      </c>
      <c r="D155" s="2">
        <v>45761.614560185182</v>
      </c>
      <c r="E155" s="2">
        <v>45761.616076296297</v>
      </c>
      <c r="F155" t="s">
        <v>1007</v>
      </c>
      <c r="G155" t="s">
        <v>1272</v>
      </c>
      <c r="H155" t="s">
        <v>1273</v>
      </c>
      <c r="I155">
        <v>9</v>
      </c>
      <c r="J155">
        <v>45536</v>
      </c>
      <c r="K155">
        <v>0.6875</v>
      </c>
      <c r="L155">
        <v>0.66666666666666674</v>
      </c>
      <c r="M155" t="s">
        <v>1009</v>
      </c>
    </row>
    <row r="156" spans="1:13" x14ac:dyDescent="0.25">
      <c r="A156" t="s">
        <v>1028</v>
      </c>
      <c r="B156" t="s">
        <v>1006</v>
      </c>
      <c r="C156" s="2">
        <v>45769.578119537036</v>
      </c>
      <c r="D156" s="2">
        <v>45761.614560185182</v>
      </c>
      <c r="E156" s="2">
        <v>45761.616076296297</v>
      </c>
      <c r="F156" t="s">
        <v>1007</v>
      </c>
      <c r="G156" t="s">
        <v>1274</v>
      </c>
      <c r="H156" t="s">
        <v>1275</v>
      </c>
      <c r="I156">
        <v>9</v>
      </c>
      <c r="J156">
        <v>45537</v>
      </c>
      <c r="K156">
        <v>0.69373842592592583</v>
      </c>
      <c r="L156">
        <v>0.66666666666666674</v>
      </c>
      <c r="M156" t="s">
        <v>1009</v>
      </c>
    </row>
    <row r="157" spans="1:13" x14ac:dyDescent="0.25">
      <c r="A157" t="s">
        <v>1028</v>
      </c>
      <c r="B157" t="s">
        <v>1006</v>
      </c>
      <c r="C157" s="2">
        <v>45769.578119537036</v>
      </c>
      <c r="D157" s="2">
        <v>45761.614560185182</v>
      </c>
      <c r="E157" s="2">
        <v>45761.616076296297</v>
      </c>
      <c r="F157" t="s">
        <v>1007</v>
      </c>
      <c r="G157" t="s">
        <v>1276</v>
      </c>
      <c r="H157" t="s">
        <v>1277</v>
      </c>
      <c r="I157">
        <v>9</v>
      </c>
      <c r="J157">
        <v>45537</v>
      </c>
      <c r="K157">
        <v>0.938425925925926</v>
      </c>
      <c r="L157">
        <v>0.91666666666666674</v>
      </c>
      <c r="M157" t="s">
        <v>1008</v>
      </c>
    </row>
    <row r="158" spans="1:13" x14ac:dyDescent="0.25">
      <c r="A158" t="s">
        <v>1028</v>
      </c>
      <c r="B158" t="s">
        <v>1006</v>
      </c>
      <c r="C158" s="2">
        <v>45769.578119537036</v>
      </c>
      <c r="D158" s="2">
        <v>45761.614560185182</v>
      </c>
      <c r="E158" s="2">
        <v>45761.616076296297</v>
      </c>
      <c r="F158" t="s">
        <v>1007</v>
      </c>
      <c r="G158" t="s">
        <v>1278</v>
      </c>
      <c r="H158" t="s">
        <v>1156</v>
      </c>
      <c r="I158">
        <v>9</v>
      </c>
      <c r="J158">
        <v>45540</v>
      </c>
      <c r="K158">
        <v>0.79097222222222219</v>
      </c>
      <c r="L158">
        <v>0.75</v>
      </c>
      <c r="M158" t="s">
        <v>1008</v>
      </c>
    </row>
    <row r="159" spans="1:13" x14ac:dyDescent="0.25">
      <c r="A159" t="s">
        <v>1028</v>
      </c>
      <c r="B159" t="s">
        <v>1006</v>
      </c>
      <c r="C159" s="2">
        <v>45769.578119537036</v>
      </c>
      <c r="D159" s="2">
        <v>45761.614560185182</v>
      </c>
      <c r="E159" s="2">
        <v>45761.616076296297</v>
      </c>
      <c r="F159" t="s">
        <v>1007</v>
      </c>
      <c r="G159" t="s">
        <v>1279</v>
      </c>
      <c r="H159" t="s">
        <v>1280</v>
      </c>
      <c r="I159">
        <v>9</v>
      </c>
      <c r="J159">
        <v>45541</v>
      </c>
      <c r="K159">
        <v>0.74305555555555558</v>
      </c>
      <c r="L159">
        <v>0.70833333333333326</v>
      </c>
      <c r="M159" t="s">
        <v>1009</v>
      </c>
    </row>
    <row r="160" spans="1:13" x14ac:dyDescent="0.25">
      <c r="A160" t="s">
        <v>1028</v>
      </c>
      <c r="B160" t="s">
        <v>1006</v>
      </c>
      <c r="C160" s="2">
        <v>45769.578119537036</v>
      </c>
      <c r="D160" s="2">
        <v>45761.614560185182</v>
      </c>
      <c r="E160" s="2">
        <v>45761.616076296297</v>
      </c>
      <c r="F160" t="s">
        <v>1007</v>
      </c>
      <c r="G160" t="s">
        <v>1281</v>
      </c>
      <c r="H160" t="s">
        <v>1282</v>
      </c>
      <c r="I160">
        <v>9</v>
      </c>
      <c r="J160">
        <v>45545</v>
      </c>
      <c r="K160">
        <v>2.1481481481481435E-2</v>
      </c>
      <c r="L160">
        <v>0</v>
      </c>
      <c r="M160" t="s">
        <v>1010</v>
      </c>
    </row>
    <row r="161" spans="1:13" x14ac:dyDescent="0.25">
      <c r="A161" t="s">
        <v>1028</v>
      </c>
      <c r="B161" t="s">
        <v>1006</v>
      </c>
      <c r="C161" s="2">
        <v>45769.578119537036</v>
      </c>
      <c r="D161" s="2">
        <v>45761.614560185182</v>
      </c>
      <c r="E161" s="2">
        <v>45761.616076296297</v>
      </c>
      <c r="F161" t="s">
        <v>1007</v>
      </c>
      <c r="G161" t="s">
        <v>1283</v>
      </c>
      <c r="H161" t="s">
        <v>848</v>
      </c>
      <c r="I161">
        <v>9</v>
      </c>
      <c r="J161">
        <v>45547</v>
      </c>
      <c r="K161">
        <v>0.17847222222222214</v>
      </c>
      <c r="L161">
        <v>0.16666666666666674</v>
      </c>
      <c r="M161" t="s">
        <v>1010</v>
      </c>
    </row>
    <row r="162" spans="1:13" x14ac:dyDescent="0.25">
      <c r="A162" t="s">
        <v>1028</v>
      </c>
      <c r="B162" t="s">
        <v>1006</v>
      </c>
      <c r="C162" s="2">
        <v>45769.578119537036</v>
      </c>
      <c r="D162" s="2">
        <v>45761.614560185182</v>
      </c>
      <c r="E162" s="2">
        <v>45761.616076296297</v>
      </c>
      <c r="F162" t="s">
        <v>1007</v>
      </c>
      <c r="G162" t="s">
        <v>1284</v>
      </c>
      <c r="H162" t="s">
        <v>1285</v>
      </c>
      <c r="I162">
        <v>9</v>
      </c>
      <c r="J162">
        <v>45547</v>
      </c>
      <c r="K162">
        <v>0.89583333333333326</v>
      </c>
      <c r="L162">
        <v>0.875</v>
      </c>
      <c r="M162" t="s">
        <v>1008</v>
      </c>
    </row>
    <row r="163" spans="1:13" x14ac:dyDescent="0.25">
      <c r="A163" t="s">
        <v>1028</v>
      </c>
      <c r="B163" t="s">
        <v>1006</v>
      </c>
      <c r="C163" s="2">
        <v>45769.578119537036</v>
      </c>
      <c r="D163" s="2">
        <v>45761.614560185182</v>
      </c>
      <c r="E163" s="2">
        <v>45761.616076296297</v>
      </c>
      <c r="F163" t="s">
        <v>1007</v>
      </c>
      <c r="G163" t="s">
        <v>1287</v>
      </c>
      <c r="H163" t="s">
        <v>260</v>
      </c>
      <c r="I163">
        <v>9</v>
      </c>
      <c r="J163">
        <v>45549</v>
      </c>
      <c r="K163">
        <v>0.33333333333333326</v>
      </c>
      <c r="L163">
        <v>0.33333333333333326</v>
      </c>
      <c r="M163" t="s">
        <v>1010</v>
      </c>
    </row>
    <row r="164" spans="1:13" x14ac:dyDescent="0.25">
      <c r="A164" t="s">
        <v>1028</v>
      </c>
      <c r="B164" t="s">
        <v>1006</v>
      </c>
      <c r="C164" s="2">
        <v>45769.578119537036</v>
      </c>
      <c r="D164" s="2">
        <v>45761.614560185182</v>
      </c>
      <c r="E164" s="2">
        <v>45761.616076296297</v>
      </c>
      <c r="F164" t="s">
        <v>1007</v>
      </c>
      <c r="G164" t="s">
        <v>1286</v>
      </c>
      <c r="H164" t="s">
        <v>326</v>
      </c>
      <c r="I164">
        <v>9</v>
      </c>
      <c r="J164">
        <v>45551</v>
      </c>
      <c r="K164">
        <v>5.3611111111111054E-2</v>
      </c>
      <c r="L164">
        <v>4.1666666666666741E-2</v>
      </c>
      <c r="M164" t="s">
        <v>1010</v>
      </c>
    </row>
    <row r="165" spans="1:13" x14ac:dyDescent="0.25">
      <c r="A165" t="s">
        <v>1028</v>
      </c>
      <c r="B165" t="s">
        <v>1006</v>
      </c>
      <c r="C165" s="2">
        <v>45769.578119537036</v>
      </c>
      <c r="D165" s="2">
        <v>45761.614560185182</v>
      </c>
      <c r="E165" s="2">
        <v>45761.616076296297</v>
      </c>
      <c r="F165" t="s">
        <v>1007</v>
      </c>
      <c r="G165" t="s">
        <v>1288</v>
      </c>
      <c r="H165" t="s">
        <v>1289</v>
      </c>
      <c r="I165">
        <v>9</v>
      </c>
      <c r="J165">
        <v>45555</v>
      </c>
      <c r="K165">
        <v>0.41319444444444442</v>
      </c>
      <c r="L165">
        <v>0.375</v>
      </c>
      <c r="M165" t="s">
        <v>1010</v>
      </c>
    </row>
    <row r="166" spans="1:13" x14ac:dyDescent="0.25">
      <c r="A166" t="s">
        <v>1028</v>
      </c>
      <c r="B166" t="s">
        <v>1006</v>
      </c>
      <c r="C166" s="2">
        <v>45769.578119537036</v>
      </c>
      <c r="D166" s="2">
        <v>45761.614560185182</v>
      </c>
      <c r="E166" s="2">
        <v>45761.616076296297</v>
      </c>
      <c r="F166" t="s">
        <v>1007</v>
      </c>
      <c r="G166" t="s">
        <v>1290</v>
      </c>
      <c r="H166" t="s">
        <v>1291</v>
      </c>
      <c r="I166">
        <v>9</v>
      </c>
      <c r="J166">
        <v>45555</v>
      </c>
      <c r="K166">
        <v>0.64583333333333326</v>
      </c>
      <c r="L166">
        <v>0.625</v>
      </c>
      <c r="M166" t="s">
        <v>1009</v>
      </c>
    </row>
    <row r="167" spans="1:13" x14ac:dyDescent="0.25">
      <c r="A167" t="s">
        <v>1028</v>
      </c>
      <c r="B167" t="s">
        <v>1006</v>
      </c>
      <c r="C167" s="2">
        <v>45769.578119537036</v>
      </c>
      <c r="D167" s="2">
        <v>45761.614560185182</v>
      </c>
      <c r="E167" s="2">
        <v>45761.616076296297</v>
      </c>
      <c r="F167" t="s">
        <v>1007</v>
      </c>
      <c r="G167" t="s">
        <v>1296</v>
      </c>
      <c r="H167" t="s">
        <v>1084</v>
      </c>
      <c r="I167">
        <v>9</v>
      </c>
      <c r="J167">
        <v>45555</v>
      </c>
      <c r="K167">
        <v>0.625</v>
      </c>
      <c r="L167">
        <v>0.625</v>
      </c>
      <c r="M167" t="s">
        <v>1009</v>
      </c>
    </row>
    <row r="168" spans="1:13" x14ac:dyDescent="0.25">
      <c r="A168" t="s">
        <v>1028</v>
      </c>
      <c r="B168" t="s">
        <v>1006</v>
      </c>
      <c r="C168" s="2">
        <v>45769.578119537036</v>
      </c>
      <c r="D168" s="2">
        <v>45761.614560185182</v>
      </c>
      <c r="E168" s="2">
        <v>45761.616076296297</v>
      </c>
      <c r="F168" t="s">
        <v>1007</v>
      </c>
      <c r="G168" t="s">
        <v>1292</v>
      </c>
      <c r="H168" t="s">
        <v>1293</v>
      </c>
      <c r="I168">
        <v>9</v>
      </c>
      <c r="J168">
        <v>45556</v>
      </c>
      <c r="K168">
        <v>0.64583333333333326</v>
      </c>
      <c r="L168">
        <v>0.625</v>
      </c>
      <c r="M168" t="s">
        <v>1009</v>
      </c>
    </row>
    <row r="169" spans="1:13" x14ac:dyDescent="0.25">
      <c r="A169" t="s">
        <v>1028</v>
      </c>
      <c r="B169" t="s">
        <v>1006</v>
      </c>
      <c r="C169" s="2">
        <v>45769.578119537036</v>
      </c>
      <c r="D169" s="2">
        <v>45761.614560185182</v>
      </c>
      <c r="E169" s="2">
        <v>45761.616076296297</v>
      </c>
      <c r="F169" t="s">
        <v>1007</v>
      </c>
      <c r="G169" t="s">
        <v>1294</v>
      </c>
      <c r="H169" t="s">
        <v>1295</v>
      </c>
      <c r="I169">
        <v>9</v>
      </c>
      <c r="J169">
        <v>45556</v>
      </c>
      <c r="K169">
        <v>0.625</v>
      </c>
      <c r="L169">
        <v>0.625</v>
      </c>
      <c r="M169" t="s">
        <v>1009</v>
      </c>
    </row>
    <row r="170" spans="1:13" x14ac:dyDescent="0.25">
      <c r="A170" t="s">
        <v>1028</v>
      </c>
      <c r="B170" t="s">
        <v>1006</v>
      </c>
      <c r="C170" s="2">
        <v>45769.578119537036</v>
      </c>
      <c r="D170" s="2">
        <v>45761.614560185182</v>
      </c>
      <c r="E170" s="2">
        <v>45761.616076296297</v>
      </c>
      <c r="F170" t="s">
        <v>1007</v>
      </c>
      <c r="G170" t="s">
        <v>1297</v>
      </c>
      <c r="H170" t="s">
        <v>1298</v>
      </c>
      <c r="I170">
        <v>9</v>
      </c>
      <c r="J170">
        <v>45557</v>
      </c>
      <c r="K170">
        <v>0.875</v>
      </c>
      <c r="L170">
        <v>0.875</v>
      </c>
      <c r="M170" t="s">
        <v>1008</v>
      </c>
    </row>
    <row r="171" spans="1:13" x14ac:dyDescent="0.25">
      <c r="A171" t="s">
        <v>1028</v>
      </c>
      <c r="B171" t="s">
        <v>1006</v>
      </c>
      <c r="C171" s="2">
        <v>45769.578119537036</v>
      </c>
      <c r="D171" s="2">
        <v>45761.614560185182</v>
      </c>
      <c r="E171" s="2">
        <v>45761.616076296297</v>
      </c>
      <c r="F171" t="s">
        <v>1007</v>
      </c>
      <c r="G171" t="s">
        <v>1299</v>
      </c>
      <c r="H171" t="s">
        <v>326</v>
      </c>
      <c r="I171">
        <v>9</v>
      </c>
      <c r="J171">
        <v>45557</v>
      </c>
      <c r="K171">
        <v>0.66319444444444442</v>
      </c>
      <c r="L171">
        <v>0.625</v>
      </c>
      <c r="M171" t="s">
        <v>1009</v>
      </c>
    </row>
    <row r="172" spans="1:13" x14ac:dyDescent="0.25">
      <c r="A172" t="s">
        <v>1028</v>
      </c>
      <c r="B172" t="s">
        <v>1006</v>
      </c>
      <c r="C172" s="2">
        <v>45769.578119537036</v>
      </c>
      <c r="D172" s="2">
        <v>45761.614560185182</v>
      </c>
      <c r="E172" s="2">
        <v>45761.616076296297</v>
      </c>
      <c r="F172" t="s">
        <v>1007</v>
      </c>
      <c r="G172" t="s">
        <v>1300</v>
      </c>
      <c r="H172" t="s">
        <v>1301</v>
      </c>
      <c r="I172">
        <v>9</v>
      </c>
      <c r="J172">
        <v>45558</v>
      </c>
      <c r="K172">
        <v>6.944444444444442E-2</v>
      </c>
      <c r="L172">
        <v>4.1666666666666741E-2</v>
      </c>
      <c r="M172" t="s">
        <v>1010</v>
      </c>
    </row>
    <row r="173" spans="1:13" x14ac:dyDescent="0.25">
      <c r="A173" t="s">
        <v>1028</v>
      </c>
      <c r="B173" t="s">
        <v>1006</v>
      </c>
      <c r="C173" s="2">
        <v>45769.578119537036</v>
      </c>
      <c r="D173" s="2">
        <v>45761.614560185182</v>
      </c>
      <c r="E173" s="2">
        <v>45761.616076296297</v>
      </c>
      <c r="F173" t="s">
        <v>1007</v>
      </c>
      <c r="G173" t="s">
        <v>1302</v>
      </c>
      <c r="H173" t="s">
        <v>1303</v>
      </c>
      <c r="I173">
        <v>9</v>
      </c>
      <c r="J173">
        <v>45560</v>
      </c>
      <c r="K173">
        <v>0</v>
      </c>
      <c r="L173">
        <v>0</v>
      </c>
      <c r="M173" t="s">
        <v>1010</v>
      </c>
    </row>
    <row r="174" spans="1:13" x14ac:dyDescent="0.25">
      <c r="A174" t="s">
        <v>1028</v>
      </c>
      <c r="B174" t="s">
        <v>1006</v>
      </c>
      <c r="C174" s="2">
        <v>45769.578119537036</v>
      </c>
      <c r="D174" s="2">
        <v>45761.614560185182</v>
      </c>
      <c r="E174" s="2">
        <v>45761.616076296297</v>
      </c>
      <c r="F174" t="s">
        <v>1007</v>
      </c>
      <c r="G174" t="s">
        <v>1304</v>
      </c>
      <c r="H174" t="s">
        <v>362</v>
      </c>
      <c r="I174">
        <v>9</v>
      </c>
      <c r="J174">
        <v>45561</v>
      </c>
      <c r="K174">
        <v>0.41736111111111107</v>
      </c>
      <c r="L174">
        <v>0.41666666666666674</v>
      </c>
      <c r="M174" t="s">
        <v>1010</v>
      </c>
    </row>
    <row r="175" spans="1:13" x14ac:dyDescent="0.25">
      <c r="A175" t="s">
        <v>1028</v>
      </c>
      <c r="B175" t="s">
        <v>1006</v>
      </c>
      <c r="C175" s="2">
        <v>45769.578119537036</v>
      </c>
      <c r="D175" s="2">
        <v>45761.614560185182</v>
      </c>
      <c r="E175" s="2">
        <v>45761.616076296297</v>
      </c>
      <c r="F175" t="s">
        <v>1007</v>
      </c>
      <c r="G175" t="s">
        <v>1305</v>
      </c>
      <c r="H175" t="s">
        <v>1052</v>
      </c>
      <c r="I175">
        <v>9</v>
      </c>
      <c r="J175">
        <v>45562</v>
      </c>
      <c r="K175">
        <v>0.39583333333333326</v>
      </c>
      <c r="L175">
        <v>0.375</v>
      </c>
      <c r="M175" t="s">
        <v>1010</v>
      </c>
    </row>
    <row r="176" spans="1:13" x14ac:dyDescent="0.25">
      <c r="A176" t="s">
        <v>1028</v>
      </c>
      <c r="B176" t="s">
        <v>1006</v>
      </c>
      <c r="C176" s="2">
        <v>45769.578119537036</v>
      </c>
      <c r="D176" s="2">
        <v>45761.614560185182</v>
      </c>
      <c r="E176" s="2">
        <v>45761.616076296297</v>
      </c>
      <c r="F176" t="s">
        <v>1007</v>
      </c>
      <c r="G176" t="s">
        <v>1306</v>
      </c>
      <c r="H176" t="s">
        <v>540</v>
      </c>
      <c r="I176">
        <v>9</v>
      </c>
      <c r="J176">
        <v>45562</v>
      </c>
      <c r="K176">
        <v>0.51458333333333339</v>
      </c>
      <c r="L176">
        <v>0.5</v>
      </c>
      <c r="M176" t="s">
        <v>1009</v>
      </c>
    </row>
    <row r="177" spans="1:13" x14ac:dyDescent="0.25">
      <c r="A177" t="s">
        <v>1028</v>
      </c>
      <c r="B177" t="s">
        <v>1006</v>
      </c>
      <c r="C177" s="2">
        <v>45769.578119537036</v>
      </c>
      <c r="D177" s="2">
        <v>45761.614560185182</v>
      </c>
      <c r="E177" s="2">
        <v>45761.616076296297</v>
      </c>
      <c r="F177" t="s">
        <v>1007</v>
      </c>
      <c r="G177" t="s">
        <v>1307</v>
      </c>
      <c r="H177" t="s">
        <v>1280</v>
      </c>
      <c r="I177">
        <v>9</v>
      </c>
      <c r="J177">
        <v>45562</v>
      </c>
      <c r="K177">
        <v>0.75</v>
      </c>
      <c r="L177">
        <v>0.75</v>
      </c>
      <c r="M177" t="s">
        <v>1008</v>
      </c>
    </row>
    <row r="178" spans="1:13" x14ac:dyDescent="0.25">
      <c r="A178" t="s">
        <v>1028</v>
      </c>
      <c r="B178" t="s">
        <v>1006</v>
      </c>
      <c r="C178" s="2">
        <v>45769.578119537036</v>
      </c>
      <c r="D178" s="2">
        <v>45761.614560185182</v>
      </c>
      <c r="E178" s="2">
        <v>45761.616076296297</v>
      </c>
      <c r="F178" t="s">
        <v>1007</v>
      </c>
      <c r="G178" t="s">
        <v>1310</v>
      </c>
      <c r="H178" t="s">
        <v>1165</v>
      </c>
      <c r="I178">
        <v>9</v>
      </c>
      <c r="J178">
        <v>45563</v>
      </c>
      <c r="K178">
        <v>0.9604166666666667</v>
      </c>
      <c r="L178">
        <v>0.95833333333333326</v>
      </c>
      <c r="M178" t="s">
        <v>1008</v>
      </c>
    </row>
    <row r="179" spans="1:13" x14ac:dyDescent="0.25">
      <c r="A179" t="s">
        <v>1028</v>
      </c>
      <c r="B179" t="s">
        <v>1006</v>
      </c>
      <c r="C179" s="2">
        <v>45769.578119537036</v>
      </c>
      <c r="D179" s="2">
        <v>45761.614560185182</v>
      </c>
      <c r="E179" s="2">
        <v>45761.616076296297</v>
      </c>
      <c r="F179" t="s">
        <v>1007</v>
      </c>
      <c r="G179" t="s">
        <v>1308</v>
      </c>
      <c r="H179" t="s">
        <v>1309</v>
      </c>
      <c r="I179">
        <v>9</v>
      </c>
      <c r="J179">
        <v>45564</v>
      </c>
      <c r="K179">
        <v>0.875</v>
      </c>
      <c r="L179">
        <v>0.875</v>
      </c>
      <c r="M179" t="s">
        <v>1008</v>
      </c>
    </row>
    <row r="180" spans="1:13" x14ac:dyDescent="0.25">
      <c r="A180" t="s">
        <v>1028</v>
      </c>
      <c r="B180" t="s">
        <v>1006</v>
      </c>
      <c r="C180" s="2">
        <v>45769.578119537036</v>
      </c>
      <c r="D180" s="2">
        <v>45761.614560185182</v>
      </c>
      <c r="E180" s="2">
        <v>45761.616076296297</v>
      </c>
      <c r="F180" t="s">
        <v>1007</v>
      </c>
      <c r="G180" t="s">
        <v>1311</v>
      </c>
      <c r="H180" t="s">
        <v>1312</v>
      </c>
      <c r="I180">
        <v>9</v>
      </c>
      <c r="J180">
        <v>45565</v>
      </c>
      <c r="K180">
        <v>0.95833333333333326</v>
      </c>
      <c r="L180">
        <v>0.95833333333333326</v>
      </c>
      <c r="M180" t="s">
        <v>1008</v>
      </c>
    </row>
    <row r="181" spans="1:13" x14ac:dyDescent="0.25">
      <c r="A181" t="s">
        <v>1028</v>
      </c>
      <c r="B181" t="s">
        <v>1006</v>
      </c>
      <c r="C181" s="2">
        <v>45769.578119537036</v>
      </c>
      <c r="D181" s="2">
        <v>45761.614560185182</v>
      </c>
      <c r="E181" s="2">
        <v>45761.616076296297</v>
      </c>
      <c r="F181" t="s">
        <v>1007</v>
      </c>
      <c r="G181" t="s">
        <v>1313</v>
      </c>
      <c r="H181" t="s">
        <v>1314</v>
      </c>
      <c r="I181">
        <v>9</v>
      </c>
      <c r="J181">
        <v>45566</v>
      </c>
      <c r="K181">
        <v>0.125</v>
      </c>
      <c r="L181">
        <v>0.125</v>
      </c>
      <c r="M181" t="s">
        <v>1010</v>
      </c>
    </row>
    <row r="182" spans="1:13" x14ac:dyDescent="0.25">
      <c r="A182" t="s">
        <v>1028</v>
      </c>
      <c r="B182" t="s">
        <v>1006</v>
      </c>
      <c r="C182" s="2">
        <v>45769.578119537036</v>
      </c>
      <c r="D182" s="2">
        <v>45761.614560185182</v>
      </c>
      <c r="E182" s="2">
        <v>45761.616076296297</v>
      </c>
      <c r="F182" t="s">
        <v>1007</v>
      </c>
      <c r="G182" t="s">
        <v>1315</v>
      </c>
      <c r="H182" t="s">
        <v>1316</v>
      </c>
      <c r="I182">
        <v>9</v>
      </c>
      <c r="J182">
        <v>45569</v>
      </c>
      <c r="K182">
        <v>0.48958333333333326</v>
      </c>
      <c r="L182">
        <v>0.45833333333333326</v>
      </c>
      <c r="M182" t="s">
        <v>1010</v>
      </c>
    </row>
    <row r="183" spans="1:13" x14ac:dyDescent="0.25">
      <c r="A183" t="s">
        <v>1028</v>
      </c>
      <c r="B183" t="s">
        <v>1006</v>
      </c>
      <c r="C183" s="2">
        <v>45769.578119537036</v>
      </c>
      <c r="D183" s="2">
        <v>45761.614560185182</v>
      </c>
      <c r="E183" s="2">
        <v>45761.616076296297</v>
      </c>
      <c r="F183" t="s">
        <v>1007</v>
      </c>
      <c r="G183" t="s">
        <v>1317</v>
      </c>
      <c r="H183" t="s">
        <v>1267</v>
      </c>
      <c r="I183">
        <v>9</v>
      </c>
      <c r="J183">
        <v>45575</v>
      </c>
      <c r="K183">
        <v>0.82638888888888884</v>
      </c>
      <c r="L183">
        <v>0.79166666666666674</v>
      </c>
      <c r="M183" t="s">
        <v>1008</v>
      </c>
    </row>
    <row r="184" spans="1:13" x14ac:dyDescent="0.25">
      <c r="A184" t="s">
        <v>1028</v>
      </c>
      <c r="B184" t="s">
        <v>1006</v>
      </c>
      <c r="C184" s="2">
        <v>45769.578119537036</v>
      </c>
      <c r="D184" s="2">
        <v>45761.614560185182</v>
      </c>
      <c r="E184" s="2">
        <v>45761.616076296297</v>
      </c>
      <c r="F184" t="s">
        <v>1007</v>
      </c>
      <c r="G184" t="s">
        <v>1318</v>
      </c>
      <c r="H184" t="s">
        <v>1319</v>
      </c>
      <c r="I184">
        <v>9</v>
      </c>
      <c r="J184">
        <v>45577</v>
      </c>
      <c r="K184">
        <v>0</v>
      </c>
      <c r="L184">
        <v>0</v>
      </c>
      <c r="M184" t="s">
        <v>1010</v>
      </c>
    </row>
    <row r="185" spans="1:13" x14ac:dyDescent="0.25">
      <c r="A185" t="s">
        <v>1028</v>
      </c>
      <c r="B185" t="s">
        <v>1006</v>
      </c>
      <c r="C185" s="2">
        <v>45769.578119537036</v>
      </c>
      <c r="D185" s="2">
        <v>45761.614560185182</v>
      </c>
      <c r="E185" s="2">
        <v>45761.616076296297</v>
      </c>
      <c r="F185" t="s">
        <v>1007</v>
      </c>
      <c r="G185" t="s">
        <v>1320</v>
      </c>
      <c r="H185" t="s">
        <v>1321</v>
      </c>
      <c r="I185">
        <v>9</v>
      </c>
      <c r="J185">
        <v>45577</v>
      </c>
      <c r="K185">
        <v>0.88888888888888884</v>
      </c>
      <c r="L185">
        <v>0.875</v>
      </c>
      <c r="M185" t="s">
        <v>1008</v>
      </c>
    </row>
    <row r="186" spans="1:13" x14ac:dyDescent="0.25">
      <c r="A186" t="s">
        <v>1028</v>
      </c>
      <c r="B186" t="s">
        <v>1006</v>
      </c>
      <c r="C186" s="2">
        <v>45769.578119537036</v>
      </c>
      <c r="D186" s="2">
        <v>45761.614560185182</v>
      </c>
      <c r="E186" s="2">
        <v>45761.616076296297</v>
      </c>
      <c r="F186" t="s">
        <v>1007</v>
      </c>
      <c r="G186" t="s">
        <v>1322</v>
      </c>
      <c r="H186" t="s">
        <v>1323</v>
      </c>
      <c r="I186">
        <v>9</v>
      </c>
      <c r="J186">
        <v>45577</v>
      </c>
      <c r="K186">
        <v>0.89583333333333326</v>
      </c>
      <c r="L186">
        <v>0.875</v>
      </c>
      <c r="M186" t="s">
        <v>1008</v>
      </c>
    </row>
    <row r="187" spans="1:13" x14ac:dyDescent="0.25">
      <c r="A187" t="s">
        <v>1028</v>
      </c>
      <c r="B187" t="s">
        <v>1006</v>
      </c>
      <c r="C187" s="2">
        <v>45769.578119537036</v>
      </c>
      <c r="D187" s="2">
        <v>45761.614560185182</v>
      </c>
      <c r="E187" s="2">
        <v>45761.616076296297</v>
      </c>
      <c r="F187" t="s">
        <v>1007</v>
      </c>
      <c r="G187" t="s">
        <v>1324</v>
      </c>
      <c r="H187" t="s">
        <v>1325</v>
      </c>
      <c r="I187">
        <v>9</v>
      </c>
      <c r="J187">
        <v>45579</v>
      </c>
      <c r="K187">
        <v>0.7931597222222222</v>
      </c>
      <c r="L187">
        <v>0.79166666666666674</v>
      </c>
      <c r="M187" t="s">
        <v>1008</v>
      </c>
    </row>
    <row r="188" spans="1:13" x14ac:dyDescent="0.25">
      <c r="A188" t="s">
        <v>1028</v>
      </c>
      <c r="B188" t="s">
        <v>1006</v>
      </c>
      <c r="C188" s="2">
        <v>45769.578119537036</v>
      </c>
      <c r="D188" s="2">
        <v>45761.614560185182</v>
      </c>
      <c r="E188" s="2">
        <v>45761.616076296297</v>
      </c>
      <c r="F188" t="s">
        <v>1007</v>
      </c>
      <c r="G188" t="s">
        <v>1330</v>
      </c>
      <c r="H188" t="s">
        <v>1331</v>
      </c>
      <c r="I188">
        <v>9</v>
      </c>
      <c r="J188">
        <v>45580</v>
      </c>
      <c r="K188">
        <v>0.97569444444444442</v>
      </c>
      <c r="L188">
        <v>0.95833333333333326</v>
      </c>
      <c r="M188" t="s">
        <v>1008</v>
      </c>
    </row>
    <row r="189" spans="1:13" x14ac:dyDescent="0.25">
      <c r="A189" t="s">
        <v>1028</v>
      </c>
      <c r="B189" t="s">
        <v>1006</v>
      </c>
      <c r="C189" s="2">
        <v>45769.578119537036</v>
      </c>
      <c r="D189" s="2">
        <v>45761.614560185182</v>
      </c>
      <c r="E189" s="2">
        <v>45761.616076296297</v>
      </c>
      <c r="F189" t="s">
        <v>1007</v>
      </c>
      <c r="G189" t="s">
        <v>1406</v>
      </c>
      <c r="H189" t="s">
        <v>401</v>
      </c>
      <c r="I189">
        <v>9</v>
      </c>
      <c r="J189">
        <v>45582</v>
      </c>
      <c r="K189">
        <v>0.54861111111111116</v>
      </c>
      <c r="L189">
        <v>0.54166666666666674</v>
      </c>
      <c r="M189" t="s">
        <v>1009</v>
      </c>
    </row>
    <row r="190" spans="1:13" x14ac:dyDescent="0.25">
      <c r="A190" t="s">
        <v>1028</v>
      </c>
      <c r="B190" t="s">
        <v>1006</v>
      </c>
      <c r="C190" s="2">
        <v>45769.578119537036</v>
      </c>
      <c r="D190" s="2">
        <v>45761.614560185182</v>
      </c>
      <c r="E190" s="2">
        <v>45761.616076296297</v>
      </c>
      <c r="F190" t="s">
        <v>1007</v>
      </c>
      <c r="G190" t="s">
        <v>1327</v>
      </c>
      <c r="H190" t="s">
        <v>1328</v>
      </c>
      <c r="I190">
        <v>9</v>
      </c>
      <c r="J190">
        <v>45583</v>
      </c>
      <c r="K190">
        <v>0.85416666666666674</v>
      </c>
      <c r="L190">
        <v>0.83333333333333326</v>
      </c>
      <c r="M190" t="s">
        <v>1008</v>
      </c>
    </row>
    <row r="191" spans="1:13" x14ac:dyDescent="0.25">
      <c r="A191" t="s">
        <v>1028</v>
      </c>
      <c r="B191" t="s">
        <v>1006</v>
      </c>
      <c r="C191" s="2">
        <v>45769.578119537036</v>
      </c>
      <c r="D191" s="2">
        <v>45761.614560185182</v>
      </c>
      <c r="E191" s="2">
        <v>45761.616076296297</v>
      </c>
      <c r="F191" t="s">
        <v>1007</v>
      </c>
      <c r="G191" t="s">
        <v>1329</v>
      </c>
      <c r="H191" t="s">
        <v>1084</v>
      </c>
      <c r="I191">
        <v>9</v>
      </c>
      <c r="J191">
        <v>45585</v>
      </c>
      <c r="K191">
        <v>0.8125</v>
      </c>
      <c r="L191">
        <v>0.79166666666666674</v>
      </c>
      <c r="M191" t="s">
        <v>1008</v>
      </c>
    </row>
    <row r="192" spans="1:13" x14ac:dyDescent="0.25">
      <c r="A192" t="s">
        <v>1028</v>
      </c>
      <c r="B192" t="s">
        <v>1006</v>
      </c>
      <c r="C192" s="2">
        <v>45769.578119537036</v>
      </c>
      <c r="D192" s="2">
        <v>45761.614560185182</v>
      </c>
      <c r="E192" s="2">
        <v>45761.616076296297</v>
      </c>
      <c r="F192" t="s">
        <v>1007</v>
      </c>
      <c r="G192" t="s">
        <v>1337</v>
      </c>
      <c r="H192" t="s">
        <v>401</v>
      </c>
      <c r="I192">
        <v>9</v>
      </c>
      <c r="J192">
        <v>45586</v>
      </c>
      <c r="K192">
        <v>0.54871527777777773</v>
      </c>
      <c r="L192">
        <v>0.54166666666666674</v>
      </c>
      <c r="M192" t="s">
        <v>1009</v>
      </c>
    </row>
    <row r="193" spans="1:13" x14ac:dyDescent="0.25">
      <c r="A193" t="s">
        <v>1028</v>
      </c>
      <c r="B193" t="s">
        <v>1006</v>
      </c>
      <c r="C193" s="2">
        <v>45769.578119537036</v>
      </c>
      <c r="D193" s="2">
        <v>45761.614560185182</v>
      </c>
      <c r="E193" s="2">
        <v>45761.616076296297</v>
      </c>
      <c r="F193" t="s">
        <v>1007</v>
      </c>
      <c r="G193" t="s">
        <v>1332</v>
      </c>
      <c r="H193" t="s">
        <v>401</v>
      </c>
      <c r="I193">
        <v>9</v>
      </c>
      <c r="J193">
        <v>45588</v>
      </c>
      <c r="K193">
        <v>0.52083333333333326</v>
      </c>
      <c r="L193">
        <v>0.5</v>
      </c>
      <c r="M193" t="s">
        <v>1009</v>
      </c>
    </row>
    <row r="194" spans="1:13" x14ac:dyDescent="0.25">
      <c r="A194" t="s">
        <v>1028</v>
      </c>
      <c r="B194" t="s">
        <v>1006</v>
      </c>
      <c r="C194" s="2">
        <v>45769.578119537036</v>
      </c>
      <c r="D194" s="2">
        <v>45761.614560185182</v>
      </c>
      <c r="E194" s="2">
        <v>45761.616076296297</v>
      </c>
      <c r="F194" t="s">
        <v>1007</v>
      </c>
      <c r="G194" t="s">
        <v>1333</v>
      </c>
      <c r="H194" t="s">
        <v>362</v>
      </c>
      <c r="I194">
        <v>9</v>
      </c>
      <c r="J194">
        <v>45589</v>
      </c>
      <c r="K194">
        <v>0.49722222222222223</v>
      </c>
      <c r="L194">
        <v>0.45833333333333326</v>
      </c>
      <c r="M194" t="s">
        <v>1010</v>
      </c>
    </row>
    <row r="195" spans="1:13" x14ac:dyDescent="0.25">
      <c r="A195" t="s">
        <v>1028</v>
      </c>
      <c r="B195" t="s">
        <v>1006</v>
      </c>
      <c r="C195" s="2">
        <v>45769.578119537036</v>
      </c>
      <c r="D195" s="2">
        <v>45761.614560185182</v>
      </c>
      <c r="E195" s="2">
        <v>45761.616076296297</v>
      </c>
      <c r="F195" t="s">
        <v>1007</v>
      </c>
      <c r="G195" t="s">
        <v>1334</v>
      </c>
      <c r="H195" t="s">
        <v>1335</v>
      </c>
      <c r="I195">
        <v>9</v>
      </c>
      <c r="J195">
        <v>45590</v>
      </c>
      <c r="K195">
        <v>0.54236111111111107</v>
      </c>
      <c r="L195">
        <v>0.54166666666666674</v>
      </c>
      <c r="M195" t="s">
        <v>1009</v>
      </c>
    </row>
    <row r="196" spans="1:13" x14ac:dyDescent="0.25">
      <c r="A196" t="s">
        <v>1028</v>
      </c>
      <c r="B196" t="s">
        <v>1006</v>
      </c>
      <c r="C196" s="2">
        <v>45769.578119537036</v>
      </c>
      <c r="D196" s="2">
        <v>45761.614560185182</v>
      </c>
      <c r="E196" s="2">
        <v>45761.616076296297</v>
      </c>
      <c r="F196" t="s">
        <v>1007</v>
      </c>
      <c r="G196" t="s">
        <v>1336</v>
      </c>
      <c r="H196" t="s">
        <v>362</v>
      </c>
      <c r="I196">
        <v>9</v>
      </c>
      <c r="J196">
        <v>45591</v>
      </c>
      <c r="K196">
        <v>0.45833333333333326</v>
      </c>
      <c r="L196">
        <v>0.45833333333333326</v>
      </c>
      <c r="M196" t="s">
        <v>1010</v>
      </c>
    </row>
    <row r="197" spans="1:13" x14ac:dyDescent="0.25">
      <c r="A197" t="s">
        <v>1028</v>
      </c>
      <c r="B197" t="s">
        <v>1006</v>
      </c>
      <c r="C197" s="2">
        <v>45769.578119537036</v>
      </c>
      <c r="D197" s="2">
        <v>45761.614560185182</v>
      </c>
      <c r="E197" s="2">
        <v>45761.616076296297</v>
      </c>
      <c r="F197" t="s">
        <v>1007</v>
      </c>
      <c r="G197" t="s">
        <v>1338</v>
      </c>
      <c r="H197" t="s">
        <v>1339</v>
      </c>
      <c r="I197">
        <v>9</v>
      </c>
      <c r="J197">
        <v>45595</v>
      </c>
      <c r="K197">
        <v>0.42747685185185191</v>
      </c>
      <c r="L197">
        <v>0.41666666666666674</v>
      </c>
      <c r="M197" t="s">
        <v>1010</v>
      </c>
    </row>
    <row r="198" spans="1:13" x14ac:dyDescent="0.25">
      <c r="A198" t="s">
        <v>1028</v>
      </c>
      <c r="B198" t="s">
        <v>1006</v>
      </c>
      <c r="C198" s="2">
        <v>45769.578119537036</v>
      </c>
      <c r="D198" s="2">
        <v>45761.614560185182</v>
      </c>
      <c r="E198" s="2">
        <v>45761.616076296297</v>
      </c>
      <c r="F198" t="s">
        <v>1007</v>
      </c>
      <c r="G198" t="s">
        <v>1340</v>
      </c>
      <c r="H198" t="s">
        <v>1341</v>
      </c>
      <c r="I198">
        <v>9</v>
      </c>
      <c r="J198">
        <v>45595</v>
      </c>
      <c r="K198">
        <v>0.5</v>
      </c>
      <c r="L198">
        <v>0.5</v>
      </c>
      <c r="M198" t="s">
        <v>1009</v>
      </c>
    </row>
    <row r="199" spans="1:13" x14ac:dyDescent="0.25">
      <c r="A199" t="s">
        <v>1028</v>
      </c>
      <c r="B199" t="s">
        <v>1006</v>
      </c>
      <c r="C199" s="2">
        <v>45769.578119537036</v>
      </c>
      <c r="D199" s="2">
        <v>45761.614560185182</v>
      </c>
      <c r="E199" s="2">
        <v>45761.616076296297</v>
      </c>
      <c r="F199" t="s">
        <v>1007</v>
      </c>
      <c r="G199" t="s">
        <v>1342</v>
      </c>
      <c r="H199" t="s">
        <v>1343</v>
      </c>
      <c r="I199">
        <v>9</v>
      </c>
      <c r="J199">
        <v>45597</v>
      </c>
      <c r="K199">
        <v>0.14766203703703695</v>
      </c>
      <c r="L199">
        <v>0.125</v>
      </c>
      <c r="M199" t="s">
        <v>1010</v>
      </c>
    </row>
    <row r="200" spans="1:13" x14ac:dyDescent="0.25">
      <c r="A200" t="s">
        <v>1028</v>
      </c>
      <c r="B200" t="s">
        <v>1006</v>
      </c>
      <c r="C200" s="2">
        <v>45769.578119537036</v>
      </c>
      <c r="D200" s="2">
        <v>45761.614560185182</v>
      </c>
      <c r="E200" s="2">
        <v>45761.616076296297</v>
      </c>
      <c r="F200" t="s">
        <v>1007</v>
      </c>
      <c r="G200" t="s">
        <v>1344</v>
      </c>
      <c r="H200" t="s">
        <v>1345</v>
      </c>
      <c r="I200">
        <v>9</v>
      </c>
      <c r="J200">
        <v>45597</v>
      </c>
      <c r="K200">
        <v>0.93194444444444446</v>
      </c>
      <c r="L200">
        <v>0.91666666666666674</v>
      </c>
      <c r="M200" t="s">
        <v>1008</v>
      </c>
    </row>
    <row r="201" spans="1:13" x14ac:dyDescent="0.25">
      <c r="A201" t="s">
        <v>1028</v>
      </c>
      <c r="B201" t="s">
        <v>1006</v>
      </c>
      <c r="C201" s="2">
        <v>45769.578119537036</v>
      </c>
      <c r="D201" s="2">
        <v>45761.614560185182</v>
      </c>
      <c r="E201" s="2">
        <v>45761.616076296297</v>
      </c>
      <c r="F201" t="s">
        <v>1007</v>
      </c>
      <c r="G201" t="s">
        <v>1346</v>
      </c>
      <c r="H201" t="s">
        <v>1347</v>
      </c>
      <c r="I201">
        <v>9</v>
      </c>
      <c r="J201">
        <v>45598</v>
      </c>
      <c r="K201">
        <v>0.28819444444444442</v>
      </c>
      <c r="L201">
        <v>0.25</v>
      </c>
      <c r="M201" t="s">
        <v>1010</v>
      </c>
    </row>
    <row r="202" spans="1:13" x14ac:dyDescent="0.25">
      <c r="A202" t="s">
        <v>1028</v>
      </c>
      <c r="B202" t="s">
        <v>1006</v>
      </c>
      <c r="C202" s="2">
        <v>45769.578119537036</v>
      </c>
      <c r="D202" s="2">
        <v>45761.614560185182</v>
      </c>
      <c r="E202" s="2">
        <v>45761.616076296297</v>
      </c>
      <c r="F202" t="s">
        <v>1007</v>
      </c>
      <c r="G202" t="s">
        <v>1348</v>
      </c>
      <c r="H202" t="s">
        <v>1349</v>
      </c>
      <c r="I202">
        <v>9</v>
      </c>
      <c r="J202">
        <v>45600</v>
      </c>
      <c r="K202">
        <v>0.85416666666666674</v>
      </c>
      <c r="L202">
        <v>0.83333333333333326</v>
      </c>
      <c r="M202" t="s">
        <v>1008</v>
      </c>
    </row>
    <row r="203" spans="1:13" x14ac:dyDescent="0.25">
      <c r="A203" t="s">
        <v>1028</v>
      </c>
      <c r="B203" t="s">
        <v>1006</v>
      </c>
      <c r="C203" s="2">
        <v>45769.578119537036</v>
      </c>
      <c r="D203" s="2">
        <v>45761.614560185182</v>
      </c>
      <c r="E203" s="2">
        <v>45761.616076296297</v>
      </c>
      <c r="F203" t="s">
        <v>1007</v>
      </c>
      <c r="G203" t="s">
        <v>1350</v>
      </c>
      <c r="H203" t="s">
        <v>1351</v>
      </c>
      <c r="I203">
        <v>9</v>
      </c>
      <c r="J203">
        <v>45602</v>
      </c>
      <c r="K203">
        <v>4.7222222222222276E-2</v>
      </c>
      <c r="L203">
        <v>4.1666666666666741E-2</v>
      </c>
      <c r="M203" t="s">
        <v>1010</v>
      </c>
    </row>
    <row r="204" spans="1:13" x14ac:dyDescent="0.25">
      <c r="A204" t="s">
        <v>1028</v>
      </c>
      <c r="B204" t="s">
        <v>1006</v>
      </c>
      <c r="C204" s="2">
        <v>45769.578119537036</v>
      </c>
      <c r="D204" s="2">
        <v>45761.614560185182</v>
      </c>
      <c r="E204" s="2">
        <v>45761.616076296297</v>
      </c>
      <c r="F204" t="s">
        <v>1007</v>
      </c>
      <c r="G204" t="s">
        <v>1352</v>
      </c>
      <c r="H204" t="s">
        <v>1353</v>
      </c>
      <c r="I204">
        <v>9</v>
      </c>
      <c r="J204">
        <v>45602</v>
      </c>
      <c r="K204">
        <v>0.72638888888888897</v>
      </c>
      <c r="L204">
        <v>0.70833333333333326</v>
      </c>
      <c r="M204" t="s">
        <v>1009</v>
      </c>
    </row>
    <row r="205" spans="1:13" x14ac:dyDescent="0.25">
      <c r="A205" t="s">
        <v>1028</v>
      </c>
      <c r="B205" t="s">
        <v>1006</v>
      </c>
      <c r="C205" s="2">
        <v>45769.578119537036</v>
      </c>
      <c r="D205" s="2">
        <v>45761.614560185182</v>
      </c>
      <c r="E205" s="2">
        <v>45761.616076296297</v>
      </c>
      <c r="F205" t="s">
        <v>1007</v>
      </c>
      <c r="G205" t="s">
        <v>1354</v>
      </c>
      <c r="H205" t="s">
        <v>1355</v>
      </c>
      <c r="I205">
        <v>9</v>
      </c>
      <c r="J205">
        <v>45605</v>
      </c>
      <c r="K205">
        <v>0.46201388888888895</v>
      </c>
      <c r="L205">
        <v>0.45833333333333326</v>
      </c>
      <c r="M205" t="s">
        <v>1010</v>
      </c>
    </row>
    <row r="206" spans="1:13" x14ac:dyDescent="0.25">
      <c r="A206" t="s">
        <v>1028</v>
      </c>
      <c r="B206" t="s">
        <v>1006</v>
      </c>
      <c r="C206" s="2">
        <v>45769.578119537036</v>
      </c>
      <c r="D206" s="2">
        <v>45761.614560185182</v>
      </c>
      <c r="E206" s="2">
        <v>45761.616076296297</v>
      </c>
      <c r="F206" t="s">
        <v>1007</v>
      </c>
      <c r="G206" t="s">
        <v>1356</v>
      </c>
      <c r="H206" t="s">
        <v>1357</v>
      </c>
      <c r="I206">
        <v>9</v>
      </c>
      <c r="J206">
        <v>45606</v>
      </c>
      <c r="K206">
        <v>0.82291666666666674</v>
      </c>
      <c r="L206">
        <v>0.79166666666666674</v>
      </c>
      <c r="M206" t="s">
        <v>1008</v>
      </c>
    </row>
    <row r="207" spans="1:13" x14ac:dyDescent="0.25">
      <c r="A207" t="s">
        <v>1028</v>
      </c>
      <c r="B207" t="s">
        <v>1006</v>
      </c>
      <c r="C207" s="2">
        <v>45769.578119537036</v>
      </c>
      <c r="D207" s="2">
        <v>45761.614560185182</v>
      </c>
      <c r="E207" s="2">
        <v>45761.616076296297</v>
      </c>
      <c r="F207" t="s">
        <v>1007</v>
      </c>
      <c r="G207" t="s">
        <v>1358</v>
      </c>
      <c r="H207" t="s">
        <v>1359</v>
      </c>
      <c r="I207">
        <v>9</v>
      </c>
      <c r="J207">
        <v>45609</v>
      </c>
      <c r="K207">
        <v>0.79166666666666674</v>
      </c>
      <c r="L207">
        <v>0.79166666666666674</v>
      </c>
      <c r="M207" t="s">
        <v>1008</v>
      </c>
    </row>
    <row r="208" spans="1:13" x14ac:dyDescent="0.25">
      <c r="A208" t="s">
        <v>1028</v>
      </c>
      <c r="B208" t="s">
        <v>1006</v>
      </c>
      <c r="C208" s="2">
        <v>45769.578119537036</v>
      </c>
      <c r="D208" s="2">
        <v>45761.614560185182</v>
      </c>
      <c r="E208" s="2">
        <v>45761.616076296297</v>
      </c>
      <c r="F208" t="s">
        <v>1007</v>
      </c>
      <c r="G208" t="s">
        <v>1382</v>
      </c>
      <c r="H208" t="s">
        <v>1383</v>
      </c>
      <c r="I208">
        <v>9</v>
      </c>
      <c r="J208">
        <v>45609</v>
      </c>
      <c r="K208">
        <v>0.5538657407407408</v>
      </c>
      <c r="L208">
        <v>0.54166666666666674</v>
      </c>
      <c r="M208" t="s">
        <v>1009</v>
      </c>
    </row>
    <row r="209" spans="1:13" x14ac:dyDescent="0.25">
      <c r="A209" t="s">
        <v>1028</v>
      </c>
      <c r="B209" t="s">
        <v>1006</v>
      </c>
      <c r="C209" s="2">
        <v>45769.578119537036</v>
      </c>
      <c r="D209" s="2">
        <v>45761.614560185182</v>
      </c>
      <c r="E209" s="2">
        <v>45761.616076296297</v>
      </c>
      <c r="F209" t="s">
        <v>1007</v>
      </c>
      <c r="G209" t="s">
        <v>1360</v>
      </c>
      <c r="H209" t="s">
        <v>1361</v>
      </c>
      <c r="I209">
        <v>9</v>
      </c>
      <c r="J209">
        <v>45611</v>
      </c>
      <c r="K209">
        <v>2.9861111111111116E-2</v>
      </c>
      <c r="L209">
        <v>0</v>
      </c>
      <c r="M209" t="s">
        <v>1010</v>
      </c>
    </row>
    <row r="210" spans="1:13" x14ac:dyDescent="0.25">
      <c r="A210" t="s">
        <v>1028</v>
      </c>
      <c r="B210" t="s">
        <v>1006</v>
      </c>
      <c r="C210" s="2">
        <v>45769.578119537036</v>
      </c>
      <c r="D210" s="2">
        <v>45761.614560185182</v>
      </c>
      <c r="E210" s="2">
        <v>45761.616076296297</v>
      </c>
      <c r="F210" t="s">
        <v>1007</v>
      </c>
      <c r="G210" t="s">
        <v>1362</v>
      </c>
      <c r="H210" t="s">
        <v>1363</v>
      </c>
      <c r="I210">
        <v>9</v>
      </c>
      <c r="J210">
        <v>45611</v>
      </c>
      <c r="K210">
        <v>0.66666666666666674</v>
      </c>
      <c r="L210">
        <v>0.66666666666666674</v>
      </c>
      <c r="M210" t="s">
        <v>1009</v>
      </c>
    </row>
    <row r="211" spans="1:13" x14ac:dyDescent="0.25">
      <c r="A211" t="s">
        <v>1028</v>
      </c>
      <c r="B211" t="s">
        <v>1006</v>
      </c>
      <c r="C211" s="2">
        <v>45769.578119537036</v>
      </c>
      <c r="D211" s="2">
        <v>45761.614560185182</v>
      </c>
      <c r="E211" s="2">
        <v>45761.616076296297</v>
      </c>
      <c r="F211" t="s">
        <v>1007</v>
      </c>
      <c r="G211" t="s">
        <v>1371</v>
      </c>
      <c r="H211" t="s">
        <v>1372</v>
      </c>
      <c r="I211">
        <v>9</v>
      </c>
      <c r="J211">
        <v>45611</v>
      </c>
      <c r="K211">
        <v>0.66666666666666674</v>
      </c>
      <c r="L211">
        <v>0.66666666666666674</v>
      </c>
      <c r="M211" t="s">
        <v>1009</v>
      </c>
    </row>
    <row r="212" spans="1:13" x14ac:dyDescent="0.25">
      <c r="A212" t="s">
        <v>1028</v>
      </c>
      <c r="B212" t="s">
        <v>1006</v>
      </c>
      <c r="C212" s="2">
        <v>45769.578119537036</v>
      </c>
      <c r="D212" s="2">
        <v>45761.614560185182</v>
      </c>
      <c r="E212" s="2">
        <v>45761.616076296297</v>
      </c>
      <c r="F212" t="s">
        <v>1007</v>
      </c>
      <c r="G212" t="s">
        <v>1369</v>
      </c>
      <c r="H212" t="s">
        <v>1370</v>
      </c>
      <c r="I212">
        <v>9</v>
      </c>
      <c r="J212">
        <v>45612</v>
      </c>
      <c r="K212">
        <v>0.70833333333333326</v>
      </c>
      <c r="L212">
        <v>0.70833333333333326</v>
      </c>
      <c r="M212" t="s">
        <v>1009</v>
      </c>
    </row>
    <row r="213" spans="1:13" x14ac:dyDescent="0.25">
      <c r="A213" t="s">
        <v>1028</v>
      </c>
      <c r="B213" t="s">
        <v>1006</v>
      </c>
      <c r="C213" s="2">
        <v>45769.578119537036</v>
      </c>
      <c r="D213" s="2">
        <v>45761.614560185182</v>
      </c>
      <c r="E213" s="2">
        <v>45761.616076296297</v>
      </c>
      <c r="F213" t="s">
        <v>1007</v>
      </c>
      <c r="G213" t="s">
        <v>1364</v>
      </c>
      <c r="H213" t="s">
        <v>1365</v>
      </c>
      <c r="I213">
        <v>9</v>
      </c>
      <c r="J213">
        <v>45613</v>
      </c>
      <c r="K213">
        <v>3.125E-2</v>
      </c>
      <c r="L213">
        <v>0</v>
      </c>
      <c r="M213" t="s">
        <v>1010</v>
      </c>
    </row>
    <row r="214" spans="1:13" x14ac:dyDescent="0.25">
      <c r="A214" t="s">
        <v>1028</v>
      </c>
      <c r="B214" t="s">
        <v>1006</v>
      </c>
      <c r="C214" s="2">
        <v>45769.578119537036</v>
      </c>
      <c r="D214" s="2">
        <v>45761.614560185182</v>
      </c>
      <c r="E214" s="2">
        <v>45761.616076296297</v>
      </c>
      <c r="F214" t="s">
        <v>1007</v>
      </c>
      <c r="G214" t="s">
        <v>1366</v>
      </c>
      <c r="H214" t="s">
        <v>1076</v>
      </c>
      <c r="I214">
        <v>9</v>
      </c>
      <c r="J214">
        <v>45613</v>
      </c>
      <c r="K214">
        <v>9.7222222222222321E-2</v>
      </c>
      <c r="L214">
        <v>8.3333333333333259E-2</v>
      </c>
      <c r="M214" t="s">
        <v>1010</v>
      </c>
    </row>
    <row r="215" spans="1:13" x14ac:dyDescent="0.25">
      <c r="A215" t="s">
        <v>1028</v>
      </c>
      <c r="B215" t="s">
        <v>1006</v>
      </c>
      <c r="C215" s="2">
        <v>45769.578119537036</v>
      </c>
      <c r="D215" s="2">
        <v>45761.614560185182</v>
      </c>
      <c r="E215" s="2">
        <v>45761.616076296297</v>
      </c>
      <c r="F215" t="s">
        <v>1007</v>
      </c>
      <c r="G215" t="s">
        <v>1367</v>
      </c>
      <c r="H215" t="s">
        <v>1368</v>
      </c>
      <c r="I215">
        <v>9</v>
      </c>
      <c r="J215">
        <v>45613</v>
      </c>
      <c r="K215">
        <v>0.95833333333333326</v>
      </c>
      <c r="L215">
        <v>0.95833333333333326</v>
      </c>
      <c r="M215" t="s">
        <v>1008</v>
      </c>
    </row>
    <row r="216" spans="1:13" x14ac:dyDescent="0.25">
      <c r="A216" t="s">
        <v>1028</v>
      </c>
      <c r="B216" t="s">
        <v>1006</v>
      </c>
      <c r="C216" s="2">
        <v>45769.578119537036</v>
      </c>
      <c r="D216" s="2">
        <v>45761.614560185182</v>
      </c>
      <c r="E216" s="2">
        <v>45761.616076296297</v>
      </c>
      <c r="F216" t="s">
        <v>1007</v>
      </c>
      <c r="G216" t="s">
        <v>1375</v>
      </c>
      <c r="H216" t="s">
        <v>1376</v>
      </c>
      <c r="I216">
        <v>9</v>
      </c>
      <c r="J216">
        <v>45615</v>
      </c>
      <c r="K216">
        <v>0.25</v>
      </c>
      <c r="L216">
        <v>0.25</v>
      </c>
      <c r="M216" t="s">
        <v>1010</v>
      </c>
    </row>
    <row r="217" spans="1:13" x14ac:dyDescent="0.25">
      <c r="A217" t="s">
        <v>1028</v>
      </c>
      <c r="B217" t="s">
        <v>1006</v>
      </c>
      <c r="C217" s="2">
        <v>45769.578119537036</v>
      </c>
      <c r="D217" s="2">
        <v>45761.614560185182</v>
      </c>
      <c r="E217" s="2">
        <v>45761.616076296297</v>
      </c>
      <c r="F217" t="s">
        <v>1007</v>
      </c>
      <c r="G217" t="s">
        <v>1377</v>
      </c>
      <c r="H217" t="s">
        <v>1376</v>
      </c>
      <c r="I217">
        <v>9</v>
      </c>
      <c r="J217">
        <v>45615</v>
      </c>
      <c r="K217">
        <v>0.28125</v>
      </c>
      <c r="L217">
        <v>0.25</v>
      </c>
      <c r="M217" t="s">
        <v>1010</v>
      </c>
    </row>
    <row r="218" spans="1:13" x14ac:dyDescent="0.25">
      <c r="A218" t="s">
        <v>1028</v>
      </c>
      <c r="B218" t="s">
        <v>1006</v>
      </c>
      <c r="C218" s="2">
        <v>45769.578119537036</v>
      </c>
      <c r="D218" s="2">
        <v>45761.614560185182</v>
      </c>
      <c r="E218" s="2">
        <v>45761.616076296297</v>
      </c>
      <c r="F218" t="s">
        <v>1007</v>
      </c>
      <c r="G218" t="s">
        <v>1398</v>
      </c>
      <c r="H218" t="s">
        <v>1399</v>
      </c>
      <c r="I218">
        <v>9</v>
      </c>
      <c r="J218">
        <v>45619</v>
      </c>
      <c r="K218">
        <v>0.5</v>
      </c>
      <c r="L218">
        <v>0.5</v>
      </c>
      <c r="M218" t="s">
        <v>1009</v>
      </c>
    </row>
    <row r="219" spans="1:13" x14ac:dyDescent="0.25">
      <c r="A219" t="s">
        <v>1028</v>
      </c>
      <c r="B219" t="s">
        <v>1006</v>
      </c>
      <c r="C219" s="2">
        <v>45769.578119537036</v>
      </c>
      <c r="D219" s="2">
        <v>45761.614560185182</v>
      </c>
      <c r="E219" s="2">
        <v>45761.616076296297</v>
      </c>
      <c r="F219" t="s">
        <v>1007</v>
      </c>
      <c r="G219" t="s">
        <v>1378</v>
      </c>
      <c r="H219" t="s">
        <v>1379</v>
      </c>
      <c r="I219">
        <v>9</v>
      </c>
      <c r="J219">
        <v>45621</v>
      </c>
      <c r="K219">
        <v>2.1643518518518423E-2</v>
      </c>
      <c r="L219">
        <v>0</v>
      </c>
      <c r="M219" t="s">
        <v>1010</v>
      </c>
    </row>
    <row r="220" spans="1:13" x14ac:dyDescent="0.25">
      <c r="A220" t="s">
        <v>1028</v>
      </c>
      <c r="B220" t="s">
        <v>1006</v>
      </c>
      <c r="C220" s="2">
        <v>45769.578119537036</v>
      </c>
      <c r="D220" s="2">
        <v>45761.614560185182</v>
      </c>
      <c r="E220" s="2">
        <v>45761.616076296297</v>
      </c>
      <c r="F220" t="s">
        <v>1007</v>
      </c>
      <c r="G220" t="s">
        <v>1380</v>
      </c>
      <c r="H220" t="s">
        <v>1381</v>
      </c>
      <c r="I220">
        <v>9</v>
      </c>
      <c r="J220">
        <v>45623</v>
      </c>
      <c r="K220">
        <v>0.86597222222222214</v>
      </c>
      <c r="L220">
        <v>0.83333333333333326</v>
      </c>
      <c r="M220" t="s">
        <v>1008</v>
      </c>
    </row>
    <row r="221" spans="1:13" x14ac:dyDescent="0.25">
      <c r="A221" t="s">
        <v>1028</v>
      </c>
      <c r="B221" t="s">
        <v>1006</v>
      </c>
      <c r="C221" s="2">
        <v>45769.578119537036</v>
      </c>
      <c r="D221" s="2">
        <v>45761.614560185182</v>
      </c>
      <c r="E221" s="2">
        <v>45761.616076296297</v>
      </c>
      <c r="F221" t="s">
        <v>1007</v>
      </c>
      <c r="G221" t="s">
        <v>1384</v>
      </c>
      <c r="H221" t="s">
        <v>1325</v>
      </c>
      <c r="I221">
        <v>9</v>
      </c>
      <c r="J221">
        <v>45625</v>
      </c>
      <c r="K221">
        <v>0.94402777777777769</v>
      </c>
      <c r="L221">
        <v>0.91666666666666674</v>
      </c>
      <c r="M221" t="s">
        <v>1008</v>
      </c>
    </row>
    <row r="222" spans="1:13" x14ac:dyDescent="0.25">
      <c r="A222" t="s">
        <v>1028</v>
      </c>
      <c r="B222" t="s">
        <v>1006</v>
      </c>
      <c r="C222" s="2">
        <v>45769.578119537036</v>
      </c>
      <c r="D222" s="2">
        <v>45761.614560185182</v>
      </c>
      <c r="E222" s="2">
        <v>45761.616076296297</v>
      </c>
      <c r="F222" t="s">
        <v>1007</v>
      </c>
      <c r="G222" t="s">
        <v>1385</v>
      </c>
      <c r="H222" t="s">
        <v>1386</v>
      </c>
      <c r="I222">
        <v>9</v>
      </c>
      <c r="J222">
        <v>45626</v>
      </c>
      <c r="K222">
        <v>0.59375</v>
      </c>
      <c r="L222">
        <v>0.58333333333333326</v>
      </c>
      <c r="M222" t="s">
        <v>1009</v>
      </c>
    </row>
    <row r="223" spans="1:13" x14ac:dyDescent="0.25">
      <c r="A223" t="s">
        <v>1028</v>
      </c>
      <c r="B223" t="s">
        <v>1006</v>
      </c>
      <c r="C223" s="2">
        <v>45769.578119537036</v>
      </c>
      <c r="D223" s="2">
        <v>45761.614560185182</v>
      </c>
      <c r="E223" s="2">
        <v>45761.616076296297</v>
      </c>
      <c r="F223" t="s">
        <v>1007</v>
      </c>
      <c r="G223" t="s">
        <v>1387</v>
      </c>
      <c r="H223" t="s">
        <v>1388</v>
      </c>
      <c r="I223">
        <v>9</v>
      </c>
      <c r="J223">
        <v>45626</v>
      </c>
      <c r="K223">
        <v>0.72569444444444442</v>
      </c>
      <c r="L223">
        <v>0.70833333333333326</v>
      </c>
      <c r="M223" t="s">
        <v>1009</v>
      </c>
    </row>
    <row r="224" spans="1:13" x14ac:dyDescent="0.25">
      <c r="A224" t="s">
        <v>1028</v>
      </c>
      <c r="B224" t="s">
        <v>1006</v>
      </c>
      <c r="C224" s="2">
        <v>45769.578119537036</v>
      </c>
      <c r="D224" s="2">
        <v>45761.614560185182</v>
      </c>
      <c r="E224" s="2">
        <v>45761.616076296297</v>
      </c>
      <c r="F224" t="s">
        <v>1007</v>
      </c>
      <c r="G224" t="s">
        <v>1389</v>
      </c>
      <c r="H224" t="s">
        <v>1390</v>
      </c>
      <c r="I224">
        <v>9</v>
      </c>
      <c r="J224">
        <v>45626</v>
      </c>
      <c r="K224">
        <v>6.94444444444553E-4</v>
      </c>
      <c r="L224">
        <v>0</v>
      </c>
      <c r="M224" t="s">
        <v>1010</v>
      </c>
    </row>
    <row r="225" spans="1:13" x14ac:dyDescent="0.25">
      <c r="A225" t="s">
        <v>1028</v>
      </c>
      <c r="B225" t="s">
        <v>1006</v>
      </c>
      <c r="C225" s="2">
        <v>45769.578119537036</v>
      </c>
      <c r="D225" s="2">
        <v>45761.614560185182</v>
      </c>
      <c r="E225" s="2">
        <v>45761.616076296297</v>
      </c>
      <c r="F225" t="s">
        <v>1007</v>
      </c>
      <c r="G225" t="s">
        <v>1391</v>
      </c>
      <c r="H225" t="s">
        <v>1390</v>
      </c>
      <c r="I225">
        <v>9</v>
      </c>
      <c r="J225">
        <v>45626</v>
      </c>
      <c r="K225">
        <v>6.94444444444553E-4</v>
      </c>
      <c r="L225">
        <v>0</v>
      </c>
      <c r="M225" t="s">
        <v>1010</v>
      </c>
    </row>
    <row r="226" spans="1:13" x14ac:dyDescent="0.25">
      <c r="A226" t="s">
        <v>1028</v>
      </c>
      <c r="B226" t="s">
        <v>1006</v>
      </c>
      <c r="C226" s="2">
        <v>45769.578119537036</v>
      </c>
      <c r="D226" s="2">
        <v>45761.614560185182</v>
      </c>
      <c r="E226" s="2">
        <v>45761.616076296297</v>
      </c>
      <c r="F226" t="s">
        <v>1007</v>
      </c>
      <c r="G226" t="s">
        <v>1392</v>
      </c>
      <c r="H226" t="s">
        <v>1393</v>
      </c>
      <c r="I226">
        <v>9</v>
      </c>
      <c r="J226">
        <v>45626</v>
      </c>
      <c r="K226">
        <v>0.14583333333333326</v>
      </c>
      <c r="L226">
        <v>0.125</v>
      </c>
      <c r="M226" t="s">
        <v>1010</v>
      </c>
    </row>
    <row r="227" spans="1:13" x14ac:dyDescent="0.25">
      <c r="A227" t="s">
        <v>1028</v>
      </c>
      <c r="B227" t="s">
        <v>1006</v>
      </c>
      <c r="C227" s="2">
        <v>45769.578119537036</v>
      </c>
      <c r="D227" s="2">
        <v>45761.614560185182</v>
      </c>
      <c r="E227" s="2">
        <v>45761.616076296297</v>
      </c>
      <c r="F227" t="s">
        <v>1007</v>
      </c>
      <c r="G227" t="s">
        <v>1394</v>
      </c>
      <c r="H227" t="s">
        <v>1395</v>
      </c>
      <c r="I227">
        <v>9</v>
      </c>
      <c r="J227">
        <v>45626</v>
      </c>
      <c r="K227">
        <v>0.89583333333333326</v>
      </c>
      <c r="L227">
        <v>0.875</v>
      </c>
      <c r="M227" t="s">
        <v>1008</v>
      </c>
    </row>
    <row r="228" spans="1:13" x14ac:dyDescent="0.25">
      <c r="A228" t="s">
        <v>1028</v>
      </c>
      <c r="B228" t="s">
        <v>1006</v>
      </c>
      <c r="C228" s="2">
        <v>45769.578119537036</v>
      </c>
      <c r="D228" s="2">
        <v>45761.614560185182</v>
      </c>
      <c r="E228" s="2">
        <v>45761.616076296297</v>
      </c>
      <c r="F228" t="s">
        <v>1007</v>
      </c>
      <c r="G228" t="s">
        <v>1402</v>
      </c>
      <c r="H228" t="s">
        <v>1403</v>
      </c>
      <c r="I228">
        <v>9</v>
      </c>
      <c r="J228">
        <v>45626</v>
      </c>
      <c r="K228">
        <v>0.95833333333333326</v>
      </c>
      <c r="L228">
        <v>0.95833333333333326</v>
      </c>
      <c r="M228" t="s">
        <v>1008</v>
      </c>
    </row>
    <row r="229" spans="1:13" x14ac:dyDescent="0.25">
      <c r="A229" t="s">
        <v>1028</v>
      </c>
      <c r="B229" t="s">
        <v>1006</v>
      </c>
      <c r="C229" s="2">
        <v>45769.578119537036</v>
      </c>
      <c r="D229" s="2">
        <v>45761.614560185182</v>
      </c>
      <c r="E229" s="2">
        <v>45761.616076296297</v>
      </c>
      <c r="F229" t="s">
        <v>1007</v>
      </c>
      <c r="G229" t="s">
        <v>1396</v>
      </c>
      <c r="H229" t="s">
        <v>1397</v>
      </c>
      <c r="I229">
        <v>9</v>
      </c>
      <c r="J229">
        <v>45628</v>
      </c>
      <c r="K229">
        <v>0.61432870370370374</v>
      </c>
      <c r="L229">
        <v>0.58333333333333326</v>
      </c>
      <c r="M229" t="s">
        <v>1009</v>
      </c>
    </row>
    <row r="230" spans="1:13" x14ac:dyDescent="0.25">
      <c r="A230" t="s">
        <v>1028</v>
      </c>
      <c r="B230" t="s">
        <v>1006</v>
      </c>
      <c r="C230" s="2">
        <v>45769.578119537036</v>
      </c>
      <c r="D230" s="2">
        <v>45761.614560185182</v>
      </c>
      <c r="E230" s="2">
        <v>45761.616076296297</v>
      </c>
      <c r="F230" t="s">
        <v>1007</v>
      </c>
      <c r="G230" t="s">
        <v>1400</v>
      </c>
      <c r="H230" t="s">
        <v>1401</v>
      </c>
      <c r="I230">
        <v>9</v>
      </c>
      <c r="J230">
        <v>45629</v>
      </c>
      <c r="K230">
        <v>0.9375</v>
      </c>
      <c r="L230">
        <v>0.91666666666666674</v>
      </c>
      <c r="M230" t="s">
        <v>1008</v>
      </c>
    </row>
    <row r="231" spans="1:13" x14ac:dyDescent="0.25">
      <c r="A231" t="s">
        <v>1028</v>
      </c>
      <c r="B231" t="s">
        <v>1006</v>
      </c>
      <c r="C231" s="2">
        <v>45769.578119537036</v>
      </c>
      <c r="D231" s="2">
        <v>45761.614560185182</v>
      </c>
      <c r="E231" s="2">
        <v>45761.616076296297</v>
      </c>
      <c r="F231" t="s">
        <v>1007</v>
      </c>
      <c r="G231" t="s">
        <v>1404</v>
      </c>
      <c r="H231" t="s">
        <v>1405</v>
      </c>
      <c r="I231">
        <v>9</v>
      </c>
      <c r="J231">
        <v>45633</v>
      </c>
      <c r="K231">
        <v>0.9375</v>
      </c>
      <c r="L231">
        <v>0.91666666666666674</v>
      </c>
      <c r="M231" t="s">
        <v>1008</v>
      </c>
    </row>
    <row r="232" spans="1:13" x14ac:dyDescent="0.25">
      <c r="A232" t="s">
        <v>1028</v>
      </c>
      <c r="B232" t="s">
        <v>1006</v>
      </c>
      <c r="C232" s="2">
        <v>45769.578119537036</v>
      </c>
      <c r="D232" s="2">
        <v>45761.614560185182</v>
      </c>
      <c r="E232" s="2">
        <v>45761.616076296297</v>
      </c>
      <c r="F232" t="s">
        <v>1007</v>
      </c>
      <c r="G232" t="s">
        <v>1407</v>
      </c>
      <c r="H232" t="s">
        <v>584</v>
      </c>
      <c r="I232">
        <v>9</v>
      </c>
      <c r="J232">
        <v>45635</v>
      </c>
      <c r="K232">
        <v>0.82552083333333326</v>
      </c>
      <c r="L232">
        <v>0.79166666666666674</v>
      </c>
      <c r="M232" t="s">
        <v>1008</v>
      </c>
    </row>
    <row r="233" spans="1:13" x14ac:dyDescent="0.25">
      <c r="A233" t="s">
        <v>1028</v>
      </c>
      <c r="B233" t="s">
        <v>1006</v>
      </c>
      <c r="C233" s="2">
        <v>45769.578119537036</v>
      </c>
      <c r="D233" s="2">
        <v>45761.614560185182</v>
      </c>
      <c r="E233" s="2">
        <v>45761.616076296297</v>
      </c>
      <c r="F233" t="s">
        <v>1007</v>
      </c>
      <c r="G233" t="s">
        <v>1408</v>
      </c>
      <c r="H233" t="s">
        <v>1409</v>
      </c>
      <c r="I233">
        <v>9</v>
      </c>
      <c r="J233">
        <v>45636</v>
      </c>
      <c r="K233">
        <v>0.93980324074074084</v>
      </c>
      <c r="L233">
        <v>0.91666666666666674</v>
      </c>
      <c r="M233" t="s">
        <v>1008</v>
      </c>
    </row>
    <row r="234" spans="1:13" x14ac:dyDescent="0.25">
      <c r="A234" t="s">
        <v>1028</v>
      </c>
      <c r="B234" t="s">
        <v>1006</v>
      </c>
      <c r="C234" s="2">
        <v>45769.578119537036</v>
      </c>
      <c r="D234" s="2">
        <v>45761.614560185182</v>
      </c>
      <c r="E234" s="2">
        <v>45761.616076296297</v>
      </c>
      <c r="F234" t="s">
        <v>1007</v>
      </c>
      <c r="G234" t="s">
        <v>1410</v>
      </c>
      <c r="H234" t="s">
        <v>1411</v>
      </c>
      <c r="I234">
        <v>9</v>
      </c>
      <c r="J234">
        <v>45638</v>
      </c>
      <c r="K234">
        <v>0.41666666666666674</v>
      </c>
      <c r="L234">
        <v>0.41666666666666674</v>
      </c>
      <c r="M234" t="s">
        <v>1010</v>
      </c>
    </row>
    <row r="235" spans="1:13" x14ac:dyDescent="0.25">
      <c r="A235" t="s">
        <v>1028</v>
      </c>
      <c r="B235" t="s">
        <v>1006</v>
      </c>
      <c r="C235" s="2">
        <v>45769.578119537036</v>
      </c>
      <c r="D235" s="2">
        <v>45761.614560185182</v>
      </c>
      <c r="E235" s="2">
        <v>45761.616076296297</v>
      </c>
      <c r="F235" t="s">
        <v>1007</v>
      </c>
      <c r="G235" t="s">
        <v>1412</v>
      </c>
      <c r="H235" t="s">
        <v>1413</v>
      </c>
      <c r="I235">
        <v>9</v>
      </c>
      <c r="J235">
        <v>45638</v>
      </c>
      <c r="K235">
        <v>0.68055555555555558</v>
      </c>
      <c r="L235">
        <v>0.66666666666666674</v>
      </c>
      <c r="M235" t="s">
        <v>1009</v>
      </c>
    </row>
    <row r="236" spans="1:13" x14ac:dyDescent="0.25">
      <c r="A236" t="s">
        <v>1028</v>
      </c>
      <c r="B236" t="s">
        <v>1006</v>
      </c>
      <c r="C236" s="2">
        <v>45769.578119537036</v>
      </c>
      <c r="D236" s="2">
        <v>45761.614560185182</v>
      </c>
      <c r="E236" s="2">
        <v>45761.616076296297</v>
      </c>
      <c r="F236" t="s">
        <v>1007</v>
      </c>
      <c r="G236" t="s">
        <v>1414</v>
      </c>
      <c r="H236" t="s">
        <v>1415</v>
      </c>
      <c r="I236">
        <v>9</v>
      </c>
      <c r="J236">
        <v>45639</v>
      </c>
      <c r="K236">
        <v>0.83333333333333326</v>
      </c>
      <c r="L236">
        <v>0.83333333333333326</v>
      </c>
      <c r="M236" t="s">
        <v>1008</v>
      </c>
    </row>
    <row r="237" spans="1:13" x14ac:dyDescent="0.25">
      <c r="A237" t="s">
        <v>1028</v>
      </c>
      <c r="B237" t="s">
        <v>1006</v>
      </c>
      <c r="C237" s="2">
        <v>45769.578119537036</v>
      </c>
      <c r="D237" s="2">
        <v>45761.614560185182</v>
      </c>
      <c r="E237" s="2">
        <v>45761.616076296297</v>
      </c>
      <c r="F237" t="s">
        <v>1007</v>
      </c>
      <c r="G237" t="s">
        <v>1416</v>
      </c>
      <c r="H237" t="s">
        <v>1417</v>
      </c>
      <c r="I237">
        <v>9</v>
      </c>
      <c r="J237">
        <v>45640</v>
      </c>
      <c r="K237">
        <v>0.58333333333333326</v>
      </c>
      <c r="L237">
        <v>0.58333333333333326</v>
      </c>
      <c r="M237" t="s">
        <v>1009</v>
      </c>
    </row>
    <row r="238" spans="1:13" x14ac:dyDescent="0.25">
      <c r="A238" t="s">
        <v>1028</v>
      </c>
      <c r="B238" t="s">
        <v>1006</v>
      </c>
      <c r="C238" s="2">
        <v>45769.578119537036</v>
      </c>
      <c r="D238" s="2">
        <v>45761.614560185182</v>
      </c>
      <c r="E238" s="2">
        <v>45761.616076296297</v>
      </c>
      <c r="F238" t="s">
        <v>1007</v>
      </c>
      <c r="G238" t="s">
        <v>1420</v>
      </c>
      <c r="H238" t="s">
        <v>1245</v>
      </c>
      <c r="I238">
        <v>9</v>
      </c>
      <c r="J238">
        <v>45640</v>
      </c>
      <c r="K238">
        <v>0.45854166666666663</v>
      </c>
      <c r="L238">
        <v>0.45833333333333326</v>
      </c>
      <c r="M238" t="s">
        <v>1010</v>
      </c>
    </row>
    <row r="239" spans="1:13" x14ac:dyDescent="0.25">
      <c r="A239" t="s">
        <v>1028</v>
      </c>
      <c r="B239" t="s">
        <v>1006</v>
      </c>
      <c r="C239" s="2">
        <v>45769.578119537036</v>
      </c>
      <c r="D239" s="2">
        <v>45761.614560185182</v>
      </c>
      <c r="E239" s="2">
        <v>45761.616076296297</v>
      </c>
      <c r="F239" t="s">
        <v>1007</v>
      </c>
      <c r="G239" t="s">
        <v>1418</v>
      </c>
      <c r="H239" t="s">
        <v>1419</v>
      </c>
      <c r="I239">
        <v>9</v>
      </c>
      <c r="J239">
        <v>45641</v>
      </c>
      <c r="K239">
        <v>5.195601851851861E-2</v>
      </c>
      <c r="L239">
        <v>4.1666666666666741E-2</v>
      </c>
      <c r="M239" t="s">
        <v>1010</v>
      </c>
    </row>
    <row r="240" spans="1:13" x14ac:dyDescent="0.25">
      <c r="A240" t="s">
        <v>1028</v>
      </c>
      <c r="B240" t="s">
        <v>1006</v>
      </c>
      <c r="C240" s="2">
        <v>45769.578119537036</v>
      </c>
      <c r="D240" s="2">
        <v>45761.614560185182</v>
      </c>
      <c r="E240" s="2">
        <v>45761.616076296297</v>
      </c>
      <c r="F240" t="s">
        <v>1007</v>
      </c>
      <c r="G240" t="s">
        <v>1422</v>
      </c>
      <c r="H240" t="s">
        <v>1423</v>
      </c>
      <c r="I240">
        <v>9</v>
      </c>
      <c r="J240">
        <v>45646</v>
      </c>
      <c r="K240">
        <v>1.736111111111116E-2</v>
      </c>
      <c r="L240">
        <v>0</v>
      </c>
      <c r="M240" t="s">
        <v>1010</v>
      </c>
    </row>
    <row r="241" spans="1:13" x14ac:dyDescent="0.25">
      <c r="A241" t="s">
        <v>1028</v>
      </c>
      <c r="B241" t="s">
        <v>1006</v>
      </c>
      <c r="C241" s="2">
        <v>45769.578119537036</v>
      </c>
      <c r="D241" s="2">
        <v>45761.614560185182</v>
      </c>
      <c r="E241" s="2">
        <v>45761.616076296297</v>
      </c>
      <c r="F241" t="s">
        <v>1007</v>
      </c>
      <c r="G241" t="s">
        <v>1424</v>
      </c>
      <c r="H241" t="s">
        <v>1425</v>
      </c>
      <c r="I241">
        <v>9</v>
      </c>
      <c r="J241">
        <v>45646</v>
      </c>
      <c r="K241">
        <v>0.21805555555555545</v>
      </c>
      <c r="L241">
        <v>0.20833333333333326</v>
      </c>
      <c r="M241" t="s">
        <v>1010</v>
      </c>
    </row>
    <row r="242" spans="1:13" x14ac:dyDescent="0.25">
      <c r="A242" t="s">
        <v>1028</v>
      </c>
      <c r="B242" t="s">
        <v>1006</v>
      </c>
      <c r="C242" s="2">
        <v>45769.578119537036</v>
      </c>
      <c r="D242" s="2">
        <v>45761.614560185182</v>
      </c>
      <c r="E242" s="2">
        <v>45761.616076296297</v>
      </c>
      <c r="F242" t="s">
        <v>1007</v>
      </c>
      <c r="G242" t="s">
        <v>1426</v>
      </c>
      <c r="H242" t="s">
        <v>1427</v>
      </c>
      <c r="I242">
        <v>9</v>
      </c>
      <c r="J242">
        <v>45646</v>
      </c>
      <c r="K242">
        <v>0.21597222222222223</v>
      </c>
      <c r="L242">
        <v>0.20833333333333326</v>
      </c>
      <c r="M242" t="s">
        <v>1010</v>
      </c>
    </row>
    <row r="243" spans="1:13" x14ac:dyDescent="0.25">
      <c r="A243" t="s">
        <v>1028</v>
      </c>
      <c r="B243" t="s">
        <v>1006</v>
      </c>
      <c r="C243" s="2">
        <v>45769.578119537036</v>
      </c>
      <c r="D243" s="2">
        <v>45761.614560185182</v>
      </c>
      <c r="E243" s="2">
        <v>45761.616076296297</v>
      </c>
      <c r="F243" t="s">
        <v>1007</v>
      </c>
      <c r="G243" t="s">
        <v>1428</v>
      </c>
      <c r="H243" t="s">
        <v>1429</v>
      </c>
      <c r="I243">
        <v>9</v>
      </c>
      <c r="J243">
        <v>45647</v>
      </c>
      <c r="K243">
        <v>7.986111111111116E-2</v>
      </c>
      <c r="L243">
        <v>4.1666666666666741E-2</v>
      </c>
      <c r="M243" t="s">
        <v>1010</v>
      </c>
    </row>
    <row r="244" spans="1:13" x14ac:dyDescent="0.25">
      <c r="A244" t="s">
        <v>1028</v>
      </c>
      <c r="B244" t="s">
        <v>1006</v>
      </c>
      <c r="C244" s="2">
        <v>45769.578119537036</v>
      </c>
      <c r="D244" s="2">
        <v>45761.614560185182</v>
      </c>
      <c r="E244" s="2">
        <v>45761.616076296297</v>
      </c>
      <c r="F244" t="s">
        <v>1007</v>
      </c>
      <c r="G244" t="s">
        <v>1430</v>
      </c>
      <c r="H244" t="s">
        <v>1108</v>
      </c>
      <c r="I244">
        <v>9</v>
      </c>
      <c r="J244">
        <v>45647</v>
      </c>
      <c r="K244">
        <v>0.12569444444444455</v>
      </c>
      <c r="L244">
        <v>0.125</v>
      </c>
      <c r="M244" t="s">
        <v>1010</v>
      </c>
    </row>
    <row r="245" spans="1:13" x14ac:dyDescent="0.25">
      <c r="A245" t="s">
        <v>1028</v>
      </c>
      <c r="B245" t="s">
        <v>1006</v>
      </c>
      <c r="C245" s="2">
        <v>45769.578119537036</v>
      </c>
      <c r="D245" s="2">
        <v>45761.614560185182</v>
      </c>
      <c r="E245" s="2">
        <v>45761.616076296297</v>
      </c>
      <c r="F245" t="s">
        <v>1007</v>
      </c>
      <c r="G245" t="s">
        <v>1431</v>
      </c>
      <c r="H245" t="s">
        <v>1432</v>
      </c>
      <c r="I245">
        <v>9</v>
      </c>
      <c r="J245">
        <v>45648</v>
      </c>
      <c r="K245">
        <v>0.875</v>
      </c>
      <c r="L245">
        <v>0.875</v>
      </c>
      <c r="M245" t="s">
        <v>1008</v>
      </c>
    </row>
    <row r="246" spans="1:13" x14ac:dyDescent="0.25">
      <c r="A246" t="s">
        <v>1028</v>
      </c>
      <c r="B246" t="s">
        <v>1006</v>
      </c>
      <c r="C246" s="2">
        <v>45769.578119537036</v>
      </c>
      <c r="D246" s="2">
        <v>45761.614560185182</v>
      </c>
      <c r="E246" s="2">
        <v>45761.616076296297</v>
      </c>
      <c r="F246" t="s">
        <v>1007</v>
      </c>
      <c r="G246" t="s">
        <v>1433</v>
      </c>
      <c r="H246" t="s">
        <v>1434</v>
      </c>
      <c r="I246">
        <v>9</v>
      </c>
      <c r="J246">
        <v>45649</v>
      </c>
      <c r="K246">
        <v>0.70902777777777781</v>
      </c>
      <c r="L246">
        <v>0.70833333333333326</v>
      </c>
      <c r="M246" t="s">
        <v>1009</v>
      </c>
    </row>
    <row r="247" spans="1:13" x14ac:dyDescent="0.25">
      <c r="A247" t="s">
        <v>1028</v>
      </c>
      <c r="B247" t="s">
        <v>1006</v>
      </c>
      <c r="C247" s="2">
        <v>45769.578119537036</v>
      </c>
      <c r="D247" s="2">
        <v>45761.614560185182</v>
      </c>
      <c r="E247" s="2">
        <v>45761.616076296297</v>
      </c>
      <c r="F247" t="s">
        <v>1007</v>
      </c>
      <c r="G247" t="s">
        <v>1435</v>
      </c>
      <c r="H247" t="s">
        <v>1417</v>
      </c>
      <c r="I247">
        <v>9</v>
      </c>
      <c r="J247">
        <v>45653</v>
      </c>
      <c r="K247">
        <v>0.70833333333333326</v>
      </c>
      <c r="L247">
        <v>0.70833333333333326</v>
      </c>
      <c r="M247" t="s">
        <v>1009</v>
      </c>
    </row>
    <row r="248" spans="1:13" x14ac:dyDescent="0.25">
      <c r="A248" t="s">
        <v>1028</v>
      </c>
      <c r="B248" t="s">
        <v>1006</v>
      </c>
      <c r="C248" s="2">
        <v>45769.578119537036</v>
      </c>
      <c r="D248" s="2">
        <v>45761.614560185182</v>
      </c>
      <c r="E248" s="2">
        <v>45761.616076296297</v>
      </c>
      <c r="F248" t="s">
        <v>1007</v>
      </c>
      <c r="G248" t="s">
        <v>1436</v>
      </c>
      <c r="H248" t="s">
        <v>1437</v>
      </c>
      <c r="I248">
        <v>9</v>
      </c>
      <c r="J248">
        <v>45655</v>
      </c>
      <c r="K248">
        <v>0.1533796296296297</v>
      </c>
      <c r="L248">
        <v>0.125</v>
      </c>
      <c r="M248" t="s">
        <v>1010</v>
      </c>
    </row>
    <row r="249" spans="1:13" x14ac:dyDescent="0.25">
      <c r="A249" t="s">
        <v>1028</v>
      </c>
      <c r="B249" t="s">
        <v>1006</v>
      </c>
      <c r="C249" s="2">
        <v>45769.578119537036</v>
      </c>
      <c r="D249" s="2">
        <v>45761.614560185182</v>
      </c>
      <c r="E249" s="2">
        <v>45761.616076296297</v>
      </c>
      <c r="F249" t="s">
        <v>1007</v>
      </c>
      <c r="G249" t="s">
        <v>1438</v>
      </c>
      <c r="H249" t="s">
        <v>1439</v>
      </c>
      <c r="I249">
        <v>9</v>
      </c>
      <c r="J249">
        <v>45656</v>
      </c>
      <c r="K249">
        <v>0.79166666666666674</v>
      </c>
      <c r="L249">
        <v>0.79166666666666674</v>
      </c>
      <c r="M249" t="s">
        <v>1008</v>
      </c>
    </row>
    <row r="250" spans="1:13" x14ac:dyDescent="0.25">
      <c r="A250" t="s">
        <v>1028</v>
      </c>
      <c r="B250" t="s">
        <v>1006</v>
      </c>
      <c r="C250" s="2">
        <v>45769.578119537036</v>
      </c>
      <c r="D250" s="2">
        <v>45761.614560185182</v>
      </c>
      <c r="E250" s="2">
        <v>45761.616076296297</v>
      </c>
      <c r="F250" t="s">
        <v>1007</v>
      </c>
      <c r="G250" t="s">
        <v>1440</v>
      </c>
      <c r="H250" t="s">
        <v>1441</v>
      </c>
      <c r="I250">
        <v>9</v>
      </c>
      <c r="J250">
        <v>45656</v>
      </c>
      <c r="K250">
        <v>0.58333333333333326</v>
      </c>
      <c r="L250">
        <v>0.58333333333333326</v>
      </c>
      <c r="M250" t="s">
        <v>1009</v>
      </c>
    </row>
    <row r="251" spans="1:13" x14ac:dyDescent="0.25">
      <c r="A251" t="s">
        <v>1005</v>
      </c>
      <c r="B251" t="s">
        <v>1006</v>
      </c>
      <c r="C251" s="2">
        <v>45769.578089016206</v>
      </c>
      <c r="D251" s="2">
        <v>45769.034166666665</v>
      </c>
      <c r="E251" s="2">
        <v>45760.803204236108</v>
      </c>
      <c r="F251" t="s">
        <v>1007</v>
      </c>
      <c r="G251" t="s">
        <v>210</v>
      </c>
      <c r="H251" t="s">
        <v>214</v>
      </c>
      <c r="I251">
        <v>9</v>
      </c>
      <c r="J251">
        <v>45660</v>
      </c>
      <c r="K251">
        <v>0.89583333333333326</v>
      </c>
      <c r="L251">
        <v>0.875</v>
      </c>
      <c r="M251" t="s">
        <v>1008</v>
      </c>
    </row>
    <row r="252" spans="1:13" x14ac:dyDescent="0.25">
      <c r="A252" t="s">
        <v>1011</v>
      </c>
      <c r="B252" t="s">
        <v>1006</v>
      </c>
      <c r="C252" s="2">
        <v>45769.578111863426</v>
      </c>
      <c r="D252" s="2">
        <v>45769.037777777776</v>
      </c>
      <c r="E252" s="2">
        <v>45712.703342291665</v>
      </c>
      <c r="F252" t="s">
        <v>1007</v>
      </c>
      <c r="G252" t="s">
        <v>210</v>
      </c>
      <c r="H252" t="s">
        <v>214</v>
      </c>
      <c r="I252">
        <v>9</v>
      </c>
      <c r="J252">
        <v>45660</v>
      </c>
      <c r="K252">
        <v>0.89583333333333326</v>
      </c>
      <c r="L252">
        <v>0.875</v>
      </c>
      <c r="M252" t="s">
        <v>1008</v>
      </c>
    </row>
    <row r="253" spans="1:13" x14ac:dyDescent="0.25">
      <c r="A253" t="s">
        <v>1012</v>
      </c>
      <c r="B253" t="s">
        <v>1006</v>
      </c>
      <c r="C253" s="2">
        <v>45769.578112280091</v>
      </c>
      <c r="D253" s="2">
        <v>45769.035879629628</v>
      </c>
      <c r="E253" s="2">
        <v>45713.368867349534</v>
      </c>
      <c r="F253" t="s">
        <v>1007</v>
      </c>
      <c r="G253" t="s">
        <v>210</v>
      </c>
      <c r="H253" t="s">
        <v>214</v>
      </c>
      <c r="I253">
        <v>9</v>
      </c>
      <c r="J253">
        <v>45660</v>
      </c>
      <c r="K253">
        <v>0.89583333333333326</v>
      </c>
      <c r="L253">
        <v>0.875</v>
      </c>
      <c r="M253" t="s">
        <v>1008</v>
      </c>
    </row>
    <row r="254" spans="1:13" x14ac:dyDescent="0.25">
      <c r="A254" t="s">
        <v>1013</v>
      </c>
      <c r="B254" t="s">
        <v>1006</v>
      </c>
      <c r="C254" s="2">
        <v>45769.578112673611</v>
      </c>
      <c r="D254" s="2">
        <v>45769.037800925929</v>
      </c>
      <c r="E254" s="2">
        <v>45718.720149895831</v>
      </c>
      <c r="F254" t="s">
        <v>1007</v>
      </c>
      <c r="G254" t="s">
        <v>210</v>
      </c>
      <c r="H254" t="s">
        <v>214</v>
      </c>
      <c r="I254">
        <v>9</v>
      </c>
      <c r="J254">
        <v>45660</v>
      </c>
      <c r="K254">
        <v>0.89583333333333326</v>
      </c>
      <c r="L254">
        <v>0.875</v>
      </c>
      <c r="M254" t="s">
        <v>1008</v>
      </c>
    </row>
    <row r="255" spans="1:13" x14ac:dyDescent="0.25">
      <c r="A255" t="s">
        <v>1014</v>
      </c>
      <c r="B255" t="s">
        <v>1006</v>
      </c>
      <c r="C255" s="2">
        <v>45769.578113090276</v>
      </c>
      <c r="D255" s="2">
        <v>45769.037800925929</v>
      </c>
      <c r="E255" s="2">
        <v>45719.845094884258</v>
      </c>
      <c r="F255" t="s">
        <v>1007</v>
      </c>
      <c r="G255" t="s">
        <v>210</v>
      </c>
      <c r="H255" t="s">
        <v>214</v>
      </c>
      <c r="I255">
        <v>9</v>
      </c>
      <c r="J255">
        <v>45660</v>
      </c>
      <c r="K255">
        <v>0.89583333333333326</v>
      </c>
      <c r="L255">
        <v>0.875</v>
      </c>
      <c r="M255" t="s">
        <v>1008</v>
      </c>
    </row>
    <row r="256" spans="1:13" x14ac:dyDescent="0.25">
      <c r="A256" t="s">
        <v>1015</v>
      </c>
      <c r="B256" t="s">
        <v>1006</v>
      </c>
      <c r="C256" s="2">
        <v>45769.578113564814</v>
      </c>
      <c r="D256" s="2">
        <v>45726.85528935185</v>
      </c>
      <c r="E256" s="2">
        <v>45726.856810578705</v>
      </c>
      <c r="F256" t="s">
        <v>1007</v>
      </c>
      <c r="G256" t="s">
        <v>210</v>
      </c>
      <c r="H256" t="s">
        <v>214</v>
      </c>
      <c r="I256">
        <v>9</v>
      </c>
      <c r="J256">
        <v>45660</v>
      </c>
      <c r="K256">
        <v>0.89583333333333326</v>
      </c>
      <c r="L256">
        <v>0.875</v>
      </c>
      <c r="M256" t="s">
        <v>1008</v>
      </c>
    </row>
    <row r="257" spans="1:13" x14ac:dyDescent="0.25">
      <c r="A257" t="s">
        <v>1016</v>
      </c>
      <c r="B257" t="s">
        <v>1006</v>
      </c>
      <c r="C257" s="2">
        <v>45769.578113993055</v>
      </c>
      <c r="D257" s="2">
        <v>45727.548941782406</v>
      </c>
      <c r="E257" s="2">
        <v>45727.544082731481</v>
      </c>
      <c r="F257" t="s">
        <v>1007</v>
      </c>
      <c r="G257" t="s">
        <v>210</v>
      </c>
      <c r="H257" t="s">
        <v>214</v>
      </c>
      <c r="I257">
        <v>9</v>
      </c>
      <c r="J257">
        <v>45660</v>
      </c>
      <c r="K257">
        <v>0.89583333333333326</v>
      </c>
      <c r="L257">
        <v>0.875</v>
      </c>
      <c r="M257" t="s">
        <v>1008</v>
      </c>
    </row>
    <row r="258" spans="1:13" x14ac:dyDescent="0.25">
      <c r="A258" t="s">
        <v>1017</v>
      </c>
      <c r="B258" t="s">
        <v>1006</v>
      </c>
      <c r="C258" s="2">
        <v>45769.578114386575</v>
      </c>
      <c r="D258" s="2">
        <v>45730.674748101854</v>
      </c>
      <c r="E258" s="2">
        <v>45730.674747743054</v>
      </c>
      <c r="F258" t="s">
        <v>1007</v>
      </c>
      <c r="G258" t="s">
        <v>210</v>
      </c>
      <c r="H258" t="s">
        <v>214</v>
      </c>
      <c r="I258">
        <v>9</v>
      </c>
      <c r="J258">
        <v>45660</v>
      </c>
      <c r="K258">
        <v>0.89583333333333326</v>
      </c>
      <c r="L258">
        <v>0.875</v>
      </c>
      <c r="M258" t="s">
        <v>1008</v>
      </c>
    </row>
    <row r="259" spans="1:13" x14ac:dyDescent="0.25">
      <c r="A259" t="s">
        <v>1019</v>
      </c>
      <c r="B259" t="s">
        <v>1006</v>
      </c>
      <c r="C259" s="2">
        <v>45769.578115219905</v>
      </c>
      <c r="D259" s="2">
        <v>45740.441161863426</v>
      </c>
      <c r="E259" s="2">
        <v>45740.441161643517</v>
      </c>
      <c r="F259" t="s">
        <v>1007</v>
      </c>
      <c r="G259" t="s">
        <v>210</v>
      </c>
      <c r="H259" t="s">
        <v>214</v>
      </c>
      <c r="I259">
        <v>9</v>
      </c>
      <c r="J259">
        <v>45660</v>
      </c>
      <c r="K259">
        <v>0.89583333333333326</v>
      </c>
      <c r="L259">
        <v>0.875</v>
      </c>
      <c r="M259" t="s">
        <v>1008</v>
      </c>
    </row>
    <row r="260" spans="1:13" x14ac:dyDescent="0.25">
      <c r="A260" t="s">
        <v>1020</v>
      </c>
      <c r="B260" t="s">
        <v>1006</v>
      </c>
      <c r="C260" s="2">
        <v>45769.578115682867</v>
      </c>
      <c r="D260" s="2">
        <v>45747.434178240743</v>
      </c>
      <c r="E260" s="2">
        <v>45746.492342094905</v>
      </c>
      <c r="F260" t="s">
        <v>1007</v>
      </c>
      <c r="G260" t="s">
        <v>210</v>
      </c>
      <c r="H260" t="s">
        <v>214</v>
      </c>
      <c r="I260">
        <v>9</v>
      </c>
      <c r="J260">
        <v>45660</v>
      </c>
      <c r="K260">
        <v>0.89583333333333326</v>
      </c>
      <c r="L260">
        <v>0.875</v>
      </c>
      <c r="M260" t="s">
        <v>1008</v>
      </c>
    </row>
    <row r="261" spans="1:13" x14ac:dyDescent="0.25">
      <c r="A261" t="s">
        <v>1021</v>
      </c>
      <c r="B261" t="s">
        <v>1006</v>
      </c>
      <c r="C261" s="2">
        <v>45769.578116168981</v>
      </c>
      <c r="D261" s="2">
        <v>45748.008692129632</v>
      </c>
      <c r="E261" s="2">
        <v>45760.803375069445</v>
      </c>
      <c r="F261" t="s">
        <v>1007</v>
      </c>
      <c r="G261" t="s">
        <v>210</v>
      </c>
      <c r="H261" t="s">
        <v>214</v>
      </c>
      <c r="I261">
        <v>9</v>
      </c>
      <c r="J261">
        <v>45660</v>
      </c>
      <c r="K261">
        <v>0.89583333333333326</v>
      </c>
      <c r="L261">
        <v>0.875</v>
      </c>
      <c r="M261" t="s">
        <v>1008</v>
      </c>
    </row>
    <row r="262" spans="1:13" x14ac:dyDescent="0.25">
      <c r="A262" t="s">
        <v>1024</v>
      </c>
      <c r="B262" t="s">
        <v>1006</v>
      </c>
      <c r="C262" s="2">
        <v>45769.578117557867</v>
      </c>
      <c r="D262" s="2">
        <v>45755.522465879629</v>
      </c>
      <c r="E262" s="2">
        <v>45755.517505011572</v>
      </c>
      <c r="F262" t="s">
        <v>1007</v>
      </c>
      <c r="G262" t="s">
        <v>210</v>
      </c>
      <c r="H262" t="s">
        <v>214</v>
      </c>
      <c r="I262">
        <v>9</v>
      </c>
      <c r="J262">
        <v>45660</v>
      </c>
      <c r="K262">
        <v>0.89583333333333326</v>
      </c>
      <c r="L262">
        <v>0.875</v>
      </c>
      <c r="M262" t="s">
        <v>1008</v>
      </c>
    </row>
    <row r="263" spans="1:13" x14ac:dyDescent="0.25">
      <c r="A263" t="s">
        <v>1025</v>
      </c>
      <c r="B263" t="s">
        <v>1006</v>
      </c>
      <c r="C263" s="2">
        <v>45769.578118020836</v>
      </c>
      <c r="D263" s="2">
        <v>45756.741511504631</v>
      </c>
      <c r="E263" s="2">
        <v>45756.741511087967</v>
      </c>
      <c r="F263" t="s">
        <v>1007</v>
      </c>
      <c r="G263" t="s">
        <v>210</v>
      </c>
      <c r="H263" t="s">
        <v>214</v>
      </c>
      <c r="I263">
        <v>9</v>
      </c>
      <c r="J263">
        <v>45660</v>
      </c>
      <c r="K263">
        <v>0.89583333333333326</v>
      </c>
      <c r="L263">
        <v>0.875</v>
      </c>
      <c r="M263" t="s">
        <v>1008</v>
      </c>
    </row>
    <row r="264" spans="1:13" x14ac:dyDescent="0.25">
      <c r="A264" t="s">
        <v>1026</v>
      </c>
      <c r="B264" t="s">
        <v>1006</v>
      </c>
      <c r="C264" s="2">
        <v>45769.578118518519</v>
      </c>
      <c r="D264" s="2">
        <v>45758.796925532406</v>
      </c>
      <c r="E264" s="2">
        <v>45758.796925092596</v>
      </c>
      <c r="F264" t="s">
        <v>1007</v>
      </c>
      <c r="G264" t="s">
        <v>210</v>
      </c>
      <c r="H264" t="s">
        <v>214</v>
      </c>
      <c r="I264">
        <v>9</v>
      </c>
      <c r="J264">
        <v>45660</v>
      </c>
      <c r="K264">
        <v>0.89583333333333326</v>
      </c>
      <c r="L264">
        <v>0.875</v>
      </c>
      <c r="M264" t="s">
        <v>1008</v>
      </c>
    </row>
    <row r="265" spans="1:13" x14ac:dyDescent="0.25">
      <c r="A265" t="s">
        <v>1027</v>
      </c>
      <c r="B265" t="s">
        <v>1006</v>
      </c>
      <c r="C265" s="2">
        <v>45769.578119039354</v>
      </c>
      <c r="D265" s="2">
        <v>45762.136261574073</v>
      </c>
      <c r="E265" s="2">
        <v>45761.611620300922</v>
      </c>
      <c r="F265" t="s">
        <v>1007</v>
      </c>
      <c r="G265" t="s">
        <v>210</v>
      </c>
      <c r="H265" t="s">
        <v>214</v>
      </c>
      <c r="I265">
        <v>9</v>
      </c>
      <c r="J265">
        <v>45660</v>
      </c>
      <c r="K265">
        <v>0.89583333333333326</v>
      </c>
      <c r="L265">
        <v>0.875</v>
      </c>
      <c r="M265" t="s">
        <v>1008</v>
      </c>
    </row>
    <row r="266" spans="1:13" x14ac:dyDescent="0.25">
      <c r="A266" t="s">
        <v>1005</v>
      </c>
      <c r="B266" t="s">
        <v>1006</v>
      </c>
      <c r="C266" s="2">
        <v>45769.578089016206</v>
      </c>
      <c r="D266" s="2">
        <v>45769.034166666665</v>
      </c>
      <c r="E266" s="2">
        <v>45760.803204236108</v>
      </c>
      <c r="F266" t="s">
        <v>1007</v>
      </c>
      <c r="G266" t="s">
        <v>53</v>
      </c>
      <c r="H266" t="s">
        <v>60</v>
      </c>
      <c r="I266">
        <v>9</v>
      </c>
      <c r="J266">
        <v>45663</v>
      </c>
      <c r="K266">
        <v>0.64583333333333326</v>
      </c>
      <c r="L266">
        <v>0.625</v>
      </c>
      <c r="M266" t="s">
        <v>1009</v>
      </c>
    </row>
    <row r="267" spans="1:13" x14ac:dyDescent="0.25">
      <c r="A267" t="s">
        <v>1011</v>
      </c>
      <c r="B267" t="s">
        <v>1006</v>
      </c>
      <c r="C267" s="2">
        <v>45769.578111863426</v>
      </c>
      <c r="D267" s="2">
        <v>45769.037777777776</v>
      </c>
      <c r="E267" s="2">
        <v>45712.703342291665</v>
      </c>
      <c r="F267" t="s">
        <v>1007</v>
      </c>
      <c r="G267" t="s">
        <v>53</v>
      </c>
      <c r="H267" t="s">
        <v>60</v>
      </c>
      <c r="I267">
        <v>9</v>
      </c>
      <c r="J267">
        <v>45663</v>
      </c>
      <c r="K267">
        <v>0.64583333333333326</v>
      </c>
      <c r="L267">
        <v>0.625</v>
      </c>
      <c r="M267" t="s">
        <v>1009</v>
      </c>
    </row>
    <row r="268" spans="1:13" x14ac:dyDescent="0.25">
      <c r="A268" t="s">
        <v>1012</v>
      </c>
      <c r="B268" t="s">
        <v>1006</v>
      </c>
      <c r="C268" s="2">
        <v>45769.578112280091</v>
      </c>
      <c r="D268" s="2">
        <v>45769.035879629628</v>
      </c>
      <c r="E268" s="2">
        <v>45713.368867349534</v>
      </c>
      <c r="F268" t="s">
        <v>1007</v>
      </c>
      <c r="G268" t="s">
        <v>53</v>
      </c>
      <c r="H268" t="s">
        <v>60</v>
      </c>
      <c r="I268">
        <v>9</v>
      </c>
      <c r="J268">
        <v>45663</v>
      </c>
      <c r="K268">
        <v>0.64583333333333326</v>
      </c>
      <c r="L268">
        <v>0.625</v>
      </c>
      <c r="M268" t="s">
        <v>1009</v>
      </c>
    </row>
    <row r="269" spans="1:13" x14ac:dyDescent="0.25">
      <c r="A269" t="s">
        <v>1013</v>
      </c>
      <c r="B269" t="s">
        <v>1006</v>
      </c>
      <c r="C269" s="2">
        <v>45769.578112673611</v>
      </c>
      <c r="D269" s="2">
        <v>45769.037800925929</v>
      </c>
      <c r="E269" s="2">
        <v>45718.720149895831</v>
      </c>
      <c r="F269" t="s">
        <v>1007</v>
      </c>
      <c r="G269" t="s">
        <v>53</v>
      </c>
      <c r="H269" t="s">
        <v>60</v>
      </c>
      <c r="I269">
        <v>9</v>
      </c>
      <c r="J269">
        <v>45663</v>
      </c>
      <c r="K269">
        <v>0.64583333333333326</v>
      </c>
      <c r="L269">
        <v>0.625</v>
      </c>
      <c r="M269" t="s">
        <v>1009</v>
      </c>
    </row>
    <row r="270" spans="1:13" x14ac:dyDescent="0.25">
      <c r="A270" t="s">
        <v>1014</v>
      </c>
      <c r="B270" t="s">
        <v>1006</v>
      </c>
      <c r="C270" s="2">
        <v>45769.578113090276</v>
      </c>
      <c r="D270" s="2">
        <v>45769.037800925929</v>
      </c>
      <c r="E270" s="2">
        <v>45719.845094884258</v>
      </c>
      <c r="F270" t="s">
        <v>1007</v>
      </c>
      <c r="G270" t="s">
        <v>53</v>
      </c>
      <c r="H270" t="s">
        <v>60</v>
      </c>
      <c r="I270">
        <v>9</v>
      </c>
      <c r="J270">
        <v>45663</v>
      </c>
      <c r="K270">
        <v>0.64583333333333326</v>
      </c>
      <c r="L270">
        <v>0.625</v>
      </c>
      <c r="M270" t="s">
        <v>1009</v>
      </c>
    </row>
    <row r="271" spans="1:13" x14ac:dyDescent="0.25">
      <c r="A271" t="s">
        <v>1015</v>
      </c>
      <c r="B271" t="s">
        <v>1006</v>
      </c>
      <c r="C271" s="2">
        <v>45769.578113564814</v>
      </c>
      <c r="D271" s="2">
        <v>45726.85528935185</v>
      </c>
      <c r="E271" s="2">
        <v>45726.856810578705</v>
      </c>
      <c r="F271" t="s">
        <v>1007</v>
      </c>
      <c r="G271" t="s">
        <v>53</v>
      </c>
      <c r="H271" t="s">
        <v>60</v>
      </c>
      <c r="I271">
        <v>9</v>
      </c>
      <c r="J271">
        <v>45663</v>
      </c>
      <c r="K271">
        <v>0.64583333333333326</v>
      </c>
      <c r="L271">
        <v>0.625</v>
      </c>
      <c r="M271" t="s">
        <v>1009</v>
      </c>
    </row>
    <row r="272" spans="1:13" x14ac:dyDescent="0.25">
      <c r="A272" t="s">
        <v>1016</v>
      </c>
      <c r="B272" t="s">
        <v>1006</v>
      </c>
      <c r="C272" s="2">
        <v>45769.578113993055</v>
      </c>
      <c r="D272" s="2">
        <v>45727.548941782406</v>
      </c>
      <c r="E272" s="2">
        <v>45727.544082731481</v>
      </c>
      <c r="F272" t="s">
        <v>1007</v>
      </c>
      <c r="G272" t="s">
        <v>53</v>
      </c>
      <c r="H272" t="s">
        <v>60</v>
      </c>
      <c r="I272">
        <v>9</v>
      </c>
      <c r="J272">
        <v>45663</v>
      </c>
      <c r="K272">
        <v>0.64583333333333326</v>
      </c>
      <c r="L272">
        <v>0.625</v>
      </c>
      <c r="M272" t="s">
        <v>1009</v>
      </c>
    </row>
    <row r="273" spans="1:13" x14ac:dyDescent="0.25">
      <c r="A273" t="s">
        <v>1017</v>
      </c>
      <c r="B273" t="s">
        <v>1006</v>
      </c>
      <c r="C273" s="2">
        <v>45769.578114386575</v>
      </c>
      <c r="D273" s="2">
        <v>45730.674748101854</v>
      </c>
      <c r="E273" s="2">
        <v>45730.674747743054</v>
      </c>
      <c r="F273" t="s">
        <v>1007</v>
      </c>
      <c r="G273" t="s">
        <v>53</v>
      </c>
      <c r="H273" t="s">
        <v>60</v>
      </c>
      <c r="I273">
        <v>9</v>
      </c>
      <c r="J273">
        <v>45663</v>
      </c>
      <c r="K273">
        <v>0.64583333333333326</v>
      </c>
      <c r="L273">
        <v>0.625</v>
      </c>
      <c r="M273" t="s">
        <v>1009</v>
      </c>
    </row>
    <row r="274" spans="1:13" x14ac:dyDescent="0.25">
      <c r="A274" t="s">
        <v>1019</v>
      </c>
      <c r="B274" t="s">
        <v>1006</v>
      </c>
      <c r="C274" s="2">
        <v>45769.578115219905</v>
      </c>
      <c r="D274" s="2">
        <v>45740.441161863426</v>
      </c>
      <c r="E274" s="2">
        <v>45740.441161643517</v>
      </c>
      <c r="F274" t="s">
        <v>1007</v>
      </c>
      <c r="G274" t="s">
        <v>53</v>
      </c>
      <c r="H274" t="s">
        <v>60</v>
      </c>
      <c r="I274">
        <v>9</v>
      </c>
      <c r="J274">
        <v>45663</v>
      </c>
      <c r="K274">
        <v>0.64583333333333326</v>
      </c>
      <c r="L274">
        <v>0.625</v>
      </c>
      <c r="M274" t="s">
        <v>1009</v>
      </c>
    </row>
    <row r="275" spans="1:13" x14ac:dyDescent="0.25">
      <c r="A275" t="s">
        <v>1020</v>
      </c>
      <c r="B275" t="s">
        <v>1006</v>
      </c>
      <c r="C275" s="2">
        <v>45769.578115682867</v>
      </c>
      <c r="D275" s="2">
        <v>45747.434178240743</v>
      </c>
      <c r="E275" s="2">
        <v>45746.492342094905</v>
      </c>
      <c r="F275" t="s">
        <v>1007</v>
      </c>
      <c r="G275" t="s">
        <v>53</v>
      </c>
      <c r="H275" t="s">
        <v>60</v>
      </c>
      <c r="I275">
        <v>9</v>
      </c>
      <c r="J275">
        <v>45663</v>
      </c>
      <c r="K275">
        <v>0.64583333333333326</v>
      </c>
      <c r="L275">
        <v>0.625</v>
      </c>
      <c r="M275" t="s">
        <v>1009</v>
      </c>
    </row>
    <row r="276" spans="1:13" x14ac:dyDescent="0.25">
      <c r="A276" t="s">
        <v>1021</v>
      </c>
      <c r="B276" t="s">
        <v>1006</v>
      </c>
      <c r="C276" s="2">
        <v>45769.578116168981</v>
      </c>
      <c r="D276" s="2">
        <v>45748.008692129632</v>
      </c>
      <c r="E276" s="2">
        <v>45760.803375069445</v>
      </c>
      <c r="F276" t="s">
        <v>1007</v>
      </c>
      <c r="G276" t="s">
        <v>53</v>
      </c>
      <c r="H276" t="s">
        <v>60</v>
      </c>
      <c r="I276">
        <v>9</v>
      </c>
      <c r="J276">
        <v>45663</v>
      </c>
      <c r="K276">
        <v>0.64583333333333326</v>
      </c>
      <c r="L276">
        <v>0.625</v>
      </c>
      <c r="M276" t="s">
        <v>1009</v>
      </c>
    </row>
    <row r="277" spans="1:13" x14ac:dyDescent="0.25">
      <c r="A277" t="s">
        <v>1024</v>
      </c>
      <c r="B277" t="s">
        <v>1006</v>
      </c>
      <c r="C277" s="2">
        <v>45769.578117557867</v>
      </c>
      <c r="D277" s="2">
        <v>45755.522465879629</v>
      </c>
      <c r="E277" s="2">
        <v>45755.517505011572</v>
      </c>
      <c r="F277" t="s">
        <v>1007</v>
      </c>
      <c r="G277" t="s">
        <v>53</v>
      </c>
      <c r="H277" t="s">
        <v>60</v>
      </c>
      <c r="I277">
        <v>9</v>
      </c>
      <c r="J277">
        <v>45663</v>
      </c>
      <c r="K277">
        <v>0.64583333333333326</v>
      </c>
      <c r="L277">
        <v>0.625</v>
      </c>
      <c r="M277" t="s">
        <v>1009</v>
      </c>
    </row>
    <row r="278" spans="1:13" x14ac:dyDescent="0.25">
      <c r="A278" t="s">
        <v>1025</v>
      </c>
      <c r="B278" t="s">
        <v>1006</v>
      </c>
      <c r="C278" s="2">
        <v>45769.578118020836</v>
      </c>
      <c r="D278" s="2">
        <v>45756.741511504631</v>
      </c>
      <c r="E278" s="2">
        <v>45756.741511087967</v>
      </c>
      <c r="F278" t="s">
        <v>1007</v>
      </c>
      <c r="G278" t="s">
        <v>53</v>
      </c>
      <c r="H278" t="s">
        <v>60</v>
      </c>
      <c r="I278">
        <v>9</v>
      </c>
      <c r="J278">
        <v>45663</v>
      </c>
      <c r="K278">
        <v>0.64583333333333326</v>
      </c>
      <c r="L278">
        <v>0.625</v>
      </c>
      <c r="M278" t="s">
        <v>1009</v>
      </c>
    </row>
    <row r="279" spans="1:13" x14ac:dyDescent="0.25">
      <c r="A279" t="s">
        <v>1026</v>
      </c>
      <c r="B279" t="s">
        <v>1006</v>
      </c>
      <c r="C279" s="2">
        <v>45769.578118518519</v>
      </c>
      <c r="D279" s="2">
        <v>45758.796925532406</v>
      </c>
      <c r="E279" s="2">
        <v>45758.796925092596</v>
      </c>
      <c r="F279" t="s">
        <v>1007</v>
      </c>
      <c r="G279" t="s">
        <v>53</v>
      </c>
      <c r="H279" t="s">
        <v>60</v>
      </c>
      <c r="I279">
        <v>9</v>
      </c>
      <c r="J279">
        <v>45663</v>
      </c>
      <c r="K279">
        <v>0.64583333333333326</v>
      </c>
      <c r="L279">
        <v>0.625</v>
      </c>
      <c r="M279" t="s">
        <v>1009</v>
      </c>
    </row>
    <row r="280" spans="1:13" x14ac:dyDescent="0.25">
      <c r="A280" t="s">
        <v>1027</v>
      </c>
      <c r="B280" t="s">
        <v>1006</v>
      </c>
      <c r="C280" s="2">
        <v>45769.578119039354</v>
      </c>
      <c r="D280" s="2">
        <v>45762.136261574073</v>
      </c>
      <c r="E280" s="2">
        <v>45761.611620300922</v>
      </c>
      <c r="F280" t="s">
        <v>1007</v>
      </c>
      <c r="G280" t="s">
        <v>53</v>
      </c>
      <c r="H280" t="s">
        <v>60</v>
      </c>
      <c r="I280">
        <v>9</v>
      </c>
      <c r="J280">
        <v>45663</v>
      </c>
      <c r="K280">
        <v>0.64583333333333326</v>
      </c>
      <c r="L280">
        <v>0.625</v>
      </c>
      <c r="M280" t="s">
        <v>1009</v>
      </c>
    </row>
    <row r="281" spans="1:13" x14ac:dyDescent="0.25">
      <c r="A281" t="s">
        <v>1005</v>
      </c>
      <c r="B281" t="s">
        <v>1006</v>
      </c>
      <c r="C281" s="2">
        <v>45769.578089016206</v>
      </c>
      <c r="D281" s="2">
        <v>45769.034166666665</v>
      </c>
      <c r="E281" s="2">
        <v>45760.803204236108</v>
      </c>
      <c r="F281" t="s">
        <v>1007</v>
      </c>
      <c r="G281" t="s">
        <v>395</v>
      </c>
      <c r="H281" t="s">
        <v>401</v>
      </c>
      <c r="I281">
        <v>9</v>
      </c>
      <c r="J281">
        <v>45664</v>
      </c>
      <c r="K281">
        <v>0.58333333333333326</v>
      </c>
      <c r="L281">
        <v>0.58333333333333326</v>
      </c>
      <c r="M281" t="s">
        <v>1009</v>
      </c>
    </row>
    <row r="282" spans="1:13" x14ac:dyDescent="0.25">
      <c r="A282" t="s">
        <v>1011</v>
      </c>
      <c r="B282" t="s">
        <v>1006</v>
      </c>
      <c r="C282" s="2">
        <v>45769.578111863426</v>
      </c>
      <c r="D282" s="2">
        <v>45769.037777777776</v>
      </c>
      <c r="E282" s="2">
        <v>45712.703342291665</v>
      </c>
      <c r="F282" t="s">
        <v>1007</v>
      </c>
      <c r="G282" t="s">
        <v>395</v>
      </c>
      <c r="H282" t="s">
        <v>401</v>
      </c>
      <c r="I282">
        <v>9</v>
      </c>
      <c r="J282">
        <v>45664</v>
      </c>
      <c r="K282">
        <v>0.58333333333333326</v>
      </c>
      <c r="L282">
        <v>0.58333333333333326</v>
      </c>
      <c r="M282" t="s">
        <v>1009</v>
      </c>
    </row>
    <row r="283" spans="1:13" x14ac:dyDescent="0.25">
      <c r="A283" t="s">
        <v>1012</v>
      </c>
      <c r="B283" t="s">
        <v>1006</v>
      </c>
      <c r="C283" s="2">
        <v>45769.578112280091</v>
      </c>
      <c r="D283" s="2">
        <v>45769.035879629628</v>
      </c>
      <c r="E283" s="2">
        <v>45713.368867349534</v>
      </c>
      <c r="F283" t="s">
        <v>1007</v>
      </c>
      <c r="G283" t="s">
        <v>395</v>
      </c>
      <c r="H283" t="s">
        <v>401</v>
      </c>
      <c r="I283">
        <v>9</v>
      </c>
      <c r="J283">
        <v>45664</v>
      </c>
      <c r="K283">
        <v>0.58333333333333326</v>
      </c>
      <c r="L283">
        <v>0.58333333333333326</v>
      </c>
      <c r="M283" t="s">
        <v>1009</v>
      </c>
    </row>
    <row r="284" spans="1:13" x14ac:dyDescent="0.25">
      <c r="A284" t="s">
        <v>1013</v>
      </c>
      <c r="B284" t="s">
        <v>1006</v>
      </c>
      <c r="C284" s="2">
        <v>45769.578112673611</v>
      </c>
      <c r="D284" s="2">
        <v>45769.037800925929</v>
      </c>
      <c r="E284" s="2">
        <v>45718.720149895831</v>
      </c>
      <c r="F284" t="s">
        <v>1007</v>
      </c>
      <c r="G284" t="s">
        <v>395</v>
      </c>
      <c r="H284" t="s">
        <v>401</v>
      </c>
      <c r="I284">
        <v>9</v>
      </c>
      <c r="J284">
        <v>45664</v>
      </c>
      <c r="K284">
        <v>0.58333333333333326</v>
      </c>
      <c r="L284">
        <v>0.58333333333333326</v>
      </c>
      <c r="M284" t="s">
        <v>1009</v>
      </c>
    </row>
    <row r="285" spans="1:13" x14ac:dyDescent="0.25">
      <c r="A285" t="s">
        <v>1014</v>
      </c>
      <c r="B285" t="s">
        <v>1006</v>
      </c>
      <c r="C285" s="2">
        <v>45769.578113090276</v>
      </c>
      <c r="D285" s="2">
        <v>45769.037800925929</v>
      </c>
      <c r="E285" s="2">
        <v>45719.845094884258</v>
      </c>
      <c r="F285" t="s">
        <v>1007</v>
      </c>
      <c r="G285" t="s">
        <v>395</v>
      </c>
      <c r="H285" t="s">
        <v>401</v>
      </c>
      <c r="I285">
        <v>9</v>
      </c>
      <c r="J285">
        <v>45664</v>
      </c>
      <c r="K285">
        <v>0.58333333333333326</v>
      </c>
      <c r="L285">
        <v>0.58333333333333326</v>
      </c>
      <c r="M285" t="s">
        <v>1009</v>
      </c>
    </row>
    <row r="286" spans="1:13" x14ac:dyDescent="0.25">
      <c r="A286" t="s">
        <v>1015</v>
      </c>
      <c r="B286" t="s">
        <v>1006</v>
      </c>
      <c r="C286" s="2">
        <v>45769.578113564814</v>
      </c>
      <c r="D286" s="2">
        <v>45726.85528935185</v>
      </c>
      <c r="E286" s="2">
        <v>45726.856810578705</v>
      </c>
      <c r="F286" t="s">
        <v>1007</v>
      </c>
      <c r="G286" t="s">
        <v>395</v>
      </c>
      <c r="H286" t="s">
        <v>401</v>
      </c>
      <c r="I286">
        <v>9</v>
      </c>
      <c r="J286">
        <v>45664</v>
      </c>
      <c r="K286">
        <v>0.58333333333333326</v>
      </c>
      <c r="L286">
        <v>0.58333333333333326</v>
      </c>
      <c r="M286" t="s">
        <v>1009</v>
      </c>
    </row>
    <row r="287" spans="1:13" x14ac:dyDescent="0.25">
      <c r="A287" t="s">
        <v>1016</v>
      </c>
      <c r="B287" t="s">
        <v>1006</v>
      </c>
      <c r="C287" s="2">
        <v>45769.578113993055</v>
      </c>
      <c r="D287" s="2">
        <v>45727.548941782406</v>
      </c>
      <c r="E287" s="2">
        <v>45727.544082731481</v>
      </c>
      <c r="F287" t="s">
        <v>1007</v>
      </c>
      <c r="G287" t="s">
        <v>395</v>
      </c>
      <c r="H287" t="s">
        <v>401</v>
      </c>
      <c r="I287">
        <v>9</v>
      </c>
      <c r="J287">
        <v>45664</v>
      </c>
      <c r="K287">
        <v>0.58333333333333326</v>
      </c>
      <c r="L287">
        <v>0.58333333333333326</v>
      </c>
      <c r="M287" t="s">
        <v>1009</v>
      </c>
    </row>
    <row r="288" spans="1:13" x14ac:dyDescent="0.25">
      <c r="A288" t="s">
        <v>1017</v>
      </c>
      <c r="B288" t="s">
        <v>1006</v>
      </c>
      <c r="C288" s="2">
        <v>45769.578114386575</v>
      </c>
      <c r="D288" s="2">
        <v>45730.674748101854</v>
      </c>
      <c r="E288" s="2">
        <v>45730.674747743054</v>
      </c>
      <c r="F288" t="s">
        <v>1007</v>
      </c>
      <c r="G288" t="s">
        <v>395</v>
      </c>
      <c r="H288" t="s">
        <v>401</v>
      </c>
      <c r="I288">
        <v>9</v>
      </c>
      <c r="J288">
        <v>45664</v>
      </c>
      <c r="K288">
        <v>0.58333333333333326</v>
      </c>
      <c r="L288">
        <v>0.58333333333333326</v>
      </c>
      <c r="M288" t="s">
        <v>1009</v>
      </c>
    </row>
    <row r="289" spans="1:13" x14ac:dyDescent="0.25">
      <c r="A289" t="s">
        <v>1019</v>
      </c>
      <c r="B289" t="s">
        <v>1006</v>
      </c>
      <c r="C289" s="2">
        <v>45769.578115219905</v>
      </c>
      <c r="D289" s="2">
        <v>45740.441161863426</v>
      </c>
      <c r="E289" s="2">
        <v>45740.441161643517</v>
      </c>
      <c r="F289" t="s">
        <v>1007</v>
      </c>
      <c r="G289" t="s">
        <v>395</v>
      </c>
      <c r="H289" t="s">
        <v>401</v>
      </c>
      <c r="I289">
        <v>9</v>
      </c>
      <c r="J289">
        <v>45664</v>
      </c>
      <c r="K289">
        <v>0.58333333333333326</v>
      </c>
      <c r="L289">
        <v>0.58333333333333326</v>
      </c>
      <c r="M289" t="s">
        <v>1009</v>
      </c>
    </row>
    <row r="290" spans="1:13" x14ac:dyDescent="0.25">
      <c r="A290" t="s">
        <v>1020</v>
      </c>
      <c r="B290" t="s">
        <v>1006</v>
      </c>
      <c r="C290" s="2">
        <v>45769.578115682867</v>
      </c>
      <c r="D290" s="2">
        <v>45747.434178240743</v>
      </c>
      <c r="E290" s="2">
        <v>45746.492342094905</v>
      </c>
      <c r="F290" t="s">
        <v>1007</v>
      </c>
      <c r="G290" t="s">
        <v>395</v>
      </c>
      <c r="H290" t="s">
        <v>401</v>
      </c>
      <c r="I290">
        <v>9</v>
      </c>
      <c r="J290">
        <v>45664</v>
      </c>
      <c r="K290">
        <v>0.58333333333333326</v>
      </c>
      <c r="L290">
        <v>0.58333333333333326</v>
      </c>
      <c r="M290" t="s">
        <v>1009</v>
      </c>
    </row>
    <row r="291" spans="1:13" x14ac:dyDescent="0.25">
      <c r="A291" t="s">
        <v>1021</v>
      </c>
      <c r="B291" t="s">
        <v>1006</v>
      </c>
      <c r="C291" s="2">
        <v>45769.578116168981</v>
      </c>
      <c r="D291" s="2">
        <v>45748.008692129632</v>
      </c>
      <c r="E291" s="2">
        <v>45760.803375069445</v>
      </c>
      <c r="F291" t="s">
        <v>1007</v>
      </c>
      <c r="G291" t="s">
        <v>395</v>
      </c>
      <c r="H291" t="s">
        <v>401</v>
      </c>
      <c r="I291">
        <v>9</v>
      </c>
      <c r="J291">
        <v>45664</v>
      </c>
      <c r="K291">
        <v>0.58333333333333326</v>
      </c>
      <c r="L291">
        <v>0.58333333333333326</v>
      </c>
      <c r="M291" t="s">
        <v>1009</v>
      </c>
    </row>
    <row r="292" spans="1:13" x14ac:dyDescent="0.25">
      <c r="A292" t="s">
        <v>1024</v>
      </c>
      <c r="B292" t="s">
        <v>1006</v>
      </c>
      <c r="C292" s="2">
        <v>45769.578117557867</v>
      </c>
      <c r="D292" s="2">
        <v>45755.522465879629</v>
      </c>
      <c r="E292" s="2">
        <v>45755.517505011572</v>
      </c>
      <c r="F292" t="s">
        <v>1007</v>
      </c>
      <c r="G292" t="s">
        <v>395</v>
      </c>
      <c r="H292" t="s">
        <v>401</v>
      </c>
      <c r="I292">
        <v>9</v>
      </c>
      <c r="J292">
        <v>45664</v>
      </c>
      <c r="K292">
        <v>0.58333333333333326</v>
      </c>
      <c r="L292">
        <v>0.58333333333333326</v>
      </c>
      <c r="M292" t="s">
        <v>1009</v>
      </c>
    </row>
    <row r="293" spans="1:13" x14ac:dyDescent="0.25">
      <c r="A293" t="s">
        <v>1025</v>
      </c>
      <c r="B293" t="s">
        <v>1006</v>
      </c>
      <c r="C293" s="2">
        <v>45769.578118020836</v>
      </c>
      <c r="D293" s="2">
        <v>45756.741511504631</v>
      </c>
      <c r="E293" s="2">
        <v>45756.741511087967</v>
      </c>
      <c r="F293" t="s">
        <v>1007</v>
      </c>
      <c r="G293" t="s">
        <v>395</v>
      </c>
      <c r="H293" t="s">
        <v>401</v>
      </c>
      <c r="I293">
        <v>9</v>
      </c>
      <c r="J293">
        <v>45664</v>
      </c>
      <c r="K293">
        <v>0.58333333333333326</v>
      </c>
      <c r="L293">
        <v>0.58333333333333326</v>
      </c>
      <c r="M293" t="s">
        <v>1009</v>
      </c>
    </row>
    <row r="294" spans="1:13" x14ac:dyDescent="0.25">
      <c r="A294" t="s">
        <v>1026</v>
      </c>
      <c r="B294" t="s">
        <v>1006</v>
      </c>
      <c r="C294" s="2">
        <v>45769.578118518519</v>
      </c>
      <c r="D294" s="2">
        <v>45758.796925532406</v>
      </c>
      <c r="E294" s="2">
        <v>45758.796925092596</v>
      </c>
      <c r="F294" t="s">
        <v>1007</v>
      </c>
      <c r="G294" t="s">
        <v>395</v>
      </c>
      <c r="H294" t="s">
        <v>401</v>
      </c>
      <c r="I294">
        <v>9</v>
      </c>
      <c r="J294">
        <v>45664</v>
      </c>
      <c r="K294">
        <v>0.58333333333333326</v>
      </c>
      <c r="L294">
        <v>0.58333333333333326</v>
      </c>
      <c r="M294" t="s">
        <v>1009</v>
      </c>
    </row>
    <row r="295" spans="1:13" x14ac:dyDescent="0.25">
      <c r="A295" t="s">
        <v>1027</v>
      </c>
      <c r="B295" t="s">
        <v>1006</v>
      </c>
      <c r="C295" s="2">
        <v>45769.578119039354</v>
      </c>
      <c r="D295" s="2">
        <v>45762.136261574073</v>
      </c>
      <c r="E295" s="2">
        <v>45761.611620300922</v>
      </c>
      <c r="F295" t="s">
        <v>1007</v>
      </c>
      <c r="G295" t="s">
        <v>395</v>
      </c>
      <c r="H295" t="s">
        <v>401</v>
      </c>
      <c r="I295">
        <v>9</v>
      </c>
      <c r="J295">
        <v>45664</v>
      </c>
      <c r="K295">
        <v>0.58333333333333326</v>
      </c>
      <c r="L295">
        <v>0.58333333333333326</v>
      </c>
      <c r="M295" t="s">
        <v>1009</v>
      </c>
    </row>
    <row r="296" spans="1:13" x14ac:dyDescent="0.25">
      <c r="A296" t="s">
        <v>1005</v>
      </c>
      <c r="B296" t="s">
        <v>1006</v>
      </c>
      <c r="C296" s="2">
        <v>45769.578089016206</v>
      </c>
      <c r="D296" s="2">
        <v>45769.034166666665</v>
      </c>
      <c r="E296" s="2">
        <v>45760.803204236108</v>
      </c>
      <c r="F296" t="s">
        <v>1007</v>
      </c>
      <c r="G296" t="s">
        <v>341</v>
      </c>
      <c r="H296" t="s">
        <v>348</v>
      </c>
      <c r="I296">
        <v>9</v>
      </c>
      <c r="J296">
        <v>45670</v>
      </c>
      <c r="K296">
        <v>0.50347222222222232</v>
      </c>
      <c r="L296">
        <v>0.5</v>
      </c>
      <c r="M296" t="s">
        <v>1009</v>
      </c>
    </row>
    <row r="297" spans="1:13" x14ac:dyDescent="0.25">
      <c r="A297" t="s">
        <v>1011</v>
      </c>
      <c r="B297" t="s">
        <v>1006</v>
      </c>
      <c r="C297" s="2">
        <v>45769.578111863426</v>
      </c>
      <c r="D297" s="2">
        <v>45769.037777777776</v>
      </c>
      <c r="E297" s="2">
        <v>45712.703342291665</v>
      </c>
      <c r="F297" t="s">
        <v>1007</v>
      </c>
      <c r="G297" t="s">
        <v>341</v>
      </c>
      <c r="H297" t="s">
        <v>348</v>
      </c>
      <c r="I297">
        <v>9</v>
      </c>
      <c r="J297">
        <v>45670</v>
      </c>
      <c r="K297">
        <v>0.50347222222222232</v>
      </c>
      <c r="L297">
        <v>0.5</v>
      </c>
      <c r="M297" t="s">
        <v>1009</v>
      </c>
    </row>
    <row r="298" spans="1:13" x14ac:dyDescent="0.25">
      <c r="A298" t="s">
        <v>1012</v>
      </c>
      <c r="B298" t="s">
        <v>1006</v>
      </c>
      <c r="C298" s="2">
        <v>45769.578112280091</v>
      </c>
      <c r="D298" s="2">
        <v>45769.035879629628</v>
      </c>
      <c r="E298" s="2">
        <v>45713.368867349534</v>
      </c>
      <c r="F298" t="s">
        <v>1007</v>
      </c>
      <c r="G298" t="s">
        <v>341</v>
      </c>
      <c r="H298" t="s">
        <v>348</v>
      </c>
      <c r="I298">
        <v>9</v>
      </c>
      <c r="J298">
        <v>45670</v>
      </c>
      <c r="K298">
        <v>0.50347222222222232</v>
      </c>
      <c r="L298">
        <v>0.5</v>
      </c>
      <c r="M298" t="s">
        <v>1009</v>
      </c>
    </row>
    <row r="299" spans="1:13" x14ac:dyDescent="0.25">
      <c r="A299" t="s">
        <v>1013</v>
      </c>
      <c r="B299" t="s">
        <v>1006</v>
      </c>
      <c r="C299" s="2">
        <v>45769.578112673611</v>
      </c>
      <c r="D299" s="2">
        <v>45769.037800925929</v>
      </c>
      <c r="E299" s="2">
        <v>45718.720149895831</v>
      </c>
      <c r="F299" t="s">
        <v>1007</v>
      </c>
      <c r="G299" t="s">
        <v>341</v>
      </c>
      <c r="H299" t="s">
        <v>348</v>
      </c>
      <c r="I299">
        <v>9</v>
      </c>
      <c r="J299">
        <v>45670</v>
      </c>
      <c r="K299">
        <v>0.50347222222222232</v>
      </c>
      <c r="L299">
        <v>0.5</v>
      </c>
      <c r="M299" t="s">
        <v>1009</v>
      </c>
    </row>
    <row r="300" spans="1:13" x14ac:dyDescent="0.25">
      <c r="A300" t="s">
        <v>1014</v>
      </c>
      <c r="B300" t="s">
        <v>1006</v>
      </c>
      <c r="C300" s="2">
        <v>45769.578113090276</v>
      </c>
      <c r="D300" s="2">
        <v>45769.037800925929</v>
      </c>
      <c r="E300" s="2">
        <v>45719.845094884258</v>
      </c>
      <c r="F300" t="s">
        <v>1007</v>
      </c>
      <c r="G300" t="s">
        <v>341</v>
      </c>
      <c r="H300" t="s">
        <v>348</v>
      </c>
      <c r="I300">
        <v>9</v>
      </c>
      <c r="J300">
        <v>45670</v>
      </c>
      <c r="K300">
        <v>0.50347222222222232</v>
      </c>
      <c r="L300">
        <v>0.5</v>
      </c>
      <c r="M300" t="s">
        <v>1009</v>
      </c>
    </row>
    <row r="301" spans="1:13" x14ac:dyDescent="0.25">
      <c r="A301" t="s">
        <v>1015</v>
      </c>
      <c r="B301" t="s">
        <v>1006</v>
      </c>
      <c r="C301" s="2">
        <v>45769.578113564814</v>
      </c>
      <c r="D301" s="2">
        <v>45726.85528935185</v>
      </c>
      <c r="E301" s="2">
        <v>45726.856810578705</v>
      </c>
      <c r="F301" t="s">
        <v>1007</v>
      </c>
      <c r="G301" t="s">
        <v>341</v>
      </c>
      <c r="H301" t="s">
        <v>348</v>
      </c>
      <c r="I301">
        <v>9</v>
      </c>
      <c r="J301">
        <v>45670</v>
      </c>
      <c r="K301">
        <v>0.50347222222222232</v>
      </c>
      <c r="L301">
        <v>0.5</v>
      </c>
      <c r="M301" t="s">
        <v>1009</v>
      </c>
    </row>
    <row r="302" spans="1:13" x14ac:dyDescent="0.25">
      <c r="A302" t="s">
        <v>1016</v>
      </c>
      <c r="B302" t="s">
        <v>1006</v>
      </c>
      <c r="C302" s="2">
        <v>45769.578113993055</v>
      </c>
      <c r="D302" s="2">
        <v>45727.548941782406</v>
      </c>
      <c r="E302" s="2">
        <v>45727.544082731481</v>
      </c>
      <c r="F302" t="s">
        <v>1007</v>
      </c>
      <c r="G302" t="s">
        <v>341</v>
      </c>
      <c r="H302" t="s">
        <v>348</v>
      </c>
      <c r="I302">
        <v>9</v>
      </c>
      <c r="J302">
        <v>45670</v>
      </c>
      <c r="K302">
        <v>0.50347222222222232</v>
      </c>
      <c r="L302">
        <v>0.5</v>
      </c>
      <c r="M302" t="s">
        <v>1009</v>
      </c>
    </row>
    <row r="303" spans="1:13" x14ac:dyDescent="0.25">
      <c r="A303" t="s">
        <v>1017</v>
      </c>
      <c r="B303" t="s">
        <v>1006</v>
      </c>
      <c r="C303" s="2">
        <v>45769.578114386575</v>
      </c>
      <c r="D303" s="2">
        <v>45730.674748101854</v>
      </c>
      <c r="E303" s="2">
        <v>45730.674747743054</v>
      </c>
      <c r="F303" t="s">
        <v>1007</v>
      </c>
      <c r="G303" t="s">
        <v>341</v>
      </c>
      <c r="H303" t="s">
        <v>348</v>
      </c>
      <c r="I303">
        <v>9</v>
      </c>
      <c r="J303">
        <v>45670</v>
      </c>
      <c r="K303">
        <v>0.50347222222222232</v>
      </c>
      <c r="L303">
        <v>0.5</v>
      </c>
      <c r="M303" t="s">
        <v>1009</v>
      </c>
    </row>
    <row r="304" spans="1:13" x14ac:dyDescent="0.25">
      <c r="A304" t="s">
        <v>1019</v>
      </c>
      <c r="B304" t="s">
        <v>1006</v>
      </c>
      <c r="C304" s="2">
        <v>45769.578115219905</v>
      </c>
      <c r="D304" s="2">
        <v>45740.441161863426</v>
      </c>
      <c r="E304" s="2">
        <v>45740.441161643517</v>
      </c>
      <c r="F304" t="s">
        <v>1007</v>
      </c>
      <c r="G304" t="s">
        <v>341</v>
      </c>
      <c r="H304" t="s">
        <v>348</v>
      </c>
      <c r="I304">
        <v>9</v>
      </c>
      <c r="J304">
        <v>45670</v>
      </c>
      <c r="K304">
        <v>0.50347222222222232</v>
      </c>
      <c r="L304">
        <v>0.5</v>
      </c>
      <c r="M304" t="s">
        <v>1009</v>
      </c>
    </row>
    <row r="305" spans="1:13" x14ac:dyDescent="0.25">
      <c r="A305" t="s">
        <v>1020</v>
      </c>
      <c r="B305" t="s">
        <v>1006</v>
      </c>
      <c r="C305" s="2">
        <v>45769.578115682867</v>
      </c>
      <c r="D305" s="2">
        <v>45747.434178240743</v>
      </c>
      <c r="E305" s="2">
        <v>45746.492342094905</v>
      </c>
      <c r="F305" t="s">
        <v>1007</v>
      </c>
      <c r="G305" t="s">
        <v>341</v>
      </c>
      <c r="H305" t="s">
        <v>348</v>
      </c>
      <c r="I305">
        <v>9</v>
      </c>
      <c r="J305">
        <v>45670</v>
      </c>
      <c r="K305">
        <v>0.50347222222222232</v>
      </c>
      <c r="L305">
        <v>0.5</v>
      </c>
      <c r="M305" t="s">
        <v>1009</v>
      </c>
    </row>
    <row r="306" spans="1:13" x14ac:dyDescent="0.25">
      <c r="A306" t="s">
        <v>1021</v>
      </c>
      <c r="B306" t="s">
        <v>1006</v>
      </c>
      <c r="C306" s="2">
        <v>45769.578116168981</v>
      </c>
      <c r="D306" s="2">
        <v>45748.008692129632</v>
      </c>
      <c r="E306" s="2">
        <v>45760.803375069445</v>
      </c>
      <c r="F306" t="s">
        <v>1007</v>
      </c>
      <c r="G306" t="s">
        <v>341</v>
      </c>
      <c r="H306" t="s">
        <v>348</v>
      </c>
      <c r="I306">
        <v>9</v>
      </c>
      <c r="J306">
        <v>45670</v>
      </c>
      <c r="K306">
        <v>0.50347222222222232</v>
      </c>
      <c r="L306">
        <v>0.5</v>
      </c>
      <c r="M306" t="s">
        <v>1009</v>
      </c>
    </row>
    <row r="307" spans="1:13" x14ac:dyDescent="0.25">
      <c r="A307" t="s">
        <v>1024</v>
      </c>
      <c r="B307" t="s">
        <v>1006</v>
      </c>
      <c r="C307" s="2">
        <v>45769.578117557867</v>
      </c>
      <c r="D307" s="2">
        <v>45755.522465879629</v>
      </c>
      <c r="E307" s="2">
        <v>45755.517505011572</v>
      </c>
      <c r="F307" t="s">
        <v>1007</v>
      </c>
      <c r="G307" t="s">
        <v>341</v>
      </c>
      <c r="H307" t="s">
        <v>348</v>
      </c>
      <c r="I307">
        <v>9</v>
      </c>
      <c r="J307">
        <v>45670</v>
      </c>
      <c r="K307">
        <v>0.50347222222222232</v>
      </c>
      <c r="L307">
        <v>0.5</v>
      </c>
      <c r="M307" t="s">
        <v>1009</v>
      </c>
    </row>
    <row r="308" spans="1:13" x14ac:dyDescent="0.25">
      <c r="A308" t="s">
        <v>1025</v>
      </c>
      <c r="B308" t="s">
        <v>1006</v>
      </c>
      <c r="C308" s="2">
        <v>45769.578118020836</v>
      </c>
      <c r="D308" s="2">
        <v>45756.741511504631</v>
      </c>
      <c r="E308" s="2">
        <v>45756.741511087967</v>
      </c>
      <c r="F308" t="s">
        <v>1007</v>
      </c>
      <c r="G308" t="s">
        <v>341</v>
      </c>
      <c r="H308" t="s">
        <v>348</v>
      </c>
      <c r="I308">
        <v>9</v>
      </c>
      <c r="J308">
        <v>45670</v>
      </c>
      <c r="K308">
        <v>0.50347222222222232</v>
      </c>
      <c r="L308">
        <v>0.5</v>
      </c>
      <c r="M308" t="s">
        <v>1009</v>
      </c>
    </row>
    <row r="309" spans="1:13" x14ac:dyDescent="0.25">
      <c r="A309" t="s">
        <v>1026</v>
      </c>
      <c r="B309" t="s">
        <v>1006</v>
      </c>
      <c r="C309" s="2">
        <v>45769.578118518519</v>
      </c>
      <c r="D309" s="2">
        <v>45758.796925532406</v>
      </c>
      <c r="E309" s="2">
        <v>45758.796925092596</v>
      </c>
      <c r="F309" t="s">
        <v>1007</v>
      </c>
      <c r="G309" t="s">
        <v>341</v>
      </c>
      <c r="H309" t="s">
        <v>348</v>
      </c>
      <c r="I309">
        <v>9</v>
      </c>
      <c r="J309">
        <v>45670</v>
      </c>
      <c r="K309">
        <v>0.50347222222222232</v>
      </c>
      <c r="L309">
        <v>0.5</v>
      </c>
      <c r="M309" t="s">
        <v>1009</v>
      </c>
    </row>
    <row r="310" spans="1:13" x14ac:dyDescent="0.25">
      <c r="A310" t="s">
        <v>1027</v>
      </c>
      <c r="B310" t="s">
        <v>1006</v>
      </c>
      <c r="C310" s="2">
        <v>45769.578119039354</v>
      </c>
      <c r="D310" s="2">
        <v>45762.136261574073</v>
      </c>
      <c r="E310" s="2">
        <v>45761.611620300922</v>
      </c>
      <c r="F310" t="s">
        <v>1007</v>
      </c>
      <c r="G310" t="s">
        <v>341</v>
      </c>
      <c r="H310" t="s">
        <v>348</v>
      </c>
      <c r="I310">
        <v>9</v>
      </c>
      <c r="J310">
        <v>45670</v>
      </c>
      <c r="K310">
        <v>0.50347222222222232</v>
      </c>
      <c r="L310">
        <v>0.5</v>
      </c>
      <c r="M310" t="s">
        <v>1009</v>
      </c>
    </row>
    <row r="311" spans="1:13" x14ac:dyDescent="0.25">
      <c r="A311" t="s">
        <v>1005</v>
      </c>
      <c r="B311" t="s">
        <v>1006</v>
      </c>
      <c r="C311" s="2">
        <v>45769.578089016206</v>
      </c>
      <c r="D311" s="2">
        <v>45769.034166666665</v>
      </c>
      <c r="E311" s="2">
        <v>45760.803204236108</v>
      </c>
      <c r="F311" t="s">
        <v>1007</v>
      </c>
      <c r="G311" t="s">
        <v>356</v>
      </c>
      <c r="H311" t="s">
        <v>362</v>
      </c>
      <c r="I311">
        <v>9</v>
      </c>
      <c r="J311">
        <v>45671</v>
      </c>
      <c r="K311">
        <v>0.64067129629629638</v>
      </c>
      <c r="L311">
        <v>0.625</v>
      </c>
      <c r="M311" t="s">
        <v>1009</v>
      </c>
    </row>
    <row r="312" spans="1:13" x14ac:dyDescent="0.25">
      <c r="A312" t="s">
        <v>1011</v>
      </c>
      <c r="B312" t="s">
        <v>1006</v>
      </c>
      <c r="C312" s="2">
        <v>45769.578111863426</v>
      </c>
      <c r="D312" s="2">
        <v>45769.037777777776</v>
      </c>
      <c r="E312" s="2">
        <v>45712.703342291665</v>
      </c>
      <c r="F312" t="s">
        <v>1007</v>
      </c>
      <c r="G312" t="s">
        <v>356</v>
      </c>
      <c r="H312" t="s">
        <v>362</v>
      </c>
      <c r="I312">
        <v>9</v>
      </c>
      <c r="J312">
        <v>45671</v>
      </c>
      <c r="K312">
        <v>0.64067129629629638</v>
      </c>
      <c r="L312">
        <v>0.625</v>
      </c>
      <c r="M312" t="s">
        <v>1009</v>
      </c>
    </row>
    <row r="313" spans="1:13" x14ac:dyDescent="0.25">
      <c r="A313" t="s">
        <v>1012</v>
      </c>
      <c r="B313" t="s">
        <v>1006</v>
      </c>
      <c r="C313" s="2">
        <v>45769.578112280091</v>
      </c>
      <c r="D313" s="2">
        <v>45769.035879629628</v>
      </c>
      <c r="E313" s="2">
        <v>45713.368867349534</v>
      </c>
      <c r="F313" t="s">
        <v>1007</v>
      </c>
      <c r="G313" t="s">
        <v>184</v>
      </c>
      <c r="H313" t="s">
        <v>190</v>
      </c>
      <c r="I313">
        <v>9</v>
      </c>
      <c r="J313">
        <v>45671</v>
      </c>
      <c r="K313">
        <v>0.4638888888888888</v>
      </c>
      <c r="L313">
        <v>0.45833333333333326</v>
      </c>
      <c r="M313" t="s">
        <v>1010</v>
      </c>
    </row>
    <row r="314" spans="1:13" x14ac:dyDescent="0.25">
      <c r="A314" t="s">
        <v>1012</v>
      </c>
      <c r="B314" t="s">
        <v>1006</v>
      </c>
      <c r="C314" s="2">
        <v>45769.578112280091</v>
      </c>
      <c r="D314" s="2">
        <v>45769.035879629628</v>
      </c>
      <c r="E314" s="2">
        <v>45713.368867349534</v>
      </c>
      <c r="F314" t="s">
        <v>1007</v>
      </c>
      <c r="G314" t="s">
        <v>356</v>
      </c>
      <c r="H314" t="s">
        <v>362</v>
      </c>
      <c r="I314">
        <v>9</v>
      </c>
      <c r="J314">
        <v>45671</v>
      </c>
      <c r="K314">
        <v>0.64067129629629638</v>
      </c>
      <c r="L314">
        <v>0.625</v>
      </c>
      <c r="M314" t="s">
        <v>1009</v>
      </c>
    </row>
    <row r="315" spans="1:13" x14ac:dyDescent="0.25">
      <c r="A315" t="s">
        <v>1013</v>
      </c>
      <c r="B315" t="s">
        <v>1006</v>
      </c>
      <c r="C315" s="2">
        <v>45769.578112673611</v>
      </c>
      <c r="D315" s="2">
        <v>45769.037800925929</v>
      </c>
      <c r="E315" s="2">
        <v>45718.720149895831</v>
      </c>
      <c r="F315" t="s">
        <v>1007</v>
      </c>
      <c r="G315" t="s">
        <v>184</v>
      </c>
      <c r="H315" t="s">
        <v>190</v>
      </c>
      <c r="I315">
        <v>9</v>
      </c>
      <c r="J315">
        <v>45671</v>
      </c>
      <c r="K315">
        <v>0.4638888888888888</v>
      </c>
      <c r="L315">
        <v>0.45833333333333326</v>
      </c>
      <c r="M315" t="s">
        <v>1010</v>
      </c>
    </row>
    <row r="316" spans="1:13" x14ac:dyDescent="0.25">
      <c r="A316" t="s">
        <v>1013</v>
      </c>
      <c r="B316" t="s">
        <v>1006</v>
      </c>
      <c r="C316" s="2">
        <v>45769.578112673611</v>
      </c>
      <c r="D316" s="2">
        <v>45769.037800925929</v>
      </c>
      <c r="E316" s="2">
        <v>45718.720149895831</v>
      </c>
      <c r="F316" t="s">
        <v>1007</v>
      </c>
      <c r="G316" t="s">
        <v>356</v>
      </c>
      <c r="H316" t="s">
        <v>362</v>
      </c>
      <c r="I316">
        <v>9</v>
      </c>
      <c r="J316">
        <v>45671</v>
      </c>
      <c r="K316">
        <v>0.64067129629629638</v>
      </c>
      <c r="L316">
        <v>0.625</v>
      </c>
      <c r="M316" t="s">
        <v>1009</v>
      </c>
    </row>
    <row r="317" spans="1:13" x14ac:dyDescent="0.25">
      <c r="A317" t="s">
        <v>1014</v>
      </c>
      <c r="B317" t="s">
        <v>1006</v>
      </c>
      <c r="C317" s="2">
        <v>45769.578113090276</v>
      </c>
      <c r="D317" s="2">
        <v>45769.037800925929</v>
      </c>
      <c r="E317" s="2">
        <v>45719.845094884258</v>
      </c>
      <c r="F317" t="s">
        <v>1007</v>
      </c>
      <c r="G317" t="s">
        <v>184</v>
      </c>
      <c r="H317" t="s">
        <v>190</v>
      </c>
      <c r="I317">
        <v>9</v>
      </c>
      <c r="J317">
        <v>45671</v>
      </c>
      <c r="K317">
        <v>0.4638888888888888</v>
      </c>
      <c r="L317">
        <v>0.45833333333333326</v>
      </c>
      <c r="M317" t="s">
        <v>1010</v>
      </c>
    </row>
    <row r="318" spans="1:13" x14ac:dyDescent="0.25">
      <c r="A318" t="s">
        <v>1014</v>
      </c>
      <c r="B318" t="s">
        <v>1006</v>
      </c>
      <c r="C318" s="2">
        <v>45769.578113090276</v>
      </c>
      <c r="D318" s="2">
        <v>45769.037800925929</v>
      </c>
      <c r="E318" s="2">
        <v>45719.845094884258</v>
      </c>
      <c r="F318" t="s">
        <v>1007</v>
      </c>
      <c r="G318" t="s">
        <v>356</v>
      </c>
      <c r="H318" t="s">
        <v>362</v>
      </c>
      <c r="I318">
        <v>9</v>
      </c>
      <c r="J318">
        <v>45671</v>
      </c>
      <c r="K318">
        <v>0.64067129629629638</v>
      </c>
      <c r="L318">
        <v>0.625</v>
      </c>
      <c r="M318" t="s">
        <v>1009</v>
      </c>
    </row>
    <row r="319" spans="1:13" x14ac:dyDescent="0.25">
      <c r="A319" t="s">
        <v>1015</v>
      </c>
      <c r="B319" t="s">
        <v>1006</v>
      </c>
      <c r="C319" s="2">
        <v>45769.578113564814</v>
      </c>
      <c r="D319" s="2">
        <v>45726.85528935185</v>
      </c>
      <c r="E319" s="2">
        <v>45726.856810578705</v>
      </c>
      <c r="F319" t="s">
        <v>1007</v>
      </c>
      <c r="G319" t="s">
        <v>184</v>
      </c>
      <c r="H319" t="s">
        <v>190</v>
      </c>
      <c r="I319">
        <v>9</v>
      </c>
      <c r="J319">
        <v>45671</v>
      </c>
      <c r="K319">
        <v>0.4638888888888888</v>
      </c>
      <c r="L319">
        <v>0.45833333333333326</v>
      </c>
      <c r="M319" t="s">
        <v>1010</v>
      </c>
    </row>
    <row r="320" spans="1:13" x14ac:dyDescent="0.25">
      <c r="A320" t="s">
        <v>1015</v>
      </c>
      <c r="B320" t="s">
        <v>1006</v>
      </c>
      <c r="C320" s="2">
        <v>45769.578113564814</v>
      </c>
      <c r="D320" s="2">
        <v>45726.85528935185</v>
      </c>
      <c r="E320" s="2">
        <v>45726.856810578705</v>
      </c>
      <c r="F320" t="s">
        <v>1007</v>
      </c>
      <c r="G320" t="s">
        <v>356</v>
      </c>
      <c r="H320" t="s">
        <v>362</v>
      </c>
      <c r="I320">
        <v>9</v>
      </c>
      <c r="J320">
        <v>45671</v>
      </c>
      <c r="K320">
        <v>0.64067129629629638</v>
      </c>
      <c r="L320">
        <v>0.625</v>
      </c>
      <c r="M320" t="s">
        <v>1009</v>
      </c>
    </row>
    <row r="321" spans="1:13" x14ac:dyDescent="0.25">
      <c r="A321" t="s">
        <v>1016</v>
      </c>
      <c r="B321" t="s">
        <v>1006</v>
      </c>
      <c r="C321" s="2">
        <v>45769.578113993055</v>
      </c>
      <c r="D321" s="2">
        <v>45727.548941782406</v>
      </c>
      <c r="E321" s="2">
        <v>45727.544082731481</v>
      </c>
      <c r="F321" t="s">
        <v>1007</v>
      </c>
      <c r="G321" t="s">
        <v>356</v>
      </c>
      <c r="H321" t="s">
        <v>362</v>
      </c>
      <c r="I321">
        <v>9</v>
      </c>
      <c r="J321">
        <v>45671</v>
      </c>
      <c r="K321">
        <v>0.64067129629629638</v>
      </c>
      <c r="L321">
        <v>0.625</v>
      </c>
      <c r="M321" t="s">
        <v>1009</v>
      </c>
    </row>
    <row r="322" spans="1:13" x14ac:dyDescent="0.25">
      <c r="A322" t="s">
        <v>1017</v>
      </c>
      <c r="B322" t="s">
        <v>1006</v>
      </c>
      <c r="C322" s="2">
        <v>45769.578114386575</v>
      </c>
      <c r="D322" s="2">
        <v>45730.674748101854</v>
      </c>
      <c r="E322" s="2">
        <v>45730.674747743054</v>
      </c>
      <c r="F322" t="s">
        <v>1007</v>
      </c>
      <c r="G322" t="s">
        <v>356</v>
      </c>
      <c r="H322" t="s">
        <v>362</v>
      </c>
      <c r="I322">
        <v>9</v>
      </c>
      <c r="J322">
        <v>45671</v>
      </c>
      <c r="K322">
        <v>0.64067129629629638</v>
      </c>
      <c r="L322">
        <v>0.625</v>
      </c>
      <c r="M322" t="s">
        <v>1009</v>
      </c>
    </row>
    <row r="323" spans="1:13" x14ac:dyDescent="0.25">
      <c r="A323" t="s">
        <v>1019</v>
      </c>
      <c r="B323" t="s">
        <v>1006</v>
      </c>
      <c r="C323" s="2">
        <v>45769.578115219905</v>
      </c>
      <c r="D323" s="2">
        <v>45740.441161863426</v>
      </c>
      <c r="E323" s="2">
        <v>45740.441161643517</v>
      </c>
      <c r="F323" t="s">
        <v>1007</v>
      </c>
      <c r="G323" t="s">
        <v>356</v>
      </c>
      <c r="H323" t="s">
        <v>362</v>
      </c>
      <c r="I323">
        <v>9</v>
      </c>
      <c r="J323">
        <v>45671</v>
      </c>
      <c r="K323">
        <v>0.64067129629629638</v>
      </c>
      <c r="L323">
        <v>0.625</v>
      </c>
      <c r="M323" t="s">
        <v>1009</v>
      </c>
    </row>
    <row r="324" spans="1:13" x14ac:dyDescent="0.25">
      <c r="A324" t="s">
        <v>1020</v>
      </c>
      <c r="B324" t="s">
        <v>1006</v>
      </c>
      <c r="C324" s="2">
        <v>45769.578115682867</v>
      </c>
      <c r="D324" s="2">
        <v>45747.434178240743</v>
      </c>
      <c r="E324" s="2">
        <v>45746.492342094905</v>
      </c>
      <c r="F324" t="s">
        <v>1007</v>
      </c>
      <c r="G324" t="s">
        <v>356</v>
      </c>
      <c r="H324" t="s">
        <v>362</v>
      </c>
      <c r="I324">
        <v>9</v>
      </c>
      <c r="J324">
        <v>45671</v>
      </c>
      <c r="K324">
        <v>0.64067129629629638</v>
      </c>
      <c r="L324">
        <v>0.625</v>
      </c>
      <c r="M324" t="s">
        <v>1009</v>
      </c>
    </row>
    <row r="325" spans="1:13" x14ac:dyDescent="0.25">
      <c r="A325" t="s">
        <v>1021</v>
      </c>
      <c r="B325" t="s">
        <v>1006</v>
      </c>
      <c r="C325" s="2">
        <v>45769.578116168981</v>
      </c>
      <c r="D325" s="2">
        <v>45748.008692129632</v>
      </c>
      <c r="E325" s="2">
        <v>45760.803375069445</v>
      </c>
      <c r="F325" t="s">
        <v>1007</v>
      </c>
      <c r="G325" t="s">
        <v>356</v>
      </c>
      <c r="H325" t="s">
        <v>362</v>
      </c>
      <c r="I325">
        <v>9</v>
      </c>
      <c r="J325">
        <v>45671</v>
      </c>
      <c r="K325">
        <v>0.64067129629629638</v>
      </c>
      <c r="L325">
        <v>0.625</v>
      </c>
      <c r="M325" t="s">
        <v>1009</v>
      </c>
    </row>
    <row r="326" spans="1:13" x14ac:dyDescent="0.25">
      <c r="A326" t="s">
        <v>1024</v>
      </c>
      <c r="B326" t="s">
        <v>1006</v>
      </c>
      <c r="C326" s="2">
        <v>45769.578117557867</v>
      </c>
      <c r="D326" s="2">
        <v>45755.522465879629</v>
      </c>
      <c r="E326" s="2">
        <v>45755.517505011572</v>
      </c>
      <c r="F326" t="s">
        <v>1007</v>
      </c>
      <c r="G326" t="s">
        <v>356</v>
      </c>
      <c r="H326" t="s">
        <v>362</v>
      </c>
      <c r="I326">
        <v>9</v>
      </c>
      <c r="J326">
        <v>45671</v>
      </c>
      <c r="K326">
        <v>0.64067129629629638</v>
      </c>
      <c r="L326">
        <v>0.625</v>
      </c>
      <c r="M326" t="s">
        <v>1009</v>
      </c>
    </row>
    <row r="327" spans="1:13" x14ac:dyDescent="0.25">
      <c r="A327" t="s">
        <v>1025</v>
      </c>
      <c r="B327" t="s">
        <v>1006</v>
      </c>
      <c r="C327" s="2">
        <v>45769.578118020836</v>
      </c>
      <c r="D327" s="2">
        <v>45756.741511504631</v>
      </c>
      <c r="E327" s="2">
        <v>45756.741511087967</v>
      </c>
      <c r="F327" t="s">
        <v>1007</v>
      </c>
      <c r="G327" t="s">
        <v>356</v>
      </c>
      <c r="H327" t="s">
        <v>362</v>
      </c>
      <c r="I327">
        <v>9</v>
      </c>
      <c r="J327">
        <v>45671</v>
      </c>
      <c r="K327">
        <v>0.64067129629629638</v>
      </c>
      <c r="L327">
        <v>0.625</v>
      </c>
      <c r="M327" t="s">
        <v>1009</v>
      </c>
    </row>
    <row r="328" spans="1:13" x14ac:dyDescent="0.25">
      <c r="A328" t="s">
        <v>1026</v>
      </c>
      <c r="B328" t="s">
        <v>1006</v>
      </c>
      <c r="C328" s="2">
        <v>45769.578118518519</v>
      </c>
      <c r="D328" s="2">
        <v>45758.796925532406</v>
      </c>
      <c r="E328" s="2">
        <v>45758.796925092596</v>
      </c>
      <c r="F328" t="s">
        <v>1007</v>
      </c>
      <c r="G328" t="s">
        <v>356</v>
      </c>
      <c r="H328" t="s">
        <v>362</v>
      </c>
      <c r="I328">
        <v>9</v>
      </c>
      <c r="J328">
        <v>45671</v>
      </c>
      <c r="K328">
        <v>0.64067129629629638</v>
      </c>
      <c r="L328">
        <v>0.625</v>
      </c>
      <c r="M328" t="s">
        <v>1009</v>
      </c>
    </row>
    <row r="329" spans="1:13" x14ac:dyDescent="0.25">
      <c r="A329" t="s">
        <v>1027</v>
      </c>
      <c r="B329" t="s">
        <v>1006</v>
      </c>
      <c r="C329" s="2">
        <v>45769.578119039354</v>
      </c>
      <c r="D329" s="2">
        <v>45762.136261574073</v>
      </c>
      <c r="E329" s="2">
        <v>45761.611620300922</v>
      </c>
      <c r="F329" t="s">
        <v>1007</v>
      </c>
      <c r="G329" t="s">
        <v>356</v>
      </c>
      <c r="H329" t="s">
        <v>362</v>
      </c>
      <c r="I329">
        <v>9</v>
      </c>
      <c r="J329">
        <v>45671</v>
      </c>
      <c r="K329">
        <v>0.64067129629629638</v>
      </c>
      <c r="L329">
        <v>0.625</v>
      </c>
      <c r="M329" t="s">
        <v>1009</v>
      </c>
    </row>
    <row r="330" spans="1:13" x14ac:dyDescent="0.25">
      <c r="A330" t="s">
        <v>1005</v>
      </c>
      <c r="B330" t="s">
        <v>1006</v>
      </c>
      <c r="C330" s="2">
        <v>45769.578089016206</v>
      </c>
      <c r="D330" s="2">
        <v>45769.034166666665</v>
      </c>
      <c r="E330" s="2">
        <v>45760.803204236108</v>
      </c>
      <c r="F330" t="s">
        <v>1007</v>
      </c>
      <c r="G330" t="s">
        <v>224</v>
      </c>
      <c r="H330" t="s">
        <v>227</v>
      </c>
      <c r="I330">
        <v>9</v>
      </c>
      <c r="J330">
        <v>45672</v>
      </c>
      <c r="K330">
        <v>0.5398842592592592</v>
      </c>
      <c r="L330">
        <v>0.5</v>
      </c>
      <c r="M330" t="s">
        <v>1009</v>
      </c>
    </row>
    <row r="331" spans="1:13" x14ac:dyDescent="0.25">
      <c r="A331" t="s">
        <v>1011</v>
      </c>
      <c r="B331" t="s">
        <v>1006</v>
      </c>
      <c r="C331" s="2">
        <v>45769.578111863426</v>
      </c>
      <c r="D331" s="2">
        <v>45769.037777777776</v>
      </c>
      <c r="E331" s="2">
        <v>45712.703342291665</v>
      </c>
      <c r="F331" t="s">
        <v>1007</v>
      </c>
      <c r="G331" t="s">
        <v>224</v>
      </c>
      <c r="H331" t="s">
        <v>227</v>
      </c>
      <c r="I331">
        <v>9</v>
      </c>
      <c r="J331">
        <v>45672</v>
      </c>
      <c r="K331">
        <v>0.5398842592592592</v>
      </c>
      <c r="L331">
        <v>0.5</v>
      </c>
      <c r="M331" t="s">
        <v>1009</v>
      </c>
    </row>
    <row r="332" spans="1:13" x14ac:dyDescent="0.25">
      <c r="A332" t="s">
        <v>1012</v>
      </c>
      <c r="B332" t="s">
        <v>1006</v>
      </c>
      <c r="C332" s="2">
        <v>45769.578112280091</v>
      </c>
      <c r="D332" s="2">
        <v>45769.035879629628</v>
      </c>
      <c r="E332" s="2">
        <v>45713.368867349534</v>
      </c>
      <c r="F332" t="s">
        <v>1007</v>
      </c>
      <c r="G332" t="s">
        <v>224</v>
      </c>
      <c r="H332" t="s">
        <v>227</v>
      </c>
      <c r="I332">
        <v>9</v>
      </c>
      <c r="J332">
        <v>45672</v>
      </c>
      <c r="K332">
        <v>0.5398842592592592</v>
      </c>
      <c r="L332">
        <v>0.5</v>
      </c>
      <c r="M332" t="s">
        <v>1009</v>
      </c>
    </row>
    <row r="333" spans="1:13" x14ac:dyDescent="0.25">
      <c r="A333" t="s">
        <v>1013</v>
      </c>
      <c r="B333" t="s">
        <v>1006</v>
      </c>
      <c r="C333" s="2">
        <v>45769.578112673611</v>
      </c>
      <c r="D333" s="2">
        <v>45769.037800925929</v>
      </c>
      <c r="E333" s="2">
        <v>45718.720149895831</v>
      </c>
      <c r="F333" t="s">
        <v>1007</v>
      </c>
      <c r="G333" t="s">
        <v>224</v>
      </c>
      <c r="H333" t="s">
        <v>227</v>
      </c>
      <c r="I333">
        <v>9</v>
      </c>
      <c r="J333">
        <v>45672</v>
      </c>
      <c r="K333">
        <v>0.5398842592592592</v>
      </c>
      <c r="L333">
        <v>0.5</v>
      </c>
      <c r="M333" t="s">
        <v>1009</v>
      </c>
    </row>
    <row r="334" spans="1:13" x14ac:dyDescent="0.25">
      <c r="A334" t="s">
        <v>1014</v>
      </c>
      <c r="B334" t="s">
        <v>1006</v>
      </c>
      <c r="C334" s="2">
        <v>45769.578113090276</v>
      </c>
      <c r="D334" s="2">
        <v>45769.037800925929</v>
      </c>
      <c r="E334" s="2">
        <v>45719.845094884258</v>
      </c>
      <c r="F334" t="s">
        <v>1007</v>
      </c>
      <c r="G334" t="s">
        <v>224</v>
      </c>
      <c r="H334" t="s">
        <v>227</v>
      </c>
      <c r="I334">
        <v>9</v>
      </c>
      <c r="J334">
        <v>45672</v>
      </c>
      <c r="K334">
        <v>0.5398842592592592</v>
      </c>
      <c r="L334">
        <v>0.5</v>
      </c>
      <c r="M334" t="s">
        <v>1009</v>
      </c>
    </row>
    <row r="335" spans="1:13" x14ac:dyDescent="0.25">
      <c r="A335" t="s">
        <v>1015</v>
      </c>
      <c r="B335" t="s">
        <v>1006</v>
      </c>
      <c r="C335" s="2">
        <v>45769.578113564814</v>
      </c>
      <c r="D335" s="2">
        <v>45726.85528935185</v>
      </c>
      <c r="E335" s="2">
        <v>45726.856810578705</v>
      </c>
      <c r="F335" t="s">
        <v>1007</v>
      </c>
      <c r="G335" t="s">
        <v>224</v>
      </c>
      <c r="H335" t="s">
        <v>227</v>
      </c>
      <c r="I335">
        <v>9</v>
      </c>
      <c r="J335">
        <v>45672</v>
      </c>
      <c r="K335">
        <v>0.5398842592592592</v>
      </c>
      <c r="L335">
        <v>0.5</v>
      </c>
      <c r="M335" t="s">
        <v>1009</v>
      </c>
    </row>
    <row r="336" spans="1:13" x14ac:dyDescent="0.25">
      <c r="A336" t="s">
        <v>1016</v>
      </c>
      <c r="B336" t="s">
        <v>1006</v>
      </c>
      <c r="C336" s="2">
        <v>45769.578113993055</v>
      </c>
      <c r="D336" s="2">
        <v>45727.548941782406</v>
      </c>
      <c r="E336" s="2">
        <v>45727.544082731481</v>
      </c>
      <c r="F336" t="s">
        <v>1007</v>
      </c>
      <c r="G336" t="s">
        <v>224</v>
      </c>
      <c r="H336" t="s">
        <v>227</v>
      </c>
      <c r="I336">
        <v>9</v>
      </c>
      <c r="J336">
        <v>45672</v>
      </c>
      <c r="K336">
        <v>0.5398842592592592</v>
      </c>
      <c r="L336">
        <v>0.5</v>
      </c>
      <c r="M336" t="s">
        <v>1009</v>
      </c>
    </row>
    <row r="337" spans="1:13" x14ac:dyDescent="0.25">
      <c r="A337" t="s">
        <v>1017</v>
      </c>
      <c r="B337" t="s">
        <v>1006</v>
      </c>
      <c r="C337" s="2">
        <v>45769.578114386575</v>
      </c>
      <c r="D337" s="2">
        <v>45730.674748101854</v>
      </c>
      <c r="E337" s="2">
        <v>45730.674747743054</v>
      </c>
      <c r="F337" t="s">
        <v>1007</v>
      </c>
      <c r="G337" t="s">
        <v>224</v>
      </c>
      <c r="H337" t="s">
        <v>227</v>
      </c>
      <c r="I337">
        <v>9</v>
      </c>
      <c r="J337">
        <v>45672</v>
      </c>
      <c r="K337">
        <v>0.5398842592592592</v>
      </c>
      <c r="L337">
        <v>0.5</v>
      </c>
      <c r="M337" t="s">
        <v>1009</v>
      </c>
    </row>
    <row r="338" spans="1:13" x14ac:dyDescent="0.25">
      <c r="A338" t="s">
        <v>1019</v>
      </c>
      <c r="B338" t="s">
        <v>1006</v>
      </c>
      <c r="C338" s="2">
        <v>45769.578115219905</v>
      </c>
      <c r="D338" s="2">
        <v>45740.441161863426</v>
      </c>
      <c r="E338" s="2">
        <v>45740.441161643517</v>
      </c>
      <c r="F338" t="s">
        <v>1007</v>
      </c>
      <c r="G338" t="s">
        <v>224</v>
      </c>
      <c r="H338" t="s">
        <v>227</v>
      </c>
      <c r="I338">
        <v>9</v>
      </c>
      <c r="J338">
        <v>45672</v>
      </c>
      <c r="K338">
        <v>0.5398842592592592</v>
      </c>
      <c r="L338">
        <v>0.5</v>
      </c>
      <c r="M338" t="s">
        <v>1009</v>
      </c>
    </row>
    <row r="339" spans="1:13" x14ac:dyDescent="0.25">
      <c r="A339" t="s">
        <v>1020</v>
      </c>
      <c r="B339" t="s">
        <v>1006</v>
      </c>
      <c r="C339" s="2">
        <v>45769.578115682867</v>
      </c>
      <c r="D339" s="2">
        <v>45747.434178240743</v>
      </c>
      <c r="E339" s="2">
        <v>45746.492342094905</v>
      </c>
      <c r="F339" t="s">
        <v>1007</v>
      </c>
      <c r="G339" t="s">
        <v>224</v>
      </c>
      <c r="H339" t="s">
        <v>227</v>
      </c>
      <c r="I339">
        <v>9</v>
      </c>
      <c r="J339">
        <v>45672</v>
      </c>
      <c r="K339">
        <v>0.5398842592592592</v>
      </c>
      <c r="L339">
        <v>0.5</v>
      </c>
      <c r="M339" t="s">
        <v>1009</v>
      </c>
    </row>
    <row r="340" spans="1:13" x14ac:dyDescent="0.25">
      <c r="A340" t="s">
        <v>1021</v>
      </c>
      <c r="B340" t="s">
        <v>1006</v>
      </c>
      <c r="C340" s="2">
        <v>45769.578116168981</v>
      </c>
      <c r="D340" s="2">
        <v>45748.008692129632</v>
      </c>
      <c r="E340" s="2">
        <v>45760.803375069445</v>
      </c>
      <c r="F340" t="s">
        <v>1007</v>
      </c>
      <c r="G340" t="s">
        <v>224</v>
      </c>
      <c r="H340" t="s">
        <v>227</v>
      </c>
      <c r="I340">
        <v>9</v>
      </c>
      <c r="J340">
        <v>45672</v>
      </c>
      <c r="K340">
        <v>0.5398842592592592</v>
      </c>
      <c r="L340">
        <v>0.5</v>
      </c>
      <c r="M340" t="s">
        <v>1009</v>
      </c>
    </row>
    <row r="341" spans="1:13" x14ac:dyDescent="0.25">
      <c r="A341" t="s">
        <v>1024</v>
      </c>
      <c r="B341" t="s">
        <v>1006</v>
      </c>
      <c r="C341" s="2">
        <v>45769.578117557867</v>
      </c>
      <c r="D341" s="2">
        <v>45755.522465879629</v>
      </c>
      <c r="E341" s="2">
        <v>45755.517505011572</v>
      </c>
      <c r="F341" t="s">
        <v>1007</v>
      </c>
      <c r="G341" t="s">
        <v>224</v>
      </c>
      <c r="H341" t="s">
        <v>227</v>
      </c>
      <c r="I341">
        <v>9</v>
      </c>
      <c r="J341">
        <v>45672</v>
      </c>
      <c r="K341">
        <v>0.5398842592592592</v>
      </c>
      <c r="L341">
        <v>0.5</v>
      </c>
      <c r="M341" t="s">
        <v>1009</v>
      </c>
    </row>
    <row r="342" spans="1:13" x14ac:dyDescent="0.25">
      <c r="A342" t="s">
        <v>1025</v>
      </c>
      <c r="B342" t="s">
        <v>1006</v>
      </c>
      <c r="C342" s="2">
        <v>45769.578118020836</v>
      </c>
      <c r="D342" s="2">
        <v>45756.741511504631</v>
      </c>
      <c r="E342" s="2">
        <v>45756.741511087967</v>
      </c>
      <c r="F342" t="s">
        <v>1007</v>
      </c>
      <c r="G342" t="s">
        <v>224</v>
      </c>
      <c r="H342" t="s">
        <v>227</v>
      </c>
      <c r="I342">
        <v>9</v>
      </c>
      <c r="J342">
        <v>45672</v>
      </c>
      <c r="K342">
        <v>0.5398842592592592</v>
      </c>
      <c r="L342">
        <v>0.5</v>
      </c>
      <c r="M342" t="s">
        <v>1009</v>
      </c>
    </row>
    <row r="343" spans="1:13" x14ac:dyDescent="0.25">
      <c r="A343" t="s">
        <v>1026</v>
      </c>
      <c r="B343" t="s">
        <v>1006</v>
      </c>
      <c r="C343" s="2">
        <v>45769.578118518519</v>
      </c>
      <c r="D343" s="2">
        <v>45758.796925532406</v>
      </c>
      <c r="E343" s="2">
        <v>45758.796925092596</v>
      </c>
      <c r="F343" t="s">
        <v>1007</v>
      </c>
      <c r="G343" t="s">
        <v>224</v>
      </c>
      <c r="H343" t="s">
        <v>227</v>
      </c>
      <c r="I343">
        <v>9</v>
      </c>
      <c r="J343">
        <v>45672</v>
      </c>
      <c r="K343">
        <v>0.5398842592592592</v>
      </c>
      <c r="L343">
        <v>0.5</v>
      </c>
      <c r="M343" t="s">
        <v>1009</v>
      </c>
    </row>
    <row r="344" spans="1:13" x14ac:dyDescent="0.25">
      <c r="A344" t="s">
        <v>1027</v>
      </c>
      <c r="B344" t="s">
        <v>1006</v>
      </c>
      <c r="C344" s="2">
        <v>45769.578119039354</v>
      </c>
      <c r="D344" s="2">
        <v>45762.136261574073</v>
      </c>
      <c r="E344" s="2">
        <v>45761.611620300922</v>
      </c>
      <c r="F344" t="s">
        <v>1007</v>
      </c>
      <c r="G344" t="s">
        <v>224</v>
      </c>
      <c r="H344" t="s">
        <v>227</v>
      </c>
      <c r="I344">
        <v>9</v>
      </c>
      <c r="J344">
        <v>45672</v>
      </c>
      <c r="K344">
        <v>0.5398842592592592</v>
      </c>
      <c r="L344">
        <v>0.5</v>
      </c>
      <c r="M344" t="s">
        <v>1009</v>
      </c>
    </row>
    <row r="345" spans="1:13" x14ac:dyDescent="0.25">
      <c r="A345" t="s">
        <v>1005</v>
      </c>
      <c r="B345" t="s">
        <v>1006</v>
      </c>
      <c r="C345" s="2">
        <v>45769.578089016206</v>
      </c>
      <c r="D345" s="2">
        <v>45769.034166666665</v>
      </c>
      <c r="E345" s="2">
        <v>45760.803204236108</v>
      </c>
      <c r="F345" t="s">
        <v>1007</v>
      </c>
      <c r="G345" t="s">
        <v>129</v>
      </c>
      <c r="H345" t="s">
        <v>133</v>
      </c>
      <c r="I345">
        <v>9</v>
      </c>
      <c r="J345">
        <v>45673</v>
      </c>
      <c r="K345">
        <v>0.5</v>
      </c>
      <c r="L345">
        <v>0.5</v>
      </c>
      <c r="M345" t="s">
        <v>1009</v>
      </c>
    </row>
    <row r="346" spans="1:13" x14ac:dyDescent="0.25">
      <c r="A346" t="s">
        <v>1005</v>
      </c>
      <c r="B346" t="s">
        <v>1006</v>
      </c>
      <c r="C346" s="2">
        <v>45769.578089016206</v>
      </c>
      <c r="D346" s="2">
        <v>45769.034166666665</v>
      </c>
      <c r="E346" s="2">
        <v>45760.803204236108</v>
      </c>
      <c r="F346" t="s">
        <v>1007</v>
      </c>
      <c r="G346" t="s">
        <v>371</v>
      </c>
      <c r="H346" t="s">
        <v>374</v>
      </c>
      <c r="I346">
        <v>9</v>
      </c>
      <c r="J346">
        <v>45673</v>
      </c>
      <c r="K346">
        <v>0.87708333333333344</v>
      </c>
      <c r="L346">
        <v>0.875</v>
      </c>
      <c r="M346" t="s">
        <v>1008</v>
      </c>
    </row>
    <row r="347" spans="1:13" x14ac:dyDescent="0.25">
      <c r="A347" t="s">
        <v>1011</v>
      </c>
      <c r="B347" t="s">
        <v>1006</v>
      </c>
      <c r="C347" s="2">
        <v>45769.578111863426</v>
      </c>
      <c r="D347" s="2">
        <v>45769.037777777776</v>
      </c>
      <c r="E347" s="2">
        <v>45712.703342291665</v>
      </c>
      <c r="F347" t="s">
        <v>1007</v>
      </c>
      <c r="G347" t="s">
        <v>129</v>
      </c>
      <c r="H347" t="s">
        <v>133</v>
      </c>
      <c r="I347">
        <v>9</v>
      </c>
      <c r="J347">
        <v>45673</v>
      </c>
      <c r="K347">
        <v>0.5</v>
      </c>
      <c r="L347">
        <v>0.5</v>
      </c>
      <c r="M347" t="s">
        <v>1009</v>
      </c>
    </row>
    <row r="348" spans="1:13" x14ac:dyDescent="0.25">
      <c r="A348" t="s">
        <v>1011</v>
      </c>
      <c r="B348" t="s">
        <v>1006</v>
      </c>
      <c r="C348" s="2">
        <v>45769.578111863426</v>
      </c>
      <c r="D348" s="2">
        <v>45769.037777777776</v>
      </c>
      <c r="E348" s="2">
        <v>45712.703342291665</v>
      </c>
      <c r="F348" t="s">
        <v>1007</v>
      </c>
      <c r="G348" t="s">
        <v>371</v>
      </c>
      <c r="H348" t="s">
        <v>374</v>
      </c>
      <c r="I348">
        <v>9</v>
      </c>
      <c r="J348">
        <v>45673</v>
      </c>
      <c r="K348">
        <v>0.87708333333333344</v>
      </c>
      <c r="L348">
        <v>0.875</v>
      </c>
      <c r="M348" t="s">
        <v>1008</v>
      </c>
    </row>
    <row r="349" spans="1:13" x14ac:dyDescent="0.25">
      <c r="A349" t="s">
        <v>1012</v>
      </c>
      <c r="B349" t="s">
        <v>1006</v>
      </c>
      <c r="C349" s="2">
        <v>45769.578112280091</v>
      </c>
      <c r="D349" s="2">
        <v>45769.035879629628</v>
      </c>
      <c r="E349" s="2">
        <v>45713.368867349534</v>
      </c>
      <c r="F349" t="s">
        <v>1007</v>
      </c>
      <c r="G349" t="s">
        <v>197</v>
      </c>
      <c r="H349" t="s">
        <v>202</v>
      </c>
      <c r="I349">
        <v>9</v>
      </c>
      <c r="J349">
        <v>45673</v>
      </c>
      <c r="K349">
        <v>0.83333333333333326</v>
      </c>
      <c r="L349">
        <v>0.83333333333333326</v>
      </c>
      <c r="M349" t="s">
        <v>1008</v>
      </c>
    </row>
    <row r="350" spans="1:13" x14ac:dyDescent="0.25">
      <c r="A350" t="s">
        <v>1012</v>
      </c>
      <c r="B350" t="s">
        <v>1006</v>
      </c>
      <c r="C350" s="2">
        <v>45769.578112280091</v>
      </c>
      <c r="D350" s="2">
        <v>45769.035879629628</v>
      </c>
      <c r="E350" s="2">
        <v>45713.368867349534</v>
      </c>
      <c r="F350" t="s">
        <v>1007</v>
      </c>
      <c r="G350" t="s">
        <v>129</v>
      </c>
      <c r="H350" t="s">
        <v>133</v>
      </c>
      <c r="I350">
        <v>9</v>
      </c>
      <c r="J350">
        <v>45673</v>
      </c>
      <c r="K350">
        <v>0.5</v>
      </c>
      <c r="L350">
        <v>0.5</v>
      </c>
      <c r="M350" t="s">
        <v>1009</v>
      </c>
    </row>
    <row r="351" spans="1:13" x14ac:dyDescent="0.25">
      <c r="A351" t="s">
        <v>1012</v>
      </c>
      <c r="B351" t="s">
        <v>1006</v>
      </c>
      <c r="C351" s="2">
        <v>45769.578112280091</v>
      </c>
      <c r="D351" s="2">
        <v>45769.035879629628</v>
      </c>
      <c r="E351" s="2">
        <v>45713.368867349534</v>
      </c>
      <c r="F351" t="s">
        <v>1007</v>
      </c>
      <c r="G351" t="s">
        <v>371</v>
      </c>
      <c r="H351" t="s">
        <v>374</v>
      </c>
      <c r="I351">
        <v>9</v>
      </c>
      <c r="J351">
        <v>45673</v>
      </c>
      <c r="K351">
        <v>0.87708333333333344</v>
      </c>
      <c r="L351">
        <v>0.875</v>
      </c>
      <c r="M351" t="s">
        <v>1008</v>
      </c>
    </row>
    <row r="352" spans="1:13" x14ac:dyDescent="0.25">
      <c r="A352" t="s">
        <v>1013</v>
      </c>
      <c r="B352" t="s">
        <v>1006</v>
      </c>
      <c r="C352" s="2">
        <v>45769.578112673611</v>
      </c>
      <c r="D352" s="2">
        <v>45769.037800925929</v>
      </c>
      <c r="E352" s="2">
        <v>45718.720149895831</v>
      </c>
      <c r="F352" t="s">
        <v>1007</v>
      </c>
      <c r="G352" t="s">
        <v>197</v>
      </c>
      <c r="H352" t="s">
        <v>202</v>
      </c>
      <c r="I352">
        <v>9</v>
      </c>
      <c r="J352">
        <v>45673</v>
      </c>
      <c r="K352">
        <v>0.83333333333333326</v>
      </c>
      <c r="L352">
        <v>0.83333333333333326</v>
      </c>
      <c r="M352" t="s">
        <v>1008</v>
      </c>
    </row>
    <row r="353" spans="1:13" x14ac:dyDescent="0.25">
      <c r="A353" t="s">
        <v>1013</v>
      </c>
      <c r="B353" t="s">
        <v>1006</v>
      </c>
      <c r="C353" s="2">
        <v>45769.578112673611</v>
      </c>
      <c r="D353" s="2">
        <v>45769.037800925929</v>
      </c>
      <c r="E353" s="2">
        <v>45718.720149895831</v>
      </c>
      <c r="F353" t="s">
        <v>1007</v>
      </c>
      <c r="G353" t="s">
        <v>129</v>
      </c>
      <c r="H353" t="s">
        <v>133</v>
      </c>
      <c r="I353">
        <v>9</v>
      </c>
      <c r="J353">
        <v>45673</v>
      </c>
      <c r="K353">
        <v>0.5</v>
      </c>
      <c r="L353">
        <v>0.5</v>
      </c>
      <c r="M353" t="s">
        <v>1009</v>
      </c>
    </row>
    <row r="354" spans="1:13" x14ac:dyDescent="0.25">
      <c r="A354" t="s">
        <v>1013</v>
      </c>
      <c r="B354" t="s">
        <v>1006</v>
      </c>
      <c r="C354" s="2">
        <v>45769.578112673611</v>
      </c>
      <c r="D354" s="2">
        <v>45769.037800925929</v>
      </c>
      <c r="E354" s="2">
        <v>45718.720149895831</v>
      </c>
      <c r="F354" t="s">
        <v>1007</v>
      </c>
      <c r="G354" t="s">
        <v>371</v>
      </c>
      <c r="H354" t="s">
        <v>374</v>
      </c>
      <c r="I354">
        <v>9</v>
      </c>
      <c r="J354">
        <v>45673</v>
      </c>
      <c r="K354">
        <v>0.87708333333333344</v>
      </c>
      <c r="L354">
        <v>0.875</v>
      </c>
      <c r="M354" t="s">
        <v>1008</v>
      </c>
    </row>
    <row r="355" spans="1:13" x14ac:dyDescent="0.25">
      <c r="A355" t="s">
        <v>1014</v>
      </c>
      <c r="B355" t="s">
        <v>1006</v>
      </c>
      <c r="C355" s="2">
        <v>45769.578113090276</v>
      </c>
      <c r="D355" s="2">
        <v>45769.037800925929</v>
      </c>
      <c r="E355" s="2">
        <v>45719.845094884258</v>
      </c>
      <c r="F355" t="s">
        <v>1007</v>
      </c>
      <c r="G355" t="s">
        <v>197</v>
      </c>
      <c r="H355" t="s">
        <v>202</v>
      </c>
      <c r="I355">
        <v>9</v>
      </c>
      <c r="J355">
        <v>45673</v>
      </c>
      <c r="K355">
        <v>0.83333333333333326</v>
      </c>
      <c r="L355">
        <v>0.83333333333333326</v>
      </c>
      <c r="M355" t="s">
        <v>1008</v>
      </c>
    </row>
    <row r="356" spans="1:13" x14ac:dyDescent="0.25">
      <c r="A356" t="s">
        <v>1014</v>
      </c>
      <c r="B356" t="s">
        <v>1006</v>
      </c>
      <c r="C356" s="2">
        <v>45769.578113090276</v>
      </c>
      <c r="D356" s="2">
        <v>45769.037800925929</v>
      </c>
      <c r="E356" s="2">
        <v>45719.845094884258</v>
      </c>
      <c r="F356" t="s">
        <v>1007</v>
      </c>
      <c r="G356" t="s">
        <v>129</v>
      </c>
      <c r="H356" t="s">
        <v>133</v>
      </c>
      <c r="I356">
        <v>9</v>
      </c>
      <c r="J356">
        <v>45673</v>
      </c>
      <c r="K356">
        <v>0.5</v>
      </c>
      <c r="L356">
        <v>0.5</v>
      </c>
      <c r="M356" t="s">
        <v>1009</v>
      </c>
    </row>
    <row r="357" spans="1:13" x14ac:dyDescent="0.25">
      <c r="A357" t="s">
        <v>1014</v>
      </c>
      <c r="B357" t="s">
        <v>1006</v>
      </c>
      <c r="C357" s="2">
        <v>45769.578113090276</v>
      </c>
      <c r="D357" s="2">
        <v>45769.037800925929</v>
      </c>
      <c r="E357" s="2">
        <v>45719.845094884258</v>
      </c>
      <c r="F357" t="s">
        <v>1007</v>
      </c>
      <c r="G357" t="s">
        <v>371</v>
      </c>
      <c r="H357" t="s">
        <v>374</v>
      </c>
      <c r="I357">
        <v>9</v>
      </c>
      <c r="J357">
        <v>45673</v>
      </c>
      <c r="K357">
        <v>0.87708333333333344</v>
      </c>
      <c r="L357">
        <v>0.875</v>
      </c>
      <c r="M357" t="s">
        <v>1008</v>
      </c>
    </row>
    <row r="358" spans="1:13" x14ac:dyDescent="0.25">
      <c r="A358" t="s">
        <v>1015</v>
      </c>
      <c r="B358" t="s">
        <v>1006</v>
      </c>
      <c r="C358" s="2">
        <v>45769.578113564814</v>
      </c>
      <c r="D358" s="2">
        <v>45726.85528935185</v>
      </c>
      <c r="E358" s="2">
        <v>45726.856810578705</v>
      </c>
      <c r="F358" t="s">
        <v>1007</v>
      </c>
      <c r="G358" t="s">
        <v>197</v>
      </c>
      <c r="H358" t="s">
        <v>202</v>
      </c>
      <c r="I358">
        <v>9</v>
      </c>
      <c r="J358">
        <v>45673</v>
      </c>
      <c r="K358">
        <v>0.83333333333333326</v>
      </c>
      <c r="L358">
        <v>0.83333333333333326</v>
      </c>
      <c r="M358" t="s">
        <v>1008</v>
      </c>
    </row>
    <row r="359" spans="1:13" x14ac:dyDescent="0.25">
      <c r="A359" t="s">
        <v>1015</v>
      </c>
      <c r="B359" t="s">
        <v>1006</v>
      </c>
      <c r="C359" s="2">
        <v>45769.578113564814</v>
      </c>
      <c r="D359" s="2">
        <v>45726.85528935185</v>
      </c>
      <c r="E359" s="2">
        <v>45726.856810578705</v>
      </c>
      <c r="F359" t="s">
        <v>1007</v>
      </c>
      <c r="G359" t="s">
        <v>129</v>
      </c>
      <c r="H359" t="s">
        <v>133</v>
      </c>
      <c r="I359">
        <v>9</v>
      </c>
      <c r="J359">
        <v>45673</v>
      </c>
      <c r="K359">
        <v>0.5</v>
      </c>
      <c r="L359">
        <v>0.5</v>
      </c>
      <c r="M359" t="s">
        <v>1009</v>
      </c>
    </row>
    <row r="360" spans="1:13" x14ac:dyDescent="0.25">
      <c r="A360" t="s">
        <v>1015</v>
      </c>
      <c r="B360" t="s">
        <v>1006</v>
      </c>
      <c r="C360" s="2">
        <v>45769.578113564814</v>
      </c>
      <c r="D360" s="2">
        <v>45726.85528935185</v>
      </c>
      <c r="E360" s="2">
        <v>45726.856810578705</v>
      </c>
      <c r="F360" t="s">
        <v>1007</v>
      </c>
      <c r="G360" t="s">
        <v>371</v>
      </c>
      <c r="H360" t="s">
        <v>374</v>
      </c>
      <c r="I360">
        <v>9</v>
      </c>
      <c r="J360">
        <v>45673</v>
      </c>
      <c r="K360">
        <v>0.87708333333333344</v>
      </c>
      <c r="L360">
        <v>0.875</v>
      </c>
      <c r="M360" t="s">
        <v>1008</v>
      </c>
    </row>
    <row r="361" spans="1:13" x14ac:dyDescent="0.25">
      <c r="A361" t="s">
        <v>1016</v>
      </c>
      <c r="B361" t="s">
        <v>1006</v>
      </c>
      <c r="C361" s="2">
        <v>45769.578113993055</v>
      </c>
      <c r="D361" s="2">
        <v>45727.548941782406</v>
      </c>
      <c r="E361" s="2">
        <v>45727.544082731481</v>
      </c>
      <c r="F361" t="s">
        <v>1007</v>
      </c>
      <c r="G361" t="s">
        <v>129</v>
      </c>
      <c r="H361" t="s">
        <v>133</v>
      </c>
      <c r="I361">
        <v>9</v>
      </c>
      <c r="J361">
        <v>45673</v>
      </c>
      <c r="K361">
        <v>0.5</v>
      </c>
      <c r="L361">
        <v>0.5</v>
      </c>
      <c r="M361" t="s">
        <v>1009</v>
      </c>
    </row>
    <row r="362" spans="1:13" x14ac:dyDescent="0.25">
      <c r="A362" t="s">
        <v>1016</v>
      </c>
      <c r="B362" t="s">
        <v>1006</v>
      </c>
      <c r="C362" s="2">
        <v>45769.578113993055</v>
      </c>
      <c r="D362" s="2">
        <v>45727.548941782406</v>
      </c>
      <c r="E362" s="2">
        <v>45727.544082731481</v>
      </c>
      <c r="F362" t="s">
        <v>1007</v>
      </c>
      <c r="G362" t="s">
        <v>371</v>
      </c>
      <c r="H362" t="s">
        <v>374</v>
      </c>
      <c r="I362">
        <v>9</v>
      </c>
      <c r="J362">
        <v>45673</v>
      </c>
      <c r="K362">
        <v>0.87708333333333344</v>
      </c>
      <c r="L362">
        <v>0.875</v>
      </c>
      <c r="M362" t="s">
        <v>1008</v>
      </c>
    </row>
    <row r="363" spans="1:13" x14ac:dyDescent="0.25">
      <c r="A363" t="s">
        <v>1017</v>
      </c>
      <c r="B363" t="s">
        <v>1006</v>
      </c>
      <c r="C363" s="2">
        <v>45769.578114386575</v>
      </c>
      <c r="D363" s="2">
        <v>45730.674748101854</v>
      </c>
      <c r="E363" s="2">
        <v>45730.674747743054</v>
      </c>
      <c r="F363" t="s">
        <v>1007</v>
      </c>
      <c r="G363" t="s">
        <v>129</v>
      </c>
      <c r="H363" t="s">
        <v>133</v>
      </c>
      <c r="I363">
        <v>9</v>
      </c>
      <c r="J363">
        <v>45673</v>
      </c>
      <c r="K363">
        <v>0.5</v>
      </c>
      <c r="L363">
        <v>0.5</v>
      </c>
      <c r="M363" t="s">
        <v>1009</v>
      </c>
    </row>
    <row r="364" spans="1:13" x14ac:dyDescent="0.25">
      <c r="A364" t="s">
        <v>1017</v>
      </c>
      <c r="B364" t="s">
        <v>1006</v>
      </c>
      <c r="C364" s="2">
        <v>45769.578114386575</v>
      </c>
      <c r="D364" s="2">
        <v>45730.674748101854</v>
      </c>
      <c r="E364" s="2">
        <v>45730.674747743054</v>
      </c>
      <c r="F364" t="s">
        <v>1007</v>
      </c>
      <c r="G364" t="s">
        <v>371</v>
      </c>
      <c r="H364" t="s">
        <v>374</v>
      </c>
      <c r="I364">
        <v>9</v>
      </c>
      <c r="J364">
        <v>45673</v>
      </c>
      <c r="K364">
        <v>0.87708333333333344</v>
      </c>
      <c r="L364">
        <v>0.875</v>
      </c>
      <c r="M364" t="s">
        <v>1008</v>
      </c>
    </row>
    <row r="365" spans="1:13" x14ac:dyDescent="0.25">
      <c r="A365" t="s">
        <v>1019</v>
      </c>
      <c r="B365" t="s">
        <v>1006</v>
      </c>
      <c r="C365" s="2">
        <v>45769.578115219905</v>
      </c>
      <c r="D365" s="2">
        <v>45740.441161863426</v>
      </c>
      <c r="E365" s="2">
        <v>45740.441161643517</v>
      </c>
      <c r="F365" t="s">
        <v>1007</v>
      </c>
      <c r="G365" t="s">
        <v>129</v>
      </c>
      <c r="H365" t="s">
        <v>133</v>
      </c>
      <c r="I365">
        <v>9</v>
      </c>
      <c r="J365">
        <v>45673</v>
      </c>
      <c r="K365">
        <v>0.5</v>
      </c>
      <c r="L365">
        <v>0.5</v>
      </c>
      <c r="M365" t="s">
        <v>1009</v>
      </c>
    </row>
    <row r="366" spans="1:13" x14ac:dyDescent="0.25">
      <c r="A366" t="s">
        <v>1019</v>
      </c>
      <c r="B366" t="s">
        <v>1006</v>
      </c>
      <c r="C366" s="2">
        <v>45769.578115219905</v>
      </c>
      <c r="D366" s="2">
        <v>45740.441161863426</v>
      </c>
      <c r="E366" s="2">
        <v>45740.441161643517</v>
      </c>
      <c r="F366" t="s">
        <v>1007</v>
      </c>
      <c r="G366" t="s">
        <v>371</v>
      </c>
      <c r="H366" t="s">
        <v>374</v>
      </c>
      <c r="I366">
        <v>9</v>
      </c>
      <c r="J366">
        <v>45673</v>
      </c>
      <c r="K366">
        <v>0.87708333333333344</v>
      </c>
      <c r="L366">
        <v>0.875</v>
      </c>
      <c r="M366" t="s">
        <v>1008</v>
      </c>
    </row>
    <row r="367" spans="1:13" x14ac:dyDescent="0.25">
      <c r="A367" t="s">
        <v>1020</v>
      </c>
      <c r="B367" t="s">
        <v>1006</v>
      </c>
      <c r="C367" s="2">
        <v>45769.578115682867</v>
      </c>
      <c r="D367" s="2">
        <v>45747.434178240743</v>
      </c>
      <c r="E367" s="2">
        <v>45746.492342094905</v>
      </c>
      <c r="F367" t="s">
        <v>1007</v>
      </c>
      <c r="G367" t="s">
        <v>129</v>
      </c>
      <c r="H367" t="s">
        <v>133</v>
      </c>
      <c r="I367">
        <v>9</v>
      </c>
      <c r="J367">
        <v>45673</v>
      </c>
      <c r="K367">
        <v>0.5</v>
      </c>
      <c r="L367">
        <v>0.5</v>
      </c>
      <c r="M367" t="s">
        <v>1009</v>
      </c>
    </row>
    <row r="368" spans="1:13" x14ac:dyDescent="0.25">
      <c r="A368" t="s">
        <v>1020</v>
      </c>
      <c r="B368" t="s">
        <v>1006</v>
      </c>
      <c r="C368" s="2">
        <v>45769.578115682867</v>
      </c>
      <c r="D368" s="2">
        <v>45747.434178240743</v>
      </c>
      <c r="E368" s="2">
        <v>45746.492342094905</v>
      </c>
      <c r="F368" t="s">
        <v>1007</v>
      </c>
      <c r="G368" t="s">
        <v>371</v>
      </c>
      <c r="H368" t="s">
        <v>374</v>
      </c>
      <c r="I368">
        <v>9</v>
      </c>
      <c r="J368">
        <v>45673</v>
      </c>
      <c r="K368">
        <v>0.87708333333333344</v>
      </c>
      <c r="L368">
        <v>0.875</v>
      </c>
      <c r="M368" t="s">
        <v>1008</v>
      </c>
    </row>
    <row r="369" spans="1:13" x14ac:dyDescent="0.25">
      <c r="A369" t="s">
        <v>1021</v>
      </c>
      <c r="B369" t="s">
        <v>1006</v>
      </c>
      <c r="C369" s="2">
        <v>45769.578116168981</v>
      </c>
      <c r="D369" s="2">
        <v>45748.008692129632</v>
      </c>
      <c r="E369" s="2">
        <v>45760.803375069445</v>
      </c>
      <c r="F369" t="s">
        <v>1007</v>
      </c>
      <c r="G369" t="s">
        <v>129</v>
      </c>
      <c r="H369" t="s">
        <v>133</v>
      </c>
      <c r="I369">
        <v>9</v>
      </c>
      <c r="J369">
        <v>45673</v>
      </c>
      <c r="K369">
        <v>0.5</v>
      </c>
      <c r="L369">
        <v>0.5</v>
      </c>
      <c r="M369" t="s">
        <v>1009</v>
      </c>
    </row>
    <row r="370" spans="1:13" x14ac:dyDescent="0.25">
      <c r="A370" t="s">
        <v>1021</v>
      </c>
      <c r="B370" t="s">
        <v>1006</v>
      </c>
      <c r="C370" s="2">
        <v>45769.578116168981</v>
      </c>
      <c r="D370" s="2">
        <v>45748.008692129632</v>
      </c>
      <c r="E370" s="2">
        <v>45760.803375069445</v>
      </c>
      <c r="F370" t="s">
        <v>1007</v>
      </c>
      <c r="G370" t="s">
        <v>371</v>
      </c>
      <c r="H370" t="s">
        <v>374</v>
      </c>
      <c r="I370">
        <v>9</v>
      </c>
      <c r="J370">
        <v>45673</v>
      </c>
      <c r="K370">
        <v>0.87708333333333344</v>
      </c>
      <c r="L370">
        <v>0.875</v>
      </c>
      <c r="M370" t="s">
        <v>1008</v>
      </c>
    </row>
    <row r="371" spans="1:13" x14ac:dyDescent="0.25">
      <c r="A371" t="s">
        <v>1024</v>
      </c>
      <c r="B371" t="s">
        <v>1006</v>
      </c>
      <c r="C371" s="2">
        <v>45769.578117557867</v>
      </c>
      <c r="D371" s="2">
        <v>45755.522465879629</v>
      </c>
      <c r="E371" s="2">
        <v>45755.517505011572</v>
      </c>
      <c r="F371" t="s">
        <v>1007</v>
      </c>
      <c r="G371" t="s">
        <v>129</v>
      </c>
      <c r="H371" t="s">
        <v>133</v>
      </c>
      <c r="I371">
        <v>9</v>
      </c>
      <c r="J371">
        <v>45673</v>
      </c>
      <c r="K371">
        <v>0.5</v>
      </c>
      <c r="L371">
        <v>0.5</v>
      </c>
      <c r="M371" t="s">
        <v>1009</v>
      </c>
    </row>
    <row r="372" spans="1:13" x14ac:dyDescent="0.25">
      <c r="A372" t="s">
        <v>1024</v>
      </c>
      <c r="B372" t="s">
        <v>1006</v>
      </c>
      <c r="C372" s="2">
        <v>45769.578117557867</v>
      </c>
      <c r="D372" s="2">
        <v>45755.522465879629</v>
      </c>
      <c r="E372" s="2">
        <v>45755.517505011572</v>
      </c>
      <c r="F372" t="s">
        <v>1007</v>
      </c>
      <c r="G372" t="s">
        <v>371</v>
      </c>
      <c r="H372" t="s">
        <v>374</v>
      </c>
      <c r="I372">
        <v>9</v>
      </c>
      <c r="J372">
        <v>45673</v>
      </c>
      <c r="K372">
        <v>0.87708333333333344</v>
      </c>
      <c r="L372">
        <v>0.875</v>
      </c>
      <c r="M372" t="s">
        <v>1008</v>
      </c>
    </row>
    <row r="373" spans="1:13" x14ac:dyDescent="0.25">
      <c r="A373" t="s">
        <v>1025</v>
      </c>
      <c r="B373" t="s">
        <v>1006</v>
      </c>
      <c r="C373" s="2">
        <v>45769.578118020836</v>
      </c>
      <c r="D373" s="2">
        <v>45756.741511504631</v>
      </c>
      <c r="E373" s="2">
        <v>45756.741511087967</v>
      </c>
      <c r="F373" t="s">
        <v>1007</v>
      </c>
      <c r="G373" t="s">
        <v>129</v>
      </c>
      <c r="H373" t="s">
        <v>133</v>
      </c>
      <c r="I373">
        <v>9</v>
      </c>
      <c r="J373">
        <v>45673</v>
      </c>
      <c r="K373">
        <v>0.5</v>
      </c>
      <c r="L373">
        <v>0.5</v>
      </c>
      <c r="M373" t="s">
        <v>1009</v>
      </c>
    </row>
    <row r="374" spans="1:13" x14ac:dyDescent="0.25">
      <c r="A374" t="s">
        <v>1025</v>
      </c>
      <c r="B374" t="s">
        <v>1006</v>
      </c>
      <c r="C374" s="2">
        <v>45769.578118020836</v>
      </c>
      <c r="D374" s="2">
        <v>45756.741511504631</v>
      </c>
      <c r="E374" s="2">
        <v>45756.741511087967</v>
      </c>
      <c r="F374" t="s">
        <v>1007</v>
      </c>
      <c r="G374" t="s">
        <v>371</v>
      </c>
      <c r="H374" t="s">
        <v>374</v>
      </c>
      <c r="I374">
        <v>9</v>
      </c>
      <c r="J374">
        <v>45673</v>
      </c>
      <c r="K374">
        <v>0.87708333333333344</v>
      </c>
      <c r="L374">
        <v>0.875</v>
      </c>
      <c r="M374" t="s">
        <v>1008</v>
      </c>
    </row>
    <row r="375" spans="1:13" x14ac:dyDescent="0.25">
      <c r="A375" t="s">
        <v>1026</v>
      </c>
      <c r="B375" t="s">
        <v>1006</v>
      </c>
      <c r="C375" s="2">
        <v>45769.578118518519</v>
      </c>
      <c r="D375" s="2">
        <v>45758.796925532406</v>
      </c>
      <c r="E375" s="2">
        <v>45758.796925092596</v>
      </c>
      <c r="F375" t="s">
        <v>1007</v>
      </c>
      <c r="G375" t="s">
        <v>129</v>
      </c>
      <c r="H375" t="s">
        <v>133</v>
      </c>
      <c r="I375">
        <v>9</v>
      </c>
      <c r="J375">
        <v>45673</v>
      </c>
      <c r="K375">
        <v>0.5</v>
      </c>
      <c r="L375">
        <v>0.5</v>
      </c>
      <c r="M375" t="s">
        <v>1009</v>
      </c>
    </row>
    <row r="376" spans="1:13" x14ac:dyDescent="0.25">
      <c r="A376" t="s">
        <v>1026</v>
      </c>
      <c r="B376" t="s">
        <v>1006</v>
      </c>
      <c r="C376" s="2">
        <v>45769.578118518519</v>
      </c>
      <c r="D376" s="2">
        <v>45758.796925532406</v>
      </c>
      <c r="E376" s="2">
        <v>45758.796925092596</v>
      </c>
      <c r="F376" t="s">
        <v>1007</v>
      </c>
      <c r="G376" t="s">
        <v>371</v>
      </c>
      <c r="H376" t="s">
        <v>374</v>
      </c>
      <c r="I376">
        <v>9</v>
      </c>
      <c r="J376">
        <v>45673</v>
      </c>
      <c r="K376">
        <v>0.87708333333333344</v>
      </c>
      <c r="L376">
        <v>0.875</v>
      </c>
      <c r="M376" t="s">
        <v>1008</v>
      </c>
    </row>
    <row r="377" spans="1:13" x14ac:dyDescent="0.25">
      <c r="A377" t="s">
        <v>1027</v>
      </c>
      <c r="B377" t="s">
        <v>1006</v>
      </c>
      <c r="C377" s="2">
        <v>45769.578119039354</v>
      </c>
      <c r="D377" s="2">
        <v>45762.136261574073</v>
      </c>
      <c r="E377" s="2">
        <v>45761.611620300922</v>
      </c>
      <c r="F377" t="s">
        <v>1007</v>
      </c>
      <c r="G377" t="s">
        <v>129</v>
      </c>
      <c r="H377" t="s">
        <v>133</v>
      </c>
      <c r="I377">
        <v>9</v>
      </c>
      <c r="J377">
        <v>45673</v>
      </c>
      <c r="K377">
        <v>0.5</v>
      </c>
      <c r="L377">
        <v>0.5</v>
      </c>
      <c r="M377" t="s">
        <v>1009</v>
      </c>
    </row>
    <row r="378" spans="1:13" x14ac:dyDescent="0.25">
      <c r="A378" t="s">
        <v>1027</v>
      </c>
      <c r="B378" t="s">
        <v>1006</v>
      </c>
      <c r="C378" s="2">
        <v>45769.578119039354</v>
      </c>
      <c r="D378" s="2">
        <v>45762.136261574073</v>
      </c>
      <c r="E378" s="2">
        <v>45761.611620300922</v>
      </c>
      <c r="F378" t="s">
        <v>1007</v>
      </c>
      <c r="G378" t="s">
        <v>371</v>
      </c>
      <c r="H378" t="s">
        <v>374</v>
      </c>
      <c r="I378">
        <v>9</v>
      </c>
      <c r="J378">
        <v>45673</v>
      </c>
      <c r="K378">
        <v>0.87708333333333344</v>
      </c>
      <c r="L378">
        <v>0.875</v>
      </c>
      <c r="M378" t="s">
        <v>1008</v>
      </c>
    </row>
    <row r="379" spans="1:13" x14ac:dyDescent="0.25">
      <c r="A379" t="s">
        <v>1005</v>
      </c>
      <c r="B379" t="s">
        <v>1006</v>
      </c>
      <c r="C379" s="2">
        <v>45769.578089016206</v>
      </c>
      <c r="D379" s="2">
        <v>45769.034166666665</v>
      </c>
      <c r="E379" s="2">
        <v>45760.803204236108</v>
      </c>
      <c r="F379" t="s">
        <v>1007</v>
      </c>
      <c r="G379" t="s">
        <v>236</v>
      </c>
      <c r="H379" t="s">
        <v>239</v>
      </c>
      <c r="I379">
        <v>9</v>
      </c>
      <c r="J379">
        <v>45678</v>
      </c>
      <c r="K379">
        <v>0.79166666666666674</v>
      </c>
      <c r="L379">
        <v>0.79166666666666674</v>
      </c>
      <c r="M379" t="s">
        <v>1008</v>
      </c>
    </row>
    <row r="380" spans="1:13" x14ac:dyDescent="0.25">
      <c r="A380" t="s">
        <v>1011</v>
      </c>
      <c r="B380" t="s">
        <v>1006</v>
      </c>
      <c r="C380" s="2">
        <v>45769.578111863426</v>
      </c>
      <c r="D380" s="2">
        <v>45769.037777777776</v>
      </c>
      <c r="E380" s="2">
        <v>45712.703342291665</v>
      </c>
      <c r="F380" t="s">
        <v>1007</v>
      </c>
      <c r="G380" t="s">
        <v>236</v>
      </c>
      <c r="H380" t="s">
        <v>239</v>
      </c>
      <c r="I380">
        <v>9</v>
      </c>
      <c r="J380">
        <v>45678</v>
      </c>
      <c r="K380">
        <v>0.79166666666666674</v>
      </c>
      <c r="L380">
        <v>0.79166666666666674</v>
      </c>
      <c r="M380" t="s">
        <v>1008</v>
      </c>
    </row>
    <row r="381" spans="1:13" x14ac:dyDescent="0.25">
      <c r="A381" t="s">
        <v>1012</v>
      </c>
      <c r="B381" t="s">
        <v>1006</v>
      </c>
      <c r="C381" s="2">
        <v>45769.578112280091</v>
      </c>
      <c r="D381" s="2">
        <v>45769.035879629628</v>
      </c>
      <c r="E381" s="2">
        <v>45713.368867349534</v>
      </c>
      <c r="F381" t="s">
        <v>1007</v>
      </c>
      <c r="G381" t="s">
        <v>236</v>
      </c>
      <c r="H381" t="s">
        <v>239</v>
      </c>
      <c r="I381">
        <v>9</v>
      </c>
      <c r="J381">
        <v>45678</v>
      </c>
      <c r="K381">
        <v>0.79166666666666674</v>
      </c>
      <c r="L381">
        <v>0.79166666666666674</v>
      </c>
      <c r="M381" t="s">
        <v>1008</v>
      </c>
    </row>
    <row r="382" spans="1:13" x14ac:dyDescent="0.25">
      <c r="A382" t="s">
        <v>1013</v>
      </c>
      <c r="B382" t="s">
        <v>1006</v>
      </c>
      <c r="C382" s="2">
        <v>45769.578112673611</v>
      </c>
      <c r="D382" s="2">
        <v>45769.037800925929</v>
      </c>
      <c r="E382" s="2">
        <v>45718.720149895831</v>
      </c>
      <c r="F382" t="s">
        <v>1007</v>
      </c>
      <c r="G382" t="s">
        <v>236</v>
      </c>
      <c r="H382" t="s">
        <v>239</v>
      </c>
      <c r="I382">
        <v>9</v>
      </c>
      <c r="J382">
        <v>45678</v>
      </c>
      <c r="K382">
        <v>0.79166666666666674</v>
      </c>
      <c r="L382">
        <v>0.79166666666666674</v>
      </c>
      <c r="M382" t="s">
        <v>1008</v>
      </c>
    </row>
    <row r="383" spans="1:13" x14ac:dyDescent="0.25">
      <c r="A383" t="s">
        <v>1014</v>
      </c>
      <c r="B383" t="s">
        <v>1006</v>
      </c>
      <c r="C383" s="2">
        <v>45769.578113090276</v>
      </c>
      <c r="D383" s="2">
        <v>45769.037800925929</v>
      </c>
      <c r="E383" s="2">
        <v>45719.845094884258</v>
      </c>
      <c r="F383" t="s">
        <v>1007</v>
      </c>
      <c r="G383" t="s">
        <v>236</v>
      </c>
      <c r="H383" t="s">
        <v>239</v>
      </c>
      <c r="I383">
        <v>9</v>
      </c>
      <c r="J383">
        <v>45678</v>
      </c>
      <c r="K383">
        <v>0.79166666666666674</v>
      </c>
      <c r="L383">
        <v>0.79166666666666674</v>
      </c>
      <c r="M383" t="s">
        <v>1008</v>
      </c>
    </row>
    <row r="384" spans="1:13" x14ac:dyDescent="0.25">
      <c r="A384" t="s">
        <v>1015</v>
      </c>
      <c r="B384" t="s">
        <v>1006</v>
      </c>
      <c r="C384" s="2">
        <v>45769.578113564814</v>
      </c>
      <c r="D384" s="2">
        <v>45726.85528935185</v>
      </c>
      <c r="E384" s="2">
        <v>45726.856810578705</v>
      </c>
      <c r="F384" t="s">
        <v>1007</v>
      </c>
      <c r="G384" t="s">
        <v>236</v>
      </c>
      <c r="H384" t="s">
        <v>239</v>
      </c>
      <c r="I384">
        <v>9</v>
      </c>
      <c r="J384">
        <v>45678</v>
      </c>
      <c r="K384">
        <v>0.79166666666666674</v>
      </c>
      <c r="L384">
        <v>0.79166666666666674</v>
      </c>
      <c r="M384" t="s">
        <v>1008</v>
      </c>
    </row>
    <row r="385" spans="1:13" x14ac:dyDescent="0.25">
      <c r="A385" t="s">
        <v>1016</v>
      </c>
      <c r="B385" t="s">
        <v>1006</v>
      </c>
      <c r="C385" s="2">
        <v>45769.578113993055</v>
      </c>
      <c r="D385" s="2">
        <v>45727.548941782406</v>
      </c>
      <c r="E385" s="2">
        <v>45727.544082731481</v>
      </c>
      <c r="F385" t="s">
        <v>1007</v>
      </c>
      <c r="G385" t="s">
        <v>236</v>
      </c>
      <c r="H385" t="s">
        <v>239</v>
      </c>
      <c r="I385">
        <v>9</v>
      </c>
      <c r="J385">
        <v>45678</v>
      </c>
      <c r="K385">
        <v>0.79166666666666674</v>
      </c>
      <c r="L385">
        <v>0.79166666666666674</v>
      </c>
      <c r="M385" t="s">
        <v>1008</v>
      </c>
    </row>
    <row r="386" spans="1:13" x14ac:dyDescent="0.25">
      <c r="A386" t="s">
        <v>1017</v>
      </c>
      <c r="B386" t="s">
        <v>1006</v>
      </c>
      <c r="C386" s="2">
        <v>45769.578114386575</v>
      </c>
      <c r="D386" s="2">
        <v>45730.674748101854</v>
      </c>
      <c r="E386" s="2">
        <v>45730.674747743054</v>
      </c>
      <c r="F386" t="s">
        <v>1007</v>
      </c>
      <c r="G386" t="s">
        <v>236</v>
      </c>
      <c r="H386" t="s">
        <v>239</v>
      </c>
      <c r="I386">
        <v>9</v>
      </c>
      <c r="J386">
        <v>45678</v>
      </c>
      <c r="K386">
        <v>0.79166666666666674</v>
      </c>
      <c r="L386">
        <v>0.79166666666666674</v>
      </c>
      <c r="M386" t="s">
        <v>1008</v>
      </c>
    </row>
    <row r="387" spans="1:13" x14ac:dyDescent="0.25">
      <c r="A387" t="s">
        <v>1019</v>
      </c>
      <c r="B387" t="s">
        <v>1006</v>
      </c>
      <c r="C387" s="2">
        <v>45769.578115219905</v>
      </c>
      <c r="D387" s="2">
        <v>45740.441161863426</v>
      </c>
      <c r="E387" s="2">
        <v>45740.441161643517</v>
      </c>
      <c r="F387" t="s">
        <v>1007</v>
      </c>
      <c r="G387" t="s">
        <v>236</v>
      </c>
      <c r="H387" t="s">
        <v>239</v>
      </c>
      <c r="I387">
        <v>9</v>
      </c>
      <c r="J387">
        <v>45678</v>
      </c>
      <c r="K387">
        <v>0.79166666666666674</v>
      </c>
      <c r="L387">
        <v>0.79166666666666674</v>
      </c>
      <c r="M387" t="s">
        <v>1008</v>
      </c>
    </row>
    <row r="388" spans="1:13" x14ac:dyDescent="0.25">
      <c r="A388" t="s">
        <v>1020</v>
      </c>
      <c r="B388" t="s">
        <v>1006</v>
      </c>
      <c r="C388" s="2">
        <v>45769.578115682867</v>
      </c>
      <c r="D388" s="2">
        <v>45747.434178240743</v>
      </c>
      <c r="E388" s="2">
        <v>45746.492342094905</v>
      </c>
      <c r="F388" t="s">
        <v>1007</v>
      </c>
      <c r="G388" t="s">
        <v>236</v>
      </c>
      <c r="H388" t="s">
        <v>239</v>
      </c>
      <c r="I388">
        <v>9</v>
      </c>
      <c r="J388">
        <v>45678</v>
      </c>
      <c r="K388">
        <v>0.79166666666666674</v>
      </c>
      <c r="L388">
        <v>0.79166666666666674</v>
      </c>
      <c r="M388" t="s">
        <v>1008</v>
      </c>
    </row>
    <row r="389" spans="1:13" x14ac:dyDescent="0.25">
      <c r="A389" t="s">
        <v>1021</v>
      </c>
      <c r="B389" t="s">
        <v>1006</v>
      </c>
      <c r="C389" s="2">
        <v>45769.578116168981</v>
      </c>
      <c r="D389" s="2">
        <v>45748.008692129632</v>
      </c>
      <c r="E389" s="2">
        <v>45760.803375069445</v>
      </c>
      <c r="F389" t="s">
        <v>1007</v>
      </c>
      <c r="G389" t="s">
        <v>236</v>
      </c>
      <c r="H389" t="s">
        <v>239</v>
      </c>
      <c r="I389">
        <v>9</v>
      </c>
      <c r="J389">
        <v>45678</v>
      </c>
      <c r="K389">
        <v>0.79166666666666674</v>
      </c>
      <c r="L389">
        <v>0.79166666666666674</v>
      </c>
      <c r="M389" t="s">
        <v>1008</v>
      </c>
    </row>
    <row r="390" spans="1:13" x14ac:dyDescent="0.25">
      <c r="A390" t="s">
        <v>1024</v>
      </c>
      <c r="B390" t="s">
        <v>1006</v>
      </c>
      <c r="C390" s="2">
        <v>45769.578117557867</v>
      </c>
      <c r="D390" s="2">
        <v>45755.522465879629</v>
      </c>
      <c r="E390" s="2">
        <v>45755.517505011572</v>
      </c>
      <c r="F390" t="s">
        <v>1007</v>
      </c>
      <c r="G390" t="s">
        <v>236</v>
      </c>
      <c r="H390" t="s">
        <v>239</v>
      </c>
      <c r="I390">
        <v>9</v>
      </c>
      <c r="J390">
        <v>45678</v>
      </c>
      <c r="K390">
        <v>0.79166666666666674</v>
      </c>
      <c r="L390">
        <v>0.79166666666666674</v>
      </c>
      <c r="M390" t="s">
        <v>1008</v>
      </c>
    </row>
    <row r="391" spans="1:13" x14ac:dyDescent="0.25">
      <c r="A391" t="s">
        <v>1025</v>
      </c>
      <c r="B391" t="s">
        <v>1006</v>
      </c>
      <c r="C391" s="2">
        <v>45769.578118020836</v>
      </c>
      <c r="D391" s="2">
        <v>45756.741511504631</v>
      </c>
      <c r="E391" s="2">
        <v>45756.741511087967</v>
      </c>
      <c r="F391" t="s">
        <v>1007</v>
      </c>
      <c r="G391" t="s">
        <v>236</v>
      </c>
      <c r="H391" t="s">
        <v>239</v>
      </c>
      <c r="I391">
        <v>9</v>
      </c>
      <c r="J391">
        <v>45678</v>
      </c>
      <c r="K391">
        <v>0.79166666666666674</v>
      </c>
      <c r="L391">
        <v>0.79166666666666674</v>
      </c>
      <c r="M391" t="s">
        <v>1008</v>
      </c>
    </row>
    <row r="392" spans="1:13" x14ac:dyDescent="0.25">
      <c r="A392" t="s">
        <v>1026</v>
      </c>
      <c r="B392" t="s">
        <v>1006</v>
      </c>
      <c r="C392" s="2">
        <v>45769.578118518519</v>
      </c>
      <c r="D392" s="2">
        <v>45758.796925532406</v>
      </c>
      <c r="E392" s="2">
        <v>45758.796925092596</v>
      </c>
      <c r="F392" t="s">
        <v>1007</v>
      </c>
      <c r="G392" t="s">
        <v>236</v>
      </c>
      <c r="H392" t="s">
        <v>239</v>
      </c>
      <c r="I392">
        <v>9</v>
      </c>
      <c r="J392">
        <v>45678</v>
      </c>
      <c r="K392">
        <v>0.79166666666666674</v>
      </c>
      <c r="L392">
        <v>0.79166666666666674</v>
      </c>
      <c r="M392" t="s">
        <v>1008</v>
      </c>
    </row>
    <row r="393" spans="1:13" x14ac:dyDescent="0.25">
      <c r="A393" t="s">
        <v>1027</v>
      </c>
      <c r="B393" t="s">
        <v>1006</v>
      </c>
      <c r="C393" s="2">
        <v>45769.578119039354</v>
      </c>
      <c r="D393" s="2">
        <v>45762.136261574073</v>
      </c>
      <c r="E393" s="2">
        <v>45761.611620300922</v>
      </c>
      <c r="F393" t="s">
        <v>1007</v>
      </c>
      <c r="G393" t="s">
        <v>236</v>
      </c>
      <c r="H393" t="s">
        <v>239</v>
      </c>
      <c r="I393">
        <v>9</v>
      </c>
      <c r="J393">
        <v>45678</v>
      </c>
      <c r="K393">
        <v>0.79166666666666674</v>
      </c>
      <c r="L393">
        <v>0.79166666666666674</v>
      </c>
      <c r="M393" t="s">
        <v>1008</v>
      </c>
    </row>
    <row r="394" spans="1:13" x14ac:dyDescent="0.25">
      <c r="A394" t="s">
        <v>1005</v>
      </c>
      <c r="B394" t="s">
        <v>1006</v>
      </c>
      <c r="C394" s="2">
        <v>45769.578089016206</v>
      </c>
      <c r="D394" s="2">
        <v>45769.034166666665</v>
      </c>
      <c r="E394" s="2">
        <v>45760.803204236108</v>
      </c>
      <c r="F394" t="s">
        <v>1007</v>
      </c>
      <c r="G394" t="s">
        <v>246</v>
      </c>
      <c r="H394" t="s">
        <v>249</v>
      </c>
      <c r="I394">
        <v>9</v>
      </c>
      <c r="J394">
        <v>45679</v>
      </c>
      <c r="K394">
        <v>0.33333333333333326</v>
      </c>
      <c r="L394">
        <v>0.33333333333333326</v>
      </c>
      <c r="M394" t="s">
        <v>1010</v>
      </c>
    </row>
    <row r="395" spans="1:13" x14ac:dyDescent="0.25">
      <c r="A395" t="s">
        <v>1011</v>
      </c>
      <c r="B395" t="s">
        <v>1006</v>
      </c>
      <c r="C395" s="2">
        <v>45769.578111863426</v>
      </c>
      <c r="D395" s="2">
        <v>45769.037777777776</v>
      </c>
      <c r="E395" s="2">
        <v>45712.703342291665</v>
      </c>
      <c r="F395" t="s">
        <v>1007</v>
      </c>
      <c r="G395" t="s">
        <v>246</v>
      </c>
      <c r="H395" t="s">
        <v>249</v>
      </c>
      <c r="I395">
        <v>9</v>
      </c>
      <c r="J395">
        <v>45679</v>
      </c>
      <c r="K395">
        <v>0.33333333333333326</v>
      </c>
      <c r="L395">
        <v>0.33333333333333326</v>
      </c>
      <c r="M395" t="s">
        <v>1010</v>
      </c>
    </row>
    <row r="396" spans="1:13" x14ac:dyDescent="0.25">
      <c r="A396" t="s">
        <v>1012</v>
      </c>
      <c r="B396" t="s">
        <v>1006</v>
      </c>
      <c r="C396" s="2">
        <v>45769.578112280091</v>
      </c>
      <c r="D396" s="2">
        <v>45769.035879629628</v>
      </c>
      <c r="E396" s="2">
        <v>45713.368867349534</v>
      </c>
      <c r="F396" t="s">
        <v>1007</v>
      </c>
      <c r="G396" t="s">
        <v>246</v>
      </c>
      <c r="H396" t="s">
        <v>249</v>
      </c>
      <c r="I396">
        <v>9</v>
      </c>
      <c r="J396">
        <v>45679</v>
      </c>
      <c r="K396">
        <v>0.33333333333333326</v>
      </c>
      <c r="L396">
        <v>0.33333333333333326</v>
      </c>
      <c r="M396" t="s">
        <v>1010</v>
      </c>
    </row>
    <row r="397" spans="1:13" x14ac:dyDescent="0.25">
      <c r="A397" t="s">
        <v>1013</v>
      </c>
      <c r="B397" t="s">
        <v>1006</v>
      </c>
      <c r="C397" s="2">
        <v>45769.578112673611</v>
      </c>
      <c r="D397" s="2">
        <v>45769.037800925929</v>
      </c>
      <c r="E397" s="2">
        <v>45718.720149895831</v>
      </c>
      <c r="F397" t="s">
        <v>1007</v>
      </c>
      <c r="G397" t="s">
        <v>246</v>
      </c>
      <c r="H397" t="s">
        <v>249</v>
      </c>
      <c r="I397">
        <v>9</v>
      </c>
      <c r="J397">
        <v>45679</v>
      </c>
      <c r="K397">
        <v>0.33333333333333326</v>
      </c>
      <c r="L397">
        <v>0.33333333333333326</v>
      </c>
      <c r="M397" t="s">
        <v>1010</v>
      </c>
    </row>
    <row r="398" spans="1:13" x14ac:dyDescent="0.25">
      <c r="A398" t="s">
        <v>1014</v>
      </c>
      <c r="B398" t="s">
        <v>1006</v>
      </c>
      <c r="C398" s="2">
        <v>45769.578113090276</v>
      </c>
      <c r="D398" s="2">
        <v>45769.037800925929</v>
      </c>
      <c r="E398" s="2">
        <v>45719.845094884258</v>
      </c>
      <c r="F398" t="s">
        <v>1007</v>
      </c>
      <c r="G398" t="s">
        <v>246</v>
      </c>
      <c r="H398" t="s">
        <v>249</v>
      </c>
      <c r="I398">
        <v>9</v>
      </c>
      <c r="J398">
        <v>45679</v>
      </c>
      <c r="K398">
        <v>0.33333333333333326</v>
      </c>
      <c r="L398">
        <v>0.33333333333333326</v>
      </c>
      <c r="M398" t="s">
        <v>1010</v>
      </c>
    </row>
    <row r="399" spans="1:13" x14ac:dyDescent="0.25">
      <c r="A399" t="s">
        <v>1015</v>
      </c>
      <c r="B399" t="s">
        <v>1006</v>
      </c>
      <c r="C399" s="2">
        <v>45769.578113564814</v>
      </c>
      <c r="D399" s="2">
        <v>45726.85528935185</v>
      </c>
      <c r="E399" s="2">
        <v>45726.856810578705</v>
      </c>
      <c r="F399" t="s">
        <v>1007</v>
      </c>
      <c r="G399" t="s">
        <v>246</v>
      </c>
      <c r="H399" t="s">
        <v>249</v>
      </c>
      <c r="I399">
        <v>9</v>
      </c>
      <c r="J399">
        <v>45679</v>
      </c>
      <c r="K399">
        <v>0.33333333333333326</v>
      </c>
      <c r="L399">
        <v>0.33333333333333326</v>
      </c>
      <c r="M399" t="s">
        <v>1010</v>
      </c>
    </row>
    <row r="400" spans="1:13" x14ac:dyDescent="0.25">
      <c r="A400" t="s">
        <v>1016</v>
      </c>
      <c r="B400" t="s">
        <v>1006</v>
      </c>
      <c r="C400" s="2">
        <v>45769.578113993055</v>
      </c>
      <c r="D400" s="2">
        <v>45727.548941782406</v>
      </c>
      <c r="E400" s="2">
        <v>45727.544082731481</v>
      </c>
      <c r="F400" t="s">
        <v>1007</v>
      </c>
      <c r="G400" t="s">
        <v>246</v>
      </c>
      <c r="H400" t="s">
        <v>249</v>
      </c>
      <c r="I400">
        <v>9</v>
      </c>
      <c r="J400">
        <v>45679</v>
      </c>
      <c r="K400">
        <v>0.33333333333333326</v>
      </c>
      <c r="L400">
        <v>0.33333333333333326</v>
      </c>
      <c r="M400" t="s">
        <v>1010</v>
      </c>
    </row>
    <row r="401" spans="1:13" x14ac:dyDescent="0.25">
      <c r="A401" t="s">
        <v>1017</v>
      </c>
      <c r="B401" t="s">
        <v>1006</v>
      </c>
      <c r="C401" s="2">
        <v>45769.578114386575</v>
      </c>
      <c r="D401" s="2">
        <v>45730.674748101854</v>
      </c>
      <c r="E401" s="2">
        <v>45730.674747743054</v>
      </c>
      <c r="F401" t="s">
        <v>1007</v>
      </c>
      <c r="G401" t="s">
        <v>246</v>
      </c>
      <c r="H401" t="s">
        <v>249</v>
      </c>
      <c r="I401">
        <v>9</v>
      </c>
      <c r="J401">
        <v>45679</v>
      </c>
      <c r="K401">
        <v>0.33333333333333326</v>
      </c>
      <c r="L401">
        <v>0.33333333333333326</v>
      </c>
      <c r="M401" t="s">
        <v>1010</v>
      </c>
    </row>
    <row r="402" spans="1:13" x14ac:dyDescent="0.25">
      <c r="A402" t="s">
        <v>1019</v>
      </c>
      <c r="B402" t="s">
        <v>1006</v>
      </c>
      <c r="C402" s="2">
        <v>45769.578115219905</v>
      </c>
      <c r="D402" s="2">
        <v>45740.441161863426</v>
      </c>
      <c r="E402" s="2">
        <v>45740.441161643517</v>
      </c>
      <c r="F402" t="s">
        <v>1007</v>
      </c>
      <c r="G402" t="s">
        <v>246</v>
      </c>
      <c r="H402" t="s">
        <v>249</v>
      </c>
      <c r="I402">
        <v>9</v>
      </c>
      <c r="J402">
        <v>45679</v>
      </c>
      <c r="K402">
        <v>0.33333333333333326</v>
      </c>
      <c r="L402">
        <v>0.33333333333333326</v>
      </c>
      <c r="M402" t="s">
        <v>1010</v>
      </c>
    </row>
    <row r="403" spans="1:13" x14ac:dyDescent="0.25">
      <c r="A403" t="s">
        <v>1020</v>
      </c>
      <c r="B403" t="s">
        <v>1006</v>
      </c>
      <c r="C403" s="2">
        <v>45769.578115682867</v>
      </c>
      <c r="D403" s="2">
        <v>45747.434178240743</v>
      </c>
      <c r="E403" s="2">
        <v>45746.492342094905</v>
      </c>
      <c r="F403" t="s">
        <v>1007</v>
      </c>
      <c r="G403" t="s">
        <v>246</v>
      </c>
      <c r="H403" t="s">
        <v>249</v>
      </c>
      <c r="I403">
        <v>9</v>
      </c>
      <c r="J403">
        <v>45679</v>
      </c>
      <c r="K403">
        <v>0.33333333333333326</v>
      </c>
      <c r="L403">
        <v>0.33333333333333326</v>
      </c>
      <c r="M403" t="s">
        <v>1010</v>
      </c>
    </row>
    <row r="404" spans="1:13" x14ac:dyDescent="0.25">
      <c r="A404" t="s">
        <v>1021</v>
      </c>
      <c r="B404" t="s">
        <v>1006</v>
      </c>
      <c r="C404" s="2">
        <v>45769.578116168981</v>
      </c>
      <c r="D404" s="2">
        <v>45748.008692129632</v>
      </c>
      <c r="E404" s="2">
        <v>45760.803375069445</v>
      </c>
      <c r="F404" t="s">
        <v>1007</v>
      </c>
      <c r="G404" t="s">
        <v>246</v>
      </c>
      <c r="H404" t="s">
        <v>249</v>
      </c>
      <c r="I404">
        <v>9</v>
      </c>
      <c r="J404">
        <v>45679</v>
      </c>
      <c r="K404">
        <v>0.33333333333333326</v>
      </c>
      <c r="L404">
        <v>0.33333333333333326</v>
      </c>
      <c r="M404" t="s">
        <v>1010</v>
      </c>
    </row>
    <row r="405" spans="1:13" x14ac:dyDescent="0.25">
      <c r="A405" t="s">
        <v>1024</v>
      </c>
      <c r="B405" t="s">
        <v>1006</v>
      </c>
      <c r="C405" s="2">
        <v>45769.578117557867</v>
      </c>
      <c r="D405" s="2">
        <v>45755.522465879629</v>
      </c>
      <c r="E405" s="2">
        <v>45755.517505011572</v>
      </c>
      <c r="F405" t="s">
        <v>1007</v>
      </c>
      <c r="G405" t="s">
        <v>246</v>
      </c>
      <c r="H405" t="s">
        <v>249</v>
      </c>
      <c r="I405">
        <v>9</v>
      </c>
      <c r="J405">
        <v>45679</v>
      </c>
      <c r="K405">
        <v>0.33333333333333326</v>
      </c>
      <c r="L405">
        <v>0.33333333333333326</v>
      </c>
      <c r="M405" t="s">
        <v>1010</v>
      </c>
    </row>
    <row r="406" spans="1:13" x14ac:dyDescent="0.25">
      <c r="A406" t="s">
        <v>1025</v>
      </c>
      <c r="B406" t="s">
        <v>1006</v>
      </c>
      <c r="C406" s="2">
        <v>45769.578118020836</v>
      </c>
      <c r="D406" s="2">
        <v>45756.741511504631</v>
      </c>
      <c r="E406" s="2">
        <v>45756.741511087967</v>
      </c>
      <c r="F406" t="s">
        <v>1007</v>
      </c>
      <c r="G406" t="s">
        <v>246</v>
      </c>
      <c r="H406" t="s">
        <v>249</v>
      </c>
      <c r="I406">
        <v>9</v>
      </c>
      <c r="J406">
        <v>45679</v>
      </c>
      <c r="K406">
        <v>0.33333333333333326</v>
      </c>
      <c r="L406">
        <v>0.33333333333333326</v>
      </c>
      <c r="M406" t="s">
        <v>1010</v>
      </c>
    </row>
    <row r="407" spans="1:13" x14ac:dyDescent="0.25">
      <c r="A407" t="s">
        <v>1026</v>
      </c>
      <c r="B407" t="s">
        <v>1006</v>
      </c>
      <c r="C407" s="2">
        <v>45769.578118518519</v>
      </c>
      <c r="D407" s="2">
        <v>45758.796925532406</v>
      </c>
      <c r="E407" s="2">
        <v>45758.796925092596</v>
      </c>
      <c r="F407" t="s">
        <v>1007</v>
      </c>
      <c r="G407" t="s">
        <v>246</v>
      </c>
      <c r="H407" t="s">
        <v>249</v>
      </c>
      <c r="I407">
        <v>9</v>
      </c>
      <c r="J407">
        <v>45679</v>
      </c>
      <c r="K407">
        <v>0.33333333333333326</v>
      </c>
      <c r="L407">
        <v>0.33333333333333326</v>
      </c>
      <c r="M407" t="s">
        <v>1010</v>
      </c>
    </row>
    <row r="408" spans="1:13" x14ac:dyDescent="0.25">
      <c r="A408" t="s">
        <v>1027</v>
      </c>
      <c r="B408" t="s">
        <v>1006</v>
      </c>
      <c r="C408" s="2">
        <v>45769.578119039354</v>
      </c>
      <c r="D408" s="2">
        <v>45762.136261574073</v>
      </c>
      <c r="E408" s="2">
        <v>45761.611620300922</v>
      </c>
      <c r="F408" t="s">
        <v>1007</v>
      </c>
      <c r="G408" t="s">
        <v>246</v>
      </c>
      <c r="H408" t="s">
        <v>249</v>
      </c>
      <c r="I408">
        <v>9</v>
      </c>
      <c r="J408">
        <v>45679</v>
      </c>
      <c r="K408">
        <v>0.33333333333333326</v>
      </c>
      <c r="L408">
        <v>0.33333333333333326</v>
      </c>
      <c r="M408" t="s">
        <v>1010</v>
      </c>
    </row>
    <row r="409" spans="1:13" x14ac:dyDescent="0.25">
      <c r="A409" t="s">
        <v>1005</v>
      </c>
      <c r="B409" t="s">
        <v>1006</v>
      </c>
      <c r="C409" s="2">
        <v>45769.578089016206</v>
      </c>
      <c r="D409" s="2">
        <v>45769.034166666665</v>
      </c>
      <c r="E409" s="2">
        <v>45760.803204236108</v>
      </c>
      <c r="F409" t="s">
        <v>1007</v>
      </c>
      <c r="G409" t="s">
        <v>409</v>
      </c>
      <c r="H409" t="s">
        <v>414</v>
      </c>
      <c r="I409">
        <v>9</v>
      </c>
      <c r="J409">
        <v>45680</v>
      </c>
      <c r="K409">
        <v>0.625</v>
      </c>
      <c r="L409">
        <v>0.625</v>
      </c>
      <c r="M409" t="s">
        <v>1009</v>
      </c>
    </row>
    <row r="410" spans="1:13" x14ac:dyDescent="0.25">
      <c r="A410" t="s">
        <v>1011</v>
      </c>
      <c r="B410" t="s">
        <v>1006</v>
      </c>
      <c r="C410" s="2">
        <v>45769.578111863426</v>
      </c>
      <c r="D410" s="2">
        <v>45769.037777777776</v>
      </c>
      <c r="E410" s="2">
        <v>45712.703342291665</v>
      </c>
      <c r="F410" t="s">
        <v>1007</v>
      </c>
      <c r="G410" t="s">
        <v>409</v>
      </c>
      <c r="H410" t="s">
        <v>414</v>
      </c>
      <c r="I410">
        <v>9</v>
      </c>
      <c r="J410">
        <v>45680</v>
      </c>
      <c r="K410">
        <v>0.625</v>
      </c>
      <c r="L410">
        <v>0.625</v>
      </c>
      <c r="M410" t="s">
        <v>1009</v>
      </c>
    </row>
    <row r="411" spans="1:13" x14ac:dyDescent="0.25">
      <c r="A411" t="s">
        <v>1012</v>
      </c>
      <c r="B411" t="s">
        <v>1006</v>
      </c>
      <c r="C411" s="2">
        <v>45769.578112280091</v>
      </c>
      <c r="D411" s="2">
        <v>45769.035879629628</v>
      </c>
      <c r="E411" s="2">
        <v>45713.368867349534</v>
      </c>
      <c r="F411" t="s">
        <v>1007</v>
      </c>
      <c r="G411" t="s">
        <v>409</v>
      </c>
      <c r="H411" t="s">
        <v>414</v>
      </c>
      <c r="I411">
        <v>9</v>
      </c>
      <c r="J411">
        <v>45680</v>
      </c>
      <c r="K411">
        <v>0.625</v>
      </c>
      <c r="L411">
        <v>0.625</v>
      </c>
      <c r="M411" t="s">
        <v>1009</v>
      </c>
    </row>
    <row r="412" spans="1:13" x14ac:dyDescent="0.25">
      <c r="A412" t="s">
        <v>1013</v>
      </c>
      <c r="B412" t="s">
        <v>1006</v>
      </c>
      <c r="C412" s="2">
        <v>45769.578112673611</v>
      </c>
      <c r="D412" s="2">
        <v>45769.037800925929</v>
      </c>
      <c r="E412" s="2">
        <v>45718.720149895831</v>
      </c>
      <c r="F412" t="s">
        <v>1007</v>
      </c>
      <c r="G412" t="s">
        <v>409</v>
      </c>
      <c r="H412" t="s">
        <v>414</v>
      </c>
      <c r="I412">
        <v>9</v>
      </c>
      <c r="J412">
        <v>45680</v>
      </c>
      <c r="K412">
        <v>0.625</v>
      </c>
      <c r="L412">
        <v>0.625</v>
      </c>
      <c r="M412" t="s">
        <v>1009</v>
      </c>
    </row>
    <row r="413" spans="1:13" x14ac:dyDescent="0.25">
      <c r="A413" t="s">
        <v>1014</v>
      </c>
      <c r="B413" t="s">
        <v>1006</v>
      </c>
      <c r="C413" s="2">
        <v>45769.578113090276</v>
      </c>
      <c r="D413" s="2">
        <v>45769.037800925929</v>
      </c>
      <c r="E413" s="2">
        <v>45719.845094884258</v>
      </c>
      <c r="F413" t="s">
        <v>1007</v>
      </c>
      <c r="G413" t="s">
        <v>409</v>
      </c>
      <c r="H413" t="s">
        <v>414</v>
      </c>
      <c r="I413">
        <v>9</v>
      </c>
      <c r="J413">
        <v>45680</v>
      </c>
      <c r="K413">
        <v>0.625</v>
      </c>
      <c r="L413">
        <v>0.625</v>
      </c>
      <c r="M413" t="s">
        <v>1009</v>
      </c>
    </row>
    <row r="414" spans="1:13" x14ac:dyDescent="0.25">
      <c r="A414" t="s">
        <v>1015</v>
      </c>
      <c r="B414" t="s">
        <v>1006</v>
      </c>
      <c r="C414" s="2">
        <v>45769.578113564814</v>
      </c>
      <c r="D414" s="2">
        <v>45726.85528935185</v>
      </c>
      <c r="E414" s="2">
        <v>45726.856810578705</v>
      </c>
      <c r="F414" t="s">
        <v>1007</v>
      </c>
      <c r="G414" t="s">
        <v>409</v>
      </c>
      <c r="H414" t="s">
        <v>414</v>
      </c>
      <c r="I414">
        <v>9</v>
      </c>
      <c r="J414">
        <v>45680</v>
      </c>
      <c r="K414">
        <v>0.625</v>
      </c>
      <c r="L414">
        <v>0.625</v>
      </c>
      <c r="M414" t="s">
        <v>1009</v>
      </c>
    </row>
    <row r="415" spans="1:13" x14ac:dyDescent="0.25">
      <c r="A415" t="s">
        <v>1016</v>
      </c>
      <c r="B415" t="s">
        <v>1006</v>
      </c>
      <c r="C415" s="2">
        <v>45769.578113993055</v>
      </c>
      <c r="D415" s="2">
        <v>45727.548941782406</v>
      </c>
      <c r="E415" s="2">
        <v>45727.544082731481</v>
      </c>
      <c r="F415" t="s">
        <v>1007</v>
      </c>
      <c r="G415" t="s">
        <v>409</v>
      </c>
      <c r="H415" t="s">
        <v>414</v>
      </c>
      <c r="I415">
        <v>9</v>
      </c>
      <c r="J415">
        <v>45680</v>
      </c>
      <c r="K415">
        <v>0.625</v>
      </c>
      <c r="L415">
        <v>0.625</v>
      </c>
      <c r="M415" t="s">
        <v>1009</v>
      </c>
    </row>
    <row r="416" spans="1:13" x14ac:dyDescent="0.25">
      <c r="A416" t="s">
        <v>1017</v>
      </c>
      <c r="B416" t="s">
        <v>1006</v>
      </c>
      <c r="C416" s="2">
        <v>45769.578114386575</v>
      </c>
      <c r="D416" s="2">
        <v>45730.674748101854</v>
      </c>
      <c r="E416" s="2">
        <v>45730.674747743054</v>
      </c>
      <c r="F416" t="s">
        <v>1007</v>
      </c>
      <c r="G416" t="s">
        <v>409</v>
      </c>
      <c r="H416" t="s">
        <v>414</v>
      </c>
      <c r="I416">
        <v>9</v>
      </c>
      <c r="J416">
        <v>45680</v>
      </c>
      <c r="K416">
        <v>0.625</v>
      </c>
      <c r="L416">
        <v>0.625</v>
      </c>
      <c r="M416" t="s">
        <v>1009</v>
      </c>
    </row>
    <row r="417" spans="1:13" x14ac:dyDescent="0.25">
      <c r="A417" t="s">
        <v>1019</v>
      </c>
      <c r="B417" t="s">
        <v>1006</v>
      </c>
      <c r="C417" s="2">
        <v>45769.578115219905</v>
      </c>
      <c r="D417" s="2">
        <v>45740.441161863426</v>
      </c>
      <c r="E417" s="2">
        <v>45740.441161643517</v>
      </c>
      <c r="F417" t="s">
        <v>1007</v>
      </c>
      <c r="G417" t="s">
        <v>409</v>
      </c>
      <c r="H417" t="s">
        <v>414</v>
      </c>
      <c r="I417">
        <v>9</v>
      </c>
      <c r="J417">
        <v>45680</v>
      </c>
      <c r="K417">
        <v>0.625</v>
      </c>
      <c r="L417">
        <v>0.625</v>
      </c>
      <c r="M417" t="s">
        <v>1009</v>
      </c>
    </row>
    <row r="418" spans="1:13" x14ac:dyDescent="0.25">
      <c r="A418" t="s">
        <v>1020</v>
      </c>
      <c r="B418" t="s">
        <v>1006</v>
      </c>
      <c r="C418" s="2">
        <v>45769.578115682867</v>
      </c>
      <c r="D418" s="2">
        <v>45747.434178240743</v>
      </c>
      <c r="E418" s="2">
        <v>45746.492342094905</v>
      </c>
      <c r="F418" t="s">
        <v>1007</v>
      </c>
      <c r="G418" t="s">
        <v>409</v>
      </c>
      <c r="H418" t="s">
        <v>414</v>
      </c>
      <c r="I418">
        <v>9</v>
      </c>
      <c r="J418">
        <v>45680</v>
      </c>
      <c r="K418">
        <v>0.625</v>
      </c>
      <c r="L418">
        <v>0.625</v>
      </c>
      <c r="M418" t="s">
        <v>1009</v>
      </c>
    </row>
    <row r="419" spans="1:13" x14ac:dyDescent="0.25">
      <c r="A419" t="s">
        <v>1021</v>
      </c>
      <c r="B419" t="s">
        <v>1006</v>
      </c>
      <c r="C419" s="2">
        <v>45769.578116168981</v>
      </c>
      <c r="D419" s="2">
        <v>45748.008692129632</v>
      </c>
      <c r="E419" s="2">
        <v>45760.803375069445</v>
      </c>
      <c r="F419" t="s">
        <v>1007</v>
      </c>
      <c r="G419" t="s">
        <v>409</v>
      </c>
      <c r="H419" t="s">
        <v>414</v>
      </c>
      <c r="I419">
        <v>9</v>
      </c>
      <c r="J419">
        <v>45680</v>
      </c>
      <c r="K419">
        <v>0.625</v>
      </c>
      <c r="L419">
        <v>0.625</v>
      </c>
      <c r="M419" t="s">
        <v>1009</v>
      </c>
    </row>
    <row r="420" spans="1:13" x14ac:dyDescent="0.25">
      <c r="A420" t="s">
        <v>1024</v>
      </c>
      <c r="B420" t="s">
        <v>1006</v>
      </c>
      <c r="C420" s="2">
        <v>45769.578117557867</v>
      </c>
      <c r="D420" s="2">
        <v>45755.522465879629</v>
      </c>
      <c r="E420" s="2">
        <v>45755.517505011572</v>
      </c>
      <c r="F420" t="s">
        <v>1007</v>
      </c>
      <c r="G420" t="s">
        <v>409</v>
      </c>
      <c r="H420" t="s">
        <v>414</v>
      </c>
      <c r="I420">
        <v>9</v>
      </c>
      <c r="J420">
        <v>45680</v>
      </c>
      <c r="K420">
        <v>0.625</v>
      </c>
      <c r="L420">
        <v>0.625</v>
      </c>
      <c r="M420" t="s">
        <v>1009</v>
      </c>
    </row>
    <row r="421" spans="1:13" x14ac:dyDescent="0.25">
      <c r="A421" t="s">
        <v>1025</v>
      </c>
      <c r="B421" t="s">
        <v>1006</v>
      </c>
      <c r="C421" s="2">
        <v>45769.578118020836</v>
      </c>
      <c r="D421" s="2">
        <v>45756.741511504631</v>
      </c>
      <c r="E421" s="2">
        <v>45756.741511087967</v>
      </c>
      <c r="F421" t="s">
        <v>1007</v>
      </c>
      <c r="G421" t="s">
        <v>409</v>
      </c>
      <c r="H421" t="s">
        <v>414</v>
      </c>
      <c r="I421">
        <v>9</v>
      </c>
      <c r="J421">
        <v>45680</v>
      </c>
      <c r="K421">
        <v>0.625</v>
      </c>
      <c r="L421">
        <v>0.625</v>
      </c>
      <c r="M421" t="s">
        <v>1009</v>
      </c>
    </row>
    <row r="422" spans="1:13" x14ac:dyDescent="0.25">
      <c r="A422" t="s">
        <v>1026</v>
      </c>
      <c r="B422" t="s">
        <v>1006</v>
      </c>
      <c r="C422" s="2">
        <v>45769.578118518519</v>
      </c>
      <c r="D422" s="2">
        <v>45758.796925532406</v>
      </c>
      <c r="E422" s="2">
        <v>45758.796925092596</v>
      </c>
      <c r="F422" t="s">
        <v>1007</v>
      </c>
      <c r="G422" t="s">
        <v>409</v>
      </c>
      <c r="H422" t="s">
        <v>414</v>
      </c>
      <c r="I422">
        <v>9</v>
      </c>
      <c r="J422">
        <v>45680</v>
      </c>
      <c r="K422">
        <v>0.625</v>
      </c>
      <c r="L422">
        <v>0.625</v>
      </c>
      <c r="M422" t="s">
        <v>1009</v>
      </c>
    </row>
    <row r="423" spans="1:13" x14ac:dyDescent="0.25">
      <c r="A423" t="s">
        <v>1027</v>
      </c>
      <c r="B423" t="s">
        <v>1006</v>
      </c>
      <c r="C423" s="2">
        <v>45769.578119039354</v>
      </c>
      <c r="D423" s="2">
        <v>45762.136261574073</v>
      </c>
      <c r="E423" s="2">
        <v>45761.611620300922</v>
      </c>
      <c r="F423" t="s">
        <v>1007</v>
      </c>
      <c r="G423" t="s">
        <v>409</v>
      </c>
      <c r="H423" t="s">
        <v>414</v>
      </c>
      <c r="I423">
        <v>9</v>
      </c>
      <c r="J423">
        <v>45680</v>
      </c>
      <c r="K423">
        <v>0.625</v>
      </c>
      <c r="L423">
        <v>0.625</v>
      </c>
      <c r="M423" t="s">
        <v>1009</v>
      </c>
    </row>
    <row r="424" spans="1:13" x14ac:dyDescent="0.25">
      <c r="A424" t="s">
        <v>1005</v>
      </c>
      <c r="B424" t="s">
        <v>1006</v>
      </c>
      <c r="C424" s="2">
        <v>45769.578089016206</v>
      </c>
      <c r="D424" s="2">
        <v>45769.034166666665</v>
      </c>
      <c r="E424" s="2">
        <v>45760.803204236108</v>
      </c>
      <c r="F424" t="s">
        <v>1007</v>
      </c>
      <c r="G424" t="s">
        <v>140</v>
      </c>
      <c r="H424" t="s">
        <v>144</v>
      </c>
      <c r="I424">
        <v>9</v>
      </c>
      <c r="J424">
        <v>45682</v>
      </c>
      <c r="K424">
        <v>0.45833333333333326</v>
      </c>
      <c r="L424">
        <v>0.45833333333333326</v>
      </c>
      <c r="M424" t="s">
        <v>1010</v>
      </c>
    </row>
    <row r="425" spans="1:13" x14ac:dyDescent="0.25">
      <c r="A425" t="s">
        <v>1005</v>
      </c>
      <c r="B425" t="s">
        <v>1006</v>
      </c>
      <c r="C425" s="2">
        <v>45769.578089016206</v>
      </c>
      <c r="D425" s="2">
        <v>45769.034166666665</v>
      </c>
      <c r="E425" s="2">
        <v>45760.803204236108</v>
      </c>
      <c r="F425" t="s">
        <v>1007</v>
      </c>
      <c r="G425" t="s">
        <v>77</v>
      </c>
      <c r="H425" t="s">
        <v>83</v>
      </c>
      <c r="I425">
        <v>9</v>
      </c>
      <c r="J425">
        <v>45682</v>
      </c>
      <c r="K425">
        <v>0.76875000000000004</v>
      </c>
      <c r="L425">
        <v>0.75</v>
      </c>
      <c r="M425" t="s">
        <v>1008</v>
      </c>
    </row>
    <row r="426" spans="1:13" x14ac:dyDescent="0.25">
      <c r="A426" t="s">
        <v>1011</v>
      </c>
      <c r="B426" t="s">
        <v>1006</v>
      </c>
      <c r="C426" s="2">
        <v>45769.578111863426</v>
      </c>
      <c r="D426" s="2">
        <v>45769.037777777776</v>
      </c>
      <c r="E426" s="2">
        <v>45712.703342291665</v>
      </c>
      <c r="F426" t="s">
        <v>1007</v>
      </c>
      <c r="G426" t="s">
        <v>140</v>
      </c>
      <c r="H426" t="s">
        <v>144</v>
      </c>
      <c r="I426">
        <v>9</v>
      </c>
      <c r="J426">
        <v>45682</v>
      </c>
      <c r="K426">
        <v>0.45833333333333326</v>
      </c>
      <c r="L426">
        <v>0.45833333333333326</v>
      </c>
      <c r="M426" t="s">
        <v>1010</v>
      </c>
    </row>
    <row r="427" spans="1:13" x14ac:dyDescent="0.25">
      <c r="A427" t="s">
        <v>1011</v>
      </c>
      <c r="B427" t="s">
        <v>1006</v>
      </c>
      <c r="C427" s="2">
        <v>45769.578111863426</v>
      </c>
      <c r="D427" s="2">
        <v>45769.037777777776</v>
      </c>
      <c r="E427" s="2">
        <v>45712.703342291665</v>
      </c>
      <c r="F427" t="s">
        <v>1007</v>
      </c>
      <c r="G427" t="s">
        <v>77</v>
      </c>
      <c r="H427" t="s">
        <v>83</v>
      </c>
      <c r="I427">
        <v>9</v>
      </c>
      <c r="J427">
        <v>45682</v>
      </c>
      <c r="K427">
        <v>0.76875000000000004</v>
      </c>
      <c r="L427">
        <v>0.75</v>
      </c>
      <c r="M427" t="s">
        <v>1008</v>
      </c>
    </row>
    <row r="428" spans="1:13" x14ac:dyDescent="0.25">
      <c r="A428" t="s">
        <v>1012</v>
      </c>
      <c r="B428" t="s">
        <v>1006</v>
      </c>
      <c r="C428" s="2">
        <v>45769.578112280091</v>
      </c>
      <c r="D428" s="2">
        <v>45769.035879629628</v>
      </c>
      <c r="E428" s="2">
        <v>45713.368867349534</v>
      </c>
      <c r="F428" t="s">
        <v>1007</v>
      </c>
      <c r="G428" t="s">
        <v>140</v>
      </c>
      <c r="H428" t="s">
        <v>144</v>
      </c>
      <c r="I428">
        <v>9</v>
      </c>
      <c r="J428">
        <v>45682</v>
      </c>
      <c r="K428">
        <v>0.45833333333333326</v>
      </c>
      <c r="L428">
        <v>0.45833333333333326</v>
      </c>
      <c r="M428" t="s">
        <v>1010</v>
      </c>
    </row>
    <row r="429" spans="1:13" x14ac:dyDescent="0.25">
      <c r="A429" t="s">
        <v>1012</v>
      </c>
      <c r="B429" t="s">
        <v>1006</v>
      </c>
      <c r="C429" s="2">
        <v>45769.578112280091</v>
      </c>
      <c r="D429" s="2">
        <v>45769.035879629628</v>
      </c>
      <c r="E429" s="2">
        <v>45713.368867349534</v>
      </c>
      <c r="F429" t="s">
        <v>1007</v>
      </c>
      <c r="G429" t="s">
        <v>77</v>
      </c>
      <c r="H429" t="s">
        <v>83</v>
      </c>
      <c r="I429">
        <v>9</v>
      </c>
      <c r="J429">
        <v>45682</v>
      </c>
      <c r="K429">
        <v>0.76875000000000004</v>
      </c>
      <c r="L429">
        <v>0.75</v>
      </c>
      <c r="M429" t="s">
        <v>1008</v>
      </c>
    </row>
    <row r="430" spans="1:13" x14ac:dyDescent="0.25">
      <c r="A430" t="s">
        <v>1013</v>
      </c>
      <c r="B430" t="s">
        <v>1006</v>
      </c>
      <c r="C430" s="2">
        <v>45769.578112673611</v>
      </c>
      <c r="D430" s="2">
        <v>45769.037800925929</v>
      </c>
      <c r="E430" s="2">
        <v>45718.720149895831</v>
      </c>
      <c r="F430" t="s">
        <v>1007</v>
      </c>
      <c r="G430" t="s">
        <v>140</v>
      </c>
      <c r="H430" t="s">
        <v>144</v>
      </c>
      <c r="I430">
        <v>9</v>
      </c>
      <c r="J430">
        <v>45682</v>
      </c>
      <c r="K430">
        <v>0.45833333333333326</v>
      </c>
      <c r="L430">
        <v>0.45833333333333326</v>
      </c>
      <c r="M430" t="s">
        <v>1010</v>
      </c>
    </row>
    <row r="431" spans="1:13" x14ac:dyDescent="0.25">
      <c r="A431" t="s">
        <v>1013</v>
      </c>
      <c r="B431" t="s">
        <v>1006</v>
      </c>
      <c r="C431" s="2">
        <v>45769.578112673611</v>
      </c>
      <c r="D431" s="2">
        <v>45769.037800925929</v>
      </c>
      <c r="E431" s="2">
        <v>45718.720149895831</v>
      </c>
      <c r="F431" t="s">
        <v>1007</v>
      </c>
      <c r="G431" t="s">
        <v>77</v>
      </c>
      <c r="H431" t="s">
        <v>83</v>
      </c>
      <c r="I431">
        <v>9</v>
      </c>
      <c r="J431">
        <v>45682</v>
      </c>
      <c r="K431">
        <v>0.76875000000000004</v>
      </c>
      <c r="L431">
        <v>0.75</v>
      </c>
      <c r="M431" t="s">
        <v>1008</v>
      </c>
    </row>
    <row r="432" spans="1:13" x14ac:dyDescent="0.25">
      <c r="A432" t="s">
        <v>1014</v>
      </c>
      <c r="B432" t="s">
        <v>1006</v>
      </c>
      <c r="C432" s="2">
        <v>45769.578113090276</v>
      </c>
      <c r="D432" s="2">
        <v>45769.037800925929</v>
      </c>
      <c r="E432" s="2">
        <v>45719.845094884258</v>
      </c>
      <c r="F432" t="s">
        <v>1007</v>
      </c>
      <c r="G432" t="s">
        <v>140</v>
      </c>
      <c r="H432" t="s">
        <v>144</v>
      </c>
      <c r="I432">
        <v>9</v>
      </c>
      <c r="J432">
        <v>45682</v>
      </c>
      <c r="K432">
        <v>0.45833333333333326</v>
      </c>
      <c r="L432">
        <v>0.45833333333333326</v>
      </c>
      <c r="M432" t="s">
        <v>1010</v>
      </c>
    </row>
    <row r="433" spans="1:13" x14ac:dyDescent="0.25">
      <c r="A433" t="s">
        <v>1014</v>
      </c>
      <c r="B433" t="s">
        <v>1006</v>
      </c>
      <c r="C433" s="2">
        <v>45769.578113090276</v>
      </c>
      <c r="D433" s="2">
        <v>45769.037800925929</v>
      </c>
      <c r="E433" s="2">
        <v>45719.845094884258</v>
      </c>
      <c r="F433" t="s">
        <v>1007</v>
      </c>
      <c r="G433" t="s">
        <v>77</v>
      </c>
      <c r="H433" t="s">
        <v>83</v>
      </c>
      <c r="I433">
        <v>9</v>
      </c>
      <c r="J433">
        <v>45682</v>
      </c>
      <c r="K433">
        <v>0.76875000000000004</v>
      </c>
      <c r="L433">
        <v>0.75</v>
      </c>
      <c r="M433" t="s">
        <v>1008</v>
      </c>
    </row>
    <row r="434" spans="1:13" x14ac:dyDescent="0.25">
      <c r="A434" t="s">
        <v>1015</v>
      </c>
      <c r="B434" t="s">
        <v>1006</v>
      </c>
      <c r="C434" s="2">
        <v>45769.578113564814</v>
      </c>
      <c r="D434" s="2">
        <v>45726.85528935185</v>
      </c>
      <c r="E434" s="2">
        <v>45726.856810578705</v>
      </c>
      <c r="F434" t="s">
        <v>1007</v>
      </c>
      <c r="G434" t="s">
        <v>140</v>
      </c>
      <c r="H434" t="s">
        <v>144</v>
      </c>
      <c r="I434">
        <v>9</v>
      </c>
      <c r="J434">
        <v>45682</v>
      </c>
      <c r="K434">
        <v>0.45833333333333326</v>
      </c>
      <c r="L434">
        <v>0.45833333333333326</v>
      </c>
      <c r="M434" t="s">
        <v>1010</v>
      </c>
    </row>
    <row r="435" spans="1:13" x14ac:dyDescent="0.25">
      <c r="A435" t="s">
        <v>1015</v>
      </c>
      <c r="B435" t="s">
        <v>1006</v>
      </c>
      <c r="C435" s="2">
        <v>45769.578113564814</v>
      </c>
      <c r="D435" s="2">
        <v>45726.85528935185</v>
      </c>
      <c r="E435" s="2">
        <v>45726.856810578705</v>
      </c>
      <c r="F435" t="s">
        <v>1007</v>
      </c>
      <c r="G435" t="s">
        <v>77</v>
      </c>
      <c r="H435" t="s">
        <v>83</v>
      </c>
      <c r="I435">
        <v>9</v>
      </c>
      <c r="J435">
        <v>45682</v>
      </c>
      <c r="K435">
        <v>0.76875000000000004</v>
      </c>
      <c r="L435">
        <v>0.75</v>
      </c>
      <c r="M435" t="s">
        <v>1008</v>
      </c>
    </row>
    <row r="436" spans="1:13" x14ac:dyDescent="0.25">
      <c r="A436" t="s">
        <v>1016</v>
      </c>
      <c r="B436" t="s">
        <v>1006</v>
      </c>
      <c r="C436" s="2">
        <v>45769.578113993055</v>
      </c>
      <c r="D436" s="2">
        <v>45727.548941782406</v>
      </c>
      <c r="E436" s="2">
        <v>45727.544082731481</v>
      </c>
      <c r="F436" t="s">
        <v>1007</v>
      </c>
      <c r="G436" t="s">
        <v>140</v>
      </c>
      <c r="H436" t="s">
        <v>144</v>
      </c>
      <c r="I436">
        <v>9</v>
      </c>
      <c r="J436">
        <v>45682</v>
      </c>
      <c r="K436">
        <v>0.45833333333333326</v>
      </c>
      <c r="L436">
        <v>0.45833333333333326</v>
      </c>
      <c r="M436" t="s">
        <v>1010</v>
      </c>
    </row>
    <row r="437" spans="1:13" x14ac:dyDescent="0.25">
      <c r="A437" t="s">
        <v>1016</v>
      </c>
      <c r="B437" t="s">
        <v>1006</v>
      </c>
      <c r="C437" s="2">
        <v>45769.578113993055</v>
      </c>
      <c r="D437" s="2">
        <v>45727.548941782406</v>
      </c>
      <c r="E437" s="2">
        <v>45727.544082731481</v>
      </c>
      <c r="F437" t="s">
        <v>1007</v>
      </c>
      <c r="G437" t="s">
        <v>77</v>
      </c>
      <c r="H437" t="s">
        <v>83</v>
      </c>
      <c r="I437">
        <v>9</v>
      </c>
      <c r="J437">
        <v>45682</v>
      </c>
      <c r="K437">
        <v>0.76875000000000004</v>
      </c>
      <c r="L437">
        <v>0.75</v>
      </c>
      <c r="M437" t="s">
        <v>1008</v>
      </c>
    </row>
    <row r="438" spans="1:13" x14ac:dyDescent="0.25">
      <c r="A438" t="s">
        <v>1017</v>
      </c>
      <c r="B438" t="s">
        <v>1006</v>
      </c>
      <c r="C438" s="2">
        <v>45769.578114386575</v>
      </c>
      <c r="D438" s="2">
        <v>45730.674748101854</v>
      </c>
      <c r="E438" s="2">
        <v>45730.674747743054</v>
      </c>
      <c r="F438" t="s">
        <v>1007</v>
      </c>
      <c r="G438" t="s">
        <v>140</v>
      </c>
      <c r="H438" t="s">
        <v>144</v>
      </c>
      <c r="I438">
        <v>9</v>
      </c>
      <c r="J438">
        <v>45682</v>
      </c>
      <c r="K438">
        <v>0.45833333333333326</v>
      </c>
      <c r="L438">
        <v>0.45833333333333326</v>
      </c>
      <c r="M438" t="s">
        <v>1010</v>
      </c>
    </row>
    <row r="439" spans="1:13" x14ac:dyDescent="0.25">
      <c r="A439" t="s">
        <v>1017</v>
      </c>
      <c r="B439" t="s">
        <v>1006</v>
      </c>
      <c r="C439" s="2">
        <v>45769.578114386575</v>
      </c>
      <c r="D439" s="2">
        <v>45730.674748101854</v>
      </c>
      <c r="E439" s="2">
        <v>45730.674747743054</v>
      </c>
      <c r="F439" t="s">
        <v>1007</v>
      </c>
      <c r="G439" t="s">
        <v>77</v>
      </c>
      <c r="H439" t="s">
        <v>83</v>
      </c>
      <c r="I439">
        <v>9</v>
      </c>
      <c r="J439">
        <v>45682</v>
      </c>
      <c r="K439">
        <v>0.76875000000000004</v>
      </c>
      <c r="L439">
        <v>0.75</v>
      </c>
      <c r="M439" t="s">
        <v>1008</v>
      </c>
    </row>
    <row r="440" spans="1:13" x14ac:dyDescent="0.25">
      <c r="A440" t="s">
        <v>1019</v>
      </c>
      <c r="B440" t="s">
        <v>1006</v>
      </c>
      <c r="C440" s="2">
        <v>45769.578115219905</v>
      </c>
      <c r="D440" s="2">
        <v>45740.441161863426</v>
      </c>
      <c r="E440" s="2">
        <v>45740.441161643517</v>
      </c>
      <c r="F440" t="s">
        <v>1007</v>
      </c>
      <c r="G440" t="s">
        <v>140</v>
      </c>
      <c r="H440" t="s">
        <v>144</v>
      </c>
      <c r="I440">
        <v>9</v>
      </c>
      <c r="J440">
        <v>45682</v>
      </c>
      <c r="K440">
        <v>0.45833333333333326</v>
      </c>
      <c r="L440">
        <v>0.45833333333333326</v>
      </c>
      <c r="M440" t="s">
        <v>1010</v>
      </c>
    </row>
    <row r="441" spans="1:13" x14ac:dyDescent="0.25">
      <c r="A441" t="s">
        <v>1019</v>
      </c>
      <c r="B441" t="s">
        <v>1006</v>
      </c>
      <c r="C441" s="2">
        <v>45769.578115219905</v>
      </c>
      <c r="D441" s="2">
        <v>45740.441161863426</v>
      </c>
      <c r="E441" s="2">
        <v>45740.441161643517</v>
      </c>
      <c r="F441" t="s">
        <v>1007</v>
      </c>
      <c r="G441" t="s">
        <v>77</v>
      </c>
      <c r="H441" t="s">
        <v>83</v>
      </c>
      <c r="I441">
        <v>9</v>
      </c>
      <c r="J441">
        <v>45682</v>
      </c>
      <c r="K441">
        <v>0.76875000000000004</v>
      </c>
      <c r="L441">
        <v>0.75</v>
      </c>
      <c r="M441" t="s">
        <v>1008</v>
      </c>
    </row>
    <row r="442" spans="1:13" x14ac:dyDescent="0.25">
      <c r="A442" t="s">
        <v>1020</v>
      </c>
      <c r="B442" t="s">
        <v>1006</v>
      </c>
      <c r="C442" s="2">
        <v>45769.578115682867</v>
      </c>
      <c r="D442" s="2">
        <v>45747.434178240743</v>
      </c>
      <c r="E442" s="2">
        <v>45746.492342094905</v>
      </c>
      <c r="F442" t="s">
        <v>1007</v>
      </c>
      <c r="G442" t="s">
        <v>140</v>
      </c>
      <c r="H442" t="s">
        <v>144</v>
      </c>
      <c r="I442">
        <v>9</v>
      </c>
      <c r="J442">
        <v>45682</v>
      </c>
      <c r="K442">
        <v>0.45833333333333326</v>
      </c>
      <c r="L442">
        <v>0.45833333333333326</v>
      </c>
      <c r="M442" t="s">
        <v>1010</v>
      </c>
    </row>
    <row r="443" spans="1:13" x14ac:dyDescent="0.25">
      <c r="A443" t="s">
        <v>1020</v>
      </c>
      <c r="B443" t="s">
        <v>1006</v>
      </c>
      <c r="C443" s="2">
        <v>45769.578115682867</v>
      </c>
      <c r="D443" s="2">
        <v>45747.434178240743</v>
      </c>
      <c r="E443" s="2">
        <v>45746.492342094905</v>
      </c>
      <c r="F443" t="s">
        <v>1007</v>
      </c>
      <c r="G443" t="s">
        <v>77</v>
      </c>
      <c r="H443" t="s">
        <v>83</v>
      </c>
      <c r="I443">
        <v>9</v>
      </c>
      <c r="J443">
        <v>45682</v>
      </c>
      <c r="K443">
        <v>0.76875000000000004</v>
      </c>
      <c r="L443">
        <v>0.75</v>
      </c>
      <c r="M443" t="s">
        <v>1008</v>
      </c>
    </row>
    <row r="444" spans="1:13" x14ac:dyDescent="0.25">
      <c r="A444" t="s">
        <v>1021</v>
      </c>
      <c r="B444" t="s">
        <v>1006</v>
      </c>
      <c r="C444" s="2">
        <v>45769.578116168981</v>
      </c>
      <c r="D444" s="2">
        <v>45748.008692129632</v>
      </c>
      <c r="E444" s="2">
        <v>45760.803375069445</v>
      </c>
      <c r="F444" t="s">
        <v>1007</v>
      </c>
      <c r="G444" t="s">
        <v>140</v>
      </c>
      <c r="H444" t="s">
        <v>144</v>
      </c>
      <c r="I444">
        <v>9</v>
      </c>
      <c r="J444">
        <v>45682</v>
      </c>
      <c r="K444">
        <v>0.45833333333333326</v>
      </c>
      <c r="L444">
        <v>0.45833333333333326</v>
      </c>
      <c r="M444" t="s">
        <v>1010</v>
      </c>
    </row>
    <row r="445" spans="1:13" x14ac:dyDescent="0.25">
      <c r="A445" t="s">
        <v>1021</v>
      </c>
      <c r="B445" t="s">
        <v>1006</v>
      </c>
      <c r="C445" s="2">
        <v>45769.578116168981</v>
      </c>
      <c r="D445" s="2">
        <v>45748.008692129632</v>
      </c>
      <c r="E445" s="2">
        <v>45760.803375069445</v>
      </c>
      <c r="F445" t="s">
        <v>1007</v>
      </c>
      <c r="G445" t="s">
        <v>77</v>
      </c>
      <c r="H445" t="s">
        <v>83</v>
      </c>
      <c r="I445">
        <v>9</v>
      </c>
      <c r="J445">
        <v>45682</v>
      </c>
      <c r="K445">
        <v>0.76875000000000004</v>
      </c>
      <c r="L445">
        <v>0.75</v>
      </c>
      <c r="M445" t="s">
        <v>1008</v>
      </c>
    </row>
    <row r="446" spans="1:13" x14ac:dyDescent="0.25">
      <c r="A446" t="s">
        <v>1024</v>
      </c>
      <c r="B446" t="s">
        <v>1006</v>
      </c>
      <c r="C446" s="2">
        <v>45769.578117557867</v>
      </c>
      <c r="D446" s="2">
        <v>45755.522465879629</v>
      </c>
      <c r="E446" s="2">
        <v>45755.517505011572</v>
      </c>
      <c r="F446" t="s">
        <v>1007</v>
      </c>
      <c r="G446" t="s">
        <v>140</v>
      </c>
      <c r="H446" t="s">
        <v>144</v>
      </c>
      <c r="I446">
        <v>9</v>
      </c>
      <c r="J446">
        <v>45682</v>
      </c>
      <c r="K446">
        <v>0.45833333333333326</v>
      </c>
      <c r="L446">
        <v>0.45833333333333326</v>
      </c>
      <c r="M446" t="s">
        <v>1010</v>
      </c>
    </row>
    <row r="447" spans="1:13" x14ac:dyDescent="0.25">
      <c r="A447" t="s">
        <v>1024</v>
      </c>
      <c r="B447" t="s">
        <v>1006</v>
      </c>
      <c r="C447" s="2">
        <v>45769.578117557867</v>
      </c>
      <c r="D447" s="2">
        <v>45755.522465879629</v>
      </c>
      <c r="E447" s="2">
        <v>45755.517505011572</v>
      </c>
      <c r="F447" t="s">
        <v>1007</v>
      </c>
      <c r="G447" t="s">
        <v>77</v>
      </c>
      <c r="H447" t="s">
        <v>83</v>
      </c>
      <c r="I447">
        <v>9</v>
      </c>
      <c r="J447">
        <v>45682</v>
      </c>
      <c r="K447">
        <v>0.76875000000000004</v>
      </c>
      <c r="L447">
        <v>0.75</v>
      </c>
      <c r="M447" t="s">
        <v>1008</v>
      </c>
    </row>
    <row r="448" spans="1:13" x14ac:dyDescent="0.25">
      <c r="A448" t="s">
        <v>1025</v>
      </c>
      <c r="B448" t="s">
        <v>1006</v>
      </c>
      <c r="C448" s="2">
        <v>45769.578118020836</v>
      </c>
      <c r="D448" s="2">
        <v>45756.741511504631</v>
      </c>
      <c r="E448" s="2">
        <v>45756.741511087967</v>
      </c>
      <c r="F448" t="s">
        <v>1007</v>
      </c>
      <c r="G448" t="s">
        <v>140</v>
      </c>
      <c r="H448" t="s">
        <v>144</v>
      </c>
      <c r="I448">
        <v>9</v>
      </c>
      <c r="J448">
        <v>45682</v>
      </c>
      <c r="K448">
        <v>0.45833333333333326</v>
      </c>
      <c r="L448">
        <v>0.45833333333333326</v>
      </c>
      <c r="M448" t="s">
        <v>1010</v>
      </c>
    </row>
    <row r="449" spans="1:13" x14ac:dyDescent="0.25">
      <c r="A449" t="s">
        <v>1025</v>
      </c>
      <c r="B449" t="s">
        <v>1006</v>
      </c>
      <c r="C449" s="2">
        <v>45769.578118020836</v>
      </c>
      <c r="D449" s="2">
        <v>45756.741511504631</v>
      </c>
      <c r="E449" s="2">
        <v>45756.741511087967</v>
      </c>
      <c r="F449" t="s">
        <v>1007</v>
      </c>
      <c r="G449" t="s">
        <v>77</v>
      </c>
      <c r="H449" t="s">
        <v>83</v>
      </c>
      <c r="I449">
        <v>9</v>
      </c>
      <c r="J449">
        <v>45682</v>
      </c>
      <c r="K449">
        <v>0.76875000000000004</v>
      </c>
      <c r="L449">
        <v>0.75</v>
      </c>
      <c r="M449" t="s">
        <v>1008</v>
      </c>
    </row>
    <row r="450" spans="1:13" x14ac:dyDescent="0.25">
      <c r="A450" t="s">
        <v>1026</v>
      </c>
      <c r="B450" t="s">
        <v>1006</v>
      </c>
      <c r="C450" s="2">
        <v>45769.578118518519</v>
      </c>
      <c r="D450" s="2">
        <v>45758.796925532406</v>
      </c>
      <c r="E450" s="2">
        <v>45758.796925092596</v>
      </c>
      <c r="F450" t="s">
        <v>1007</v>
      </c>
      <c r="G450" t="s">
        <v>140</v>
      </c>
      <c r="H450" t="s">
        <v>144</v>
      </c>
      <c r="I450">
        <v>9</v>
      </c>
      <c r="J450">
        <v>45682</v>
      </c>
      <c r="K450">
        <v>0.45833333333333326</v>
      </c>
      <c r="L450">
        <v>0.45833333333333326</v>
      </c>
      <c r="M450" t="s">
        <v>1010</v>
      </c>
    </row>
    <row r="451" spans="1:13" x14ac:dyDescent="0.25">
      <c r="A451" t="s">
        <v>1026</v>
      </c>
      <c r="B451" t="s">
        <v>1006</v>
      </c>
      <c r="C451" s="2">
        <v>45769.578118518519</v>
      </c>
      <c r="D451" s="2">
        <v>45758.796925532406</v>
      </c>
      <c r="E451" s="2">
        <v>45758.796925092596</v>
      </c>
      <c r="F451" t="s">
        <v>1007</v>
      </c>
      <c r="G451" t="s">
        <v>77</v>
      </c>
      <c r="H451" t="s">
        <v>83</v>
      </c>
      <c r="I451">
        <v>9</v>
      </c>
      <c r="J451">
        <v>45682</v>
      </c>
      <c r="K451">
        <v>0.76875000000000004</v>
      </c>
      <c r="L451">
        <v>0.75</v>
      </c>
      <c r="M451" t="s">
        <v>1008</v>
      </c>
    </row>
    <row r="452" spans="1:13" x14ac:dyDescent="0.25">
      <c r="A452" t="s">
        <v>1027</v>
      </c>
      <c r="B452" t="s">
        <v>1006</v>
      </c>
      <c r="C452" s="2">
        <v>45769.578119039354</v>
      </c>
      <c r="D452" s="2">
        <v>45762.136261574073</v>
      </c>
      <c r="E452" s="2">
        <v>45761.611620300922</v>
      </c>
      <c r="F452" t="s">
        <v>1007</v>
      </c>
      <c r="G452" t="s">
        <v>140</v>
      </c>
      <c r="H452" t="s">
        <v>144</v>
      </c>
      <c r="I452">
        <v>9</v>
      </c>
      <c r="J452">
        <v>45682</v>
      </c>
      <c r="K452">
        <v>0.45833333333333326</v>
      </c>
      <c r="L452">
        <v>0.45833333333333326</v>
      </c>
      <c r="M452" t="s">
        <v>1010</v>
      </c>
    </row>
    <row r="453" spans="1:13" x14ac:dyDescent="0.25">
      <c r="A453" t="s">
        <v>1027</v>
      </c>
      <c r="B453" t="s">
        <v>1006</v>
      </c>
      <c r="C453" s="2">
        <v>45769.578119039354</v>
      </c>
      <c r="D453" s="2">
        <v>45762.136261574073</v>
      </c>
      <c r="E453" s="2">
        <v>45761.611620300922</v>
      </c>
      <c r="F453" t="s">
        <v>1007</v>
      </c>
      <c r="G453" t="s">
        <v>77</v>
      </c>
      <c r="H453" t="s">
        <v>83</v>
      </c>
      <c r="I453">
        <v>9</v>
      </c>
      <c r="J453">
        <v>45682</v>
      </c>
      <c r="K453">
        <v>0.76875000000000004</v>
      </c>
      <c r="L453">
        <v>0.75</v>
      </c>
      <c r="M453" t="s">
        <v>1008</v>
      </c>
    </row>
    <row r="454" spans="1:13" x14ac:dyDescent="0.25">
      <c r="A454" t="s">
        <v>1005</v>
      </c>
      <c r="B454" t="s">
        <v>1006</v>
      </c>
      <c r="C454" s="2">
        <v>45769.578089016206</v>
      </c>
      <c r="D454" s="2">
        <v>45769.034166666665</v>
      </c>
      <c r="E454" s="2">
        <v>45760.803204236108</v>
      </c>
      <c r="F454" t="s">
        <v>1007</v>
      </c>
      <c r="G454" t="s">
        <v>96</v>
      </c>
      <c r="H454" t="s">
        <v>100</v>
      </c>
      <c r="I454">
        <v>9</v>
      </c>
      <c r="J454">
        <v>45683</v>
      </c>
      <c r="K454">
        <v>0.84027777777777768</v>
      </c>
      <c r="L454">
        <v>0.83333333333333326</v>
      </c>
      <c r="M454" t="s">
        <v>1008</v>
      </c>
    </row>
    <row r="455" spans="1:13" x14ac:dyDescent="0.25">
      <c r="A455" t="s">
        <v>1011</v>
      </c>
      <c r="B455" t="s">
        <v>1006</v>
      </c>
      <c r="C455" s="2">
        <v>45769.578111863426</v>
      </c>
      <c r="D455" s="2">
        <v>45769.037777777776</v>
      </c>
      <c r="E455" s="2">
        <v>45712.703342291665</v>
      </c>
      <c r="F455" t="s">
        <v>1007</v>
      </c>
      <c r="G455" t="s">
        <v>96</v>
      </c>
      <c r="H455" t="s">
        <v>100</v>
      </c>
      <c r="I455">
        <v>9</v>
      </c>
      <c r="J455">
        <v>45683</v>
      </c>
      <c r="K455">
        <v>0.84027777777777768</v>
      </c>
      <c r="L455">
        <v>0.83333333333333326</v>
      </c>
      <c r="M455" t="s">
        <v>1008</v>
      </c>
    </row>
    <row r="456" spans="1:13" x14ac:dyDescent="0.25">
      <c r="A456" t="s">
        <v>1012</v>
      </c>
      <c r="B456" t="s">
        <v>1006</v>
      </c>
      <c r="C456" s="2">
        <v>45769.578112280091</v>
      </c>
      <c r="D456" s="2">
        <v>45769.035879629628</v>
      </c>
      <c r="E456" s="2">
        <v>45713.368867349534</v>
      </c>
      <c r="F456" t="s">
        <v>1007</v>
      </c>
      <c r="G456" t="s">
        <v>96</v>
      </c>
      <c r="H456" t="s">
        <v>100</v>
      </c>
      <c r="I456">
        <v>9</v>
      </c>
      <c r="J456">
        <v>45683</v>
      </c>
      <c r="K456">
        <v>0.84027777777777768</v>
      </c>
      <c r="L456">
        <v>0.83333333333333326</v>
      </c>
      <c r="M456" t="s">
        <v>1008</v>
      </c>
    </row>
    <row r="457" spans="1:13" x14ac:dyDescent="0.25">
      <c r="A457" t="s">
        <v>1013</v>
      </c>
      <c r="B457" t="s">
        <v>1006</v>
      </c>
      <c r="C457" s="2">
        <v>45769.578112673611</v>
      </c>
      <c r="D457" s="2">
        <v>45769.037800925929</v>
      </c>
      <c r="E457" s="2">
        <v>45718.720149895831</v>
      </c>
      <c r="F457" t="s">
        <v>1007</v>
      </c>
      <c r="G457" t="s">
        <v>96</v>
      </c>
      <c r="H457" t="s">
        <v>100</v>
      </c>
      <c r="I457">
        <v>9</v>
      </c>
      <c r="J457">
        <v>45683</v>
      </c>
      <c r="K457">
        <v>0.84027777777777768</v>
      </c>
      <c r="L457">
        <v>0.83333333333333326</v>
      </c>
      <c r="M457" t="s">
        <v>1008</v>
      </c>
    </row>
    <row r="458" spans="1:13" x14ac:dyDescent="0.25">
      <c r="A458" t="s">
        <v>1014</v>
      </c>
      <c r="B458" t="s">
        <v>1006</v>
      </c>
      <c r="C458" s="2">
        <v>45769.578113090276</v>
      </c>
      <c r="D458" s="2">
        <v>45769.037800925929</v>
      </c>
      <c r="E458" s="2">
        <v>45719.845094884258</v>
      </c>
      <c r="F458" t="s">
        <v>1007</v>
      </c>
      <c r="G458" t="s">
        <v>96</v>
      </c>
      <c r="H458" t="s">
        <v>100</v>
      </c>
      <c r="I458">
        <v>9</v>
      </c>
      <c r="J458">
        <v>45683</v>
      </c>
      <c r="K458">
        <v>0.84027777777777768</v>
      </c>
      <c r="L458">
        <v>0.83333333333333326</v>
      </c>
      <c r="M458" t="s">
        <v>1008</v>
      </c>
    </row>
    <row r="459" spans="1:13" x14ac:dyDescent="0.25">
      <c r="A459" t="s">
        <v>1015</v>
      </c>
      <c r="B459" t="s">
        <v>1006</v>
      </c>
      <c r="C459" s="2">
        <v>45769.578113564814</v>
      </c>
      <c r="D459" s="2">
        <v>45726.85528935185</v>
      </c>
      <c r="E459" s="2">
        <v>45726.856810578705</v>
      </c>
      <c r="F459" t="s">
        <v>1007</v>
      </c>
      <c r="G459" t="s">
        <v>96</v>
      </c>
      <c r="H459" t="s">
        <v>100</v>
      </c>
      <c r="I459">
        <v>9</v>
      </c>
      <c r="J459">
        <v>45683</v>
      </c>
      <c r="K459">
        <v>0.84027777777777768</v>
      </c>
      <c r="L459">
        <v>0.83333333333333326</v>
      </c>
      <c r="M459" t="s">
        <v>1008</v>
      </c>
    </row>
    <row r="460" spans="1:13" x14ac:dyDescent="0.25">
      <c r="A460" t="s">
        <v>1016</v>
      </c>
      <c r="B460" t="s">
        <v>1006</v>
      </c>
      <c r="C460" s="2">
        <v>45769.578113993055</v>
      </c>
      <c r="D460" s="2">
        <v>45727.548941782406</v>
      </c>
      <c r="E460" s="2">
        <v>45727.544082731481</v>
      </c>
      <c r="F460" t="s">
        <v>1007</v>
      </c>
      <c r="G460" t="s">
        <v>96</v>
      </c>
      <c r="H460" t="s">
        <v>100</v>
      </c>
      <c r="I460">
        <v>9</v>
      </c>
      <c r="J460">
        <v>45683</v>
      </c>
      <c r="K460">
        <v>0.84027777777777768</v>
      </c>
      <c r="L460">
        <v>0.83333333333333326</v>
      </c>
      <c r="M460" t="s">
        <v>1008</v>
      </c>
    </row>
    <row r="461" spans="1:13" x14ac:dyDescent="0.25">
      <c r="A461" t="s">
        <v>1017</v>
      </c>
      <c r="B461" t="s">
        <v>1006</v>
      </c>
      <c r="C461" s="2">
        <v>45769.578114386575</v>
      </c>
      <c r="D461" s="2">
        <v>45730.674748101854</v>
      </c>
      <c r="E461" s="2">
        <v>45730.674747743054</v>
      </c>
      <c r="F461" t="s">
        <v>1007</v>
      </c>
      <c r="G461" t="s">
        <v>96</v>
      </c>
      <c r="H461" t="s">
        <v>100</v>
      </c>
      <c r="I461">
        <v>9</v>
      </c>
      <c r="J461">
        <v>45683</v>
      </c>
      <c r="K461">
        <v>0.84027777777777768</v>
      </c>
      <c r="L461">
        <v>0.83333333333333326</v>
      </c>
      <c r="M461" t="s">
        <v>1008</v>
      </c>
    </row>
    <row r="462" spans="1:13" x14ac:dyDescent="0.25">
      <c r="A462" t="s">
        <v>1019</v>
      </c>
      <c r="B462" t="s">
        <v>1006</v>
      </c>
      <c r="C462" s="2">
        <v>45769.578115219905</v>
      </c>
      <c r="D462" s="2">
        <v>45740.441161863426</v>
      </c>
      <c r="E462" s="2">
        <v>45740.441161643517</v>
      </c>
      <c r="F462" t="s">
        <v>1007</v>
      </c>
      <c r="G462" t="s">
        <v>96</v>
      </c>
      <c r="H462" t="s">
        <v>100</v>
      </c>
      <c r="I462">
        <v>9</v>
      </c>
      <c r="J462">
        <v>45683</v>
      </c>
      <c r="K462">
        <v>0.84027777777777768</v>
      </c>
      <c r="L462">
        <v>0.83333333333333326</v>
      </c>
      <c r="M462" t="s">
        <v>1008</v>
      </c>
    </row>
    <row r="463" spans="1:13" x14ac:dyDescent="0.25">
      <c r="A463" t="s">
        <v>1020</v>
      </c>
      <c r="B463" t="s">
        <v>1006</v>
      </c>
      <c r="C463" s="2">
        <v>45769.578115682867</v>
      </c>
      <c r="D463" s="2">
        <v>45747.434178240743</v>
      </c>
      <c r="E463" s="2">
        <v>45746.492342094905</v>
      </c>
      <c r="F463" t="s">
        <v>1007</v>
      </c>
      <c r="G463" t="s">
        <v>96</v>
      </c>
      <c r="H463" t="s">
        <v>100</v>
      </c>
      <c r="I463">
        <v>9</v>
      </c>
      <c r="J463">
        <v>45683</v>
      </c>
      <c r="K463">
        <v>0.84027777777777768</v>
      </c>
      <c r="L463">
        <v>0.83333333333333326</v>
      </c>
      <c r="M463" t="s">
        <v>1008</v>
      </c>
    </row>
    <row r="464" spans="1:13" x14ac:dyDescent="0.25">
      <c r="A464" t="s">
        <v>1021</v>
      </c>
      <c r="B464" t="s">
        <v>1006</v>
      </c>
      <c r="C464" s="2">
        <v>45769.578116168981</v>
      </c>
      <c r="D464" s="2">
        <v>45748.008692129632</v>
      </c>
      <c r="E464" s="2">
        <v>45760.803375069445</v>
      </c>
      <c r="F464" t="s">
        <v>1007</v>
      </c>
      <c r="G464" t="s">
        <v>96</v>
      </c>
      <c r="H464" t="s">
        <v>100</v>
      </c>
      <c r="I464">
        <v>9</v>
      </c>
      <c r="J464">
        <v>45683</v>
      </c>
      <c r="K464">
        <v>0.84027777777777768</v>
      </c>
      <c r="L464">
        <v>0.83333333333333326</v>
      </c>
      <c r="M464" t="s">
        <v>1008</v>
      </c>
    </row>
    <row r="465" spans="1:13" x14ac:dyDescent="0.25">
      <c r="A465" t="s">
        <v>1024</v>
      </c>
      <c r="B465" t="s">
        <v>1006</v>
      </c>
      <c r="C465" s="2">
        <v>45769.578117557867</v>
      </c>
      <c r="D465" s="2">
        <v>45755.522465879629</v>
      </c>
      <c r="E465" s="2">
        <v>45755.517505011572</v>
      </c>
      <c r="F465" t="s">
        <v>1007</v>
      </c>
      <c r="G465" t="s">
        <v>96</v>
      </c>
      <c r="H465" t="s">
        <v>100</v>
      </c>
      <c r="I465">
        <v>9</v>
      </c>
      <c r="J465">
        <v>45683</v>
      </c>
      <c r="K465">
        <v>0.84027777777777768</v>
      </c>
      <c r="L465">
        <v>0.83333333333333326</v>
      </c>
      <c r="M465" t="s">
        <v>1008</v>
      </c>
    </row>
    <row r="466" spans="1:13" x14ac:dyDescent="0.25">
      <c r="A466" t="s">
        <v>1025</v>
      </c>
      <c r="B466" t="s">
        <v>1006</v>
      </c>
      <c r="C466" s="2">
        <v>45769.578118020836</v>
      </c>
      <c r="D466" s="2">
        <v>45756.741511504631</v>
      </c>
      <c r="E466" s="2">
        <v>45756.741511087967</v>
      </c>
      <c r="F466" t="s">
        <v>1007</v>
      </c>
      <c r="G466" t="s">
        <v>96</v>
      </c>
      <c r="H466" t="s">
        <v>100</v>
      </c>
      <c r="I466">
        <v>9</v>
      </c>
      <c r="J466">
        <v>45683</v>
      </c>
      <c r="K466">
        <v>0.84027777777777768</v>
      </c>
      <c r="L466">
        <v>0.83333333333333326</v>
      </c>
      <c r="M466" t="s">
        <v>1008</v>
      </c>
    </row>
    <row r="467" spans="1:13" x14ac:dyDescent="0.25">
      <c r="A467" t="s">
        <v>1026</v>
      </c>
      <c r="B467" t="s">
        <v>1006</v>
      </c>
      <c r="C467" s="2">
        <v>45769.578118518519</v>
      </c>
      <c r="D467" s="2">
        <v>45758.796925532406</v>
      </c>
      <c r="E467" s="2">
        <v>45758.796925092596</v>
      </c>
      <c r="F467" t="s">
        <v>1007</v>
      </c>
      <c r="G467" t="s">
        <v>96</v>
      </c>
      <c r="H467" t="s">
        <v>100</v>
      </c>
      <c r="I467">
        <v>9</v>
      </c>
      <c r="J467">
        <v>45683</v>
      </c>
      <c r="K467">
        <v>0.84027777777777768</v>
      </c>
      <c r="L467">
        <v>0.83333333333333326</v>
      </c>
      <c r="M467" t="s">
        <v>1008</v>
      </c>
    </row>
    <row r="468" spans="1:13" x14ac:dyDescent="0.25">
      <c r="A468" t="s">
        <v>1027</v>
      </c>
      <c r="B468" t="s">
        <v>1006</v>
      </c>
      <c r="C468" s="2">
        <v>45769.578119039354</v>
      </c>
      <c r="D468" s="2">
        <v>45762.136261574073</v>
      </c>
      <c r="E468" s="2">
        <v>45761.611620300922</v>
      </c>
      <c r="F468" t="s">
        <v>1007</v>
      </c>
      <c r="G468" t="s">
        <v>96</v>
      </c>
      <c r="H468" t="s">
        <v>100</v>
      </c>
      <c r="I468">
        <v>9</v>
      </c>
      <c r="J468">
        <v>45683</v>
      </c>
      <c r="K468">
        <v>0.84027777777777768</v>
      </c>
      <c r="L468">
        <v>0.83333333333333326</v>
      </c>
      <c r="M468" t="s">
        <v>1008</v>
      </c>
    </row>
    <row r="469" spans="1:13" x14ac:dyDescent="0.25">
      <c r="A469" t="s">
        <v>1005</v>
      </c>
      <c r="B469" t="s">
        <v>1006</v>
      </c>
      <c r="C469" s="2">
        <v>45769.578089016206</v>
      </c>
      <c r="D469" s="2">
        <v>45769.034166666665</v>
      </c>
      <c r="E469" s="2">
        <v>45760.803204236108</v>
      </c>
      <c r="F469" t="s">
        <v>1007</v>
      </c>
      <c r="G469" t="s">
        <v>256</v>
      </c>
      <c r="H469" t="s">
        <v>260</v>
      </c>
      <c r="I469">
        <v>9</v>
      </c>
      <c r="J469">
        <v>45685</v>
      </c>
      <c r="K469">
        <v>0.625</v>
      </c>
      <c r="L469">
        <v>0.625</v>
      </c>
      <c r="M469" t="s">
        <v>1009</v>
      </c>
    </row>
    <row r="470" spans="1:13" x14ac:dyDescent="0.25">
      <c r="A470" t="s">
        <v>1011</v>
      </c>
      <c r="B470" t="s">
        <v>1006</v>
      </c>
      <c r="C470" s="2">
        <v>45769.578111863426</v>
      </c>
      <c r="D470" s="2">
        <v>45769.037777777776</v>
      </c>
      <c r="E470" s="2">
        <v>45712.703342291665</v>
      </c>
      <c r="F470" t="s">
        <v>1007</v>
      </c>
      <c r="G470" t="s">
        <v>256</v>
      </c>
      <c r="H470" t="s">
        <v>260</v>
      </c>
      <c r="I470">
        <v>9</v>
      </c>
      <c r="J470">
        <v>45685</v>
      </c>
      <c r="K470">
        <v>0.625</v>
      </c>
      <c r="L470">
        <v>0.625</v>
      </c>
      <c r="M470" t="s">
        <v>1009</v>
      </c>
    </row>
    <row r="471" spans="1:13" x14ac:dyDescent="0.25">
      <c r="A471" t="s">
        <v>1012</v>
      </c>
      <c r="B471" t="s">
        <v>1006</v>
      </c>
      <c r="C471" s="2">
        <v>45769.578112280091</v>
      </c>
      <c r="D471" s="2">
        <v>45769.035879629628</v>
      </c>
      <c r="E471" s="2">
        <v>45713.368867349534</v>
      </c>
      <c r="F471" t="s">
        <v>1007</v>
      </c>
      <c r="G471" t="s">
        <v>256</v>
      </c>
      <c r="H471" t="s">
        <v>260</v>
      </c>
      <c r="I471">
        <v>9</v>
      </c>
      <c r="J471">
        <v>45685</v>
      </c>
      <c r="K471">
        <v>0.625</v>
      </c>
      <c r="L471">
        <v>0.625</v>
      </c>
      <c r="M471" t="s">
        <v>1009</v>
      </c>
    </row>
    <row r="472" spans="1:13" x14ac:dyDescent="0.25">
      <c r="A472" t="s">
        <v>1013</v>
      </c>
      <c r="B472" t="s">
        <v>1006</v>
      </c>
      <c r="C472" s="2">
        <v>45769.578112673611</v>
      </c>
      <c r="D472" s="2">
        <v>45769.037800925929</v>
      </c>
      <c r="E472" s="2">
        <v>45718.720149895831</v>
      </c>
      <c r="F472" t="s">
        <v>1007</v>
      </c>
      <c r="G472" t="s">
        <v>256</v>
      </c>
      <c r="H472" t="s">
        <v>260</v>
      </c>
      <c r="I472">
        <v>9</v>
      </c>
      <c r="J472">
        <v>45685</v>
      </c>
      <c r="K472">
        <v>0.625</v>
      </c>
      <c r="L472">
        <v>0.625</v>
      </c>
      <c r="M472" t="s">
        <v>1009</v>
      </c>
    </row>
    <row r="473" spans="1:13" x14ac:dyDescent="0.25">
      <c r="A473" t="s">
        <v>1014</v>
      </c>
      <c r="B473" t="s">
        <v>1006</v>
      </c>
      <c r="C473" s="2">
        <v>45769.578113090276</v>
      </c>
      <c r="D473" s="2">
        <v>45769.037800925929</v>
      </c>
      <c r="E473" s="2">
        <v>45719.845094884258</v>
      </c>
      <c r="F473" t="s">
        <v>1007</v>
      </c>
      <c r="G473" t="s">
        <v>256</v>
      </c>
      <c r="H473" t="s">
        <v>260</v>
      </c>
      <c r="I473">
        <v>9</v>
      </c>
      <c r="J473">
        <v>45685</v>
      </c>
      <c r="K473">
        <v>0.625</v>
      </c>
      <c r="L473">
        <v>0.625</v>
      </c>
      <c r="M473" t="s">
        <v>1009</v>
      </c>
    </row>
    <row r="474" spans="1:13" x14ac:dyDescent="0.25">
      <c r="A474" t="s">
        <v>1015</v>
      </c>
      <c r="B474" t="s">
        <v>1006</v>
      </c>
      <c r="C474" s="2">
        <v>45769.578113564814</v>
      </c>
      <c r="D474" s="2">
        <v>45726.85528935185</v>
      </c>
      <c r="E474" s="2">
        <v>45726.856810578705</v>
      </c>
      <c r="F474" t="s">
        <v>1007</v>
      </c>
      <c r="G474" t="s">
        <v>256</v>
      </c>
      <c r="H474" t="s">
        <v>260</v>
      </c>
      <c r="I474">
        <v>9</v>
      </c>
      <c r="J474">
        <v>45685</v>
      </c>
      <c r="K474">
        <v>0.625</v>
      </c>
      <c r="L474">
        <v>0.625</v>
      </c>
      <c r="M474" t="s">
        <v>1009</v>
      </c>
    </row>
    <row r="475" spans="1:13" x14ac:dyDescent="0.25">
      <c r="A475" t="s">
        <v>1016</v>
      </c>
      <c r="B475" t="s">
        <v>1006</v>
      </c>
      <c r="C475" s="2">
        <v>45769.578113993055</v>
      </c>
      <c r="D475" s="2">
        <v>45727.548941782406</v>
      </c>
      <c r="E475" s="2">
        <v>45727.544082731481</v>
      </c>
      <c r="F475" t="s">
        <v>1007</v>
      </c>
      <c r="G475" t="s">
        <v>256</v>
      </c>
      <c r="H475" t="s">
        <v>260</v>
      </c>
      <c r="I475">
        <v>9</v>
      </c>
      <c r="J475">
        <v>45685</v>
      </c>
      <c r="K475">
        <v>0.625</v>
      </c>
      <c r="L475">
        <v>0.625</v>
      </c>
      <c r="M475" t="s">
        <v>1009</v>
      </c>
    </row>
    <row r="476" spans="1:13" x14ac:dyDescent="0.25">
      <c r="A476" t="s">
        <v>1017</v>
      </c>
      <c r="B476" t="s">
        <v>1006</v>
      </c>
      <c r="C476" s="2">
        <v>45769.578114386575</v>
      </c>
      <c r="D476" s="2">
        <v>45730.674748101854</v>
      </c>
      <c r="E476" s="2">
        <v>45730.674747743054</v>
      </c>
      <c r="F476" t="s">
        <v>1007</v>
      </c>
      <c r="G476" t="s">
        <v>256</v>
      </c>
      <c r="H476" t="s">
        <v>260</v>
      </c>
      <c r="I476">
        <v>9</v>
      </c>
      <c r="J476">
        <v>45685</v>
      </c>
      <c r="K476">
        <v>0.625</v>
      </c>
      <c r="L476">
        <v>0.625</v>
      </c>
      <c r="M476" t="s">
        <v>1009</v>
      </c>
    </row>
    <row r="477" spans="1:13" x14ac:dyDescent="0.25">
      <c r="A477" t="s">
        <v>1019</v>
      </c>
      <c r="B477" t="s">
        <v>1006</v>
      </c>
      <c r="C477" s="2">
        <v>45769.578115219905</v>
      </c>
      <c r="D477" s="2">
        <v>45740.441161863426</v>
      </c>
      <c r="E477" s="2">
        <v>45740.441161643517</v>
      </c>
      <c r="F477" t="s">
        <v>1007</v>
      </c>
      <c r="G477" t="s">
        <v>256</v>
      </c>
      <c r="H477" t="s">
        <v>260</v>
      </c>
      <c r="I477">
        <v>9</v>
      </c>
      <c r="J477">
        <v>45685</v>
      </c>
      <c r="K477">
        <v>0.625</v>
      </c>
      <c r="L477">
        <v>0.625</v>
      </c>
      <c r="M477" t="s">
        <v>1009</v>
      </c>
    </row>
    <row r="478" spans="1:13" x14ac:dyDescent="0.25">
      <c r="A478" t="s">
        <v>1020</v>
      </c>
      <c r="B478" t="s">
        <v>1006</v>
      </c>
      <c r="C478" s="2">
        <v>45769.578115682867</v>
      </c>
      <c r="D478" s="2">
        <v>45747.434178240743</v>
      </c>
      <c r="E478" s="2">
        <v>45746.492342094905</v>
      </c>
      <c r="F478" t="s">
        <v>1007</v>
      </c>
      <c r="G478" t="s">
        <v>256</v>
      </c>
      <c r="H478" t="s">
        <v>260</v>
      </c>
      <c r="I478">
        <v>9</v>
      </c>
      <c r="J478">
        <v>45685</v>
      </c>
      <c r="K478">
        <v>0.625</v>
      </c>
      <c r="L478">
        <v>0.625</v>
      </c>
      <c r="M478" t="s">
        <v>1009</v>
      </c>
    </row>
    <row r="479" spans="1:13" x14ac:dyDescent="0.25">
      <c r="A479" t="s">
        <v>1021</v>
      </c>
      <c r="B479" t="s">
        <v>1006</v>
      </c>
      <c r="C479" s="2">
        <v>45769.578116168981</v>
      </c>
      <c r="D479" s="2">
        <v>45748.008692129632</v>
      </c>
      <c r="E479" s="2">
        <v>45760.803375069445</v>
      </c>
      <c r="F479" t="s">
        <v>1007</v>
      </c>
      <c r="G479" t="s">
        <v>256</v>
      </c>
      <c r="H479" t="s">
        <v>260</v>
      </c>
      <c r="I479">
        <v>9</v>
      </c>
      <c r="J479">
        <v>45685</v>
      </c>
      <c r="K479">
        <v>0.625</v>
      </c>
      <c r="L479">
        <v>0.625</v>
      </c>
      <c r="M479" t="s">
        <v>1009</v>
      </c>
    </row>
    <row r="480" spans="1:13" x14ac:dyDescent="0.25">
      <c r="A480" t="s">
        <v>1024</v>
      </c>
      <c r="B480" t="s">
        <v>1006</v>
      </c>
      <c r="C480" s="2">
        <v>45769.578117557867</v>
      </c>
      <c r="D480" s="2">
        <v>45755.522465879629</v>
      </c>
      <c r="E480" s="2">
        <v>45755.517505011572</v>
      </c>
      <c r="F480" t="s">
        <v>1007</v>
      </c>
      <c r="G480" t="s">
        <v>256</v>
      </c>
      <c r="H480" t="s">
        <v>260</v>
      </c>
      <c r="I480">
        <v>9</v>
      </c>
      <c r="J480">
        <v>45685</v>
      </c>
      <c r="K480">
        <v>0.625</v>
      </c>
      <c r="L480">
        <v>0.625</v>
      </c>
      <c r="M480" t="s">
        <v>1009</v>
      </c>
    </row>
    <row r="481" spans="1:13" x14ac:dyDescent="0.25">
      <c r="A481" t="s">
        <v>1025</v>
      </c>
      <c r="B481" t="s">
        <v>1006</v>
      </c>
      <c r="C481" s="2">
        <v>45769.578118020836</v>
      </c>
      <c r="D481" s="2">
        <v>45756.741511504631</v>
      </c>
      <c r="E481" s="2">
        <v>45756.741511087967</v>
      </c>
      <c r="F481" t="s">
        <v>1007</v>
      </c>
      <c r="G481" t="s">
        <v>256</v>
      </c>
      <c r="H481" t="s">
        <v>260</v>
      </c>
      <c r="I481">
        <v>9</v>
      </c>
      <c r="J481">
        <v>45685</v>
      </c>
      <c r="K481">
        <v>0.625</v>
      </c>
      <c r="L481">
        <v>0.625</v>
      </c>
      <c r="M481" t="s">
        <v>1009</v>
      </c>
    </row>
    <row r="482" spans="1:13" x14ac:dyDescent="0.25">
      <c r="A482" t="s">
        <v>1026</v>
      </c>
      <c r="B482" t="s">
        <v>1006</v>
      </c>
      <c r="C482" s="2">
        <v>45769.578118518519</v>
      </c>
      <c r="D482" s="2">
        <v>45758.796925532406</v>
      </c>
      <c r="E482" s="2">
        <v>45758.796925092596</v>
      </c>
      <c r="F482" t="s">
        <v>1007</v>
      </c>
      <c r="G482" t="s">
        <v>256</v>
      </c>
      <c r="H482" t="s">
        <v>260</v>
      </c>
      <c r="I482">
        <v>9</v>
      </c>
      <c r="J482">
        <v>45685</v>
      </c>
      <c r="K482">
        <v>0.625</v>
      </c>
      <c r="L482">
        <v>0.625</v>
      </c>
      <c r="M482" t="s">
        <v>1009</v>
      </c>
    </row>
    <row r="483" spans="1:13" x14ac:dyDescent="0.25">
      <c r="A483" t="s">
        <v>1027</v>
      </c>
      <c r="B483" t="s">
        <v>1006</v>
      </c>
      <c r="C483" s="2">
        <v>45769.578119039354</v>
      </c>
      <c r="D483" s="2">
        <v>45762.136261574073</v>
      </c>
      <c r="E483" s="2">
        <v>45761.611620300922</v>
      </c>
      <c r="F483" t="s">
        <v>1007</v>
      </c>
      <c r="G483" t="s">
        <v>256</v>
      </c>
      <c r="H483" t="s">
        <v>260</v>
      </c>
      <c r="I483">
        <v>9</v>
      </c>
      <c r="J483">
        <v>45685</v>
      </c>
      <c r="K483">
        <v>0.625</v>
      </c>
      <c r="L483">
        <v>0.625</v>
      </c>
      <c r="M483" t="s">
        <v>1009</v>
      </c>
    </row>
    <row r="484" spans="1:13" x14ac:dyDescent="0.25">
      <c r="A484" t="s">
        <v>1005</v>
      </c>
      <c r="B484" t="s">
        <v>1006</v>
      </c>
      <c r="C484" s="2">
        <v>45769.578089016206</v>
      </c>
      <c r="D484" s="2">
        <v>45769.034166666665</v>
      </c>
      <c r="E484" s="2">
        <v>45760.803204236108</v>
      </c>
      <c r="F484" t="s">
        <v>1007</v>
      </c>
      <c r="G484" t="s">
        <v>151</v>
      </c>
      <c r="H484" t="s">
        <v>154</v>
      </c>
      <c r="I484">
        <v>9</v>
      </c>
      <c r="J484">
        <v>45688</v>
      </c>
      <c r="K484">
        <v>0.49988425925925917</v>
      </c>
      <c r="L484">
        <v>0.45833333333333326</v>
      </c>
      <c r="M484" t="s">
        <v>1010</v>
      </c>
    </row>
    <row r="485" spans="1:13" x14ac:dyDescent="0.25">
      <c r="A485" t="s">
        <v>1005</v>
      </c>
      <c r="B485" t="s">
        <v>1006</v>
      </c>
      <c r="C485" s="2">
        <v>45769.578089016206</v>
      </c>
      <c r="D485" s="2">
        <v>45769.034166666665</v>
      </c>
      <c r="E485" s="2">
        <v>45760.803204236108</v>
      </c>
      <c r="F485" t="s">
        <v>1007</v>
      </c>
      <c r="G485" t="s">
        <v>305</v>
      </c>
      <c r="H485" t="s">
        <v>308</v>
      </c>
      <c r="I485">
        <v>9</v>
      </c>
      <c r="J485">
        <v>45688</v>
      </c>
      <c r="K485">
        <v>0.5</v>
      </c>
      <c r="L485">
        <v>0.5</v>
      </c>
      <c r="M485" t="s">
        <v>1009</v>
      </c>
    </row>
    <row r="486" spans="1:13" x14ac:dyDescent="0.25">
      <c r="A486" t="s">
        <v>1011</v>
      </c>
      <c r="B486" t="s">
        <v>1006</v>
      </c>
      <c r="C486" s="2">
        <v>45769.578111863426</v>
      </c>
      <c r="D486" s="2">
        <v>45769.037777777776</v>
      </c>
      <c r="E486" s="2">
        <v>45712.703342291665</v>
      </c>
      <c r="F486" t="s">
        <v>1007</v>
      </c>
      <c r="G486" t="s">
        <v>151</v>
      </c>
      <c r="H486" t="s">
        <v>154</v>
      </c>
      <c r="I486">
        <v>9</v>
      </c>
      <c r="J486">
        <v>45688</v>
      </c>
      <c r="K486">
        <v>0.49988425925925917</v>
      </c>
      <c r="L486">
        <v>0.45833333333333326</v>
      </c>
      <c r="M486" t="s">
        <v>1010</v>
      </c>
    </row>
    <row r="487" spans="1:13" x14ac:dyDescent="0.25">
      <c r="A487" t="s">
        <v>1011</v>
      </c>
      <c r="B487" t="s">
        <v>1006</v>
      </c>
      <c r="C487" s="2">
        <v>45769.578111863426</v>
      </c>
      <c r="D487" s="2">
        <v>45769.037777777776</v>
      </c>
      <c r="E487" s="2">
        <v>45712.703342291665</v>
      </c>
      <c r="F487" t="s">
        <v>1007</v>
      </c>
      <c r="G487" t="s">
        <v>305</v>
      </c>
      <c r="H487" t="s">
        <v>308</v>
      </c>
      <c r="I487">
        <v>9</v>
      </c>
      <c r="J487">
        <v>45688</v>
      </c>
      <c r="K487">
        <v>0.5</v>
      </c>
      <c r="L487">
        <v>0.5</v>
      </c>
      <c r="M487" t="s">
        <v>1009</v>
      </c>
    </row>
    <row r="488" spans="1:13" x14ac:dyDescent="0.25">
      <c r="A488" t="s">
        <v>1012</v>
      </c>
      <c r="B488" t="s">
        <v>1006</v>
      </c>
      <c r="C488" s="2">
        <v>45769.578112280091</v>
      </c>
      <c r="D488" s="2">
        <v>45769.035879629628</v>
      </c>
      <c r="E488" s="2">
        <v>45713.368867349534</v>
      </c>
      <c r="F488" t="s">
        <v>1007</v>
      </c>
      <c r="G488" t="s">
        <v>151</v>
      </c>
      <c r="H488" t="s">
        <v>154</v>
      </c>
      <c r="I488">
        <v>9</v>
      </c>
      <c r="J488">
        <v>45688</v>
      </c>
      <c r="K488">
        <v>0.49988425925925917</v>
      </c>
      <c r="L488">
        <v>0.45833333333333326</v>
      </c>
      <c r="M488" t="s">
        <v>1010</v>
      </c>
    </row>
    <row r="489" spans="1:13" x14ac:dyDescent="0.25">
      <c r="A489" t="s">
        <v>1012</v>
      </c>
      <c r="B489" t="s">
        <v>1006</v>
      </c>
      <c r="C489" s="2">
        <v>45769.578112280091</v>
      </c>
      <c r="D489" s="2">
        <v>45769.035879629628</v>
      </c>
      <c r="E489" s="2">
        <v>45713.368867349534</v>
      </c>
      <c r="F489" t="s">
        <v>1007</v>
      </c>
      <c r="G489" t="s">
        <v>305</v>
      </c>
      <c r="H489" t="s">
        <v>308</v>
      </c>
      <c r="I489">
        <v>9</v>
      </c>
      <c r="J489">
        <v>45688</v>
      </c>
      <c r="K489">
        <v>0.5</v>
      </c>
      <c r="L489">
        <v>0.5</v>
      </c>
      <c r="M489" t="s">
        <v>1009</v>
      </c>
    </row>
    <row r="490" spans="1:13" x14ac:dyDescent="0.25">
      <c r="A490" t="s">
        <v>1013</v>
      </c>
      <c r="B490" t="s">
        <v>1006</v>
      </c>
      <c r="C490" s="2">
        <v>45769.578112673611</v>
      </c>
      <c r="D490" s="2">
        <v>45769.037800925929</v>
      </c>
      <c r="E490" s="2">
        <v>45718.720149895831</v>
      </c>
      <c r="F490" t="s">
        <v>1007</v>
      </c>
      <c r="G490" t="s">
        <v>151</v>
      </c>
      <c r="H490" t="s">
        <v>154</v>
      </c>
      <c r="I490">
        <v>9</v>
      </c>
      <c r="J490">
        <v>45688</v>
      </c>
      <c r="K490">
        <v>0.49988425925925917</v>
      </c>
      <c r="L490">
        <v>0.45833333333333326</v>
      </c>
      <c r="M490" t="s">
        <v>1010</v>
      </c>
    </row>
    <row r="491" spans="1:13" x14ac:dyDescent="0.25">
      <c r="A491" t="s">
        <v>1013</v>
      </c>
      <c r="B491" t="s">
        <v>1006</v>
      </c>
      <c r="C491" s="2">
        <v>45769.578112673611</v>
      </c>
      <c r="D491" s="2">
        <v>45769.037800925929</v>
      </c>
      <c r="E491" s="2">
        <v>45718.720149895831</v>
      </c>
      <c r="F491" t="s">
        <v>1007</v>
      </c>
      <c r="G491" t="s">
        <v>305</v>
      </c>
      <c r="H491" t="s">
        <v>308</v>
      </c>
      <c r="I491">
        <v>9</v>
      </c>
      <c r="J491">
        <v>45688</v>
      </c>
      <c r="K491">
        <v>0.5</v>
      </c>
      <c r="L491">
        <v>0.5</v>
      </c>
      <c r="M491" t="s">
        <v>1009</v>
      </c>
    </row>
    <row r="492" spans="1:13" x14ac:dyDescent="0.25">
      <c r="A492" t="s">
        <v>1014</v>
      </c>
      <c r="B492" t="s">
        <v>1006</v>
      </c>
      <c r="C492" s="2">
        <v>45769.578113090276</v>
      </c>
      <c r="D492" s="2">
        <v>45769.037800925929</v>
      </c>
      <c r="E492" s="2">
        <v>45719.845094884258</v>
      </c>
      <c r="F492" t="s">
        <v>1007</v>
      </c>
      <c r="G492" t="s">
        <v>151</v>
      </c>
      <c r="H492" t="s">
        <v>154</v>
      </c>
      <c r="I492">
        <v>9</v>
      </c>
      <c r="J492">
        <v>45688</v>
      </c>
      <c r="K492">
        <v>0.49988425925925917</v>
      </c>
      <c r="L492">
        <v>0.45833333333333326</v>
      </c>
      <c r="M492" t="s">
        <v>1010</v>
      </c>
    </row>
    <row r="493" spans="1:13" x14ac:dyDescent="0.25">
      <c r="A493" t="s">
        <v>1014</v>
      </c>
      <c r="B493" t="s">
        <v>1006</v>
      </c>
      <c r="C493" s="2">
        <v>45769.578113090276</v>
      </c>
      <c r="D493" s="2">
        <v>45769.037800925929</v>
      </c>
      <c r="E493" s="2">
        <v>45719.845094884258</v>
      </c>
      <c r="F493" t="s">
        <v>1007</v>
      </c>
      <c r="G493" t="s">
        <v>305</v>
      </c>
      <c r="H493" t="s">
        <v>308</v>
      </c>
      <c r="I493">
        <v>9</v>
      </c>
      <c r="J493">
        <v>45688</v>
      </c>
      <c r="K493">
        <v>0.5</v>
      </c>
      <c r="L493">
        <v>0.5</v>
      </c>
      <c r="M493" t="s">
        <v>1009</v>
      </c>
    </row>
    <row r="494" spans="1:13" x14ac:dyDescent="0.25">
      <c r="A494" t="s">
        <v>1015</v>
      </c>
      <c r="B494" t="s">
        <v>1006</v>
      </c>
      <c r="C494" s="2">
        <v>45769.578113564814</v>
      </c>
      <c r="D494" s="2">
        <v>45726.85528935185</v>
      </c>
      <c r="E494" s="2">
        <v>45726.856810578705</v>
      </c>
      <c r="F494" t="s">
        <v>1007</v>
      </c>
      <c r="G494" t="s">
        <v>151</v>
      </c>
      <c r="H494" t="s">
        <v>154</v>
      </c>
      <c r="I494">
        <v>9</v>
      </c>
      <c r="J494">
        <v>45688</v>
      </c>
      <c r="K494">
        <v>0.49988425925925917</v>
      </c>
      <c r="L494">
        <v>0.45833333333333326</v>
      </c>
      <c r="M494" t="s">
        <v>1010</v>
      </c>
    </row>
    <row r="495" spans="1:13" x14ac:dyDescent="0.25">
      <c r="A495" t="s">
        <v>1015</v>
      </c>
      <c r="B495" t="s">
        <v>1006</v>
      </c>
      <c r="C495" s="2">
        <v>45769.578113564814</v>
      </c>
      <c r="D495" s="2">
        <v>45726.85528935185</v>
      </c>
      <c r="E495" s="2">
        <v>45726.856810578705</v>
      </c>
      <c r="F495" t="s">
        <v>1007</v>
      </c>
      <c r="G495" t="s">
        <v>305</v>
      </c>
      <c r="H495" t="s">
        <v>308</v>
      </c>
      <c r="I495">
        <v>9</v>
      </c>
      <c r="J495">
        <v>45688</v>
      </c>
      <c r="K495">
        <v>0.5</v>
      </c>
      <c r="L495">
        <v>0.5</v>
      </c>
      <c r="M495" t="s">
        <v>1009</v>
      </c>
    </row>
    <row r="496" spans="1:13" x14ac:dyDescent="0.25">
      <c r="A496" t="s">
        <v>1016</v>
      </c>
      <c r="B496" t="s">
        <v>1006</v>
      </c>
      <c r="C496" s="2">
        <v>45769.578113993055</v>
      </c>
      <c r="D496" s="2">
        <v>45727.548941782406</v>
      </c>
      <c r="E496" s="2">
        <v>45727.544082731481</v>
      </c>
      <c r="F496" t="s">
        <v>1007</v>
      </c>
      <c r="G496" t="s">
        <v>151</v>
      </c>
      <c r="H496" t="s">
        <v>154</v>
      </c>
      <c r="I496">
        <v>9</v>
      </c>
      <c r="J496">
        <v>45688</v>
      </c>
      <c r="K496">
        <v>0.49988425925925917</v>
      </c>
      <c r="L496">
        <v>0.45833333333333326</v>
      </c>
      <c r="M496" t="s">
        <v>1010</v>
      </c>
    </row>
    <row r="497" spans="1:13" x14ac:dyDescent="0.25">
      <c r="A497" t="s">
        <v>1016</v>
      </c>
      <c r="B497" t="s">
        <v>1006</v>
      </c>
      <c r="C497" s="2">
        <v>45769.578113993055</v>
      </c>
      <c r="D497" s="2">
        <v>45727.548941782406</v>
      </c>
      <c r="E497" s="2">
        <v>45727.544082731481</v>
      </c>
      <c r="F497" t="s">
        <v>1007</v>
      </c>
      <c r="G497" t="s">
        <v>305</v>
      </c>
      <c r="H497" t="s">
        <v>308</v>
      </c>
      <c r="I497">
        <v>9</v>
      </c>
      <c r="J497">
        <v>45688</v>
      </c>
      <c r="K497">
        <v>0.5</v>
      </c>
      <c r="L497">
        <v>0.5</v>
      </c>
      <c r="M497" t="s">
        <v>1009</v>
      </c>
    </row>
    <row r="498" spans="1:13" x14ac:dyDescent="0.25">
      <c r="A498" t="s">
        <v>1017</v>
      </c>
      <c r="B498" t="s">
        <v>1006</v>
      </c>
      <c r="C498" s="2">
        <v>45769.578114386575</v>
      </c>
      <c r="D498" s="2">
        <v>45730.674748101854</v>
      </c>
      <c r="E498" s="2">
        <v>45730.674747743054</v>
      </c>
      <c r="F498" t="s">
        <v>1007</v>
      </c>
      <c r="G498" t="s">
        <v>151</v>
      </c>
      <c r="H498" t="s">
        <v>154</v>
      </c>
      <c r="I498">
        <v>9</v>
      </c>
      <c r="J498">
        <v>45688</v>
      </c>
      <c r="K498">
        <v>0.49988425925925917</v>
      </c>
      <c r="L498">
        <v>0.45833333333333326</v>
      </c>
      <c r="M498" t="s">
        <v>1010</v>
      </c>
    </row>
    <row r="499" spans="1:13" x14ac:dyDescent="0.25">
      <c r="A499" t="s">
        <v>1017</v>
      </c>
      <c r="B499" t="s">
        <v>1006</v>
      </c>
      <c r="C499" s="2">
        <v>45769.578114386575</v>
      </c>
      <c r="D499" s="2">
        <v>45730.674748101854</v>
      </c>
      <c r="E499" s="2">
        <v>45730.674747743054</v>
      </c>
      <c r="F499" t="s">
        <v>1007</v>
      </c>
      <c r="G499" t="s">
        <v>305</v>
      </c>
      <c r="H499" t="s">
        <v>308</v>
      </c>
      <c r="I499">
        <v>9</v>
      </c>
      <c r="J499">
        <v>45688</v>
      </c>
      <c r="K499">
        <v>0.5</v>
      </c>
      <c r="L499">
        <v>0.5</v>
      </c>
      <c r="M499" t="s">
        <v>1009</v>
      </c>
    </row>
    <row r="500" spans="1:13" x14ac:dyDescent="0.25">
      <c r="A500" t="s">
        <v>1019</v>
      </c>
      <c r="B500" t="s">
        <v>1006</v>
      </c>
      <c r="C500" s="2">
        <v>45769.578115219905</v>
      </c>
      <c r="D500" s="2">
        <v>45740.441161863426</v>
      </c>
      <c r="E500" s="2">
        <v>45740.441161643517</v>
      </c>
      <c r="F500" t="s">
        <v>1007</v>
      </c>
      <c r="G500" t="s">
        <v>151</v>
      </c>
      <c r="H500" t="s">
        <v>154</v>
      </c>
      <c r="I500">
        <v>9</v>
      </c>
      <c r="J500">
        <v>45688</v>
      </c>
      <c r="K500">
        <v>0.49988425925925917</v>
      </c>
      <c r="L500">
        <v>0.45833333333333326</v>
      </c>
      <c r="M500" t="s">
        <v>1010</v>
      </c>
    </row>
    <row r="501" spans="1:13" x14ac:dyDescent="0.25">
      <c r="A501" t="s">
        <v>1019</v>
      </c>
      <c r="B501" t="s">
        <v>1006</v>
      </c>
      <c r="C501" s="2">
        <v>45769.578115219905</v>
      </c>
      <c r="D501" s="2">
        <v>45740.441161863426</v>
      </c>
      <c r="E501" s="2">
        <v>45740.441161643517</v>
      </c>
      <c r="F501" t="s">
        <v>1007</v>
      </c>
      <c r="G501" t="s">
        <v>305</v>
      </c>
      <c r="H501" t="s">
        <v>308</v>
      </c>
      <c r="I501">
        <v>9</v>
      </c>
      <c r="J501">
        <v>45688</v>
      </c>
      <c r="K501">
        <v>0.5</v>
      </c>
      <c r="L501">
        <v>0.5</v>
      </c>
      <c r="M501" t="s">
        <v>1009</v>
      </c>
    </row>
    <row r="502" spans="1:13" x14ac:dyDescent="0.25">
      <c r="A502" t="s">
        <v>1020</v>
      </c>
      <c r="B502" t="s">
        <v>1006</v>
      </c>
      <c r="C502" s="2">
        <v>45769.578115682867</v>
      </c>
      <c r="D502" s="2">
        <v>45747.434178240743</v>
      </c>
      <c r="E502" s="2">
        <v>45746.492342094905</v>
      </c>
      <c r="F502" t="s">
        <v>1007</v>
      </c>
      <c r="G502" t="s">
        <v>151</v>
      </c>
      <c r="H502" t="s">
        <v>154</v>
      </c>
      <c r="I502">
        <v>9</v>
      </c>
      <c r="J502">
        <v>45688</v>
      </c>
      <c r="K502">
        <v>0.49988425925925917</v>
      </c>
      <c r="L502">
        <v>0.45833333333333326</v>
      </c>
      <c r="M502" t="s">
        <v>1010</v>
      </c>
    </row>
    <row r="503" spans="1:13" x14ac:dyDescent="0.25">
      <c r="A503" t="s">
        <v>1020</v>
      </c>
      <c r="B503" t="s">
        <v>1006</v>
      </c>
      <c r="C503" s="2">
        <v>45769.578115682867</v>
      </c>
      <c r="D503" s="2">
        <v>45747.434178240743</v>
      </c>
      <c r="E503" s="2">
        <v>45746.492342094905</v>
      </c>
      <c r="F503" t="s">
        <v>1007</v>
      </c>
      <c r="G503" t="s">
        <v>305</v>
      </c>
      <c r="H503" t="s">
        <v>308</v>
      </c>
      <c r="I503">
        <v>9</v>
      </c>
      <c r="J503">
        <v>45688</v>
      </c>
      <c r="K503">
        <v>0.5</v>
      </c>
      <c r="L503">
        <v>0.5</v>
      </c>
      <c r="M503" t="s">
        <v>1009</v>
      </c>
    </row>
    <row r="504" spans="1:13" x14ac:dyDescent="0.25">
      <c r="A504" t="s">
        <v>1021</v>
      </c>
      <c r="B504" t="s">
        <v>1006</v>
      </c>
      <c r="C504" s="2">
        <v>45769.578116168981</v>
      </c>
      <c r="D504" s="2">
        <v>45748.008692129632</v>
      </c>
      <c r="E504" s="2">
        <v>45760.803375069445</v>
      </c>
      <c r="F504" t="s">
        <v>1007</v>
      </c>
      <c r="G504" t="s">
        <v>151</v>
      </c>
      <c r="H504" t="s">
        <v>154</v>
      </c>
      <c r="I504">
        <v>9</v>
      </c>
      <c r="J504">
        <v>45688</v>
      </c>
      <c r="K504">
        <v>0.49988425925925917</v>
      </c>
      <c r="L504">
        <v>0.45833333333333326</v>
      </c>
      <c r="M504" t="s">
        <v>1010</v>
      </c>
    </row>
    <row r="505" spans="1:13" x14ac:dyDescent="0.25">
      <c r="A505" t="s">
        <v>1021</v>
      </c>
      <c r="B505" t="s">
        <v>1006</v>
      </c>
      <c r="C505" s="2">
        <v>45769.578116168981</v>
      </c>
      <c r="D505" s="2">
        <v>45748.008692129632</v>
      </c>
      <c r="E505" s="2">
        <v>45760.803375069445</v>
      </c>
      <c r="F505" t="s">
        <v>1007</v>
      </c>
      <c r="G505" t="s">
        <v>305</v>
      </c>
      <c r="H505" t="s">
        <v>308</v>
      </c>
      <c r="I505">
        <v>9</v>
      </c>
      <c r="J505">
        <v>45688</v>
      </c>
      <c r="K505">
        <v>0.5</v>
      </c>
      <c r="L505">
        <v>0.5</v>
      </c>
      <c r="M505" t="s">
        <v>1009</v>
      </c>
    </row>
    <row r="506" spans="1:13" x14ac:dyDescent="0.25">
      <c r="A506" t="s">
        <v>1024</v>
      </c>
      <c r="B506" t="s">
        <v>1006</v>
      </c>
      <c r="C506" s="2">
        <v>45769.578117557867</v>
      </c>
      <c r="D506" s="2">
        <v>45755.522465879629</v>
      </c>
      <c r="E506" s="2">
        <v>45755.517505011572</v>
      </c>
      <c r="F506" t="s">
        <v>1007</v>
      </c>
      <c r="G506" t="s">
        <v>151</v>
      </c>
      <c r="H506" t="s">
        <v>154</v>
      </c>
      <c r="I506">
        <v>9</v>
      </c>
      <c r="J506">
        <v>45688</v>
      </c>
      <c r="K506">
        <v>0.49988425925925917</v>
      </c>
      <c r="L506">
        <v>0.45833333333333326</v>
      </c>
      <c r="M506" t="s">
        <v>1010</v>
      </c>
    </row>
    <row r="507" spans="1:13" x14ac:dyDescent="0.25">
      <c r="A507" t="s">
        <v>1024</v>
      </c>
      <c r="B507" t="s">
        <v>1006</v>
      </c>
      <c r="C507" s="2">
        <v>45769.578117557867</v>
      </c>
      <c r="D507" s="2">
        <v>45755.522465879629</v>
      </c>
      <c r="E507" s="2">
        <v>45755.517505011572</v>
      </c>
      <c r="F507" t="s">
        <v>1007</v>
      </c>
      <c r="G507" t="s">
        <v>305</v>
      </c>
      <c r="H507" t="s">
        <v>308</v>
      </c>
      <c r="I507">
        <v>9</v>
      </c>
      <c r="J507">
        <v>45688</v>
      </c>
      <c r="K507">
        <v>0.5</v>
      </c>
      <c r="L507">
        <v>0.5</v>
      </c>
      <c r="M507" t="s">
        <v>1009</v>
      </c>
    </row>
    <row r="508" spans="1:13" x14ac:dyDescent="0.25">
      <c r="A508" t="s">
        <v>1025</v>
      </c>
      <c r="B508" t="s">
        <v>1006</v>
      </c>
      <c r="C508" s="2">
        <v>45769.578118020836</v>
      </c>
      <c r="D508" s="2">
        <v>45756.741511504631</v>
      </c>
      <c r="E508" s="2">
        <v>45756.741511087967</v>
      </c>
      <c r="F508" t="s">
        <v>1007</v>
      </c>
      <c r="G508" t="s">
        <v>151</v>
      </c>
      <c r="H508" t="s">
        <v>154</v>
      </c>
      <c r="I508">
        <v>9</v>
      </c>
      <c r="J508">
        <v>45688</v>
      </c>
      <c r="K508">
        <v>0.49988425925925917</v>
      </c>
      <c r="L508">
        <v>0.45833333333333326</v>
      </c>
      <c r="M508" t="s">
        <v>1010</v>
      </c>
    </row>
    <row r="509" spans="1:13" x14ac:dyDescent="0.25">
      <c r="A509" t="s">
        <v>1025</v>
      </c>
      <c r="B509" t="s">
        <v>1006</v>
      </c>
      <c r="C509" s="2">
        <v>45769.578118020836</v>
      </c>
      <c r="D509" s="2">
        <v>45756.741511504631</v>
      </c>
      <c r="E509" s="2">
        <v>45756.741511087967</v>
      </c>
      <c r="F509" t="s">
        <v>1007</v>
      </c>
      <c r="G509" t="s">
        <v>305</v>
      </c>
      <c r="H509" t="s">
        <v>308</v>
      </c>
      <c r="I509">
        <v>9</v>
      </c>
      <c r="J509">
        <v>45688</v>
      </c>
      <c r="K509">
        <v>0.5</v>
      </c>
      <c r="L509">
        <v>0.5</v>
      </c>
      <c r="M509" t="s">
        <v>1009</v>
      </c>
    </row>
    <row r="510" spans="1:13" x14ac:dyDescent="0.25">
      <c r="A510" t="s">
        <v>1026</v>
      </c>
      <c r="B510" t="s">
        <v>1006</v>
      </c>
      <c r="C510" s="2">
        <v>45769.578118518519</v>
      </c>
      <c r="D510" s="2">
        <v>45758.796925532406</v>
      </c>
      <c r="E510" s="2">
        <v>45758.796925092596</v>
      </c>
      <c r="F510" t="s">
        <v>1007</v>
      </c>
      <c r="G510" t="s">
        <v>151</v>
      </c>
      <c r="H510" t="s">
        <v>154</v>
      </c>
      <c r="I510">
        <v>9</v>
      </c>
      <c r="J510">
        <v>45688</v>
      </c>
      <c r="K510">
        <v>0.49988425925925917</v>
      </c>
      <c r="L510">
        <v>0.45833333333333326</v>
      </c>
      <c r="M510" t="s">
        <v>1010</v>
      </c>
    </row>
    <row r="511" spans="1:13" x14ac:dyDescent="0.25">
      <c r="A511" t="s">
        <v>1026</v>
      </c>
      <c r="B511" t="s">
        <v>1006</v>
      </c>
      <c r="C511" s="2">
        <v>45769.578118518519</v>
      </c>
      <c r="D511" s="2">
        <v>45758.796925532406</v>
      </c>
      <c r="E511" s="2">
        <v>45758.796925092596</v>
      </c>
      <c r="F511" t="s">
        <v>1007</v>
      </c>
      <c r="G511" t="s">
        <v>305</v>
      </c>
      <c r="H511" t="s">
        <v>308</v>
      </c>
      <c r="I511">
        <v>9</v>
      </c>
      <c r="J511">
        <v>45688</v>
      </c>
      <c r="K511">
        <v>0.5</v>
      </c>
      <c r="L511">
        <v>0.5</v>
      </c>
      <c r="M511" t="s">
        <v>1009</v>
      </c>
    </row>
    <row r="512" spans="1:13" x14ac:dyDescent="0.25">
      <c r="A512" t="s">
        <v>1027</v>
      </c>
      <c r="B512" t="s">
        <v>1006</v>
      </c>
      <c r="C512" s="2">
        <v>45769.578119039354</v>
      </c>
      <c r="D512" s="2">
        <v>45762.136261574073</v>
      </c>
      <c r="E512" s="2">
        <v>45761.611620300922</v>
      </c>
      <c r="F512" t="s">
        <v>1007</v>
      </c>
      <c r="G512" t="s">
        <v>151</v>
      </c>
      <c r="H512" t="s">
        <v>154</v>
      </c>
      <c r="I512">
        <v>9</v>
      </c>
      <c r="J512">
        <v>45688</v>
      </c>
      <c r="K512">
        <v>0.49988425925925917</v>
      </c>
      <c r="L512">
        <v>0.45833333333333326</v>
      </c>
      <c r="M512" t="s">
        <v>1010</v>
      </c>
    </row>
    <row r="513" spans="1:13" x14ac:dyDescent="0.25">
      <c r="A513" t="s">
        <v>1027</v>
      </c>
      <c r="B513" t="s">
        <v>1006</v>
      </c>
      <c r="C513" s="2">
        <v>45769.578119039354</v>
      </c>
      <c r="D513" s="2">
        <v>45762.136261574073</v>
      </c>
      <c r="E513" s="2">
        <v>45761.611620300922</v>
      </c>
      <c r="F513" t="s">
        <v>1007</v>
      </c>
      <c r="G513" t="s">
        <v>305</v>
      </c>
      <c r="H513" t="s">
        <v>308</v>
      </c>
      <c r="I513">
        <v>9</v>
      </c>
      <c r="J513">
        <v>45688</v>
      </c>
      <c r="K513">
        <v>0.5</v>
      </c>
      <c r="L513">
        <v>0.5</v>
      </c>
      <c r="M513" t="s">
        <v>1009</v>
      </c>
    </row>
    <row r="514" spans="1:13" x14ac:dyDescent="0.25">
      <c r="A514" t="s">
        <v>1005</v>
      </c>
      <c r="B514" t="s">
        <v>1006</v>
      </c>
      <c r="C514" s="2">
        <v>45769.578089016206</v>
      </c>
      <c r="D514" s="2">
        <v>45769.034166666665</v>
      </c>
      <c r="E514" s="2">
        <v>45760.803204236108</v>
      </c>
      <c r="F514" t="s">
        <v>1007</v>
      </c>
      <c r="G514" t="s">
        <v>269</v>
      </c>
      <c r="H514" t="s">
        <v>272</v>
      </c>
      <c r="I514">
        <v>9</v>
      </c>
      <c r="J514">
        <v>45689</v>
      </c>
      <c r="K514">
        <v>4.1666666666666741E-2</v>
      </c>
      <c r="L514">
        <v>4.1666666666666741E-2</v>
      </c>
      <c r="M514" t="s">
        <v>1010</v>
      </c>
    </row>
    <row r="515" spans="1:13" x14ac:dyDescent="0.25">
      <c r="A515" t="s">
        <v>1011</v>
      </c>
      <c r="B515" t="s">
        <v>1006</v>
      </c>
      <c r="C515" s="2">
        <v>45769.578111863426</v>
      </c>
      <c r="D515" s="2">
        <v>45769.037777777776</v>
      </c>
      <c r="E515" s="2">
        <v>45712.703342291665</v>
      </c>
      <c r="F515" t="s">
        <v>1007</v>
      </c>
      <c r="G515" t="s">
        <v>269</v>
      </c>
      <c r="H515" t="s">
        <v>272</v>
      </c>
      <c r="I515">
        <v>9</v>
      </c>
      <c r="J515">
        <v>45689</v>
      </c>
      <c r="K515">
        <v>4.1666666666666741E-2</v>
      </c>
      <c r="L515">
        <v>4.1666666666666741E-2</v>
      </c>
      <c r="M515" t="s">
        <v>1010</v>
      </c>
    </row>
    <row r="516" spans="1:13" x14ac:dyDescent="0.25">
      <c r="A516" t="s">
        <v>1012</v>
      </c>
      <c r="B516" t="s">
        <v>1006</v>
      </c>
      <c r="C516" s="2">
        <v>45769.578112280091</v>
      </c>
      <c r="D516" s="2">
        <v>45769.035879629628</v>
      </c>
      <c r="E516" s="2">
        <v>45713.368867349534</v>
      </c>
      <c r="F516" t="s">
        <v>1007</v>
      </c>
      <c r="G516" t="s">
        <v>269</v>
      </c>
      <c r="H516" t="s">
        <v>272</v>
      </c>
      <c r="I516">
        <v>9</v>
      </c>
      <c r="J516">
        <v>45689</v>
      </c>
      <c r="K516">
        <v>4.1666666666666741E-2</v>
      </c>
      <c r="L516">
        <v>4.1666666666666741E-2</v>
      </c>
      <c r="M516" t="s">
        <v>1010</v>
      </c>
    </row>
    <row r="517" spans="1:13" x14ac:dyDescent="0.25">
      <c r="A517" t="s">
        <v>1013</v>
      </c>
      <c r="B517" t="s">
        <v>1006</v>
      </c>
      <c r="C517" s="2">
        <v>45769.578112673611</v>
      </c>
      <c r="D517" s="2">
        <v>45769.037800925929</v>
      </c>
      <c r="E517" s="2">
        <v>45718.720149895831</v>
      </c>
      <c r="F517" t="s">
        <v>1007</v>
      </c>
      <c r="G517" t="s">
        <v>269</v>
      </c>
      <c r="H517" t="s">
        <v>272</v>
      </c>
      <c r="I517">
        <v>9</v>
      </c>
      <c r="J517">
        <v>45689</v>
      </c>
      <c r="K517">
        <v>4.1666666666666741E-2</v>
      </c>
      <c r="L517">
        <v>4.1666666666666741E-2</v>
      </c>
      <c r="M517" t="s">
        <v>1010</v>
      </c>
    </row>
    <row r="518" spans="1:13" x14ac:dyDescent="0.25">
      <c r="A518" t="s">
        <v>1014</v>
      </c>
      <c r="B518" t="s">
        <v>1006</v>
      </c>
      <c r="C518" s="2">
        <v>45769.578113090276</v>
      </c>
      <c r="D518" s="2">
        <v>45769.037800925929</v>
      </c>
      <c r="E518" s="2">
        <v>45719.845094884258</v>
      </c>
      <c r="F518" t="s">
        <v>1007</v>
      </c>
      <c r="G518" t="s">
        <v>269</v>
      </c>
      <c r="H518" t="s">
        <v>272</v>
      </c>
      <c r="I518">
        <v>9</v>
      </c>
      <c r="J518">
        <v>45689</v>
      </c>
      <c r="K518">
        <v>4.1666666666666741E-2</v>
      </c>
      <c r="L518">
        <v>4.1666666666666741E-2</v>
      </c>
      <c r="M518" t="s">
        <v>1010</v>
      </c>
    </row>
    <row r="519" spans="1:13" x14ac:dyDescent="0.25">
      <c r="A519" t="s">
        <v>1015</v>
      </c>
      <c r="B519" t="s">
        <v>1006</v>
      </c>
      <c r="C519" s="2">
        <v>45769.578113564814</v>
      </c>
      <c r="D519" s="2">
        <v>45726.85528935185</v>
      </c>
      <c r="E519" s="2">
        <v>45726.856810578705</v>
      </c>
      <c r="F519" t="s">
        <v>1007</v>
      </c>
      <c r="G519" t="s">
        <v>269</v>
      </c>
      <c r="H519" t="s">
        <v>272</v>
      </c>
      <c r="I519">
        <v>9</v>
      </c>
      <c r="J519">
        <v>45689</v>
      </c>
      <c r="K519">
        <v>4.1666666666666741E-2</v>
      </c>
      <c r="L519">
        <v>4.1666666666666741E-2</v>
      </c>
      <c r="M519" t="s">
        <v>1010</v>
      </c>
    </row>
    <row r="520" spans="1:13" x14ac:dyDescent="0.25">
      <c r="A520" t="s">
        <v>1016</v>
      </c>
      <c r="B520" t="s">
        <v>1006</v>
      </c>
      <c r="C520" s="2">
        <v>45769.578113993055</v>
      </c>
      <c r="D520" s="2">
        <v>45727.548941782406</v>
      </c>
      <c r="E520" s="2">
        <v>45727.544082731481</v>
      </c>
      <c r="F520" t="s">
        <v>1007</v>
      </c>
      <c r="G520" t="s">
        <v>269</v>
      </c>
      <c r="H520" t="s">
        <v>272</v>
      </c>
      <c r="I520">
        <v>9</v>
      </c>
      <c r="J520">
        <v>45689</v>
      </c>
      <c r="K520">
        <v>4.1666666666666741E-2</v>
      </c>
      <c r="L520">
        <v>4.1666666666666741E-2</v>
      </c>
      <c r="M520" t="s">
        <v>1010</v>
      </c>
    </row>
    <row r="521" spans="1:13" x14ac:dyDescent="0.25">
      <c r="A521" t="s">
        <v>1017</v>
      </c>
      <c r="B521" t="s">
        <v>1006</v>
      </c>
      <c r="C521" s="2">
        <v>45769.578114386575</v>
      </c>
      <c r="D521" s="2">
        <v>45730.674748101854</v>
      </c>
      <c r="E521" s="2">
        <v>45730.674747743054</v>
      </c>
      <c r="F521" t="s">
        <v>1007</v>
      </c>
      <c r="G521" t="s">
        <v>269</v>
      </c>
      <c r="H521" t="s">
        <v>272</v>
      </c>
      <c r="I521">
        <v>9</v>
      </c>
      <c r="J521">
        <v>45689</v>
      </c>
      <c r="K521">
        <v>4.1666666666666741E-2</v>
      </c>
      <c r="L521">
        <v>4.1666666666666741E-2</v>
      </c>
      <c r="M521" t="s">
        <v>1010</v>
      </c>
    </row>
    <row r="522" spans="1:13" x14ac:dyDescent="0.25">
      <c r="A522" t="s">
        <v>1019</v>
      </c>
      <c r="B522" t="s">
        <v>1006</v>
      </c>
      <c r="C522" s="2">
        <v>45769.578115219905</v>
      </c>
      <c r="D522" s="2">
        <v>45740.441161863426</v>
      </c>
      <c r="E522" s="2">
        <v>45740.441161643517</v>
      </c>
      <c r="F522" t="s">
        <v>1007</v>
      </c>
      <c r="G522" t="s">
        <v>269</v>
      </c>
      <c r="H522" t="s">
        <v>272</v>
      </c>
      <c r="I522">
        <v>9</v>
      </c>
      <c r="J522">
        <v>45689</v>
      </c>
      <c r="K522">
        <v>4.1666666666666741E-2</v>
      </c>
      <c r="L522">
        <v>4.1666666666666741E-2</v>
      </c>
      <c r="M522" t="s">
        <v>1010</v>
      </c>
    </row>
    <row r="523" spans="1:13" x14ac:dyDescent="0.25">
      <c r="A523" t="s">
        <v>1020</v>
      </c>
      <c r="B523" t="s">
        <v>1006</v>
      </c>
      <c r="C523" s="2">
        <v>45769.578115682867</v>
      </c>
      <c r="D523" s="2">
        <v>45747.434178240743</v>
      </c>
      <c r="E523" s="2">
        <v>45746.492342094905</v>
      </c>
      <c r="F523" t="s">
        <v>1007</v>
      </c>
      <c r="G523" t="s">
        <v>269</v>
      </c>
      <c r="H523" t="s">
        <v>272</v>
      </c>
      <c r="I523">
        <v>9</v>
      </c>
      <c r="J523">
        <v>45689</v>
      </c>
      <c r="K523">
        <v>4.1666666666666741E-2</v>
      </c>
      <c r="L523">
        <v>4.1666666666666741E-2</v>
      </c>
      <c r="M523" t="s">
        <v>1010</v>
      </c>
    </row>
    <row r="524" spans="1:13" x14ac:dyDescent="0.25">
      <c r="A524" t="s">
        <v>1021</v>
      </c>
      <c r="B524" t="s">
        <v>1006</v>
      </c>
      <c r="C524" s="2">
        <v>45769.578116168981</v>
      </c>
      <c r="D524" s="2">
        <v>45748.008692129632</v>
      </c>
      <c r="E524" s="2">
        <v>45760.803375069445</v>
      </c>
      <c r="F524" t="s">
        <v>1007</v>
      </c>
      <c r="G524" t="s">
        <v>269</v>
      </c>
      <c r="H524" t="s">
        <v>272</v>
      </c>
      <c r="I524">
        <v>9</v>
      </c>
      <c r="J524">
        <v>45689</v>
      </c>
      <c r="K524">
        <v>4.1666666666666741E-2</v>
      </c>
      <c r="L524">
        <v>4.1666666666666741E-2</v>
      </c>
      <c r="M524" t="s">
        <v>1010</v>
      </c>
    </row>
    <row r="525" spans="1:13" x14ac:dyDescent="0.25">
      <c r="A525" t="s">
        <v>1024</v>
      </c>
      <c r="B525" t="s">
        <v>1006</v>
      </c>
      <c r="C525" s="2">
        <v>45769.578117557867</v>
      </c>
      <c r="D525" s="2">
        <v>45755.522465879629</v>
      </c>
      <c r="E525" s="2">
        <v>45755.517505011572</v>
      </c>
      <c r="F525" t="s">
        <v>1007</v>
      </c>
      <c r="G525" t="s">
        <v>269</v>
      </c>
      <c r="H525" t="s">
        <v>272</v>
      </c>
      <c r="I525">
        <v>9</v>
      </c>
      <c r="J525">
        <v>45689</v>
      </c>
      <c r="K525">
        <v>4.1666666666666741E-2</v>
      </c>
      <c r="L525">
        <v>4.1666666666666741E-2</v>
      </c>
      <c r="M525" t="s">
        <v>1010</v>
      </c>
    </row>
    <row r="526" spans="1:13" x14ac:dyDescent="0.25">
      <c r="A526" t="s">
        <v>1025</v>
      </c>
      <c r="B526" t="s">
        <v>1006</v>
      </c>
      <c r="C526" s="2">
        <v>45769.578118020836</v>
      </c>
      <c r="D526" s="2">
        <v>45756.741511504631</v>
      </c>
      <c r="E526" s="2">
        <v>45756.741511087967</v>
      </c>
      <c r="F526" t="s">
        <v>1007</v>
      </c>
      <c r="G526" t="s">
        <v>269</v>
      </c>
      <c r="H526" t="s">
        <v>272</v>
      </c>
      <c r="I526">
        <v>9</v>
      </c>
      <c r="J526">
        <v>45689</v>
      </c>
      <c r="K526">
        <v>4.1666666666666741E-2</v>
      </c>
      <c r="L526">
        <v>4.1666666666666741E-2</v>
      </c>
      <c r="M526" t="s">
        <v>1010</v>
      </c>
    </row>
    <row r="527" spans="1:13" x14ac:dyDescent="0.25">
      <c r="A527" t="s">
        <v>1026</v>
      </c>
      <c r="B527" t="s">
        <v>1006</v>
      </c>
      <c r="C527" s="2">
        <v>45769.578118518519</v>
      </c>
      <c r="D527" s="2">
        <v>45758.796925532406</v>
      </c>
      <c r="E527" s="2">
        <v>45758.796925092596</v>
      </c>
      <c r="F527" t="s">
        <v>1007</v>
      </c>
      <c r="G527" t="s">
        <v>269</v>
      </c>
      <c r="H527" t="s">
        <v>272</v>
      </c>
      <c r="I527">
        <v>9</v>
      </c>
      <c r="J527">
        <v>45689</v>
      </c>
      <c r="K527">
        <v>4.1666666666666741E-2</v>
      </c>
      <c r="L527">
        <v>4.1666666666666741E-2</v>
      </c>
      <c r="M527" t="s">
        <v>1010</v>
      </c>
    </row>
    <row r="528" spans="1:13" x14ac:dyDescent="0.25">
      <c r="A528" t="s">
        <v>1027</v>
      </c>
      <c r="B528" t="s">
        <v>1006</v>
      </c>
      <c r="C528" s="2">
        <v>45769.578119039354</v>
      </c>
      <c r="D528" s="2">
        <v>45762.136261574073</v>
      </c>
      <c r="E528" s="2">
        <v>45761.611620300922</v>
      </c>
      <c r="F528" t="s">
        <v>1007</v>
      </c>
      <c r="G528" t="s">
        <v>269</v>
      </c>
      <c r="H528" t="s">
        <v>272</v>
      </c>
      <c r="I528">
        <v>9</v>
      </c>
      <c r="J528">
        <v>45689</v>
      </c>
      <c r="K528">
        <v>4.1666666666666741E-2</v>
      </c>
      <c r="L528">
        <v>4.1666666666666741E-2</v>
      </c>
      <c r="M528" t="s">
        <v>1010</v>
      </c>
    </row>
    <row r="529" spans="1:13" x14ac:dyDescent="0.25">
      <c r="A529" t="s">
        <v>1005</v>
      </c>
      <c r="B529" t="s">
        <v>1006</v>
      </c>
      <c r="C529" s="2">
        <v>45769.578089016206</v>
      </c>
      <c r="D529" s="2">
        <v>45769.034166666665</v>
      </c>
      <c r="E529" s="2">
        <v>45760.803204236108</v>
      </c>
      <c r="F529" t="s">
        <v>1007</v>
      </c>
      <c r="G529" t="s">
        <v>382</v>
      </c>
      <c r="H529" t="s">
        <v>385</v>
      </c>
      <c r="I529">
        <v>9</v>
      </c>
      <c r="J529">
        <v>45690</v>
      </c>
      <c r="K529">
        <v>0.72569444444444442</v>
      </c>
      <c r="L529">
        <v>0.70833333333333326</v>
      </c>
      <c r="M529" t="s">
        <v>1009</v>
      </c>
    </row>
    <row r="530" spans="1:13" x14ac:dyDescent="0.25">
      <c r="A530" t="s">
        <v>1011</v>
      </c>
      <c r="B530" t="s">
        <v>1006</v>
      </c>
      <c r="C530" s="2">
        <v>45769.578111863426</v>
      </c>
      <c r="D530" s="2">
        <v>45769.037777777776</v>
      </c>
      <c r="E530" s="2">
        <v>45712.703342291665</v>
      </c>
      <c r="F530" t="s">
        <v>1007</v>
      </c>
      <c r="G530" t="s">
        <v>382</v>
      </c>
      <c r="H530" t="s">
        <v>385</v>
      </c>
      <c r="I530">
        <v>9</v>
      </c>
      <c r="J530">
        <v>45690</v>
      </c>
      <c r="K530">
        <v>0.72569444444444442</v>
      </c>
      <c r="L530">
        <v>0.70833333333333326</v>
      </c>
      <c r="M530" t="s">
        <v>1009</v>
      </c>
    </row>
    <row r="531" spans="1:13" x14ac:dyDescent="0.25">
      <c r="A531" t="s">
        <v>1012</v>
      </c>
      <c r="B531" t="s">
        <v>1006</v>
      </c>
      <c r="C531" s="2">
        <v>45769.578112280091</v>
      </c>
      <c r="D531" s="2">
        <v>45769.035879629628</v>
      </c>
      <c r="E531" s="2">
        <v>45713.368867349534</v>
      </c>
      <c r="F531" t="s">
        <v>1007</v>
      </c>
      <c r="G531" t="s">
        <v>382</v>
      </c>
      <c r="H531" t="s">
        <v>385</v>
      </c>
      <c r="I531">
        <v>9</v>
      </c>
      <c r="J531">
        <v>45690</v>
      </c>
      <c r="K531">
        <v>0.72569444444444442</v>
      </c>
      <c r="L531">
        <v>0.70833333333333326</v>
      </c>
      <c r="M531" t="s">
        <v>1009</v>
      </c>
    </row>
    <row r="532" spans="1:13" x14ac:dyDescent="0.25">
      <c r="A532" t="s">
        <v>1013</v>
      </c>
      <c r="B532" t="s">
        <v>1006</v>
      </c>
      <c r="C532" s="2">
        <v>45769.578112673611</v>
      </c>
      <c r="D532" s="2">
        <v>45769.037800925929</v>
      </c>
      <c r="E532" s="2">
        <v>45718.720149895831</v>
      </c>
      <c r="F532" t="s">
        <v>1007</v>
      </c>
      <c r="G532" t="s">
        <v>382</v>
      </c>
      <c r="H532" t="s">
        <v>385</v>
      </c>
      <c r="I532">
        <v>9</v>
      </c>
      <c r="J532">
        <v>45690</v>
      </c>
      <c r="K532">
        <v>0.72569444444444442</v>
      </c>
      <c r="L532">
        <v>0.70833333333333326</v>
      </c>
      <c r="M532" t="s">
        <v>1009</v>
      </c>
    </row>
    <row r="533" spans="1:13" x14ac:dyDescent="0.25">
      <c r="A533" t="s">
        <v>1014</v>
      </c>
      <c r="B533" t="s">
        <v>1006</v>
      </c>
      <c r="C533" s="2">
        <v>45769.578113090276</v>
      </c>
      <c r="D533" s="2">
        <v>45769.037800925929</v>
      </c>
      <c r="E533" s="2">
        <v>45719.845094884258</v>
      </c>
      <c r="F533" t="s">
        <v>1007</v>
      </c>
      <c r="G533" t="s">
        <v>382</v>
      </c>
      <c r="H533" t="s">
        <v>385</v>
      </c>
      <c r="I533">
        <v>9</v>
      </c>
      <c r="J533">
        <v>45690</v>
      </c>
      <c r="K533">
        <v>0.72569444444444442</v>
      </c>
      <c r="L533">
        <v>0.70833333333333326</v>
      </c>
      <c r="M533" t="s">
        <v>1009</v>
      </c>
    </row>
    <row r="534" spans="1:13" x14ac:dyDescent="0.25">
      <c r="A534" t="s">
        <v>1015</v>
      </c>
      <c r="B534" t="s">
        <v>1006</v>
      </c>
      <c r="C534" s="2">
        <v>45769.578113564814</v>
      </c>
      <c r="D534" s="2">
        <v>45726.85528935185</v>
      </c>
      <c r="E534" s="2">
        <v>45726.856810578705</v>
      </c>
      <c r="F534" t="s">
        <v>1007</v>
      </c>
      <c r="G534" t="s">
        <v>382</v>
      </c>
      <c r="H534" t="s">
        <v>385</v>
      </c>
      <c r="I534">
        <v>9</v>
      </c>
      <c r="J534">
        <v>45690</v>
      </c>
      <c r="K534">
        <v>0.72569444444444442</v>
      </c>
      <c r="L534">
        <v>0.70833333333333326</v>
      </c>
      <c r="M534" t="s">
        <v>1009</v>
      </c>
    </row>
    <row r="535" spans="1:13" x14ac:dyDescent="0.25">
      <c r="A535" t="s">
        <v>1016</v>
      </c>
      <c r="B535" t="s">
        <v>1006</v>
      </c>
      <c r="C535" s="2">
        <v>45769.578113993055</v>
      </c>
      <c r="D535" s="2">
        <v>45727.548941782406</v>
      </c>
      <c r="E535" s="2">
        <v>45727.544082731481</v>
      </c>
      <c r="F535" t="s">
        <v>1007</v>
      </c>
      <c r="G535" t="s">
        <v>382</v>
      </c>
      <c r="H535" t="s">
        <v>385</v>
      </c>
      <c r="I535">
        <v>9</v>
      </c>
      <c r="J535">
        <v>45690</v>
      </c>
      <c r="K535">
        <v>0.72569444444444442</v>
      </c>
      <c r="L535">
        <v>0.70833333333333326</v>
      </c>
      <c r="M535" t="s">
        <v>1009</v>
      </c>
    </row>
    <row r="536" spans="1:13" x14ac:dyDescent="0.25">
      <c r="A536" t="s">
        <v>1017</v>
      </c>
      <c r="B536" t="s">
        <v>1006</v>
      </c>
      <c r="C536" s="2">
        <v>45769.578114386575</v>
      </c>
      <c r="D536" s="2">
        <v>45730.674748101854</v>
      </c>
      <c r="E536" s="2">
        <v>45730.674747743054</v>
      </c>
      <c r="F536" t="s">
        <v>1007</v>
      </c>
      <c r="G536" t="s">
        <v>382</v>
      </c>
      <c r="H536" t="s">
        <v>385</v>
      </c>
      <c r="I536">
        <v>9</v>
      </c>
      <c r="J536">
        <v>45690</v>
      </c>
      <c r="K536">
        <v>0.72569444444444442</v>
      </c>
      <c r="L536">
        <v>0.70833333333333326</v>
      </c>
      <c r="M536" t="s">
        <v>1009</v>
      </c>
    </row>
    <row r="537" spans="1:13" x14ac:dyDescent="0.25">
      <c r="A537" t="s">
        <v>1019</v>
      </c>
      <c r="B537" t="s">
        <v>1006</v>
      </c>
      <c r="C537" s="2">
        <v>45769.578115219905</v>
      </c>
      <c r="D537" s="2">
        <v>45740.441161863426</v>
      </c>
      <c r="E537" s="2">
        <v>45740.441161643517</v>
      </c>
      <c r="F537" t="s">
        <v>1007</v>
      </c>
      <c r="G537" t="s">
        <v>382</v>
      </c>
      <c r="H537" t="s">
        <v>385</v>
      </c>
      <c r="I537">
        <v>9</v>
      </c>
      <c r="J537">
        <v>45690</v>
      </c>
      <c r="K537">
        <v>0.72569444444444442</v>
      </c>
      <c r="L537">
        <v>0.70833333333333326</v>
      </c>
      <c r="M537" t="s">
        <v>1009</v>
      </c>
    </row>
    <row r="538" spans="1:13" x14ac:dyDescent="0.25">
      <c r="A538" t="s">
        <v>1020</v>
      </c>
      <c r="B538" t="s">
        <v>1006</v>
      </c>
      <c r="C538" s="2">
        <v>45769.578115682867</v>
      </c>
      <c r="D538" s="2">
        <v>45747.434178240743</v>
      </c>
      <c r="E538" s="2">
        <v>45746.492342094905</v>
      </c>
      <c r="F538" t="s">
        <v>1007</v>
      </c>
      <c r="G538" t="s">
        <v>382</v>
      </c>
      <c r="H538" t="s">
        <v>385</v>
      </c>
      <c r="I538">
        <v>9</v>
      </c>
      <c r="J538">
        <v>45690</v>
      </c>
      <c r="K538">
        <v>0.72569444444444442</v>
      </c>
      <c r="L538">
        <v>0.70833333333333326</v>
      </c>
      <c r="M538" t="s">
        <v>1009</v>
      </c>
    </row>
    <row r="539" spans="1:13" x14ac:dyDescent="0.25">
      <c r="A539" t="s">
        <v>1021</v>
      </c>
      <c r="B539" t="s">
        <v>1006</v>
      </c>
      <c r="C539" s="2">
        <v>45769.578116168981</v>
      </c>
      <c r="D539" s="2">
        <v>45748.008692129632</v>
      </c>
      <c r="E539" s="2">
        <v>45760.803375069445</v>
      </c>
      <c r="F539" t="s">
        <v>1007</v>
      </c>
      <c r="G539" t="s">
        <v>382</v>
      </c>
      <c r="H539" t="s">
        <v>385</v>
      </c>
      <c r="I539">
        <v>9</v>
      </c>
      <c r="J539">
        <v>45690</v>
      </c>
      <c r="K539">
        <v>0.72569444444444442</v>
      </c>
      <c r="L539">
        <v>0.70833333333333326</v>
      </c>
      <c r="M539" t="s">
        <v>1009</v>
      </c>
    </row>
    <row r="540" spans="1:13" x14ac:dyDescent="0.25">
      <c r="A540" t="s">
        <v>1024</v>
      </c>
      <c r="B540" t="s">
        <v>1006</v>
      </c>
      <c r="C540" s="2">
        <v>45769.578117557867</v>
      </c>
      <c r="D540" s="2">
        <v>45755.522465879629</v>
      </c>
      <c r="E540" s="2">
        <v>45755.517505011572</v>
      </c>
      <c r="F540" t="s">
        <v>1007</v>
      </c>
      <c r="G540" t="s">
        <v>382</v>
      </c>
      <c r="H540" t="s">
        <v>385</v>
      </c>
      <c r="I540">
        <v>9</v>
      </c>
      <c r="J540">
        <v>45690</v>
      </c>
      <c r="K540">
        <v>0.72569444444444442</v>
      </c>
      <c r="L540">
        <v>0.70833333333333326</v>
      </c>
      <c r="M540" t="s">
        <v>1009</v>
      </c>
    </row>
    <row r="541" spans="1:13" x14ac:dyDescent="0.25">
      <c r="A541" t="s">
        <v>1025</v>
      </c>
      <c r="B541" t="s">
        <v>1006</v>
      </c>
      <c r="C541" s="2">
        <v>45769.578118020836</v>
      </c>
      <c r="D541" s="2">
        <v>45756.741511504631</v>
      </c>
      <c r="E541" s="2">
        <v>45756.741511087967</v>
      </c>
      <c r="F541" t="s">
        <v>1007</v>
      </c>
      <c r="G541" t="s">
        <v>382</v>
      </c>
      <c r="H541" t="s">
        <v>385</v>
      </c>
      <c r="I541">
        <v>9</v>
      </c>
      <c r="J541">
        <v>45690</v>
      </c>
      <c r="K541">
        <v>0.72569444444444442</v>
      </c>
      <c r="L541">
        <v>0.70833333333333326</v>
      </c>
      <c r="M541" t="s">
        <v>1009</v>
      </c>
    </row>
    <row r="542" spans="1:13" x14ac:dyDescent="0.25">
      <c r="A542" t="s">
        <v>1026</v>
      </c>
      <c r="B542" t="s">
        <v>1006</v>
      </c>
      <c r="C542" s="2">
        <v>45769.578118518519</v>
      </c>
      <c r="D542" s="2">
        <v>45758.796925532406</v>
      </c>
      <c r="E542" s="2">
        <v>45758.796925092596</v>
      </c>
      <c r="F542" t="s">
        <v>1007</v>
      </c>
      <c r="G542" t="s">
        <v>382</v>
      </c>
      <c r="H542" t="s">
        <v>385</v>
      </c>
      <c r="I542">
        <v>9</v>
      </c>
      <c r="J542">
        <v>45690</v>
      </c>
      <c r="K542">
        <v>0.72569444444444442</v>
      </c>
      <c r="L542">
        <v>0.70833333333333326</v>
      </c>
      <c r="M542" t="s">
        <v>1009</v>
      </c>
    </row>
    <row r="543" spans="1:13" x14ac:dyDescent="0.25">
      <c r="A543" t="s">
        <v>1027</v>
      </c>
      <c r="B543" t="s">
        <v>1006</v>
      </c>
      <c r="C543" s="2">
        <v>45769.578119039354</v>
      </c>
      <c r="D543" s="2">
        <v>45762.136261574073</v>
      </c>
      <c r="E543" s="2">
        <v>45761.611620300922</v>
      </c>
      <c r="F543" t="s">
        <v>1007</v>
      </c>
      <c r="G543" t="s">
        <v>382</v>
      </c>
      <c r="H543" t="s">
        <v>385</v>
      </c>
      <c r="I543">
        <v>9</v>
      </c>
      <c r="J543">
        <v>45690</v>
      </c>
      <c r="K543">
        <v>0.72569444444444442</v>
      </c>
      <c r="L543">
        <v>0.70833333333333326</v>
      </c>
      <c r="M543" t="s">
        <v>1009</v>
      </c>
    </row>
    <row r="544" spans="1:13" x14ac:dyDescent="0.25">
      <c r="A544" t="s">
        <v>1005</v>
      </c>
      <c r="B544" t="s">
        <v>1006</v>
      </c>
      <c r="C544" s="2">
        <v>45769.578089016206</v>
      </c>
      <c r="D544" s="2">
        <v>45769.034166666665</v>
      </c>
      <c r="E544" s="2">
        <v>45760.803204236108</v>
      </c>
      <c r="F544" t="s">
        <v>1007</v>
      </c>
      <c r="G544" t="s">
        <v>388</v>
      </c>
      <c r="H544" t="s">
        <v>390</v>
      </c>
      <c r="I544">
        <v>9</v>
      </c>
      <c r="J544">
        <v>45691</v>
      </c>
      <c r="K544">
        <v>0.69484953703703711</v>
      </c>
      <c r="L544">
        <v>0.66666666666666674</v>
      </c>
      <c r="M544" t="s">
        <v>1009</v>
      </c>
    </row>
    <row r="545" spans="1:13" x14ac:dyDescent="0.25">
      <c r="A545" t="s">
        <v>1005</v>
      </c>
      <c r="B545" t="s">
        <v>1006</v>
      </c>
      <c r="C545" s="2">
        <v>45769.578089016206</v>
      </c>
      <c r="D545" s="2">
        <v>45769.034166666665</v>
      </c>
      <c r="E545" s="2">
        <v>45760.803204236108</v>
      </c>
      <c r="F545" t="s">
        <v>1007</v>
      </c>
      <c r="G545" t="s">
        <v>279</v>
      </c>
      <c r="H545" t="s">
        <v>282</v>
      </c>
      <c r="I545">
        <v>9</v>
      </c>
      <c r="J545">
        <v>45691</v>
      </c>
      <c r="K545">
        <v>0.77083333333333326</v>
      </c>
      <c r="L545">
        <v>0.75</v>
      </c>
      <c r="M545" t="s">
        <v>1008</v>
      </c>
    </row>
    <row r="546" spans="1:13" x14ac:dyDescent="0.25">
      <c r="A546" t="s">
        <v>1011</v>
      </c>
      <c r="B546" t="s">
        <v>1006</v>
      </c>
      <c r="C546" s="2">
        <v>45769.578111863426</v>
      </c>
      <c r="D546" s="2">
        <v>45769.037777777776</v>
      </c>
      <c r="E546" s="2">
        <v>45712.703342291665</v>
      </c>
      <c r="F546" t="s">
        <v>1007</v>
      </c>
      <c r="G546" t="s">
        <v>388</v>
      </c>
      <c r="H546" t="s">
        <v>390</v>
      </c>
      <c r="I546">
        <v>9</v>
      </c>
      <c r="J546">
        <v>45691</v>
      </c>
      <c r="K546">
        <v>0.69484953703703711</v>
      </c>
      <c r="L546">
        <v>0.66666666666666674</v>
      </c>
      <c r="M546" t="s">
        <v>1009</v>
      </c>
    </row>
    <row r="547" spans="1:13" x14ac:dyDescent="0.25">
      <c r="A547" t="s">
        <v>1011</v>
      </c>
      <c r="B547" t="s">
        <v>1006</v>
      </c>
      <c r="C547" s="2">
        <v>45769.578111863426</v>
      </c>
      <c r="D547" s="2">
        <v>45769.037777777776</v>
      </c>
      <c r="E547" s="2">
        <v>45712.703342291665</v>
      </c>
      <c r="F547" t="s">
        <v>1007</v>
      </c>
      <c r="G547" t="s">
        <v>279</v>
      </c>
      <c r="H547" t="s">
        <v>282</v>
      </c>
      <c r="I547">
        <v>9</v>
      </c>
      <c r="J547">
        <v>45691</v>
      </c>
      <c r="K547">
        <v>0.77083333333333326</v>
      </c>
      <c r="L547">
        <v>0.75</v>
      </c>
      <c r="M547" t="s">
        <v>1008</v>
      </c>
    </row>
    <row r="548" spans="1:13" x14ac:dyDescent="0.25">
      <c r="A548" t="s">
        <v>1012</v>
      </c>
      <c r="B548" t="s">
        <v>1006</v>
      </c>
      <c r="C548" s="2">
        <v>45769.578112280091</v>
      </c>
      <c r="D548" s="2">
        <v>45769.035879629628</v>
      </c>
      <c r="E548" s="2">
        <v>45713.368867349534</v>
      </c>
      <c r="F548" t="s">
        <v>1007</v>
      </c>
      <c r="G548" t="s">
        <v>388</v>
      </c>
      <c r="H548" t="s">
        <v>390</v>
      </c>
      <c r="I548">
        <v>9</v>
      </c>
      <c r="J548">
        <v>45691</v>
      </c>
      <c r="K548">
        <v>0.69484953703703711</v>
      </c>
      <c r="L548">
        <v>0.66666666666666674</v>
      </c>
      <c r="M548" t="s">
        <v>1009</v>
      </c>
    </row>
    <row r="549" spans="1:13" x14ac:dyDescent="0.25">
      <c r="A549" t="s">
        <v>1012</v>
      </c>
      <c r="B549" t="s">
        <v>1006</v>
      </c>
      <c r="C549" s="2">
        <v>45769.578112280091</v>
      </c>
      <c r="D549" s="2">
        <v>45769.035879629628</v>
      </c>
      <c r="E549" s="2">
        <v>45713.368867349534</v>
      </c>
      <c r="F549" t="s">
        <v>1007</v>
      </c>
      <c r="G549" t="s">
        <v>279</v>
      </c>
      <c r="H549" t="s">
        <v>282</v>
      </c>
      <c r="I549">
        <v>9</v>
      </c>
      <c r="J549">
        <v>45691</v>
      </c>
      <c r="K549">
        <v>0.77083333333333326</v>
      </c>
      <c r="L549">
        <v>0.75</v>
      </c>
      <c r="M549" t="s">
        <v>1008</v>
      </c>
    </row>
    <row r="550" spans="1:13" x14ac:dyDescent="0.25">
      <c r="A550" t="s">
        <v>1013</v>
      </c>
      <c r="B550" t="s">
        <v>1006</v>
      </c>
      <c r="C550" s="2">
        <v>45769.578112673611</v>
      </c>
      <c r="D550" s="2">
        <v>45769.037800925929</v>
      </c>
      <c r="E550" s="2">
        <v>45718.720149895831</v>
      </c>
      <c r="F550" t="s">
        <v>1007</v>
      </c>
      <c r="G550" t="s">
        <v>388</v>
      </c>
      <c r="H550" t="s">
        <v>390</v>
      </c>
      <c r="I550">
        <v>9</v>
      </c>
      <c r="J550">
        <v>45691</v>
      </c>
      <c r="K550">
        <v>0.69484953703703711</v>
      </c>
      <c r="L550">
        <v>0.66666666666666674</v>
      </c>
      <c r="M550" t="s">
        <v>1009</v>
      </c>
    </row>
    <row r="551" spans="1:13" x14ac:dyDescent="0.25">
      <c r="A551" t="s">
        <v>1013</v>
      </c>
      <c r="B551" t="s">
        <v>1006</v>
      </c>
      <c r="C551" s="2">
        <v>45769.578112673611</v>
      </c>
      <c r="D551" s="2">
        <v>45769.037800925929</v>
      </c>
      <c r="E551" s="2">
        <v>45718.720149895831</v>
      </c>
      <c r="F551" t="s">
        <v>1007</v>
      </c>
      <c r="G551" t="s">
        <v>279</v>
      </c>
      <c r="H551" t="s">
        <v>282</v>
      </c>
      <c r="I551">
        <v>9</v>
      </c>
      <c r="J551">
        <v>45691</v>
      </c>
      <c r="K551">
        <v>0.77083333333333326</v>
      </c>
      <c r="L551">
        <v>0.75</v>
      </c>
      <c r="M551" t="s">
        <v>1008</v>
      </c>
    </row>
    <row r="552" spans="1:13" x14ac:dyDescent="0.25">
      <c r="A552" t="s">
        <v>1014</v>
      </c>
      <c r="B552" t="s">
        <v>1006</v>
      </c>
      <c r="C552" s="2">
        <v>45769.578113090276</v>
      </c>
      <c r="D552" s="2">
        <v>45769.037800925929</v>
      </c>
      <c r="E552" s="2">
        <v>45719.845094884258</v>
      </c>
      <c r="F552" t="s">
        <v>1007</v>
      </c>
      <c r="G552" t="s">
        <v>388</v>
      </c>
      <c r="H552" t="s">
        <v>390</v>
      </c>
      <c r="I552">
        <v>9</v>
      </c>
      <c r="J552">
        <v>45691</v>
      </c>
      <c r="K552">
        <v>0.69484953703703711</v>
      </c>
      <c r="L552">
        <v>0.66666666666666674</v>
      </c>
      <c r="M552" t="s">
        <v>1009</v>
      </c>
    </row>
    <row r="553" spans="1:13" x14ac:dyDescent="0.25">
      <c r="A553" t="s">
        <v>1014</v>
      </c>
      <c r="B553" t="s">
        <v>1006</v>
      </c>
      <c r="C553" s="2">
        <v>45769.578113090276</v>
      </c>
      <c r="D553" s="2">
        <v>45769.037800925929</v>
      </c>
      <c r="E553" s="2">
        <v>45719.845094884258</v>
      </c>
      <c r="F553" t="s">
        <v>1007</v>
      </c>
      <c r="G553" t="s">
        <v>279</v>
      </c>
      <c r="H553" t="s">
        <v>282</v>
      </c>
      <c r="I553">
        <v>9</v>
      </c>
      <c r="J553">
        <v>45691</v>
      </c>
      <c r="K553">
        <v>0.77083333333333326</v>
      </c>
      <c r="L553">
        <v>0.75</v>
      </c>
      <c r="M553" t="s">
        <v>1008</v>
      </c>
    </row>
    <row r="554" spans="1:13" x14ac:dyDescent="0.25">
      <c r="A554" t="s">
        <v>1015</v>
      </c>
      <c r="B554" t="s">
        <v>1006</v>
      </c>
      <c r="C554" s="2">
        <v>45769.578113564814</v>
      </c>
      <c r="D554" s="2">
        <v>45726.85528935185</v>
      </c>
      <c r="E554" s="2">
        <v>45726.856810578705</v>
      </c>
      <c r="F554" t="s">
        <v>1007</v>
      </c>
      <c r="G554" t="s">
        <v>388</v>
      </c>
      <c r="H554" t="s">
        <v>390</v>
      </c>
      <c r="I554">
        <v>9</v>
      </c>
      <c r="J554">
        <v>45691</v>
      </c>
      <c r="K554">
        <v>0.69484953703703711</v>
      </c>
      <c r="L554">
        <v>0.66666666666666674</v>
      </c>
      <c r="M554" t="s">
        <v>1009</v>
      </c>
    </row>
    <row r="555" spans="1:13" x14ac:dyDescent="0.25">
      <c r="A555" t="s">
        <v>1015</v>
      </c>
      <c r="B555" t="s">
        <v>1006</v>
      </c>
      <c r="C555" s="2">
        <v>45769.578113564814</v>
      </c>
      <c r="D555" s="2">
        <v>45726.85528935185</v>
      </c>
      <c r="E555" s="2">
        <v>45726.856810578705</v>
      </c>
      <c r="F555" t="s">
        <v>1007</v>
      </c>
      <c r="G555" t="s">
        <v>279</v>
      </c>
      <c r="H555" t="s">
        <v>282</v>
      </c>
      <c r="I555">
        <v>9</v>
      </c>
      <c r="J555">
        <v>45691</v>
      </c>
      <c r="K555">
        <v>0.77083333333333326</v>
      </c>
      <c r="L555">
        <v>0.75</v>
      </c>
      <c r="M555" t="s">
        <v>1008</v>
      </c>
    </row>
    <row r="556" spans="1:13" x14ac:dyDescent="0.25">
      <c r="A556" t="s">
        <v>1016</v>
      </c>
      <c r="B556" t="s">
        <v>1006</v>
      </c>
      <c r="C556" s="2">
        <v>45769.578113993055</v>
      </c>
      <c r="D556" s="2">
        <v>45727.548941782406</v>
      </c>
      <c r="E556" s="2">
        <v>45727.544082731481</v>
      </c>
      <c r="F556" t="s">
        <v>1007</v>
      </c>
      <c r="G556" t="s">
        <v>388</v>
      </c>
      <c r="H556" t="s">
        <v>390</v>
      </c>
      <c r="I556">
        <v>9</v>
      </c>
      <c r="J556">
        <v>45691</v>
      </c>
      <c r="K556">
        <v>0.69484953703703711</v>
      </c>
      <c r="L556">
        <v>0.66666666666666674</v>
      </c>
      <c r="M556" t="s">
        <v>1009</v>
      </c>
    </row>
    <row r="557" spans="1:13" x14ac:dyDescent="0.25">
      <c r="A557" t="s">
        <v>1016</v>
      </c>
      <c r="B557" t="s">
        <v>1006</v>
      </c>
      <c r="C557" s="2">
        <v>45769.578113993055</v>
      </c>
      <c r="D557" s="2">
        <v>45727.548941782406</v>
      </c>
      <c r="E557" s="2">
        <v>45727.544082731481</v>
      </c>
      <c r="F557" t="s">
        <v>1007</v>
      </c>
      <c r="G557" t="s">
        <v>279</v>
      </c>
      <c r="H557" t="s">
        <v>282</v>
      </c>
      <c r="I557">
        <v>9</v>
      </c>
      <c r="J557">
        <v>45691</v>
      </c>
      <c r="K557">
        <v>0.77083333333333326</v>
      </c>
      <c r="L557">
        <v>0.75</v>
      </c>
      <c r="M557" t="s">
        <v>1008</v>
      </c>
    </row>
    <row r="558" spans="1:13" x14ac:dyDescent="0.25">
      <c r="A558" t="s">
        <v>1017</v>
      </c>
      <c r="B558" t="s">
        <v>1006</v>
      </c>
      <c r="C558" s="2">
        <v>45769.578114386575</v>
      </c>
      <c r="D558" s="2">
        <v>45730.674748101854</v>
      </c>
      <c r="E558" s="2">
        <v>45730.674747743054</v>
      </c>
      <c r="F558" t="s">
        <v>1007</v>
      </c>
      <c r="G558" t="s">
        <v>388</v>
      </c>
      <c r="H558" t="s">
        <v>390</v>
      </c>
      <c r="I558">
        <v>9</v>
      </c>
      <c r="J558">
        <v>45691</v>
      </c>
      <c r="K558">
        <v>0.69484953703703711</v>
      </c>
      <c r="L558">
        <v>0.66666666666666674</v>
      </c>
      <c r="M558" t="s">
        <v>1009</v>
      </c>
    </row>
    <row r="559" spans="1:13" x14ac:dyDescent="0.25">
      <c r="A559" t="s">
        <v>1017</v>
      </c>
      <c r="B559" t="s">
        <v>1006</v>
      </c>
      <c r="C559" s="2">
        <v>45769.578114386575</v>
      </c>
      <c r="D559" s="2">
        <v>45730.674748101854</v>
      </c>
      <c r="E559" s="2">
        <v>45730.674747743054</v>
      </c>
      <c r="F559" t="s">
        <v>1007</v>
      </c>
      <c r="G559" t="s">
        <v>279</v>
      </c>
      <c r="H559" t="s">
        <v>282</v>
      </c>
      <c r="I559">
        <v>9</v>
      </c>
      <c r="J559">
        <v>45691</v>
      </c>
      <c r="K559">
        <v>0.77083333333333326</v>
      </c>
      <c r="L559">
        <v>0.75</v>
      </c>
      <c r="M559" t="s">
        <v>1008</v>
      </c>
    </row>
    <row r="560" spans="1:13" x14ac:dyDescent="0.25">
      <c r="A560" t="s">
        <v>1019</v>
      </c>
      <c r="B560" t="s">
        <v>1006</v>
      </c>
      <c r="C560" s="2">
        <v>45769.578115219905</v>
      </c>
      <c r="D560" s="2">
        <v>45740.441161863426</v>
      </c>
      <c r="E560" s="2">
        <v>45740.441161643517</v>
      </c>
      <c r="F560" t="s">
        <v>1007</v>
      </c>
      <c r="G560" t="s">
        <v>388</v>
      </c>
      <c r="H560" t="s">
        <v>390</v>
      </c>
      <c r="I560">
        <v>9</v>
      </c>
      <c r="J560">
        <v>45691</v>
      </c>
      <c r="K560">
        <v>0.69484953703703711</v>
      </c>
      <c r="L560">
        <v>0.66666666666666674</v>
      </c>
      <c r="M560" t="s">
        <v>1009</v>
      </c>
    </row>
    <row r="561" spans="1:13" x14ac:dyDescent="0.25">
      <c r="A561" t="s">
        <v>1019</v>
      </c>
      <c r="B561" t="s">
        <v>1006</v>
      </c>
      <c r="C561" s="2">
        <v>45769.578115219905</v>
      </c>
      <c r="D561" s="2">
        <v>45740.441161863426</v>
      </c>
      <c r="E561" s="2">
        <v>45740.441161643517</v>
      </c>
      <c r="F561" t="s">
        <v>1007</v>
      </c>
      <c r="G561" t="s">
        <v>279</v>
      </c>
      <c r="H561" t="s">
        <v>282</v>
      </c>
      <c r="I561">
        <v>9</v>
      </c>
      <c r="J561">
        <v>45691</v>
      </c>
      <c r="K561">
        <v>0.77083333333333326</v>
      </c>
      <c r="L561">
        <v>0.75</v>
      </c>
      <c r="M561" t="s">
        <v>1008</v>
      </c>
    </row>
    <row r="562" spans="1:13" x14ac:dyDescent="0.25">
      <c r="A562" t="s">
        <v>1020</v>
      </c>
      <c r="B562" t="s">
        <v>1006</v>
      </c>
      <c r="C562" s="2">
        <v>45769.578115682867</v>
      </c>
      <c r="D562" s="2">
        <v>45747.434178240743</v>
      </c>
      <c r="E562" s="2">
        <v>45746.492342094905</v>
      </c>
      <c r="F562" t="s">
        <v>1007</v>
      </c>
      <c r="G562" t="s">
        <v>388</v>
      </c>
      <c r="H562" t="s">
        <v>390</v>
      </c>
      <c r="I562">
        <v>9</v>
      </c>
      <c r="J562">
        <v>45691</v>
      </c>
      <c r="K562">
        <v>0.69484953703703711</v>
      </c>
      <c r="L562">
        <v>0.66666666666666674</v>
      </c>
      <c r="M562" t="s">
        <v>1009</v>
      </c>
    </row>
    <row r="563" spans="1:13" x14ac:dyDescent="0.25">
      <c r="A563" t="s">
        <v>1020</v>
      </c>
      <c r="B563" t="s">
        <v>1006</v>
      </c>
      <c r="C563" s="2">
        <v>45769.578115682867</v>
      </c>
      <c r="D563" s="2">
        <v>45747.434178240743</v>
      </c>
      <c r="E563" s="2">
        <v>45746.492342094905</v>
      </c>
      <c r="F563" t="s">
        <v>1007</v>
      </c>
      <c r="G563" t="s">
        <v>279</v>
      </c>
      <c r="H563" t="s">
        <v>282</v>
      </c>
      <c r="I563">
        <v>9</v>
      </c>
      <c r="J563">
        <v>45691</v>
      </c>
      <c r="K563">
        <v>0.77083333333333326</v>
      </c>
      <c r="L563">
        <v>0.75</v>
      </c>
      <c r="M563" t="s">
        <v>1008</v>
      </c>
    </row>
    <row r="564" spans="1:13" x14ac:dyDescent="0.25">
      <c r="A564" t="s">
        <v>1021</v>
      </c>
      <c r="B564" t="s">
        <v>1006</v>
      </c>
      <c r="C564" s="2">
        <v>45769.578116168981</v>
      </c>
      <c r="D564" s="2">
        <v>45748.008692129632</v>
      </c>
      <c r="E564" s="2">
        <v>45760.803375069445</v>
      </c>
      <c r="F564" t="s">
        <v>1007</v>
      </c>
      <c r="G564" t="s">
        <v>388</v>
      </c>
      <c r="H564" t="s">
        <v>390</v>
      </c>
      <c r="I564">
        <v>9</v>
      </c>
      <c r="J564">
        <v>45691</v>
      </c>
      <c r="K564">
        <v>0.69484953703703711</v>
      </c>
      <c r="L564">
        <v>0.66666666666666674</v>
      </c>
      <c r="M564" t="s">
        <v>1009</v>
      </c>
    </row>
    <row r="565" spans="1:13" x14ac:dyDescent="0.25">
      <c r="A565" t="s">
        <v>1021</v>
      </c>
      <c r="B565" t="s">
        <v>1006</v>
      </c>
      <c r="C565" s="2">
        <v>45769.578116168981</v>
      </c>
      <c r="D565" s="2">
        <v>45748.008692129632</v>
      </c>
      <c r="E565" s="2">
        <v>45760.803375069445</v>
      </c>
      <c r="F565" t="s">
        <v>1007</v>
      </c>
      <c r="G565" t="s">
        <v>279</v>
      </c>
      <c r="H565" t="s">
        <v>282</v>
      </c>
      <c r="I565">
        <v>9</v>
      </c>
      <c r="J565">
        <v>45691</v>
      </c>
      <c r="K565">
        <v>0.77083333333333326</v>
      </c>
      <c r="L565">
        <v>0.75</v>
      </c>
      <c r="M565" t="s">
        <v>1008</v>
      </c>
    </row>
    <row r="566" spans="1:13" x14ac:dyDescent="0.25">
      <c r="A566" t="s">
        <v>1024</v>
      </c>
      <c r="B566" t="s">
        <v>1006</v>
      </c>
      <c r="C566" s="2">
        <v>45769.578117557867</v>
      </c>
      <c r="D566" s="2">
        <v>45755.522465879629</v>
      </c>
      <c r="E566" s="2">
        <v>45755.517505011572</v>
      </c>
      <c r="F566" t="s">
        <v>1007</v>
      </c>
      <c r="G566" t="s">
        <v>388</v>
      </c>
      <c r="H566" t="s">
        <v>390</v>
      </c>
      <c r="I566">
        <v>9</v>
      </c>
      <c r="J566">
        <v>45691</v>
      </c>
      <c r="K566">
        <v>0.69484953703703711</v>
      </c>
      <c r="L566">
        <v>0.66666666666666674</v>
      </c>
      <c r="M566" t="s">
        <v>1009</v>
      </c>
    </row>
    <row r="567" spans="1:13" x14ac:dyDescent="0.25">
      <c r="A567" t="s">
        <v>1024</v>
      </c>
      <c r="B567" t="s">
        <v>1006</v>
      </c>
      <c r="C567" s="2">
        <v>45769.578117557867</v>
      </c>
      <c r="D567" s="2">
        <v>45755.522465879629</v>
      </c>
      <c r="E567" s="2">
        <v>45755.517505011572</v>
      </c>
      <c r="F567" t="s">
        <v>1007</v>
      </c>
      <c r="G567" t="s">
        <v>279</v>
      </c>
      <c r="H567" t="s">
        <v>282</v>
      </c>
      <c r="I567">
        <v>9</v>
      </c>
      <c r="J567">
        <v>45691</v>
      </c>
      <c r="K567">
        <v>0.77083333333333326</v>
      </c>
      <c r="L567">
        <v>0.75</v>
      </c>
      <c r="M567" t="s">
        <v>1008</v>
      </c>
    </row>
    <row r="568" spans="1:13" x14ac:dyDescent="0.25">
      <c r="A568" t="s">
        <v>1025</v>
      </c>
      <c r="B568" t="s">
        <v>1006</v>
      </c>
      <c r="C568" s="2">
        <v>45769.578118020836</v>
      </c>
      <c r="D568" s="2">
        <v>45756.741511504631</v>
      </c>
      <c r="E568" s="2">
        <v>45756.741511087967</v>
      </c>
      <c r="F568" t="s">
        <v>1007</v>
      </c>
      <c r="G568" t="s">
        <v>388</v>
      </c>
      <c r="H568" t="s">
        <v>390</v>
      </c>
      <c r="I568">
        <v>9</v>
      </c>
      <c r="J568">
        <v>45691</v>
      </c>
      <c r="K568">
        <v>0.69484953703703711</v>
      </c>
      <c r="L568">
        <v>0.66666666666666674</v>
      </c>
      <c r="M568" t="s">
        <v>1009</v>
      </c>
    </row>
    <row r="569" spans="1:13" x14ac:dyDescent="0.25">
      <c r="A569" t="s">
        <v>1025</v>
      </c>
      <c r="B569" t="s">
        <v>1006</v>
      </c>
      <c r="C569" s="2">
        <v>45769.578118020836</v>
      </c>
      <c r="D569" s="2">
        <v>45756.741511504631</v>
      </c>
      <c r="E569" s="2">
        <v>45756.741511087967</v>
      </c>
      <c r="F569" t="s">
        <v>1007</v>
      </c>
      <c r="G569" t="s">
        <v>279</v>
      </c>
      <c r="H569" t="s">
        <v>282</v>
      </c>
      <c r="I569">
        <v>9</v>
      </c>
      <c r="J569">
        <v>45691</v>
      </c>
      <c r="K569">
        <v>0.77083333333333326</v>
      </c>
      <c r="L569">
        <v>0.75</v>
      </c>
      <c r="M569" t="s">
        <v>1008</v>
      </c>
    </row>
    <row r="570" spans="1:13" x14ac:dyDescent="0.25">
      <c r="A570" t="s">
        <v>1026</v>
      </c>
      <c r="B570" t="s">
        <v>1006</v>
      </c>
      <c r="C570" s="2">
        <v>45769.578118518519</v>
      </c>
      <c r="D570" s="2">
        <v>45758.796925532406</v>
      </c>
      <c r="E570" s="2">
        <v>45758.796925092596</v>
      </c>
      <c r="F570" t="s">
        <v>1007</v>
      </c>
      <c r="G570" t="s">
        <v>388</v>
      </c>
      <c r="H570" t="s">
        <v>390</v>
      </c>
      <c r="I570">
        <v>9</v>
      </c>
      <c r="J570">
        <v>45691</v>
      </c>
      <c r="K570">
        <v>0.69484953703703711</v>
      </c>
      <c r="L570">
        <v>0.66666666666666674</v>
      </c>
      <c r="M570" t="s">
        <v>1009</v>
      </c>
    </row>
    <row r="571" spans="1:13" x14ac:dyDescent="0.25">
      <c r="A571" t="s">
        <v>1026</v>
      </c>
      <c r="B571" t="s">
        <v>1006</v>
      </c>
      <c r="C571" s="2">
        <v>45769.578118518519</v>
      </c>
      <c r="D571" s="2">
        <v>45758.796925532406</v>
      </c>
      <c r="E571" s="2">
        <v>45758.796925092596</v>
      </c>
      <c r="F571" t="s">
        <v>1007</v>
      </c>
      <c r="G571" t="s">
        <v>279</v>
      </c>
      <c r="H571" t="s">
        <v>282</v>
      </c>
      <c r="I571">
        <v>9</v>
      </c>
      <c r="J571">
        <v>45691</v>
      </c>
      <c r="K571">
        <v>0.77083333333333326</v>
      </c>
      <c r="L571">
        <v>0.75</v>
      </c>
      <c r="M571" t="s">
        <v>1008</v>
      </c>
    </row>
    <row r="572" spans="1:13" x14ac:dyDescent="0.25">
      <c r="A572" t="s">
        <v>1027</v>
      </c>
      <c r="B572" t="s">
        <v>1006</v>
      </c>
      <c r="C572" s="2">
        <v>45769.578119039354</v>
      </c>
      <c r="D572" s="2">
        <v>45762.136261574073</v>
      </c>
      <c r="E572" s="2">
        <v>45761.611620300922</v>
      </c>
      <c r="F572" t="s">
        <v>1007</v>
      </c>
      <c r="G572" t="s">
        <v>279</v>
      </c>
      <c r="H572" t="s">
        <v>282</v>
      </c>
      <c r="I572">
        <v>9</v>
      </c>
      <c r="J572">
        <v>45691</v>
      </c>
      <c r="K572">
        <v>0.77083333333333326</v>
      </c>
      <c r="L572">
        <v>0.75</v>
      </c>
      <c r="M572" t="s">
        <v>1008</v>
      </c>
    </row>
    <row r="573" spans="1:13" x14ac:dyDescent="0.25">
      <c r="A573" t="s">
        <v>1005</v>
      </c>
      <c r="B573" t="s">
        <v>1006</v>
      </c>
      <c r="C573" s="2">
        <v>45769.578089016206</v>
      </c>
      <c r="D573" s="2">
        <v>45769.034166666665</v>
      </c>
      <c r="E573" s="2">
        <v>45760.803204236108</v>
      </c>
      <c r="F573" t="s">
        <v>1007</v>
      </c>
      <c r="G573" t="s">
        <v>161</v>
      </c>
      <c r="H573" t="s">
        <v>168</v>
      </c>
      <c r="I573">
        <v>9</v>
      </c>
      <c r="J573">
        <v>45693</v>
      </c>
      <c r="K573">
        <v>0.12291666666666656</v>
      </c>
      <c r="L573">
        <v>8.3333333333333259E-2</v>
      </c>
      <c r="M573" t="s">
        <v>1010</v>
      </c>
    </row>
    <row r="574" spans="1:13" x14ac:dyDescent="0.25">
      <c r="A574" t="s">
        <v>1011</v>
      </c>
      <c r="B574" t="s">
        <v>1006</v>
      </c>
      <c r="C574" s="2">
        <v>45769.578111863426</v>
      </c>
      <c r="D574" s="2">
        <v>45769.037777777776</v>
      </c>
      <c r="E574" s="2">
        <v>45712.703342291665</v>
      </c>
      <c r="F574" t="s">
        <v>1007</v>
      </c>
      <c r="G574" t="s">
        <v>161</v>
      </c>
      <c r="H574" t="s">
        <v>168</v>
      </c>
      <c r="I574">
        <v>9</v>
      </c>
      <c r="J574">
        <v>45693</v>
      </c>
      <c r="K574">
        <v>0.12291666666666656</v>
      </c>
      <c r="L574">
        <v>8.3333333333333259E-2</v>
      </c>
      <c r="M574" t="s">
        <v>1010</v>
      </c>
    </row>
    <row r="575" spans="1:13" x14ac:dyDescent="0.25">
      <c r="A575" t="s">
        <v>1012</v>
      </c>
      <c r="B575" t="s">
        <v>1006</v>
      </c>
      <c r="C575" s="2">
        <v>45769.578112280091</v>
      </c>
      <c r="D575" s="2">
        <v>45769.035879629628</v>
      </c>
      <c r="E575" s="2">
        <v>45713.368867349534</v>
      </c>
      <c r="F575" t="s">
        <v>1007</v>
      </c>
      <c r="G575" t="s">
        <v>161</v>
      </c>
      <c r="H575" t="s">
        <v>168</v>
      </c>
      <c r="I575">
        <v>9</v>
      </c>
      <c r="J575">
        <v>45693</v>
      </c>
      <c r="K575">
        <v>0.12291666666666656</v>
      </c>
      <c r="L575">
        <v>8.3333333333333259E-2</v>
      </c>
      <c r="M575" t="s">
        <v>1010</v>
      </c>
    </row>
    <row r="576" spans="1:13" x14ac:dyDescent="0.25">
      <c r="A576" t="s">
        <v>1013</v>
      </c>
      <c r="B576" t="s">
        <v>1006</v>
      </c>
      <c r="C576" s="2">
        <v>45769.578112673611</v>
      </c>
      <c r="D576" s="2">
        <v>45769.037800925929</v>
      </c>
      <c r="E576" s="2">
        <v>45718.720149895831</v>
      </c>
      <c r="F576" t="s">
        <v>1007</v>
      </c>
      <c r="G576" t="s">
        <v>161</v>
      </c>
      <c r="H576" t="s">
        <v>168</v>
      </c>
      <c r="I576">
        <v>9</v>
      </c>
      <c r="J576">
        <v>45693</v>
      </c>
      <c r="K576">
        <v>0.12291666666666656</v>
      </c>
      <c r="L576">
        <v>8.3333333333333259E-2</v>
      </c>
      <c r="M576" t="s">
        <v>1010</v>
      </c>
    </row>
    <row r="577" spans="1:13" x14ac:dyDescent="0.25">
      <c r="A577" t="s">
        <v>1014</v>
      </c>
      <c r="B577" t="s">
        <v>1006</v>
      </c>
      <c r="C577" s="2">
        <v>45769.578113090276</v>
      </c>
      <c r="D577" s="2">
        <v>45769.037800925929</v>
      </c>
      <c r="E577" s="2">
        <v>45719.845094884258</v>
      </c>
      <c r="F577" t="s">
        <v>1007</v>
      </c>
      <c r="G577" t="s">
        <v>161</v>
      </c>
      <c r="H577" t="s">
        <v>168</v>
      </c>
      <c r="I577">
        <v>9</v>
      </c>
      <c r="J577">
        <v>45693</v>
      </c>
      <c r="K577">
        <v>0.12291666666666656</v>
      </c>
      <c r="L577">
        <v>8.3333333333333259E-2</v>
      </c>
      <c r="M577" t="s">
        <v>1010</v>
      </c>
    </row>
    <row r="578" spans="1:13" x14ac:dyDescent="0.25">
      <c r="A578" t="s">
        <v>1015</v>
      </c>
      <c r="B578" t="s">
        <v>1006</v>
      </c>
      <c r="C578" s="2">
        <v>45769.578113564814</v>
      </c>
      <c r="D578" s="2">
        <v>45726.85528935185</v>
      </c>
      <c r="E578" s="2">
        <v>45726.856810578705</v>
      </c>
      <c r="F578" t="s">
        <v>1007</v>
      </c>
      <c r="G578" t="s">
        <v>161</v>
      </c>
      <c r="H578" t="s">
        <v>168</v>
      </c>
      <c r="I578">
        <v>9</v>
      </c>
      <c r="J578">
        <v>45693</v>
      </c>
      <c r="K578">
        <v>0.12291666666666656</v>
      </c>
      <c r="L578">
        <v>8.3333333333333259E-2</v>
      </c>
      <c r="M578" t="s">
        <v>1010</v>
      </c>
    </row>
    <row r="579" spans="1:13" x14ac:dyDescent="0.25">
      <c r="A579" t="s">
        <v>1016</v>
      </c>
      <c r="B579" t="s">
        <v>1006</v>
      </c>
      <c r="C579" s="2">
        <v>45769.578113993055</v>
      </c>
      <c r="D579" s="2">
        <v>45727.548941782406</v>
      </c>
      <c r="E579" s="2">
        <v>45727.544082731481</v>
      </c>
      <c r="F579" t="s">
        <v>1007</v>
      </c>
      <c r="G579" t="s">
        <v>161</v>
      </c>
      <c r="H579" t="s">
        <v>168</v>
      </c>
      <c r="I579">
        <v>9</v>
      </c>
      <c r="J579">
        <v>45693</v>
      </c>
      <c r="K579">
        <v>0.12291666666666656</v>
      </c>
      <c r="L579">
        <v>8.3333333333333259E-2</v>
      </c>
      <c r="M579" t="s">
        <v>1010</v>
      </c>
    </row>
    <row r="580" spans="1:13" x14ac:dyDescent="0.25">
      <c r="A580" t="s">
        <v>1017</v>
      </c>
      <c r="B580" t="s">
        <v>1006</v>
      </c>
      <c r="C580" s="2">
        <v>45769.578114386575</v>
      </c>
      <c r="D580" s="2">
        <v>45730.674748101854</v>
      </c>
      <c r="E580" s="2">
        <v>45730.674747743054</v>
      </c>
      <c r="F580" t="s">
        <v>1007</v>
      </c>
      <c r="G580" t="s">
        <v>161</v>
      </c>
      <c r="H580" t="s">
        <v>168</v>
      </c>
      <c r="I580">
        <v>9</v>
      </c>
      <c r="J580">
        <v>45693</v>
      </c>
      <c r="K580">
        <v>0.12291666666666656</v>
      </c>
      <c r="L580">
        <v>8.3333333333333259E-2</v>
      </c>
      <c r="M580" t="s">
        <v>1010</v>
      </c>
    </row>
    <row r="581" spans="1:13" x14ac:dyDescent="0.25">
      <c r="A581" t="s">
        <v>1019</v>
      </c>
      <c r="B581" t="s">
        <v>1006</v>
      </c>
      <c r="C581" s="2">
        <v>45769.578115219905</v>
      </c>
      <c r="D581" s="2">
        <v>45740.441161863426</v>
      </c>
      <c r="E581" s="2">
        <v>45740.441161643517</v>
      </c>
      <c r="F581" t="s">
        <v>1007</v>
      </c>
      <c r="G581" t="s">
        <v>161</v>
      </c>
      <c r="H581" t="s">
        <v>168</v>
      </c>
      <c r="I581">
        <v>9</v>
      </c>
      <c r="J581">
        <v>45693</v>
      </c>
      <c r="K581">
        <v>0.12291666666666656</v>
      </c>
      <c r="L581">
        <v>8.3333333333333259E-2</v>
      </c>
      <c r="M581" t="s">
        <v>1010</v>
      </c>
    </row>
    <row r="582" spans="1:13" x14ac:dyDescent="0.25">
      <c r="A582" t="s">
        <v>1020</v>
      </c>
      <c r="B582" t="s">
        <v>1006</v>
      </c>
      <c r="C582" s="2">
        <v>45769.578115682867</v>
      </c>
      <c r="D582" s="2">
        <v>45747.434178240743</v>
      </c>
      <c r="E582" s="2">
        <v>45746.492342094905</v>
      </c>
      <c r="F582" t="s">
        <v>1007</v>
      </c>
      <c r="G582" t="s">
        <v>161</v>
      </c>
      <c r="H582" t="s">
        <v>168</v>
      </c>
      <c r="I582">
        <v>9</v>
      </c>
      <c r="J582">
        <v>45693</v>
      </c>
      <c r="K582">
        <v>0.12291666666666656</v>
      </c>
      <c r="L582">
        <v>8.3333333333333259E-2</v>
      </c>
      <c r="M582" t="s">
        <v>1010</v>
      </c>
    </row>
    <row r="583" spans="1:13" x14ac:dyDescent="0.25">
      <c r="A583" t="s">
        <v>1021</v>
      </c>
      <c r="B583" t="s">
        <v>1006</v>
      </c>
      <c r="C583" s="2">
        <v>45769.578116168981</v>
      </c>
      <c r="D583" s="2">
        <v>45748.008692129632</v>
      </c>
      <c r="E583" s="2">
        <v>45760.803375069445</v>
      </c>
      <c r="F583" t="s">
        <v>1007</v>
      </c>
      <c r="G583" t="s">
        <v>161</v>
      </c>
      <c r="H583" t="s">
        <v>168</v>
      </c>
      <c r="I583">
        <v>9</v>
      </c>
      <c r="J583">
        <v>45693</v>
      </c>
      <c r="K583">
        <v>0.12291666666666656</v>
      </c>
      <c r="L583">
        <v>8.3333333333333259E-2</v>
      </c>
      <c r="M583" t="s">
        <v>1010</v>
      </c>
    </row>
    <row r="584" spans="1:13" x14ac:dyDescent="0.25">
      <c r="A584" t="s">
        <v>1024</v>
      </c>
      <c r="B584" t="s">
        <v>1006</v>
      </c>
      <c r="C584" s="2">
        <v>45769.578117557867</v>
      </c>
      <c r="D584" s="2">
        <v>45755.522465879629</v>
      </c>
      <c r="E584" s="2">
        <v>45755.517505011572</v>
      </c>
      <c r="F584" t="s">
        <v>1007</v>
      </c>
      <c r="G584" t="s">
        <v>161</v>
      </c>
      <c r="H584" t="s">
        <v>168</v>
      </c>
      <c r="I584">
        <v>9</v>
      </c>
      <c r="J584">
        <v>45693</v>
      </c>
      <c r="K584">
        <v>0.12291666666666656</v>
      </c>
      <c r="L584">
        <v>8.3333333333333259E-2</v>
      </c>
      <c r="M584" t="s">
        <v>1010</v>
      </c>
    </row>
    <row r="585" spans="1:13" x14ac:dyDescent="0.25">
      <c r="A585" t="s">
        <v>1025</v>
      </c>
      <c r="B585" t="s">
        <v>1006</v>
      </c>
      <c r="C585" s="2">
        <v>45769.578118020836</v>
      </c>
      <c r="D585" s="2">
        <v>45756.741511504631</v>
      </c>
      <c r="E585" s="2">
        <v>45756.741511087967</v>
      </c>
      <c r="F585" t="s">
        <v>1007</v>
      </c>
      <c r="G585" t="s">
        <v>161</v>
      </c>
      <c r="H585" t="s">
        <v>168</v>
      </c>
      <c r="I585">
        <v>9</v>
      </c>
      <c r="J585">
        <v>45693</v>
      </c>
      <c r="K585">
        <v>0.12291666666666656</v>
      </c>
      <c r="L585">
        <v>8.3333333333333259E-2</v>
      </c>
      <c r="M585" t="s">
        <v>1010</v>
      </c>
    </row>
    <row r="586" spans="1:13" x14ac:dyDescent="0.25">
      <c r="A586" t="s">
        <v>1026</v>
      </c>
      <c r="B586" t="s">
        <v>1006</v>
      </c>
      <c r="C586" s="2">
        <v>45769.578118518519</v>
      </c>
      <c r="D586" s="2">
        <v>45758.796925532406</v>
      </c>
      <c r="E586" s="2">
        <v>45758.796925092596</v>
      </c>
      <c r="F586" t="s">
        <v>1007</v>
      </c>
      <c r="G586" t="s">
        <v>161</v>
      </c>
      <c r="H586" t="s">
        <v>168</v>
      </c>
      <c r="I586">
        <v>9</v>
      </c>
      <c r="J586">
        <v>45693</v>
      </c>
      <c r="K586">
        <v>0.12291666666666656</v>
      </c>
      <c r="L586">
        <v>8.3333333333333259E-2</v>
      </c>
      <c r="M586" t="s">
        <v>1010</v>
      </c>
    </row>
    <row r="587" spans="1:13" x14ac:dyDescent="0.25">
      <c r="A587" t="s">
        <v>1027</v>
      </c>
      <c r="B587" t="s">
        <v>1006</v>
      </c>
      <c r="C587" s="2">
        <v>45769.578119039354</v>
      </c>
      <c r="D587" s="2">
        <v>45762.136261574073</v>
      </c>
      <c r="E587" s="2">
        <v>45761.611620300922</v>
      </c>
      <c r="F587" t="s">
        <v>1007</v>
      </c>
      <c r="G587" t="s">
        <v>161</v>
      </c>
      <c r="H587" t="s">
        <v>168</v>
      </c>
      <c r="I587">
        <v>9</v>
      </c>
      <c r="J587">
        <v>45693</v>
      </c>
      <c r="K587">
        <v>0.12291666666666656</v>
      </c>
      <c r="L587">
        <v>8.3333333333333259E-2</v>
      </c>
      <c r="M587" t="s">
        <v>1010</v>
      </c>
    </row>
    <row r="588" spans="1:13" x14ac:dyDescent="0.25">
      <c r="A588" t="s">
        <v>1005</v>
      </c>
      <c r="B588" t="s">
        <v>1006</v>
      </c>
      <c r="C588" s="2">
        <v>45769.578089016206</v>
      </c>
      <c r="D588" s="2">
        <v>45769.034166666665</v>
      </c>
      <c r="E588" s="2">
        <v>45760.803204236108</v>
      </c>
      <c r="F588" t="s">
        <v>1007</v>
      </c>
      <c r="G588" t="s">
        <v>292</v>
      </c>
      <c r="H588" t="s">
        <v>296</v>
      </c>
      <c r="I588">
        <v>9</v>
      </c>
      <c r="J588">
        <v>45695</v>
      </c>
      <c r="K588">
        <v>0.27430555555555558</v>
      </c>
      <c r="L588">
        <v>0.25</v>
      </c>
      <c r="M588" t="s">
        <v>1010</v>
      </c>
    </row>
    <row r="589" spans="1:13" x14ac:dyDescent="0.25">
      <c r="A589" t="s">
        <v>1011</v>
      </c>
      <c r="B589" t="s">
        <v>1006</v>
      </c>
      <c r="C589" s="2">
        <v>45769.578111863426</v>
      </c>
      <c r="D589" s="2">
        <v>45769.037777777776</v>
      </c>
      <c r="E589" s="2">
        <v>45712.703342291665</v>
      </c>
      <c r="F589" t="s">
        <v>1007</v>
      </c>
      <c r="G589" t="s">
        <v>292</v>
      </c>
      <c r="H589" t="s">
        <v>296</v>
      </c>
      <c r="I589">
        <v>9</v>
      </c>
      <c r="J589">
        <v>45695</v>
      </c>
      <c r="K589">
        <v>0.27430555555555558</v>
      </c>
      <c r="L589">
        <v>0.25</v>
      </c>
      <c r="M589" t="s">
        <v>1010</v>
      </c>
    </row>
    <row r="590" spans="1:13" x14ac:dyDescent="0.25">
      <c r="A590" t="s">
        <v>1012</v>
      </c>
      <c r="B590" t="s">
        <v>1006</v>
      </c>
      <c r="C590" s="2">
        <v>45769.578112280091</v>
      </c>
      <c r="D590" s="2">
        <v>45769.035879629628</v>
      </c>
      <c r="E590" s="2">
        <v>45713.368867349534</v>
      </c>
      <c r="F590" t="s">
        <v>1007</v>
      </c>
      <c r="G590" t="s">
        <v>292</v>
      </c>
      <c r="H590" t="s">
        <v>296</v>
      </c>
      <c r="I590">
        <v>9</v>
      </c>
      <c r="J590">
        <v>45695</v>
      </c>
      <c r="K590">
        <v>0.27430555555555558</v>
      </c>
      <c r="L590">
        <v>0.25</v>
      </c>
      <c r="M590" t="s">
        <v>1010</v>
      </c>
    </row>
    <row r="591" spans="1:13" x14ac:dyDescent="0.25">
      <c r="A591" t="s">
        <v>1013</v>
      </c>
      <c r="B591" t="s">
        <v>1006</v>
      </c>
      <c r="C591" s="2">
        <v>45769.578112673611</v>
      </c>
      <c r="D591" s="2">
        <v>45769.037800925929</v>
      </c>
      <c r="E591" s="2">
        <v>45718.720149895831</v>
      </c>
      <c r="F591" t="s">
        <v>1007</v>
      </c>
      <c r="G591" t="s">
        <v>292</v>
      </c>
      <c r="H591" t="s">
        <v>296</v>
      </c>
      <c r="I591">
        <v>9</v>
      </c>
      <c r="J591">
        <v>45695</v>
      </c>
      <c r="K591">
        <v>0.27430555555555558</v>
      </c>
      <c r="L591">
        <v>0.25</v>
      </c>
      <c r="M591" t="s">
        <v>1010</v>
      </c>
    </row>
    <row r="592" spans="1:13" x14ac:dyDescent="0.25">
      <c r="A592" t="s">
        <v>1014</v>
      </c>
      <c r="B592" t="s">
        <v>1006</v>
      </c>
      <c r="C592" s="2">
        <v>45769.578113090276</v>
      </c>
      <c r="D592" s="2">
        <v>45769.037800925929</v>
      </c>
      <c r="E592" s="2">
        <v>45719.845094884258</v>
      </c>
      <c r="F592" t="s">
        <v>1007</v>
      </c>
      <c r="G592" t="s">
        <v>292</v>
      </c>
      <c r="H592" t="s">
        <v>296</v>
      </c>
      <c r="I592">
        <v>9</v>
      </c>
      <c r="J592">
        <v>45695</v>
      </c>
      <c r="K592">
        <v>0.27430555555555558</v>
      </c>
      <c r="L592">
        <v>0.25</v>
      </c>
      <c r="M592" t="s">
        <v>1010</v>
      </c>
    </row>
    <row r="593" spans="1:13" x14ac:dyDescent="0.25">
      <c r="A593" t="s">
        <v>1015</v>
      </c>
      <c r="B593" t="s">
        <v>1006</v>
      </c>
      <c r="C593" s="2">
        <v>45769.578113564814</v>
      </c>
      <c r="D593" s="2">
        <v>45726.85528935185</v>
      </c>
      <c r="E593" s="2">
        <v>45726.856810578705</v>
      </c>
      <c r="F593" t="s">
        <v>1007</v>
      </c>
      <c r="G593" t="s">
        <v>292</v>
      </c>
      <c r="H593" t="s">
        <v>296</v>
      </c>
      <c r="I593">
        <v>9</v>
      </c>
      <c r="J593">
        <v>45695</v>
      </c>
      <c r="K593">
        <v>0.27430555555555558</v>
      </c>
      <c r="L593">
        <v>0.25</v>
      </c>
      <c r="M593" t="s">
        <v>1010</v>
      </c>
    </row>
    <row r="594" spans="1:13" x14ac:dyDescent="0.25">
      <c r="A594" t="s">
        <v>1016</v>
      </c>
      <c r="B594" t="s">
        <v>1006</v>
      </c>
      <c r="C594" s="2">
        <v>45769.578113993055</v>
      </c>
      <c r="D594" s="2">
        <v>45727.548941782406</v>
      </c>
      <c r="E594" s="2">
        <v>45727.544082731481</v>
      </c>
      <c r="F594" t="s">
        <v>1007</v>
      </c>
      <c r="G594" t="s">
        <v>292</v>
      </c>
      <c r="H594" t="s">
        <v>296</v>
      </c>
      <c r="I594">
        <v>9</v>
      </c>
      <c r="J594">
        <v>45695</v>
      </c>
      <c r="K594">
        <v>0.27430555555555558</v>
      </c>
      <c r="L594">
        <v>0.25</v>
      </c>
      <c r="M594" t="s">
        <v>1010</v>
      </c>
    </row>
    <row r="595" spans="1:13" x14ac:dyDescent="0.25">
      <c r="A595" t="s">
        <v>1017</v>
      </c>
      <c r="B595" t="s">
        <v>1006</v>
      </c>
      <c r="C595" s="2">
        <v>45769.578114386575</v>
      </c>
      <c r="D595" s="2">
        <v>45730.674748101854</v>
      </c>
      <c r="E595" s="2">
        <v>45730.674747743054</v>
      </c>
      <c r="F595" t="s">
        <v>1007</v>
      </c>
      <c r="G595" t="s">
        <v>292</v>
      </c>
      <c r="H595" t="s">
        <v>296</v>
      </c>
      <c r="I595">
        <v>9</v>
      </c>
      <c r="J595">
        <v>45695</v>
      </c>
      <c r="K595">
        <v>0.27430555555555558</v>
      </c>
      <c r="L595">
        <v>0.25</v>
      </c>
      <c r="M595" t="s">
        <v>1010</v>
      </c>
    </row>
    <row r="596" spans="1:13" x14ac:dyDescent="0.25">
      <c r="A596" t="s">
        <v>1019</v>
      </c>
      <c r="B596" t="s">
        <v>1006</v>
      </c>
      <c r="C596" s="2">
        <v>45769.578115219905</v>
      </c>
      <c r="D596" s="2">
        <v>45740.441161863426</v>
      </c>
      <c r="E596" s="2">
        <v>45740.441161643517</v>
      </c>
      <c r="F596" t="s">
        <v>1007</v>
      </c>
      <c r="G596" t="s">
        <v>292</v>
      </c>
      <c r="H596" t="s">
        <v>296</v>
      </c>
      <c r="I596">
        <v>9</v>
      </c>
      <c r="J596">
        <v>45695</v>
      </c>
      <c r="K596">
        <v>0.27430555555555558</v>
      </c>
      <c r="L596">
        <v>0.25</v>
      </c>
      <c r="M596" t="s">
        <v>1010</v>
      </c>
    </row>
    <row r="597" spans="1:13" x14ac:dyDescent="0.25">
      <c r="A597" t="s">
        <v>1020</v>
      </c>
      <c r="B597" t="s">
        <v>1006</v>
      </c>
      <c r="C597" s="2">
        <v>45769.578115682867</v>
      </c>
      <c r="D597" s="2">
        <v>45747.434178240743</v>
      </c>
      <c r="E597" s="2">
        <v>45746.492342094905</v>
      </c>
      <c r="F597" t="s">
        <v>1007</v>
      </c>
      <c r="G597" t="s">
        <v>292</v>
      </c>
      <c r="H597" t="s">
        <v>296</v>
      </c>
      <c r="I597">
        <v>9</v>
      </c>
      <c r="J597">
        <v>45695</v>
      </c>
      <c r="K597">
        <v>0.27430555555555558</v>
      </c>
      <c r="L597">
        <v>0.25</v>
      </c>
      <c r="M597" t="s">
        <v>1010</v>
      </c>
    </row>
    <row r="598" spans="1:13" x14ac:dyDescent="0.25">
      <c r="A598" t="s">
        <v>1021</v>
      </c>
      <c r="B598" t="s">
        <v>1006</v>
      </c>
      <c r="C598" s="2">
        <v>45769.578116168981</v>
      </c>
      <c r="D598" s="2">
        <v>45748.008692129632</v>
      </c>
      <c r="E598" s="2">
        <v>45760.803375069445</v>
      </c>
      <c r="F598" t="s">
        <v>1007</v>
      </c>
      <c r="G598" t="s">
        <v>292</v>
      </c>
      <c r="H598" t="s">
        <v>296</v>
      </c>
      <c r="I598">
        <v>9</v>
      </c>
      <c r="J598">
        <v>45695</v>
      </c>
      <c r="K598">
        <v>0.27430555555555558</v>
      </c>
      <c r="L598">
        <v>0.25</v>
      </c>
      <c r="M598" t="s">
        <v>1010</v>
      </c>
    </row>
    <row r="599" spans="1:13" x14ac:dyDescent="0.25">
      <c r="A599" t="s">
        <v>1024</v>
      </c>
      <c r="B599" t="s">
        <v>1006</v>
      </c>
      <c r="C599" s="2">
        <v>45769.578117557867</v>
      </c>
      <c r="D599" s="2">
        <v>45755.522465879629</v>
      </c>
      <c r="E599" s="2">
        <v>45755.517505011572</v>
      </c>
      <c r="F599" t="s">
        <v>1007</v>
      </c>
      <c r="G599" t="s">
        <v>292</v>
      </c>
      <c r="H599" t="s">
        <v>296</v>
      </c>
      <c r="I599">
        <v>9</v>
      </c>
      <c r="J599">
        <v>45695</v>
      </c>
      <c r="K599">
        <v>0.27430555555555558</v>
      </c>
      <c r="L599">
        <v>0.25</v>
      </c>
      <c r="M599" t="s">
        <v>1010</v>
      </c>
    </row>
    <row r="600" spans="1:13" x14ac:dyDescent="0.25">
      <c r="A600" t="s">
        <v>1025</v>
      </c>
      <c r="B600" t="s">
        <v>1006</v>
      </c>
      <c r="C600" s="2">
        <v>45769.578118020836</v>
      </c>
      <c r="D600" s="2">
        <v>45756.741511504631</v>
      </c>
      <c r="E600" s="2">
        <v>45756.741511087967</v>
      </c>
      <c r="F600" t="s">
        <v>1007</v>
      </c>
      <c r="G600" t="s">
        <v>292</v>
      </c>
      <c r="H600" t="s">
        <v>296</v>
      </c>
      <c r="I600">
        <v>9</v>
      </c>
      <c r="J600">
        <v>45695</v>
      </c>
      <c r="K600">
        <v>0.27430555555555558</v>
      </c>
      <c r="L600">
        <v>0.25</v>
      </c>
      <c r="M600" t="s">
        <v>1010</v>
      </c>
    </row>
    <row r="601" spans="1:13" x14ac:dyDescent="0.25">
      <c r="A601" t="s">
        <v>1026</v>
      </c>
      <c r="B601" t="s">
        <v>1006</v>
      </c>
      <c r="C601" s="2">
        <v>45769.578118518519</v>
      </c>
      <c r="D601" s="2">
        <v>45758.796925532406</v>
      </c>
      <c r="E601" s="2">
        <v>45758.796925092596</v>
      </c>
      <c r="F601" t="s">
        <v>1007</v>
      </c>
      <c r="G601" t="s">
        <v>292</v>
      </c>
      <c r="H601" t="s">
        <v>296</v>
      </c>
      <c r="I601">
        <v>9</v>
      </c>
      <c r="J601">
        <v>45695</v>
      </c>
      <c r="K601">
        <v>0.27430555555555558</v>
      </c>
      <c r="L601">
        <v>0.25</v>
      </c>
      <c r="M601" t="s">
        <v>1010</v>
      </c>
    </row>
    <row r="602" spans="1:13" x14ac:dyDescent="0.25">
      <c r="A602" t="s">
        <v>1027</v>
      </c>
      <c r="B602" t="s">
        <v>1006</v>
      </c>
      <c r="C602" s="2">
        <v>45769.578119039354</v>
      </c>
      <c r="D602" s="2">
        <v>45762.136261574073</v>
      </c>
      <c r="E602" s="2">
        <v>45761.611620300922</v>
      </c>
      <c r="F602" t="s">
        <v>1007</v>
      </c>
      <c r="G602" t="s">
        <v>292</v>
      </c>
      <c r="H602" t="s">
        <v>296</v>
      </c>
      <c r="I602">
        <v>9</v>
      </c>
      <c r="J602">
        <v>45695</v>
      </c>
      <c r="K602">
        <v>0.27430555555555558</v>
      </c>
      <c r="L602">
        <v>0.25</v>
      </c>
      <c r="M602" t="s">
        <v>1010</v>
      </c>
    </row>
    <row r="603" spans="1:13" x14ac:dyDescent="0.25">
      <c r="A603" t="s">
        <v>1005</v>
      </c>
      <c r="B603" t="s">
        <v>1006</v>
      </c>
      <c r="C603" s="2">
        <v>45769.578089016206</v>
      </c>
      <c r="D603" s="2">
        <v>45769.034166666665</v>
      </c>
      <c r="E603" s="2">
        <v>45760.803204236108</v>
      </c>
      <c r="F603" t="s">
        <v>1007</v>
      </c>
      <c r="G603" t="s">
        <v>437</v>
      </c>
      <c r="H603" t="s">
        <v>443</v>
      </c>
      <c r="I603">
        <v>9</v>
      </c>
      <c r="J603">
        <v>45701</v>
      </c>
      <c r="K603">
        <v>8.3333333333333259E-2</v>
      </c>
      <c r="L603">
        <v>8.3333333333333259E-2</v>
      </c>
      <c r="M603" t="s">
        <v>1010</v>
      </c>
    </row>
    <row r="604" spans="1:13" x14ac:dyDescent="0.25">
      <c r="A604" t="s">
        <v>1005</v>
      </c>
      <c r="B604" t="s">
        <v>1006</v>
      </c>
      <c r="C604" s="2">
        <v>45769.578089016206</v>
      </c>
      <c r="D604" s="2">
        <v>45769.034166666665</v>
      </c>
      <c r="E604" s="2">
        <v>45760.803204236108</v>
      </c>
      <c r="F604" t="s">
        <v>1007</v>
      </c>
      <c r="G604" t="s">
        <v>110</v>
      </c>
      <c r="H604" t="s">
        <v>113</v>
      </c>
      <c r="I604">
        <v>9</v>
      </c>
      <c r="J604">
        <v>45701</v>
      </c>
      <c r="K604">
        <v>0.66666666666666674</v>
      </c>
      <c r="L604">
        <v>0.66666666666666674</v>
      </c>
      <c r="M604" t="s">
        <v>1009</v>
      </c>
    </row>
    <row r="605" spans="1:13" x14ac:dyDescent="0.25">
      <c r="A605" t="s">
        <v>1011</v>
      </c>
      <c r="B605" t="s">
        <v>1006</v>
      </c>
      <c r="C605" s="2">
        <v>45769.578111863426</v>
      </c>
      <c r="D605" s="2">
        <v>45769.037777777776</v>
      </c>
      <c r="E605" s="2">
        <v>45712.703342291665</v>
      </c>
      <c r="F605" t="s">
        <v>1007</v>
      </c>
      <c r="G605" t="s">
        <v>437</v>
      </c>
      <c r="H605" t="s">
        <v>443</v>
      </c>
      <c r="I605">
        <v>9</v>
      </c>
      <c r="J605">
        <v>45701</v>
      </c>
      <c r="K605">
        <v>8.3333333333333259E-2</v>
      </c>
      <c r="L605">
        <v>8.3333333333333259E-2</v>
      </c>
      <c r="M605" t="s">
        <v>1010</v>
      </c>
    </row>
    <row r="606" spans="1:13" x14ac:dyDescent="0.25">
      <c r="A606" t="s">
        <v>1011</v>
      </c>
      <c r="B606" t="s">
        <v>1006</v>
      </c>
      <c r="C606" s="2">
        <v>45769.578111863426</v>
      </c>
      <c r="D606" s="2">
        <v>45769.037777777776</v>
      </c>
      <c r="E606" s="2">
        <v>45712.703342291665</v>
      </c>
      <c r="F606" t="s">
        <v>1007</v>
      </c>
      <c r="G606" t="s">
        <v>110</v>
      </c>
      <c r="H606" t="s">
        <v>113</v>
      </c>
      <c r="I606">
        <v>9</v>
      </c>
      <c r="J606">
        <v>45701</v>
      </c>
      <c r="K606">
        <v>0.66666666666666674</v>
      </c>
      <c r="L606">
        <v>0.66666666666666674</v>
      </c>
      <c r="M606" t="s">
        <v>1009</v>
      </c>
    </row>
    <row r="607" spans="1:13" x14ac:dyDescent="0.25">
      <c r="A607" t="s">
        <v>1012</v>
      </c>
      <c r="B607" t="s">
        <v>1006</v>
      </c>
      <c r="C607" s="2">
        <v>45769.578112280091</v>
      </c>
      <c r="D607" s="2">
        <v>45769.035879629628</v>
      </c>
      <c r="E607" s="2">
        <v>45713.368867349534</v>
      </c>
      <c r="F607" t="s">
        <v>1007</v>
      </c>
      <c r="G607" t="s">
        <v>437</v>
      </c>
      <c r="H607" t="s">
        <v>443</v>
      </c>
      <c r="I607">
        <v>9</v>
      </c>
      <c r="J607">
        <v>45701</v>
      </c>
      <c r="K607">
        <v>8.3333333333333259E-2</v>
      </c>
      <c r="L607">
        <v>8.3333333333333259E-2</v>
      </c>
      <c r="M607" t="s">
        <v>1010</v>
      </c>
    </row>
    <row r="608" spans="1:13" x14ac:dyDescent="0.25">
      <c r="A608" t="s">
        <v>1012</v>
      </c>
      <c r="B608" t="s">
        <v>1006</v>
      </c>
      <c r="C608" s="2">
        <v>45769.578112280091</v>
      </c>
      <c r="D608" s="2">
        <v>45769.035879629628</v>
      </c>
      <c r="E608" s="2">
        <v>45713.368867349534</v>
      </c>
      <c r="F608" t="s">
        <v>1007</v>
      </c>
      <c r="G608" t="s">
        <v>110</v>
      </c>
      <c r="H608" t="s">
        <v>113</v>
      </c>
      <c r="I608">
        <v>9</v>
      </c>
      <c r="J608">
        <v>45701</v>
      </c>
      <c r="K608">
        <v>0.66666666666666674</v>
      </c>
      <c r="L608">
        <v>0.66666666666666674</v>
      </c>
      <c r="M608" t="s">
        <v>1009</v>
      </c>
    </row>
    <row r="609" spans="1:13" x14ac:dyDescent="0.25">
      <c r="A609" t="s">
        <v>1013</v>
      </c>
      <c r="B609" t="s">
        <v>1006</v>
      </c>
      <c r="C609" s="2">
        <v>45769.578112673611</v>
      </c>
      <c r="D609" s="2">
        <v>45769.037800925929</v>
      </c>
      <c r="E609" s="2">
        <v>45718.720149895831</v>
      </c>
      <c r="F609" t="s">
        <v>1007</v>
      </c>
      <c r="G609" t="s">
        <v>437</v>
      </c>
      <c r="H609" t="s">
        <v>443</v>
      </c>
      <c r="I609">
        <v>9</v>
      </c>
      <c r="J609">
        <v>45701</v>
      </c>
      <c r="K609">
        <v>8.3333333333333259E-2</v>
      </c>
      <c r="L609">
        <v>8.3333333333333259E-2</v>
      </c>
      <c r="M609" t="s">
        <v>1010</v>
      </c>
    </row>
    <row r="610" spans="1:13" x14ac:dyDescent="0.25">
      <c r="A610" t="s">
        <v>1013</v>
      </c>
      <c r="B610" t="s">
        <v>1006</v>
      </c>
      <c r="C610" s="2">
        <v>45769.578112673611</v>
      </c>
      <c r="D610" s="2">
        <v>45769.037800925929</v>
      </c>
      <c r="E610" s="2">
        <v>45718.720149895831</v>
      </c>
      <c r="F610" t="s">
        <v>1007</v>
      </c>
      <c r="G610" t="s">
        <v>110</v>
      </c>
      <c r="H610" t="s">
        <v>113</v>
      </c>
      <c r="I610">
        <v>9</v>
      </c>
      <c r="J610">
        <v>45701</v>
      </c>
      <c r="K610">
        <v>0.66666666666666674</v>
      </c>
      <c r="L610">
        <v>0.66666666666666674</v>
      </c>
      <c r="M610" t="s">
        <v>1009</v>
      </c>
    </row>
    <row r="611" spans="1:13" x14ac:dyDescent="0.25">
      <c r="A611" t="s">
        <v>1014</v>
      </c>
      <c r="B611" t="s">
        <v>1006</v>
      </c>
      <c r="C611" s="2">
        <v>45769.578113090276</v>
      </c>
      <c r="D611" s="2">
        <v>45769.037800925929</v>
      </c>
      <c r="E611" s="2">
        <v>45719.845094884258</v>
      </c>
      <c r="F611" t="s">
        <v>1007</v>
      </c>
      <c r="G611" t="s">
        <v>437</v>
      </c>
      <c r="H611" t="s">
        <v>443</v>
      </c>
      <c r="I611">
        <v>9</v>
      </c>
      <c r="J611">
        <v>45701</v>
      </c>
      <c r="K611">
        <v>8.3333333333333259E-2</v>
      </c>
      <c r="L611">
        <v>8.3333333333333259E-2</v>
      </c>
      <c r="M611" t="s">
        <v>1010</v>
      </c>
    </row>
    <row r="612" spans="1:13" x14ac:dyDescent="0.25">
      <c r="A612" t="s">
        <v>1014</v>
      </c>
      <c r="B612" t="s">
        <v>1006</v>
      </c>
      <c r="C612" s="2">
        <v>45769.578113090276</v>
      </c>
      <c r="D612" s="2">
        <v>45769.037800925929</v>
      </c>
      <c r="E612" s="2">
        <v>45719.845094884258</v>
      </c>
      <c r="F612" t="s">
        <v>1007</v>
      </c>
      <c r="G612" t="s">
        <v>110</v>
      </c>
      <c r="H612" t="s">
        <v>113</v>
      </c>
      <c r="I612">
        <v>9</v>
      </c>
      <c r="J612">
        <v>45701</v>
      </c>
      <c r="K612">
        <v>0.66666666666666674</v>
      </c>
      <c r="L612">
        <v>0.66666666666666674</v>
      </c>
      <c r="M612" t="s">
        <v>1009</v>
      </c>
    </row>
    <row r="613" spans="1:13" x14ac:dyDescent="0.25">
      <c r="A613" t="s">
        <v>1015</v>
      </c>
      <c r="B613" t="s">
        <v>1006</v>
      </c>
      <c r="C613" s="2">
        <v>45769.578113564814</v>
      </c>
      <c r="D613" s="2">
        <v>45726.85528935185</v>
      </c>
      <c r="E613" s="2">
        <v>45726.856810578705</v>
      </c>
      <c r="F613" t="s">
        <v>1007</v>
      </c>
      <c r="G613" t="s">
        <v>437</v>
      </c>
      <c r="H613" t="s">
        <v>443</v>
      </c>
      <c r="I613">
        <v>9</v>
      </c>
      <c r="J613">
        <v>45701</v>
      </c>
      <c r="K613">
        <v>8.3333333333333259E-2</v>
      </c>
      <c r="L613">
        <v>8.3333333333333259E-2</v>
      </c>
      <c r="M613" t="s">
        <v>1010</v>
      </c>
    </row>
    <row r="614" spans="1:13" x14ac:dyDescent="0.25">
      <c r="A614" t="s">
        <v>1015</v>
      </c>
      <c r="B614" t="s">
        <v>1006</v>
      </c>
      <c r="C614" s="2">
        <v>45769.578113564814</v>
      </c>
      <c r="D614" s="2">
        <v>45726.85528935185</v>
      </c>
      <c r="E614" s="2">
        <v>45726.856810578705</v>
      </c>
      <c r="F614" t="s">
        <v>1007</v>
      </c>
      <c r="G614" t="s">
        <v>110</v>
      </c>
      <c r="H614" t="s">
        <v>113</v>
      </c>
      <c r="I614">
        <v>9</v>
      </c>
      <c r="J614">
        <v>45701</v>
      </c>
      <c r="K614">
        <v>0.66666666666666674</v>
      </c>
      <c r="L614">
        <v>0.66666666666666674</v>
      </c>
      <c r="M614" t="s">
        <v>1009</v>
      </c>
    </row>
    <row r="615" spans="1:13" x14ac:dyDescent="0.25">
      <c r="A615" t="s">
        <v>1016</v>
      </c>
      <c r="B615" t="s">
        <v>1006</v>
      </c>
      <c r="C615" s="2">
        <v>45769.578113993055</v>
      </c>
      <c r="D615" s="2">
        <v>45727.548941782406</v>
      </c>
      <c r="E615" s="2">
        <v>45727.544082731481</v>
      </c>
      <c r="F615" t="s">
        <v>1007</v>
      </c>
      <c r="G615" t="s">
        <v>437</v>
      </c>
      <c r="H615" t="s">
        <v>443</v>
      </c>
      <c r="I615">
        <v>9</v>
      </c>
      <c r="J615">
        <v>45701</v>
      </c>
      <c r="K615">
        <v>8.3333333333333259E-2</v>
      </c>
      <c r="L615">
        <v>8.3333333333333259E-2</v>
      </c>
      <c r="M615" t="s">
        <v>1010</v>
      </c>
    </row>
    <row r="616" spans="1:13" x14ac:dyDescent="0.25">
      <c r="A616" t="s">
        <v>1016</v>
      </c>
      <c r="B616" t="s">
        <v>1006</v>
      </c>
      <c r="C616" s="2">
        <v>45769.578113993055</v>
      </c>
      <c r="D616" s="2">
        <v>45727.548941782406</v>
      </c>
      <c r="E616" s="2">
        <v>45727.544082731481</v>
      </c>
      <c r="F616" t="s">
        <v>1007</v>
      </c>
      <c r="G616" t="s">
        <v>110</v>
      </c>
      <c r="H616" t="s">
        <v>113</v>
      </c>
      <c r="I616">
        <v>9</v>
      </c>
      <c r="J616">
        <v>45701</v>
      </c>
      <c r="K616">
        <v>0.66666666666666674</v>
      </c>
      <c r="L616">
        <v>0.66666666666666674</v>
      </c>
      <c r="M616" t="s">
        <v>1009</v>
      </c>
    </row>
    <row r="617" spans="1:13" x14ac:dyDescent="0.25">
      <c r="A617" t="s">
        <v>1017</v>
      </c>
      <c r="B617" t="s">
        <v>1006</v>
      </c>
      <c r="C617" s="2">
        <v>45769.578114386575</v>
      </c>
      <c r="D617" s="2">
        <v>45730.674748101854</v>
      </c>
      <c r="E617" s="2">
        <v>45730.674747743054</v>
      </c>
      <c r="F617" t="s">
        <v>1007</v>
      </c>
      <c r="G617" t="s">
        <v>437</v>
      </c>
      <c r="H617" t="s">
        <v>443</v>
      </c>
      <c r="I617">
        <v>9</v>
      </c>
      <c r="J617">
        <v>45701</v>
      </c>
      <c r="K617">
        <v>8.3333333333333259E-2</v>
      </c>
      <c r="L617">
        <v>8.3333333333333259E-2</v>
      </c>
      <c r="M617" t="s">
        <v>1010</v>
      </c>
    </row>
    <row r="618" spans="1:13" x14ac:dyDescent="0.25">
      <c r="A618" t="s">
        <v>1017</v>
      </c>
      <c r="B618" t="s">
        <v>1006</v>
      </c>
      <c r="C618" s="2">
        <v>45769.578114386575</v>
      </c>
      <c r="D618" s="2">
        <v>45730.674748101854</v>
      </c>
      <c r="E618" s="2">
        <v>45730.674747743054</v>
      </c>
      <c r="F618" t="s">
        <v>1007</v>
      </c>
      <c r="G618" t="s">
        <v>110</v>
      </c>
      <c r="H618" t="s">
        <v>113</v>
      </c>
      <c r="I618">
        <v>9</v>
      </c>
      <c r="J618">
        <v>45701</v>
      </c>
      <c r="K618">
        <v>0.66666666666666674</v>
      </c>
      <c r="L618">
        <v>0.66666666666666674</v>
      </c>
      <c r="M618" t="s">
        <v>1009</v>
      </c>
    </row>
    <row r="619" spans="1:13" x14ac:dyDescent="0.25">
      <c r="A619" t="s">
        <v>1019</v>
      </c>
      <c r="B619" t="s">
        <v>1006</v>
      </c>
      <c r="C619" s="2">
        <v>45769.578115219905</v>
      </c>
      <c r="D619" s="2">
        <v>45740.441161863426</v>
      </c>
      <c r="E619" s="2">
        <v>45740.441161643517</v>
      </c>
      <c r="F619" t="s">
        <v>1007</v>
      </c>
      <c r="G619" t="s">
        <v>437</v>
      </c>
      <c r="H619" t="s">
        <v>443</v>
      </c>
      <c r="I619">
        <v>9</v>
      </c>
      <c r="J619">
        <v>45701</v>
      </c>
      <c r="K619">
        <v>8.3333333333333259E-2</v>
      </c>
      <c r="L619">
        <v>8.3333333333333259E-2</v>
      </c>
      <c r="M619" t="s">
        <v>1010</v>
      </c>
    </row>
    <row r="620" spans="1:13" x14ac:dyDescent="0.25">
      <c r="A620" t="s">
        <v>1019</v>
      </c>
      <c r="B620" t="s">
        <v>1006</v>
      </c>
      <c r="C620" s="2">
        <v>45769.578115219905</v>
      </c>
      <c r="D620" s="2">
        <v>45740.441161863426</v>
      </c>
      <c r="E620" s="2">
        <v>45740.441161643517</v>
      </c>
      <c r="F620" t="s">
        <v>1007</v>
      </c>
      <c r="G620" t="s">
        <v>110</v>
      </c>
      <c r="H620" t="s">
        <v>113</v>
      </c>
      <c r="I620">
        <v>9</v>
      </c>
      <c r="J620">
        <v>45701</v>
      </c>
      <c r="K620">
        <v>0.66666666666666674</v>
      </c>
      <c r="L620">
        <v>0.66666666666666674</v>
      </c>
      <c r="M620" t="s">
        <v>1009</v>
      </c>
    </row>
    <row r="621" spans="1:13" x14ac:dyDescent="0.25">
      <c r="A621" t="s">
        <v>1020</v>
      </c>
      <c r="B621" t="s">
        <v>1006</v>
      </c>
      <c r="C621" s="2">
        <v>45769.578115682867</v>
      </c>
      <c r="D621" s="2">
        <v>45747.434178240743</v>
      </c>
      <c r="E621" s="2">
        <v>45746.492342094905</v>
      </c>
      <c r="F621" t="s">
        <v>1007</v>
      </c>
      <c r="G621" t="s">
        <v>437</v>
      </c>
      <c r="H621" t="s">
        <v>443</v>
      </c>
      <c r="I621">
        <v>9</v>
      </c>
      <c r="J621">
        <v>45701</v>
      </c>
      <c r="K621">
        <v>8.3333333333333259E-2</v>
      </c>
      <c r="L621">
        <v>8.3333333333333259E-2</v>
      </c>
      <c r="M621" t="s">
        <v>1010</v>
      </c>
    </row>
    <row r="622" spans="1:13" x14ac:dyDescent="0.25">
      <c r="A622" t="s">
        <v>1020</v>
      </c>
      <c r="B622" t="s">
        <v>1006</v>
      </c>
      <c r="C622" s="2">
        <v>45769.578115682867</v>
      </c>
      <c r="D622" s="2">
        <v>45747.434178240743</v>
      </c>
      <c r="E622" s="2">
        <v>45746.492342094905</v>
      </c>
      <c r="F622" t="s">
        <v>1007</v>
      </c>
      <c r="G622" t="s">
        <v>110</v>
      </c>
      <c r="H622" t="s">
        <v>113</v>
      </c>
      <c r="I622">
        <v>9</v>
      </c>
      <c r="J622">
        <v>45701</v>
      </c>
      <c r="K622">
        <v>0.66666666666666674</v>
      </c>
      <c r="L622">
        <v>0.66666666666666674</v>
      </c>
      <c r="M622" t="s">
        <v>1009</v>
      </c>
    </row>
    <row r="623" spans="1:13" x14ac:dyDescent="0.25">
      <c r="A623" t="s">
        <v>1021</v>
      </c>
      <c r="B623" t="s">
        <v>1006</v>
      </c>
      <c r="C623" s="2">
        <v>45769.578116168981</v>
      </c>
      <c r="D623" s="2">
        <v>45748.008692129632</v>
      </c>
      <c r="E623" s="2">
        <v>45760.803375069445</v>
      </c>
      <c r="F623" t="s">
        <v>1007</v>
      </c>
      <c r="G623" t="s">
        <v>437</v>
      </c>
      <c r="H623" t="s">
        <v>443</v>
      </c>
      <c r="I623">
        <v>9</v>
      </c>
      <c r="J623">
        <v>45701</v>
      </c>
      <c r="K623">
        <v>8.3333333333333259E-2</v>
      </c>
      <c r="L623">
        <v>8.3333333333333259E-2</v>
      </c>
      <c r="M623" t="s">
        <v>1010</v>
      </c>
    </row>
    <row r="624" spans="1:13" x14ac:dyDescent="0.25">
      <c r="A624" t="s">
        <v>1021</v>
      </c>
      <c r="B624" t="s">
        <v>1006</v>
      </c>
      <c r="C624" s="2">
        <v>45769.578116168981</v>
      </c>
      <c r="D624" s="2">
        <v>45748.008692129632</v>
      </c>
      <c r="E624" s="2">
        <v>45760.803375069445</v>
      </c>
      <c r="F624" t="s">
        <v>1007</v>
      </c>
      <c r="G624" t="s">
        <v>110</v>
      </c>
      <c r="H624" t="s">
        <v>113</v>
      </c>
      <c r="I624">
        <v>9</v>
      </c>
      <c r="J624">
        <v>45701</v>
      </c>
      <c r="K624">
        <v>0.66666666666666674</v>
      </c>
      <c r="L624">
        <v>0.66666666666666674</v>
      </c>
      <c r="M624" t="s">
        <v>1009</v>
      </c>
    </row>
    <row r="625" spans="1:13" x14ac:dyDescent="0.25">
      <c r="A625" t="s">
        <v>1024</v>
      </c>
      <c r="B625" t="s">
        <v>1006</v>
      </c>
      <c r="C625" s="2">
        <v>45769.578117557867</v>
      </c>
      <c r="D625" s="2">
        <v>45755.522465879629</v>
      </c>
      <c r="E625" s="2">
        <v>45755.517505011572</v>
      </c>
      <c r="F625" t="s">
        <v>1007</v>
      </c>
      <c r="G625" t="s">
        <v>437</v>
      </c>
      <c r="H625" t="s">
        <v>443</v>
      </c>
      <c r="I625">
        <v>9</v>
      </c>
      <c r="J625">
        <v>45701</v>
      </c>
      <c r="K625">
        <v>8.3333333333333259E-2</v>
      </c>
      <c r="L625">
        <v>8.3333333333333259E-2</v>
      </c>
      <c r="M625" t="s">
        <v>1010</v>
      </c>
    </row>
    <row r="626" spans="1:13" x14ac:dyDescent="0.25">
      <c r="A626" t="s">
        <v>1024</v>
      </c>
      <c r="B626" t="s">
        <v>1006</v>
      </c>
      <c r="C626" s="2">
        <v>45769.578117557867</v>
      </c>
      <c r="D626" s="2">
        <v>45755.522465879629</v>
      </c>
      <c r="E626" s="2">
        <v>45755.517505011572</v>
      </c>
      <c r="F626" t="s">
        <v>1007</v>
      </c>
      <c r="G626" t="s">
        <v>110</v>
      </c>
      <c r="H626" t="s">
        <v>113</v>
      </c>
      <c r="I626">
        <v>9</v>
      </c>
      <c r="J626">
        <v>45701</v>
      </c>
      <c r="K626">
        <v>0.66666666666666674</v>
      </c>
      <c r="L626">
        <v>0.66666666666666674</v>
      </c>
      <c r="M626" t="s">
        <v>1009</v>
      </c>
    </row>
    <row r="627" spans="1:13" x14ac:dyDescent="0.25">
      <c r="A627" t="s">
        <v>1025</v>
      </c>
      <c r="B627" t="s">
        <v>1006</v>
      </c>
      <c r="C627" s="2">
        <v>45769.578118020836</v>
      </c>
      <c r="D627" s="2">
        <v>45756.741511504631</v>
      </c>
      <c r="E627" s="2">
        <v>45756.741511087967</v>
      </c>
      <c r="F627" t="s">
        <v>1007</v>
      </c>
      <c r="G627" t="s">
        <v>437</v>
      </c>
      <c r="H627" t="s">
        <v>443</v>
      </c>
      <c r="I627">
        <v>9</v>
      </c>
      <c r="J627">
        <v>45701</v>
      </c>
      <c r="K627">
        <v>8.3333333333333259E-2</v>
      </c>
      <c r="L627">
        <v>8.3333333333333259E-2</v>
      </c>
      <c r="M627" t="s">
        <v>1010</v>
      </c>
    </row>
    <row r="628" spans="1:13" x14ac:dyDescent="0.25">
      <c r="A628" t="s">
        <v>1025</v>
      </c>
      <c r="B628" t="s">
        <v>1006</v>
      </c>
      <c r="C628" s="2">
        <v>45769.578118020836</v>
      </c>
      <c r="D628" s="2">
        <v>45756.741511504631</v>
      </c>
      <c r="E628" s="2">
        <v>45756.741511087967</v>
      </c>
      <c r="F628" t="s">
        <v>1007</v>
      </c>
      <c r="G628" t="s">
        <v>110</v>
      </c>
      <c r="H628" t="s">
        <v>113</v>
      </c>
      <c r="I628">
        <v>9</v>
      </c>
      <c r="J628">
        <v>45701</v>
      </c>
      <c r="K628">
        <v>0.66666666666666674</v>
      </c>
      <c r="L628">
        <v>0.66666666666666674</v>
      </c>
      <c r="M628" t="s">
        <v>1009</v>
      </c>
    </row>
    <row r="629" spans="1:13" x14ac:dyDescent="0.25">
      <c r="A629" t="s">
        <v>1026</v>
      </c>
      <c r="B629" t="s">
        <v>1006</v>
      </c>
      <c r="C629" s="2">
        <v>45769.578118518519</v>
      </c>
      <c r="D629" s="2">
        <v>45758.796925532406</v>
      </c>
      <c r="E629" s="2">
        <v>45758.796925092596</v>
      </c>
      <c r="F629" t="s">
        <v>1007</v>
      </c>
      <c r="G629" t="s">
        <v>437</v>
      </c>
      <c r="H629" t="s">
        <v>443</v>
      </c>
      <c r="I629">
        <v>9</v>
      </c>
      <c r="J629">
        <v>45701</v>
      </c>
      <c r="K629">
        <v>8.3333333333333259E-2</v>
      </c>
      <c r="L629">
        <v>8.3333333333333259E-2</v>
      </c>
      <c r="M629" t="s">
        <v>1010</v>
      </c>
    </row>
    <row r="630" spans="1:13" x14ac:dyDescent="0.25">
      <c r="A630" t="s">
        <v>1026</v>
      </c>
      <c r="B630" t="s">
        <v>1006</v>
      </c>
      <c r="C630" s="2">
        <v>45769.578118518519</v>
      </c>
      <c r="D630" s="2">
        <v>45758.796925532406</v>
      </c>
      <c r="E630" s="2">
        <v>45758.796925092596</v>
      </c>
      <c r="F630" t="s">
        <v>1007</v>
      </c>
      <c r="G630" t="s">
        <v>110</v>
      </c>
      <c r="H630" t="s">
        <v>113</v>
      </c>
      <c r="I630">
        <v>9</v>
      </c>
      <c r="J630">
        <v>45701</v>
      </c>
      <c r="K630">
        <v>0.66666666666666674</v>
      </c>
      <c r="L630">
        <v>0.66666666666666674</v>
      </c>
      <c r="M630" t="s">
        <v>1009</v>
      </c>
    </row>
    <row r="631" spans="1:13" x14ac:dyDescent="0.25">
      <c r="A631" t="s">
        <v>1027</v>
      </c>
      <c r="B631" t="s">
        <v>1006</v>
      </c>
      <c r="C631" s="2">
        <v>45769.578119039354</v>
      </c>
      <c r="D631" s="2">
        <v>45762.136261574073</v>
      </c>
      <c r="E631" s="2">
        <v>45761.611620300922</v>
      </c>
      <c r="F631" t="s">
        <v>1007</v>
      </c>
      <c r="G631" t="s">
        <v>437</v>
      </c>
      <c r="H631" t="s">
        <v>443</v>
      </c>
      <c r="I631">
        <v>9</v>
      </c>
      <c r="J631">
        <v>45701</v>
      </c>
      <c r="K631">
        <v>8.3333333333333259E-2</v>
      </c>
      <c r="L631">
        <v>8.3333333333333259E-2</v>
      </c>
      <c r="M631" t="s">
        <v>1010</v>
      </c>
    </row>
    <row r="632" spans="1:13" x14ac:dyDescent="0.25">
      <c r="A632" t="s">
        <v>1027</v>
      </c>
      <c r="B632" t="s">
        <v>1006</v>
      </c>
      <c r="C632" s="2">
        <v>45769.578119039354</v>
      </c>
      <c r="D632" s="2">
        <v>45762.136261574073</v>
      </c>
      <c r="E632" s="2">
        <v>45761.611620300922</v>
      </c>
      <c r="F632" t="s">
        <v>1007</v>
      </c>
      <c r="G632" t="s">
        <v>110</v>
      </c>
      <c r="H632" t="s">
        <v>113</v>
      </c>
      <c r="I632">
        <v>9</v>
      </c>
      <c r="J632">
        <v>45701</v>
      </c>
      <c r="K632">
        <v>0.66666666666666674</v>
      </c>
      <c r="L632">
        <v>0.66666666666666674</v>
      </c>
      <c r="M632" t="s">
        <v>1009</v>
      </c>
    </row>
    <row r="633" spans="1:13" x14ac:dyDescent="0.25">
      <c r="A633" t="s">
        <v>1005</v>
      </c>
      <c r="B633" t="s">
        <v>1006</v>
      </c>
      <c r="C633" s="2">
        <v>45769.578089016206</v>
      </c>
      <c r="D633" s="2">
        <v>45769.034166666665</v>
      </c>
      <c r="E633" s="2">
        <v>45760.803204236108</v>
      </c>
      <c r="F633" t="s">
        <v>1007</v>
      </c>
      <c r="G633" t="s">
        <v>313</v>
      </c>
      <c r="H633" t="s">
        <v>318</v>
      </c>
      <c r="I633">
        <v>9</v>
      </c>
      <c r="J633">
        <v>45705</v>
      </c>
      <c r="K633">
        <v>0.34877314814814819</v>
      </c>
      <c r="L633">
        <v>0.33333333333333326</v>
      </c>
      <c r="M633" t="s">
        <v>1010</v>
      </c>
    </row>
    <row r="634" spans="1:13" x14ac:dyDescent="0.25">
      <c r="A634" t="s">
        <v>1005</v>
      </c>
      <c r="B634" t="s">
        <v>1006</v>
      </c>
      <c r="C634" s="2">
        <v>45769.578089016206</v>
      </c>
      <c r="D634" s="2">
        <v>45769.034166666665</v>
      </c>
      <c r="E634" s="2">
        <v>45760.803204236108</v>
      </c>
      <c r="F634" t="s">
        <v>1007</v>
      </c>
      <c r="G634" t="s">
        <v>324</v>
      </c>
      <c r="H634" t="s">
        <v>326</v>
      </c>
      <c r="I634">
        <v>9</v>
      </c>
      <c r="J634">
        <v>45705</v>
      </c>
      <c r="K634">
        <v>0.39716435185185195</v>
      </c>
      <c r="L634">
        <v>0.375</v>
      </c>
      <c r="M634" t="s">
        <v>1010</v>
      </c>
    </row>
    <row r="635" spans="1:13" x14ac:dyDescent="0.25">
      <c r="A635" t="s">
        <v>1005</v>
      </c>
      <c r="B635" t="s">
        <v>1006</v>
      </c>
      <c r="C635" s="2">
        <v>45769.578089016206</v>
      </c>
      <c r="D635" s="2">
        <v>45769.034166666665</v>
      </c>
      <c r="E635" s="2">
        <v>45760.803204236108</v>
      </c>
      <c r="F635" t="s">
        <v>1007</v>
      </c>
      <c r="G635" t="s">
        <v>173</v>
      </c>
      <c r="H635" t="s">
        <v>177</v>
      </c>
      <c r="I635">
        <v>9</v>
      </c>
      <c r="J635">
        <v>45705</v>
      </c>
      <c r="K635">
        <v>0.52497685185185183</v>
      </c>
      <c r="L635">
        <v>0.5</v>
      </c>
      <c r="M635" t="s">
        <v>1009</v>
      </c>
    </row>
    <row r="636" spans="1:13" x14ac:dyDescent="0.25">
      <c r="A636" t="s">
        <v>1005</v>
      </c>
      <c r="B636" t="s">
        <v>1006</v>
      </c>
      <c r="C636" s="2">
        <v>45769.578089016206</v>
      </c>
      <c r="D636" s="2">
        <v>45769.034166666665</v>
      </c>
      <c r="E636" s="2">
        <v>45760.803204236108</v>
      </c>
      <c r="F636" t="s">
        <v>1007</v>
      </c>
      <c r="G636" t="s">
        <v>420</v>
      </c>
      <c r="H636" t="s">
        <v>425</v>
      </c>
      <c r="I636">
        <v>9</v>
      </c>
      <c r="J636">
        <v>45705</v>
      </c>
      <c r="K636">
        <v>0.83333333333333326</v>
      </c>
      <c r="L636">
        <v>0.83333333333333326</v>
      </c>
      <c r="M636" t="s">
        <v>1008</v>
      </c>
    </row>
    <row r="637" spans="1:13" x14ac:dyDescent="0.25">
      <c r="A637" t="s">
        <v>1011</v>
      </c>
      <c r="B637" t="s">
        <v>1006</v>
      </c>
      <c r="C637" s="2">
        <v>45769.578111863426</v>
      </c>
      <c r="D637" s="2">
        <v>45769.037777777776</v>
      </c>
      <c r="E637" s="2">
        <v>45712.703342291665</v>
      </c>
      <c r="F637" t="s">
        <v>1007</v>
      </c>
      <c r="G637" t="s">
        <v>313</v>
      </c>
      <c r="H637" t="s">
        <v>318</v>
      </c>
      <c r="I637">
        <v>9</v>
      </c>
      <c r="J637">
        <v>45705</v>
      </c>
      <c r="K637">
        <v>0.34877314814814819</v>
      </c>
      <c r="L637">
        <v>0.33333333333333326</v>
      </c>
      <c r="M637" t="s">
        <v>1010</v>
      </c>
    </row>
    <row r="638" spans="1:13" x14ac:dyDescent="0.25">
      <c r="A638" t="s">
        <v>1011</v>
      </c>
      <c r="B638" t="s">
        <v>1006</v>
      </c>
      <c r="C638" s="2">
        <v>45769.578111863426</v>
      </c>
      <c r="D638" s="2">
        <v>45769.037777777776</v>
      </c>
      <c r="E638" s="2">
        <v>45712.703342291665</v>
      </c>
      <c r="F638" t="s">
        <v>1007</v>
      </c>
      <c r="G638" t="s">
        <v>324</v>
      </c>
      <c r="H638" t="s">
        <v>326</v>
      </c>
      <c r="I638">
        <v>9</v>
      </c>
      <c r="J638">
        <v>45705</v>
      </c>
      <c r="K638">
        <v>0.39716435185185195</v>
      </c>
      <c r="L638">
        <v>0.375</v>
      </c>
      <c r="M638" t="s">
        <v>1010</v>
      </c>
    </row>
    <row r="639" spans="1:13" x14ac:dyDescent="0.25">
      <c r="A639" t="s">
        <v>1011</v>
      </c>
      <c r="B639" t="s">
        <v>1006</v>
      </c>
      <c r="C639" s="2">
        <v>45769.578111863426</v>
      </c>
      <c r="D639" s="2">
        <v>45769.037777777776</v>
      </c>
      <c r="E639" s="2">
        <v>45712.703342291665</v>
      </c>
      <c r="F639" t="s">
        <v>1007</v>
      </c>
      <c r="G639" t="s">
        <v>173</v>
      </c>
      <c r="H639" t="s">
        <v>177</v>
      </c>
      <c r="I639">
        <v>9</v>
      </c>
      <c r="J639">
        <v>45705</v>
      </c>
      <c r="K639">
        <v>0.52497685185185183</v>
      </c>
      <c r="L639">
        <v>0.5</v>
      </c>
      <c r="M639" t="s">
        <v>1009</v>
      </c>
    </row>
    <row r="640" spans="1:13" x14ac:dyDescent="0.25">
      <c r="A640" t="s">
        <v>1011</v>
      </c>
      <c r="B640" t="s">
        <v>1006</v>
      </c>
      <c r="C640" s="2">
        <v>45769.578111863426</v>
      </c>
      <c r="D640" s="2">
        <v>45769.037777777776</v>
      </c>
      <c r="E640" s="2">
        <v>45712.703342291665</v>
      </c>
      <c r="F640" t="s">
        <v>1007</v>
      </c>
      <c r="G640" t="s">
        <v>420</v>
      </c>
      <c r="H640" t="s">
        <v>425</v>
      </c>
      <c r="I640">
        <v>9</v>
      </c>
      <c r="J640">
        <v>45705</v>
      </c>
      <c r="K640">
        <v>0.83333333333333326</v>
      </c>
      <c r="L640">
        <v>0.83333333333333326</v>
      </c>
      <c r="M640" t="s">
        <v>1008</v>
      </c>
    </row>
    <row r="641" spans="1:13" x14ac:dyDescent="0.25">
      <c r="A641" t="s">
        <v>1012</v>
      </c>
      <c r="B641" t="s">
        <v>1006</v>
      </c>
      <c r="C641" s="2">
        <v>45769.578112280091</v>
      </c>
      <c r="D641" s="2">
        <v>45769.035879629628</v>
      </c>
      <c r="E641" s="2">
        <v>45713.368867349534</v>
      </c>
      <c r="F641" t="s">
        <v>1007</v>
      </c>
      <c r="G641" t="s">
        <v>313</v>
      </c>
      <c r="H641" t="s">
        <v>318</v>
      </c>
      <c r="I641">
        <v>9</v>
      </c>
      <c r="J641">
        <v>45705</v>
      </c>
      <c r="K641">
        <v>0.34877314814814819</v>
      </c>
      <c r="L641">
        <v>0.33333333333333326</v>
      </c>
      <c r="M641" t="s">
        <v>1010</v>
      </c>
    </row>
    <row r="642" spans="1:13" x14ac:dyDescent="0.25">
      <c r="A642" t="s">
        <v>1012</v>
      </c>
      <c r="B642" t="s">
        <v>1006</v>
      </c>
      <c r="C642" s="2">
        <v>45769.578112280091</v>
      </c>
      <c r="D642" s="2">
        <v>45769.035879629628</v>
      </c>
      <c r="E642" s="2">
        <v>45713.368867349534</v>
      </c>
      <c r="F642" t="s">
        <v>1007</v>
      </c>
      <c r="G642" t="s">
        <v>324</v>
      </c>
      <c r="H642" t="s">
        <v>326</v>
      </c>
      <c r="I642">
        <v>9</v>
      </c>
      <c r="J642">
        <v>45705</v>
      </c>
      <c r="K642">
        <v>0.39716435185185195</v>
      </c>
      <c r="L642">
        <v>0.375</v>
      </c>
      <c r="M642" t="s">
        <v>1010</v>
      </c>
    </row>
    <row r="643" spans="1:13" x14ac:dyDescent="0.25">
      <c r="A643" t="s">
        <v>1012</v>
      </c>
      <c r="B643" t="s">
        <v>1006</v>
      </c>
      <c r="C643" s="2">
        <v>45769.578112280091</v>
      </c>
      <c r="D643" s="2">
        <v>45769.035879629628</v>
      </c>
      <c r="E643" s="2">
        <v>45713.368867349534</v>
      </c>
      <c r="F643" t="s">
        <v>1007</v>
      </c>
      <c r="G643" t="s">
        <v>173</v>
      </c>
      <c r="H643" t="s">
        <v>177</v>
      </c>
      <c r="I643">
        <v>9</v>
      </c>
      <c r="J643">
        <v>45705</v>
      </c>
      <c r="K643">
        <v>0.52497685185185183</v>
      </c>
      <c r="L643">
        <v>0.5</v>
      </c>
      <c r="M643" t="s">
        <v>1009</v>
      </c>
    </row>
    <row r="644" spans="1:13" x14ac:dyDescent="0.25">
      <c r="A644" t="s">
        <v>1012</v>
      </c>
      <c r="B644" t="s">
        <v>1006</v>
      </c>
      <c r="C644" s="2">
        <v>45769.578112280091</v>
      </c>
      <c r="D644" s="2">
        <v>45769.035879629628</v>
      </c>
      <c r="E644" s="2">
        <v>45713.368867349534</v>
      </c>
      <c r="F644" t="s">
        <v>1007</v>
      </c>
      <c r="G644" t="s">
        <v>420</v>
      </c>
      <c r="H644" t="s">
        <v>425</v>
      </c>
      <c r="I644">
        <v>9</v>
      </c>
      <c r="J644">
        <v>45705</v>
      </c>
      <c r="K644">
        <v>0.83333333333333326</v>
      </c>
      <c r="L644">
        <v>0.83333333333333326</v>
      </c>
      <c r="M644" t="s">
        <v>1008</v>
      </c>
    </row>
    <row r="645" spans="1:13" x14ac:dyDescent="0.25">
      <c r="A645" t="s">
        <v>1013</v>
      </c>
      <c r="B645" t="s">
        <v>1006</v>
      </c>
      <c r="C645" s="2">
        <v>45769.578112673611</v>
      </c>
      <c r="D645" s="2">
        <v>45769.037800925929</v>
      </c>
      <c r="E645" s="2">
        <v>45718.720149895831</v>
      </c>
      <c r="F645" t="s">
        <v>1007</v>
      </c>
      <c r="G645" t="s">
        <v>313</v>
      </c>
      <c r="H645" t="s">
        <v>318</v>
      </c>
      <c r="I645">
        <v>9</v>
      </c>
      <c r="J645">
        <v>45705</v>
      </c>
      <c r="K645">
        <v>0.34877314814814819</v>
      </c>
      <c r="L645">
        <v>0.33333333333333326</v>
      </c>
      <c r="M645" t="s">
        <v>1010</v>
      </c>
    </row>
    <row r="646" spans="1:13" x14ac:dyDescent="0.25">
      <c r="A646" t="s">
        <v>1013</v>
      </c>
      <c r="B646" t="s">
        <v>1006</v>
      </c>
      <c r="C646" s="2">
        <v>45769.578112673611</v>
      </c>
      <c r="D646" s="2">
        <v>45769.037800925929</v>
      </c>
      <c r="E646" s="2">
        <v>45718.720149895831</v>
      </c>
      <c r="F646" t="s">
        <v>1007</v>
      </c>
      <c r="G646" t="s">
        <v>324</v>
      </c>
      <c r="H646" t="s">
        <v>326</v>
      </c>
      <c r="I646">
        <v>9</v>
      </c>
      <c r="J646">
        <v>45705</v>
      </c>
      <c r="K646">
        <v>0.39716435185185195</v>
      </c>
      <c r="L646">
        <v>0.375</v>
      </c>
      <c r="M646" t="s">
        <v>1010</v>
      </c>
    </row>
    <row r="647" spans="1:13" x14ac:dyDescent="0.25">
      <c r="A647" t="s">
        <v>1013</v>
      </c>
      <c r="B647" t="s">
        <v>1006</v>
      </c>
      <c r="C647" s="2">
        <v>45769.578112673611</v>
      </c>
      <c r="D647" s="2">
        <v>45769.037800925929</v>
      </c>
      <c r="E647" s="2">
        <v>45718.720149895831</v>
      </c>
      <c r="F647" t="s">
        <v>1007</v>
      </c>
      <c r="G647" t="s">
        <v>173</v>
      </c>
      <c r="H647" t="s">
        <v>177</v>
      </c>
      <c r="I647">
        <v>9</v>
      </c>
      <c r="J647">
        <v>45705</v>
      </c>
      <c r="K647">
        <v>0.52497685185185183</v>
      </c>
      <c r="L647">
        <v>0.5</v>
      </c>
      <c r="M647" t="s">
        <v>1009</v>
      </c>
    </row>
    <row r="648" spans="1:13" x14ac:dyDescent="0.25">
      <c r="A648" t="s">
        <v>1013</v>
      </c>
      <c r="B648" t="s">
        <v>1006</v>
      </c>
      <c r="C648" s="2">
        <v>45769.578112673611</v>
      </c>
      <c r="D648" s="2">
        <v>45769.037800925929</v>
      </c>
      <c r="E648" s="2">
        <v>45718.720149895831</v>
      </c>
      <c r="F648" t="s">
        <v>1007</v>
      </c>
      <c r="G648" t="s">
        <v>420</v>
      </c>
      <c r="H648" t="s">
        <v>425</v>
      </c>
      <c r="I648">
        <v>9</v>
      </c>
      <c r="J648">
        <v>45705</v>
      </c>
      <c r="K648">
        <v>0.83333333333333326</v>
      </c>
      <c r="L648">
        <v>0.83333333333333326</v>
      </c>
      <c r="M648" t="s">
        <v>1008</v>
      </c>
    </row>
    <row r="649" spans="1:13" x14ac:dyDescent="0.25">
      <c r="A649" t="s">
        <v>1014</v>
      </c>
      <c r="B649" t="s">
        <v>1006</v>
      </c>
      <c r="C649" s="2">
        <v>45769.578113090276</v>
      </c>
      <c r="D649" s="2">
        <v>45769.037800925929</v>
      </c>
      <c r="E649" s="2">
        <v>45719.845094884258</v>
      </c>
      <c r="F649" t="s">
        <v>1007</v>
      </c>
      <c r="G649" t="s">
        <v>313</v>
      </c>
      <c r="H649" t="s">
        <v>318</v>
      </c>
      <c r="I649">
        <v>9</v>
      </c>
      <c r="J649">
        <v>45705</v>
      </c>
      <c r="K649">
        <v>0.34877314814814819</v>
      </c>
      <c r="L649">
        <v>0.33333333333333326</v>
      </c>
      <c r="M649" t="s">
        <v>1010</v>
      </c>
    </row>
    <row r="650" spans="1:13" x14ac:dyDescent="0.25">
      <c r="A650" t="s">
        <v>1014</v>
      </c>
      <c r="B650" t="s">
        <v>1006</v>
      </c>
      <c r="C650" s="2">
        <v>45769.578113090276</v>
      </c>
      <c r="D650" s="2">
        <v>45769.037800925929</v>
      </c>
      <c r="E650" s="2">
        <v>45719.845094884258</v>
      </c>
      <c r="F650" t="s">
        <v>1007</v>
      </c>
      <c r="G650" t="s">
        <v>324</v>
      </c>
      <c r="H650" t="s">
        <v>326</v>
      </c>
      <c r="I650">
        <v>9</v>
      </c>
      <c r="J650">
        <v>45705</v>
      </c>
      <c r="K650">
        <v>0.39716435185185195</v>
      </c>
      <c r="L650">
        <v>0.375</v>
      </c>
      <c r="M650" t="s">
        <v>1010</v>
      </c>
    </row>
    <row r="651" spans="1:13" x14ac:dyDescent="0.25">
      <c r="A651" t="s">
        <v>1014</v>
      </c>
      <c r="B651" t="s">
        <v>1006</v>
      </c>
      <c r="C651" s="2">
        <v>45769.578113090276</v>
      </c>
      <c r="D651" s="2">
        <v>45769.037800925929</v>
      </c>
      <c r="E651" s="2">
        <v>45719.845094884258</v>
      </c>
      <c r="F651" t="s">
        <v>1007</v>
      </c>
      <c r="G651" t="s">
        <v>173</v>
      </c>
      <c r="H651" t="s">
        <v>177</v>
      </c>
      <c r="I651">
        <v>9</v>
      </c>
      <c r="J651">
        <v>45705</v>
      </c>
      <c r="K651">
        <v>0.52497685185185183</v>
      </c>
      <c r="L651">
        <v>0.5</v>
      </c>
      <c r="M651" t="s">
        <v>1009</v>
      </c>
    </row>
    <row r="652" spans="1:13" x14ac:dyDescent="0.25">
      <c r="A652" t="s">
        <v>1014</v>
      </c>
      <c r="B652" t="s">
        <v>1006</v>
      </c>
      <c r="C652" s="2">
        <v>45769.578113090276</v>
      </c>
      <c r="D652" s="2">
        <v>45769.037800925929</v>
      </c>
      <c r="E652" s="2">
        <v>45719.845094884258</v>
      </c>
      <c r="F652" t="s">
        <v>1007</v>
      </c>
      <c r="G652" t="s">
        <v>420</v>
      </c>
      <c r="H652" t="s">
        <v>425</v>
      </c>
      <c r="I652">
        <v>9</v>
      </c>
      <c r="J652">
        <v>45705</v>
      </c>
      <c r="K652">
        <v>0.83333333333333326</v>
      </c>
      <c r="L652">
        <v>0.83333333333333326</v>
      </c>
      <c r="M652" t="s">
        <v>1008</v>
      </c>
    </row>
    <row r="653" spans="1:13" x14ac:dyDescent="0.25">
      <c r="A653" t="s">
        <v>1015</v>
      </c>
      <c r="B653" t="s">
        <v>1006</v>
      </c>
      <c r="C653" s="2">
        <v>45769.578113564814</v>
      </c>
      <c r="D653" s="2">
        <v>45726.85528935185</v>
      </c>
      <c r="E653" s="2">
        <v>45726.856810578705</v>
      </c>
      <c r="F653" t="s">
        <v>1007</v>
      </c>
      <c r="G653" t="s">
        <v>313</v>
      </c>
      <c r="H653" t="s">
        <v>318</v>
      </c>
      <c r="I653">
        <v>9</v>
      </c>
      <c r="J653">
        <v>45705</v>
      </c>
      <c r="K653">
        <v>0.34877314814814819</v>
      </c>
      <c r="L653">
        <v>0.33333333333333326</v>
      </c>
      <c r="M653" t="s">
        <v>1010</v>
      </c>
    </row>
    <row r="654" spans="1:13" x14ac:dyDescent="0.25">
      <c r="A654" t="s">
        <v>1015</v>
      </c>
      <c r="B654" t="s">
        <v>1006</v>
      </c>
      <c r="C654" s="2">
        <v>45769.578113564814</v>
      </c>
      <c r="D654" s="2">
        <v>45726.85528935185</v>
      </c>
      <c r="E654" s="2">
        <v>45726.856810578705</v>
      </c>
      <c r="F654" t="s">
        <v>1007</v>
      </c>
      <c r="G654" t="s">
        <v>324</v>
      </c>
      <c r="H654" t="s">
        <v>326</v>
      </c>
      <c r="I654">
        <v>9</v>
      </c>
      <c r="J654">
        <v>45705</v>
      </c>
      <c r="K654">
        <v>0.39716435185185195</v>
      </c>
      <c r="L654">
        <v>0.375</v>
      </c>
      <c r="M654" t="s">
        <v>1010</v>
      </c>
    </row>
    <row r="655" spans="1:13" x14ac:dyDescent="0.25">
      <c r="A655" t="s">
        <v>1015</v>
      </c>
      <c r="B655" t="s">
        <v>1006</v>
      </c>
      <c r="C655" s="2">
        <v>45769.578113564814</v>
      </c>
      <c r="D655" s="2">
        <v>45726.85528935185</v>
      </c>
      <c r="E655" s="2">
        <v>45726.856810578705</v>
      </c>
      <c r="F655" t="s">
        <v>1007</v>
      </c>
      <c r="G655" t="s">
        <v>173</v>
      </c>
      <c r="H655" t="s">
        <v>177</v>
      </c>
      <c r="I655">
        <v>9</v>
      </c>
      <c r="J655">
        <v>45705</v>
      </c>
      <c r="K655">
        <v>0.52497685185185183</v>
      </c>
      <c r="L655">
        <v>0.5</v>
      </c>
      <c r="M655" t="s">
        <v>1009</v>
      </c>
    </row>
    <row r="656" spans="1:13" x14ac:dyDescent="0.25">
      <c r="A656" t="s">
        <v>1015</v>
      </c>
      <c r="B656" t="s">
        <v>1006</v>
      </c>
      <c r="C656" s="2">
        <v>45769.578113564814</v>
      </c>
      <c r="D656" s="2">
        <v>45726.85528935185</v>
      </c>
      <c r="E656" s="2">
        <v>45726.856810578705</v>
      </c>
      <c r="F656" t="s">
        <v>1007</v>
      </c>
      <c r="G656" t="s">
        <v>420</v>
      </c>
      <c r="H656" t="s">
        <v>425</v>
      </c>
      <c r="I656">
        <v>9</v>
      </c>
      <c r="J656">
        <v>45705</v>
      </c>
      <c r="K656">
        <v>0.83333333333333326</v>
      </c>
      <c r="L656">
        <v>0.83333333333333326</v>
      </c>
      <c r="M656" t="s">
        <v>1008</v>
      </c>
    </row>
    <row r="657" spans="1:13" x14ac:dyDescent="0.25">
      <c r="A657" t="s">
        <v>1016</v>
      </c>
      <c r="B657" t="s">
        <v>1006</v>
      </c>
      <c r="C657" s="2">
        <v>45769.578113993055</v>
      </c>
      <c r="D657" s="2">
        <v>45727.548941782406</v>
      </c>
      <c r="E657" s="2">
        <v>45727.544082731481</v>
      </c>
      <c r="F657" t="s">
        <v>1007</v>
      </c>
      <c r="G657" t="s">
        <v>313</v>
      </c>
      <c r="H657" t="s">
        <v>318</v>
      </c>
      <c r="I657">
        <v>9</v>
      </c>
      <c r="J657">
        <v>45705</v>
      </c>
      <c r="K657">
        <v>0.34877314814814819</v>
      </c>
      <c r="L657">
        <v>0.33333333333333326</v>
      </c>
      <c r="M657" t="s">
        <v>1010</v>
      </c>
    </row>
    <row r="658" spans="1:13" x14ac:dyDescent="0.25">
      <c r="A658" t="s">
        <v>1016</v>
      </c>
      <c r="B658" t="s">
        <v>1006</v>
      </c>
      <c r="C658" s="2">
        <v>45769.578113993055</v>
      </c>
      <c r="D658" s="2">
        <v>45727.548941782406</v>
      </c>
      <c r="E658" s="2">
        <v>45727.544082731481</v>
      </c>
      <c r="F658" t="s">
        <v>1007</v>
      </c>
      <c r="G658" t="s">
        <v>324</v>
      </c>
      <c r="H658" t="s">
        <v>326</v>
      </c>
      <c r="I658">
        <v>9</v>
      </c>
      <c r="J658">
        <v>45705</v>
      </c>
      <c r="K658">
        <v>0.39716435185185195</v>
      </c>
      <c r="L658">
        <v>0.375</v>
      </c>
      <c r="M658" t="s">
        <v>1010</v>
      </c>
    </row>
    <row r="659" spans="1:13" x14ac:dyDescent="0.25">
      <c r="A659" t="s">
        <v>1016</v>
      </c>
      <c r="B659" t="s">
        <v>1006</v>
      </c>
      <c r="C659" s="2">
        <v>45769.578113993055</v>
      </c>
      <c r="D659" s="2">
        <v>45727.548941782406</v>
      </c>
      <c r="E659" s="2">
        <v>45727.544082731481</v>
      </c>
      <c r="F659" t="s">
        <v>1007</v>
      </c>
      <c r="G659" t="s">
        <v>173</v>
      </c>
      <c r="H659" t="s">
        <v>177</v>
      </c>
      <c r="I659">
        <v>9</v>
      </c>
      <c r="J659">
        <v>45705</v>
      </c>
      <c r="K659">
        <v>0.52497685185185183</v>
      </c>
      <c r="L659">
        <v>0.5</v>
      </c>
      <c r="M659" t="s">
        <v>1009</v>
      </c>
    </row>
    <row r="660" spans="1:13" x14ac:dyDescent="0.25">
      <c r="A660" t="s">
        <v>1016</v>
      </c>
      <c r="B660" t="s">
        <v>1006</v>
      </c>
      <c r="C660" s="2">
        <v>45769.578113993055</v>
      </c>
      <c r="D660" s="2">
        <v>45727.548941782406</v>
      </c>
      <c r="E660" s="2">
        <v>45727.544082731481</v>
      </c>
      <c r="F660" t="s">
        <v>1007</v>
      </c>
      <c r="G660" t="s">
        <v>420</v>
      </c>
      <c r="H660" t="s">
        <v>425</v>
      </c>
      <c r="I660">
        <v>9</v>
      </c>
      <c r="J660">
        <v>45705</v>
      </c>
      <c r="K660">
        <v>0.83333333333333326</v>
      </c>
      <c r="L660">
        <v>0.83333333333333326</v>
      </c>
      <c r="M660" t="s">
        <v>1008</v>
      </c>
    </row>
    <row r="661" spans="1:13" x14ac:dyDescent="0.25">
      <c r="A661" t="s">
        <v>1017</v>
      </c>
      <c r="B661" t="s">
        <v>1006</v>
      </c>
      <c r="C661" s="2">
        <v>45769.578114386575</v>
      </c>
      <c r="D661" s="2">
        <v>45730.674748101854</v>
      </c>
      <c r="E661" s="2">
        <v>45730.674747743054</v>
      </c>
      <c r="F661" t="s">
        <v>1007</v>
      </c>
      <c r="G661" t="s">
        <v>313</v>
      </c>
      <c r="H661" t="s">
        <v>318</v>
      </c>
      <c r="I661">
        <v>9</v>
      </c>
      <c r="J661">
        <v>45705</v>
      </c>
      <c r="K661">
        <v>0.34877314814814819</v>
      </c>
      <c r="L661">
        <v>0.33333333333333326</v>
      </c>
      <c r="M661" t="s">
        <v>1010</v>
      </c>
    </row>
    <row r="662" spans="1:13" x14ac:dyDescent="0.25">
      <c r="A662" t="s">
        <v>1017</v>
      </c>
      <c r="B662" t="s">
        <v>1006</v>
      </c>
      <c r="C662" s="2">
        <v>45769.578114386575</v>
      </c>
      <c r="D662" s="2">
        <v>45730.674748101854</v>
      </c>
      <c r="E662" s="2">
        <v>45730.674747743054</v>
      </c>
      <c r="F662" t="s">
        <v>1007</v>
      </c>
      <c r="G662" t="s">
        <v>324</v>
      </c>
      <c r="H662" t="s">
        <v>326</v>
      </c>
      <c r="I662">
        <v>9</v>
      </c>
      <c r="J662">
        <v>45705</v>
      </c>
      <c r="K662">
        <v>0.39716435185185195</v>
      </c>
      <c r="L662">
        <v>0.375</v>
      </c>
      <c r="M662" t="s">
        <v>1010</v>
      </c>
    </row>
    <row r="663" spans="1:13" x14ac:dyDescent="0.25">
      <c r="A663" t="s">
        <v>1017</v>
      </c>
      <c r="B663" t="s">
        <v>1006</v>
      </c>
      <c r="C663" s="2">
        <v>45769.578114386575</v>
      </c>
      <c r="D663" s="2">
        <v>45730.674748101854</v>
      </c>
      <c r="E663" s="2">
        <v>45730.674747743054</v>
      </c>
      <c r="F663" t="s">
        <v>1007</v>
      </c>
      <c r="G663" t="s">
        <v>173</v>
      </c>
      <c r="H663" t="s">
        <v>177</v>
      </c>
      <c r="I663">
        <v>9</v>
      </c>
      <c r="J663">
        <v>45705</v>
      </c>
      <c r="K663">
        <v>0.52497685185185183</v>
      </c>
      <c r="L663">
        <v>0.5</v>
      </c>
      <c r="M663" t="s">
        <v>1009</v>
      </c>
    </row>
    <row r="664" spans="1:13" x14ac:dyDescent="0.25">
      <c r="A664" t="s">
        <v>1017</v>
      </c>
      <c r="B664" t="s">
        <v>1006</v>
      </c>
      <c r="C664" s="2">
        <v>45769.578114386575</v>
      </c>
      <c r="D664" s="2">
        <v>45730.674748101854</v>
      </c>
      <c r="E664" s="2">
        <v>45730.674747743054</v>
      </c>
      <c r="F664" t="s">
        <v>1007</v>
      </c>
      <c r="G664" t="s">
        <v>420</v>
      </c>
      <c r="H664" t="s">
        <v>425</v>
      </c>
      <c r="I664">
        <v>9</v>
      </c>
      <c r="J664">
        <v>45705</v>
      </c>
      <c r="K664">
        <v>0.83333333333333326</v>
      </c>
      <c r="L664">
        <v>0.83333333333333326</v>
      </c>
      <c r="M664" t="s">
        <v>1008</v>
      </c>
    </row>
    <row r="665" spans="1:13" x14ac:dyDescent="0.25">
      <c r="A665" t="s">
        <v>1019</v>
      </c>
      <c r="B665" t="s">
        <v>1006</v>
      </c>
      <c r="C665" s="2">
        <v>45769.578115219905</v>
      </c>
      <c r="D665" s="2">
        <v>45740.441161863426</v>
      </c>
      <c r="E665" s="2">
        <v>45740.441161643517</v>
      </c>
      <c r="F665" t="s">
        <v>1007</v>
      </c>
      <c r="G665" t="s">
        <v>313</v>
      </c>
      <c r="H665" t="s">
        <v>318</v>
      </c>
      <c r="I665">
        <v>9</v>
      </c>
      <c r="J665">
        <v>45705</v>
      </c>
      <c r="K665">
        <v>0.34877314814814819</v>
      </c>
      <c r="L665">
        <v>0.33333333333333326</v>
      </c>
      <c r="M665" t="s">
        <v>1010</v>
      </c>
    </row>
    <row r="666" spans="1:13" x14ac:dyDescent="0.25">
      <c r="A666" t="s">
        <v>1019</v>
      </c>
      <c r="B666" t="s">
        <v>1006</v>
      </c>
      <c r="C666" s="2">
        <v>45769.578115219905</v>
      </c>
      <c r="D666" s="2">
        <v>45740.441161863426</v>
      </c>
      <c r="E666" s="2">
        <v>45740.441161643517</v>
      </c>
      <c r="F666" t="s">
        <v>1007</v>
      </c>
      <c r="G666" t="s">
        <v>324</v>
      </c>
      <c r="H666" t="s">
        <v>326</v>
      </c>
      <c r="I666">
        <v>9</v>
      </c>
      <c r="J666">
        <v>45705</v>
      </c>
      <c r="K666">
        <v>0.39716435185185195</v>
      </c>
      <c r="L666">
        <v>0.375</v>
      </c>
      <c r="M666" t="s">
        <v>1010</v>
      </c>
    </row>
    <row r="667" spans="1:13" x14ac:dyDescent="0.25">
      <c r="A667" t="s">
        <v>1019</v>
      </c>
      <c r="B667" t="s">
        <v>1006</v>
      </c>
      <c r="C667" s="2">
        <v>45769.578115219905</v>
      </c>
      <c r="D667" s="2">
        <v>45740.441161863426</v>
      </c>
      <c r="E667" s="2">
        <v>45740.441161643517</v>
      </c>
      <c r="F667" t="s">
        <v>1007</v>
      </c>
      <c r="G667" t="s">
        <v>173</v>
      </c>
      <c r="H667" t="s">
        <v>177</v>
      </c>
      <c r="I667">
        <v>9</v>
      </c>
      <c r="J667">
        <v>45705</v>
      </c>
      <c r="K667">
        <v>0.52497685185185183</v>
      </c>
      <c r="L667">
        <v>0.5</v>
      </c>
      <c r="M667" t="s">
        <v>1009</v>
      </c>
    </row>
    <row r="668" spans="1:13" x14ac:dyDescent="0.25">
      <c r="A668" t="s">
        <v>1019</v>
      </c>
      <c r="B668" t="s">
        <v>1006</v>
      </c>
      <c r="C668" s="2">
        <v>45769.578115219905</v>
      </c>
      <c r="D668" s="2">
        <v>45740.441161863426</v>
      </c>
      <c r="E668" s="2">
        <v>45740.441161643517</v>
      </c>
      <c r="F668" t="s">
        <v>1007</v>
      </c>
      <c r="G668" t="s">
        <v>420</v>
      </c>
      <c r="H668" t="s">
        <v>425</v>
      </c>
      <c r="I668">
        <v>9</v>
      </c>
      <c r="J668">
        <v>45705</v>
      </c>
      <c r="K668">
        <v>0.83333333333333326</v>
      </c>
      <c r="L668">
        <v>0.83333333333333326</v>
      </c>
      <c r="M668" t="s">
        <v>1008</v>
      </c>
    </row>
    <row r="669" spans="1:13" x14ac:dyDescent="0.25">
      <c r="A669" t="s">
        <v>1020</v>
      </c>
      <c r="B669" t="s">
        <v>1006</v>
      </c>
      <c r="C669" s="2">
        <v>45769.578115682867</v>
      </c>
      <c r="D669" s="2">
        <v>45747.434178240743</v>
      </c>
      <c r="E669" s="2">
        <v>45746.492342094905</v>
      </c>
      <c r="F669" t="s">
        <v>1007</v>
      </c>
      <c r="G669" t="s">
        <v>313</v>
      </c>
      <c r="H669" t="s">
        <v>318</v>
      </c>
      <c r="I669">
        <v>9</v>
      </c>
      <c r="J669">
        <v>45705</v>
      </c>
      <c r="K669">
        <v>0.34877314814814819</v>
      </c>
      <c r="L669">
        <v>0.33333333333333326</v>
      </c>
      <c r="M669" t="s">
        <v>1010</v>
      </c>
    </row>
    <row r="670" spans="1:13" x14ac:dyDescent="0.25">
      <c r="A670" t="s">
        <v>1020</v>
      </c>
      <c r="B670" t="s">
        <v>1006</v>
      </c>
      <c r="C670" s="2">
        <v>45769.578115682867</v>
      </c>
      <c r="D670" s="2">
        <v>45747.434178240743</v>
      </c>
      <c r="E670" s="2">
        <v>45746.492342094905</v>
      </c>
      <c r="F670" t="s">
        <v>1007</v>
      </c>
      <c r="G670" t="s">
        <v>324</v>
      </c>
      <c r="H670" t="s">
        <v>326</v>
      </c>
      <c r="I670">
        <v>9</v>
      </c>
      <c r="J670">
        <v>45705</v>
      </c>
      <c r="K670">
        <v>0.39716435185185195</v>
      </c>
      <c r="L670">
        <v>0.375</v>
      </c>
      <c r="M670" t="s">
        <v>1010</v>
      </c>
    </row>
    <row r="671" spans="1:13" x14ac:dyDescent="0.25">
      <c r="A671" t="s">
        <v>1020</v>
      </c>
      <c r="B671" t="s">
        <v>1006</v>
      </c>
      <c r="C671" s="2">
        <v>45769.578115682867</v>
      </c>
      <c r="D671" s="2">
        <v>45747.434178240743</v>
      </c>
      <c r="E671" s="2">
        <v>45746.492342094905</v>
      </c>
      <c r="F671" t="s">
        <v>1007</v>
      </c>
      <c r="G671" t="s">
        <v>173</v>
      </c>
      <c r="H671" t="s">
        <v>177</v>
      </c>
      <c r="I671">
        <v>9</v>
      </c>
      <c r="J671">
        <v>45705</v>
      </c>
      <c r="K671">
        <v>0.52497685185185183</v>
      </c>
      <c r="L671">
        <v>0.5</v>
      </c>
      <c r="M671" t="s">
        <v>1009</v>
      </c>
    </row>
    <row r="672" spans="1:13" x14ac:dyDescent="0.25">
      <c r="A672" t="s">
        <v>1020</v>
      </c>
      <c r="B672" t="s">
        <v>1006</v>
      </c>
      <c r="C672" s="2">
        <v>45769.578115682867</v>
      </c>
      <c r="D672" s="2">
        <v>45747.434178240743</v>
      </c>
      <c r="E672" s="2">
        <v>45746.492342094905</v>
      </c>
      <c r="F672" t="s">
        <v>1007</v>
      </c>
      <c r="G672" t="s">
        <v>420</v>
      </c>
      <c r="H672" t="s">
        <v>425</v>
      </c>
      <c r="I672">
        <v>9</v>
      </c>
      <c r="J672">
        <v>45705</v>
      </c>
      <c r="K672">
        <v>0.83333333333333326</v>
      </c>
      <c r="L672">
        <v>0.83333333333333326</v>
      </c>
      <c r="M672" t="s">
        <v>1008</v>
      </c>
    </row>
    <row r="673" spans="1:13" x14ac:dyDescent="0.25">
      <c r="A673" t="s">
        <v>1021</v>
      </c>
      <c r="B673" t="s">
        <v>1006</v>
      </c>
      <c r="C673" s="2">
        <v>45769.578116168981</v>
      </c>
      <c r="D673" s="2">
        <v>45748.008692129632</v>
      </c>
      <c r="E673" s="2">
        <v>45760.803375069445</v>
      </c>
      <c r="F673" t="s">
        <v>1007</v>
      </c>
      <c r="G673" t="s">
        <v>313</v>
      </c>
      <c r="H673" t="s">
        <v>318</v>
      </c>
      <c r="I673">
        <v>9</v>
      </c>
      <c r="J673">
        <v>45705</v>
      </c>
      <c r="K673">
        <v>0.34877314814814819</v>
      </c>
      <c r="L673">
        <v>0.33333333333333326</v>
      </c>
      <c r="M673" t="s">
        <v>1010</v>
      </c>
    </row>
    <row r="674" spans="1:13" x14ac:dyDescent="0.25">
      <c r="A674" t="s">
        <v>1021</v>
      </c>
      <c r="B674" t="s">
        <v>1006</v>
      </c>
      <c r="C674" s="2">
        <v>45769.578116168981</v>
      </c>
      <c r="D674" s="2">
        <v>45748.008692129632</v>
      </c>
      <c r="E674" s="2">
        <v>45760.803375069445</v>
      </c>
      <c r="F674" t="s">
        <v>1007</v>
      </c>
      <c r="G674" t="s">
        <v>324</v>
      </c>
      <c r="H674" t="s">
        <v>326</v>
      </c>
      <c r="I674">
        <v>9</v>
      </c>
      <c r="J674">
        <v>45705</v>
      </c>
      <c r="K674">
        <v>0.39716435185185195</v>
      </c>
      <c r="L674">
        <v>0.375</v>
      </c>
      <c r="M674" t="s">
        <v>1010</v>
      </c>
    </row>
    <row r="675" spans="1:13" x14ac:dyDescent="0.25">
      <c r="A675" t="s">
        <v>1021</v>
      </c>
      <c r="B675" t="s">
        <v>1006</v>
      </c>
      <c r="C675" s="2">
        <v>45769.578116168981</v>
      </c>
      <c r="D675" s="2">
        <v>45748.008692129632</v>
      </c>
      <c r="E675" s="2">
        <v>45760.803375069445</v>
      </c>
      <c r="F675" t="s">
        <v>1007</v>
      </c>
      <c r="G675" t="s">
        <v>173</v>
      </c>
      <c r="H675" t="s">
        <v>177</v>
      </c>
      <c r="I675">
        <v>9</v>
      </c>
      <c r="J675">
        <v>45705</v>
      </c>
      <c r="K675">
        <v>0.52497685185185183</v>
      </c>
      <c r="L675">
        <v>0.5</v>
      </c>
      <c r="M675" t="s">
        <v>1009</v>
      </c>
    </row>
    <row r="676" spans="1:13" x14ac:dyDescent="0.25">
      <c r="A676" t="s">
        <v>1021</v>
      </c>
      <c r="B676" t="s">
        <v>1006</v>
      </c>
      <c r="C676" s="2">
        <v>45769.578116168981</v>
      </c>
      <c r="D676" s="2">
        <v>45748.008692129632</v>
      </c>
      <c r="E676" s="2">
        <v>45760.803375069445</v>
      </c>
      <c r="F676" t="s">
        <v>1007</v>
      </c>
      <c r="G676" t="s">
        <v>420</v>
      </c>
      <c r="H676" t="s">
        <v>425</v>
      </c>
      <c r="I676">
        <v>9</v>
      </c>
      <c r="J676">
        <v>45705</v>
      </c>
      <c r="K676">
        <v>0.83333333333333326</v>
      </c>
      <c r="L676">
        <v>0.83333333333333326</v>
      </c>
      <c r="M676" t="s">
        <v>1008</v>
      </c>
    </row>
    <row r="677" spans="1:13" x14ac:dyDescent="0.25">
      <c r="A677" t="s">
        <v>1024</v>
      </c>
      <c r="B677" t="s">
        <v>1006</v>
      </c>
      <c r="C677" s="2">
        <v>45769.578117557867</v>
      </c>
      <c r="D677" s="2">
        <v>45755.522465879629</v>
      </c>
      <c r="E677" s="2">
        <v>45755.517505011572</v>
      </c>
      <c r="F677" t="s">
        <v>1007</v>
      </c>
      <c r="G677" t="s">
        <v>313</v>
      </c>
      <c r="H677" t="s">
        <v>318</v>
      </c>
      <c r="I677">
        <v>9</v>
      </c>
      <c r="J677">
        <v>45705</v>
      </c>
      <c r="K677">
        <v>0.34877314814814819</v>
      </c>
      <c r="L677">
        <v>0.33333333333333326</v>
      </c>
      <c r="M677" t="s">
        <v>1010</v>
      </c>
    </row>
    <row r="678" spans="1:13" x14ac:dyDescent="0.25">
      <c r="A678" t="s">
        <v>1024</v>
      </c>
      <c r="B678" t="s">
        <v>1006</v>
      </c>
      <c r="C678" s="2">
        <v>45769.578117557867</v>
      </c>
      <c r="D678" s="2">
        <v>45755.522465879629</v>
      </c>
      <c r="E678" s="2">
        <v>45755.517505011572</v>
      </c>
      <c r="F678" t="s">
        <v>1007</v>
      </c>
      <c r="G678" t="s">
        <v>324</v>
      </c>
      <c r="H678" t="s">
        <v>326</v>
      </c>
      <c r="I678">
        <v>9</v>
      </c>
      <c r="J678">
        <v>45705</v>
      </c>
      <c r="K678">
        <v>0.39716435185185195</v>
      </c>
      <c r="L678">
        <v>0.375</v>
      </c>
      <c r="M678" t="s">
        <v>1010</v>
      </c>
    </row>
    <row r="679" spans="1:13" x14ac:dyDescent="0.25">
      <c r="A679" t="s">
        <v>1024</v>
      </c>
      <c r="B679" t="s">
        <v>1006</v>
      </c>
      <c r="C679" s="2">
        <v>45769.578117557867</v>
      </c>
      <c r="D679" s="2">
        <v>45755.522465879629</v>
      </c>
      <c r="E679" s="2">
        <v>45755.517505011572</v>
      </c>
      <c r="F679" t="s">
        <v>1007</v>
      </c>
      <c r="G679" t="s">
        <v>173</v>
      </c>
      <c r="H679" t="s">
        <v>177</v>
      </c>
      <c r="I679">
        <v>9</v>
      </c>
      <c r="J679">
        <v>45705</v>
      </c>
      <c r="K679">
        <v>0.52497685185185183</v>
      </c>
      <c r="L679">
        <v>0.5</v>
      </c>
      <c r="M679" t="s">
        <v>1009</v>
      </c>
    </row>
    <row r="680" spans="1:13" x14ac:dyDescent="0.25">
      <c r="A680" t="s">
        <v>1024</v>
      </c>
      <c r="B680" t="s">
        <v>1006</v>
      </c>
      <c r="C680" s="2">
        <v>45769.578117557867</v>
      </c>
      <c r="D680" s="2">
        <v>45755.522465879629</v>
      </c>
      <c r="E680" s="2">
        <v>45755.517505011572</v>
      </c>
      <c r="F680" t="s">
        <v>1007</v>
      </c>
      <c r="G680" t="s">
        <v>420</v>
      </c>
      <c r="H680" t="s">
        <v>425</v>
      </c>
      <c r="I680">
        <v>9</v>
      </c>
      <c r="J680">
        <v>45705</v>
      </c>
      <c r="K680">
        <v>0.83333333333333326</v>
      </c>
      <c r="L680">
        <v>0.83333333333333326</v>
      </c>
      <c r="M680" t="s">
        <v>1008</v>
      </c>
    </row>
    <row r="681" spans="1:13" x14ac:dyDescent="0.25">
      <c r="A681" t="s">
        <v>1025</v>
      </c>
      <c r="B681" t="s">
        <v>1006</v>
      </c>
      <c r="C681" s="2">
        <v>45769.578118020836</v>
      </c>
      <c r="D681" s="2">
        <v>45756.741511504631</v>
      </c>
      <c r="E681" s="2">
        <v>45756.741511087967</v>
      </c>
      <c r="F681" t="s">
        <v>1007</v>
      </c>
      <c r="G681" t="s">
        <v>313</v>
      </c>
      <c r="H681" t="s">
        <v>318</v>
      </c>
      <c r="I681">
        <v>9</v>
      </c>
      <c r="J681">
        <v>45705</v>
      </c>
      <c r="K681">
        <v>0.34877314814814819</v>
      </c>
      <c r="L681">
        <v>0.33333333333333326</v>
      </c>
      <c r="M681" t="s">
        <v>1010</v>
      </c>
    </row>
    <row r="682" spans="1:13" x14ac:dyDescent="0.25">
      <c r="A682" t="s">
        <v>1025</v>
      </c>
      <c r="B682" t="s">
        <v>1006</v>
      </c>
      <c r="C682" s="2">
        <v>45769.578118020836</v>
      </c>
      <c r="D682" s="2">
        <v>45756.741511504631</v>
      </c>
      <c r="E682" s="2">
        <v>45756.741511087967</v>
      </c>
      <c r="F682" t="s">
        <v>1007</v>
      </c>
      <c r="G682" t="s">
        <v>324</v>
      </c>
      <c r="H682" t="s">
        <v>326</v>
      </c>
      <c r="I682">
        <v>9</v>
      </c>
      <c r="J682">
        <v>45705</v>
      </c>
      <c r="K682">
        <v>0.39716435185185195</v>
      </c>
      <c r="L682">
        <v>0.375</v>
      </c>
      <c r="M682" t="s">
        <v>1010</v>
      </c>
    </row>
    <row r="683" spans="1:13" x14ac:dyDescent="0.25">
      <c r="A683" t="s">
        <v>1025</v>
      </c>
      <c r="B683" t="s">
        <v>1006</v>
      </c>
      <c r="C683" s="2">
        <v>45769.578118020836</v>
      </c>
      <c r="D683" s="2">
        <v>45756.741511504631</v>
      </c>
      <c r="E683" s="2">
        <v>45756.741511087967</v>
      </c>
      <c r="F683" t="s">
        <v>1007</v>
      </c>
      <c r="G683" t="s">
        <v>173</v>
      </c>
      <c r="H683" t="s">
        <v>177</v>
      </c>
      <c r="I683">
        <v>9</v>
      </c>
      <c r="J683">
        <v>45705</v>
      </c>
      <c r="K683">
        <v>0.52497685185185183</v>
      </c>
      <c r="L683">
        <v>0.5</v>
      </c>
      <c r="M683" t="s">
        <v>1009</v>
      </c>
    </row>
    <row r="684" spans="1:13" x14ac:dyDescent="0.25">
      <c r="A684" t="s">
        <v>1025</v>
      </c>
      <c r="B684" t="s">
        <v>1006</v>
      </c>
      <c r="C684" s="2">
        <v>45769.578118020836</v>
      </c>
      <c r="D684" s="2">
        <v>45756.741511504631</v>
      </c>
      <c r="E684" s="2">
        <v>45756.741511087967</v>
      </c>
      <c r="F684" t="s">
        <v>1007</v>
      </c>
      <c r="G684" t="s">
        <v>420</v>
      </c>
      <c r="H684" t="s">
        <v>425</v>
      </c>
      <c r="I684">
        <v>9</v>
      </c>
      <c r="J684">
        <v>45705</v>
      </c>
      <c r="K684">
        <v>0.83333333333333326</v>
      </c>
      <c r="L684">
        <v>0.83333333333333326</v>
      </c>
      <c r="M684" t="s">
        <v>1008</v>
      </c>
    </row>
    <row r="685" spans="1:13" x14ac:dyDescent="0.25">
      <c r="A685" t="s">
        <v>1026</v>
      </c>
      <c r="B685" t="s">
        <v>1006</v>
      </c>
      <c r="C685" s="2">
        <v>45769.578118518519</v>
      </c>
      <c r="D685" s="2">
        <v>45758.796925532406</v>
      </c>
      <c r="E685" s="2">
        <v>45758.796925092596</v>
      </c>
      <c r="F685" t="s">
        <v>1007</v>
      </c>
      <c r="G685" t="s">
        <v>313</v>
      </c>
      <c r="H685" t="s">
        <v>318</v>
      </c>
      <c r="I685">
        <v>9</v>
      </c>
      <c r="J685">
        <v>45705</v>
      </c>
      <c r="K685">
        <v>0.34877314814814819</v>
      </c>
      <c r="L685">
        <v>0.33333333333333326</v>
      </c>
      <c r="M685" t="s">
        <v>1010</v>
      </c>
    </row>
    <row r="686" spans="1:13" x14ac:dyDescent="0.25">
      <c r="A686" t="s">
        <v>1026</v>
      </c>
      <c r="B686" t="s">
        <v>1006</v>
      </c>
      <c r="C686" s="2">
        <v>45769.578118518519</v>
      </c>
      <c r="D686" s="2">
        <v>45758.796925532406</v>
      </c>
      <c r="E686" s="2">
        <v>45758.796925092596</v>
      </c>
      <c r="F686" t="s">
        <v>1007</v>
      </c>
      <c r="G686" t="s">
        <v>324</v>
      </c>
      <c r="H686" t="s">
        <v>326</v>
      </c>
      <c r="I686">
        <v>9</v>
      </c>
      <c r="J686">
        <v>45705</v>
      </c>
      <c r="K686">
        <v>0.39716435185185195</v>
      </c>
      <c r="L686">
        <v>0.375</v>
      </c>
      <c r="M686" t="s">
        <v>1010</v>
      </c>
    </row>
    <row r="687" spans="1:13" x14ac:dyDescent="0.25">
      <c r="A687" t="s">
        <v>1026</v>
      </c>
      <c r="B687" t="s">
        <v>1006</v>
      </c>
      <c r="C687" s="2">
        <v>45769.578118518519</v>
      </c>
      <c r="D687" s="2">
        <v>45758.796925532406</v>
      </c>
      <c r="E687" s="2">
        <v>45758.796925092596</v>
      </c>
      <c r="F687" t="s">
        <v>1007</v>
      </c>
      <c r="G687" t="s">
        <v>173</v>
      </c>
      <c r="H687" t="s">
        <v>177</v>
      </c>
      <c r="I687">
        <v>9</v>
      </c>
      <c r="J687">
        <v>45705</v>
      </c>
      <c r="K687">
        <v>0.52497685185185183</v>
      </c>
      <c r="L687">
        <v>0.5</v>
      </c>
      <c r="M687" t="s">
        <v>1009</v>
      </c>
    </row>
    <row r="688" spans="1:13" x14ac:dyDescent="0.25">
      <c r="A688" t="s">
        <v>1026</v>
      </c>
      <c r="B688" t="s">
        <v>1006</v>
      </c>
      <c r="C688" s="2">
        <v>45769.578118518519</v>
      </c>
      <c r="D688" s="2">
        <v>45758.796925532406</v>
      </c>
      <c r="E688" s="2">
        <v>45758.796925092596</v>
      </c>
      <c r="F688" t="s">
        <v>1007</v>
      </c>
      <c r="G688" t="s">
        <v>420</v>
      </c>
      <c r="H688" t="s">
        <v>425</v>
      </c>
      <c r="I688">
        <v>9</v>
      </c>
      <c r="J688">
        <v>45705</v>
      </c>
      <c r="K688">
        <v>0.83333333333333326</v>
      </c>
      <c r="L688">
        <v>0.83333333333333326</v>
      </c>
      <c r="M688" t="s">
        <v>1008</v>
      </c>
    </row>
    <row r="689" spans="1:13" x14ac:dyDescent="0.25">
      <c r="A689" t="s">
        <v>1027</v>
      </c>
      <c r="B689" t="s">
        <v>1006</v>
      </c>
      <c r="C689" s="2">
        <v>45769.578119039354</v>
      </c>
      <c r="D689" s="2">
        <v>45762.136261574073</v>
      </c>
      <c r="E689" s="2">
        <v>45761.611620300922</v>
      </c>
      <c r="F689" t="s">
        <v>1007</v>
      </c>
      <c r="G689" t="s">
        <v>313</v>
      </c>
      <c r="H689" t="s">
        <v>318</v>
      </c>
      <c r="I689">
        <v>9</v>
      </c>
      <c r="J689">
        <v>45705</v>
      </c>
      <c r="K689">
        <v>0.34877314814814819</v>
      </c>
      <c r="L689">
        <v>0.33333333333333326</v>
      </c>
      <c r="M689" t="s">
        <v>1010</v>
      </c>
    </row>
    <row r="690" spans="1:13" x14ac:dyDescent="0.25">
      <c r="A690" t="s">
        <v>1027</v>
      </c>
      <c r="B690" t="s">
        <v>1006</v>
      </c>
      <c r="C690" s="2">
        <v>45769.578119039354</v>
      </c>
      <c r="D690" s="2">
        <v>45762.136261574073</v>
      </c>
      <c r="E690" s="2">
        <v>45761.611620300922</v>
      </c>
      <c r="F690" t="s">
        <v>1007</v>
      </c>
      <c r="G690" t="s">
        <v>324</v>
      </c>
      <c r="H690" t="s">
        <v>326</v>
      </c>
      <c r="I690">
        <v>9</v>
      </c>
      <c r="J690">
        <v>45705</v>
      </c>
      <c r="K690">
        <v>0.39716435185185195</v>
      </c>
      <c r="L690">
        <v>0.375</v>
      </c>
      <c r="M690" t="s">
        <v>1010</v>
      </c>
    </row>
    <row r="691" spans="1:13" x14ac:dyDescent="0.25">
      <c r="A691" t="s">
        <v>1027</v>
      </c>
      <c r="B691" t="s">
        <v>1006</v>
      </c>
      <c r="C691" s="2">
        <v>45769.578119039354</v>
      </c>
      <c r="D691" s="2">
        <v>45762.136261574073</v>
      </c>
      <c r="E691" s="2">
        <v>45761.611620300922</v>
      </c>
      <c r="F691" t="s">
        <v>1007</v>
      </c>
      <c r="G691" t="s">
        <v>173</v>
      </c>
      <c r="H691" t="s">
        <v>177</v>
      </c>
      <c r="I691">
        <v>9</v>
      </c>
      <c r="J691">
        <v>45705</v>
      </c>
      <c r="K691">
        <v>0.52497685185185183</v>
      </c>
      <c r="L691">
        <v>0.5</v>
      </c>
      <c r="M691" t="s">
        <v>1009</v>
      </c>
    </row>
    <row r="692" spans="1:13" x14ac:dyDescent="0.25">
      <c r="A692" t="s">
        <v>1027</v>
      </c>
      <c r="B692" t="s">
        <v>1006</v>
      </c>
      <c r="C692" s="2">
        <v>45769.578119039354</v>
      </c>
      <c r="D692" s="2">
        <v>45762.136261574073</v>
      </c>
      <c r="E692" s="2">
        <v>45761.611620300922</v>
      </c>
      <c r="F692" t="s">
        <v>1007</v>
      </c>
      <c r="G692" t="s">
        <v>420</v>
      </c>
      <c r="H692" t="s">
        <v>425</v>
      </c>
      <c r="I692">
        <v>9</v>
      </c>
      <c r="J692">
        <v>45705</v>
      </c>
      <c r="K692">
        <v>0.83333333333333326</v>
      </c>
      <c r="L692">
        <v>0.83333333333333326</v>
      </c>
      <c r="M692" t="s">
        <v>1008</v>
      </c>
    </row>
    <row r="693" spans="1:13" x14ac:dyDescent="0.25">
      <c r="A693" t="s">
        <v>1012</v>
      </c>
      <c r="B693" t="s">
        <v>1006</v>
      </c>
      <c r="C693" s="2">
        <v>45769.578112280091</v>
      </c>
      <c r="D693" s="2">
        <v>45769.035879629628</v>
      </c>
      <c r="E693" s="2">
        <v>45713.368867349534</v>
      </c>
      <c r="F693" t="s">
        <v>1007</v>
      </c>
      <c r="G693" t="s">
        <v>332</v>
      </c>
      <c r="H693" t="s">
        <v>335</v>
      </c>
      <c r="I693">
        <v>9</v>
      </c>
      <c r="J693">
        <v>45713</v>
      </c>
      <c r="K693">
        <v>0.41666666666666674</v>
      </c>
      <c r="L693">
        <v>0.41666666666666674</v>
      </c>
      <c r="M693" t="s">
        <v>1010</v>
      </c>
    </row>
    <row r="694" spans="1:13" x14ac:dyDescent="0.25">
      <c r="A694" t="s">
        <v>1013</v>
      </c>
      <c r="B694" t="s">
        <v>1006</v>
      </c>
      <c r="C694" s="2">
        <v>45769.578112673611</v>
      </c>
      <c r="D694" s="2">
        <v>45769.037800925929</v>
      </c>
      <c r="E694" s="2">
        <v>45718.720149895831</v>
      </c>
      <c r="F694" t="s">
        <v>1007</v>
      </c>
      <c r="G694" t="s">
        <v>332</v>
      </c>
      <c r="H694" t="s">
        <v>335</v>
      </c>
      <c r="I694">
        <v>9</v>
      </c>
      <c r="J694">
        <v>45713</v>
      </c>
      <c r="K694">
        <v>0.41666666666666674</v>
      </c>
      <c r="L694">
        <v>0.41666666666666674</v>
      </c>
      <c r="M694" t="s">
        <v>1010</v>
      </c>
    </row>
    <row r="695" spans="1:13" x14ac:dyDescent="0.25">
      <c r="A695" t="s">
        <v>1014</v>
      </c>
      <c r="B695" t="s">
        <v>1006</v>
      </c>
      <c r="C695" s="2">
        <v>45769.578113090276</v>
      </c>
      <c r="D695" s="2">
        <v>45769.037800925929</v>
      </c>
      <c r="E695" s="2">
        <v>45719.845094884258</v>
      </c>
      <c r="F695" t="s">
        <v>1007</v>
      </c>
      <c r="G695" t="s">
        <v>332</v>
      </c>
      <c r="H695" t="s">
        <v>335</v>
      </c>
      <c r="I695">
        <v>9</v>
      </c>
      <c r="J695">
        <v>45713</v>
      </c>
      <c r="K695">
        <v>0.41666666666666674</v>
      </c>
      <c r="L695">
        <v>0.41666666666666674</v>
      </c>
      <c r="M695" t="s">
        <v>1010</v>
      </c>
    </row>
    <row r="696" spans="1:13" x14ac:dyDescent="0.25">
      <c r="A696" t="s">
        <v>1015</v>
      </c>
      <c r="B696" t="s">
        <v>1006</v>
      </c>
      <c r="C696" s="2">
        <v>45769.578113564814</v>
      </c>
      <c r="D696" s="2">
        <v>45726.85528935185</v>
      </c>
      <c r="E696" s="2">
        <v>45726.856810578705</v>
      </c>
      <c r="F696" t="s">
        <v>1007</v>
      </c>
      <c r="G696" t="s">
        <v>332</v>
      </c>
      <c r="H696" t="s">
        <v>335</v>
      </c>
      <c r="I696">
        <v>9</v>
      </c>
      <c r="J696">
        <v>45713</v>
      </c>
      <c r="K696">
        <v>0.41666666666666674</v>
      </c>
      <c r="L696">
        <v>0.41666666666666674</v>
      </c>
      <c r="M696" t="s">
        <v>1010</v>
      </c>
    </row>
    <row r="697" spans="1:13" x14ac:dyDescent="0.25">
      <c r="A697" t="s">
        <v>1016</v>
      </c>
      <c r="B697" t="s">
        <v>1006</v>
      </c>
      <c r="C697" s="2">
        <v>45769.578113993055</v>
      </c>
      <c r="D697" s="2">
        <v>45727.548941782406</v>
      </c>
      <c r="E697" s="2">
        <v>45727.544082731481</v>
      </c>
      <c r="F697" t="s">
        <v>1007</v>
      </c>
      <c r="G697" t="s">
        <v>332</v>
      </c>
      <c r="H697" t="s">
        <v>335</v>
      </c>
      <c r="I697">
        <v>9</v>
      </c>
      <c r="J697">
        <v>45713</v>
      </c>
      <c r="K697">
        <v>0.41666666666666674</v>
      </c>
      <c r="L697">
        <v>0.41666666666666674</v>
      </c>
      <c r="M697" t="s">
        <v>1010</v>
      </c>
    </row>
    <row r="698" spans="1:13" x14ac:dyDescent="0.25">
      <c r="A698" t="s">
        <v>1017</v>
      </c>
      <c r="B698" t="s">
        <v>1006</v>
      </c>
      <c r="C698" s="2">
        <v>45769.578114386575</v>
      </c>
      <c r="D698" s="2">
        <v>45730.674748101854</v>
      </c>
      <c r="E698" s="2">
        <v>45730.674747743054</v>
      </c>
      <c r="F698" t="s">
        <v>1007</v>
      </c>
      <c r="G698" t="s">
        <v>332</v>
      </c>
      <c r="H698" t="s">
        <v>335</v>
      </c>
      <c r="I698">
        <v>9</v>
      </c>
      <c r="J698">
        <v>45713</v>
      </c>
      <c r="K698">
        <v>0.41666666666666674</v>
      </c>
      <c r="L698">
        <v>0.41666666666666674</v>
      </c>
      <c r="M698" t="s">
        <v>1010</v>
      </c>
    </row>
    <row r="699" spans="1:13" x14ac:dyDescent="0.25">
      <c r="A699" t="s">
        <v>1019</v>
      </c>
      <c r="B699" t="s">
        <v>1006</v>
      </c>
      <c r="C699" s="2">
        <v>45769.578115219905</v>
      </c>
      <c r="D699" s="2">
        <v>45740.441161863426</v>
      </c>
      <c r="E699" s="2">
        <v>45740.441161643517</v>
      </c>
      <c r="F699" t="s">
        <v>1007</v>
      </c>
      <c r="G699" t="s">
        <v>332</v>
      </c>
      <c r="H699" t="s">
        <v>335</v>
      </c>
      <c r="I699">
        <v>9</v>
      </c>
      <c r="J699">
        <v>45713</v>
      </c>
      <c r="K699">
        <v>0.41666666666666674</v>
      </c>
      <c r="L699">
        <v>0.41666666666666674</v>
      </c>
      <c r="M699" t="s">
        <v>1010</v>
      </c>
    </row>
    <row r="700" spans="1:13" x14ac:dyDescent="0.25">
      <c r="A700" t="s">
        <v>1020</v>
      </c>
      <c r="B700" t="s">
        <v>1006</v>
      </c>
      <c r="C700" s="2">
        <v>45769.578115682867</v>
      </c>
      <c r="D700" s="2">
        <v>45747.434178240743</v>
      </c>
      <c r="E700" s="2">
        <v>45746.492342094905</v>
      </c>
      <c r="F700" t="s">
        <v>1007</v>
      </c>
      <c r="G700" t="s">
        <v>332</v>
      </c>
      <c r="H700" t="s">
        <v>335</v>
      </c>
      <c r="I700">
        <v>9</v>
      </c>
      <c r="J700">
        <v>45713</v>
      </c>
      <c r="K700">
        <v>0.41666666666666674</v>
      </c>
      <c r="L700">
        <v>0.41666666666666674</v>
      </c>
      <c r="M700" t="s">
        <v>1010</v>
      </c>
    </row>
    <row r="701" spans="1:13" x14ac:dyDescent="0.25">
      <c r="A701" t="s">
        <v>1021</v>
      </c>
      <c r="B701" t="s">
        <v>1006</v>
      </c>
      <c r="C701" s="2">
        <v>45769.578116168981</v>
      </c>
      <c r="D701" s="2">
        <v>45748.008692129632</v>
      </c>
      <c r="E701" s="2">
        <v>45760.803375069445</v>
      </c>
      <c r="F701" t="s">
        <v>1007</v>
      </c>
      <c r="G701" t="s">
        <v>332</v>
      </c>
      <c r="H701" t="s">
        <v>335</v>
      </c>
      <c r="I701">
        <v>9</v>
      </c>
      <c r="J701">
        <v>45713</v>
      </c>
      <c r="K701">
        <v>0.41666666666666674</v>
      </c>
      <c r="L701">
        <v>0.41666666666666674</v>
      </c>
      <c r="M701" t="s">
        <v>1010</v>
      </c>
    </row>
    <row r="702" spans="1:13" x14ac:dyDescent="0.25">
      <c r="A702" t="s">
        <v>1024</v>
      </c>
      <c r="B702" t="s">
        <v>1006</v>
      </c>
      <c r="C702" s="2">
        <v>45769.578117557867</v>
      </c>
      <c r="D702" s="2">
        <v>45755.522465879629</v>
      </c>
      <c r="E702" s="2">
        <v>45755.517505011572</v>
      </c>
      <c r="F702" t="s">
        <v>1007</v>
      </c>
      <c r="G702" t="s">
        <v>332</v>
      </c>
      <c r="H702" t="s">
        <v>335</v>
      </c>
      <c r="I702">
        <v>9</v>
      </c>
      <c r="J702">
        <v>45713</v>
      </c>
      <c r="K702">
        <v>0.41666666666666674</v>
      </c>
      <c r="L702">
        <v>0.41666666666666674</v>
      </c>
      <c r="M702" t="s">
        <v>1010</v>
      </c>
    </row>
    <row r="703" spans="1:13" x14ac:dyDescent="0.25">
      <c r="A703" t="s">
        <v>1025</v>
      </c>
      <c r="B703" t="s">
        <v>1006</v>
      </c>
      <c r="C703" s="2">
        <v>45769.578118020836</v>
      </c>
      <c r="D703" s="2">
        <v>45756.741511504631</v>
      </c>
      <c r="E703" s="2">
        <v>45756.741511087967</v>
      </c>
      <c r="F703" t="s">
        <v>1007</v>
      </c>
      <c r="G703" t="s">
        <v>332</v>
      </c>
      <c r="H703" t="s">
        <v>335</v>
      </c>
      <c r="I703">
        <v>9</v>
      </c>
      <c r="J703">
        <v>45713</v>
      </c>
      <c r="K703">
        <v>0.41666666666666674</v>
      </c>
      <c r="L703">
        <v>0.41666666666666674</v>
      </c>
      <c r="M703" t="s">
        <v>1010</v>
      </c>
    </row>
    <row r="704" spans="1:13" x14ac:dyDescent="0.25">
      <c r="A704" t="s">
        <v>1026</v>
      </c>
      <c r="B704" t="s">
        <v>1006</v>
      </c>
      <c r="C704" s="2">
        <v>45769.578118518519</v>
      </c>
      <c r="D704" s="2">
        <v>45758.796925532406</v>
      </c>
      <c r="E704" s="2">
        <v>45758.796925092596</v>
      </c>
      <c r="F704" t="s">
        <v>1007</v>
      </c>
      <c r="G704" t="s">
        <v>332</v>
      </c>
      <c r="H704" t="s">
        <v>335</v>
      </c>
      <c r="I704">
        <v>9</v>
      </c>
      <c r="J704">
        <v>45713</v>
      </c>
      <c r="K704">
        <v>0.41666666666666674</v>
      </c>
      <c r="L704">
        <v>0.41666666666666674</v>
      </c>
      <c r="M704" t="s">
        <v>1010</v>
      </c>
    </row>
    <row r="705" spans="1:13" x14ac:dyDescent="0.25">
      <c r="A705" t="s">
        <v>1027</v>
      </c>
      <c r="B705" t="s">
        <v>1006</v>
      </c>
      <c r="C705" s="2">
        <v>45769.578119039354</v>
      </c>
      <c r="D705" s="2">
        <v>45762.136261574073</v>
      </c>
      <c r="E705" s="2">
        <v>45761.611620300922</v>
      </c>
      <c r="F705" t="s">
        <v>1007</v>
      </c>
      <c r="G705" t="s">
        <v>332</v>
      </c>
      <c r="H705" t="s">
        <v>335</v>
      </c>
      <c r="I705">
        <v>9</v>
      </c>
      <c r="J705">
        <v>45713</v>
      </c>
      <c r="K705">
        <v>0.41666666666666674</v>
      </c>
      <c r="L705">
        <v>0.41666666666666674</v>
      </c>
      <c r="M705" t="s">
        <v>1010</v>
      </c>
    </row>
    <row r="706" spans="1:13" x14ac:dyDescent="0.25">
      <c r="A706" t="s">
        <v>1015</v>
      </c>
      <c r="B706" t="s">
        <v>1006</v>
      </c>
      <c r="C706" s="2">
        <v>45769.578113564814</v>
      </c>
      <c r="D706" s="2">
        <v>45726.85528935185</v>
      </c>
      <c r="E706" s="2">
        <v>45726.856810578705</v>
      </c>
      <c r="F706" t="s">
        <v>1007</v>
      </c>
      <c r="G706" t="s">
        <v>492</v>
      </c>
      <c r="H706" t="s">
        <v>497</v>
      </c>
      <c r="I706">
        <v>9</v>
      </c>
      <c r="J706">
        <v>45720</v>
      </c>
      <c r="K706">
        <v>0.64097222222222228</v>
      </c>
      <c r="L706">
        <v>0.625</v>
      </c>
      <c r="M706" t="s">
        <v>1009</v>
      </c>
    </row>
    <row r="707" spans="1:13" x14ac:dyDescent="0.25">
      <c r="A707" t="s">
        <v>1015</v>
      </c>
      <c r="B707" t="s">
        <v>1006</v>
      </c>
      <c r="C707" s="2">
        <v>45769.578113564814</v>
      </c>
      <c r="D707" s="2">
        <v>45726.85528935185</v>
      </c>
      <c r="E707" s="2">
        <v>45726.856810578705</v>
      </c>
      <c r="F707" t="s">
        <v>1007</v>
      </c>
      <c r="G707" t="s">
        <v>484</v>
      </c>
      <c r="H707" t="s">
        <v>487</v>
      </c>
      <c r="I707">
        <v>9</v>
      </c>
      <c r="J707">
        <v>45720</v>
      </c>
      <c r="K707">
        <v>0.79126157407407405</v>
      </c>
      <c r="L707">
        <v>0.75</v>
      </c>
      <c r="M707" t="s">
        <v>1008</v>
      </c>
    </row>
    <row r="708" spans="1:13" x14ac:dyDescent="0.25">
      <c r="A708" t="s">
        <v>1016</v>
      </c>
      <c r="B708" t="s">
        <v>1006</v>
      </c>
      <c r="C708" s="2">
        <v>45769.578113993055</v>
      </c>
      <c r="D708" s="2">
        <v>45727.548941782406</v>
      </c>
      <c r="E708" s="2">
        <v>45727.544082731481</v>
      </c>
      <c r="F708" t="s">
        <v>1007</v>
      </c>
      <c r="G708" t="s">
        <v>492</v>
      </c>
      <c r="H708" t="s">
        <v>497</v>
      </c>
      <c r="I708">
        <v>9</v>
      </c>
      <c r="J708">
        <v>45720</v>
      </c>
      <c r="K708">
        <v>0.64097222222222228</v>
      </c>
      <c r="L708">
        <v>0.625</v>
      </c>
      <c r="M708" t="s">
        <v>1009</v>
      </c>
    </row>
    <row r="709" spans="1:13" x14ac:dyDescent="0.25">
      <c r="A709" t="s">
        <v>1016</v>
      </c>
      <c r="B709" t="s">
        <v>1006</v>
      </c>
      <c r="C709" s="2">
        <v>45769.578113993055</v>
      </c>
      <c r="D709" s="2">
        <v>45727.548941782406</v>
      </c>
      <c r="E709" s="2">
        <v>45727.544082731481</v>
      </c>
      <c r="F709" t="s">
        <v>1007</v>
      </c>
      <c r="G709" t="s">
        <v>484</v>
      </c>
      <c r="H709" t="s">
        <v>487</v>
      </c>
      <c r="I709">
        <v>9</v>
      </c>
      <c r="J709">
        <v>45720</v>
      </c>
      <c r="K709">
        <v>0.79126157407407405</v>
      </c>
      <c r="L709">
        <v>0.75</v>
      </c>
      <c r="M709" t="s">
        <v>1008</v>
      </c>
    </row>
    <row r="710" spans="1:13" x14ac:dyDescent="0.25">
      <c r="A710" t="s">
        <v>1017</v>
      </c>
      <c r="B710" t="s">
        <v>1006</v>
      </c>
      <c r="C710" s="2">
        <v>45769.578114386575</v>
      </c>
      <c r="D710" s="2">
        <v>45730.674748101854</v>
      </c>
      <c r="E710" s="2">
        <v>45730.674747743054</v>
      </c>
      <c r="F710" t="s">
        <v>1007</v>
      </c>
      <c r="G710" t="s">
        <v>492</v>
      </c>
      <c r="H710" t="s">
        <v>497</v>
      </c>
      <c r="I710">
        <v>9</v>
      </c>
      <c r="J710">
        <v>45720</v>
      </c>
      <c r="K710">
        <v>0.64097222222222228</v>
      </c>
      <c r="L710">
        <v>0.625</v>
      </c>
      <c r="M710" t="s">
        <v>1009</v>
      </c>
    </row>
    <row r="711" spans="1:13" x14ac:dyDescent="0.25">
      <c r="A711" t="s">
        <v>1017</v>
      </c>
      <c r="B711" t="s">
        <v>1006</v>
      </c>
      <c r="C711" s="2">
        <v>45769.578114386575</v>
      </c>
      <c r="D711" s="2">
        <v>45730.674748101854</v>
      </c>
      <c r="E711" s="2">
        <v>45730.674747743054</v>
      </c>
      <c r="F711" t="s">
        <v>1007</v>
      </c>
      <c r="G711" t="s">
        <v>484</v>
      </c>
      <c r="H711" t="s">
        <v>487</v>
      </c>
      <c r="I711">
        <v>9</v>
      </c>
      <c r="J711">
        <v>45720</v>
      </c>
      <c r="K711">
        <v>0.79126157407407405</v>
      </c>
      <c r="L711">
        <v>0.75</v>
      </c>
      <c r="M711" t="s">
        <v>1008</v>
      </c>
    </row>
    <row r="712" spans="1:13" x14ac:dyDescent="0.25">
      <c r="A712" t="s">
        <v>1018</v>
      </c>
      <c r="B712" t="s">
        <v>1006</v>
      </c>
      <c r="C712" s="2">
        <v>45769.57811480324</v>
      </c>
      <c r="D712" s="2">
        <v>45733.745818009258</v>
      </c>
      <c r="E712" s="2">
        <v>45733.449234282409</v>
      </c>
      <c r="F712" t="s">
        <v>1007</v>
      </c>
      <c r="G712" t="s">
        <v>492</v>
      </c>
      <c r="H712" t="s">
        <v>497</v>
      </c>
      <c r="I712">
        <v>9</v>
      </c>
      <c r="J712">
        <v>45720</v>
      </c>
      <c r="K712">
        <v>0.64097222222222228</v>
      </c>
      <c r="L712">
        <v>0.625</v>
      </c>
      <c r="M712" t="s">
        <v>1009</v>
      </c>
    </row>
    <row r="713" spans="1:13" x14ac:dyDescent="0.25">
      <c r="A713" t="s">
        <v>1018</v>
      </c>
      <c r="B713" t="s">
        <v>1006</v>
      </c>
      <c r="C713" s="2">
        <v>45769.57811480324</v>
      </c>
      <c r="D713" s="2">
        <v>45733.745818009258</v>
      </c>
      <c r="E713" s="2">
        <v>45733.449234282409</v>
      </c>
      <c r="F713" t="s">
        <v>1007</v>
      </c>
      <c r="G713" t="s">
        <v>484</v>
      </c>
      <c r="H713" t="s">
        <v>487</v>
      </c>
      <c r="I713">
        <v>9</v>
      </c>
      <c r="J713">
        <v>45720</v>
      </c>
      <c r="K713">
        <v>0.79126157407407405</v>
      </c>
      <c r="L713">
        <v>0.75</v>
      </c>
      <c r="M713" t="s">
        <v>1008</v>
      </c>
    </row>
    <row r="714" spans="1:13" x14ac:dyDescent="0.25">
      <c r="A714" t="s">
        <v>1019</v>
      </c>
      <c r="B714" t="s">
        <v>1006</v>
      </c>
      <c r="C714" s="2">
        <v>45769.578115219905</v>
      </c>
      <c r="D714" s="2">
        <v>45740.441161863426</v>
      </c>
      <c r="E714" s="2">
        <v>45740.441161643517</v>
      </c>
      <c r="F714" t="s">
        <v>1007</v>
      </c>
      <c r="G714" t="s">
        <v>492</v>
      </c>
      <c r="H714" t="s">
        <v>497</v>
      </c>
      <c r="I714">
        <v>9</v>
      </c>
      <c r="J714">
        <v>45720</v>
      </c>
      <c r="K714">
        <v>0.64097222222222228</v>
      </c>
      <c r="L714">
        <v>0.625</v>
      </c>
      <c r="M714" t="s">
        <v>1009</v>
      </c>
    </row>
    <row r="715" spans="1:13" x14ac:dyDescent="0.25">
      <c r="A715" t="s">
        <v>1019</v>
      </c>
      <c r="B715" t="s">
        <v>1006</v>
      </c>
      <c r="C715" s="2">
        <v>45769.578115219905</v>
      </c>
      <c r="D715" s="2">
        <v>45740.441161863426</v>
      </c>
      <c r="E715" s="2">
        <v>45740.441161643517</v>
      </c>
      <c r="F715" t="s">
        <v>1007</v>
      </c>
      <c r="G715" t="s">
        <v>484</v>
      </c>
      <c r="H715" t="s">
        <v>487</v>
      </c>
      <c r="I715">
        <v>9</v>
      </c>
      <c r="J715">
        <v>45720</v>
      </c>
      <c r="K715">
        <v>0.79126157407407405</v>
      </c>
      <c r="L715">
        <v>0.75</v>
      </c>
      <c r="M715" t="s">
        <v>1008</v>
      </c>
    </row>
    <row r="716" spans="1:13" x14ac:dyDescent="0.25">
      <c r="A716" t="s">
        <v>1020</v>
      </c>
      <c r="B716" t="s">
        <v>1006</v>
      </c>
      <c r="C716" s="2">
        <v>45769.578115682867</v>
      </c>
      <c r="D716" s="2">
        <v>45747.434178240743</v>
      </c>
      <c r="E716" s="2">
        <v>45746.492342094905</v>
      </c>
      <c r="F716" t="s">
        <v>1007</v>
      </c>
      <c r="G716" t="s">
        <v>492</v>
      </c>
      <c r="H716" t="s">
        <v>497</v>
      </c>
      <c r="I716">
        <v>9</v>
      </c>
      <c r="J716">
        <v>45720</v>
      </c>
      <c r="K716">
        <v>0.64097222222222228</v>
      </c>
      <c r="L716">
        <v>0.625</v>
      </c>
      <c r="M716" t="s">
        <v>1009</v>
      </c>
    </row>
    <row r="717" spans="1:13" x14ac:dyDescent="0.25">
      <c r="A717" t="s">
        <v>1020</v>
      </c>
      <c r="B717" t="s">
        <v>1006</v>
      </c>
      <c r="C717" s="2">
        <v>45769.578115682867</v>
      </c>
      <c r="D717" s="2">
        <v>45747.434178240743</v>
      </c>
      <c r="E717" s="2">
        <v>45746.492342094905</v>
      </c>
      <c r="F717" t="s">
        <v>1007</v>
      </c>
      <c r="G717" t="s">
        <v>484</v>
      </c>
      <c r="H717" t="s">
        <v>487</v>
      </c>
      <c r="I717">
        <v>9</v>
      </c>
      <c r="J717">
        <v>45720</v>
      </c>
      <c r="K717">
        <v>0.79126157407407405</v>
      </c>
      <c r="L717">
        <v>0.75</v>
      </c>
      <c r="M717" t="s">
        <v>1008</v>
      </c>
    </row>
    <row r="718" spans="1:13" x14ac:dyDescent="0.25">
      <c r="A718" t="s">
        <v>1021</v>
      </c>
      <c r="B718" t="s">
        <v>1006</v>
      </c>
      <c r="C718" s="2">
        <v>45769.578116168981</v>
      </c>
      <c r="D718" s="2">
        <v>45748.008692129632</v>
      </c>
      <c r="E718" s="2">
        <v>45760.803375069445</v>
      </c>
      <c r="F718" t="s">
        <v>1007</v>
      </c>
      <c r="G718" t="s">
        <v>492</v>
      </c>
      <c r="H718" t="s">
        <v>497</v>
      </c>
      <c r="I718">
        <v>9</v>
      </c>
      <c r="J718">
        <v>45720</v>
      </c>
      <c r="K718">
        <v>0.64097222222222228</v>
      </c>
      <c r="L718">
        <v>0.625</v>
      </c>
      <c r="M718" t="s">
        <v>1009</v>
      </c>
    </row>
    <row r="719" spans="1:13" x14ac:dyDescent="0.25">
      <c r="A719" t="s">
        <v>1021</v>
      </c>
      <c r="B719" t="s">
        <v>1006</v>
      </c>
      <c r="C719" s="2">
        <v>45769.578116168981</v>
      </c>
      <c r="D719" s="2">
        <v>45748.008692129632</v>
      </c>
      <c r="E719" s="2">
        <v>45760.803375069445</v>
      </c>
      <c r="F719" t="s">
        <v>1007</v>
      </c>
      <c r="G719" t="s">
        <v>484</v>
      </c>
      <c r="H719" t="s">
        <v>487</v>
      </c>
      <c r="I719">
        <v>9</v>
      </c>
      <c r="J719">
        <v>45720</v>
      </c>
      <c r="K719">
        <v>0.79126157407407405</v>
      </c>
      <c r="L719">
        <v>0.75</v>
      </c>
      <c r="M719" t="s">
        <v>1008</v>
      </c>
    </row>
    <row r="720" spans="1:13" x14ac:dyDescent="0.25">
      <c r="A720" t="s">
        <v>1022</v>
      </c>
      <c r="B720" t="s">
        <v>1006</v>
      </c>
      <c r="C720" s="2">
        <v>45769.578116643519</v>
      </c>
      <c r="D720" s="2">
        <v>45751.761859537037</v>
      </c>
      <c r="E720" s="2">
        <v>45751.761740069443</v>
      </c>
      <c r="F720" t="s">
        <v>1007</v>
      </c>
      <c r="G720" t="s">
        <v>492</v>
      </c>
      <c r="H720" t="s">
        <v>497</v>
      </c>
      <c r="I720">
        <v>9</v>
      </c>
      <c r="J720">
        <v>45720</v>
      </c>
      <c r="K720">
        <v>0.64097222222222228</v>
      </c>
      <c r="L720">
        <v>0.625</v>
      </c>
      <c r="M720" t="s">
        <v>1009</v>
      </c>
    </row>
    <row r="721" spans="1:13" x14ac:dyDescent="0.25">
      <c r="A721" t="s">
        <v>1022</v>
      </c>
      <c r="B721" t="s">
        <v>1006</v>
      </c>
      <c r="C721" s="2">
        <v>45769.578116643519</v>
      </c>
      <c r="D721" s="2">
        <v>45751.761859537037</v>
      </c>
      <c r="E721" s="2">
        <v>45751.761740069443</v>
      </c>
      <c r="F721" t="s">
        <v>1007</v>
      </c>
      <c r="G721" t="s">
        <v>484</v>
      </c>
      <c r="H721" t="s">
        <v>487</v>
      </c>
      <c r="I721">
        <v>9</v>
      </c>
      <c r="J721">
        <v>45720</v>
      </c>
      <c r="K721">
        <v>0.79126157407407405</v>
      </c>
      <c r="L721">
        <v>0.75</v>
      </c>
      <c r="M721" t="s">
        <v>1008</v>
      </c>
    </row>
    <row r="722" spans="1:13" x14ac:dyDescent="0.25">
      <c r="A722" t="s">
        <v>1023</v>
      </c>
      <c r="B722" t="s">
        <v>1006</v>
      </c>
      <c r="C722" s="2">
        <v>45769.578117118057</v>
      </c>
      <c r="D722" s="2">
        <v>45753.105104166665</v>
      </c>
      <c r="E722" s="2">
        <v>45753.107311701388</v>
      </c>
      <c r="F722" t="s">
        <v>1007</v>
      </c>
      <c r="G722" t="s">
        <v>492</v>
      </c>
      <c r="H722" t="s">
        <v>497</v>
      </c>
      <c r="I722">
        <v>9</v>
      </c>
      <c r="J722">
        <v>45720</v>
      </c>
      <c r="K722">
        <v>0.64097222222222228</v>
      </c>
      <c r="L722">
        <v>0.625</v>
      </c>
      <c r="M722" t="s">
        <v>1009</v>
      </c>
    </row>
    <row r="723" spans="1:13" x14ac:dyDescent="0.25">
      <c r="A723" t="s">
        <v>1023</v>
      </c>
      <c r="B723" t="s">
        <v>1006</v>
      </c>
      <c r="C723" s="2">
        <v>45769.578117118057</v>
      </c>
      <c r="D723" s="2">
        <v>45753.105104166665</v>
      </c>
      <c r="E723" s="2">
        <v>45753.107311701388</v>
      </c>
      <c r="F723" t="s">
        <v>1007</v>
      </c>
      <c r="G723" t="s">
        <v>484</v>
      </c>
      <c r="H723" t="s">
        <v>487</v>
      </c>
      <c r="I723">
        <v>9</v>
      </c>
      <c r="J723">
        <v>45720</v>
      </c>
      <c r="K723">
        <v>0.79126157407407405</v>
      </c>
      <c r="L723">
        <v>0.75</v>
      </c>
      <c r="M723" t="s">
        <v>1008</v>
      </c>
    </row>
    <row r="724" spans="1:13" x14ac:dyDescent="0.25">
      <c r="A724" t="s">
        <v>1024</v>
      </c>
      <c r="B724" t="s">
        <v>1006</v>
      </c>
      <c r="C724" s="2">
        <v>45769.578117557867</v>
      </c>
      <c r="D724" s="2">
        <v>45755.522465879629</v>
      </c>
      <c r="E724" s="2">
        <v>45755.517505011572</v>
      </c>
      <c r="F724" t="s">
        <v>1007</v>
      </c>
      <c r="G724" t="s">
        <v>492</v>
      </c>
      <c r="H724" t="s">
        <v>497</v>
      </c>
      <c r="I724">
        <v>9</v>
      </c>
      <c r="J724">
        <v>45720</v>
      </c>
      <c r="K724">
        <v>0.64097222222222228</v>
      </c>
      <c r="L724">
        <v>0.625</v>
      </c>
      <c r="M724" t="s">
        <v>1009</v>
      </c>
    </row>
    <row r="725" spans="1:13" x14ac:dyDescent="0.25">
      <c r="A725" t="s">
        <v>1024</v>
      </c>
      <c r="B725" t="s">
        <v>1006</v>
      </c>
      <c r="C725" s="2">
        <v>45769.578117557867</v>
      </c>
      <c r="D725" s="2">
        <v>45755.522465879629</v>
      </c>
      <c r="E725" s="2">
        <v>45755.517505011572</v>
      </c>
      <c r="F725" t="s">
        <v>1007</v>
      </c>
      <c r="G725" t="s">
        <v>484</v>
      </c>
      <c r="H725" t="s">
        <v>487</v>
      </c>
      <c r="I725">
        <v>9</v>
      </c>
      <c r="J725">
        <v>45720</v>
      </c>
      <c r="K725">
        <v>0.79126157407407405</v>
      </c>
      <c r="L725">
        <v>0.75</v>
      </c>
      <c r="M725" t="s">
        <v>1008</v>
      </c>
    </row>
    <row r="726" spans="1:13" x14ac:dyDescent="0.25">
      <c r="A726" t="s">
        <v>1025</v>
      </c>
      <c r="B726" t="s">
        <v>1006</v>
      </c>
      <c r="C726" s="2">
        <v>45769.578118020836</v>
      </c>
      <c r="D726" s="2">
        <v>45756.741511504631</v>
      </c>
      <c r="E726" s="2">
        <v>45756.741511087967</v>
      </c>
      <c r="F726" t="s">
        <v>1007</v>
      </c>
      <c r="G726" t="s">
        <v>492</v>
      </c>
      <c r="H726" t="s">
        <v>497</v>
      </c>
      <c r="I726">
        <v>9</v>
      </c>
      <c r="J726">
        <v>45720</v>
      </c>
      <c r="K726">
        <v>0.64097222222222228</v>
      </c>
      <c r="L726">
        <v>0.625</v>
      </c>
      <c r="M726" t="s">
        <v>1009</v>
      </c>
    </row>
    <row r="727" spans="1:13" x14ac:dyDescent="0.25">
      <c r="A727" t="s">
        <v>1025</v>
      </c>
      <c r="B727" t="s">
        <v>1006</v>
      </c>
      <c r="C727" s="2">
        <v>45769.578118020836</v>
      </c>
      <c r="D727" s="2">
        <v>45756.741511504631</v>
      </c>
      <c r="E727" s="2">
        <v>45756.741511087967</v>
      </c>
      <c r="F727" t="s">
        <v>1007</v>
      </c>
      <c r="G727" t="s">
        <v>484</v>
      </c>
      <c r="H727" t="s">
        <v>487</v>
      </c>
      <c r="I727">
        <v>9</v>
      </c>
      <c r="J727">
        <v>45720</v>
      </c>
      <c r="K727">
        <v>0.79126157407407405</v>
      </c>
      <c r="L727">
        <v>0.75</v>
      </c>
      <c r="M727" t="s">
        <v>1008</v>
      </c>
    </row>
    <row r="728" spans="1:13" x14ac:dyDescent="0.25">
      <c r="A728" t="s">
        <v>1026</v>
      </c>
      <c r="B728" t="s">
        <v>1006</v>
      </c>
      <c r="C728" s="2">
        <v>45769.578118518519</v>
      </c>
      <c r="D728" s="2">
        <v>45758.796925532406</v>
      </c>
      <c r="E728" s="2">
        <v>45758.796925092596</v>
      </c>
      <c r="F728" t="s">
        <v>1007</v>
      </c>
      <c r="G728" t="s">
        <v>492</v>
      </c>
      <c r="H728" t="s">
        <v>497</v>
      </c>
      <c r="I728">
        <v>9</v>
      </c>
      <c r="J728">
        <v>45720</v>
      </c>
      <c r="K728">
        <v>0.64097222222222228</v>
      </c>
      <c r="L728">
        <v>0.625</v>
      </c>
      <c r="M728" t="s">
        <v>1009</v>
      </c>
    </row>
    <row r="729" spans="1:13" x14ac:dyDescent="0.25">
      <c r="A729" t="s">
        <v>1026</v>
      </c>
      <c r="B729" t="s">
        <v>1006</v>
      </c>
      <c r="C729" s="2">
        <v>45769.578118518519</v>
      </c>
      <c r="D729" s="2">
        <v>45758.796925532406</v>
      </c>
      <c r="E729" s="2">
        <v>45758.796925092596</v>
      </c>
      <c r="F729" t="s">
        <v>1007</v>
      </c>
      <c r="G729" t="s">
        <v>484</v>
      </c>
      <c r="H729" t="s">
        <v>487</v>
      </c>
      <c r="I729">
        <v>9</v>
      </c>
      <c r="J729">
        <v>45720</v>
      </c>
      <c r="K729">
        <v>0.79126157407407405</v>
      </c>
      <c r="L729">
        <v>0.75</v>
      </c>
      <c r="M729" t="s">
        <v>1008</v>
      </c>
    </row>
    <row r="730" spans="1:13" x14ac:dyDescent="0.25">
      <c r="A730" t="s">
        <v>1027</v>
      </c>
      <c r="B730" t="s">
        <v>1006</v>
      </c>
      <c r="C730" s="2">
        <v>45769.578119039354</v>
      </c>
      <c r="D730" s="2">
        <v>45762.136261574073</v>
      </c>
      <c r="E730" s="2">
        <v>45761.611620300922</v>
      </c>
      <c r="F730" t="s">
        <v>1007</v>
      </c>
      <c r="G730" t="s">
        <v>492</v>
      </c>
      <c r="H730" t="s">
        <v>497</v>
      </c>
      <c r="I730">
        <v>9</v>
      </c>
      <c r="J730">
        <v>45720</v>
      </c>
      <c r="K730">
        <v>0.64097222222222228</v>
      </c>
      <c r="L730">
        <v>0.625</v>
      </c>
      <c r="M730" t="s">
        <v>1009</v>
      </c>
    </row>
    <row r="731" spans="1:13" x14ac:dyDescent="0.25">
      <c r="A731" t="s">
        <v>1027</v>
      </c>
      <c r="B731" t="s">
        <v>1006</v>
      </c>
      <c r="C731" s="2">
        <v>45769.578119039354</v>
      </c>
      <c r="D731" s="2">
        <v>45762.136261574073</v>
      </c>
      <c r="E731" s="2">
        <v>45761.611620300922</v>
      </c>
      <c r="F731" t="s">
        <v>1007</v>
      </c>
      <c r="G731" t="s">
        <v>484</v>
      </c>
      <c r="H731" t="s">
        <v>487</v>
      </c>
      <c r="I731">
        <v>9</v>
      </c>
      <c r="J731">
        <v>45720</v>
      </c>
      <c r="K731">
        <v>0.79126157407407405</v>
      </c>
      <c r="L731">
        <v>0.75</v>
      </c>
      <c r="M731" t="s">
        <v>1008</v>
      </c>
    </row>
    <row r="732" spans="1:13" x14ac:dyDescent="0.25">
      <c r="A732" t="s">
        <v>1442</v>
      </c>
      <c r="B732" t="s">
        <v>1006</v>
      </c>
      <c r="C732" s="2">
        <v>45769.578120150465</v>
      </c>
      <c r="D732" s="2">
        <v>45764.657094907408</v>
      </c>
      <c r="E732" s="2">
        <v>45764.945923333333</v>
      </c>
      <c r="F732" t="s">
        <v>1007</v>
      </c>
      <c r="G732" t="s">
        <v>492</v>
      </c>
      <c r="H732" t="s">
        <v>497</v>
      </c>
      <c r="I732">
        <v>9</v>
      </c>
      <c r="J732">
        <v>45720</v>
      </c>
      <c r="K732">
        <v>0.64097222222222228</v>
      </c>
      <c r="L732">
        <v>0.625</v>
      </c>
      <c r="M732" t="s">
        <v>1009</v>
      </c>
    </row>
    <row r="733" spans="1:13" x14ac:dyDescent="0.25">
      <c r="A733" t="s">
        <v>1442</v>
      </c>
      <c r="B733" t="s">
        <v>1006</v>
      </c>
      <c r="C733" s="2">
        <v>45769.578120150465</v>
      </c>
      <c r="D733" s="2">
        <v>45764.657094907408</v>
      </c>
      <c r="E733" s="2">
        <v>45764.945923333333</v>
      </c>
      <c r="F733" t="s">
        <v>1007</v>
      </c>
      <c r="G733" t="s">
        <v>484</v>
      </c>
      <c r="H733" t="s">
        <v>487</v>
      </c>
      <c r="I733">
        <v>9</v>
      </c>
      <c r="J733">
        <v>45720</v>
      </c>
      <c r="K733">
        <v>0.79126157407407405</v>
      </c>
      <c r="L733">
        <v>0.75</v>
      </c>
      <c r="M733" t="s">
        <v>1008</v>
      </c>
    </row>
    <row r="734" spans="1:13" x14ac:dyDescent="0.25">
      <c r="A734" t="s">
        <v>1445</v>
      </c>
      <c r="B734" t="s">
        <v>1006</v>
      </c>
      <c r="C734" s="2">
        <v>45769.57812071759</v>
      </c>
      <c r="D734" s="2">
        <v>45765.917060185187</v>
      </c>
      <c r="E734" s="2">
        <v>45765.918956886577</v>
      </c>
      <c r="F734" t="s">
        <v>1007</v>
      </c>
      <c r="G734" t="s">
        <v>492</v>
      </c>
      <c r="H734" t="s">
        <v>497</v>
      </c>
      <c r="I734">
        <v>9</v>
      </c>
      <c r="J734">
        <v>45720</v>
      </c>
      <c r="K734">
        <v>0.64097222222222228</v>
      </c>
      <c r="L734">
        <v>0.625</v>
      </c>
      <c r="M734" t="s">
        <v>1009</v>
      </c>
    </row>
    <row r="735" spans="1:13" x14ac:dyDescent="0.25">
      <c r="A735" t="s">
        <v>1445</v>
      </c>
      <c r="B735" t="s">
        <v>1006</v>
      </c>
      <c r="C735" s="2">
        <v>45769.57812071759</v>
      </c>
      <c r="D735" s="2">
        <v>45765.917060185187</v>
      </c>
      <c r="E735" s="2">
        <v>45765.918956886577</v>
      </c>
      <c r="F735" t="s">
        <v>1007</v>
      </c>
      <c r="G735" t="s">
        <v>484</v>
      </c>
      <c r="H735" t="s">
        <v>487</v>
      </c>
      <c r="I735">
        <v>9</v>
      </c>
      <c r="J735">
        <v>45720</v>
      </c>
      <c r="K735">
        <v>0.79126157407407405</v>
      </c>
      <c r="L735">
        <v>0.75</v>
      </c>
      <c r="M735" t="s">
        <v>1008</v>
      </c>
    </row>
    <row r="736" spans="1:13" x14ac:dyDescent="0.25">
      <c r="A736" t="s">
        <v>1446</v>
      </c>
      <c r="B736" t="s">
        <v>1006</v>
      </c>
      <c r="C736" s="2">
        <v>45769.578121180559</v>
      </c>
      <c r="D736" s="2">
        <v>45769.420274479169</v>
      </c>
      <c r="E736" s="2">
        <v>45769.420274166667</v>
      </c>
      <c r="F736" t="s">
        <v>1007</v>
      </c>
      <c r="G736" t="s">
        <v>492</v>
      </c>
      <c r="H736" t="s">
        <v>497</v>
      </c>
      <c r="I736">
        <v>9</v>
      </c>
      <c r="J736">
        <v>45720</v>
      </c>
      <c r="K736">
        <v>0.64097222222222228</v>
      </c>
      <c r="L736">
        <v>0.625</v>
      </c>
      <c r="M736" t="s">
        <v>1009</v>
      </c>
    </row>
    <row r="737" spans="1:13" x14ac:dyDescent="0.25">
      <c r="A737" t="s">
        <v>1446</v>
      </c>
      <c r="B737" t="s">
        <v>1006</v>
      </c>
      <c r="C737" s="2">
        <v>45769.578121180559</v>
      </c>
      <c r="D737" s="2">
        <v>45769.420274479169</v>
      </c>
      <c r="E737" s="2">
        <v>45769.420274166667</v>
      </c>
      <c r="F737" t="s">
        <v>1007</v>
      </c>
      <c r="G737" t="s">
        <v>484</v>
      </c>
      <c r="H737" t="s">
        <v>487</v>
      </c>
      <c r="I737">
        <v>9</v>
      </c>
      <c r="J737">
        <v>45720</v>
      </c>
      <c r="K737">
        <v>0.79126157407407405</v>
      </c>
      <c r="L737">
        <v>0.75</v>
      </c>
      <c r="M737" t="s">
        <v>1008</v>
      </c>
    </row>
    <row r="738" spans="1:13" x14ac:dyDescent="0.25">
      <c r="A738" t="s">
        <v>1459</v>
      </c>
      <c r="B738" t="s">
        <v>1006</v>
      </c>
      <c r="C738" s="2">
        <v>45769.578121631945</v>
      </c>
      <c r="D738" s="2">
        <v>45755.429071284721</v>
      </c>
      <c r="E738" s="2">
        <v>45755.429071030092</v>
      </c>
      <c r="F738" t="s">
        <v>1007</v>
      </c>
      <c r="G738" t="s">
        <v>492</v>
      </c>
      <c r="H738" t="s">
        <v>497</v>
      </c>
      <c r="I738">
        <v>9</v>
      </c>
      <c r="J738">
        <v>45720</v>
      </c>
      <c r="K738">
        <v>0.64097222222222228</v>
      </c>
      <c r="L738">
        <v>0.625</v>
      </c>
      <c r="M738" t="s">
        <v>1009</v>
      </c>
    </row>
    <row r="739" spans="1:13" x14ac:dyDescent="0.25">
      <c r="A739" t="s">
        <v>1459</v>
      </c>
      <c r="B739" t="s">
        <v>1006</v>
      </c>
      <c r="C739" s="2">
        <v>45769.578121631945</v>
      </c>
      <c r="D739" s="2">
        <v>45755.429071284721</v>
      </c>
      <c r="E739" s="2">
        <v>45755.429071030092</v>
      </c>
      <c r="F739" t="s">
        <v>1007</v>
      </c>
      <c r="G739" t="s">
        <v>484</v>
      </c>
      <c r="H739" t="s">
        <v>487</v>
      </c>
      <c r="I739">
        <v>9</v>
      </c>
      <c r="J739">
        <v>45720</v>
      </c>
      <c r="K739">
        <v>0.79126157407407405</v>
      </c>
      <c r="L739">
        <v>0.75</v>
      </c>
      <c r="M739" t="s">
        <v>1008</v>
      </c>
    </row>
    <row r="740" spans="1:13" x14ac:dyDescent="0.25">
      <c r="A740" t="s">
        <v>1015</v>
      </c>
      <c r="B740" t="s">
        <v>1006</v>
      </c>
      <c r="C740" s="2">
        <v>45769.578113564814</v>
      </c>
      <c r="D740" s="2">
        <v>45726.85528935185</v>
      </c>
      <c r="E740" s="2">
        <v>45726.856810578705</v>
      </c>
      <c r="F740" t="s">
        <v>1007</v>
      </c>
      <c r="G740" t="s">
        <v>460</v>
      </c>
      <c r="H740" t="s">
        <v>464</v>
      </c>
      <c r="I740">
        <v>9</v>
      </c>
      <c r="J740">
        <v>45722</v>
      </c>
      <c r="K740">
        <v>0.94149305555555562</v>
      </c>
      <c r="L740">
        <v>0.91666666666666674</v>
      </c>
      <c r="M740" t="s">
        <v>1008</v>
      </c>
    </row>
    <row r="741" spans="1:13" x14ac:dyDescent="0.25">
      <c r="A741" t="s">
        <v>1016</v>
      </c>
      <c r="B741" t="s">
        <v>1006</v>
      </c>
      <c r="C741" s="2">
        <v>45769.578113993055</v>
      </c>
      <c r="D741" s="2">
        <v>45727.548941782406</v>
      </c>
      <c r="E741" s="2">
        <v>45727.544082731481</v>
      </c>
      <c r="F741" t="s">
        <v>1007</v>
      </c>
      <c r="G741" t="s">
        <v>460</v>
      </c>
      <c r="H741" t="s">
        <v>464</v>
      </c>
      <c r="I741">
        <v>9</v>
      </c>
      <c r="J741">
        <v>45722</v>
      </c>
      <c r="K741">
        <v>0.94149305555555562</v>
      </c>
      <c r="L741">
        <v>0.91666666666666674</v>
      </c>
      <c r="M741" t="s">
        <v>1008</v>
      </c>
    </row>
    <row r="742" spans="1:13" x14ac:dyDescent="0.25">
      <c r="A742" t="s">
        <v>1017</v>
      </c>
      <c r="B742" t="s">
        <v>1006</v>
      </c>
      <c r="C742" s="2">
        <v>45769.578114386575</v>
      </c>
      <c r="D742" s="2">
        <v>45730.674748101854</v>
      </c>
      <c r="E742" s="2">
        <v>45730.674747743054</v>
      </c>
      <c r="F742" t="s">
        <v>1007</v>
      </c>
      <c r="G742" t="s">
        <v>460</v>
      </c>
      <c r="H742" t="s">
        <v>464</v>
      </c>
      <c r="I742">
        <v>9</v>
      </c>
      <c r="J742">
        <v>45722</v>
      </c>
      <c r="K742">
        <v>0.94149305555555562</v>
      </c>
      <c r="L742">
        <v>0.91666666666666674</v>
      </c>
      <c r="M742" t="s">
        <v>1008</v>
      </c>
    </row>
    <row r="743" spans="1:13" x14ac:dyDescent="0.25">
      <c r="A743" t="s">
        <v>1018</v>
      </c>
      <c r="B743" t="s">
        <v>1006</v>
      </c>
      <c r="C743" s="2">
        <v>45769.57811480324</v>
      </c>
      <c r="D743" s="2">
        <v>45733.745818009258</v>
      </c>
      <c r="E743" s="2">
        <v>45733.449234282409</v>
      </c>
      <c r="F743" t="s">
        <v>1007</v>
      </c>
      <c r="G743" t="s">
        <v>460</v>
      </c>
      <c r="H743" t="s">
        <v>464</v>
      </c>
      <c r="I743">
        <v>9</v>
      </c>
      <c r="J743">
        <v>45722</v>
      </c>
      <c r="K743">
        <v>0.94149305555555562</v>
      </c>
      <c r="L743">
        <v>0.91666666666666674</v>
      </c>
      <c r="M743" t="s">
        <v>1008</v>
      </c>
    </row>
    <row r="744" spans="1:13" x14ac:dyDescent="0.25">
      <c r="A744" t="s">
        <v>1019</v>
      </c>
      <c r="B744" t="s">
        <v>1006</v>
      </c>
      <c r="C744" s="2">
        <v>45769.578115219905</v>
      </c>
      <c r="D744" s="2">
        <v>45740.441161863426</v>
      </c>
      <c r="E744" s="2">
        <v>45740.441161643517</v>
      </c>
      <c r="F744" t="s">
        <v>1007</v>
      </c>
      <c r="G744" t="s">
        <v>460</v>
      </c>
      <c r="H744" t="s">
        <v>464</v>
      </c>
      <c r="I744">
        <v>9</v>
      </c>
      <c r="J744">
        <v>45722</v>
      </c>
      <c r="K744">
        <v>0.94149305555555562</v>
      </c>
      <c r="L744">
        <v>0.91666666666666674</v>
      </c>
      <c r="M744" t="s">
        <v>1008</v>
      </c>
    </row>
    <row r="745" spans="1:13" x14ac:dyDescent="0.25">
      <c r="A745" t="s">
        <v>1020</v>
      </c>
      <c r="B745" t="s">
        <v>1006</v>
      </c>
      <c r="C745" s="2">
        <v>45769.578115682867</v>
      </c>
      <c r="D745" s="2">
        <v>45747.434178240743</v>
      </c>
      <c r="E745" s="2">
        <v>45746.492342094905</v>
      </c>
      <c r="F745" t="s">
        <v>1007</v>
      </c>
      <c r="G745" t="s">
        <v>460</v>
      </c>
      <c r="H745" t="s">
        <v>464</v>
      </c>
      <c r="I745">
        <v>9</v>
      </c>
      <c r="J745">
        <v>45722</v>
      </c>
      <c r="K745">
        <v>0.94149305555555562</v>
      </c>
      <c r="L745">
        <v>0.91666666666666674</v>
      </c>
      <c r="M745" t="s">
        <v>1008</v>
      </c>
    </row>
    <row r="746" spans="1:13" x14ac:dyDescent="0.25">
      <c r="A746" t="s">
        <v>1021</v>
      </c>
      <c r="B746" t="s">
        <v>1006</v>
      </c>
      <c r="C746" s="2">
        <v>45769.578116168981</v>
      </c>
      <c r="D746" s="2">
        <v>45748.008692129632</v>
      </c>
      <c r="E746" s="2">
        <v>45760.803375069445</v>
      </c>
      <c r="F746" t="s">
        <v>1007</v>
      </c>
      <c r="G746" t="s">
        <v>460</v>
      </c>
      <c r="H746" t="s">
        <v>464</v>
      </c>
      <c r="I746">
        <v>9</v>
      </c>
      <c r="J746">
        <v>45722</v>
      </c>
      <c r="K746">
        <v>0.94149305555555562</v>
      </c>
      <c r="L746">
        <v>0.91666666666666674</v>
      </c>
      <c r="M746" t="s">
        <v>1008</v>
      </c>
    </row>
    <row r="747" spans="1:13" x14ac:dyDescent="0.25">
      <c r="A747" t="s">
        <v>1022</v>
      </c>
      <c r="B747" t="s">
        <v>1006</v>
      </c>
      <c r="C747" s="2">
        <v>45769.578116643519</v>
      </c>
      <c r="D747" s="2">
        <v>45751.761859537037</v>
      </c>
      <c r="E747" s="2">
        <v>45751.761740069443</v>
      </c>
      <c r="F747" t="s">
        <v>1007</v>
      </c>
      <c r="G747" t="s">
        <v>460</v>
      </c>
      <c r="H747" t="s">
        <v>464</v>
      </c>
      <c r="I747">
        <v>9</v>
      </c>
      <c r="J747">
        <v>45722</v>
      </c>
      <c r="K747">
        <v>0.94149305555555562</v>
      </c>
      <c r="L747">
        <v>0.91666666666666674</v>
      </c>
      <c r="M747" t="s">
        <v>1008</v>
      </c>
    </row>
    <row r="748" spans="1:13" x14ac:dyDescent="0.25">
      <c r="A748" t="s">
        <v>1023</v>
      </c>
      <c r="B748" t="s">
        <v>1006</v>
      </c>
      <c r="C748" s="2">
        <v>45769.578117118057</v>
      </c>
      <c r="D748" s="2">
        <v>45753.105104166665</v>
      </c>
      <c r="E748" s="2">
        <v>45753.107311701388</v>
      </c>
      <c r="F748" t="s">
        <v>1007</v>
      </c>
      <c r="G748" t="s">
        <v>460</v>
      </c>
      <c r="H748" t="s">
        <v>464</v>
      </c>
      <c r="I748">
        <v>9</v>
      </c>
      <c r="J748">
        <v>45722</v>
      </c>
      <c r="K748">
        <v>0.94149305555555562</v>
      </c>
      <c r="L748">
        <v>0.91666666666666674</v>
      </c>
      <c r="M748" t="s">
        <v>1008</v>
      </c>
    </row>
    <row r="749" spans="1:13" x14ac:dyDescent="0.25">
      <c r="A749" t="s">
        <v>1024</v>
      </c>
      <c r="B749" t="s">
        <v>1006</v>
      </c>
      <c r="C749" s="2">
        <v>45769.578117557867</v>
      </c>
      <c r="D749" s="2">
        <v>45755.522465879629</v>
      </c>
      <c r="E749" s="2">
        <v>45755.517505011572</v>
      </c>
      <c r="F749" t="s">
        <v>1007</v>
      </c>
      <c r="G749" t="s">
        <v>460</v>
      </c>
      <c r="H749" t="s">
        <v>464</v>
      </c>
      <c r="I749">
        <v>9</v>
      </c>
      <c r="J749">
        <v>45722</v>
      </c>
      <c r="K749">
        <v>0.94149305555555562</v>
      </c>
      <c r="L749">
        <v>0.91666666666666674</v>
      </c>
      <c r="M749" t="s">
        <v>1008</v>
      </c>
    </row>
    <row r="750" spans="1:13" x14ac:dyDescent="0.25">
      <c r="A750" t="s">
        <v>1025</v>
      </c>
      <c r="B750" t="s">
        <v>1006</v>
      </c>
      <c r="C750" s="2">
        <v>45769.578118020836</v>
      </c>
      <c r="D750" s="2">
        <v>45756.741511504631</v>
      </c>
      <c r="E750" s="2">
        <v>45756.741511087967</v>
      </c>
      <c r="F750" t="s">
        <v>1007</v>
      </c>
      <c r="G750" t="s">
        <v>460</v>
      </c>
      <c r="H750" t="s">
        <v>464</v>
      </c>
      <c r="I750">
        <v>9</v>
      </c>
      <c r="J750">
        <v>45722</v>
      </c>
      <c r="K750">
        <v>0.94149305555555562</v>
      </c>
      <c r="L750">
        <v>0.91666666666666674</v>
      </c>
      <c r="M750" t="s">
        <v>1008</v>
      </c>
    </row>
    <row r="751" spans="1:13" x14ac:dyDescent="0.25">
      <c r="A751" t="s">
        <v>1026</v>
      </c>
      <c r="B751" t="s">
        <v>1006</v>
      </c>
      <c r="C751" s="2">
        <v>45769.578118518519</v>
      </c>
      <c r="D751" s="2">
        <v>45758.796925532406</v>
      </c>
      <c r="E751" s="2">
        <v>45758.796925092596</v>
      </c>
      <c r="F751" t="s">
        <v>1007</v>
      </c>
      <c r="G751" t="s">
        <v>460</v>
      </c>
      <c r="H751" t="s">
        <v>464</v>
      </c>
      <c r="I751">
        <v>9</v>
      </c>
      <c r="J751">
        <v>45722</v>
      </c>
      <c r="K751">
        <v>0.94149305555555562</v>
      </c>
      <c r="L751">
        <v>0.91666666666666674</v>
      </c>
      <c r="M751" t="s">
        <v>1008</v>
      </c>
    </row>
    <row r="752" spans="1:13" x14ac:dyDescent="0.25">
      <c r="A752" t="s">
        <v>1027</v>
      </c>
      <c r="B752" t="s">
        <v>1006</v>
      </c>
      <c r="C752" s="2">
        <v>45769.578119039354</v>
      </c>
      <c r="D752" s="2">
        <v>45762.136261574073</v>
      </c>
      <c r="E752" s="2">
        <v>45761.611620300922</v>
      </c>
      <c r="F752" t="s">
        <v>1007</v>
      </c>
      <c r="G752" t="s">
        <v>460</v>
      </c>
      <c r="H752" t="s">
        <v>464</v>
      </c>
      <c r="I752">
        <v>9</v>
      </c>
      <c r="J752">
        <v>45722</v>
      </c>
      <c r="K752">
        <v>0.94149305555555562</v>
      </c>
      <c r="L752">
        <v>0.91666666666666674</v>
      </c>
      <c r="M752" t="s">
        <v>1008</v>
      </c>
    </row>
    <row r="753" spans="1:13" x14ac:dyDescent="0.25">
      <c r="A753" t="s">
        <v>1442</v>
      </c>
      <c r="B753" t="s">
        <v>1006</v>
      </c>
      <c r="C753" s="2">
        <v>45769.578120150465</v>
      </c>
      <c r="D753" s="2">
        <v>45764.657094907408</v>
      </c>
      <c r="E753" s="2">
        <v>45764.945923333333</v>
      </c>
      <c r="F753" t="s">
        <v>1007</v>
      </c>
      <c r="G753" t="s">
        <v>460</v>
      </c>
      <c r="H753" t="s">
        <v>464</v>
      </c>
      <c r="I753">
        <v>9</v>
      </c>
      <c r="J753">
        <v>45722</v>
      </c>
      <c r="K753">
        <v>0.94149305555555562</v>
      </c>
      <c r="L753">
        <v>0.91666666666666674</v>
      </c>
      <c r="M753" t="s">
        <v>1008</v>
      </c>
    </row>
    <row r="754" spans="1:13" x14ac:dyDescent="0.25">
      <c r="A754" t="s">
        <v>1445</v>
      </c>
      <c r="B754" t="s">
        <v>1006</v>
      </c>
      <c r="C754" s="2">
        <v>45769.57812071759</v>
      </c>
      <c r="D754" s="2">
        <v>45765.917060185187</v>
      </c>
      <c r="E754" s="2">
        <v>45765.918956886577</v>
      </c>
      <c r="F754" t="s">
        <v>1007</v>
      </c>
      <c r="G754" t="s">
        <v>460</v>
      </c>
      <c r="H754" t="s">
        <v>464</v>
      </c>
      <c r="I754">
        <v>9</v>
      </c>
      <c r="J754">
        <v>45722</v>
      </c>
      <c r="K754">
        <v>0.94149305555555562</v>
      </c>
      <c r="L754">
        <v>0.91666666666666674</v>
      </c>
      <c r="M754" t="s">
        <v>1008</v>
      </c>
    </row>
    <row r="755" spans="1:13" x14ac:dyDescent="0.25">
      <c r="A755" t="s">
        <v>1446</v>
      </c>
      <c r="B755" t="s">
        <v>1006</v>
      </c>
      <c r="C755" s="2">
        <v>45769.578121180559</v>
      </c>
      <c r="D755" s="2">
        <v>45769.420274479169</v>
      </c>
      <c r="E755" s="2">
        <v>45769.420274166667</v>
      </c>
      <c r="F755" t="s">
        <v>1007</v>
      </c>
      <c r="G755" t="s">
        <v>460</v>
      </c>
      <c r="H755" t="s">
        <v>464</v>
      </c>
      <c r="I755">
        <v>9</v>
      </c>
      <c r="J755">
        <v>45722</v>
      </c>
      <c r="K755">
        <v>0.94149305555555562</v>
      </c>
      <c r="L755">
        <v>0.91666666666666674</v>
      </c>
      <c r="M755" t="s">
        <v>1008</v>
      </c>
    </row>
    <row r="756" spans="1:13" x14ac:dyDescent="0.25">
      <c r="A756" t="s">
        <v>1459</v>
      </c>
      <c r="B756" t="s">
        <v>1006</v>
      </c>
      <c r="C756" s="2">
        <v>45769.578121631945</v>
      </c>
      <c r="D756" s="2">
        <v>45755.429071284721</v>
      </c>
      <c r="E756" s="2">
        <v>45755.429071030092</v>
      </c>
      <c r="F756" t="s">
        <v>1007</v>
      </c>
      <c r="G756" t="s">
        <v>460</v>
      </c>
      <c r="H756" t="s">
        <v>464</v>
      </c>
      <c r="I756">
        <v>9</v>
      </c>
      <c r="J756">
        <v>45722</v>
      </c>
      <c r="K756">
        <v>0.94149305555555562</v>
      </c>
      <c r="L756">
        <v>0.91666666666666674</v>
      </c>
      <c r="M756" t="s">
        <v>1008</v>
      </c>
    </row>
    <row r="757" spans="1:13" x14ac:dyDescent="0.25">
      <c r="A757" t="s">
        <v>1015</v>
      </c>
      <c r="B757" t="s">
        <v>1006</v>
      </c>
      <c r="C757" s="2">
        <v>45769.578113564814</v>
      </c>
      <c r="D757" s="2">
        <v>45726.85528935185</v>
      </c>
      <c r="E757" s="2">
        <v>45726.856810578705</v>
      </c>
      <c r="F757" t="s">
        <v>1007</v>
      </c>
      <c r="G757" t="s">
        <v>472</v>
      </c>
      <c r="H757" t="s">
        <v>475</v>
      </c>
      <c r="I757">
        <v>9</v>
      </c>
      <c r="J757">
        <v>45725</v>
      </c>
      <c r="K757">
        <v>0.8125</v>
      </c>
      <c r="L757">
        <v>0.79166666666666674</v>
      </c>
      <c r="M757" t="s">
        <v>1008</v>
      </c>
    </row>
    <row r="758" spans="1:13" x14ac:dyDescent="0.25">
      <c r="A758" t="s">
        <v>1016</v>
      </c>
      <c r="B758" t="s">
        <v>1006</v>
      </c>
      <c r="C758" s="2">
        <v>45769.578113993055</v>
      </c>
      <c r="D758" s="2">
        <v>45727.548941782406</v>
      </c>
      <c r="E758" s="2">
        <v>45727.544082731481</v>
      </c>
      <c r="F758" t="s">
        <v>1007</v>
      </c>
      <c r="G758" t="s">
        <v>472</v>
      </c>
      <c r="H758" t="s">
        <v>475</v>
      </c>
      <c r="I758">
        <v>9</v>
      </c>
      <c r="J758">
        <v>45725</v>
      </c>
      <c r="K758">
        <v>0.8125</v>
      </c>
      <c r="L758">
        <v>0.79166666666666674</v>
      </c>
      <c r="M758" t="s">
        <v>1008</v>
      </c>
    </row>
    <row r="759" spans="1:13" x14ac:dyDescent="0.25">
      <c r="A759" t="s">
        <v>1017</v>
      </c>
      <c r="B759" t="s">
        <v>1006</v>
      </c>
      <c r="C759" s="2">
        <v>45769.578114386575</v>
      </c>
      <c r="D759" s="2">
        <v>45730.674748101854</v>
      </c>
      <c r="E759" s="2">
        <v>45730.674747743054</v>
      </c>
      <c r="F759" t="s">
        <v>1007</v>
      </c>
      <c r="G759" t="s">
        <v>472</v>
      </c>
      <c r="H759" t="s">
        <v>475</v>
      </c>
      <c r="I759">
        <v>9</v>
      </c>
      <c r="J759">
        <v>45725</v>
      </c>
      <c r="K759">
        <v>0.8125</v>
      </c>
      <c r="L759">
        <v>0.79166666666666674</v>
      </c>
      <c r="M759" t="s">
        <v>1008</v>
      </c>
    </row>
    <row r="760" spans="1:13" x14ac:dyDescent="0.25">
      <c r="A760" t="s">
        <v>1018</v>
      </c>
      <c r="B760" t="s">
        <v>1006</v>
      </c>
      <c r="C760" s="2">
        <v>45769.57811480324</v>
      </c>
      <c r="D760" s="2">
        <v>45733.745818009258</v>
      </c>
      <c r="E760" s="2">
        <v>45733.449234282409</v>
      </c>
      <c r="F760" t="s">
        <v>1007</v>
      </c>
      <c r="G760" t="s">
        <v>472</v>
      </c>
      <c r="H760" t="s">
        <v>475</v>
      </c>
      <c r="I760">
        <v>9</v>
      </c>
      <c r="J760">
        <v>45725</v>
      </c>
      <c r="K760">
        <v>0.8125</v>
      </c>
      <c r="L760">
        <v>0.79166666666666674</v>
      </c>
      <c r="M760" t="s">
        <v>1008</v>
      </c>
    </row>
    <row r="761" spans="1:13" x14ac:dyDescent="0.25">
      <c r="A761" t="s">
        <v>1019</v>
      </c>
      <c r="B761" t="s">
        <v>1006</v>
      </c>
      <c r="C761" s="2">
        <v>45769.578115219905</v>
      </c>
      <c r="D761" s="2">
        <v>45740.441161863426</v>
      </c>
      <c r="E761" s="2">
        <v>45740.441161643517</v>
      </c>
      <c r="F761" t="s">
        <v>1007</v>
      </c>
      <c r="G761" t="s">
        <v>472</v>
      </c>
      <c r="H761" t="s">
        <v>475</v>
      </c>
      <c r="I761">
        <v>9</v>
      </c>
      <c r="J761">
        <v>45725</v>
      </c>
      <c r="K761">
        <v>0.8125</v>
      </c>
      <c r="L761">
        <v>0.79166666666666674</v>
      </c>
      <c r="M761" t="s">
        <v>1008</v>
      </c>
    </row>
    <row r="762" spans="1:13" x14ac:dyDescent="0.25">
      <c r="A762" t="s">
        <v>1020</v>
      </c>
      <c r="B762" t="s">
        <v>1006</v>
      </c>
      <c r="C762" s="2">
        <v>45769.578115682867</v>
      </c>
      <c r="D762" s="2">
        <v>45747.434178240743</v>
      </c>
      <c r="E762" s="2">
        <v>45746.492342094905</v>
      </c>
      <c r="F762" t="s">
        <v>1007</v>
      </c>
      <c r="G762" t="s">
        <v>472</v>
      </c>
      <c r="H762" t="s">
        <v>475</v>
      </c>
      <c r="I762">
        <v>9</v>
      </c>
      <c r="J762">
        <v>45725</v>
      </c>
      <c r="K762">
        <v>0.8125</v>
      </c>
      <c r="L762">
        <v>0.79166666666666674</v>
      </c>
      <c r="M762" t="s">
        <v>1008</v>
      </c>
    </row>
    <row r="763" spans="1:13" x14ac:dyDescent="0.25">
      <c r="A763" t="s">
        <v>1021</v>
      </c>
      <c r="B763" t="s">
        <v>1006</v>
      </c>
      <c r="C763" s="2">
        <v>45769.578116168981</v>
      </c>
      <c r="D763" s="2">
        <v>45748.008692129632</v>
      </c>
      <c r="E763" s="2">
        <v>45760.803375069445</v>
      </c>
      <c r="F763" t="s">
        <v>1007</v>
      </c>
      <c r="G763" t="s">
        <v>472</v>
      </c>
      <c r="H763" t="s">
        <v>475</v>
      </c>
      <c r="I763">
        <v>9</v>
      </c>
      <c r="J763">
        <v>45725</v>
      </c>
      <c r="K763">
        <v>0.8125</v>
      </c>
      <c r="L763">
        <v>0.79166666666666674</v>
      </c>
      <c r="M763" t="s">
        <v>1008</v>
      </c>
    </row>
    <row r="764" spans="1:13" x14ac:dyDescent="0.25">
      <c r="A764" t="s">
        <v>1022</v>
      </c>
      <c r="B764" t="s">
        <v>1006</v>
      </c>
      <c r="C764" s="2">
        <v>45769.578116643519</v>
      </c>
      <c r="D764" s="2">
        <v>45751.761859537037</v>
      </c>
      <c r="E764" s="2">
        <v>45751.761740069443</v>
      </c>
      <c r="F764" t="s">
        <v>1007</v>
      </c>
      <c r="G764" t="s">
        <v>472</v>
      </c>
      <c r="H764" t="s">
        <v>475</v>
      </c>
      <c r="I764">
        <v>9</v>
      </c>
      <c r="J764">
        <v>45725</v>
      </c>
      <c r="K764">
        <v>0.8125</v>
      </c>
      <c r="L764">
        <v>0.79166666666666674</v>
      </c>
      <c r="M764" t="s">
        <v>1008</v>
      </c>
    </row>
    <row r="765" spans="1:13" x14ac:dyDescent="0.25">
      <c r="A765" t="s">
        <v>1023</v>
      </c>
      <c r="B765" t="s">
        <v>1006</v>
      </c>
      <c r="C765" s="2">
        <v>45769.578117118057</v>
      </c>
      <c r="D765" s="2">
        <v>45753.105104166665</v>
      </c>
      <c r="E765" s="2">
        <v>45753.107311701388</v>
      </c>
      <c r="F765" t="s">
        <v>1007</v>
      </c>
      <c r="G765" t="s">
        <v>472</v>
      </c>
      <c r="H765" t="s">
        <v>475</v>
      </c>
      <c r="I765">
        <v>9</v>
      </c>
      <c r="J765">
        <v>45725</v>
      </c>
      <c r="K765">
        <v>0.8125</v>
      </c>
      <c r="L765">
        <v>0.79166666666666674</v>
      </c>
      <c r="M765" t="s">
        <v>1008</v>
      </c>
    </row>
    <row r="766" spans="1:13" x14ac:dyDescent="0.25">
      <c r="A766" t="s">
        <v>1024</v>
      </c>
      <c r="B766" t="s">
        <v>1006</v>
      </c>
      <c r="C766" s="2">
        <v>45769.578117557867</v>
      </c>
      <c r="D766" s="2">
        <v>45755.522465879629</v>
      </c>
      <c r="E766" s="2">
        <v>45755.517505011572</v>
      </c>
      <c r="F766" t="s">
        <v>1007</v>
      </c>
      <c r="G766" t="s">
        <v>472</v>
      </c>
      <c r="H766" t="s">
        <v>475</v>
      </c>
      <c r="I766">
        <v>9</v>
      </c>
      <c r="J766">
        <v>45725</v>
      </c>
      <c r="K766">
        <v>0.8125</v>
      </c>
      <c r="L766">
        <v>0.79166666666666674</v>
      </c>
      <c r="M766" t="s">
        <v>1008</v>
      </c>
    </row>
    <row r="767" spans="1:13" x14ac:dyDescent="0.25">
      <c r="A767" t="s">
        <v>1025</v>
      </c>
      <c r="B767" t="s">
        <v>1006</v>
      </c>
      <c r="C767" s="2">
        <v>45769.578118020836</v>
      </c>
      <c r="D767" s="2">
        <v>45756.741511504631</v>
      </c>
      <c r="E767" s="2">
        <v>45756.741511087967</v>
      </c>
      <c r="F767" t="s">
        <v>1007</v>
      </c>
      <c r="G767" t="s">
        <v>472</v>
      </c>
      <c r="H767" t="s">
        <v>475</v>
      </c>
      <c r="I767">
        <v>9</v>
      </c>
      <c r="J767">
        <v>45725</v>
      </c>
      <c r="K767">
        <v>0.8125</v>
      </c>
      <c r="L767">
        <v>0.79166666666666674</v>
      </c>
      <c r="M767" t="s">
        <v>1008</v>
      </c>
    </row>
    <row r="768" spans="1:13" x14ac:dyDescent="0.25">
      <c r="A768" t="s">
        <v>1026</v>
      </c>
      <c r="B768" t="s">
        <v>1006</v>
      </c>
      <c r="C768" s="2">
        <v>45769.578118518519</v>
      </c>
      <c r="D768" s="2">
        <v>45758.796925532406</v>
      </c>
      <c r="E768" s="2">
        <v>45758.796925092596</v>
      </c>
      <c r="F768" t="s">
        <v>1007</v>
      </c>
      <c r="G768" t="s">
        <v>472</v>
      </c>
      <c r="H768" t="s">
        <v>475</v>
      </c>
      <c r="I768">
        <v>9</v>
      </c>
      <c r="J768">
        <v>45725</v>
      </c>
      <c r="K768">
        <v>0.8125</v>
      </c>
      <c r="L768">
        <v>0.79166666666666674</v>
      </c>
      <c r="M768" t="s">
        <v>1008</v>
      </c>
    </row>
    <row r="769" spans="1:13" x14ac:dyDescent="0.25">
      <c r="A769" t="s">
        <v>1027</v>
      </c>
      <c r="B769" t="s">
        <v>1006</v>
      </c>
      <c r="C769" s="2">
        <v>45769.578119039354</v>
      </c>
      <c r="D769" s="2">
        <v>45762.136261574073</v>
      </c>
      <c r="E769" s="2">
        <v>45761.611620300922</v>
      </c>
      <c r="F769" t="s">
        <v>1007</v>
      </c>
      <c r="G769" t="s">
        <v>472</v>
      </c>
      <c r="H769" t="s">
        <v>475</v>
      </c>
      <c r="I769">
        <v>9</v>
      </c>
      <c r="J769">
        <v>45725</v>
      </c>
      <c r="K769">
        <v>0.8125</v>
      </c>
      <c r="L769">
        <v>0.79166666666666674</v>
      </c>
      <c r="M769" t="s">
        <v>1008</v>
      </c>
    </row>
    <row r="770" spans="1:13" x14ac:dyDescent="0.25">
      <c r="A770" t="s">
        <v>1442</v>
      </c>
      <c r="B770" t="s">
        <v>1006</v>
      </c>
      <c r="C770" s="2">
        <v>45769.578120150465</v>
      </c>
      <c r="D770" s="2">
        <v>45764.657094907408</v>
      </c>
      <c r="E770" s="2">
        <v>45764.945923333333</v>
      </c>
      <c r="F770" t="s">
        <v>1007</v>
      </c>
      <c r="G770" t="s">
        <v>472</v>
      </c>
      <c r="H770" t="s">
        <v>475</v>
      </c>
      <c r="I770">
        <v>9</v>
      </c>
      <c r="J770">
        <v>45725</v>
      </c>
      <c r="K770">
        <v>0.8125</v>
      </c>
      <c r="L770">
        <v>0.79166666666666674</v>
      </c>
      <c r="M770" t="s">
        <v>1008</v>
      </c>
    </row>
    <row r="771" spans="1:13" x14ac:dyDescent="0.25">
      <c r="A771" t="s">
        <v>1445</v>
      </c>
      <c r="B771" t="s">
        <v>1006</v>
      </c>
      <c r="C771" s="2">
        <v>45769.57812071759</v>
      </c>
      <c r="D771" s="2">
        <v>45765.917060185187</v>
      </c>
      <c r="E771" s="2">
        <v>45765.918956886577</v>
      </c>
      <c r="F771" t="s">
        <v>1007</v>
      </c>
      <c r="G771" t="s">
        <v>472</v>
      </c>
      <c r="H771" t="s">
        <v>475</v>
      </c>
      <c r="I771">
        <v>9</v>
      </c>
      <c r="J771">
        <v>45725</v>
      </c>
      <c r="K771">
        <v>0.8125</v>
      </c>
      <c r="L771">
        <v>0.79166666666666674</v>
      </c>
      <c r="M771" t="s">
        <v>1008</v>
      </c>
    </row>
    <row r="772" spans="1:13" x14ac:dyDescent="0.25">
      <c r="A772" t="s">
        <v>1446</v>
      </c>
      <c r="B772" t="s">
        <v>1006</v>
      </c>
      <c r="C772" s="2">
        <v>45769.578121180559</v>
      </c>
      <c r="D772" s="2">
        <v>45769.420274479169</v>
      </c>
      <c r="E772" s="2">
        <v>45769.420274166667</v>
      </c>
      <c r="F772" t="s">
        <v>1007</v>
      </c>
      <c r="G772" t="s">
        <v>472</v>
      </c>
      <c r="H772" t="s">
        <v>475</v>
      </c>
      <c r="I772">
        <v>9</v>
      </c>
      <c r="J772">
        <v>45725</v>
      </c>
      <c r="K772">
        <v>0.8125</v>
      </c>
      <c r="L772">
        <v>0.79166666666666674</v>
      </c>
      <c r="M772" t="s">
        <v>1008</v>
      </c>
    </row>
    <row r="773" spans="1:13" x14ac:dyDescent="0.25">
      <c r="A773" t="s">
        <v>1459</v>
      </c>
      <c r="B773" t="s">
        <v>1006</v>
      </c>
      <c r="C773" s="2">
        <v>45769.578121631945</v>
      </c>
      <c r="D773" s="2">
        <v>45755.429071284721</v>
      </c>
      <c r="E773" s="2">
        <v>45755.429071030092</v>
      </c>
      <c r="F773" t="s">
        <v>1007</v>
      </c>
      <c r="G773" t="s">
        <v>472</v>
      </c>
      <c r="H773" t="s">
        <v>475</v>
      </c>
      <c r="I773">
        <v>9</v>
      </c>
      <c r="J773">
        <v>45725</v>
      </c>
      <c r="K773">
        <v>0.8125</v>
      </c>
      <c r="L773">
        <v>0.79166666666666674</v>
      </c>
      <c r="M773" t="s">
        <v>1008</v>
      </c>
    </row>
    <row r="774" spans="1:13" x14ac:dyDescent="0.25">
      <c r="A774" t="s">
        <v>1017</v>
      </c>
      <c r="B774" t="s">
        <v>1006</v>
      </c>
      <c r="C774" s="2">
        <v>45769.578114386575</v>
      </c>
      <c r="D774" s="2">
        <v>45730.674748101854</v>
      </c>
      <c r="E774" s="2">
        <v>45730.674747743054</v>
      </c>
      <c r="F774" t="s">
        <v>1007</v>
      </c>
      <c r="G774" t="s">
        <v>529</v>
      </c>
      <c r="H774" t="s">
        <v>532</v>
      </c>
      <c r="I774">
        <v>9</v>
      </c>
      <c r="J774">
        <v>45726</v>
      </c>
      <c r="K774">
        <v>4.6527777777777724E-2</v>
      </c>
      <c r="L774">
        <v>4.1666666666666741E-2</v>
      </c>
      <c r="M774" t="s">
        <v>1010</v>
      </c>
    </row>
    <row r="775" spans="1:13" x14ac:dyDescent="0.25">
      <c r="A775" t="s">
        <v>1018</v>
      </c>
      <c r="B775" t="s">
        <v>1006</v>
      </c>
      <c r="C775" s="2">
        <v>45769.57811480324</v>
      </c>
      <c r="D775" s="2">
        <v>45733.745818009258</v>
      </c>
      <c r="E775" s="2">
        <v>45733.449234282409</v>
      </c>
      <c r="F775" t="s">
        <v>1007</v>
      </c>
      <c r="G775" t="s">
        <v>529</v>
      </c>
      <c r="H775" t="s">
        <v>532</v>
      </c>
      <c r="I775">
        <v>9</v>
      </c>
      <c r="J775">
        <v>45726</v>
      </c>
      <c r="K775">
        <v>4.6527777777777724E-2</v>
      </c>
      <c r="L775">
        <v>4.1666666666666741E-2</v>
      </c>
      <c r="M775" t="s">
        <v>1010</v>
      </c>
    </row>
    <row r="776" spans="1:13" x14ac:dyDescent="0.25">
      <c r="A776" t="s">
        <v>1019</v>
      </c>
      <c r="B776" t="s">
        <v>1006</v>
      </c>
      <c r="C776" s="2">
        <v>45769.578115219905</v>
      </c>
      <c r="D776" s="2">
        <v>45740.441161863426</v>
      </c>
      <c r="E776" s="2">
        <v>45740.441161643517</v>
      </c>
      <c r="F776" t="s">
        <v>1007</v>
      </c>
      <c r="G776" t="s">
        <v>529</v>
      </c>
      <c r="H776" t="s">
        <v>532</v>
      </c>
      <c r="I776">
        <v>9</v>
      </c>
      <c r="J776">
        <v>45726</v>
      </c>
      <c r="K776">
        <v>4.6527777777777724E-2</v>
      </c>
      <c r="L776">
        <v>4.1666666666666741E-2</v>
      </c>
      <c r="M776" t="s">
        <v>1010</v>
      </c>
    </row>
    <row r="777" spans="1:13" x14ac:dyDescent="0.25">
      <c r="A777" t="s">
        <v>1020</v>
      </c>
      <c r="B777" t="s">
        <v>1006</v>
      </c>
      <c r="C777" s="2">
        <v>45769.578115682867</v>
      </c>
      <c r="D777" s="2">
        <v>45747.434178240743</v>
      </c>
      <c r="E777" s="2">
        <v>45746.492342094905</v>
      </c>
      <c r="F777" t="s">
        <v>1007</v>
      </c>
      <c r="G777" t="s">
        <v>529</v>
      </c>
      <c r="H777" t="s">
        <v>532</v>
      </c>
      <c r="I777">
        <v>9</v>
      </c>
      <c r="J777">
        <v>45726</v>
      </c>
      <c r="K777">
        <v>4.6527777777777724E-2</v>
      </c>
      <c r="L777">
        <v>4.1666666666666741E-2</v>
      </c>
      <c r="M777" t="s">
        <v>1010</v>
      </c>
    </row>
    <row r="778" spans="1:13" x14ac:dyDescent="0.25">
      <c r="A778" t="s">
        <v>1021</v>
      </c>
      <c r="B778" t="s">
        <v>1006</v>
      </c>
      <c r="C778" s="2">
        <v>45769.578116168981</v>
      </c>
      <c r="D778" s="2">
        <v>45748.008692129632</v>
      </c>
      <c r="E778" s="2">
        <v>45760.803375069445</v>
      </c>
      <c r="F778" t="s">
        <v>1007</v>
      </c>
      <c r="G778" t="s">
        <v>529</v>
      </c>
      <c r="H778" t="s">
        <v>532</v>
      </c>
      <c r="I778">
        <v>9</v>
      </c>
      <c r="J778">
        <v>45726</v>
      </c>
      <c r="K778">
        <v>4.6527777777777724E-2</v>
      </c>
      <c r="L778">
        <v>4.1666666666666741E-2</v>
      </c>
      <c r="M778" t="s">
        <v>1010</v>
      </c>
    </row>
    <row r="779" spans="1:13" x14ac:dyDescent="0.25">
      <c r="A779" t="s">
        <v>1022</v>
      </c>
      <c r="B779" t="s">
        <v>1006</v>
      </c>
      <c r="C779" s="2">
        <v>45769.578116643519</v>
      </c>
      <c r="D779" s="2">
        <v>45751.761859537037</v>
      </c>
      <c r="E779" s="2">
        <v>45751.761740069443</v>
      </c>
      <c r="F779" t="s">
        <v>1007</v>
      </c>
      <c r="G779" t="s">
        <v>529</v>
      </c>
      <c r="H779" t="s">
        <v>532</v>
      </c>
      <c r="I779">
        <v>9</v>
      </c>
      <c r="J779">
        <v>45726</v>
      </c>
      <c r="K779">
        <v>4.6527777777777724E-2</v>
      </c>
      <c r="L779">
        <v>4.1666666666666741E-2</v>
      </c>
      <c r="M779" t="s">
        <v>1010</v>
      </c>
    </row>
    <row r="780" spans="1:13" x14ac:dyDescent="0.25">
      <c r="A780" t="s">
        <v>1023</v>
      </c>
      <c r="B780" t="s">
        <v>1006</v>
      </c>
      <c r="C780" s="2">
        <v>45769.578117118057</v>
      </c>
      <c r="D780" s="2">
        <v>45753.105104166665</v>
      </c>
      <c r="E780" s="2">
        <v>45753.107311701388</v>
      </c>
      <c r="F780" t="s">
        <v>1007</v>
      </c>
      <c r="G780" t="s">
        <v>529</v>
      </c>
      <c r="H780" t="s">
        <v>532</v>
      </c>
      <c r="I780">
        <v>9</v>
      </c>
      <c r="J780">
        <v>45726</v>
      </c>
      <c r="K780">
        <v>4.6527777777777724E-2</v>
      </c>
      <c r="L780">
        <v>4.1666666666666741E-2</v>
      </c>
      <c r="M780" t="s">
        <v>1010</v>
      </c>
    </row>
    <row r="781" spans="1:13" x14ac:dyDescent="0.25">
      <c r="A781" t="s">
        <v>1024</v>
      </c>
      <c r="B781" t="s">
        <v>1006</v>
      </c>
      <c r="C781" s="2">
        <v>45769.578117557867</v>
      </c>
      <c r="D781" s="2">
        <v>45755.522465879629</v>
      </c>
      <c r="E781" s="2">
        <v>45755.517505011572</v>
      </c>
      <c r="F781" t="s">
        <v>1007</v>
      </c>
      <c r="G781" t="s">
        <v>529</v>
      </c>
      <c r="H781" t="s">
        <v>532</v>
      </c>
      <c r="I781">
        <v>9</v>
      </c>
      <c r="J781">
        <v>45726</v>
      </c>
      <c r="K781">
        <v>4.6527777777777724E-2</v>
      </c>
      <c r="L781">
        <v>4.1666666666666741E-2</v>
      </c>
      <c r="M781" t="s">
        <v>1010</v>
      </c>
    </row>
    <row r="782" spans="1:13" x14ac:dyDescent="0.25">
      <c r="A782" t="s">
        <v>1025</v>
      </c>
      <c r="B782" t="s">
        <v>1006</v>
      </c>
      <c r="C782" s="2">
        <v>45769.578118020836</v>
      </c>
      <c r="D782" s="2">
        <v>45756.741511504631</v>
      </c>
      <c r="E782" s="2">
        <v>45756.741511087967</v>
      </c>
      <c r="F782" t="s">
        <v>1007</v>
      </c>
      <c r="G782" t="s">
        <v>529</v>
      </c>
      <c r="H782" t="s">
        <v>532</v>
      </c>
      <c r="I782">
        <v>9</v>
      </c>
      <c r="J782">
        <v>45726</v>
      </c>
      <c r="K782">
        <v>4.6527777777777724E-2</v>
      </c>
      <c r="L782">
        <v>4.1666666666666741E-2</v>
      </c>
      <c r="M782" t="s">
        <v>1010</v>
      </c>
    </row>
    <row r="783" spans="1:13" x14ac:dyDescent="0.25">
      <c r="A783" t="s">
        <v>1026</v>
      </c>
      <c r="B783" t="s">
        <v>1006</v>
      </c>
      <c r="C783" s="2">
        <v>45769.578118518519</v>
      </c>
      <c r="D783" s="2">
        <v>45758.796925532406</v>
      </c>
      <c r="E783" s="2">
        <v>45758.796925092596</v>
      </c>
      <c r="F783" t="s">
        <v>1007</v>
      </c>
      <c r="G783" t="s">
        <v>529</v>
      </c>
      <c r="H783" t="s">
        <v>532</v>
      </c>
      <c r="I783">
        <v>9</v>
      </c>
      <c r="J783">
        <v>45726</v>
      </c>
      <c r="K783">
        <v>4.6527777777777724E-2</v>
      </c>
      <c r="L783">
        <v>4.1666666666666741E-2</v>
      </c>
      <c r="M783" t="s">
        <v>1010</v>
      </c>
    </row>
    <row r="784" spans="1:13" x14ac:dyDescent="0.25">
      <c r="A784" t="s">
        <v>1027</v>
      </c>
      <c r="B784" t="s">
        <v>1006</v>
      </c>
      <c r="C784" s="2">
        <v>45769.578119039354</v>
      </c>
      <c r="D784" s="2">
        <v>45762.136261574073</v>
      </c>
      <c r="E784" s="2">
        <v>45761.611620300922</v>
      </c>
      <c r="F784" t="s">
        <v>1007</v>
      </c>
      <c r="G784" t="s">
        <v>529</v>
      </c>
      <c r="H784" t="s">
        <v>532</v>
      </c>
      <c r="I784">
        <v>9</v>
      </c>
      <c r="J784">
        <v>45726</v>
      </c>
      <c r="K784">
        <v>4.6527777777777724E-2</v>
      </c>
      <c r="L784">
        <v>4.1666666666666741E-2</v>
      </c>
      <c r="M784" t="s">
        <v>1010</v>
      </c>
    </row>
    <row r="785" spans="1:13" x14ac:dyDescent="0.25">
      <c r="A785" t="s">
        <v>1442</v>
      </c>
      <c r="B785" t="s">
        <v>1006</v>
      </c>
      <c r="C785" s="2">
        <v>45769.578120150465</v>
      </c>
      <c r="D785" s="2">
        <v>45764.657094907408</v>
      </c>
      <c r="E785" s="2">
        <v>45764.945923333333</v>
      </c>
      <c r="F785" t="s">
        <v>1007</v>
      </c>
      <c r="G785" t="s">
        <v>529</v>
      </c>
      <c r="H785" t="s">
        <v>532</v>
      </c>
      <c r="I785">
        <v>9</v>
      </c>
      <c r="J785">
        <v>45726</v>
      </c>
      <c r="K785">
        <v>4.6527777777777724E-2</v>
      </c>
      <c r="L785">
        <v>4.1666666666666741E-2</v>
      </c>
      <c r="M785" t="s">
        <v>1010</v>
      </c>
    </row>
    <row r="786" spans="1:13" x14ac:dyDescent="0.25">
      <c r="A786" t="s">
        <v>1445</v>
      </c>
      <c r="B786" t="s">
        <v>1006</v>
      </c>
      <c r="C786" s="2">
        <v>45769.57812071759</v>
      </c>
      <c r="D786" s="2">
        <v>45765.917060185187</v>
      </c>
      <c r="E786" s="2">
        <v>45765.918956886577</v>
      </c>
      <c r="F786" t="s">
        <v>1007</v>
      </c>
      <c r="G786" t="s">
        <v>529</v>
      </c>
      <c r="H786" t="s">
        <v>532</v>
      </c>
      <c r="I786">
        <v>9</v>
      </c>
      <c r="J786">
        <v>45726</v>
      </c>
      <c r="K786">
        <v>4.6527777777777724E-2</v>
      </c>
      <c r="L786">
        <v>4.1666666666666741E-2</v>
      </c>
      <c r="M786" t="s">
        <v>1010</v>
      </c>
    </row>
    <row r="787" spans="1:13" x14ac:dyDescent="0.25">
      <c r="A787" t="s">
        <v>1446</v>
      </c>
      <c r="B787" t="s">
        <v>1006</v>
      </c>
      <c r="C787" s="2">
        <v>45769.578121180559</v>
      </c>
      <c r="D787" s="2">
        <v>45769.420274479169</v>
      </c>
      <c r="E787" s="2">
        <v>45769.420274166667</v>
      </c>
      <c r="F787" t="s">
        <v>1007</v>
      </c>
      <c r="G787" t="s">
        <v>529</v>
      </c>
      <c r="H787" t="s">
        <v>532</v>
      </c>
      <c r="I787">
        <v>9</v>
      </c>
      <c r="J787">
        <v>45726</v>
      </c>
      <c r="K787">
        <v>4.6527777777777724E-2</v>
      </c>
      <c r="L787">
        <v>4.1666666666666741E-2</v>
      </c>
      <c r="M787" t="s">
        <v>1010</v>
      </c>
    </row>
    <row r="788" spans="1:13" x14ac:dyDescent="0.25">
      <c r="A788" t="s">
        <v>1459</v>
      </c>
      <c r="B788" t="s">
        <v>1006</v>
      </c>
      <c r="C788" s="2">
        <v>45769.578121631945</v>
      </c>
      <c r="D788" s="2">
        <v>45755.429071284721</v>
      </c>
      <c r="E788" s="2">
        <v>45755.429071030092</v>
      </c>
      <c r="F788" t="s">
        <v>1007</v>
      </c>
      <c r="G788" t="s">
        <v>529</v>
      </c>
      <c r="H788" t="s">
        <v>532</v>
      </c>
      <c r="I788">
        <v>9</v>
      </c>
      <c r="J788">
        <v>45726</v>
      </c>
      <c r="K788">
        <v>4.6527777777777724E-2</v>
      </c>
      <c r="L788">
        <v>4.1666666666666741E-2</v>
      </c>
      <c r="M788" t="s">
        <v>1010</v>
      </c>
    </row>
    <row r="789" spans="1:13" x14ac:dyDescent="0.25">
      <c r="A789" t="s">
        <v>1017</v>
      </c>
      <c r="B789" t="s">
        <v>1006</v>
      </c>
      <c r="C789" s="2">
        <v>45769.578114386575</v>
      </c>
      <c r="D789" s="2">
        <v>45730.674748101854</v>
      </c>
      <c r="E789" s="2">
        <v>45730.674747743054</v>
      </c>
      <c r="F789" t="s">
        <v>1007</v>
      </c>
      <c r="G789" t="s">
        <v>516</v>
      </c>
      <c r="H789" t="s">
        <v>519</v>
      </c>
      <c r="I789">
        <v>9</v>
      </c>
      <c r="J789">
        <v>45727</v>
      </c>
      <c r="K789">
        <v>0.60416666666666674</v>
      </c>
      <c r="L789">
        <v>0.58333333333333326</v>
      </c>
      <c r="M789" t="s">
        <v>1009</v>
      </c>
    </row>
    <row r="790" spans="1:13" x14ac:dyDescent="0.25">
      <c r="A790" t="s">
        <v>1018</v>
      </c>
      <c r="B790" t="s">
        <v>1006</v>
      </c>
      <c r="C790" s="2">
        <v>45769.57811480324</v>
      </c>
      <c r="D790" s="2">
        <v>45733.745818009258</v>
      </c>
      <c r="E790" s="2">
        <v>45733.449234282409</v>
      </c>
      <c r="F790" t="s">
        <v>1007</v>
      </c>
      <c r="G790" t="s">
        <v>516</v>
      </c>
      <c r="H790" t="s">
        <v>519</v>
      </c>
      <c r="I790">
        <v>9</v>
      </c>
      <c r="J790">
        <v>45727</v>
      </c>
      <c r="K790">
        <v>0.60416666666666674</v>
      </c>
      <c r="L790">
        <v>0.58333333333333326</v>
      </c>
      <c r="M790" t="s">
        <v>1009</v>
      </c>
    </row>
    <row r="791" spans="1:13" x14ac:dyDescent="0.25">
      <c r="A791" t="s">
        <v>1019</v>
      </c>
      <c r="B791" t="s">
        <v>1006</v>
      </c>
      <c r="C791" s="2">
        <v>45769.578115219905</v>
      </c>
      <c r="D791" s="2">
        <v>45740.441161863426</v>
      </c>
      <c r="E791" s="2">
        <v>45740.441161643517</v>
      </c>
      <c r="F791" t="s">
        <v>1007</v>
      </c>
      <c r="G791" t="s">
        <v>516</v>
      </c>
      <c r="H791" t="s">
        <v>519</v>
      </c>
      <c r="I791">
        <v>9</v>
      </c>
      <c r="J791">
        <v>45727</v>
      </c>
      <c r="K791">
        <v>0.60416666666666674</v>
      </c>
      <c r="L791">
        <v>0.58333333333333326</v>
      </c>
      <c r="M791" t="s">
        <v>1009</v>
      </c>
    </row>
    <row r="792" spans="1:13" x14ac:dyDescent="0.25">
      <c r="A792" t="s">
        <v>1020</v>
      </c>
      <c r="B792" t="s">
        <v>1006</v>
      </c>
      <c r="C792" s="2">
        <v>45769.578115682867</v>
      </c>
      <c r="D792" s="2">
        <v>45747.434178240743</v>
      </c>
      <c r="E792" s="2">
        <v>45746.492342094905</v>
      </c>
      <c r="F792" t="s">
        <v>1007</v>
      </c>
      <c r="G792" t="s">
        <v>516</v>
      </c>
      <c r="H792" t="s">
        <v>519</v>
      </c>
      <c r="I792">
        <v>9</v>
      </c>
      <c r="J792">
        <v>45727</v>
      </c>
      <c r="K792">
        <v>0.60416666666666674</v>
      </c>
      <c r="L792">
        <v>0.58333333333333326</v>
      </c>
      <c r="M792" t="s">
        <v>1009</v>
      </c>
    </row>
    <row r="793" spans="1:13" x14ac:dyDescent="0.25">
      <c r="A793" t="s">
        <v>1021</v>
      </c>
      <c r="B793" t="s">
        <v>1006</v>
      </c>
      <c r="C793" s="2">
        <v>45769.578116168981</v>
      </c>
      <c r="D793" s="2">
        <v>45748.008692129632</v>
      </c>
      <c r="E793" s="2">
        <v>45760.803375069445</v>
      </c>
      <c r="F793" t="s">
        <v>1007</v>
      </c>
      <c r="G793" t="s">
        <v>516</v>
      </c>
      <c r="H793" t="s">
        <v>519</v>
      </c>
      <c r="I793">
        <v>9</v>
      </c>
      <c r="J793">
        <v>45727</v>
      </c>
      <c r="K793">
        <v>0.60416666666666674</v>
      </c>
      <c r="L793">
        <v>0.58333333333333326</v>
      </c>
      <c r="M793" t="s">
        <v>1009</v>
      </c>
    </row>
    <row r="794" spans="1:13" x14ac:dyDescent="0.25">
      <c r="A794" t="s">
        <v>1022</v>
      </c>
      <c r="B794" t="s">
        <v>1006</v>
      </c>
      <c r="C794" s="2">
        <v>45769.578116643519</v>
      </c>
      <c r="D794" s="2">
        <v>45751.761859537037</v>
      </c>
      <c r="E794" s="2">
        <v>45751.761740069443</v>
      </c>
      <c r="F794" t="s">
        <v>1007</v>
      </c>
      <c r="G794" t="s">
        <v>516</v>
      </c>
      <c r="H794" t="s">
        <v>519</v>
      </c>
      <c r="I794">
        <v>9</v>
      </c>
      <c r="J794">
        <v>45727</v>
      </c>
      <c r="K794">
        <v>0.60416666666666674</v>
      </c>
      <c r="L794">
        <v>0.58333333333333326</v>
      </c>
      <c r="M794" t="s">
        <v>1009</v>
      </c>
    </row>
    <row r="795" spans="1:13" x14ac:dyDescent="0.25">
      <c r="A795" t="s">
        <v>1023</v>
      </c>
      <c r="B795" t="s">
        <v>1006</v>
      </c>
      <c r="C795" s="2">
        <v>45769.578117118057</v>
      </c>
      <c r="D795" s="2">
        <v>45753.105104166665</v>
      </c>
      <c r="E795" s="2">
        <v>45753.107311701388</v>
      </c>
      <c r="F795" t="s">
        <v>1007</v>
      </c>
      <c r="G795" t="s">
        <v>516</v>
      </c>
      <c r="H795" t="s">
        <v>519</v>
      </c>
      <c r="I795">
        <v>9</v>
      </c>
      <c r="J795">
        <v>45727</v>
      </c>
      <c r="K795">
        <v>0.60416666666666674</v>
      </c>
      <c r="L795">
        <v>0.58333333333333326</v>
      </c>
      <c r="M795" t="s">
        <v>1009</v>
      </c>
    </row>
    <row r="796" spans="1:13" x14ac:dyDescent="0.25">
      <c r="A796" t="s">
        <v>1024</v>
      </c>
      <c r="B796" t="s">
        <v>1006</v>
      </c>
      <c r="C796" s="2">
        <v>45769.578117557867</v>
      </c>
      <c r="D796" s="2">
        <v>45755.522465879629</v>
      </c>
      <c r="E796" s="2">
        <v>45755.517505011572</v>
      </c>
      <c r="F796" t="s">
        <v>1007</v>
      </c>
      <c r="G796" t="s">
        <v>516</v>
      </c>
      <c r="H796" t="s">
        <v>519</v>
      </c>
      <c r="I796">
        <v>9</v>
      </c>
      <c r="J796">
        <v>45727</v>
      </c>
      <c r="K796">
        <v>0.60416666666666674</v>
      </c>
      <c r="L796">
        <v>0.58333333333333326</v>
      </c>
      <c r="M796" t="s">
        <v>1009</v>
      </c>
    </row>
    <row r="797" spans="1:13" x14ac:dyDescent="0.25">
      <c r="A797" t="s">
        <v>1025</v>
      </c>
      <c r="B797" t="s">
        <v>1006</v>
      </c>
      <c r="C797" s="2">
        <v>45769.578118020836</v>
      </c>
      <c r="D797" s="2">
        <v>45756.741511504631</v>
      </c>
      <c r="E797" s="2">
        <v>45756.741511087967</v>
      </c>
      <c r="F797" t="s">
        <v>1007</v>
      </c>
      <c r="G797" t="s">
        <v>516</v>
      </c>
      <c r="H797" t="s">
        <v>519</v>
      </c>
      <c r="I797">
        <v>9</v>
      </c>
      <c r="J797">
        <v>45727</v>
      </c>
      <c r="K797">
        <v>0.60416666666666674</v>
      </c>
      <c r="L797">
        <v>0.58333333333333326</v>
      </c>
      <c r="M797" t="s">
        <v>1009</v>
      </c>
    </row>
    <row r="798" spans="1:13" x14ac:dyDescent="0.25">
      <c r="A798" t="s">
        <v>1026</v>
      </c>
      <c r="B798" t="s">
        <v>1006</v>
      </c>
      <c r="C798" s="2">
        <v>45769.578118518519</v>
      </c>
      <c r="D798" s="2">
        <v>45758.796925532406</v>
      </c>
      <c r="E798" s="2">
        <v>45758.796925092596</v>
      </c>
      <c r="F798" t="s">
        <v>1007</v>
      </c>
      <c r="G798" t="s">
        <v>516</v>
      </c>
      <c r="H798" t="s">
        <v>519</v>
      </c>
      <c r="I798">
        <v>9</v>
      </c>
      <c r="J798">
        <v>45727</v>
      </c>
      <c r="K798">
        <v>0.60416666666666674</v>
      </c>
      <c r="L798">
        <v>0.58333333333333326</v>
      </c>
      <c r="M798" t="s">
        <v>1009</v>
      </c>
    </row>
    <row r="799" spans="1:13" x14ac:dyDescent="0.25">
      <c r="A799" t="s">
        <v>1027</v>
      </c>
      <c r="B799" t="s">
        <v>1006</v>
      </c>
      <c r="C799" s="2">
        <v>45769.578119039354</v>
      </c>
      <c r="D799" s="2">
        <v>45762.136261574073</v>
      </c>
      <c r="E799" s="2">
        <v>45761.611620300922</v>
      </c>
      <c r="F799" t="s">
        <v>1007</v>
      </c>
      <c r="G799" t="s">
        <v>516</v>
      </c>
      <c r="H799" t="s">
        <v>519</v>
      </c>
      <c r="I799">
        <v>9</v>
      </c>
      <c r="J799">
        <v>45727</v>
      </c>
      <c r="K799">
        <v>0.60416666666666674</v>
      </c>
      <c r="L799">
        <v>0.58333333333333326</v>
      </c>
      <c r="M799" t="s">
        <v>1009</v>
      </c>
    </row>
    <row r="800" spans="1:13" x14ac:dyDescent="0.25">
      <c r="A800" t="s">
        <v>1442</v>
      </c>
      <c r="B800" t="s">
        <v>1006</v>
      </c>
      <c r="C800" s="2">
        <v>45769.578120150465</v>
      </c>
      <c r="D800" s="2">
        <v>45764.657094907408</v>
      </c>
      <c r="E800" s="2">
        <v>45764.945923333333</v>
      </c>
      <c r="F800" t="s">
        <v>1007</v>
      </c>
      <c r="G800" t="s">
        <v>516</v>
      </c>
      <c r="H800" t="s">
        <v>519</v>
      </c>
      <c r="I800">
        <v>9</v>
      </c>
      <c r="J800">
        <v>45727</v>
      </c>
      <c r="K800">
        <v>0.60416666666666674</v>
      </c>
      <c r="L800">
        <v>0.58333333333333326</v>
      </c>
      <c r="M800" t="s">
        <v>1009</v>
      </c>
    </row>
    <row r="801" spans="1:13" x14ac:dyDescent="0.25">
      <c r="A801" t="s">
        <v>1445</v>
      </c>
      <c r="B801" t="s">
        <v>1006</v>
      </c>
      <c r="C801" s="2">
        <v>45769.57812071759</v>
      </c>
      <c r="D801" s="2">
        <v>45765.917060185187</v>
      </c>
      <c r="E801" s="2">
        <v>45765.918956886577</v>
      </c>
      <c r="F801" t="s">
        <v>1007</v>
      </c>
      <c r="G801" t="s">
        <v>516</v>
      </c>
      <c r="H801" t="s">
        <v>519</v>
      </c>
      <c r="I801">
        <v>9</v>
      </c>
      <c r="J801">
        <v>45727</v>
      </c>
      <c r="K801">
        <v>0.60416666666666674</v>
      </c>
      <c r="L801">
        <v>0.58333333333333326</v>
      </c>
      <c r="M801" t="s">
        <v>1009</v>
      </c>
    </row>
    <row r="802" spans="1:13" x14ac:dyDescent="0.25">
      <c r="A802" t="s">
        <v>1446</v>
      </c>
      <c r="B802" t="s">
        <v>1006</v>
      </c>
      <c r="C802" s="2">
        <v>45769.578121180559</v>
      </c>
      <c r="D802" s="2">
        <v>45769.420274479169</v>
      </c>
      <c r="E802" s="2">
        <v>45769.420274166667</v>
      </c>
      <c r="F802" t="s">
        <v>1007</v>
      </c>
      <c r="G802" t="s">
        <v>516</v>
      </c>
      <c r="H802" t="s">
        <v>519</v>
      </c>
      <c r="I802">
        <v>9</v>
      </c>
      <c r="J802">
        <v>45727</v>
      </c>
      <c r="K802">
        <v>0.60416666666666674</v>
      </c>
      <c r="L802">
        <v>0.58333333333333326</v>
      </c>
      <c r="M802" t="s">
        <v>1009</v>
      </c>
    </row>
    <row r="803" spans="1:13" x14ac:dyDescent="0.25">
      <c r="A803" t="s">
        <v>1459</v>
      </c>
      <c r="B803" t="s">
        <v>1006</v>
      </c>
      <c r="C803" s="2">
        <v>45769.578121631945</v>
      </c>
      <c r="D803" s="2">
        <v>45755.429071284721</v>
      </c>
      <c r="E803" s="2">
        <v>45755.429071030092</v>
      </c>
      <c r="F803" t="s">
        <v>1007</v>
      </c>
      <c r="G803" t="s">
        <v>516</v>
      </c>
      <c r="H803" t="s">
        <v>519</v>
      </c>
      <c r="I803">
        <v>9</v>
      </c>
      <c r="J803">
        <v>45727</v>
      </c>
      <c r="K803">
        <v>0.60416666666666674</v>
      </c>
      <c r="L803">
        <v>0.58333333333333326</v>
      </c>
      <c r="M803" t="s">
        <v>1009</v>
      </c>
    </row>
    <row r="804" spans="1:13" x14ac:dyDescent="0.25">
      <c r="A804" t="s">
        <v>1019</v>
      </c>
      <c r="B804" t="s">
        <v>1006</v>
      </c>
      <c r="C804" s="2">
        <v>45769.578115219905</v>
      </c>
      <c r="D804" s="2">
        <v>45740.441161863426</v>
      </c>
      <c r="E804" s="2">
        <v>45740.441161643517</v>
      </c>
      <c r="F804" t="s">
        <v>1007</v>
      </c>
      <c r="G804" t="s">
        <v>537</v>
      </c>
      <c r="H804" t="s">
        <v>540</v>
      </c>
      <c r="I804">
        <v>9</v>
      </c>
      <c r="J804">
        <v>45734</v>
      </c>
      <c r="K804">
        <v>0.22916666666666674</v>
      </c>
      <c r="L804">
        <v>0.20833333333333326</v>
      </c>
      <c r="M804" t="s">
        <v>1010</v>
      </c>
    </row>
    <row r="805" spans="1:13" x14ac:dyDescent="0.25">
      <c r="A805" t="s">
        <v>1020</v>
      </c>
      <c r="B805" t="s">
        <v>1006</v>
      </c>
      <c r="C805" s="2">
        <v>45769.578115682867</v>
      </c>
      <c r="D805" s="2">
        <v>45747.434178240743</v>
      </c>
      <c r="E805" s="2">
        <v>45746.492342094905</v>
      </c>
      <c r="F805" t="s">
        <v>1007</v>
      </c>
      <c r="G805" t="s">
        <v>537</v>
      </c>
      <c r="H805" t="s">
        <v>540</v>
      </c>
      <c r="I805">
        <v>9</v>
      </c>
      <c r="J805">
        <v>45734</v>
      </c>
      <c r="K805">
        <v>0.22916666666666674</v>
      </c>
      <c r="L805">
        <v>0.20833333333333326</v>
      </c>
      <c r="M805" t="s">
        <v>1010</v>
      </c>
    </row>
    <row r="806" spans="1:13" x14ac:dyDescent="0.25">
      <c r="A806" t="s">
        <v>1021</v>
      </c>
      <c r="B806" t="s">
        <v>1006</v>
      </c>
      <c r="C806" s="2">
        <v>45769.578116168981</v>
      </c>
      <c r="D806" s="2">
        <v>45748.008692129632</v>
      </c>
      <c r="E806" s="2">
        <v>45760.803375069445</v>
      </c>
      <c r="F806" t="s">
        <v>1007</v>
      </c>
      <c r="G806" t="s">
        <v>537</v>
      </c>
      <c r="H806" t="s">
        <v>540</v>
      </c>
      <c r="I806">
        <v>9</v>
      </c>
      <c r="J806">
        <v>45734</v>
      </c>
      <c r="K806">
        <v>0.22916666666666674</v>
      </c>
      <c r="L806">
        <v>0.20833333333333326</v>
      </c>
      <c r="M806" t="s">
        <v>1010</v>
      </c>
    </row>
    <row r="807" spans="1:13" x14ac:dyDescent="0.25">
      <c r="A807" t="s">
        <v>1022</v>
      </c>
      <c r="B807" t="s">
        <v>1006</v>
      </c>
      <c r="C807" s="2">
        <v>45769.578116643519</v>
      </c>
      <c r="D807" s="2">
        <v>45751.761859537037</v>
      </c>
      <c r="E807" s="2">
        <v>45751.761740069443</v>
      </c>
      <c r="F807" t="s">
        <v>1007</v>
      </c>
      <c r="G807" t="s">
        <v>537</v>
      </c>
      <c r="H807" t="s">
        <v>540</v>
      </c>
      <c r="I807">
        <v>9</v>
      </c>
      <c r="J807">
        <v>45734</v>
      </c>
      <c r="K807">
        <v>0.22916666666666674</v>
      </c>
      <c r="L807">
        <v>0.20833333333333326</v>
      </c>
      <c r="M807" t="s">
        <v>1010</v>
      </c>
    </row>
    <row r="808" spans="1:13" x14ac:dyDescent="0.25">
      <c r="A808" t="s">
        <v>1023</v>
      </c>
      <c r="B808" t="s">
        <v>1006</v>
      </c>
      <c r="C808" s="2">
        <v>45769.578117118057</v>
      </c>
      <c r="D808" s="2">
        <v>45753.105104166665</v>
      </c>
      <c r="E808" s="2">
        <v>45753.107311701388</v>
      </c>
      <c r="F808" t="s">
        <v>1007</v>
      </c>
      <c r="G808" t="s">
        <v>537</v>
      </c>
      <c r="H808" t="s">
        <v>540</v>
      </c>
      <c r="I808">
        <v>9</v>
      </c>
      <c r="J808">
        <v>45734</v>
      </c>
      <c r="K808">
        <v>0.22916666666666674</v>
      </c>
      <c r="L808">
        <v>0.20833333333333326</v>
      </c>
      <c r="M808" t="s">
        <v>1010</v>
      </c>
    </row>
    <row r="809" spans="1:13" x14ac:dyDescent="0.25">
      <c r="A809" t="s">
        <v>1024</v>
      </c>
      <c r="B809" t="s">
        <v>1006</v>
      </c>
      <c r="C809" s="2">
        <v>45769.578117557867</v>
      </c>
      <c r="D809" s="2">
        <v>45755.522465879629</v>
      </c>
      <c r="E809" s="2">
        <v>45755.517505011572</v>
      </c>
      <c r="F809" t="s">
        <v>1007</v>
      </c>
      <c r="G809" t="s">
        <v>537</v>
      </c>
      <c r="H809" t="s">
        <v>540</v>
      </c>
      <c r="I809">
        <v>9</v>
      </c>
      <c r="J809">
        <v>45734</v>
      </c>
      <c r="K809">
        <v>0.22916666666666674</v>
      </c>
      <c r="L809">
        <v>0.20833333333333326</v>
      </c>
      <c r="M809" t="s">
        <v>1010</v>
      </c>
    </row>
    <row r="810" spans="1:13" x14ac:dyDescent="0.25">
      <c r="A810" t="s">
        <v>1025</v>
      </c>
      <c r="B810" t="s">
        <v>1006</v>
      </c>
      <c r="C810" s="2">
        <v>45769.578118020836</v>
      </c>
      <c r="D810" s="2">
        <v>45756.741511504631</v>
      </c>
      <c r="E810" s="2">
        <v>45756.741511087967</v>
      </c>
      <c r="F810" t="s">
        <v>1007</v>
      </c>
      <c r="G810" t="s">
        <v>537</v>
      </c>
      <c r="H810" t="s">
        <v>540</v>
      </c>
      <c r="I810">
        <v>9</v>
      </c>
      <c r="J810">
        <v>45734</v>
      </c>
      <c r="K810">
        <v>0.22916666666666674</v>
      </c>
      <c r="L810">
        <v>0.20833333333333326</v>
      </c>
      <c r="M810" t="s">
        <v>1010</v>
      </c>
    </row>
    <row r="811" spans="1:13" x14ac:dyDescent="0.25">
      <c r="A811" t="s">
        <v>1026</v>
      </c>
      <c r="B811" t="s">
        <v>1006</v>
      </c>
      <c r="C811" s="2">
        <v>45769.578118518519</v>
      </c>
      <c r="D811" s="2">
        <v>45758.796925532406</v>
      </c>
      <c r="E811" s="2">
        <v>45758.796925092596</v>
      </c>
      <c r="F811" t="s">
        <v>1007</v>
      </c>
      <c r="G811" t="s">
        <v>537</v>
      </c>
      <c r="H811" t="s">
        <v>540</v>
      </c>
      <c r="I811">
        <v>9</v>
      </c>
      <c r="J811">
        <v>45734</v>
      </c>
      <c r="K811">
        <v>0.22916666666666674</v>
      </c>
      <c r="L811">
        <v>0.20833333333333326</v>
      </c>
      <c r="M811" t="s">
        <v>1010</v>
      </c>
    </row>
    <row r="812" spans="1:13" x14ac:dyDescent="0.25">
      <c r="A812" t="s">
        <v>1027</v>
      </c>
      <c r="B812" t="s">
        <v>1006</v>
      </c>
      <c r="C812" s="2">
        <v>45769.578119039354</v>
      </c>
      <c r="D812" s="2">
        <v>45762.136261574073</v>
      </c>
      <c r="E812" s="2">
        <v>45761.611620300922</v>
      </c>
      <c r="F812" t="s">
        <v>1007</v>
      </c>
      <c r="G812" t="s">
        <v>537</v>
      </c>
      <c r="H812" t="s">
        <v>540</v>
      </c>
      <c r="I812">
        <v>9</v>
      </c>
      <c r="J812">
        <v>45734</v>
      </c>
      <c r="K812">
        <v>0.22916666666666674</v>
      </c>
      <c r="L812">
        <v>0.20833333333333326</v>
      </c>
      <c r="M812" t="s">
        <v>1010</v>
      </c>
    </row>
    <row r="813" spans="1:13" x14ac:dyDescent="0.25">
      <c r="A813" t="s">
        <v>1442</v>
      </c>
      <c r="B813" t="s">
        <v>1006</v>
      </c>
      <c r="C813" s="2">
        <v>45769.578120150465</v>
      </c>
      <c r="D813" s="2">
        <v>45764.657094907408</v>
      </c>
      <c r="E813" s="2">
        <v>45764.945923333333</v>
      </c>
      <c r="F813" t="s">
        <v>1007</v>
      </c>
      <c r="G813" t="s">
        <v>537</v>
      </c>
      <c r="H813" t="s">
        <v>540</v>
      </c>
      <c r="I813">
        <v>9</v>
      </c>
      <c r="J813">
        <v>45734</v>
      </c>
      <c r="K813">
        <v>0.22916666666666674</v>
      </c>
      <c r="L813">
        <v>0.20833333333333326</v>
      </c>
      <c r="M813" t="s">
        <v>1010</v>
      </c>
    </row>
    <row r="814" spans="1:13" x14ac:dyDescent="0.25">
      <c r="A814" t="s">
        <v>1445</v>
      </c>
      <c r="B814" t="s">
        <v>1006</v>
      </c>
      <c r="C814" s="2">
        <v>45769.57812071759</v>
      </c>
      <c r="D814" s="2">
        <v>45765.917060185187</v>
      </c>
      <c r="E814" s="2">
        <v>45765.918956886577</v>
      </c>
      <c r="F814" t="s">
        <v>1007</v>
      </c>
      <c r="G814" t="s">
        <v>537</v>
      </c>
      <c r="H814" t="s">
        <v>540</v>
      </c>
      <c r="I814">
        <v>9</v>
      </c>
      <c r="J814">
        <v>45734</v>
      </c>
      <c r="K814">
        <v>0.22916666666666674</v>
      </c>
      <c r="L814">
        <v>0.20833333333333326</v>
      </c>
      <c r="M814" t="s">
        <v>1010</v>
      </c>
    </row>
    <row r="815" spans="1:13" x14ac:dyDescent="0.25">
      <c r="A815" t="s">
        <v>1446</v>
      </c>
      <c r="B815" t="s">
        <v>1006</v>
      </c>
      <c r="C815" s="2">
        <v>45769.578121180559</v>
      </c>
      <c r="D815" s="2">
        <v>45769.420274479169</v>
      </c>
      <c r="E815" s="2">
        <v>45769.420274166667</v>
      </c>
      <c r="F815" t="s">
        <v>1007</v>
      </c>
      <c r="G815" t="s">
        <v>537</v>
      </c>
      <c r="H815" t="s">
        <v>540</v>
      </c>
      <c r="I815">
        <v>9</v>
      </c>
      <c r="J815">
        <v>45734</v>
      </c>
      <c r="K815">
        <v>0.22916666666666674</v>
      </c>
      <c r="L815">
        <v>0.20833333333333326</v>
      </c>
      <c r="M815" t="s">
        <v>1010</v>
      </c>
    </row>
    <row r="816" spans="1:13" x14ac:dyDescent="0.25">
      <c r="A816" t="s">
        <v>1459</v>
      </c>
      <c r="B816" t="s">
        <v>1006</v>
      </c>
      <c r="C816" s="2">
        <v>45769.578121631945</v>
      </c>
      <c r="D816" s="2">
        <v>45755.429071284721</v>
      </c>
      <c r="E816" s="2">
        <v>45755.429071030092</v>
      </c>
      <c r="F816" t="s">
        <v>1007</v>
      </c>
      <c r="G816" t="s">
        <v>537</v>
      </c>
      <c r="H816" t="s">
        <v>540</v>
      </c>
      <c r="I816">
        <v>9</v>
      </c>
      <c r="J816">
        <v>45734</v>
      </c>
      <c r="K816">
        <v>0.22916666666666674</v>
      </c>
      <c r="L816">
        <v>0.20833333333333326</v>
      </c>
      <c r="M816" t="s">
        <v>1010</v>
      </c>
    </row>
    <row r="817" spans="1:13" x14ac:dyDescent="0.25">
      <c r="A817" t="s">
        <v>1019</v>
      </c>
      <c r="B817" t="s">
        <v>1006</v>
      </c>
      <c r="C817" s="2">
        <v>45769.578115219905</v>
      </c>
      <c r="D817" s="2">
        <v>45740.441161863426</v>
      </c>
      <c r="E817" s="2">
        <v>45740.441161643517</v>
      </c>
      <c r="F817" t="s">
        <v>1007</v>
      </c>
      <c r="G817" t="s">
        <v>549</v>
      </c>
      <c r="H817" t="s">
        <v>552</v>
      </c>
      <c r="I817">
        <v>9</v>
      </c>
      <c r="J817">
        <v>45737</v>
      </c>
      <c r="K817">
        <v>0.32499999999999996</v>
      </c>
      <c r="L817">
        <v>0.29166666666666674</v>
      </c>
      <c r="M817" t="s">
        <v>1010</v>
      </c>
    </row>
    <row r="818" spans="1:13" x14ac:dyDescent="0.25">
      <c r="A818" t="s">
        <v>1020</v>
      </c>
      <c r="B818" t="s">
        <v>1006</v>
      </c>
      <c r="C818" s="2">
        <v>45769.578115682867</v>
      </c>
      <c r="D818" s="2">
        <v>45747.434178240743</v>
      </c>
      <c r="E818" s="2">
        <v>45746.492342094905</v>
      </c>
      <c r="F818" t="s">
        <v>1007</v>
      </c>
      <c r="G818" t="s">
        <v>549</v>
      </c>
      <c r="H818" t="s">
        <v>552</v>
      </c>
      <c r="I818">
        <v>9</v>
      </c>
      <c r="J818">
        <v>45737</v>
      </c>
      <c r="K818">
        <v>0.32499999999999996</v>
      </c>
      <c r="L818">
        <v>0.29166666666666674</v>
      </c>
      <c r="M818" t="s">
        <v>1010</v>
      </c>
    </row>
    <row r="819" spans="1:13" x14ac:dyDescent="0.25">
      <c r="A819" t="s">
        <v>1021</v>
      </c>
      <c r="B819" t="s">
        <v>1006</v>
      </c>
      <c r="C819" s="2">
        <v>45769.578116168981</v>
      </c>
      <c r="D819" s="2">
        <v>45748.008692129632</v>
      </c>
      <c r="E819" s="2">
        <v>45760.803375069445</v>
      </c>
      <c r="F819" t="s">
        <v>1007</v>
      </c>
      <c r="G819" t="s">
        <v>549</v>
      </c>
      <c r="H819" t="s">
        <v>552</v>
      </c>
      <c r="I819">
        <v>9</v>
      </c>
      <c r="J819">
        <v>45737</v>
      </c>
      <c r="K819">
        <v>0.32499999999999996</v>
      </c>
      <c r="L819">
        <v>0.29166666666666674</v>
      </c>
      <c r="M819" t="s">
        <v>1010</v>
      </c>
    </row>
    <row r="820" spans="1:13" x14ac:dyDescent="0.25">
      <c r="A820" t="s">
        <v>1022</v>
      </c>
      <c r="B820" t="s">
        <v>1006</v>
      </c>
      <c r="C820" s="2">
        <v>45769.578116643519</v>
      </c>
      <c r="D820" s="2">
        <v>45751.761859537037</v>
      </c>
      <c r="E820" s="2">
        <v>45751.761740069443</v>
      </c>
      <c r="F820" t="s">
        <v>1007</v>
      </c>
      <c r="G820" t="s">
        <v>549</v>
      </c>
      <c r="H820" t="s">
        <v>552</v>
      </c>
      <c r="I820">
        <v>9</v>
      </c>
      <c r="J820">
        <v>45737</v>
      </c>
      <c r="K820">
        <v>0.32499999999999996</v>
      </c>
      <c r="L820">
        <v>0.29166666666666674</v>
      </c>
      <c r="M820" t="s">
        <v>1010</v>
      </c>
    </row>
    <row r="821" spans="1:13" x14ac:dyDescent="0.25">
      <c r="A821" t="s">
        <v>1023</v>
      </c>
      <c r="B821" t="s">
        <v>1006</v>
      </c>
      <c r="C821" s="2">
        <v>45769.578117118057</v>
      </c>
      <c r="D821" s="2">
        <v>45753.105104166665</v>
      </c>
      <c r="E821" s="2">
        <v>45753.107311701388</v>
      </c>
      <c r="F821" t="s">
        <v>1007</v>
      </c>
      <c r="G821" t="s">
        <v>549</v>
      </c>
      <c r="H821" t="s">
        <v>552</v>
      </c>
      <c r="I821">
        <v>9</v>
      </c>
      <c r="J821">
        <v>45737</v>
      </c>
      <c r="K821">
        <v>0.32499999999999996</v>
      </c>
      <c r="L821">
        <v>0.29166666666666674</v>
      </c>
      <c r="M821" t="s">
        <v>1010</v>
      </c>
    </row>
    <row r="822" spans="1:13" x14ac:dyDescent="0.25">
      <c r="A822" t="s">
        <v>1024</v>
      </c>
      <c r="B822" t="s">
        <v>1006</v>
      </c>
      <c r="C822" s="2">
        <v>45769.578117557867</v>
      </c>
      <c r="D822" s="2">
        <v>45755.522465879629</v>
      </c>
      <c r="E822" s="2">
        <v>45755.517505011572</v>
      </c>
      <c r="F822" t="s">
        <v>1007</v>
      </c>
      <c r="G822" t="s">
        <v>549</v>
      </c>
      <c r="H822" t="s">
        <v>552</v>
      </c>
      <c r="I822">
        <v>9</v>
      </c>
      <c r="J822">
        <v>45737</v>
      </c>
      <c r="K822">
        <v>0.32499999999999996</v>
      </c>
      <c r="L822">
        <v>0.29166666666666674</v>
      </c>
      <c r="M822" t="s">
        <v>1010</v>
      </c>
    </row>
    <row r="823" spans="1:13" x14ac:dyDescent="0.25">
      <c r="A823" t="s">
        <v>1025</v>
      </c>
      <c r="B823" t="s">
        <v>1006</v>
      </c>
      <c r="C823" s="2">
        <v>45769.578118020836</v>
      </c>
      <c r="D823" s="2">
        <v>45756.741511504631</v>
      </c>
      <c r="E823" s="2">
        <v>45756.741511087967</v>
      </c>
      <c r="F823" t="s">
        <v>1007</v>
      </c>
      <c r="G823" t="s">
        <v>549</v>
      </c>
      <c r="H823" t="s">
        <v>552</v>
      </c>
      <c r="I823">
        <v>9</v>
      </c>
      <c r="J823">
        <v>45737</v>
      </c>
      <c r="K823">
        <v>0.32499999999999996</v>
      </c>
      <c r="L823">
        <v>0.29166666666666674</v>
      </c>
      <c r="M823" t="s">
        <v>1010</v>
      </c>
    </row>
    <row r="824" spans="1:13" x14ac:dyDescent="0.25">
      <c r="A824" t="s">
        <v>1026</v>
      </c>
      <c r="B824" t="s">
        <v>1006</v>
      </c>
      <c r="C824" s="2">
        <v>45769.578118518519</v>
      </c>
      <c r="D824" s="2">
        <v>45758.796925532406</v>
      </c>
      <c r="E824" s="2">
        <v>45758.796925092596</v>
      </c>
      <c r="F824" t="s">
        <v>1007</v>
      </c>
      <c r="G824" t="s">
        <v>549</v>
      </c>
      <c r="H824" t="s">
        <v>552</v>
      </c>
      <c r="I824">
        <v>9</v>
      </c>
      <c r="J824">
        <v>45737</v>
      </c>
      <c r="K824">
        <v>0.32499999999999996</v>
      </c>
      <c r="L824">
        <v>0.29166666666666674</v>
      </c>
      <c r="M824" t="s">
        <v>1010</v>
      </c>
    </row>
    <row r="825" spans="1:13" x14ac:dyDescent="0.25">
      <c r="A825" t="s">
        <v>1027</v>
      </c>
      <c r="B825" t="s">
        <v>1006</v>
      </c>
      <c r="C825" s="2">
        <v>45769.578119039354</v>
      </c>
      <c r="D825" s="2">
        <v>45762.136261574073</v>
      </c>
      <c r="E825" s="2">
        <v>45761.611620300922</v>
      </c>
      <c r="F825" t="s">
        <v>1007</v>
      </c>
      <c r="G825" t="s">
        <v>549</v>
      </c>
      <c r="H825" t="s">
        <v>552</v>
      </c>
      <c r="I825">
        <v>9</v>
      </c>
      <c r="J825">
        <v>45737</v>
      </c>
      <c r="K825">
        <v>0.32499999999999996</v>
      </c>
      <c r="L825">
        <v>0.29166666666666674</v>
      </c>
      <c r="M825" t="s">
        <v>1010</v>
      </c>
    </row>
    <row r="826" spans="1:13" x14ac:dyDescent="0.25">
      <c r="A826" t="s">
        <v>1442</v>
      </c>
      <c r="B826" t="s">
        <v>1006</v>
      </c>
      <c r="C826" s="2">
        <v>45769.578120150465</v>
      </c>
      <c r="D826" s="2">
        <v>45764.657094907408</v>
      </c>
      <c r="E826" s="2">
        <v>45764.945923333333</v>
      </c>
      <c r="F826" t="s">
        <v>1007</v>
      </c>
      <c r="G826" t="s">
        <v>549</v>
      </c>
      <c r="H826" t="s">
        <v>552</v>
      </c>
      <c r="I826">
        <v>9</v>
      </c>
      <c r="J826">
        <v>45737</v>
      </c>
      <c r="K826">
        <v>0.32499999999999996</v>
      </c>
      <c r="L826">
        <v>0.29166666666666674</v>
      </c>
      <c r="M826" t="s">
        <v>1010</v>
      </c>
    </row>
    <row r="827" spans="1:13" x14ac:dyDescent="0.25">
      <c r="A827" t="s">
        <v>1445</v>
      </c>
      <c r="B827" t="s">
        <v>1006</v>
      </c>
      <c r="C827" s="2">
        <v>45769.57812071759</v>
      </c>
      <c r="D827" s="2">
        <v>45765.917060185187</v>
      </c>
      <c r="E827" s="2">
        <v>45765.918956886577</v>
      </c>
      <c r="F827" t="s">
        <v>1007</v>
      </c>
      <c r="G827" t="s">
        <v>549</v>
      </c>
      <c r="H827" t="s">
        <v>552</v>
      </c>
      <c r="I827">
        <v>9</v>
      </c>
      <c r="J827">
        <v>45737</v>
      </c>
      <c r="K827">
        <v>0.32499999999999996</v>
      </c>
      <c r="L827">
        <v>0.29166666666666674</v>
      </c>
      <c r="M827" t="s">
        <v>1010</v>
      </c>
    </row>
    <row r="828" spans="1:13" x14ac:dyDescent="0.25">
      <c r="A828" t="s">
        <v>1446</v>
      </c>
      <c r="B828" t="s">
        <v>1006</v>
      </c>
      <c r="C828" s="2">
        <v>45769.578121180559</v>
      </c>
      <c r="D828" s="2">
        <v>45769.420274479169</v>
      </c>
      <c r="E828" s="2">
        <v>45769.420274166667</v>
      </c>
      <c r="F828" t="s">
        <v>1007</v>
      </c>
      <c r="G828" t="s">
        <v>549</v>
      </c>
      <c r="H828" t="s">
        <v>552</v>
      </c>
      <c r="I828">
        <v>9</v>
      </c>
      <c r="J828">
        <v>45737</v>
      </c>
      <c r="K828">
        <v>0.32499999999999996</v>
      </c>
      <c r="L828">
        <v>0.29166666666666674</v>
      </c>
      <c r="M828" t="s">
        <v>1010</v>
      </c>
    </row>
    <row r="829" spans="1:13" x14ac:dyDescent="0.25">
      <c r="A829" t="s">
        <v>1459</v>
      </c>
      <c r="B829" t="s">
        <v>1006</v>
      </c>
      <c r="C829" s="2">
        <v>45769.578121631945</v>
      </c>
      <c r="D829" s="2">
        <v>45755.429071284721</v>
      </c>
      <c r="E829" s="2">
        <v>45755.429071030092</v>
      </c>
      <c r="F829" t="s">
        <v>1007</v>
      </c>
      <c r="G829" t="s">
        <v>549</v>
      </c>
      <c r="H829" t="s">
        <v>552</v>
      </c>
      <c r="I829">
        <v>9</v>
      </c>
      <c r="J829">
        <v>45737</v>
      </c>
      <c r="K829">
        <v>0.32499999999999996</v>
      </c>
      <c r="L829">
        <v>0.29166666666666674</v>
      </c>
      <c r="M829" t="s">
        <v>1010</v>
      </c>
    </row>
    <row r="830" spans="1:13" x14ac:dyDescent="0.25">
      <c r="A830" t="s">
        <v>1019</v>
      </c>
      <c r="B830" t="s">
        <v>1006</v>
      </c>
      <c r="C830" s="2">
        <v>45769.578115219905</v>
      </c>
      <c r="D830" s="2">
        <v>45740.441161863426</v>
      </c>
      <c r="E830" s="2">
        <v>45740.441161643517</v>
      </c>
      <c r="F830" t="s">
        <v>1007</v>
      </c>
      <c r="G830" t="s">
        <v>559</v>
      </c>
      <c r="H830" t="s">
        <v>564</v>
      </c>
      <c r="I830">
        <v>9</v>
      </c>
      <c r="J830">
        <v>45739</v>
      </c>
      <c r="K830">
        <v>0.17361111111111116</v>
      </c>
      <c r="L830">
        <v>0.16666666666666674</v>
      </c>
      <c r="M830" t="s">
        <v>1010</v>
      </c>
    </row>
    <row r="831" spans="1:13" x14ac:dyDescent="0.25">
      <c r="A831" t="s">
        <v>1020</v>
      </c>
      <c r="B831" t="s">
        <v>1006</v>
      </c>
      <c r="C831" s="2">
        <v>45769.578115682867</v>
      </c>
      <c r="D831" s="2">
        <v>45747.434178240743</v>
      </c>
      <c r="E831" s="2">
        <v>45746.492342094905</v>
      </c>
      <c r="F831" t="s">
        <v>1007</v>
      </c>
      <c r="G831" t="s">
        <v>559</v>
      </c>
      <c r="H831" t="s">
        <v>564</v>
      </c>
      <c r="I831">
        <v>9</v>
      </c>
      <c r="J831">
        <v>45739</v>
      </c>
      <c r="K831">
        <v>0.17361111111111116</v>
      </c>
      <c r="L831">
        <v>0.16666666666666674</v>
      </c>
      <c r="M831" t="s">
        <v>1010</v>
      </c>
    </row>
    <row r="832" spans="1:13" x14ac:dyDescent="0.25">
      <c r="A832" t="s">
        <v>1021</v>
      </c>
      <c r="B832" t="s">
        <v>1006</v>
      </c>
      <c r="C832" s="2">
        <v>45769.578116168981</v>
      </c>
      <c r="D832" s="2">
        <v>45748.008692129632</v>
      </c>
      <c r="E832" s="2">
        <v>45760.803375069445</v>
      </c>
      <c r="F832" t="s">
        <v>1007</v>
      </c>
      <c r="G832" t="s">
        <v>559</v>
      </c>
      <c r="H832" t="s">
        <v>564</v>
      </c>
      <c r="I832">
        <v>9</v>
      </c>
      <c r="J832">
        <v>45739</v>
      </c>
      <c r="K832">
        <v>0.17361111111111116</v>
      </c>
      <c r="L832">
        <v>0.16666666666666674</v>
      </c>
      <c r="M832" t="s">
        <v>1010</v>
      </c>
    </row>
    <row r="833" spans="1:13" x14ac:dyDescent="0.25">
      <c r="A833" t="s">
        <v>1022</v>
      </c>
      <c r="B833" t="s">
        <v>1006</v>
      </c>
      <c r="C833" s="2">
        <v>45769.578116643519</v>
      </c>
      <c r="D833" s="2">
        <v>45751.761859537037</v>
      </c>
      <c r="E833" s="2">
        <v>45751.761740069443</v>
      </c>
      <c r="F833" t="s">
        <v>1007</v>
      </c>
      <c r="G833" t="s">
        <v>559</v>
      </c>
      <c r="H833" t="s">
        <v>564</v>
      </c>
      <c r="I833">
        <v>9</v>
      </c>
      <c r="J833">
        <v>45739</v>
      </c>
      <c r="K833">
        <v>0.17361111111111116</v>
      </c>
      <c r="L833">
        <v>0.16666666666666674</v>
      </c>
      <c r="M833" t="s">
        <v>1010</v>
      </c>
    </row>
    <row r="834" spans="1:13" x14ac:dyDescent="0.25">
      <c r="A834" t="s">
        <v>1023</v>
      </c>
      <c r="B834" t="s">
        <v>1006</v>
      </c>
      <c r="C834" s="2">
        <v>45769.578117118057</v>
      </c>
      <c r="D834" s="2">
        <v>45753.105104166665</v>
      </c>
      <c r="E834" s="2">
        <v>45753.107311701388</v>
      </c>
      <c r="F834" t="s">
        <v>1007</v>
      </c>
      <c r="G834" t="s">
        <v>559</v>
      </c>
      <c r="H834" t="s">
        <v>564</v>
      </c>
      <c r="I834">
        <v>9</v>
      </c>
      <c r="J834">
        <v>45739</v>
      </c>
      <c r="K834">
        <v>0.17361111111111116</v>
      </c>
      <c r="L834">
        <v>0.16666666666666674</v>
      </c>
      <c r="M834" t="s">
        <v>1010</v>
      </c>
    </row>
    <row r="835" spans="1:13" x14ac:dyDescent="0.25">
      <c r="A835" t="s">
        <v>1024</v>
      </c>
      <c r="B835" t="s">
        <v>1006</v>
      </c>
      <c r="C835" s="2">
        <v>45769.578117557867</v>
      </c>
      <c r="D835" s="2">
        <v>45755.522465879629</v>
      </c>
      <c r="E835" s="2">
        <v>45755.517505011572</v>
      </c>
      <c r="F835" t="s">
        <v>1007</v>
      </c>
      <c r="G835" t="s">
        <v>559</v>
      </c>
      <c r="H835" t="s">
        <v>564</v>
      </c>
      <c r="I835">
        <v>9</v>
      </c>
      <c r="J835">
        <v>45739</v>
      </c>
      <c r="K835">
        <v>0.17361111111111116</v>
      </c>
      <c r="L835">
        <v>0.16666666666666674</v>
      </c>
      <c r="M835" t="s">
        <v>1010</v>
      </c>
    </row>
    <row r="836" spans="1:13" x14ac:dyDescent="0.25">
      <c r="A836" t="s">
        <v>1025</v>
      </c>
      <c r="B836" t="s">
        <v>1006</v>
      </c>
      <c r="C836" s="2">
        <v>45769.578118020836</v>
      </c>
      <c r="D836" s="2">
        <v>45756.741511504631</v>
      </c>
      <c r="E836" s="2">
        <v>45756.741511087967</v>
      </c>
      <c r="F836" t="s">
        <v>1007</v>
      </c>
      <c r="G836" t="s">
        <v>559</v>
      </c>
      <c r="H836" t="s">
        <v>564</v>
      </c>
      <c r="I836">
        <v>9</v>
      </c>
      <c r="J836">
        <v>45739</v>
      </c>
      <c r="K836">
        <v>0.17361111111111116</v>
      </c>
      <c r="L836">
        <v>0.16666666666666674</v>
      </c>
      <c r="M836" t="s">
        <v>1010</v>
      </c>
    </row>
    <row r="837" spans="1:13" x14ac:dyDescent="0.25">
      <c r="A837" t="s">
        <v>1026</v>
      </c>
      <c r="B837" t="s">
        <v>1006</v>
      </c>
      <c r="C837" s="2">
        <v>45769.578118518519</v>
      </c>
      <c r="D837" s="2">
        <v>45758.796925532406</v>
      </c>
      <c r="E837" s="2">
        <v>45758.796925092596</v>
      </c>
      <c r="F837" t="s">
        <v>1007</v>
      </c>
      <c r="G837" t="s">
        <v>559</v>
      </c>
      <c r="H837" t="s">
        <v>564</v>
      </c>
      <c r="I837">
        <v>9</v>
      </c>
      <c r="J837">
        <v>45739</v>
      </c>
      <c r="K837">
        <v>0.17361111111111116</v>
      </c>
      <c r="L837">
        <v>0.16666666666666674</v>
      </c>
      <c r="M837" t="s">
        <v>1010</v>
      </c>
    </row>
    <row r="838" spans="1:13" x14ac:dyDescent="0.25">
      <c r="A838" t="s">
        <v>1027</v>
      </c>
      <c r="B838" t="s">
        <v>1006</v>
      </c>
      <c r="C838" s="2">
        <v>45769.578119039354</v>
      </c>
      <c r="D838" s="2">
        <v>45762.136261574073</v>
      </c>
      <c r="E838" s="2">
        <v>45761.611620300922</v>
      </c>
      <c r="F838" t="s">
        <v>1007</v>
      </c>
      <c r="G838" t="s">
        <v>559</v>
      </c>
      <c r="H838" t="s">
        <v>564</v>
      </c>
      <c r="I838">
        <v>9</v>
      </c>
      <c r="J838">
        <v>45739</v>
      </c>
      <c r="K838">
        <v>0.17361111111111116</v>
      </c>
      <c r="L838">
        <v>0.16666666666666674</v>
      </c>
      <c r="M838" t="s">
        <v>1010</v>
      </c>
    </row>
    <row r="839" spans="1:13" x14ac:dyDescent="0.25">
      <c r="A839" t="s">
        <v>1027</v>
      </c>
      <c r="B839" t="s">
        <v>1006</v>
      </c>
      <c r="C839" s="2">
        <v>45769.578119039354</v>
      </c>
      <c r="D839" s="2">
        <v>45762.136261574073</v>
      </c>
      <c r="E839" s="2">
        <v>45761.611620300922</v>
      </c>
      <c r="F839" t="s">
        <v>1007</v>
      </c>
      <c r="G839" t="s">
        <v>845</v>
      </c>
      <c r="H839" t="s">
        <v>848</v>
      </c>
      <c r="I839">
        <v>9</v>
      </c>
      <c r="J839">
        <v>45739</v>
      </c>
      <c r="K839">
        <v>0.6201388888888888</v>
      </c>
      <c r="L839">
        <v>0.58333333333333326</v>
      </c>
      <c r="M839" t="s">
        <v>1009</v>
      </c>
    </row>
    <row r="840" spans="1:13" x14ac:dyDescent="0.25">
      <c r="A840" t="s">
        <v>1442</v>
      </c>
      <c r="B840" t="s">
        <v>1006</v>
      </c>
      <c r="C840" s="2">
        <v>45769.578120150465</v>
      </c>
      <c r="D840" s="2">
        <v>45764.657094907408</v>
      </c>
      <c r="E840" s="2">
        <v>45764.945923333333</v>
      </c>
      <c r="F840" t="s">
        <v>1007</v>
      </c>
      <c r="G840" t="s">
        <v>559</v>
      </c>
      <c r="H840" t="s">
        <v>564</v>
      </c>
      <c r="I840">
        <v>9</v>
      </c>
      <c r="J840">
        <v>45739</v>
      </c>
      <c r="K840">
        <v>0.17361111111111116</v>
      </c>
      <c r="L840">
        <v>0.16666666666666674</v>
      </c>
      <c r="M840" t="s">
        <v>1010</v>
      </c>
    </row>
    <row r="841" spans="1:13" x14ac:dyDescent="0.25">
      <c r="A841" t="s">
        <v>1442</v>
      </c>
      <c r="B841" t="s">
        <v>1006</v>
      </c>
      <c r="C841" s="2">
        <v>45769.578120150465</v>
      </c>
      <c r="D841" s="2">
        <v>45764.657094907408</v>
      </c>
      <c r="E841" s="2">
        <v>45764.945923333333</v>
      </c>
      <c r="F841" t="s">
        <v>1007</v>
      </c>
      <c r="G841" t="s">
        <v>845</v>
      </c>
      <c r="H841" t="s">
        <v>848</v>
      </c>
      <c r="I841">
        <v>9</v>
      </c>
      <c r="J841">
        <v>45739</v>
      </c>
      <c r="K841">
        <v>0.6201388888888888</v>
      </c>
      <c r="L841">
        <v>0.58333333333333326</v>
      </c>
      <c r="M841" t="s">
        <v>1009</v>
      </c>
    </row>
    <row r="842" spans="1:13" x14ac:dyDescent="0.25">
      <c r="A842" t="s">
        <v>1445</v>
      </c>
      <c r="B842" t="s">
        <v>1006</v>
      </c>
      <c r="C842" s="2">
        <v>45769.57812071759</v>
      </c>
      <c r="D842" s="2">
        <v>45765.917060185187</v>
      </c>
      <c r="E842" s="2">
        <v>45765.918956886577</v>
      </c>
      <c r="F842" t="s">
        <v>1007</v>
      </c>
      <c r="G842" t="s">
        <v>559</v>
      </c>
      <c r="H842" t="s">
        <v>564</v>
      </c>
      <c r="I842">
        <v>9</v>
      </c>
      <c r="J842">
        <v>45739</v>
      </c>
      <c r="K842">
        <v>0.17361111111111116</v>
      </c>
      <c r="L842">
        <v>0.16666666666666674</v>
      </c>
      <c r="M842" t="s">
        <v>1010</v>
      </c>
    </row>
    <row r="843" spans="1:13" x14ac:dyDescent="0.25">
      <c r="A843" t="s">
        <v>1445</v>
      </c>
      <c r="B843" t="s">
        <v>1006</v>
      </c>
      <c r="C843" s="2">
        <v>45769.57812071759</v>
      </c>
      <c r="D843" s="2">
        <v>45765.917060185187</v>
      </c>
      <c r="E843" s="2">
        <v>45765.918956886577</v>
      </c>
      <c r="F843" t="s">
        <v>1007</v>
      </c>
      <c r="G843" t="s">
        <v>845</v>
      </c>
      <c r="H843" t="s">
        <v>848</v>
      </c>
      <c r="I843">
        <v>9</v>
      </c>
      <c r="J843">
        <v>45739</v>
      </c>
      <c r="K843">
        <v>0.6201388888888888</v>
      </c>
      <c r="L843">
        <v>0.58333333333333326</v>
      </c>
      <c r="M843" t="s">
        <v>1009</v>
      </c>
    </row>
    <row r="844" spans="1:13" x14ac:dyDescent="0.25">
      <c r="A844" t="s">
        <v>1446</v>
      </c>
      <c r="B844" t="s">
        <v>1006</v>
      </c>
      <c r="C844" s="2">
        <v>45769.578121180559</v>
      </c>
      <c r="D844" s="2">
        <v>45769.420274479169</v>
      </c>
      <c r="E844" s="2">
        <v>45769.420274166667</v>
      </c>
      <c r="F844" t="s">
        <v>1007</v>
      </c>
      <c r="G844" t="s">
        <v>559</v>
      </c>
      <c r="H844" t="s">
        <v>564</v>
      </c>
      <c r="I844">
        <v>9</v>
      </c>
      <c r="J844">
        <v>45739</v>
      </c>
      <c r="K844">
        <v>0.17361111111111116</v>
      </c>
      <c r="L844">
        <v>0.16666666666666674</v>
      </c>
      <c r="M844" t="s">
        <v>1010</v>
      </c>
    </row>
    <row r="845" spans="1:13" x14ac:dyDescent="0.25">
      <c r="A845" t="s">
        <v>1446</v>
      </c>
      <c r="B845" t="s">
        <v>1006</v>
      </c>
      <c r="C845" s="2">
        <v>45769.578121180559</v>
      </c>
      <c r="D845" s="2">
        <v>45769.420274479169</v>
      </c>
      <c r="E845" s="2">
        <v>45769.420274166667</v>
      </c>
      <c r="F845" t="s">
        <v>1007</v>
      </c>
      <c r="G845" t="s">
        <v>845</v>
      </c>
      <c r="H845" t="s">
        <v>848</v>
      </c>
      <c r="I845">
        <v>9</v>
      </c>
      <c r="J845">
        <v>45739</v>
      </c>
      <c r="K845">
        <v>0.6201388888888888</v>
      </c>
      <c r="L845">
        <v>0.58333333333333326</v>
      </c>
      <c r="M845" t="s">
        <v>1009</v>
      </c>
    </row>
    <row r="846" spans="1:13" x14ac:dyDescent="0.25">
      <c r="A846" t="s">
        <v>1459</v>
      </c>
      <c r="B846" t="s">
        <v>1006</v>
      </c>
      <c r="C846" s="2">
        <v>45769.578121631945</v>
      </c>
      <c r="D846" s="2">
        <v>45755.429071284721</v>
      </c>
      <c r="E846" s="2">
        <v>45755.429071030092</v>
      </c>
      <c r="F846" t="s">
        <v>1007</v>
      </c>
      <c r="G846" t="s">
        <v>559</v>
      </c>
      <c r="H846" t="s">
        <v>564</v>
      </c>
      <c r="I846">
        <v>9</v>
      </c>
      <c r="J846">
        <v>45739</v>
      </c>
      <c r="K846">
        <v>0.17361111111111116</v>
      </c>
      <c r="L846">
        <v>0.16666666666666674</v>
      </c>
      <c r="M846" t="s">
        <v>1010</v>
      </c>
    </row>
    <row r="847" spans="1:13" x14ac:dyDescent="0.25">
      <c r="A847" t="s">
        <v>1020</v>
      </c>
      <c r="B847" t="s">
        <v>1006</v>
      </c>
      <c r="C847" s="2">
        <v>45769.578115682867</v>
      </c>
      <c r="D847" s="2">
        <v>45747.434178240743</v>
      </c>
      <c r="E847" s="2">
        <v>45746.492342094905</v>
      </c>
      <c r="F847" t="s">
        <v>1007</v>
      </c>
      <c r="G847" t="s">
        <v>678</v>
      </c>
      <c r="H847" t="s">
        <v>362</v>
      </c>
      <c r="I847">
        <v>9</v>
      </c>
      <c r="J847">
        <v>45741</v>
      </c>
      <c r="K847">
        <v>0.48402777777777772</v>
      </c>
      <c r="L847">
        <v>0.45833333333333326</v>
      </c>
      <c r="M847" t="s">
        <v>1010</v>
      </c>
    </row>
    <row r="848" spans="1:13" x14ac:dyDescent="0.25">
      <c r="A848" t="s">
        <v>1021</v>
      </c>
      <c r="B848" t="s">
        <v>1006</v>
      </c>
      <c r="C848" s="2">
        <v>45769.578116168981</v>
      </c>
      <c r="D848" s="2">
        <v>45748.008692129632</v>
      </c>
      <c r="E848" s="2">
        <v>45760.803375069445</v>
      </c>
      <c r="F848" t="s">
        <v>1007</v>
      </c>
      <c r="G848" t="s">
        <v>678</v>
      </c>
      <c r="H848" t="s">
        <v>362</v>
      </c>
      <c r="I848">
        <v>9</v>
      </c>
      <c r="J848">
        <v>45741</v>
      </c>
      <c r="K848">
        <v>0.48402777777777772</v>
      </c>
      <c r="L848">
        <v>0.45833333333333326</v>
      </c>
      <c r="M848" t="s">
        <v>1010</v>
      </c>
    </row>
    <row r="849" spans="1:13" x14ac:dyDescent="0.25">
      <c r="A849" t="s">
        <v>1022</v>
      </c>
      <c r="B849" t="s">
        <v>1006</v>
      </c>
      <c r="C849" s="2">
        <v>45769.578116643519</v>
      </c>
      <c r="D849" s="2">
        <v>45751.761859537037</v>
      </c>
      <c r="E849" s="2">
        <v>45751.761740069443</v>
      </c>
      <c r="F849" t="s">
        <v>1007</v>
      </c>
      <c r="G849" t="s">
        <v>678</v>
      </c>
      <c r="H849" t="s">
        <v>362</v>
      </c>
      <c r="I849">
        <v>9</v>
      </c>
      <c r="J849">
        <v>45741</v>
      </c>
      <c r="K849">
        <v>0.48402777777777772</v>
      </c>
      <c r="L849">
        <v>0.45833333333333326</v>
      </c>
      <c r="M849" t="s">
        <v>1010</v>
      </c>
    </row>
    <row r="850" spans="1:13" x14ac:dyDescent="0.25">
      <c r="A850" t="s">
        <v>1023</v>
      </c>
      <c r="B850" t="s">
        <v>1006</v>
      </c>
      <c r="C850" s="2">
        <v>45769.578117118057</v>
      </c>
      <c r="D850" s="2">
        <v>45753.105104166665</v>
      </c>
      <c r="E850" s="2">
        <v>45753.107311701388</v>
      </c>
      <c r="F850" t="s">
        <v>1007</v>
      </c>
      <c r="G850" t="s">
        <v>678</v>
      </c>
      <c r="H850" t="s">
        <v>362</v>
      </c>
      <c r="I850">
        <v>9</v>
      </c>
      <c r="J850">
        <v>45741</v>
      </c>
      <c r="K850">
        <v>0.48402777777777772</v>
      </c>
      <c r="L850">
        <v>0.45833333333333326</v>
      </c>
      <c r="M850" t="s">
        <v>1010</v>
      </c>
    </row>
    <row r="851" spans="1:13" x14ac:dyDescent="0.25">
      <c r="A851" t="s">
        <v>1024</v>
      </c>
      <c r="B851" t="s">
        <v>1006</v>
      </c>
      <c r="C851" s="2">
        <v>45769.578117557867</v>
      </c>
      <c r="D851" s="2">
        <v>45755.522465879629</v>
      </c>
      <c r="E851" s="2">
        <v>45755.517505011572</v>
      </c>
      <c r="F851" t="s">
        <v>1007</v>
      </c>
      <c r="G851" t="s">
        <v>678</v>
      </c>
      <c r="H851" t="s">
        <v>362</v>
      </c>
      <c r="I851">
        <v>9</v>
      </c>
      <c r="J851">
        <v>45741</v>
      </c>
      <c r="K851">
        <v>0.48402777777777772</v>
      </c>
      <c r="L851">
        <v>0.45833333333333326</v>
      </c>
      <c r="M851" t="s">
        <v>1010</v>
      </c>
    </row>
    <row r="852" spans="1:13" x14ac:dyDescent="0.25">
      <c r="A852" t="s">
        <v>1025</v>
      </c>
      <c r="B852" t="s">
        <v>1006</v>
      </c>
      <c r="C852" s="2">
        <v>45769.578118020836</v>
      </c>
      <c r="D852" s="2">
        <v>45756.741511504631</v>
      </c>
      <c r="E852" s="2">
        <v>45756.741511087967</v>
      </c>
      <c r="F852" t="s">
        <v>1007</v>
      </c>
      <c r="G852" t="s">
        <v>678</v>
      </c>
      <c r="H852" t="s">
        <v>362</v>
      </c>
      <c r="I852">
        <v>9</v>
      </c>
      <c r="J852">
        <v>45741</v>
      </c>
      <c r="K852">
        <v>0.48402777777777772</v>
      </c>
      <c r="L852">
        <v>0.45833333333333326</v>
      </c>
      <c r="M852" t="s">
        <v>1010</v>
      </c>
    </row>
    <row r="853" spans="1:13" x14ac:dyDescent="0.25">
      <c r="A853" t="s">
        <v>1026</v>
      </c>
      <c r="B853" t="s">
        <v>1006</v>
      </c>
      <c r="C853" s="2">
        <v>45769.578118518519</v>
      </c>
      <c r="D853" s="2">
        <v>45758.796925532406</v>
      </c>
      <c r="E853" s="2">
        <v>45758.796925092596</v>
      </c>
      <c r="F853" t="s">
        <v>1007</v>
      </c>
      <c r="G853" t="s">
        <v>678</v>
      </c>
      <c r="H853" t="s">
        <v>362</v>
      </c>
      <c r="I853">
        <v>9</v>
      </c>
      <c r="J853">
        <v>45741</v>
      </c>
      <c r="K853">
        <v>0.48402777777777772</v>
      </c>
      <c r="L853">
        <v>0.45833333333333326</v>
      </c>
      <c r="M853" t="s">
        <v>1010</v>
      </c>
    </row>
    <row r="854" spans="1:13" x14ac:dyDescent="0.25">
      <c r="A854" t="s">
        <v>1027</v>
      </c>
      <c r="B854" t="s">
        <v>1006</v>
      </c>
      <c r="C854" s="2">
        <v>45769.578119039354</v>
      </c>
      <c r="D854" s="2">
        <v>45762.136261574073</v>
      </c>
      <c r="E854" s="2">
        <v>45761.611620300922</v>
      </c>
      <c r="F854" t="s">
        <v>1007</v>
      </c>
      <c r="G854" t="s">
        <v>678</v>
      </c>
      <c r="H854" t="s">
        <v>362</v>
      </c>
      <c r="I854">
        <v>9</v>
      </c>
      <c r="J854">
        <v>45741</v>
      </c>
      <c r="K854">
        <v>0.48402777777777772</v>
      </c>
      <c r="L854">
        <v>0.45833333333333326</v>
      </c>
      <c r="M854" t="s">
        <v>1010</v>
      </c>
    </row>
    <row r="855" spans="1:13" x14ac:dyDescent="0.25">
      <c r="A855" t="s">
        <v>1442</v>
      </c>
      <c r="B855" t="s">
        <v>1006</v>
      </c>
      <c r="C855" s="2">
        <v>45769.578120150465</v>
      </c>
      <c r="D855" s="2">
        <v>45764.657094907408</v>
      </c>
      <c r="E855" s="2">
        <v>45764.945923333333</v>
      </c>
      <c r="F855" t="s">
        <v>1007</v>
      </c>
      <c r="G855" t="s">
        <v>678</v>
      </c>
      <c r="H855" t="s">
        <v>362</v>
      </c>
      <c r="I855">
        <v>9</v>
      </c>
      <c r="J855">
        <v>45741</v>
      </c>
      <c r="K855">
        <v>0.48402777777777772</v>
      </c>
      <c r="L855">
        <v>0.45833333333333326</v>
      </c>
      <c r="M855" t="s">
        <v>1010</v>
      </c>
    </row>
    <row r="856" spans="1:13" x14ac:dyDescent="0.25">
      <c r="A856" t="s">
        <v>1445</v>
      </c>
      <c r="B856" t="s">
        <v>1006</v>
      </c>
      <c r="C856" s="2">
        <v>45769.57812071759</v>
      </c>
      <c r="D856" s="2">
        <v>45765.917060185187</v>
      </c>
      <c r="E856" s="2">
        <v>45765.918956886577</v>
      </c>
      <c r="F856" t="s">
        <v>1007</v>
      </c>
      <c r="G856" t="s">
        <v>678</v>
      </c>
      <c r="H856" t="s">
        <v>362</v>
      </c>
      <c r="I856">
        <v>9</v>
      </c>
      <c r="J856">
        <v>45741</v>
      </c>
      <c r="K856">
        <v>0.48402777777777772</v>
      </c>
      <c r="L856">
        <v>0.45833333333333326</v>
      </c>
      <c r="M856" t="s">
        <v>1010</v>
      </c>
    </row>
    <row r="857" spans="1:13" x14ac:dyDescent="0.25">
      <c r="A857" t="s">
        <v>1446</v>
      </c>
      <c r="B857" t="s">
        <v>1006</v>
      </c>
      <c r="C857" s="2">
        <v>45769.578121180559</v>
      </c>
      <c r="D857" s="2">
        <v>45769.420274479169</v>
      </c>
      <c r="E857" s="2">
        <v>45769.420274166667</v>
      </c>
      <c r="F857" t="s">
        <v>1007</v>
      </c>
      <c r="G857" t="s">
        <v>678</v>
      </c>
      <c r="H857" t="s">
        <v>362</v>
      </c>
      <c r="I857">
        <v>9</v>
      </c>
      <c r="J857">
        <v>45741</v>
      </c>
      <c r="K857">
        <v>0.48402777777777772</v>
      </c>
      <c r="L857">
        <v>0.45833333333333326</v>
      </c>
      <c r="M857" t="s">
        <v>1010</v>
      </c>
    </row>
    <row r="858" spans="1:13" x14ac:dyDescent="0.25">
      <c r="A858" t="s">
        <v>1459</v>
      </c>
      <c r="B858" t="s">
        <v>1006</v>
      </c>
      <c r="C858" s="2">
        <v>45769.578121631945</v>
      </c>
      <c r="D858" s="2">
        <v>45755.429071284721</v>
      </c>
      <c r="E858" s="2">
        <v>45755.429071030092</v>
      </c>
      <c r="F858" t="s">
        <v>1007</v>
      </c>
      <c r="G858" t="s">
        <v>678</v>
      </c>
      <c r="H858" t="s">
        <v>362</v>
      </c>
      <c r="I858">
        <v>9</v>
      </c>
      <c r="J858">
        <v>45741</v>
      </c>
      <c r="K858">
        <v>0.48402777777777772</v>
      </c>
      <c r="L858">
        <v>0.45833333333333326</v>
      </c>
      <c r="M858" t="s">
        <v>1010</v>
      </c>
    </row>
    <row r="859" spans="1:13" x14ac:dyDescent="0.25">
      <c r="A859" t="s">
        <v>1020</v>
      </c>
      <c r="B859" t="s">
        <v>1006</v>
      </c>
      <c r="C859" s="2">
        <v>45769.578115682867</v>
      </c>
      <c r="D859" s="2">
        <v>45747.434178240743</v>
      </c>
      <c r="E859" s="2">
        <v>45746.492342094905</v>
      </c>
      <c r="F859" t="s">
        <v>1007</v>
      </c>
      <c r="G859" t="s">
        <v>573</v>
      </c>
      <c r="H859" t="s">
        <v>577</v>
      </c>
      <c r="I859">
        <v>9</v>
      </c>
      <c r="J859">
        <v>45743</v>
      </c>
      <c r="K859">
        <v>0.94666666666666677</v>
      </c>
      <c r="L859">
        <v>0.91666666666666674</v>
      </c>
      <c r="M859" t="s">
        <v>1008</v>
      </c>
    </row>
    <row r="860" spans="1:13" x14ac:dyDescent="0.25">
      <c r="A860" t="s">
        <v>1020</v>
      </c>
      <c r="B860" t="s">
        <v>1006</v>
      </c>
      <c r="C860" s="2">
        <v>45769.578115682867</v>
      </c>
      <c r="D860" s="2">
        <v>45747.434178240743</v>
      </c>
      <c r="E860" s="2">
        <v>45746.492342094905</v>
      </c>
      <c r="F860" t="s">
        <v>1007</v>
      </c>
      <c r="G860" t="s">
        <v>582</v>
      </c>
      <c r="H860" t="s">
        <v>584</v>
      </c>
      <c r="I860">
        <v>9</v>
      </c>
      <c r="J860">
        <v>45743</v>
      </c>
      <c r="K860">
        <v>0.97916666666666674</v>
      </c>
      <c r="L860">
        <v>0.95833333333333326</v>
      </c>
      <c r="M860" t="s">
        <v>1008</v>
      </c>
    </row>
    <row r="861" spans="1:13" x14ac:dyDescent="0.25">
      <c r="A861" t="s">
        <v>1021</v>
      </c>
      <c r="B861" t="s">
        <v>1006</v>
      </c>
      <c r="C861" s="2">
        <v>45769.578116168981</v>
      </c>
      <c r="D861" s="2">
        <v>45748.008692129632</v>
      </c>
      <c r="E861" s="2">
        <v>45760.803375069445</v>
      </c>
      <c r="F861" t="s">
        <v>1007</v>
      </c>
      <c r="G861" t="s">
        <v>573</v>
      </c>
      <c r="H861" t="s">
        <v>577</v>
      </c>
      <c r="I861">
        <v>9</v>
      </c>
      <c r="J861">
        <v>45743</v>
      </c>
      <c r="K861">
        <v>0.94666666666666677</v>
      </c>
      <c r="L861">
        <v>0.91666666666666674</v>
      </c>
      <c r="M861" t="s">
        <v>1008</v>
      </c>
    </row>
    <row r="862" spans="1:13" x14ac:dyDescent="0.25">
      <c r="A862" t="s">
        <v>1021</v>
      </c>
      <c r="B862" t="s">
        <v>1006</v>
      </c>
      <c r="C862" s="2">
        <v>45769.578116168981</v>
      </c>
      <c r="D862" s="2">
        <v>45748.008692129632</v>
      </c>
      <c r="E862" s="2">
        <v>45760.803375069445</v>
      </c>
      <c r="F862" t="s">
        <v>1007</v>
      </c>
      <c r="G862" t="s">
        <v>582</v>
      </c>
      <c r="H862" t="s">
        <v>584</v>
      </c>
      <c r="I862">
        <v>9</v>
      </c>
      <c r="J862">
        <v>45743</v>
      </c>
      <c r="K862">
        <v>0.97916666666666674</v>
      </c>
      <c r="L862">
        <v>0.95833333333333326</v>
      </c>
      <c r="M862" t="s">
        <v>1008</v>
      </c>
    </row>
    <row r="863" spans="1:13" x14ac:dyDescent="0.25">
      <c r="A863" t="s">
        <v>1022</v>
      </c>
      <c r="B863" t="s">
        <v>1006</v>
      </c>
      <c r="C863" s="2">
        <v>45769.578116643519</v>
      </c>
      <c r="D863" s="2">
        <v>45751.761859537037</v>
      </c>
      <c r="E863" s="2">
        <v>45751.761740069443</v>
      </c>
      <c r="F863" t="s">
        <v>1007</v>
      </c>
      <c r="G863" t="s">
        <v>573</v>
      </c>
      <c r="H863" t="s">
        <v>577</v>
      </c>
      <c r="I863">
        <v>9</v>
      </c>
      <c r="J863">
        <v>45743</v>
      </c>
      <c r="K863">
        <v>0.94666666666666677</v>
      </c>
      <c r="L863">
        <v>0.91666666666666674</v>
      </c>
      <c r="M863" t="s">
        <v>1008</v>
      </c>
    </row>
    <row r="864" spans="1:13" x14ac:dyDescent="0.25">
      <c r="A864" t="s">
        <v>1022</v>
      </c>
      <c r="B864" t="s">
        <v>1006</v>
      </c>
      <c r="C864" s="2">
        <v>45769.578116643519</v>
      </c>
      <c r="D864" s="2">
        <v>45751.761859537037</v>
      </c>
      <c r="E864" s="2">
        <v>45751.761740069443</v>
      </c>
      <c r="F864" t="s">
        <v>1007</v>
      </c>
      <c r="G864" t="s">
        <v>582</v>
      </c>
      <c r="H864" t="s">
        <v>584</v>
      </c>
      <c r="I864">
        <v>9</v>
      </c>
      <c r="J864">
        <v>45743</v>
      </c>
      <c r="K864">
        <v>0.97916666666666674</v>
      </c>
      <c r="L864">
        <v>0.95833333333333326</v>
      </c>
      <c r="M864" t="s">
        <v>1008</v>
      </c>
    </row>
    <row r="865" spans="1:13" x14ac:dyDescent="0.25">
      <c r="A865" t="s">
        <v>1023</v>
      </c>
      <c r="B865" t="s">
        <v>1006</v>
      </c>
      <c r="C865" s="2">
        <v>45769.578117118057</v>
      </c>
      <c r="D865" s="2">
        <v>45753.105104166665</v>
      </c>
      <c r="E865" s="2">
        <v>45753.107311701388</v>
      </c>
      <c r="F865" t="s">
        <v>1007</v>
      </c>
      <c r="G865" t="s">
        <v>573</v>
      </c>
      <c r="H865" t="s">
        <v>577</v>
      </c>
      <c r="I865">
        <v>9</v>
      </c>
      <c r="J865">
        <v>45743</v>
      </c>
      <c r="K865">
        <v>0.94666666666666677</v>
      </c>
      <c r="L865">
        <v>0.91666666666666674</v>
      </c>
      <c r="M865" t="s">
        <v>1008</v>
      </c>
    </row>
    <row r="866" spans="1:13" x14ac:dyDescent="0.25">
      <c r="A866" t="s">
        <v>1023</v>
      </c>
      <c r="B866" t="s">
        <v>1006</v>
      </c>
      <c r="C866" s="2">
        <v>45769.578117118057</v>
      </c>
      <c r="D866" s="2">
        <v>45753.105104166665</v>
      </c>
      <c r="E866" s="2">
        <v>45753.107311701388</v>
      </c>
      <c r="F866" t="s">
        <v>1007</v>
      </c>
      <c r="G866" t="s">
        <v>582</v>
      </c>
      <c r="H866" t="s">
        <v>584</v>
      </c>
      <c r="I866">
        <v>9</v>
      </c>
      <c r="J866">
        <v>45743</v>
      </c>
      <c r="K866">
        <v>0.97916666666666674</v>
      </c>
      <c r="L866">
        <v>0.95833333333333326</v>
      </c>
      <c r="M866" t="s">
        <v>1008</v>
      </c>
    </row>
    <row r="867" spans="1:13" x14ac:dyDescent="0.25">
      <c r="A867" t="s">
        <v>1024</v>
      </c>
      <c r="B867" t="s">
        <v>1006</v>
      </c>
      <c r="C867" s="2">
        <v>45769.578117557867</v>
      </c>
      <c r="D867" s="2">
        <v>45755.522465879629</v>
      </c>
      <c r="E867" s="2">
        <v>45755.517505011572</v>
      </c>
      <c r="F867" t="s">
        <v>1007</v>
      </c>
      <c r="G867" t="s">
        <v>573</v>
      </c>
      <c r="H867" t="s">
        <v>577</v>
      </c>
      <c r="I867">
        <v>9</v>
      </c>
      <c r="J867">
        <v>45743</v>
      </c>
      <c r="K867">
        <v>0.94666666666666677</v>
      </c>
      <c r="L867">
        <v>0.91666666666666674</v>
      </c>
      <c r="M867" t="s">
        <v>1008</v>
      </c>
    </row>
    <row r="868" spans="1:13" x14ac:dyDescent="0.25">
      <c r="A868" t="s">
        <v>1024</v>
      </c>
      <c r="B868" t="s">
        <v>1006</v>
      </c>
      <c r="C868" s="2">
        <v>45769.578117557867</v>
      </c>
      <c r="D868" s="2">
        <v>45755.522465879629</v>
      </c>
      <c r="E868" s="2">
        <v>45755.517505011572</v>
      </c>
      <c r="F868" t="s">
        <v>1007</v>
      </c>
      <c r="G868" t="s">
        <v>582</v>
      </c>
      <c r="H868" t="s">
        <v>584</v>
      </c>
      <c r="I868">
        <v>9</v>
      </c>
      <c r="J868">
        <v>45743</v>
      </c>
      <c r="K868">
        <v>0.97916666666666674</v>
      </c>
      <c r="L868">
        <v>0.95833333333333326</v>
      </c>
      <c r="M868" t="s">
        <v>1008</v>
      </c>
    </row>
    <row r="869" spans="1:13" x14ac:dyDescent="0.25">
      <c r="A869" t="s">
        <v>1025</v>
      </c>
      <c r="B869" t="s">
        <v>1006</v>
      </c>
      <c r="C869" s="2">
        <v>45769.578118020836</v>
      </c>
      <c r="D869" s="2">
        <v>45756.741511504631</v>
      </c>
      <c r="E869" s="2">
        <v>45756.741511087967</v>
      </c>
      <c r="F869" t="s">
        <v>1007</v>
      </c>
      <c r="G869" t="s">
        <v>573</v>
      </c>
      <c r="H869" t="s">
        <v>577</v>
      </c>
      <c r="I869">
        <v>9</v>
      </c>
      <c r="J869">
        <v>45743</v>
      </c>
      <c r="K869">
        <v>0.94666666666666677</v>
      </c>
      <c r="L869">
        <v>0.91666666666666674</v>
      </c>
      <c r="M869" t="s">
        <v>1008</v>
      </c>
    </row>
    <row r="870" spans="1:13" x14ac:dyDescent="0.25">
      <c r="A870" t="s">
        <v>1025</v>
      </c>
      <c r="B870" t="s">
        <v>1006</v>
      </c>
      <c r="C870" s="2">
        <v>45769.578118020836</v>
      </c>
      <c r="D870" s="2">
        <v>45756.741511504631</v>
      </c>
      <c r="E870" s="2">
        <v>45756.741511087967</v>
      </c>
      <c r="F870" t="s">
        <v>1007</v>
      </c>
      <c r="G870" t="s">
        <v>582</v>
      </c>
      <c r="H870" t="s">
        <v>584</v>
      </c>
      <c r="I870">
        <v>9</v>
      </c>
      <c r="J870">
        <v>45743</v>
      </c>
      <c r="K870">
        <v>0.97916666666666674</v>
      </c>
      <c r="L870">
        <v>0.95833333333333326</v>
      </c>
      <c r="M870" t="s">
        <v>1008</v>
      </c>
    </row>
    <row r="871" spans="1:13" x14ac:dyDescent="0.25">
      <c r="A871" t="s">
        <v>1026</v>
      </c>
      <c r="B871" t="s">
        <v>1006</v>
      </c>
      <c r="C871" s="2">
        <v>45769.578118518519</v>
      </c>
      <c r="D871" s="2">
        <v>45758.796925532406</v>
      </c>
      <c r="E871" s="2">
        <v>45758.796925092596</v>
      </c>
      <c r="F871" t="s">
        <v>1007</v>
      </c>
      <c r="G871" t="s">
        <v>573</v>
      </c>
      <c r="H871" t="s">
        <v>577</v>
      </c>
      <c r="I871">
        <v>9</v>
      </c>
      <c r="J871">
        <v>45743</v>
      </c>
      <c r="K871">
        <v>0.94666666666666677</v>
      </c>
      <c r="L871">
        <v>0.91666666666666674</v>
      </c>
      <c r="M871" t="s">
        <v>1008</v>
      </c>
    </row>
    <row r="872" spans="1:13" x14ac:dyDescent="0.25">
      <c r="A872" t="s">
        <v>1026</v>
      </c>
      <c r="B872" t="s">
        <v>1006</v>
      </c>
      <c r="C872" s="2">
        <v>45769.578118518519</v>
      </c>
      <c r="D872" s="2">
        <v>45758.796925532406</v>
      </c>
      <c r="E872" s="2">
        <v>45758.796925092596</v>
      </c>
      <c r="F872" t="s">
        <v>1007</v>
      </c>
      <c r="G872" t="s">
        <v>582</v>
      </c>
      <c r="H872" t="s">
        <v>584</v>
      </c>
      <c r="I872">
        <v>9</v>
      </c>
      <c r="J872">
        <v>45743</v>
      </c>
      <c r="K872">
        <v>0.97916666666666674</v>
      </c>
      <c r="L872">
        <v>0.95833333333333326</v>
      </c>
      <c r="M872" t="s">
        <v>1008</v>
      </c>
    </row>
    <row r="873" spans="1:13" x14ac:dyDescent="0.25">
      <c r="A873" t="s">
        <v>1027</v>
      </c>
      <c r="B873" t="s">
        <v>1006</v>
      </c>
      <c r="C873" s="2">
        <v>45769.578119039354</v>
      </c>
      <c r="D873" s="2">
        <v>45762.136261574073</v>
      </c>
      <c r="E873" s="2">
        <v>45761.611620300922</v>
      </c>
      <c r="F873" t="s">
        <v>1007</v>
      </c>
      <c r="G873" t="s">
        <v>573</v>
      </c>
      <c r="H873" t="s">
        <v>577</v>
      </c>
      <c r="I873">
        <v>9</v>
      </c>
      <c r="J873">
        <v>45743</v>
      </c>
      <c r="K873">
        <v>0.94666666666666677</v>
      </c>
      <c r="L873">
        <v>0.91666666666666674</v>
      </c>
      <c r="M873" t="s">
        <v>1008</v>
      </c>
    </row>
    <row r="874" spans="1:13" x14ac:dyDescent="0.25">
      <c r="A874" t="s">
        <v>1027</v>
      </c>
      <c r="B874" t="s">
        <v>1006</v>
      </c>
      <c r="C874" s="2">
        <v>45769.578119039354</v>
      </c>
      <c r="D874" s="2">
        <v>45762.136261574073</v>
      </c>
      <c r="E874" s="2">
        <v>45761.611620300922</v>
      </c>
      <c r="F874" t="s">
        <v>1007</v>
      </c>
      <c r="G874" t="s">
        <v>582</v>
      </c>
      <c r="H874" t="s">
        <v>584</v>
      </c>
      <c r="I874">
        <v>9</v>
      </c>
      <c r="J874">
        <v>45743</v>
      </c>
      <c r="K874">
        <v>0.97916666666666674</v>
      </c>
      <c r="L874">
        <v>0.95833333333333326</v>
      </c>
      <c r="M874" t="s">
        <v>1008</v>
      </c>
    </row>
    <row r="875" spans="1:13" x14ac:dyDescent="0.25">
      <c r="A875" t="s">
        <v>1442</v>
      </c>
      <c r="B875" t="s">
        <v>1006</v>
      </c>
      <c r="C875" s="2">
        <v>45769.578120150465</v>
      </c>
      <c r="D875" s="2">
        <v>45764.657094907408</v>
      </c>
      <c r="E875" s="2">
        <v>45764.945923333333</v>
      </c>
      <c r="F875" t="s">
        <v>1007</v>
      </c>
      <c r="G875" t="s">
        <v>573</v>
      </c>
      <c r="H875" t="s">
        <v>577</v>
      </c>
      <c r="I875">
        <v>9</v>
      </c>
      <c r="J875">
        <v>45743</v>
      </c>
      <c r="K875">
        <v>0.94666666666666677</v>
      </c>
      <c r="L875">
        <v>0.91666666666666674</v>
      </c>
      <c r="M875" t="s">
        <v>1008</v>
      </c>
    </row>
    <row r="876" spans="1:13" x14ac:dyDescent="0.25">
      <c r="A876" t="s">
        <v>1442</v>
      </c>
      <c r="B876" t="s">
        <v>1006</v>
      </c>
      <c r="C876" s="2">
        <v>45769.578120150465</v>
      </c>
      <c r="D876" s="2">
        <v>45764.657094907408</v>
      </c>
      <c r="E876" s="2">
        <v>45764.945923333333</v>
      </c>
      <c r="F876" t="s">
        <v>1007</v>
      </c>
      <c r="G876" t="s">
        <v>582</v>
      </c>
      <c r="H876" t="s">
        <v>584</v>
      </c>
      <c r="I876">
        <v>9</v>
      </c>
      <c r="J876">
        <v>45743</v>
      </c>
      <c r="K876">
        <v>0.97916666666666674</v>
      </c>
      <c r="L876">
        <v>0.95833333333333326</v>
      </c>
      <c r="M876" t="s">
        <v>1008</v>
      </c>
    </row>
    <row r="877" spans="1:13" x14ac:dyDescent="0.25">
      <c r="A877" t="s">
        <v>1445</v>
      </c>
      <c r="B877" t="s">
        <v>1006</v>
      </c>
      <c r="C877" s="2">
        <v>45769.57812071759</v>
      </c>
      <c r="D877" s="2">
        <v>45765.917060185187</v>
      </c>
      <c r="E877" s="2">
        <v>45765.918956886577</v>
      </c>
      <c r="F877" t="s">
        <v>1007</v>
      </c>
      <c r="G877" t="s">
        <v>573</v>
      </c>
      <c r="H877" t="s">
        <v>577</v>
      </c>
      <c r="I877">
        <v>9</v>
      </c>
      <c r="J877">
        <v>45743</v>
      </c>
      <c r="K877">
        <v>0.94666666666666677</v>
      </c>
      <c r="L877">
        <v>0.91666666666666674</v>
      </c>
      <c r="M877" t="s">
        <v>1008</v>
      </c>
    </row>
    <row r="878" spans="1:13" x14ac:dyDescent="0.25">
      <c r="A878" t="s">
        <v>1445</v>
      </c>
      <c r="B878" t="s">
        <v>1006</v>
      </c>
      <c r="C878" s="2">
        <v>45769.57812071759</v>
      </c>
      <c r="D878" s="2">
        <v>45765.917060185187</v>
      </c>
      <c r="E878" s="2">
        <v>45765.918956886577</v>
      </c>
      <c r="F878" t="s">
        <v>1007</v>
      </c>
      <c r="G878" t="s">
        <v>582</v>
      </c>
      <c r="H878" t="s">
        <v>584</v>
      </c>
      <c r="I878">
        <v>9</v>
      </c>
      <c r="J878">
        <v>45743</v>
      </c>
      <c r="K878">
        <v>0.97916666666666674</v>
      </c>
      <c r="L878">
        <v>0.95833333333333326</v>
      </c>
      <c r="M878" t="s">
        <v>1008</v>
      </c>
    </row>
    <row r="879" spans="1:13" x14ac:dyDescent="0.25">
      <c r="A879" t="s">
        <v>1446</v>
      </c>
      <c r="B879" t="s">
        <v>1006</v>
      </c>
      <c r="C879" s="2">
        <v>45769.578121180559</v>
      </c>
      <c r="D879" s="2">
        <v>45769.420274479169</v>
      </c>
      <c r="E879" s="2">
        <v>45769.420274166667</v>
      </c>
      <c r="F879" t="s">
        <v>1007</v>
      </c>
      <c r="G879" t="s">
        <v>573</v>
      </c>
      <c r="H879" t="s">
        <v>577</v>
      </c>
      <c r="I879">
        <v>9</v>
      </c>
      <c r="J879">
        <v>45743</v>
      </c>
      <c r="K879">
        <v>0.94666666666666677</v>
      </c>
      <c r="L879">
        <v>0.91666666666666674</v>
      </c>
      <c r="M879" t="s">
        <v>1008</v>
      </c>
    </row>
    <row r="880" spans="1:13" x14ac:dyDescent="0.25">
      <c r="A880" t="s">
        <v>1446</v>
      </c>
      <c r="B880" t="s">
        <v>1006</v>
      </c>
      <c r="C880" s="2">
        <v>45769.578121180559</v>
      </c>
      <c r="D880" s="2">
        <v>45769.420274479169</v>
      </c>
      <c r="E880" s="2">
        <v>45769.420274166667</v>
      </c>
      <c r="F880" t="s">
        <v>1007</v>
      </c>
      <c r="G880" t="s">
        <v>582</v>
      </c>
      <c r="H880" t="s">
        <v>584</v>
      </c>
      <c r="I880">
        <v>9</v>
      </c>
      <c r="J880">
        <v>45743</v>
      </c>
      <c r="K880">
        <v>0.97916666666666674</v>
      </c>
      <c r="L880">
        <v>0.95833333333333326</v>
      </c>
      <c r="M880" t="s">
        <v>1008</v>
      </c>
    </row>
    <row r="881" spans="1:13" x14ac:dyDescent="0.25">
      <c r="A881" t="s">
        <v>1459</v>
      </c>
      <c r="B881" t="s">
        <v>1006</v>
      </c>
      <c r="C881" s="2">
        <v>45769.578121631945</v>
      </c>
      <c r="D881" s="2">
        <v>45755.429071284721</v>
      </c>
      <c r="E881" s="2">
        <v>45755.429071030092</v>
      </c>
      <c r="F881" t="s">
        <v>1007</v>
      </c>
      <c r="G881" t="s">
        <v>573</v>
      </c>
      <c r="H881" t="s">
        <v>577</v>
      </c>
      <c r="I881">
        <v>9</v>
      </c>
      <c r="J881">
        <v>45743</v>
      </c>
      <c r="K881">
        <v>0.94666666666666677</v>
      </c>
      <c r="L881">
        <v>0.91666666666666674</v>
      </c>
      <c r="M881" t="s">
        <v>1008</v>
      </c>
    </row>
    <row r="882" spans="1:13" x14ac:dyDescent="0.25">
      <c r="A882" t="s">
        <v>1459</v>
      </c>
      <c r="B882" t="s">
        <v>1006</v>
      </c>
      <c r="C882" s="2">
        <v>45769.578121631945</v>
      </c>
      <c r="D882" s="2">
        <v>45755.429071284721</v>
      </c>
      <c r="E882" s="2">
        <v>45755.429071030092</v>
      </c>
      <c r="F882" t="s">
        <v>1007</v>
      </c>
      <c r="G882" t="s">
        <v>582</v>
      </c>
      <c r="H882" t="s">
        <v>584</v>
      </c>
      <c r="I882">
        <v>9</v>
      </c>
      <c r="J882">
        <v>45743</v>
      </c>
      <c r="K882">
        <v>0.97916666666666674</v>
      </c>
      <c r="L882">
        <v>0.95833333333333326</v>
      </c>
      <c r="M882" t="s">
        <v>1008</v>
      </c>
    </row>
    <row r="883" spans="1:13" x14ac:dyDescent="0.25">
      <c r="A883" t="s">
        <v>1020</v>
      </c>
      <c r="B883" t="s">
        <v>1006</v>
      </c>
      <c r="C883" s="2">
        <v>45769.578115682867</v>
      </c>
      <c r="D883" s="2">
        <v>45747.434178240743</v>
      </c>
      <c r="E883" s="2">
        <v>45746.492342094905</v>
      </c>
      <c r="F883" t="s">
        <v>1007</v>
      </c>
      <c r="G883" t="s">
        <v>628</v>
      </c>
      <c r="H883" t="s">
        <v>631</v>
      </c>
      <c r="I883">
        <v>9</v>
      </c>
      <c r="J883">
        <v>45744</v>
      </c>
      <c r="K883">
        <v>0.85416666666666674</v>
      </c>
      <c r="L883">
        <v>0.83333333333333326</v>
      </c>
      <c r="M883" t="s">
        <v>1008</v>
      </c>
    </row>
    <row r="884" spans="1:13" x14ac:dyDescent="0.25">
      <c r="A884" t="s">
        <v>1021</v>
      </c>
      <c r="B884" t="s">
        <v>1006</v>
      </c>
      <c r="C884" s="2">
        <v>45769.578116168981</v>
      </c>
      <c r="D884" s="2">
        <v>45748.008692129632</v>
      </c>
      <c r="E884" s="2">
        <v>45760.803375069445</v>
      </c>
      <c r="F884" t="s">
        <v>1007</v>
      </c>
      <c r="G884" t="s">
        <v>628</v>
      </c>
      <c r="H884" t="s">
        <v>631</v>
      </c>
      <c r="I884">
        <v>9</v>
      </c>
      <c r="J884">
        <v>45744</v>
      </c>
      <c r="K884">
        <v>0.85416666666666674</v>
      </c>
      <c r="L884">
        <v>0.83333333333333326</v>
      </c>
      <c r="M884" t="s">
        <v>1008</v>
      </c>
    </row>
    <row r="885" spans="1:13" x14ac:dyDescent="0.25">
      <c r="A885" t="s">
        <v>1022</v>
      </c>
      <c r="B885" t="s">
        <v>1006</v>
      </c>
      <c r="C885" s="2">
        <v>45769.578116643519</v>
      </c>
      <c r="D885" s="2">
        <v>45751.761859537037</v>
      </c>
      <c r="E885" s="2">
        <v>45751.761740069443</v>
      </c>
      <c r="F885" t="s">
        <v>1007</v>
      </c>
      <c r="G885" t="s">
        <v>628</v>
      </c>
      <c r="H885" t="s">
        <v>631</v>
      </c>
      <c r="I885">
        <v>9</v>
      </c>
      <c r="J885">
        <v>45744</v>
      </c>
      <c r="K885">
        <v>0.85416666666666674</v>
      </c>
      <c r="L885">
        <v>0.83333333333333326</v>
      </c>
      <c r="M885" t="s">
        <v>1008</v>
      </c>
    </row>
    <row r="886" spans="1:13" x14ac:dyDescent="0.25">
      <c r="A886" t="s">
        <v>1023</v>
      </c>
      <c r="B886" t="s">
        <v>1006</v>
      </c>
      <c r="C886" s="2">
        <v>45769.578117118057</v>
      </c>
      <c r="D886" s="2">
        <v>45753.105104166665</v>
      </c>
      <c r="E886" s="2">
        <v>45753.107311701388</v>
      </c>
      <c r="F886" t="s">
        <v>1007</v>
      </c>
      <c r="G886" t="s">
        <v>628</v>
      </c>
      <c r="H886" t="s">
        <v>631</v>
      </c>
      <c r="I886">
        <v>9</v>
      </c>
      <c r="J886">
        <v>45744</v>
      </c>
      <c r="K886">
        <v>0.85416666666666674</v>
      </c>
      <c r="L886">
        <v>0.83333333333333326</v>
      </c>
      <c r="M886" t="s">
        <v>1008</v>
      </c>
    </row>
    <row r="887" spans="1:13" x14ac:dyDescent="0.25">
      <c r="A887" t="s">
        <v>1024</v>
      </c>
      <c r="B887" t="s">
        <v>1006</v>
      </c>
      <c r="C887" s="2">
        <v>45769.578117557867</v>
      </c>
      <c r="D887" s="2">
        <v>45755.522465879629</v>
      </c>
      <c r="E887" s="2">
        <v>45755.517505011572</v>
      </c>
      <c r="F887" t="s">
        <v>1007</v>
      </c>
      <c r="G887" t="s">
        <v>628</v>
      </c>
      <c r="H887" t="s">
        <v>631</v>
      </c>
      <c r="I887">
        <v>9</v>
      </c>
      <c r="J887">
        <v>45744</v>
      </c>
      <c r="K887">
        <v>0.85416666666666674</v>
      </c>
      <c r="L887">
        <v>0.83333333333333326</v>
      </c>
      <c r="M887" t="s">
        <v>1008</v>
      </c>
    </row>
    <row r="888" spans="1:13" x14ac:dyDescent="0.25">
      <c r="A888" t="s">
        <v>1025</v>
      </c>
      <c r="B888" t="s">
        <v>1006</v>
      </c>
      <c r="C888" s="2">
        <v>45769.578118020836</v>
      </c>
      <c r="D888" s="2">
        <v>45756.741511504631</v>
      </c>
      <c r="E888" s="2">
        <v>45756.741511087967</v>
      </c>
      <c r="F888" t="s">
        <v>1007</v>
      </c>
      <c r="G888" t="s">
        <v>628</v>
      </c>
      <c r="H888" t="s">
        <v>631</v>
      </c>
      <c r="I888">
        <v>9</v>
      </c>
      <c r="J888">
        <v>45744</v>
      </c>
      <c r="K888">
        <v>0.85416666666666674</v>
      </c>
      <c r="L888">
        <v>0.83333333333333326</v>
      </c>
      <c r="M888" t="s">
        <v>1008</v>
      </c>
    </row>
    <row r="889" spans="1:13" x14ac:dyDescent="0.25">
      <c r="A889" t="s">
        <v>1026</v>
      </c>
      <c r="B889" t="s">
        <v>1006</v>
      </c>
      <c r="C889" s="2">
        <v>45769.578118518519</v>
      </c>
      <c r="D889" s="2">
        <v>45758.796925532406</v>
      </c>
      <c r="E889" s="2">
        <v>45758.796925092596</v>
      </c>
      <c r="F889" t="s">
        <v>1007</v>
      </c>
      <c r="G889" t="s">
        <v>628</v>
      </c>
      <c r="H889" t="s">
        <v>631</v>
      </c>
      <c r="I889">
        <v>9</v>
      </c>
      <c r="J889">
        <v>45744</v>
      </c>
      <c r="K889">
        <v>0.85416666666666674</v>
      </c>
      <c r="L889">
        <v>0.83333333333333326</v>
      </c>
      <c r="M889" t="s">
        <v>1008</v>
      </c>
    </row>
    <row r="890" spans="1:13" x14ac:dyDescent="0.25">
      <c r="A890" t="s">
        <v>1027</v>
      </c>
      <c r="B890" t="s">
        <v>1006</v>
      </c>
      <c r="C890" s="2">
        <v>45769.578119039354</v>
      </c>
      <c r="D890" s="2">
        <v>45762.136261574073</v>
      </c>
      <c r="E890" s="2">
        <v>45761.611620300922</v>
      </c>
      <c r="F890" t="s">
        <v>1007</v>
      </c>
      <c r="G890" t="s">
        <v>628</v>
      </c>
      <c r="H890" t="s">
        <v>631</v>
      </c>
      <c r="I890">
        <v>9</v>
      </c>
      <c r="J890">
        <v>45744</v>
      </c>
      <c r="K890">
        <v>0.85416666666666674</v>
      </c>
      <c r="L890">
        <v>0.83333333333333326</v>
      </c>
      <c r="M890" t="s">
        <v>1008</v>
      </c>
    </row>
    <row r="891" spans="1:13" x14ac:dyDescent="0.25">
      <c r="A891" t="s">
        <v>1442</v>
      </c>
      <c r="B891" t="s">
        <v>1006</v>
      </c>
      <c r="C891" s="2">
        <v>45769.578120150465</v>
      </c>
      <c r="D891" s="2">
        <v>45764.657094907408</v>
      </c>
      <c r="E891" s="2">
        <v>45764.945923333333</v>
      </c>
      <c r="F891" t="s">
        <v>1007</v>
      </c>
      <c r="G891" t="s">
        <v>628</v>
      </c>
      <c r="H891" t="s">
        <v>631</v>
      </c>
      <c r="I891">
        <v>9</v>
      </c>
      <c r="J891">
        <v>45744</v>
      </c>
      <c r="K891">
        <v>0.85416666666666674</v>
      </c>
      <c r="L891">
        <v>0.83333333333333326</v>
      </c>
      <c r="M891" t="s">
        <v>1008</v>
      </c>
    </row>
    <row r="892" spans="1:13" x14ac:dyDescent="0.25">
      <c r="A892" t="s">
        <v>1445</v>
      </c>
      <c r="B892" t="s">
        <v>1006</v>
      </c>
      <c r="C892" s="2">
        <v>45769.57812071759</v>
      </c>
      <c r="D892" s="2">
        <v>45765.917060185187</v>
      </c>
      <c r="E892" s="2">
        <v>45765.918956886577</v>
      </c>
      <c r="F892" t="s">
        <v>1007</v>
      </c>
      <c r="G892" t="s">
        <v>628</v>
      </c>
      <c r="H892" t="s">
        <v>631</v>
      </c>
      <c r="I892">
        <v>9</v>
      </c>
      <c r="J892">
        <v>45744</v>
      </c>
      <c r="K892">
        <v>0.85416666666666674</v>
      </c>
      <c r="L892">
        <v>0.83333333333333326</v>
      </c>
      <c r="M892" t="s">
        <v>1008</v>
      </c>
    </row>
    <row r="893" spans="1:13" x14ac:dyDescent="0.25">
      <c r="A893" t="s">
        <v>1446</v>
      </c>
      <c r="B893" t="s">
        <v>1006</v>
      </c>
      <c r="C893" s="2">
        <v>45769.578121180559</v>
      </c>
      <c r="D893" s="2">
        <v>45769.420274479169</v>
      </c>
      <c r="E893" s="2">
        <v>45769.420274166667</v>
      </c>
      <c r="F893" t="s">
        <v>1007</v>
      </c>
      <c r="G893" t="s">
        <v>628</v>
      </c>
      <c r="H893" t="s">
        <v>631</v>
      </c>
      <c r="I893">
        <v>9</v>
      </c>
      <c r="J893">
        <v>45744</v>
      </c>
      <c r="K893">
        <v>0.85416666666666674</v>
      </c>
      <c r="L893">
        <v>0.83333333333333326</v>
      </c>
      <c r="M893" t="s">
        <v>1008</v>
      </c>
    </row>
    <row r="894" spans="1:13" x14ac:dyDescent="0.25">
      <c r="A894" t="s">
        <v>1459</v>
      </c>
      <c r="B894" t="s">
        <v>1006</v>
      </c>
      <c r="C894" s="2">
        <v>45769.578121631945</v>
      </c>
      <c r="D894" s="2">
        <v>45755.429071284721</v>
      </c>
      <c r="E894" s="2">
        <v>45755.429071030092</v>
      </c>
      <c r="F894" t="s">
        <v>1007</v>
      </c>
      <c r="G894" t="s">
        <v>628</v>
      </c>
      <c r="H894" t="s">
        <v>631</v>
      </c>
      <c r="I894">
        <v>9</v>
      </c>
      <c r="J894">
        <v>45744</v>
      </c>
      <c r="K894">
        <v>0.85416666666666674</v>
      </c>
      <c r="L894">
        <v>0.83333333333333326</v>
      </c>
      <c r="M894" t="s">
        <v>1008</v>
      </c>
    </row>
    <row r="895" spans="1:13" x14ac:dyDescent="0.25">
      <c r="A895" t="s">
        <v>1020</v>
      </c>
      <c r="B895" t="s">
        <v>1006</v>
      </c>
      <c r="C895" s="2">
        <v>45769.578115682867</v>
      </c>
      <c r="D895" s="2">
        <v>45747.434178240743</v>
      </c>
      <c r="E895" s="2">
        <v>45746.492342094905</v>
      </c>
      <c r="F895" t="s">
        <v>1007</v>
      </c>
      <c r="G895" t="s">
        <v>694</v>
      </c>
      <c r="H895" t="s">
        <v>699</v>
      </c>
      <c r="I895">
        <v>9</v>
      </c>
      <c r="J895">
        <v>45745</v>
      </c>
      <c r="K895">
        <v>0.20515046296296302</v>
      </c>
      <c r="L895">
        <v>0.16666666666666674</v>
      </c>
      <c r="M895" t="s">
        <v>1010</v>
      </c>
    </row>
    <row r="896" spans="1:13" x14ac:dyDescent="0.25">
      <c r="A896" t="s">
        <v>1021</v>
      </c>
      <c r="B896" t="s">
        <v>1006</v>
      </c>
      <c r="C896" s="2">
        <v>45769.578116168981</v>
      </c>
      <c r="D896" s="2">
        <v>45748.008692129632</v>
      </c>
      <c r="E896" s="2">
        <v>45760.803375069445</v>
      </c>
      <c r="F896" t="s">
        <v>1007</v>
      </c>
      <c r="G896" t="s">
        <v>694</v>
      </c>
      <c r="H896" t="s">
        <v>699</v>
      </c>
      <c r="I896">
        <v>9</v>
      </c>
      <c r="J896">
        <v>45745</v>
      </c>
      <c r="K896">
        <v>0.20515046296296302</v>
      </c>
      <c r="L896">
        <v>0.16666666666666674</v>
      </c>
      <c r="M896" t="s">
        <v>1010</v>
      </c>
    </row>
    <row r="897" spans="1:13" x14ac:dyDescent="0.25">
      <c r="A897" t="s">
        <v>1022</v>
      </c>
      <c r="B897" t="s">
        <v>1006</v>
      </c>
      <c r="C897" s="2">
        <v>45769.578116643519</v>
      </c>
      <c r="D897" s="2">
        <v>45751.761859537037</v>
      </c>
      <c r="E897" s="2">
        <v>45751.761740069443</v>
      </c>
      <c r="F897" t="s">
        <v>1007</v>
      </c>
      <c r="G897" t="s">
        <v>694</v>
      </c>
      <c r="H897" t="s">
        <v>699</v>
      </c>
      <c r="I897">
        <v>9</v>
      </c>
      <c r="J897">
        <v>45745</v>
      </c>
      <c r="K897">
        <v>0.20515046296296302</v>
      </c>
      <c r="L897">
        <v>0.16666666666666674</v>
      </c>
      <c r="M897" t="s">
        <v>1010</v>
      </c>
    </row>
    <row r="898" spans="1:13" x14ac:dyDescent="0.25">
      <c r="A898" t="s">
        <v>1023</v>
      </c>
      <c r="B898" t="s">
        <v>1006</v>
      </c>
      <c r="C898" s="2">
        <v>45769.578117118057</v>
      </c>
      <c r="D898" s="2">
        <v>45753.105104166665</v>
      </c>
      <c r="E898" s="2">
        <v>45753.107311701388</v>
      </c>
      <c r="F898" t="s">
        <v>1007</v>
      </c>
      <c r="G898" t="s">
        <v>694</v>
      </c>
      <c r="H898" t="s">
        <v>699</v>
      </c>
      <c r="I898">
        <v>9</v>
      </c>
      <c r="J898">
        <v>45745</v>
      </c>
      <c r="K898">
        <v>0.20515046296296302</v>
      </c>
      <c r="L898">
        <v>0.16666666666666674</v>
      </c>
      <c r="M898" t="s">
        <v>1010</v>
      </c>
    </row>
    <row r="899" spans="1:13" x14ac:dyDescent="0.25">
      <c r="A899" t="s">
        <v>1024</v>
      </c>
      <c r="B899" t="s">
        <v>1006</v>
      </c>
      <c r="C899" s="2">
        <v>45769.578117557867</v>
      </c>
      <c r="D899" s="2">
        <v>45755.522465879629</v>
      </c>
      <c r="E899" s="2">
        <v>45755.517505011572</v>
      </c>
      <c r="F899" t="s">
        <v>1007</v>
      </c>
      <c r="G899" t="s">
        <v>694</v>
      </c>
      <c r="H899" t="s">
        <v>699</v>
      </c>
      <c r="I899">
        <v>9</v>
      </c>
      <c r="J899">
        <v>45745</v>
      </c>
      <c r="K899">
        <v>0.20515046296296302</v>
      </c>
      <c r="L899">
        <v>0.16666666666666674</v>
      </c>
      <c r="M899" t="s">
        <v>1010</v>
      </c>
    </row>
    <row r="900" spans="1:13" x14ac:dyDescent="0.25">
      <c r="A900" t="s">
        <v>1025</v>
      </c>
      <c r="B900" t="s">
        <v>1006</v>
      </c>
      <c r="C900" s="2">
        <v>45769.578118020836</v>
      </c>
      <c r="D900" s="2">
        <v>45756.741511504631</v>
      </c>
      <c r="E900" s="2">
        <v>45756.741511087967</v>
      </c>
      <c r="F900" t="s">
        <v>1007</v>
      </c>
      <c r="G900" t="s">
        <v>694</v>
      </c>
      <c r="H900" t="s">
        <v>699</v>
      </c>
      <c r="I900">
        <v>9</v>
      </c>
      <c r="J900">
        <v>45745</v>
      </c>
      <c r="K900">
        <v>0.20515046296296302</v>
      </c>
      <c r="L900">
        <v>0.16666666666666674</v>
      </c>
      <c r="M900" t="s">
        <v>1010</v>
      </c>
    </row>
    <row r="901" spans="1:13" x14ac:dyDescent="0.25">
      <c r="A901" t="s">
        <v>1026</v>
      </c>
      <c r="B901" t="s">
        <v>1006</v>
      </c>
      <c r="C901" s="2">
        <v>45769.578118518519</v>
      </c>
      <c r="D901" s="2">
        <v>45758.796925532406</v>
      </c>
      <c r="E901" s="2">
        <v>45758.796925092596</v>
      </c>
      <c r="F901" t="s">
        <v>1007</v>
      </c>
      <c r="G901" t="s">
        <v>694</v>
      </c>
      <c r="H901" t="s">
        <v>699</v>
      </c>
      <c r="I901">
        <v>9</v>
      </c>
      <c r="J901">
        <v>45745</v>
      </c>
      <c r="K901">
        <v>0.20515046296296302</v>
      </c>
      <c r="L901">
        <v>0.16666666666666674</v>
      </c>
      <c r="M901" t="s">
        <v>1010</v>
      </c>
    </row>
    <row r="902" spans="1:13" x14ac:dyDescent="0.25">
      <c r="A902" t="s">
        <v>1027</v>
      </c>
      <c r="B902" t="s">
        <v>1006</v>
      </c>
      <c r="C902" s="2">
        <v>45769.578119039354</v>
      </c>
      <c r="D902" s="2">
        <v>45762.136261574073</v>
      </c>
      <c r="E902" s="2">
        <v>45761.611620300922</v>
      </c>
      <c r="F902" t="s">
        <v>1007</v>
      </c>
      <c r="G902" t="s">
        <v>694</v>
      </c>
      <c r="H902" t="s">
        <v>699</v>
      </c>
      <c r="I902">
        <v>9</v>
      </c>
      <c r="J902">
        <v>45745</v>
      </c>
      <c r="K902">
        <v>0.20515046296296302</v>
      </c>
      <c r="L902">
        <v>0.16666666666666674</v>
      </c>
      <c r="M902" t="s">
        <v>1010</v>
      </c>
    </row>
    <row r="903" spans="1:13" x14ac:dyDescent="0.25">
      <c r="A903" t="s">
        <v>1442</v>
      </c>
      <c r="B903" t="s">
        <v>1006</v>
      </c>
      <c r="C903" s="2">
        <v>45769.578120150465</v>
      </c>
      <c r="D903" s="2">
        <v>45764.657094907408</v>
      </c>
      <c r="E903" s="2">
        <v>45764.945923333333</v>
      </c>
      <c r="F903" t="s">
        <v>1007</v>
      </c>
      <c r="G903" t="s">
        <v>694</v>
      </c>
      <c r="H903" t="s">
        <v>699</v>
      </c>
      <c r="I903">
        <v>9</v>
      </c>
      <c r="J903">
        <v>45745</v>
      </c>
      <c r="K903">
        <v>0.20515046296296302</v>
      </c>
      <c r="L903">
        <v>0.16666666666666674</v>
      </c>
      <c r="M903" t="s">
        <v>1010</v>
      </c>
    </row>
    <row r="904" spans="1:13" x14ac:dyDescent="0.25">
      <c r="A904" t="s">
        <v>1445</v>
      </c>
      <c r="B904" t="s">
        <v>1006</v>
      </c>
      <c r="C904" s="2">
        <v>45769.57812071759</v>
      </c>
      <c r="D904" s="2">
        <v>45765.917060185187</v>
      </c>
      <c r="E904" s="2">
        <v>45765.918956886577</v>
      </c>
      <c r="F904" t="s">
        <v>1007</v>
      </c>
      <c r="G904" t="s">
        <v>694</v>
      </c>
      <c r="H904" t="s">
        <v>699</v>
      </c>
      <c r="I904">
        <v>9</v>
      </c>
      <c r="J904">
        <v>45745</v>
      </c>
      <c r="K904">
        <v>0.20515046296296302</v>
      </c>
      <c r="L904">
        <v>0.16666666666666674</v>
      </c>
      <c r="M904" t="s">
        <v>1010</v>
      </c>
    </row>
    <row r="905" spans="1:13" x14ac:dyDescent="0.25">
      <c r="A905" t="s">
        <v>1446</v>
      </c>
      <c r="B905" t="s">
        <v>1006</v>
      </c>
      <c r="C905" s="2">
        <v>45769.578121180559</v>
      </c>
      <c r="D905" s="2">
        <v>45769.420274479169</v>
      </c>
      <c r="E905" s="2">
        <v>45769.420274166667</v>
      </c>
      <c r="F905" t="s">
        <v>1007</v>
      </c>
      <c r="G905" t="s">
        <v>694</v>
      </c>
      <c r="H905" t="s">
        <v>699</v>
      </c>
      <c r="I905">
        <v>9</v>
      </c>
      <c r="J905">
        <v>45745</v>
      </c>
      <c r="K905">
        <v>0.20515046296296302</v>
      </c>
      <c r="L905">
        <v>0.16666666666666674</v>
      </c>
      <c r="M905" t="s">
        <v>1010</v>
      </c>
    </row>
    <row r="906" spans="1:13" x14ac:dyDescent="0.25">
      <c r="A906" t="s">
        <v>1459</v>
      </c>
      <c r="B906" t="s">
        <v>1006</v>
      </c>
      <c r="C906" s="2">
        <v>45769.578121631945</v>
      </c>
      <c r="D906" s="2">
        <v>45755.429071284721</v>
      </c>
      <c r="E906" s="2">
        <v>45755.429071030092</v>
      </c>
      <c r="F906" t="s">
        <v>1007</v>
      </c>
      <c r="G906" t="s">
        <v>694</v>
      </c>
      <c r="H906" t="s">
        <v>699</v>
      </c>
      <c r="I906">
        <v>9</v>
      </c>
      <c r="J906">
        <v>45745</v>
      </c>
      <c r="K906">
        <v>0.20515046296296302</v>
      </c>
      <c r="L906">
        <v>0.16666666666666674</v>
      </c>
      <c r="M906" t="s">
        <v>1010</v>
      </c>
    </row>
    <row r="907" spans="1:13" x14ac:dyDescent="0.25">
      <c r="A907" t="s">
        <v>1021</v>
      </c>
      <c r="B907" t="s">
        <v>1006</v>
      </c>
      <c r="C907" s="2">
        <v>45769.578116168981</v>
      </c>
      <c r="D907" s="2">
        <v>45748.008692129632</v>
      </c>
      <c r="E907" s="2">
        <v>45760.803375069445</v>
      </c>
      <c r="F907" t="s">
        <v>1007</v>
      </c>
      <c r="G907" t="s">
        <v>589</v>
      </c>
      <c r="H907" t="s">
        <v>591</v>
      </c>
      <c r="I907">
        <v>9</v>
      </c>
      <c r="J907">
        <v>45747</v>
      </c>
      <c r="K907">
        <v>0.5</v>
      </c>
      <c r="L907">
        <v>0.5</v>
      </c>
      <c r="M907" t="s">
        <v>1009</v>
      </c>
    </row>
    <row r="908" spans="1:13" x14ac:dyDescent="0.25">
      <c r="A908" t="s">
        <v>1021</v>
      </c>
      <c r="B908" t="s">
        <v>1006</v>
      </c>
      <c r="C908" s="2">
        <v>45769.578116168981</v>
      </c>
      <c r="D908" s="2">
        <v>45748.008692129632</v>
      </c>
      <c r="E908" s="2">
        <v>45760.803375069445</v>
      </c>
      <c r="F908" t="s">
        <v>1007</v>
      </c>
      <c r="G908" t="s">
        <v>705</v>
      </c>
      <c r="H908" t="s">
        <v>709</v>
      </c>
      <c r="I908">
        <v>9</v>
      </c>
      <c r="J908">
        <v>45747</v>
      </c>
      <c r="K908">
        <v>0.77777777777777768</v>
      </c>
      <c r="L908">
        <v>0.75</v>
      </c>
      <c r="M908" t="s">
        <v>1008</v>
      </c>
    </row>
    <row r="909" spans="1:13" x14ac:dyDescent="0.25">
      <c r="A909" t="s">
        <v>1022</v>
      </c>
      <c r="B909" t="s">
        <v>1006</v>
      </c>
      <c r="C909" s="2">
        <v>45769.578116643519</v>
      </c>
      <c r="D909" s="2">
        <v>45751.761859537037</v>
      </c>
      <c r="E909" s="2">
        <v>45751.761740069443</v>
      </c>
      <c r="F909" t="s">
        <v>1007</v>
      </c>
      <c r="G909" t="s">
        <v>589</v>
      </c>
      <c r="H909" t="s">
        <v>591</v>
      </c>
      <c r="I909">
        <v>9</v>
      </c>
      <c r="J909">
        <v>45747</v>
      </c>
      <c r="K909">
        <v>0.5</v>
      </c>
      <c r="L909">
        <v>0.5</v>
      </c>
      <c r="M909" t="s">
        <v>1009</v>
      </c>
    </row>
    <row r="910" spans="1:13" x14ac:dyDescent="0.25">
      <c r="A910" t="s">
        <v>1022</v>
      </c>
      <c r="B910" t="s">
        <v>1006</v>
      </c>
      <c r="C910" s="2">
        <v>45769.578116643519</v>
      </c>
      <c r="D910" s="2">
        <v>45751.761859537037</v>
      </c>
      <c r="E910" s="2">
        <v>45751.761740069443</v>
      </c>
      <c r="F910" t="s">
        <v>1007</v>
      </c>
      <c r="G910" t="s">
        <v>705</v>
      </c>
      <c r="H910" t="s">
        <v>709</v>
      </c>
      <c r="I910">
        <v>9</v>
      </c>
      <c r="J910">
        <v>45747</v>
      </c>
      <c r="K910">
        <v>0.77777777777777768</v>
      </c>
      <c r="L910">
        <v>0.75</v>
      </c>
      <c r="M910" t="s">
        <v>1008</v>
      </c>
    </row>
    <row r="911" spans="1:13" x14ac:dyDescent="0.25">
      <c r="A911" t="s">
        <v>1022</v>
      </c>
      <c r="B911" t="s">
        <v>1006</v>
      </c>
      <c r="C911" s="2">
        <v>45769.578116643519</v>
      </c>
      <c r="D911" s="2">
        <v>45751.761859537037</v>
      </c>
      <c r="E911" s="2">
        <v>45751.761740069443</v>
      </c>
      <c r="F911" t="s">
        <v>1007</v>
      </c>
      <c r="G911" t="s">
        <v>605</v>
      </c>
      <c r="H911" t="s">
        <v>607</v>
      </c>
      <c r="I911">
        <v>9</v>
      </c>
      <c r="J911">
        <v>45747</v>
      </c>
      <c r="K911">
        <v>0.75</v>
      </c>
      <c r="L911">
        <v>0.75</v>
      </c>
      <c r="M911" t="s">
        <v>1008</v>
      </c>
    </row>
    <row r="912" spans="1:13" x14ac:dyDescent="0.25">
      <c r="A912" t="s">
        <v>1022</v>
      </c>
      <c r="B912" t="s">
        <v>1006</v>
      </c>
      <c r="C912" s="2">
        <v>45769.578116643519</v>
      </c>
      <c r="D912" s="2">
        <v>45751.761859537037</v>
      </c>
      <c r="E912" s="2">
        <v>45751.761740069443</v>
      </c>
      <c r="F912" t="s">
        <v>1007</v>
      </c>
      <c r="G912" t="s">
        <v>615</v>
      </c>
      <c r="H912" t="s">
        <v>607</v>
      </c>
      <c r="I912">
        <v>9</v>
      </c>
      <c r="J912">
        <v>45747</v>
      </c>
      <c r="K912">
        <v>0.83333333333333326</v>
      </c>
      <c r="L912">
        <v>0.83333333333333326</v>
      </c>
      <c r="M912" t="s">
        <v>1008</v>
      </c>
    </row>
    <row r="913" spans="1:13" x14ac:dyDescent="0.25">
      <c r="A913" t="s">
        <v>1023</v>
      </c>
      <c r="B913" t="s">
        <v>1006</v>
      </c>
      <c r="C913" s="2">
        <v>45769.578117118057</v>
      </c>
      <c r="D913" s="2">
        <v>45753.105104166665</v>
      </c>
      <c r="E913" s="2">
        <v>45753.107311701388</v>
      </c>
      <c r="F913" t="s">
        <v>1007</v>
      </c>
      <c r="G913" t="s">
        <v>589</v>
      </c>
      <c r="H913" t="s">
        <v>591</v>
      </c>
      <c r="I913">
        <v>9</v>
      </c>
      <c r="J913">
        <v>45747</v>
      </c>
      <c r="K913">
        <v>0.5</v>
      </c>
      <c r="L913">
        <v>0.5</v>
      </c>
      <c r="M913" t="s">
        <v>1009</v>
      </c>
    </row>
    <row r="914" spans="1:13" x14ac:dyDescent="0.25">
      <c r="A914" t="s">
        <v>1023</v>
      </c>
      <c r="B914" t="s">
        <v>1006</v>
      </c>
      <c r="C914" s="2">
        <v>45769.578117118057</v>
      </c>
      <c r="D914" s="2">
        <v>45753.105104166665</v>
      </c>
      <c r="E914" s="2">
        <v>45753.107311701388</v>
      </c>
      <c r="F914" t="s">
        <v>1007</v>
      </c>
      <c r="G914" t="s">
        <v>705</v>
      </c>
      <c r="H914" t="s">
        <v>709</v>
      </c>
      <c r="I914">
        <v>9</v>
      </c>
      <c r="J914">
        <v>45747</v>
      </c>
      <c r="K914">
        <v>0.77777777777777768</v>
      </c>
      <c r="L914">
        <v>0.75</v>
      </c>
      <c r="M914" t="s">
        <v>1008</v>
      </c>
    </row>
    <row r="915" spans="1:13" x14ac:dyDescent="0.25">
      <c r="A915" t="s">
        <v>1023</v>
      </c>
      <c r="B915" t="s">
        <v>1006</v>
      </c>
      <c r="C915" s="2">
        <v>45769.578117118057</v>
      </c>
      <c r="D915" s="2">
        <v>45753.105104166665</v>
      </c>
      <c r="E915" s="2">
        <v>45753.107311701388</v>
      </c>
      <c r="F915" t="s">
        <v>1007</v>
      </c>
      <c r="G915" t="s">
        <v>605</v>
      </c>
      <c r="H915" t="s">
        <v>607</v>
      </c>
      <c r="I915">
        <v>9</v>
      </c>
      <c r="J915">
        <v>45747</v>
      </c>
      <c r="K915">
        <v>0.75</v>
      </c>
      <c r="L915">
        <v>0.75</v>
      </c>
      <c r="M915" t="s">
        <v>1008</v>
      </c>
    </row>
    <row r="916" spans="1:13" x14ac:dyDescent="0.25">
      <c r="A916" t="s">
        <v>1023</v>
      </c>
      <c r="B916" t="s">
        <v>1006</v>
      </c>
      <c r="C916" s="2">
        <v>45769.578117118057</v>
      </c>
      <c r="D916" s="2">
        <v>45753.105104166665</v>
      </c>
      <c r="E916" s="2">
        <v>45753.107311701388</v>
      </c>
      <c r="F916" t="s">
        <v>1007</v>
      </c>
      <c r="G916" t="s">
        <v>615</v>
      </c>
      <c r="H916" t="s">
        <v>607</v>
      </c>
      <c r="I916">
        <v>9</v>
      </c>
      <c r="J916">
        <v>45747</v>
      </c>
      <c r="K916">
        <v>0.83333333333333326</v>
      </c>
      <c r="L916">
        <v>0.83333333333333326</v>
      </c>
      <c r="M916" t="s">
        <v>1008</v>
      </c>
    </row>
    <row r="917" spans="1:13" x14ac:dyDescent="0.25">
      <c r="A917" t="s">
        <v>1024</v>
      </c>
      <c r="B917" t="s">
        <v>1006</v>
      </c>
      <c r="C917" s="2">
        <v>45769.578117557867</v>
      </c>
      <c r="D917" s="2">
        <v>45755.522465879629</v>
      </c>
      <c r="E917" s="2">
        <v>45755.517505011572</v>
      </c>
      <c r="F917" t="s">
        <v>1007</v>
      </c>
      <c r="G917" t="s">
        <v>589</v>
      </c>
      <c r="H917" t="s">
        <v>591</v>
      </c>
      <c r="I917">
        <v>9</v>
      </c>
      <c r="J917">
        <v>45747</v>
      </c>
      <c r="K917">
        <v>0.5</v>
      </c>
      <c r="L917">
        <v>0.5</v>
      </c>
      <c r="M917" t="s">
        <v>1009</v>
      </c>
    </row>
    <row r="918" spans="1:13" x14ac:dyDescent="0.25">
      <c r="A918" t="s">
        <v>1024</v>
      </c>
      <c r="B918" t="s">
        <v>1006</v>
      </c>
      <c r="C918" s="2">
        <v>45769.578117557867</v>
      </c>
      <c r="D918" s="2">
        <v>45755.522465879629</v>
      </c>
      <c r="E918" s="2">
        <v>45755.517505011572</v>
      </c>
      <c r="F918" t="s">
        <v>1007</v>
      </c>
      <c r="G918" t="s">
        <v>705</v>
      </c>
      <c r="H918" t="s">
        <v>709</v>
      </c>
      <c r="I918">
        <v>9</v>
      </c>
      <c r="J918">
        <v>45747</v>
      </c>
      <c r="K918">
        <v>0.77777777777777768</v>
      </c>
      <c r="L918">
        <v>0.75</v>
      </c>
      <c r="M918" t="s">
        <v>1008</v>
      </c>
    </row>
    <row r="919" spans="1:13" x14ac:dyDescent="0.25">
      <c r="A919" t="s">
        <v>1024</v>
      </c>
      <c r="B919" t="s">
        <v>1006</v>
      </c>
      <c r="C919" s="2">
        <v>45769.578117557867</v>
      </c>
      <c r="D919" s="2">
        <v>45755.522465879629</v>
      </c>
      <c r="E919" s="2">
        <v>45755.517505011572</v>
      </c>
      <c r="F919" t="s">
        <v>1007</v>
      </c>
      <c r="G919" t="s">
        <v>605</v>
      </c>
      <c r="H919" t="s">
        <v>607</v>
      </c>
      <c r="I919">
        <v>9</v>
      </c>
      <c r="J919">
        <v>45747</v>
      </c>
      <c r="K919">
        <v>0.75</v>
      </c>
      <c r="L919">
        <v>0.75</v>
      </c>
      <c r="M919" t="s">
        <v>1008</v>
      </c>
    </row>
    <row r="920" spans="1:13" x14ac:dyDescent="0.25">
      <c r="A920" t="s">
        <v>1024</v>
      </c>
      <c r="B920" t="s">
        <v>1006</v>
      </c>
      <c r="C920" s="2">
        <v>45769.578117557867</v>
      </c>
      <c r="D920" s="2">
        <v>45755.522465879629</v>
      </c>
      <c r="E920" s="2">
        <v>45755.517505011572</v>
      </c>
      <c r="F920" t="s">
        <v>1007</v>
      </c>
      <c r="G920" t="s">
        <v>615</v>
      </c>
      <c r="H920" t="s">
        <v>607</v>
      </c>
      <c r="I920">
        <v>9</v>
      </c>
      <c r="J920">
        <v>45747</v>
      </c>
      <c r="K920">
        <v>0.83333333333333326</v>
      </c>
      <c r="L920">
        <v>0.83333333333333326</v>
      </c>
      <c r="M920" t="s">
        <v>1008</v>
      </c>
    </row>
    <row r="921" spans="1:13" x14ac:dyDescent="0.25">
      <c r="A921" t="s">
        <v>1025</v>
      </c>
      <c r="B921" t="s">
        <v>1006</v>
      </c>
      <c r="C921" s="2">
        <v>45769.578118020836</v>
      </c>
      <c r="D921" s="2">
        <v>45756.741511504631</v>
      </c>
      <c r="E921" s="2">
        <v>45756.741511087967</v>
      </c>
      <c r="F921" t="s">
        <v>1007</v>
      </c>
      <c r="G921" t="s">
        <v>589</v>
      </c>
      <c r="H921" t="s">
        <v>591</v>
      </c>
      <c r="I921">
        <v>9</v>
      </c>
      <c r="J921">
        <v>45747</v>
      </c>
      <c r="K921">
        <v>0.5</v>
      </c>
      <c r="L921">
        <v>0.5</v>
      </c>
      <c r="M921" t="s">
        <v>1009</v>
      </c>
    </row>
    <row r="922" spans="1:13" x14ac:dyDescent="0.25">
      <c r="A922" t="s">
        <v>1025</v>
      </c>
      <c r="B922" t="s">
        <v>1006</v>
      </c>
      <c r="C922" s="2">
        <v>45769.578118020836</v>
      </c>
      <c r="D922" s="2">
        <v>45756.741511504631</v>
      </c>
      <c r="E922" s="2">
        <v>45756.741511087967</v>
      </c>
      <c r="F922" t="s">
        <v>1007</v>
      </c>
      <c r="G922" t="s">
        <v>705</v>
      </c>
      <c r="H922" t="s">
        <v>709</v>
      </c>
      <c r="I922">
        <v>9</v>
      </c>
      <c r="J922">
        <v>45747</v>
      </c>
      <c r="K922">
        <v>0.77777777777777768</v>
      </c>
      <c r="L922">
        <v>0.75</v>
      </c>
      <c r="M922" t="s">
        <v>1008</v>
      </c>
    </row>
    <row r="923" spans="1:13" x14ac:dyDescent="0.25">
      <c r="A923" t="s">
        <v>1025</v>
      </c>
      <c r="B923" t="s">
        <v>1006</v>
      </c>
      <c r="C923" s="2">
        <v>45769.578118020836</v>
      </c>
      <c r="D923" s="2">
        <v>45756.741511504631</v>
      </c>
      <c r="E923" s="2">
        <v>45756.741511087967</v>
      </c>
      <c r="F923" t="s">
        <v>1007</v>
      </c>
      <c r="G923" t="s">
        <v>605</v>
      </c>
      <c r="H923" t="s">
        <v>607</v>
      </c>
      <c r="I923">
        <v>9</v>
      </c>
      <c r="J923">
        <v>45747</v>
      </c>
      <c r="K923">
        <v>0.75</v>
      </c>
      <c r="L923">
        <v>0.75</v>
      </c>
      <c r="M923" t="s">
        <v>1008</v>
      </c>
    </row>
    <row r="924" spans="1:13" x14ac:dyDescent="0.25">
      <c r="A924" t="s">
        <v>1025</v>
      </c>
      <c r="B924" t="s">
        <v>1006</v>
      </c>
      <c r="C924" s="2">
        <v>45769.578118020836</v>
      </c>
      <c r="D924" s="2">
        <v>45756.741511504631</v>
      </c>
      <c r="E924" s="2">
        <v>45756.741511087967</v>
      </c>
      <c r="F924" t="s">
        <v>1007</v>
      </c>
      <c r="G924" t="s">
        <v>615</v>
      </c>
      <c r="H924" t="s">
        <v>607</v>
      </c>
      <c r="I924">
        <v>9</v>
      </c>
      <c r="J924">
        <v>45747</v>
      </c>
      <c r="K924">
        <v>0.83333333333333326</v>
      </c>
      <c r="L924">
        <v>0.83333333333333326</v>
      </c>
      <c r="M924" t="s">
        <v>1008</v>
      </c>
    </row>
    <row r="925" spans="1:13" x14ac:dyDescent="0.25">
      <c r="A925" t="s">
        <v>1026</v>
      </c>
      <c r="B925" t="s">
        <v>1006</v>
      </c>
      <c r="C925" s="2">
        <v>45769.578118518519</v>
      </c>
      <c r="D925" s="2">
        <v>45758.796925532406</v>
      </c>
      <c r="E925" s="2">
        <v>45758.796925092596</v>
      </c>
      <c r="F925" t="s">
        <v>1007</v>
      </c>
      <c r="G925" t="s">
        <v>589</v>
      </c>
      <c r="H925" t="s">
        <v>591</v>
      </c>
      <c r="I925">
        <v>9</v>
      </c>
      <c r="J925">
        <v>45747</v>
      </c>
      <c r="K925">
        <v>0.5</v>
      </c>
      <c r="L925">
        <v>0.5</v>
      </c>
      <c r="M925" t="s">
        <v>1009</v>
      </c>
    </row>
    <row r="926" spans="1:13" x14ac:dyDescent="0.25">
      <c r="A926" t="s">
        <v>1026</v>
      </c>
      <c r="B926" t="s">
        <v>1006</v>
      </c>
      <c r="C926" s="2">
        <v>45769.578118518519</v>
      </c>
      <c r="D926" s="2">
        <v>45758.796925532406</v>
      </c>
      <c r="E926" s="2">
        <v>45758.796925092596</v>
      </c>
      <c r="F926" t="s">
        <v>1007</v>
      </c>
      <c r="G926" t="s">
        <v>705</v>
      </c>
      <c r="H926" t="s">
        <v>709</v>
      </c>
      <c r="I926">
        <v>9</v>
      </c>
      <c r="J926">
        <v>45747</v>
      </c>
      <c r="K926">
        <v>0.77777777777777768</v>
      </c>
      <c r="L926">
        <v>0.75</v>
      </c>
      <c r="M926" t="s">
        <v>1008</v>
      </c>
    </row>
    <row r="927" spans="1:13" x14ac:dyDescent="0.25">
      <c r="A927" t="s">
        <v>1026</v>
      </c>
      <c r="B927" t="s">
        <v>1006</v>
      </c>
      <c r="C927" s="2">
        <v>45769.578118518519</v>
      </c>
      <c r="D927" s="2">
        <v>45758.796925532406</v>
      </c>
      <c r="E927" s="2">
        <v>45758.796925092596</v>
      </c>
      <c r="F927" t="s">
        <v>1007</v>
      </c>
      <c r="G927" t="s">
        <v>605</v>
      </c>
      <c r="H927" t="s">
        <v>607</v>
      </c>
      <c r="I927">
        <v>9</v>
      </c>
      <c r="J927">
        <v>45747</v>
      </c>
      <c r="K927">
        <v>0.75</v>
      </c>
      <c r="L927">
        <v>0.75</v>
      </c>
      <c r="M927" t="s">
        <v>1008</v>
      </c>
    </row>
    <row r="928" spans="1:13" x14ac:dyDescent="0.25">
      <c r="A928" t="s">
        <v>1026</v>
      </c>
      <c r="B928" t="s">
        <v>1006</v>
      </c>
      <c r="C928" s="2">
        <v>45769.578118518519</v>
      </c>
      <c r="D928" s="2">
        <v>45758.796925532406</v>
      </c>
      <c r="E928" s="2">
        <v>45758.796925092596</v>
      </c>
      <c r="F928" t="s">
        <v>1007</v>
      </c>
      <c r="G928" t="s">
        <v>615</v>
      </c>
      <c r="H928" t="s">
        <v>607</v>
      </c>
      <c r="I928">
        <v>9</v>
      </c>
      <c r="J928">
        <v>45747</v>
      </c>
      <c r="K928">
        <v>0.83333333333333326</v>
      </c>
      <c r="L928">
        <v>0.83333333333333326</v>
      </c>
      <c r="M928" t="s">
        <v>1008</v>
      </c>
    </row>
    <row r="929" spans="1:13" x14ac:dyDescent="0.25">
      <c r="A929" t="s">
        <v>1027</v>
      </c>
      <c r="B929" t="s">
        <v>1006</v>
      </c>
      <c r="C929" s="2">
        <v>45769.578119039354</v>
      </c>
      <c r="D929" s="2">
        <v>45762.136261574073</v>
      </c>
      <c r="E929" s="2">
        <v>45761.611620300922</v>
      </c>
      <c r="F929" t="s">
        <v>1007</v>
      </c>
      <c r="G929" t="s">
        <v>589</v>
      </c>
      <c r="H929" t="s">
        <v>591</v>
      </c>
      <c r="I929">
        <v>9</v>
      </c>
      <c r="J929">
        <v>45747</v>
      </c>
      <c r="K929">
        <v>0.5</v>
      </c>
      <c r="L929">
        <v>0.5</v>
      </c>
      <c r="M929" t="s">
        <v>1009</v>
      </c>
    </row>
    <row r="930" spans="1:13" x14ac:dyDescent="0.25">
      <c r="A930" t="s">
        <v>1027</v>
      </c>
      <c r="B930" t="s">
        <v>1006</v>
      </c>
      <c r="C930" s="2">
        <v>45769.578119039354</v>
      </c>
      <c r="D930" s="2">
        <v>45762.136261574073</v>
      </c>
      <c r="E930" s="2">
        <v>45761.611620300922</v>
      </c>
      <c r="F930" t="s">
        <v>1007</v>
      </c>
      <c r="G930" t="s">
        <v>705</v>
      </c>
      <c r="H930" t="s">
        <v>709</v>
      </c>
      <c r="I930">
        <v>9</v>
      </c>
      <c r="J930">
        <v>45747</v>
      </c>
      <c r="K930">
        <v>0.77777777777777768</v>
      </c>
      <c r="L930">
        <v>0.75</v>
      </c>
      <c r="M930" t="s">
        <v>1008</v>
      </c>
    </row>
    <row r="931" spans="1:13" x14ac:dyDescent="0.25">
      <c r="A931" t="s">
        <v>1027</v>
      </c>
      <c r="B931" t="s">
        <v>1006</v>
      </c>
      <c r="C931" s="2">
        <v>45769.578119039354</v>
      </c>
      <c r="D931" s="2">
        <v>45762.136261574073</v>
      </c>
      <c r="E931" s="2">
        <v>45761.611620300922</v>
      </c>
      <c r="F931" t="s">
        <v>1007</v>
      </c>
      <c r="G931" t="s">
        <v>605</v>
      </c>
      <c r="H931" t="s">
        <v>607</v>
      </c>
      <c r="I931">
        <v>9</v>
      </c>
      <c r="J931">
        <v>45747</v>
      </c>
      <c r="K931">
        <v>0.75</v>
      </c>
      <c r="L931">
        <v>0.75</v>
      </c>
      <c r="M931" t="s">
        <v>1008</v>
      </c>
    </row>
    <row r="932" spans="1:13" x14ac:dyDescent="0.25">
      <c r="A932" t="s">
        <v>1027</v>
      </c>
      <c r="B932" t="s">
        <v>1006</v>
      </c>
      <c r="C932" s="2">
        <v>45769.578119039354</v>
      </c>
      <c r="D932" s="2">
        <v>45762.136261574073</v>
      </c>
      <c r="E932" s="2">
        <v>45761.611620300922</v>
      </c>
      <c r="F932" t="s">
        <v>1007</v>
      </c>
      <c r="G932" t="s">
        <v>615</v>
      </c>
      <c r="H932" t="s">
        <v>607</v>
      </c>
      <c r="I932">
        <v>9</v>
      </c>
      <c r="J932">
        <v>45747</v>
      </c>
      <c r="K932">
        <v>0.83333333333333326</v>
      </c>
      <c r="L932">
        <v>0.83333333333333326</v>
      </c>
      <c r="M932" t="s">
        <v>1008</v>
      </c>
    </row>
    <row r="933" spans="1:13" x14ac:dyDescent="0.25">
      <c r="A933" t="s">
        <v>1442</v>
      </c>
      <c r="B933" t="s">
        <v>1006</v>
      </c>
      <c r="C933" s="2">
        <v>45769.578120150465</v>
      </c>
      <c r="D933" s="2">
        <v>45764.657094907408</v>
      </c>
      <c r="E933" s="2">
        <v>45764.945923333333</v>
      </c>
      <c r="F933" t="s">
        <v>1007</v>
      </c>
      <c r="G933" t="s">
        <v>589</v>
      </c>
      <c r="H933" t="s">
        <v>591</v>
      </c>
      <c r="I933">
        <v>9</v>
      </c>
      <c r="J933">
        <v>45747</v>
      </c>
      <c r="K933">
        <v>0.5</v>
      </c>
      <c r="L933">
        <v>0.5</v>
      </c>
      <c r="M933" t="s">
        <v>1009</v>
      </c>
    </row>
    <row r="934" spans="1:13" x14ac:dyDescent="0.25">
      <c r="A934" t="s">
        <v>1442</v>
      </c>
      <c r="B934" t="s">
        <v>1006</v>
      </c>
      <c r="C934" s="2">
        <v>45769.578120150465</v>
      </c>
      <c r="D934" s="2">
        <v>45764.657094907408</v>
      </c>
      <c r="E934" s="2">
        <v>45764.945923333333</v>
      </c>
      <c r="F934" t="s">
        <v>1007</v>
      </c>
      <c r="G934" t="s">
        <v>705</v>
      </c>
      <c r="H934" t="s">
        <v>709</v>
      </c>
      <c r="I934">
        <v>9</v>
      </c>
      <c r="J934">
        <v>45747</v>
      </c>
      <c r="K934">
        <v>0.77777777777777768</v>
      </c>
      <c r="L934">
        <v>0.75</v>
      </c>
      <c r="M934" t="s">
        <v>1008</v>
      </c>
    </row>
    <row r="935" spans="1:13" x14ac:dyDescent="0.25">
      <c r="A935" t="s">
        <v>1442</v>
      </c>
      <c r="B935" t="s">
        <v>1006</v>
      </c>
      <c r="C935" s="2">
        <v>45769.578120150465</v>
      </c>
      <c r="D935" s="2">
        <v>45764.657094907408</v>
      </c>
      <c r="E935" s="2">
        <v>45764.945923333333</v>
      </c>
      <c r="F935" t="s">
        <v>1007</v>
      </c>
      <c r="G935" t="s">
        <v>605</v>
      </c>
      <c r="H935" t="s">
        <v>607</v>
      </c>
      <c r="I935">
        <v>9</v>
      </c>
      <c r="J935">
        <v>45747</v>
      </c>
      <c r="K935">
        <v>0.75</v>
      </c>
      <c r="L935">
        <v>0.75</v>
      </c>
      <c r="M935" t="s">
        <v>1008</v>
      </c>
    </row>
    <row r="936" spans="1:13" x14ac:dyDescent="0.25">
      <c r="A936" t="s">
        <v>1442</v>
      </c>
      <c r="B936" t="s">
        <v>1006</v>
      </c>
      <c r="C936" s="2">
        <v>45769.578120150465</v>
      </c>
      <c r="D936" s="2">
        <v>45764.657094907408</v>
      </c>
      <c r="E936" s="2">
        <v>45764.945923333333</v>
      </c>
      <c r="F936" t="s">
        <v>1007</v>
      </c>
      <c r="G936" t="s">
        <v>615</v>
      </c>
      <c r="H936" t="s">
        <v>607</v>
      </c>
      <c r="I936">
        <v>9</v>
      </c>
      <c r="J936">
        <v>45747</v>
      </c>
      <c r="K936">
        <v>0.83333333333333326</v>
      </c>
      <c r="L936">
        <v>0.83333333333333326</v>
      </c>
      <c r="M936" t="s">
        <v>1008</v>
      </c>
    </row>
    <row r="937" spans="1:13" x14ac:dyDescent="0.25">
      <c r="A937" t="s">
        <v>1445</v>
      </c>
      <c r="B937" t="s">
        <v>1006</v>
      </c>
      <c r="C937" s="2">
        <v>45769.57812071759</v>
      </c>
      <c r="D937" s="2">
        <v>45765.917060185187</v>
      </c>
      <c r="E937" s="2">
        <v>45765.918956886577</v>
      </c>
      <c r="F937" t="s">
        <v>1007</v>
      </c>
      <c r="G937" t="s">
        <v>589</v>
      </c>
      <c r="H937" t="s">
        <v>591</v>
      </c>
      <c r="I937">
        <v>9</v>
      </c>
      <c r="J937">
        <v>45747</v>
      </c>
      <c r="K937">
        <v>0.5</v>
      </c>
      <c r="L937">
        <v>0.5</v>
      </c>
      <c r="M937" t="s">
        <v>1009</v>
      </c>
    </row>
    <row r="938" spans="1:13" x14ac:dyDescent="0.25">
      <c r="A938" t="s">
        <v>1445</v>
      </c>
      <c r="B938" t="s">
        <v>1006</v>
      </c>
      <c r="C938" s="2">
        <v>45769.57812071759</v>
      </c>
      <c r="D938" s="2">
        <v>45765.917060185187</v>
      </c>
      <c r="E938" s="2">
        <v>45765.918956886577</v>
      </c>
      <c r="F938" t="s">
        <v>1007</v>
      </c>
      <c r="G938" t="s">
        <v>705</v>
      </c>
      <c r="H938" t="s">
        <v>709</v>
      </c>
      <c r="I938">
        <v>9</v>
      </c>
      <c r="J938">
        <v>45747</v>
      </c>
      <c r="K938">
        <v>0.77777777777777768</v>
      </c>
      <c r="L938">
        <v>0.75</v>
      </c>
      <c r="M938" t="s">
        <v>1008</v>
      </c>
    </row>
    <row r="939" spans="1:13" x14ac:dyDescent="0.25">
      <c r="A939" t="s">
        <v>1445</v>
      </c>
      <c r="B939" t="s">
        <v>1006</v>
      </c>
      <c r="C939" s="2">
        <v>45769.57812071759</v>
      </c>
      <c r="D939" s="2">
        <v>45765.917060185187</v>
      </c>
      <c r="E939" s="2">
        <v>45765.918956886577</v>
      </c>
      <c r="F939" t="s">
        <v>1007</v>
      </c>
      <c r="G939" t="s">
        <v>605</v>
      </c>
      <c r="H939" t="s">
        <v>607</v>
      </c>
      <c r="I939">
        <v>9</v>
      </c>
      <c r="J939">
        <v>45747</v>
      </c>
      <c r="K939">
        <v>0.75</v>
      </c>
      <c r="L939">
        <v>0.75</v>
      </c>
      <c r="M939" t="s">
        <v>1008</v>
      </c>
    </row>
    <row r="940" spans="1:13" x14ac:dyDescent="0.25">
      <c r="A940" t="s">
        <v>1445</v>
      </c>
      <c r="B940" t="s">
        <v>1006</v>
      </c>
      <c r="C940" s="2">
        <v>45769.57812071759</v>
      </c>
      <c r="D940" s="2">
        <v>45765.917060185187</v>
      </c>
      <c r="E940" s="2">
        <v>45765.918956886577</v>
      </c>
      <c r="F940" t="s">
        <v>1007</v>
      </c>
      <c r="G940" t="s">
        <v>615</v>
      </c>
      <c r="H940" t="s">
        <v>607</v>
      </c>
      <c r="I940">
        <v>9</v>
      </c>
      <c r="J940">
        <v>45747</v>
      </c>
      <c r="K940">
        <v>0.83333333333333326</v>
      </c>
      <c r="L940">
        <v>0.83333333333333326</v>
      </c>
      <c r="M940" t="s">
        <v>1008</v>
      </c>
    </row>
    <row r="941" spans="1:13" x14ac:dyDescent="0.25">
      <c r="A941" t="s">
        <v>1446</v>
      </c>
      <c r="B941" t="s">
        <v>1006</v>
      </c>
      <c r="C941" s="2">
        <v>45769.578121180559</v>
      </c>
      <c r="D941" s="2">
        <v>45769.420274479169</v>
      </c>
      <c r="E941" s="2">
        <v>45769.420274166667</v>
      </c>
      <c r="F941" t="s">
        <v>1007</v>
      </c>
      <c r="G941" t="s">
        <v>589</v>
      </c>
      <c r="H941" t="s">
        <v>591</v>
      </c>
      <c r="I941">
        <v>9</v>
      </c>
      <c r="J941">
        <v>45747</v>
      </c>
      <c r="K941">
        <v>0.5</v>
      </c>
      <c r="L941">
        <v>0.5</v>
      </c>
      <c r="M941" t="s">
        <v>1009</v>
      </c>
    </row>
    <row r="942" spans="1:13" x14ac:dyDescent="0.25">
      <c r="A942" t="s">
        <v>1446</v>
      </c>
      <c r="B942" t="s">
        <v>1006</v>
      </c>
      <c r="C942" s="2">
        <v>45769.578121180559</v>
      </c>
      <c r="D942" s="2">
        <v>45769.420274479169</v>
      </c>
      <c r="E942" s="2">
        <v>45769.420274166667</v>
      </c>
      <c r="F942" t="s">
        <v>1007</v>
      </c>
      <c r="G942" t="s">
        <v>705</v>
      </c>
      <c r="H942" t="s">
        <v>709</v>
      </c>
      <c r="I942">
        <v>9</v>
      </c>
      <c r="J942">
        <v>45747</v>
      </c>
      <c r="K942">
        <v>0.77777777777777768</v>
      </c>
      <c r="L942">
        <v>0.75</v>
      </c>
      <c r="M942" t="s">
        <v>1008</v>
      </c>
    </row>
    <row r="943" spans="1:13" x14ac:dyDescent="0.25">
      <c r="A943" t="s">
        <v>1446</v>
      </c>
      <c r="B943" t="s">
        <v>1006</v>
      </c>
      <c r="C943" s="2">
        <v>45769.578121180559</v>
      </c>
      <c r="D943" s="2">
        <v>45769.420274479169</v>
      </c>
      <c r="E943" s="2">
        <v>45769.420274166667</v>
      </c>
      <c r="F943" t="s">
        <v>1007</v>
      </c>
      <c r="G943" t="s">
        <v>605</v>
      </c>
      <c r="H943" t="s">
        <v>607</v>
      </c>
      <c r="I943">
        <v>9</v>
      </c>
      <c r="J943">
        <v>45747</v>
      </c>
      <c r="K943">
        <v>0.75</v>
      </c>
      <c r="L943">
        <v>0.75</v>
      </c>
      <c r="M943" t="s">
        <v>1008</v>
      </c>
    </row>
    <row r="944" spans="1:13" x14ac:dyDescent="0.25">
      <c r="A944" t="s">
        <v>1446</v>
      </c>
      <c r="B944" t="s">
        <v>1006</v>
      </c>
      <c r="C944" s="2">
        <v>45769.578121180559</v>
      </c>
      <c r="D944" s="2">
        <v>45769.420274479169</v>
      </c>
      <c r="E944" s="2">
        <v>45769.420274166667</v>
      </c>
      <c r="F944" t="s">
        <v>1007</v>
      </c>
      <c r="G944" t="s">
        <v>615</v>
      </c>
      <c r="H944" t="s">
        <v>607</v>
      </c>
      <c r="I944">
        <v>9</v>
      </c>
      <c r="J944">
        <v>45747</v>
      </c>
      <c r="K944">
        <v>0.83333333333333326</v>
      </c>
      <c r="L944">
        <v>0.83333333333333326</v>
      </c>
      <c r="M944" t="s">
        <v>1008</v>
      </c>
    </row>
    <row r="945" spans="1:13" x14ac:dyDescent="0.25">
      <c r="A945" t="s">
        <v>1459</v>
      </c>
      <c r="B945" t="s">
        <v>1006</v>
      </c>
      <c r="C945" s="2">
        <v>45769.578121631945</v>
      </c>
      <c r="D945" s="2">
        <v>45755.429071284721</v>
      </c>
      <c r="E945" s="2">
        <v>45755.429071030092</v>
      </c>
      <c r="F945" t="s">
        <v>1007</v>
      </c>
      <c r="G945" t="s">
        <v>589</v>
      </c>
      <c r="H945" t="s">
        <v>591</v>
      </c>
      <c r="I945">
        <v>9</v>
      </c>
      <c r="J945">
        <v>45747</v>
      </c>
      <c r="K945">
        <v>0.5</v>
      </c>
      <c r="L945">
        <v>0.5</v>
      </c>
      <c r="M945" t="s">
        <v>1009</v>
      </c>
    </row>
    <row r="946" spans="1:13" x14ac:dyDescent="0.25">
      <c r="A946" t="s">
        <v>1459</v>
      </c>
      <c r="B946" t="s">
        <v>1006</v>
      </c>
      <c r="C946" s="2">
        <v>45769.578121631945</v>
      </c>
      <c r="D946" s="2">
        <v>45755.429071284721</v>
      </c>
      <c r="E946" s="2">
        <v>45755.429071030092</v>
      </c>
      <c r="F946" t="s">
        <v>1007</v>
      </c>
      <c r="G946" t="s">
        <v>705</v>
      </c>
      <c r="H946" t="s">
        <v>709</v>
      </c>
      <c r="I946">
        <v>9</v>
      </c>
      <c r="J946">
        <v>45747</v>
      </c>
      <c r="K946">
        <v>0.77777777777777768</v>
      </c>
      <c r="L946">
        <v>0.75</v>
      </c>
      <c r="M946" t="s">
        <v>1008</v>
      </c>
    </row>
    <row r="947" spans="1:13" x14ac:dyDescent="0.25">
      <c r="A947" t="s">
        <v>1459</v>
      </c>
      <c r="B947" t="s">
        <v>1006</v>
      </c>
      <c r="C947" s="2">
        <v>45769.578121631945</v>
      </c>
      <c r="D947" s="2">
        <v>45755.429071284721</v>
      </c>
      <c r="E947" s="2">
        <v>45755.429071030092</v>
      </c>
      <c r="F947" t="s">
        <v>1007</v>
      </c>
      <c r="G947" t="s">
        <v>605</v>
      </c>
      <c r="H947" t="s">
        <v>607</v>
      </c>
      <c r="I947">
        <v>9</v>
      </c>
      <c r="J947">
        <v>45747</v>
      </c>
      <c r="K947">
        <v>0.75</v>
      </c>
      <c r="L947">
        <v>0.75</v>
      </c>
      <c r="M947" t="s">
        <v>1008</v>
      </c>
    </row>
    <row r="948" spans="1:13" x14ac:dyDescent="0.25">
      <c r="A948" t="s">
        <v>1459</v>
      </c>
      <c r="B948" t="s">
        <v>1006</v>
      </c>
      <c r="C948" s="2">
        <v>45769.578121631945</v>
      </c>
      <c r="D948" s="2">
        <v>45755.429071284721</v>
      </c>
      <c r="E948" s="2">
        <v>45755.429071030092</v>
      </c>
      <c r="F948" t="s">
        <v>1007</v>
      </c>
      <c r="G948" t="s">
        <v>615</v>
      </c>
      <c r="H948" t="s">
        <v>607</v>
      </c>
      <c r="I948">
        <v>9</v>
      </c>
      <c r="J948">
        <v>45747</v>
      </c>
      <c r="K948">
        <v>0.83333333333333326</v>
      </c>
      <c r="L948">
        <v>0.83333333333333326</v>
      </c>
      <c r="M948" t="s">
        <v>1008</v>
      </c>
    </row>
    <row r="949" spans="1:13" x14ac:dyDescent="0.25">
      <c r="A949" t="s">
        <v>1022</v>
      </c>
      <c r="B949" t="s">
        <v>1006</v>
      </c>
      <c r="C949" s="2">
        <v>45769.578116643519</v>
      </c>
      <c r="D949" s="2">
        <v>45751.761859537037</v>
      </c>
      <c r="E949" s="2">
        <v>45751.761740069443</v>
      </c>
      <c r="F949" t="s">
        <v>1007</v>
      </c>
      <c r="G949" t="s">
        <v>620</v>
      </c>
      <c r="H949" t="s">
        <v>622</v>
      </c>
      <c r="I949">
        <v>9</v>
      </c>
      <c r="J949">
        <v>45748</v>
      </c>
      <c r="K949">
        <v>0.85324074074074074</v>
      </c>
      <c r="L949">
        <v>0.83333333333333326</v>
      </c>
      <c r="M949" t="s">
        <v>1008</v>
      </c>
    </row>
    <row r="950" spans="1:13" x14ac:dyDescent="0.25">
      <c r="A950" t="s">
        <v>1022</v>
      </c>
      <c r="B950" t="s">
        <v>1006</v>
      </c>
      <c r="C950" s="2">
        <v>45769.578116643519</v>
      </c>
      <c r="D950" s="2">
        <v>45751.761859537037</v>
      </c>
      <c r="E950" s="2">
        <v>45751.761740069443</v>
      </c>
      <c r="F950" t="s">
        <v>1007</v>
      </c>
      <c r="G950" t="s">
        <v>597</v>
      </c>
      <c r="H950" t="s">
        <v>601</v>
      </c>
      <c r="I950">
        <v>9</v>
      </c>
      <c r="J950">
        <v>45748</v>
      </c>
      <c r="K950">
        <v>0.5</v>
      </c>
      <c r="L950">
        <v>0.5</v>
      </c>
      <c r="M950" t="s">
        <v>1009</v>
      </c>
    </row>
    <row r="951" spans="1:13" x14ac:dyDescent="0.25">
      <c r="A951" t="s">
        <v>1023</v>
      </c>
      <c r="B951" t="s">
        <v>1006</v>
      </c>
      <c r="C951" s="2">
        <v>45769.578117118057</v>
      </c>
      <c r="D951" s="2">
        <v>45753.105104166665</v>
      </c>
      <c r="E951" s="2">
        <v>45753.107311701388</v>
      </c>
      <c r="F951" t="s">
        <v>1007</v>
      </c>
      <c r="G951" t="s">
        <v>620</v>
      </c>
      <c r="H951" t="s">
        <v>622</v>
      </c>
      <c r="I951">
        <v>9</v>
      </c>
      <c r="J951">
        <v>45748</v>
      </c>
      <c r="K951">
        <v>0.85324074074074074</v>
      </c>
      <c r="L951">
        <v>0.83333333333333326</v>
      </c>
      <c r="M951" t="s">
        <v>1008</v>
      </c>
    </row>
    <row r="952" spans="1:13" x14ac:dyDescent="0.25">
      <c r="A952" t="s">
        <v>1023</v>
      </c>
      <c r="B952" t="s">
        <v>1006</v>
      </c>
      <c r="C952" s="2">
        <v>45769.578117118057</v>
      </c>
      <c r="D952" s="2">
        <v>45753.105104166665</v>
      </c>
      <c r="E952" s="2">
        <v>45753.107311701388</v>
      </c>
      <c r="F952" t="s">
        <v>1007</v>
      </c>
      <c r="G952" t="s">
        <v>597</v>
      </c>
      <c r="H952" t="s">
        <v>601</v>
      </c>
      <c r="I952">
        <v>9</v>
      </c>
      <c r="J952">
        <v>45748</v>
      </c>
      <c r="K952">
        <v>0.5</v>
      </c>
      <c r="L952">
        <v>0.5</v>
      </c>
      <c r="M952" t="s">
        <v>1009</v>
      </c>
    </row>
    <row r="953" spans="1:13" x14ac:dyDescent="0.25">
      <c r="A953" t="s">
        <v>1024</v>
      </c>
      <c r="B953" t="s">
        <v>1006</v>
      </c>
      <c r="C953" s="2">
        <v>45769.578117557867</v>
      </c>
      <c r="D953" s="2">
        <v>45755.522465879629</v>
      </c>
      <c r="E953" s="2">
        <v>45755.517505011572</v>
      </c>
      <c r="F953" t="s">
        <v>1007</v>
      </c>
      <c r="G953" t="s">
        <v>620</v>
      </c>
      <c r="H953" t="s">
        <v>622</v>
      </c>
      <c r="I953">
        <v>9</v>
      </c>
      <c r="J953">
        <v>45748</v>
      </c>
      <c r="K953">
        <v>0.85324074074074074</v>
      </c>
      <c r="L953">
        <v>0.83333333333333326</v>
      </c>
      <c r="M953" t="s">
        <v>1008</v>
      </c>
    </row>
    <row r="954" spans="1:13" x14ac:dyDescent="0.25">
      <c r="A954" t="s">
        <v>1024</v>
      </c>
      <c r="B954" t="s">
        <v>1006</v>
      </c>
      <c r="C954" s="2">
        <v>45769.578117557867</v>
      </c>
      <c r="D954" s="2">
        <v>45755.522465879629</v>
      </c>
      <c r="E954" s="2">
        <v>45755.517505011572</v>
      </c>
      <c r="F954" t="s">
        <v>1007</v>
      </c>
      <c r="G954" t="s">
        <v>597</v>
      </c>
      <c r="H954" t="s">
        <v>601</v>
      </c>
      <c r="I954">
        <v>9</v>
      </c>
      <c r="J954">
        <v>45748</v>
      </c>
      <c r="K954">
        <v>0.5</v>
      </c>
      <c r="L954">
        <v>0.5</v>
      </c>
      <c r="M954" t="s">
        <v>1009</v>
      </c>
    </row>
    <row r="955" spans="1:13" x14ac:dyDescent="0.25">
      <c r="A955" t="s">
        <v>1025</v>
      </c>
      <c r="B955" t="s">
        <v>1006</v>
      </c>
      <c r="C955" s="2">
        <v>45769.578118020836</v>
      </c>
      <c r="D955" s="2">
        <v>45756.741511504631</v>
      </c>
      <c r="E955" s="2">
        <v>45756.741511087967</v>
      </c>
      <c r="F955" t="s">
        <v>1007</v>
      </c>
      <c r="G955" t="s">
        <v>620</v>
      </c>
      <c r="H955" t="s">
        <v>622</v>
      </c>
      <c r="I955">
        <v>9</v>
      </c>
      <c r="J955">
        <v>45748</v>
      </c>
      <c r="K955">
        <v>0.85324074074074074</v>
      </c>
      <c r="L955">
        <v>0.83333333333333326</v>
      </c>
      <c r="M955" t="s">
        <v>1008</v>
      </c>
    </row>
    <row r="956" spans="1:13" x14ac:dyDescent="0.25">
      <c r="A956" t="s">
        <v>1025</v>
      </c>
      <c r="B956" t="s">
        <v>1006</v>
      </c>
      <c r="C956" s="2">
        <v>45769.578118020836</v>
      </c>
      <c r="D956" s="2">
        <v>45756.741511504631</v>
      </c>
      <c r="E956" s="2">
        <v>45756.741511087967</v>
      </c>
      <c r="F956" t="s">
        <v>1007</v>
      </c>
      <c r="G956" t="s">
        <v>597</v>
      </c>
      <c r="H956" t="s">
        <v>601</v>
      </c>
      <c r="I956">
        <v>9</v>
      </c>
      <c r="J956">
        <v>45748</v>
      </c>
      <c r="K956">
        <v>0.5</v>
      </c>
      <c r="L956">
        <v>0.5</v>
      </c>
      <c r="M956" t="s">
        <v>1009</v>
      </c>
    </row>
    <row r="957" spans="1:13" x14ac:dyDescent="0.25">
      <c r="A957" t="s">
        <v>1026</v>
      </c>
      <c r="B957" t="s">
        <v>1006</v>
      </c>
      <c r="C957" s="2">
        <v>45769.578118518519</v>
      </c>
      <c r="D957" s="2">
        <v>45758.796925532406</v>
      </c>
      <c r="E957" s="2">
        <v>45758.796925092596</v>
      </c>
      <c r="F957" t="s">
        <v>1007</v>
      </c>
      <c r="G957" t="s">
        <v>620</v>
      </c>
      <c r="H957" t="s">
        <v>622</v>
      </c>
      <c r="I957">
        <v>9</v>
      </c>
      <c r="J957">
        <v>45748</v>
      </c>
      <c r="K957">
        <v>0.85324074074074074</v>
      </c>
      <c r="L957">
        <v>0.83333333333333326</v>
      </c>
      <c r="M957" t="s">
        <v>1008</v>
      </c>
    </row>
    <row r="958" spans="1:13" x14ac:dyDescent="0.25">
      <c r="A958" t="s">
        <v>1026</v>
      </c>
      <c r="B958" t="s">
        <v>1006</v>
      </c>
      <c r="C958" s="2">
        <v>45769.578118518519</v>
      </c>
      <c r="D958" s="2">
        <v>45758.796925532406</v>
      </c>
      <c r="E958" s="2">
        <v>45758.796925092596</v>
      </c>
      <c r="F958" t="s">
        <v>1007</v>
      </c>
      <c r="G958" t="s">
        <v>597</v>
      </c>
      <c r="H958" t="s">
        <v>601</v>
      </c>
      <c r="I958">
        <v>9</v>
      </c>
      <c r="J958">
        <v>45748</v>
      </c>
      <c r="K958">
        <v>0.5</v>
      </c>
      <c r="L958">
        <v>0.5</v>
      </c>
      <c r="M958" t="s">
        <v>1009</v>
      </c>
    </row>
    <row r="959" spans="1:13" x14ac:dyDescent="0.25">
      <c r="A959" t="s">
        <v>1027</v>
      </c>
      <c r="B959" t="s">
        <v>1006</v>
      </c>
      <c r="C959" s="2">
        <v>45769.578119039354</v>
      </c>
      <c r="D959" s="2">
        <v>45762.136261574073</v>
      </c>
      <c r="E959" s="2">
        <v>45761.611620300922</v>
      </c>
      <c r="F959" t="s">
        <v>1007</v>
      </c>
      <c r="G959" t="s">
        <v>620</v>
      </c>
      <c r="H959" t="s">
        <v>622</v>
      </c>
      <c r="I959">
        <v>9</v>
      </c>
      <c r="J959">
        <v>45748</v>
      </c>
      <c r="K959">
        <v>0.85324074074074074</v>
      </c>
      <c r="L959">
        <v>0.83333333333333326</v>
      </c>
      <c r="M959" t="s">
        <v>1008</v>
      </c>
    </row>
    <row r="960" spans="1:13" x14ac:dyDescent="0.25">
      <c r="A960" t="s">
        <v>1027</v>
      </c>
      <c r="B960" t="s">
        <v>1006</v>
      </c>
      <c r="C960" s="2">
        <v>45769.578119039354</v>
      </c>
      <c r="D960" s="2">
        <v>45762.136261574073</v>
      </c>
      <c r="E960" s="2">
        <v>45761.611620300922</v>
      </c>
      <c r="F960" t="s">
        <v>1007</v>
      </c>
      <c r="G960" t="s">
        <v>597</v>
      </c>
      <c r="H960" t="s">
        <v>601</v>
      </c>
      <c r="I960">
        <v>9</v>
      </c>
      <c r="J960">
        <v>45748</v>
      </c>
      <c r="K960">
        <v>0.5</v>
      </c>
      <c r="L960">
        <v>0.5</v>
      </c>
      <c r="M960" t="s">
        <v>1009</v>
      </c>
    </row>
    <row r="961" spans="1:13" x14ac:dyDescent="0.25">
      <c r="A961" t="s">
        <v>1442</v>
      </c>
      <c r="B961" t="s">
        <v>1006</v>
      </c>
      <c r="C961" s="2">
        <v>45769.578120150465</v>
      </c>
      <c r="D961" s="2">
        <v>45764.657094907408</v>
      </c>
      <c r="E961" s="2">
        <v>45764.945923333333</v>
      </c>
      <c r="F961" t="s">
        <v>1007</v>
      </c>
      <c r="G961" t="s">
        <v>620</v>
      </c>
      <c r="H961" t="s">
        <v>622</v>
      </c>
      <c r="I961">
        <v>9</v>
      </c>
      <c r="J961">
        <v>45748</v>
      </c>
      <c r="K961">
        <v>0.85324074074074074</v>
      </c>
      <c r="L961">
        <v>0.83333333333333326</v>
      </c>
      <c r="M961" t="s">
        <v>1008</v>
      </c>
    </row>
    <row r="962" spans="1:13" x14ac:dyDescent="0.25">
      <c r="A962" t="s">
        <v>1442</v>
      </c>
      <c r="B962" t="s">
        <v>1006</v>
      </c>
      <c r="C962" s="2">
        <v>45769.578120150465</v>
      </c>
      <c r="D962" s="2">
        <v>45764.657094907408</v>
      </c>
      <c r="E962" s="2">
        <v>45764.945923333333</v>
      </c>
      <c r="F962" t="s">
        <v>1007</v>
      </c>
      <c r="G962" t="s">
        <v>597</v>
      </c>
      <c r="H962" t="s">
        <v>601</v>
      </c>
      <c r="I962">
        <v>9</v>
      </c>
      <c r="J962">
        <v>45748</v>
      </c>
      <c r="K962">
        <v>0.5</v>
      </c>
      <c r="L962">
        <v>0.5</v>
      </c>
      <c r="M962" t="s">
        <v>1009</v>
      </c>
    </row>
    <row r="963" spans="1:13" x14ac:dyDescent="0.25">
      <c r="A963" t="s">
        <v>1445</v>
      </c>
      <c r="B963" t="s">
        <v>1006</v>
      </c>
      <c r="C963" s="2">
        <v>45769.57812071759</v>
      </c>
      <c r="D963" s="2">
        <v>45765.917060185187</v>
      </c>
      <c r="E963" s="2">
        <v>45765.918956886577</v>
      </c>
      <c r="F963" t="s">
        <v>1007</v>
      </c>
      <c r="G963" t="s">
        <v>620</v>
      </c>
      <c r="H963" t="s">
        <v>622</v>
      </c>
      <c r="I963">
        <v>9</v>
      </c>
      <c r="J963">
        <v>45748</v>
      </c>
      <c r="K963">
        <v>0.85324074074074074</v>
      </c>
      <c r="L963">
        <v>0.83333333333333326</v>
      </c>
      <c r="M963" t="s">
        <v>1008</v>
      </c>
    </row>
    <row r="964" spans="1:13" x14ac:dyDescent="0.25">
      <c r="A964" t="s">
        <v>1445</v>
      </c>
      <c r="B964" t="s">
        <v>1006</v>
      </c>
      <c r="C964" s="2">
        <v>45769.57812071759</v>
      </c>
      <c r="D964" s="2">
        <v>45765.917060185187</v>
      </c>
      <c r="E964" s="2">
        <v>45765.918956886577</v>
      </c>
      <c r="F964" t="s">
        <v>1007</v>
      </c>
      <c r="G964" t="s">
        <v>597</v>
      </c>
      <c r="H964" t="s">
        <v>601</v>
      </c>
      <c r="I964">
        <v>9</v>
      </c>
      <c r="J964">
        <v>45748</v>
      </c>
      <c r="K964">
        <v>0.5</v>
      </c>
      <c r="L964">
        <v>0.5</v>
      </c>
      <c r="M964" t="s">
        <v>1009</v>
      </c>
    </row>
    <row r="965" spans="1:13" x14ac:dyDescent="0.25">
      <c r="A965" t="s">
        <v>1446</v>
      </c>
      <c r="B965" t="s">
        <v>1006</v>
      </c>
      <c r="C965" s="2">
        <v>45769.578121180559</v>
      </c>
      <c r="D965" s="2">
        <v>45769.420274479169</v>
      </c>
      <c r="E965" s="2">
        <v>45769.420274166667</v>
      </c>
      <c r="F965" t="s">
        <v>1007</v>
      </c>
      <c r="G965" t="s">
        <v>620</v>
      </c>
      <c r="H965" t="s">
        <v>622</v>
      </c>
      <c r="I965">
        <v>9</v>
      </c>
      <c r="J965">
        <v>45748</v>
      </c>
      <c r="K965">
        <v>0.85324074074074074</v>
      </c>
      <c r="L965">
        <v>0.83333333333333326</v>
      </c>
      <c r="M965" t="s">
        <v>1008</v>
      </c>
    </row>
    <row r="966" spans="1:13" x14ac:dyDescent="0.25">
      <c r="A966" t="s">
        <v>1446</v>
      </c>
      <c r="B966" t="s">
        <v>1006</v>
      </c>
      <c r="C966" s="2">
        <v>45769.578121180559</v>
      </c>
      <c r="D966" s="2">
        <v>45769.420274479169</v>
      </c>
      <c r="E966" s="2">
        <v>45769.420274166667</v>
      </c>
      <c r="F966" t="s">
        <v>1007</v>
      </c>
      <c r="G966" t="s">
        <v>597</v>
      </c>
      <c r="H966" t="s">
        <v>601</v>
      </c>
      <c r="I966">
        <v>9</v>
      </c>
      <c r="J966">
        <v>45748</v>
      </c>
      <c r="K966">
        <v>0.5</v>
      </c>
      <c r="L966">
        <v>0.5</v>
      </c>
      <c r="M966" t="s">
        <v>1009</v>
      </c>
    </row>
    <row r="967" spans="1:13" x14ac:dyDescent="0.25">
      <c r="A967" t="s">
        <v>1459</v>
      </c>
      <c r="B967" t="s">
        <v>1006</v>
      </c>
      <c r="C967" s="2">
        <v>45769.578121631945</v>
      </c>
      <c r="D967" s="2">
        <v>45755.429071284721</v>
      </c>
      <c r="E967" s="2">
        <v>45755.429071030092</v>
      </c>
      <c r="F967" t="s">
        <v>1007</v>
      </c>
      <c r="G967" t="s">
        <v>620</v>
      </c>
      <c r="H967" t="s">
        <v>622</v>
      </c>
      <c r="I967">
        <v>9</v>
      </c>
      <c r="J967">
        <v>45748</v>
      </c>
      <c r="K967">
        <v>0.85324074074074074</v>
      </c>
      <c r="L967">
        <v>0.83333333333333326</v>
      </c>
      <c r="M967" t="s">
        <v>1008</v>
      </c>
    </row>
    <row r="968" spans="1:13" x14ac:dyDescent="0.25">
      <c r="A968" t="s">
        <v>1459</v>
      </c>
      <c r="B968" t="s">
        <v>1006</v>
      </c>
      <c r="C968" s="2">
        <v>45769.578121631945</v>
      </c>
      <c r="D968" s="2">
        <v>45755.429071284721</v>
      </c>
      <c r="E968" s="2">
        <v>45755.429071030092</v>
      </c>
      <c r="F968" t="s">
        <v>1007</v>
      </c>
      <c r="G968" t="s">
        <v>597</v>
      </c>
      <c r="H968" t="s">
        <v>601</v>
      </c>
      <c r="I968">
        <v>9</v>
      </c>
      <c r="J968">
        <v>45748</v>
      </c>
      <c r="K968">
        <v>0.5</v>
      </c>
      <c r="L968">
        <v>0.5</v>
      </c>
      <c r="M968" t="s">
        <v>1009</v>
      </c>
    </row>
    <row r="969" spans="1:13" x14ac:dyDescent="0.25">
      <c r="A969" t="s">
        <v>1022</v>
      </c>
      <c r="B969" t="s">
        <v>1006</v>
      </c>
      <c r="C969" s="2">
        <v>45769.578116643519</v>
      </c>
      <c r="D969" s="2">
        <v>45751.761859537037</v>
      </c>
      <c r="E969" s="2">
        <v>45751.761740069443</v>
      </c>
      <c r="F969" t="s">
        <v>1007</v>
      </c>
      <c r="G969" t="s">
        <v>640</v>
      </c>
      <c r="H969" t="s">
        <v>645</v>
      </c>
      <c r="I969">
        <v>9</v>
      </c>
      <c r="J969">
        <v>45749</v>
      </c>
      <c r="K969">
        <v>0.89930555555555558</v>
      </c>
      <c r="L969">
        <v>0.875</v>
      </c>
      <c r="M969" t="s">
        <v>1008</v>
      </c>
    </row>
    <row r="970" spans="1:13" x14ac:dyDescent="0.25">
      <c r="A970" t="s">
        <v>1023</v>
      </c>
      <c r="B970" t="s">
        <v>1006</v>
      </c>
      <c r="C970" s="2">
        <v>45769.578117118057</v>
      </c>
      <c r="D970" s="2">
        <v>45753.105104166665</v>
      </c>
      <c r="E970" s="2">
        <v>45753.107311701388</v>
      </c>
      <c r="F970" t="s">
        <v>1007</v>
      </c>
      <c r="G970" t="s">
        <v>640</v>
      </c>
      <c r="H970" t="s">
        <v>645</v>
      </c>
      <c r="I970">
        <v>9</v>
      </c>
      <c r="J970">
        <v>45749</v>
      </c>
      <c r="K970">
        <v>0.89930555555555558</v>
      </c>
      <c r="L970">
        <v>0.875</v>
      </c>
      <c r="M970" t="s">
        <v>1008</v>
      </c>
    </row>
    <row r="971" spans="1:13" x14ac:dyDescent="0.25">
      <c r="A971" t="s">
        <v>1024</v>
      </c>
      <c r="B971" t="s">
        <v>1006</v>
      </c>
      <c r="C971" s="2">
        <v>45769.578117557867</v>
      </c>
      <c r="D971" s="2">
        <v>45755.522465879629</v>
      </c>
      <c r="E971" s="2">
        <v>45755.517505011572</v>
      </c>
      <c r="F971" t="s">
        <v>1007</v>
      </c>
      <c r="G971" t="s">
        <v>640</v>
      </c>
      <c r="H971" t="s">
        <v>645</v>
      </c>
      <c r="I971">
        <v>9</v>
      </c>
      <c r="J971">
        <v>45749</v>
      </c>
      <c r="K971">
        <v>0.89930555555555558</v>
      </c>
      <c r="L971">
        <v>0.875</v>
      </c>
      <c r="M971" t="s">
        <v>1008</v>
      </c>
    </row>
    <row r="972" spans="1:13" x14ac:dyDescent="0.25">
      <c r="A972" t="s">
        <v>1025</v>
      </c>
      <c r="B972" t="s">
        <v>1006</v>
      </c>
      <c r="C972" s="2">
        <v>45769.578118020836</v>
      </c>
      <c r="D972" s="2">
        <v>45756.741511504631</v>
      </c>
      <c r="E972" s="2">
        <v>45756.741511087967</v>
      </c>
      <c r="F972" t="s">
        <v>1007</v>
      </c>
      <c r="G972" t="s">
        <v>640</v>
      </c>
      <c r="H972" t="s">
        <v>645</v>
      </c>
      <c r="I972">
        <v>9</v>
      </c>
      <c r="J972">
        <v>45749</v>
      </c>
      <c r="K972">
        <v>0.89930555555555558</v>
      </c>
      <c r="L972">
        <v>0.875</v>
      </c>
      <c r="M972" t="s">
        <v>1008</v>
      </c>
    </row>
    <row r="973" spans="1:13" x14ac:dyDescent="0.25">
      <c r="A973" t="s">
        <v>1026</v>
      </c>
      <c r="B973" t="s">
        <v>1006</v>
      </c>
      <c r="C973" s="2">
        <v>45769.578118518519</v>
      </c>
      <c r="D973" s="2">
        <v>45758.796925532406</v>
      </c>
      <c r="E973" s="2">
        <v>45758.796925092596</v>
      </c>
      <c r="F973" t="s">
        <v>1007</v>
      </c>
      <c r="G973" t="s">
        <v>640</v>
      </c>
      <c r="H973" t="s">
        <v>645</v>
      </c>
      <c r="I973">
        <v>9</v>
      </c>
      <c r="J973">
        <v>45749</v>
      </c>
      <c r="K973">
        <v>0.89930555555555558</v>
      </c>
      <c r="L973">
        <v>0.875</v>
      </c>
      <c r="M973" t="s">
        <v>1008</v>
      </c>
    </row>
    <row r="974" spans="1:13" x14ac:dyDescent="0.25">
      <c r="A974" t="s">
        <v>1027</v>
      </c>
      <c r="B974" t="s">
        <v>1006</v>
      </c>
      <c r="C974" s="2">
        <v>45769.578119039354</v>
      </c>
      <c r="D974" s="2">
        <v>45762.136261574073</v>
      </c>
      <c r="E974" s="2">
        <v>45761.611620300922</v>
      </c>
      <c r="F974" t="s">
        <v>1007</v>
      </c>
      <c r="G974" t="s">
        <v>640</v>
      </c>
      <c r="H974" t="s">
        <v>645</v>
      </c>
      <c r="I974">
        <v>9</v>
      </c>
      <c r="J974">
        <v>45749</v>
      </c>
      <c r="K974">
        <v>0.89930555555555558</v>
      </c>
      <c r="L974">
        <v>0.875</v>
      </c>
      <c r="M974" t="s">
        <v>1008</v>
      </c>
    </row>
    <row r="975" spans="1:13" x14ac:dyDescent="0.25">
      <c r="A975" t="s">
        <v>1442</v>
      </c>
      <c r="B975" t="s">
        <v>1006</v>
      </c>
      <c r="C975" s="2">
        <v>45769.578120150465</v>
      </c>
      <c r="D975" s="2">
        <v>45764.657094907408</v>
      </c>
      <c r="E975" s="2">
        <v>45764.945923333333</v>
      </c>
      <c r="F975" t="s">
        <v>1007</v>
      </c>
      <c r="G975" t="s">
        <v>640</v>
      </c>
      <c r="H975" t="s">
        <v>645</v>
      </c>
      <c r="I975">
        <v>9</v>
      </c>
      <c r="J975">
        <v>45749</v>
      </c>
      <c r="K975">
        <v>0.89930555555555558</v>
      </c>
      <c r="L975">
        <v>0.875</v>
      </c>
      <c r="M975" t="s">
        <v>1008</v>
      </c>
    </row>
    <row r="976" spans="1:13" x14ac:dyDescent="0.25">
      <c r="A976" t="s">
        <v>1445</v>
      </c>
      <c r="B976" t="s">
        <v>1006</v>
      </c>
      <c r="C976" s="2">
        <v>45769.57812071759</v>
      </c>
      <c r="D976" s="2">
        <v>45765.917060185187</v>
      </c>
      <c r="E976" s="2">
        <v>45765.918956886577</v>
      </c>
      <c r="F976" t="s">
        <v>1007</v>
      </c>
      <c r="G976" t="s">
        <v>640</v>
      </c>
      <c r="H976" t="s">
        <v>645</v>
      </c>
      <c r="I976">
        <v>9</v>
      </c>
      <c r="J976">
        <v>45749</v>
      </c>
      <c r="K976">
        <v>0.89930555555555558</v>
      </c>
      <c r="L976">
        <v>0.875</v>
      </c>
      <c r="M976" t="s">
        <v>1008</v>
      </c>
    </row>
    <row r="977" spans="1:13" x14ac:dyDescent="0.25">
      <c r="A977" t="s">
        <v>1446</v>
      </c>
      <c r="B977" t="s">
        <v>1006</v>
      </c>
      <c r="C977" s="2">
        <v>45769.578121180559</v>
      </c>
      <c r="D977" s="2">
        <v>45769.420274479169</v>
      </c>
      <c r="E977" s="2">
        <v>45769.420274166667</v>
      </c>
      <c r="F977" t="s">
        <v>1007</v>
      </c>
      <c r="G977" t="s">
        <v>640</v>
      </c>
      <c r="H977" t="s">
        <v>645</v>
      </c>
      <c r="I977">
        <v>9</v>
      </c>
      <c r="J977">
        <v>45749</v>
      </c>
      <c r="K977">
        <v>0.89930555555555558</v>
      </c>
      <c r="L977">
        <v>0.875</v>
      </c>
      <c r="M977" t="s">
        <v>1008</v>
      </c>
    </row>
    <row r="978" spans="1:13" x14ac:dyDescent="0.25">
      <c r="A978" t="s">
        <v>1459</v>
      </c>
      <c r="B978" t="s">
        <v>1006</v>
      </c>
      <c r="C978" s="2">
        <v>45769.578121631945</v>
      </c>
      <c r="D978" s="2">
        <v>45755.429071284721</v>
      </c>
      <c r="E978" s="2">
        <v>45755.429071030092</v>
      </c>
      <c r="F978" t="s">
        <v>1007</v>
      </c>
      <c r="G978" t="s">
        <v>640</v>
      </c>
      <c r="H978" t="s">
        <v>645</v>
      </c>
      <c r="I978">
        <v>9</v>
      </c>
      <c r="J978">
        <v>45749</v>
      </c>
      <c r="K978">
        <v>0.89930555555555558</v>
      </c>
      <c r="L978">
        <v>0.875</v>
      </c>
      <c r="M978" t="s">
        <v>1008</v>
      </c>
    </row>
    <row r="979" spans="1:13" x14ac:dyDescent="0.25">
      <c r="A979" t="s">
        <v>1024</v>
      </c>
      <c r="B979" t="s">
        <v>1006</v>
      </c>
      <c r="C979" s="2">
        <v>45769.578117557867</v>
      </c>
      <c r="D979" s="2">
        <v>45755.522465879629</v>
      </c>
      <c r="E979" s="2">
        <v>45755.517505011572</v>
      </c>
      <c r="F979" t="s">
        <v>1007</v>
      </c>
      <c r="G979" t="s">
        <v>717</v>
      </c>
      <c r="H979" t="s">
        <v>722</v>
      </c>
      <c r="I979">
        <v>9</v>
      </c>
      <c r="J979">
        <v>45755</v>
      </c>
      <c r="K979">
        <v>3.2638888888888884E-2</v>
      </c>
      <c r="L979">
        <v>0</v>
      </c>
      <c r="M979" t="s">
        <v>1010</v>
      </c>
    </row>
    <row r="980" spans="1:13" x14ac:dyDescent="0.25">
      <c r="A980" t="s">
        <v>1025</v>
      </c>
      <c r="B980" t="s">
        <v>1006</v>
      </c>
      <c r="C980" s="2">
        <v>45769.578118020836</v>
      </c>
      <c r="D980" s="2">
        <v>45756.741511504631</v>
      </c>
      <c r="E980" s="2">
        <v>45756.741511087967</v>
      </c>
      <c r="F980" t="s">
        <v>1007</v>
      </c>
      <c r="G980" t="s">
        <v>717</v>
      </c>
      <c r="H980" t="s">
        <v>722</v>
      </c>
      <c r="I980">
        <v>9</v>
      </c>
      <c r="J980">
        <v>45755</v>
      </c>
      <c r="K980">
        <v>3.2638888888888884E-2</v>
      </c>
      <c r="L980">
        <v>0</v>
      </c>
      <c r="M980" t="s">
        <v>1010</v>
      </c>
    </row>
    <row r="981" spans="1:13" x14ac:dyDescent="0.25">
      <c r="A981" t="s">
        <v>1026</v>
      </c>
      <c r="B981" t="s">
        <v>1006</v>
      </c>
      <c r="C981" s="2">
        <v>45769.578118518519</v>
      </c>
      <c r="D981" s="2">
        <v>45758.796925532406</v>
      </c>
      <c r="E981" s="2">
        <v>45758.796925092596</v>
      </c>
      <c r="F981" t="s">
        <v>1007</v>
      </c>
      <c r="G981" t="s">
        <v>717</v>
      </c>
      <c r="H981" t="s">
        <v>722</v>
      </c>
      <c r="I981">
        <v>9</v>
      </c>
      <c r="J981">
        <v>45755</v>
      </c>
      <c r="K981">
        <v>3.2638888888888884E-2</v>
      </c>
      <c r="L981">
        <v>0</v>
      </c>
      <c r="M981" t="s">
        <v>1010</v>
      </c>
    </row>
    <row r="982" spans="1:13" x14ac:dyDescent="0.25">
      <c r="A982" t="s">
        <v>1027</v>
      </c>
      <c r="B982" t="s">
        <v>1006</v>
      </c>
      <c r="C982" s="2">
        <v>45769.578119039354</v>
      </c>
      <c r="D982" s="2">
        <v>45762.136261574073</v>
      </c>
      <c r="E982" s="2">
        <v>45761.611620300922</v>
      </c>
      <c r="F982" t="s">
        <v>1007</v>
      </c>
      <c r="G982" t="s">
        <v>717</v>
      </c>
      <c r="H982" t="s">
        <v>722</v>
      </c>
      <c r="I982">
        <v>9</v>
      </c>
      <c r="J982">
        <v>45755</v>
      </c>
      <c r="K982">
        <v>3.2638888888888884E-2</v>
      </c>
      <c r="L982">
        <v>0</v>
      </c>
      <c r="M982" t="s">
        <v>1010</v>
      </c>
    </row>
    <row r="983" spans="1:13" x14ac:dyDescent="0.25">
      <c r="A983" t="s">
        <v>1027</v>
      </c>
      <c r="B983" t="s">
        <v>1006</v>
      </c>
      <c r="C983" s="2">
        <v>45769.578119039354</v>
      </c>
      <c r="D983" s="2">
        <v>45762.136261574073</v>
      </c>
      <c r="E983" s="2">
        <v>45761.611620300922</v>
      </c>
      <c r="F983" t="s">
        <v>1007</v>
      </c>
      <c r="G983" t="s">
        <v>819</v>
      </c>
      <c r="H983" t="s">
        <v>821</v>
      </c>
      <c r="I983">
        <v>9</v>
      </c>
      <c r="J983">
        <v>45755</v>
      </c>
      <c r="K983">
        <v>0.5</v>
      </c>
      <c r="L983">
        <v>0.5</v>
      </c>
      <c r="M983" t="s">
        <v>1009</v>
      </c>
    </row>
    <row r="984" spans="1:13" x14ac:dyDescent="0.25">
      <c r="A984" t="s">
        <v>1442</v>
      </c>
      <c r="B984" t="s">
        <v>1006</v>
      </c>
      <c r="C984" s="2">
        <v>45769.578120150465</v>
      </c>
      <c r="D984" s="2">
        <v>45764.657094907408</v>
      </c>
      <c r="E984" s="2">
        <v>45764.945923333333</v>
      </c>
      <c r="F984" t="s">
        <v>1007</v>
      </c>
      <c r="G984" t="s">
        <v>717</v>
      </c>
      <c r="H984" t="s">
        <v>722</v>
      </c>
      <c r="I984">
        <v>9</v>
      </c>
      <c r="J984">
        <v>45755</v>
      </c>
      <c r="K984">
        <v>3.2638888888888884E-2</v>
      </c>
      <c r="L984">
        <v>0</v>
      </c>
      <c r="M984" t="s">
        <v>1010</v>
      </c>
    </row>
    <row r="985" spans="1:13" x14ac:dyDescent="0.25">
      <c r="A985" t="s">
        <v>1442</v>
      </c>
      <c r="B985" t="s">
        <v>1006</v>
      </c>
      <c r="C985" s="2">
        <v>45769.578120150465</v>
      </c>
      <c r="D985" s="2">
        <v>45764.657094907408</v>
      </c>
      <c r="E985" s="2">
        <v>45764.945923333333</v>
      </c>
      <c r="F985" t="s">
        <v>1007</v>
      </c>
      <c r="G985" t="s">
        <v>819</v>
      </c>
      <c r="H985" t="s">
        <v>821</v>
      </c>
      <c r="I985">
        <v>9</v>
      </c>
      <c r="J985">
        <v>45755</v>
      </c>
      <c r="K985">
        <v>0.5</v>
      </c>
      <c r="L985">
        <v>0.5</v>
      </c>
      <c r="M985" t="s">
        <v>1009</v>
      </c>
    </row>
    <row r="986" spans="1:13" x14ac:dyDescent="0.25">
      <c r="A986" t="s">
        <v>1445</v>
      </c>
      <c r="B986" t="s">
        <v>1006</v>
      </c>
      <c r="C986" s="2">
        <v>45769.57812071759</v>
      </c>
      <c r="D986" s="2">
        <v>45765.917060185187</v>
      </c>
      <c r="E986" s="2">
        <v>45765.918956886577</v>
      </c>
      <c r="F986" t="s">
        <v>1007</v>
      </c>
      <c r="G986" t="s">
        <v>717</v>
      </c>
      <c r="H986" t="s">
        <v>722</v>
      </c>
      <c r="I986">
        <v>9</v>
      </c>
      <c r="J986">
        <v>45755</v>
      </c>
      <c r="K986">
        <v>3.2638888888888884E-2</v>
      </c>
      <c r="L986">
        <v>0</v>
      </c>
      <c r="M986" t="s">
        <v>1010</v>
      </c>
    </row>
    <row r="987" spans="1:13" x14ac:dyDescent="0.25">
      <c r="A987" t="s">
        <v>1445</v>
      </c>
      <c r="B987" t="s">
        <v>1006</v>
      </c>
      <c r="C987" s="2">
        <v>45769.57812071759</v>
      </c>
      <c r="D987" s="2">
        <v>45765.917060185187</v>
      </c>
      <c r="E987" s="2">
        <v>45765.918956886577</v>
      </c>
      <c r="F987" t="s">
        <v>1007</v>
      </c>
      <c r="G987" t="s">
        <v>819</v>
      </c>
      <c r="H987" t="s">
        <v>821</v>
      </c>
      <c r="I987">
        <v>9</v>
      </c>
      <c r="J987">
        <v>45755</v>
      </c>
      <c r="K987">
        <v>0.5</v>
      </c>
      <c r="L987">
        <v>0.5</v>
      </c>
      <c r="M987" t="s">
        <v>1009</v>
      </c>
    </row>
    <row r="988" spans="1:13" x14ac:dyDescent="0.25">
      <c r="A988" t="s">
        <v>1446</v>
      </c>
      <c r="B988" t="s">
        <v>1006</v>
      </c>
      <c r="C988" s="2">
        <v>45769.578121180559</v>
      </c>
      <c r="D988" s="2">
        <v>45769.420274479169</v>
      </c>
      <c r="E988" s="2">
        <v>45769.420274166667</v>
      </c>
      <c r="F988" t="s">
        <v>1007</v>
      </c>
      <c r="G988" t="s">
        <v>717</v>
      </c>
      <c r="H988" t="s">
        <v>722</v>
      </c>
      <c r="I988">
        <v>9</v>
      </c>
      <c r="J988">
        <v>45755</v>
      </c>
      <c r="K988">
        <v>3.2638888888888884E-2</v>
      </c>
      <c r="L988">
        <v>0</v>
      </c>
      <c r="M988" t="s">
        <v>1010</v>
      </c>
    </row>
    <row r="989" spans="1:13" x14ac:dyDescent="0.25">
      <c r="A989" t="s">
        <v>1446</v>
      </c>
      <c r="B989" t="s">
        <v>1006</v>
      </c>
      <c r="C989" s="2">
        <v>45769.578121180559</v>
      </c>
      <c r="D989" s="2">
        <v>45769.420274479169</v>
      </c>
      <c r="E989" s="2">
        <v>45769.420274166667</v>
      </c>
      <c r="F989" t="s">
        <v>1007</v>
      </c>
      <c r="G989" t="s">
        <v>819</v>
      </c>
      <c r="H989" t="s">
        <v>821</v>
      </c>
      <c r="I989">
        <v>9</v>
      </c>
      <c r="J989">
        <v>45755</v>
      </c>
      <c r="K989">
        <v>0.5</v>
      </c>
      <c r="L989">
        <v>0.5</v>
      </c>
      <c r="M989" t="s">
        <v>1009</v>
      </c>
    </row>
    <row r="990" spans="1:13" x14ac:dyDescent="0.25">
      <c r="A990" t="s">
        <v>1446</v>
      </c>
      <c r="B990" t="s">
        <v>1006</v>
      </c>
      <c r="C990" s="2">
        <v>45769.578121180559</v>
      </c>
      <c r="D990" s="2">
        <v>45769.420274479169</v>
      </c>
      <c r="E990" s="2">
        <v>45769.420274166667</v>
      </c>
      <c r="F990" t="s">
        <v>1007</v>
      </c>
      <c r="G990" t="s">
        <v>1457</v>
      </c>
      <c r="H990" t="s">
        <v>1458</v>
      </c>
      <c r="I990">
        <v>9</v>
      </c>
      <c r="J990">
        <v>45755</v>
      </c>
      <c r="K990">
        <v>0.20833333333333326</v>
      </c>
      <c r="L990">
        <v>0.20833333333333326</v>
      </c>
      <c r="M990" t="s">
        <v>1010</v>
      </c>
    </row>
    <row r="991" spans="1:13" x14ac:dyDescent="0.25">
      <c r="A991" t="s">
        <v>1459</v>
      </c>
      <c r="B991" t="s">
        <v>1006</v>
      </c>
      <c r="C991" s="2">
        <v>45769.578121631945</v>
      </c>
      <c r="D991" s="2">
        <v>45755.429071284721</v>
      </c>
      <c r="E991" s="2">
        <v>45755.429071030092</v>
      </c>
      <c r="F991" t="s">
        <v>1007</v>
      </c>
      <c r="G991" t="s">
        <v>717</v>
      </c>
      <c r="H991" t="s">
        <v>722</v>
      </c>
      <c r="I991">
        <v>9</v>
      </c>
      <c r="J991">
        <v>45755</v>
      </c>
      <c r="K991">
        <v>3.2638888888888884E-2</v>
      </c>
      <c r="L991">
        <v>0</v>
      </c>
      <c r="M991" t="s">
        <v>1010</v>
      </c>
    </row>
    <row r="992" spans="1:13" x14ac:dyDescent="0.25">
      <c r="A992" t="s">
        <v>1026</v>
      </c>
      <c r="B992" t="s">
        <v>1006</v>
      </c>
      <c r="C992" s="2">
        <v>45769.578118518519</v>
      </c>
      <c r="D992" s="2">
        <v>45758.796925532406</v>
      </c>
      <c r="E992" s="2">
        <v>45758.796925092596</v>
      </c>
      <c r="F992" t="s">
        <v>1007</v>
      </c>
      <c r="G992" t="s">
        <v>799</v>
      </c>
      <c r="H992" t="s">
        <v>802</v>
      </c>
      <c r="I992">
        <v>9</v>
      </c>
      <c r="J992">
        <v>45756</v>
      </c>
      <c r="K992">
        <v>0.96527777777777768</v>
      </c>
      <c r="L992">
        <v>0.95833333333333326</v>
      </c>
      <c r="M992" t="s">
        <v>1008</v>
      </c>
    </row>
    <row r="993" spans="1:13" x14ac:dyDescent="0.25">
      <c r="A993" t="s">
        <v>1027</v>
      </c>
      <c r="B993" t="s">
        <v>1006</v>
      </c>
      <c r="C993" s="2">
        <v>45769.578119039354</v>
      </c>
      <c r="D993" s="2">
        <v>45762.136261574073</v>
      </c>
      <c r="E993" s="2">
        <v>45761.611620300922</v>
      </c>
      <c r="F993" t="s">
        <v>1007</v>
      </c>
      <c r="G993" t="s">
        <v>799</v>
      </c>
      <c r="H993" t="s">
        <v>802</v>
      </c>
      <c r="I993">
        <v>9</v>
      </c>
      <c r="J993">
        <v>45756</v>
      </c>
      <c r="K993">
        <v>0.96527777777777768</v>
      </c>
      <c r="L993">
        <v>0.95833333333333326</v>
      </c>
      <c r="M993" t="s">
        <v>1008</v>
      </c>
    </row>
    <row r="994" spans="1:13" x14ac:dyDescent="0.25">
      <c r="A994" t="s">
        <v>1442</v>
      </c>
      <c r="B994" t="s">
        <v>1006</v>
      </c>
      <c r="C994" s="2">
        <v>45769.578120150465</v>
      </c>
      <c r="D994" s="2">
        <v>45764.657094907408</v>
      </c>
      <c r="E994" s="2">
        <v>45764.945923333333</v>
      </c>
      <c r="F994" t="s">
        <v>1007</v>
      </c>
      <c r="G994" t="s">
        <v>799</v>
      </c>
      <c r="H994" t="s">
        <v>802</v>
      </c>
      <c r="I994">
        <v>9</v>
      </c>
      <c r="J994">
        <v>45756</v>
      </c>
      <c r="K994">
        <v>0.96527777777777768</v>
      </c>
      <c r="L994">
        <v>0.95833333333333326</v>
      </c>
      <c r="M994" t="s">
        <v>1008</v>
      </c>
    </row>
    <row r="995" spans="1:13" x14ac:dyDescent="0.25">
      <c r="A995" t="s">
        <v>1445</v>
      </c>
      <c r="B995" t="s">
        <v>1006</v>
      </c>
      <c r="C995" s="2">
        <v>45769.57812071759</v>
      </c>
      <c r="D995" s="2">
        <v>45765.917060185187</v>
      </c>
      <c r="E995" s="2">
        <v>45765.918956886577</v>
      </c>
      <c r="F995" t="s">
        <v>1007</v>
      </c>
      <c r="G995" t="s">
        <v>799</v>
      </c>
      <c r="H995" t="s">
        <v>802</v>
      </c>
      <c r="I995">
        <v>9</v>
      </c>
      <c r="J995">
        <v>45756</v>
      </c>
      <c r="K995">
        <v>0.96527777777777768</v>
      </c>
      <c r="L995">
        <v>0.95833333333333326</v>
      </c>
      <c r="M995" t="s">
        <v>1008</v>
      </c>
    </row>
    <row r="996" spans="1:13" x14ac:dyDescent="0.25">
      <c r="A996" t="s">
        <v>1446</v>
      </c>
      <c r="B996" t="s">
        <v>1006</v>
      </c>
      <c r="C996" s="2">
        <v>45769.578121180559</v>
      </c>
      <c r="D996" s="2">
        <v>45769.420274479169</v>
      </c>
      <c r="E996" s="2">
        <v>45769.420274166667</v>
      </c>
      <c r="F996" t="s">
        <v>1007</v>
      </c>
      <c r="G996" t="s">
        <v>799</v>
      </c>
      <c r="H996" t="s">
        <v>802</v>
      </c>
      <c r="I996">
        <v>9</v>
      </c>
      <c r="J996">
        <v>45756</v>
      </c>
      <c r="K996">
        <v>0.96527777777777768</v>
      </c>
      <c r="L996">
        <v>0.95833333333333326</v>
      </c>
      <c r="M996" t="s">
        <v>1008</v>
      </c>
    </row>
    <row r="997" spans="1:13" x14ac:dyDescent="0.25">
      <c r="A997" t="s">
        <v>1027</v>
      </c>
      <c r="B997" t="s">
        <v>1006</v>
      </c>
      <c r="C997" s="2">
        <v>45769.578119039354</v>
      </c>
      <c r="D997" s="2">
        <v>45762.136261574073</v>
      </c>
      <c r="E997" s="2">
        <v>45761.611620300922</v>
      </c>
      <c r="F997" t="s">
        <v>1007</v>
      </c>
      <c r="G997" t="s">
        <v>838</v>
      </c>
      <c r="H997" t="s">
        <v>842</v>
      </c>
      <c r="I997">
        <v>9</v>
      </c>
      <c r="J997">
        <v>45760</v>
      </c>
      <c r="K997">
        <v>0.78115740740740747</v>
      </c>
      <c r="L997">
        <v>0.75</v>
      </c>
      <c r="M997" t="s">
        <v>1008</v>
      </c>
    </row>
    <row r="998" spans="1:13" x14ac:dyDescent="0.25">
      <c r="A998" t="s">
        <v>1027</v>
      </c>
      <c r="B998" t="s">
        <v>1006</v>
      </c>
      <c r="C998" s="2">
        <v>45769.578119039354</v>
      </c>
      <c r="D998" s="2">
        <v>45762.136261574073</v>
      </c>
      <c r="E998" s="2">
        <v>45761.611620300922</v>
      </c>
      <c r="F998" t="s">
        <v>1007</v>
      </c>
      <c r="G998" t="s">
        <v>388</v>
      </c>
      <c r="H998" t="s">
        <v>390</v>
      </c>
      <c r="I998">
        <v>9</v>
      </c>
      <c r="J998">
        <v>45760</v>
      </c>
      <c r="K998">
        <v>0.69484953703703711</v>
      </c>
      <c r="L998">
        <v>0.66666666666666674</v>
      </c>
      <c r="M998" t="s">
        <v>1009</v>
      </c>
    </row>
    <row r="999" spans="1:13" x14ac:dyDescent="0.25">
      <c r="A999" t="s">
        <v>1027</v>
      </c>
      <c r="B999" t="s">
        <v>1006</v>
      </c>
      <c r="C999" s="2">
        <v>45769.578119039354</v>
      </c>
      <c r="D999" s="2">
        <v>45762.136261574073</v>
      </c>
      <c r="E999" s="2">
        <v>45761.611620300922</v>
      </c>
      <c r="F999" t="s">
        <v>1007</v>
      </c>
      <c r="G999" t="s">
        <v>824</v>
      </c>
      <c r="H999" t="s">
        <v>829</v>
      </c>
      <c r="I999">
        <v>9</v>
      </c>
      <c r="J999">
        <v>45760</v>
      </c>
      <c r="K999">
        <v>0.6875</v>
      </c>
      <c r="L999">
        <v>0.66666666666666674</v>
      </c>
      <c r="M999" t="s">
        <v>1009</v>
      </c>
    </row>
    <row r="1000" spans="1:13" x14ac:dyDescent="0.25">
      <c r="A1000" t="s">
        <v>1442</v>
      </c>
      <c r="B1000" t="s">
        <v>1006</v>
      </c>
      <c r="C1000" s="2">
        <v>45769.578120150465</v>
      </c>
      <c r="D1000" s="2">
        <v>45764.657094907408</v>
      </c>
      <c r="E1000" s="2">
        <v>45764.945923333333</v>
      </c>
      <c r="F1000" t="s">
        <v>1007</v>
      </c>
      <c r="G1000" t="s">
        <v>824</v>
      </c>
      <c r="H1000" t="s">
        <v>829</v>
      </c>
      <c r="I1000">
        <v>9</v>
      </c>
      <c r="J1000">
        <v>45760</v>
      </c>
      <c r="K1000">
        <v>0.6875</v>
      </c>
      <c r="L1000">
        <v>0.66666666666666674</v>
      </c>
      <c r="M1000" t="s">
        <v>1009</v>
      </c>
    </row>
    <row r="1001" spans="1:13" x14ac:dyDescent="0.25">
      <c r="A1001" t="s">
        <v>1442</v>
      </c>
      <c r="B1001" t="s">
        <v>1006</v>
      </c>
      <c r="C1001" s="2">
        <v>45769.578120150465</v>
      </c>
      <c r="D1001" s="2">
        <v>45764.657094907408</v>
      </c>
      <c r="E1001" s="2">
        <v>45764.945923333333</v>
      </c>
      <c r="F1001" t="s">
        <v>1007</v>
      </c>
      <c r="G1001" t="s">
        <v>838</v>
      </c>
      <c r="H1001" t="s">
        <v>842</v>
      </c>
      <c r="I1001">
        <v>9</v>
      </c>
      <c r="J1001">
        <v>45760</v>
      </c>
      <c r="K1001">
        <v>0.78115740740740747</v>
      </c>
      <c r="L1001">
        <v>0.75</v>
      </c>
      <c r="M1001" t="s">
        <v>1008</v>
      </c>
    </row>
    <row r="1002" spans="1:13" x14ac:dyDescent="0.25">
      <c r="A1002" t="s">
        <v>1445</v>
      </c>
      <c r="B1002" t="s">
        <v>1006</v>
      </c>
      <c r="C1002" s="2">
        <v>45769.57812071759</v>
      </c>
      <c r="D1002" s="2">
        <v>45765.917060185187</v>
      </c>
      <c r="E1002" s="2">
        <v>45765.918956886577</v>
      </c>
      <c r="F1002" t="s">
        <v>1007</v>
      </c>
      <c r="G1002" t="s">
        <v>824</v>
      </c>
      <c r="H1002" t="s">
        <v>829</v>
      </c>
      <c r="I1002">
        <v>9</v>
      </c>
      <c r="J1002">
        <v>45760</v>
      </c>
      <c r="K1002">
        <v>0.6875</v>
      </c>
      <c r="L1002">
        <v>0.66666666666666674</v>
      </c>
      <c r="M1002" t="s">
        <v>1009</v>
      </c>
    </row>
    <row r="1003" spans="1:13" x14ac:dyDescent="0.25">
      <c r="A1003" t="s">
        <v>1445</v>
      </c>
      <c r="B1003" t="s">
        <v>1006</v>
      </c>
      <c r="C1003" s="2">
        <v>45769.57812071759</v>
      </c>
      <c r="D1003" s="2">
        <v>45765.917060185187</v>
      </c>
      <c r="E1003" s="2">
        <v>45765.918956886577</v>
      </c>
      <c r="F1003" t="s">
        <v>1007</v>
      </c>
      <c r="G1003" t="s">
        <v>838</v>
      </c>
      <c r="H1003" t="s">
        <v>842</v>
      </c>
      <c r="I1003">
        <v>9</v>
      </c>
      <c r="J1003">
        <v>45760</v>
      </c>
      <c r="K1003">
        <v>0.78115740740740747</v>
      </c>
      <c r="L1003">
        <v>0.75</v>
      </c>
      <c r="M1003" t="s">
        <v>1008</v>
      </c>
    </row>
    <row r="1004" spans="1:13" x14ac:dyDescent="0.25">
      <c r="A1004" t="s">
        <v>1446</v>
      </c>
      <c r="B1004" t="s">
        <v>1006</v>
      </c>
      <c r="C1004" s="2">
        <v>45769.578121180559</v>
      </c>
      <c r="D1004" s="2">
        <v>45769.420274479169</v>
      </c>
      <c r="E1004" s="2">
        <v>45769.420274166667</v>
      </c>
      <c r="F1004" t="s">
        <v>1007</v>
      </c>
      <c r="G1004" t="s">
        <v>824</v>
      </c>
      <c r="H1004" t="s">
        <v>829</v>
      </c>
      <c r="I1004">
        <v>9</v>
      </c>
      <c r="J1004">
        <v>45760</v>
      </c>
      <c r="K1004">
        <v>0.6875</v>
      </c>
      <c r="L1004">
        <v>0.66666666666666674</v>
      </c>
      <c r="M1004" t="s">
        <v>1009</v>
      </c>
    </row>
    <row r="1005" spans="1:13" x14ac:dyDescent="0.25">
      <c r="A1005" t="s">
        <v>1446</v>
      </c>
      <c r="B1005" t="s">
        <v>1006</v>
      </c>
      <c r="C1005" s="2">
        <v>45769.578121180559</v>
      </c>
      <c r="D1005" s="2">
        <v>45769.420274479169</v>
      </c>
      <c r="E1005" s="2">
        <v>45769.420274166667</v>
      </c>
      <c r="F1005" t="s">
        <v>1007</v>
      </c>
      <c r="G1005" t="s">
        <v>838</v>
      </c>
      <c r="H1005" t="s">
        <v>842</v>
      </c>
      <c r="I1005">
        <v>9</v>
      </c>
      <c r="J1005">
        <v>45760</v>
      </c>
      <c r="K1005">
        <v>0.78115740740740747</v>
      </c>
      <c r="L1005">
        <v>0.75</v>
      </c>
      <c r="M1005" t="s">
        <v>1008</v>
      </c>
    </row>
    <row r="1006" spans="1:13" x14ac:dyDescent="0.25">
      <c r="A1006" t="s">
        <v>1442</v>
      </c>
      <c r="B1006" t="s">
        <v>1006</v>
      </c>
      <c r="C1006" s="2">
        <v>45769.578120150465</v>
      </c>
      <c r="D1006" s="2">
        <v>45764.657094907408</v>
      </c>
      <c r="E1006" s="2">
        <v>45764.945923333333</v>
      </c>
      <c r="F1006" t="s">
        <v>1007</v>
      </c>
      <c r="G1006" t="s">
        <v>1443</v>
      </c>
      <c r="H1006" t="s">
        <v>1444</v>
      </c>
      <c r="I1006">
        <v>9</v>
      </c>
      <c r="J1006">
        <v>45761</v>
      </c>
      <c r="K1006">
        <v>0.95833333333333326</v>
      </c>
      <c r="L1006">
        <v>0.95833333333333326</v>
      </c>
      <c r="M1006" t="s">
        <v>1008</v>
      </c>
    </row>
    <row r="1007" spans="1:13" x14ac:dyDescent="0.25">
      <c r="A1007" t="s">
        <v>1445</v>
      </c>
      <c r="B1007" t="s">
        <v>1006</v>
      </c>
      <c r="C1007" s="2">
        <v>45769.57812071759</v>
      </c>
      <c r="D1007" s="2">
        <v>45765.917060185187</v>
      </c>
      <c r="E1007" s="2">
        <v>45765.918956886577</v>
      </c>
      <c r="F1007" t="s">
        <v>1007</v>
      </c>
      <c r="G1007" t="s">
        <v>1443</v>
      </c>
      <c r="H1007" t="s">
        <v>1444</v>
      </c>
      <c r="I1007">
        <v>9</v>
      </c>
      <c r="J1007">
        <v>45761</v>
      </c>
      <c r="K1007">
        <v>0.95833333333333326</v>
      </c>
      <c r="L1007">
        <v>0.95833333333333326</v>
      </c>
      <c r="M1007" t="s">
        <v>1008</v>
      </c>
    </row>
    <row r="1008" spans="1:13" x14ac:dyDescent="0.25">
      <c r="A1008" t="s">
        <v>1446</v>
      </c>
      <c r="B1008" t="s">
        <v>1006</v>
      </c>
      <c r="C1008" s="2">
        <v>45769.578121180559</v>
      </c>
      <c r="D1008" s="2">
        <v>45769.420274479169</v>
      </c>
      <c r="E1008" s="2">
        <v>45769.420274166667</v>
      </c>
      <c r="F1008" t="s">
        <v>1007</v>
      </c>
      <c r="G1008" t="s">
        <v>1443</v>
      </c>
      <c r="H1008" t="s">
        <v>1444</v>
      </c>
      <c r="I1008">
        <v>9</v>
      </c>
      <c r="J1008">
        <v>45761</v>
      </c>
      <c r="K1008">
        <v>0.95833333333333326</v>
      </c>
      <c r="L1008">
        <v>0.95833333333333326</v>
      </c>
      <c r="M1008" t="s">
        <v>1008</v>
      </c>
    </row>
    <row r="1009" spans="1:13" x14ac:dyDescent="0.25">
      <c r="A1009" t="s">
        <v>1446</v>
      </c>
      <c r="B1009" t="s">
        <v>1006</v>
      </c>
      <c r="C1009" s="2">
        <v>45769.578121180559</v>
      </c>
      <c r="D1009" s="2">
        <v>45769.420274479169</v>
      </c>
      <c r="E1009" s="2">
        <v>45769.420274166667</v>
      </c>
      <c r="F1009" t="s">
        <v>1007</v>
      </c>
      <c r="G1009" t="s">
        <v>1447</v>
      </c>
      <c r="H1009" t="s">
        <v>1448</v>
      </c>
      <c r="I1009">
        <v>9</v>
      </c>
      <c r="J1009">
        <v>45763</v>
      </c>
      <c r="K1009">
        <v>0.25</v>
      </c>
      <c r="L1009">
        <v>0.25</v>
      </c>
      <c r="M1009" t="s">
        <v>1010</v>
      </c>
    </row>
    <row r="1010" spans="1:13" x14ac:dyDescent="0.25">
      <c r="A1010" t="s">
        <v>1446</v>
      </c>
      <c r="B1010" t="s">
        <v>1006</v>
      </c>
      <c r="C1010" s="2">
        <v>45769.578121180559</v>
      </c>
      <c r="D1010" s="2">
        <v>45769.420274479169</v>
      </c>
      <c r="E1010" s="2">
        <v>45769.420274166667</v>
      </c>
      <c r="F1010" t="s">
        <v>1007</v>
      </c>
      <c r="G1010" t="s">
        <v>1449</v>
      </c>
      <c r="H1010" t="s">
        <v>1450</v>
      </c>
      <c r="I1010">
        <v>9</v>
      </c>
      <c r="J1010">
        <v>45765</v>
      </c>
      <c r="K1010">
        <v>0.85416666666666674</v>
      </c>
      <c r="L1010">
        <v>0.83333333333333326</v>
      </c>
      <c r="M1010" t="s">
        <v>1008</v>
      </c>
    </row>
    <row r="1011" spans="1:13" x14ac:dyDescent="0.25">
      <c r="A1011" t="s">
        <v>1446</v>
      </c>
      <c r="B1011" t="s">
        <v>1006</v>
      </c>
      <c r="C1011" s="2">
        <v>45769.578121180559</v>
      </c>
      <c r="D1011" s="2">
        <v>45769.420274479169</v>
      </c>
      <c r="E1011" s="2">
        <v>45769.420274166667</v>
      </c>
      <c r="F1011" t="s">
        <v>1007</v>
      </c>
      <c r="G1011" t="s">
        <v>1451</v>
      </c>
      <c r="H1011" t="s">
        <v>1452</v>
      </c>
      <c r="I1011">
        <v>9</v>
      </c>
      <c r="J1011">
        <v>45766</v>
      </c>
      <c r="K1011">
        <v>0.58333333333333326</v>
      </c>
      <c r="L1011">
        <v>0.58333333333333326</v>
      </c>
      <c r="M1011" t="s">
        <v>1009</v>
      </c>
    </row>
    <row r="1012" spans="1:13" x14ac:dyDescent="0.25">
      <c r="A1012" t="s">
        <v>1446</v>
      </c>
      <c r="B1012" t="s">
        <v>1006</v>
      </c>
      <c r="C1012" s="2">
        <v>45769.578121180559</v>
      </c>
      <c r="D1012" s="2">
        <v>45769.420274479169</v>
      </c>
      <c r="E1012" s="2">
        <v>45769.420274166667</v>
      </c>
      <c r="F1012" t="s">
        <v>1007</v>
      </c>
      <c r="G1012" t="s">
        <v>1455</v>
      </c>
      <c r="H1012" t="s">
        <v>1456</v>
      </c>
      <c r="I1012">
        <v>9</v>
      </c>
      <c r="J1012">
        <v>45767</v>
      </c>
      <c r="K1012">
        <v>0.14861111111111103</v>
      </c>
      <c r="L1012">
        <v>0.125</v>
      </c>
      <c r="M1012" t="s">
        <v>1010</v>
      </c>
    </row>
    <row r="1013" spans="1:13" x14ac:dyDescent="0.25">
      <c r="A1013" t="s">
        <v>1446</v>
      </c>
      <c r="B1013" t="s">
        <v>1006</v>
      </c>
      <c r="C1013" s="2">
        <v>45769.578121180559</v>
      </c>
      <c r="D1013" s="2">
        <v>45769.420274479169</v>
      </c>
      <c r="E1013" s="2">
        <v>45769.420274166667</v>
      </c>
      <c r="F1013" t="s">
        <v>1007</v>
      </c>
      <c r="G1013" t="s">
        <v>1453</v>
      </c>
      <c r="H1013" t="s">
        <v>1454</v>
      </c>
      <c r="I1013">
        <v>9</v>
      </c>
      <c r="J1013">
        <v>45768</v>
      </c>
      <c r="K1013">
        <v>0.40254629629629624</v>
      </c>
      <c r="L1013">
        <v>0.375</v>
      </c>
      <c r="M1013" t="s">
        <v>1010</v>
      </c>
    </row>
  </sheetData>
  <phoneticPr fontId="12" type="noConversion"/>
  <pageMargins left="0.7" right="0.7" top="0.75" bottom="0.75" header="0.3" footer="0.3"/>
  <pageSetup orientation="portrait" horizontalDpi="1200" verticalDpi="1200" r:id="rId1"/>
  <tableParts count="1">
    <tablePart r:id="rId2"/>
  </tableParts>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7B9E3C-3CB3-4500-8AA0-26E5D0E1A8C0}">
  <dimension ref="A1:G53"/>
  <sheetViews>
    <sheetView workbookViewId="0">
      <selection activeCell="F15" sqref="F15"/>
    </sheetView>
  </sheetViews>
  <sheetFormatPr defaultRowHeight="15" x14ac:dyDescent="0.25"/>
  <cols>
    <col min="1" max="1" width="18.28515625" bestFit="1" customWidth="1"/>
    <col min="2" max="2" width="13.42578125" bestFit="1" customWidth="1"/>
    <col min="3" max="3" width="12.7109375" bestFit="1" customWidth="1"/>
    <col min="4" max="4" width="14.42578125" bestFit="1" customWidth="1"/>
    <col min="5" max="5" width="13.7109375" bestFit="1" customWidth="1"/>
    <col min="6" max="6" width="14.85546875" bestFit="1" customWidth="1"/>
  </cols>
  <sheetData>
    <row r="1" spans="1:7" x14ac:dyDescent="0.25">
      <c r="A1" t="s">
        <v>755</v>
      </c>
      <c r="B1" t="s">
        <v>756</v>
      </c>
      <c r="C1" t="s">
        <v>757</v>
      </c>
      <c r="D1" t="s">
        <v>758</v>
      </c>
      <c r="E1" t="s">
        <v>759</v>
      </c>
      <c r="F1" t="s">
        <v>760</v>
      </c>
      <c r="G1" t="s">
        <v>761</v>
      </c>
    </row>
    <row r="2" spans="1:7" x14ac:dyDescent="0.25">
      <c r="A2" s="1">
        <v>45664</v>
      </c>
      <c r="B2" s="1">
        <v>45657</v>
      </c>
      <c r="C2" s="1">
        <v>45663</v>
      </c>
      <c r="D2" s="1">
        <v>45636</v>
      </c>
      <c r="E2" s="1">
        <v>45663</v>
      </c>
      <c r="F2" t="s">
        <v>514</v>
      </c>
      <c r="G2" t="b">
        <v>0</v>
      </c>
    </row>
    <row r="3" spans="1:7" x14ac:dyDescent="0.25">
      <c r="A3" s="1">
        <v>45671</v>
      </c>
      <c r="B3" s="1">
        <v>45664</v>
      </c>
      <c r="C3" s="1">
        <v>45670</v>
      </c>
      <c r="D3" s="1">
        <v>45643</v>
      </c>
      <c r="E3" s="1">
        <v>45670</v>
      </c>
      <c r="F3" t="s">
        <v>513</v>
      </c>
      <c r="G3" t="b">
        <v>0</v>
      </c>
    </row>
    <row r="4" spans="1:7" x14ac:dyDescent="0.25">
      <c r="A4" s="1">
        <v>45678</v>
      </c>
      <c r="B4" s="1">
        <v>45671</v>
      </c>
      <c r="C4" s="1">
        <v>45677</v>
      </c>
      <c r="D4" s="1">
        <v>45650</v>
      </c>
      <c r="E4" s="1">
        <v>45677</v>
      </c>
      <c r="F4" t="s">
        <v>512</v>
      </c>
      <c r="G4" t="b">
        <v>0</v>
      </c>
    </row>
    <row r="5" spans="1:7" x14ac:dyDescent="0.25">
      <c r="A5" s="1">
        <v>45685</v>
      </c>
      <c r="B5" s="1">
        <v>45678</v>
      </c>
      <c r="C5" s="1">
        <v>45684</v>
      </c>
      <c r="D5" s="1">
        <v>45657</v>
      </c>
      <c r="E5" s="1">
        <v>45684</v>
      </c>
      <c r="F5" t="s">
        <v>511</v>
      </c>
      <c r="G5" t="b">
        <v>0</v>
      </c>
    </row>
    <row r="6" spans="1:7" x14ac:dyDescent="0.25">
      <c r="A6" s="1">
        <v>45692</v>
      </c>
      <c r="B6" s="1">
        <v>45685</v>
      </c>
      <c r="C6" s="1">
        <v>45691</v>
      </c>
      <c r="D6" s="1">
        <v>45664</v>
      </c>
      <c r="E6" s="1">
        <v>45691</v>
      </c>
      <c r="F6" t="s">
        <v>510</v>
      </c>
      <c r="G6" t="b">
        <v>0</v>
      </c>
    </row>
    <row r="7" spans="1:7" x14ac:dyDescent="0.25">
      <c r="A7" s="1">
        <v>45699</v>
      </c>
      <c r="B7" s="1">
        <v>45692</v>
      </c>
      <c r="C7" s="1">
        <v>45698</v>
      </c>
      <c r="D7" s="1">
        <v>45671</v>
      </c>
      <c r="E7" s="1">
        <v>45698</v>
      </c>
      <c r="F7" t="s">
        <v>509</v>
      </c>
      <c r="G7" t="b">
        <v>0</v>
      </c>
    </row>
    <row r="8" spans="1:7" x14ac:dyDescent="0.25">
      <c r="A8" s="1">
        <v>45706</v>
      </c>
      <c r="B8" s="1">
        <v>45699</v>
      </c>
      <c r="C8" s="1">
        <v>45705</v>
      </c>
      <c r="D8" s="1">
        <v>45678</v>
      </c>
      <c r="E8" s="1">
        <v>45705</v>
      </c>
      <c r="F8" t="s">
        <v>508</v>
      </c>
      <c r="G8" t="b">
        <v>0</v>
      </c>
    </row>
    <row r="9" spans="1:7" x14ac:dyDescent="0.25">
      <c r="A9" s="1">
        <v>45713</v>
      </c>
      <c r="B9" s="1">
        <v>45706</v>
      </c>
      <c r="C9" s="1">
        <v>45712</v>
      </c>
      <c r="D9" s="1">
        <v>45685</v>
      </c>
      <c r="E9" s="1">
        <v>45712</v>
      </c>
      <c r="F9" t="s">
        <v>507</v>
      </c>
      <c r="G9" t="b">
        <v>0</v>
      </c>
    </row>
    <row r="10" spans="1:7" x14ac:dyDescent="0.25">
      <c r="A10" s="1">
        <v>45720</v>
      </c>
      <c r="B10" s="1">
        <v>45713</v>
      </c>
      <c r="C10" s="1">
        <v>45719</v>
      </c>
      <c r="D10" s="1">
        <v>45692</v>
      </c>
      <c r="E10" s="1">
        <v>45719</v>
      </c>
      <c r="F10" t="s">
        <v>506</v>
      </c>
      <c r="G10" t="b">
        <v>0</v>
      </c>
    </row>
    <row r="11" spans="1:7" x14ac:dyDescent="0.25">
      <c r="A11" s="1">
        <v>45727</v>
      </c>
      <c r="B11" s="1">
        <v>45720</v>
      </c>
      <c r="C11" s="1">
        <v>45726</v>
      </c>
      <c r="D11" s="1">
        <v>45699</v>
      </c>
      <c r="E11" s="1">
        <v>45726</v>
      </c>
      <c r="F11" t="s">
        <v>505</v>
      </c>
      <c r="G11" t="b">
        <v>0</v>
      </c>
    </row>
    <row r="12" spans="1:7" x14ac:dyDescent="0.25">
      <c r="A12" s="1">
        <v>45734</v>
      </c>
      <c r="B12" s="1">
        <v>45727</v>
      </c>
      <c r="C12" s="1">
        <v>45733</v>
      </c>
      <c r="D12" s="1">
        <v>45706</v>
      </c>
      <c r="E12" s="1">
        <v>45733</v>
      </c>
      <c r="F12" t="s">
        <v>528</v>
      </c>
      <c r="G12" t="b">
        <v>0</v>
      </c>
    </row>
    <row r="13" spans="1:7" x14ac:dyDescent="0.25">
      <c r="A13" s="1">
        <v>45741</v>
      </c>
      <c r="B13" s="1">
        <v>45734</v>
      </c>
      <c r="C13" s="1">
        <v>45740</v>
      </c>
      <c r="D13" s="1">
        <v>45713</v>
      </c>
      <c r="E13" s="1">
        <v>45740</v>
      </c>
      <c r="F13" t="s">
        <v>548</v>
      </c>
      <c r="G13" t="b">
        <v>0</v>
      </c>
    </row>
    <row r="14" spans="1:7" x14ac:dyDescent="0.25">
      <c r="A14" s="1">
        <v>45748</v>
      </c>
      <c r="B14" s="1">
        <v>45741</v>
      </c>
      <c r="C14" s="1">
        <v>45747</v>
      </c>
      <c r="D14" s="1">
        <v>45720</v>
      </c>
      <c r="E14" s="1">
        <v>45747</v>
      </c>
      <c r="F14" t="s">
        <v>581</v>
      </c>
      <c r="G14" t="b">
        <v>0</v>
      </c>
    </row>
    <row r="15" spans="1:7" x14ac:dyDescent="0.25">
      <c r="A15" s="1">
        <v>45755</v>
      </c>
      <c r="B15" s="1">
        <v>45748</v>
      </c>
      <c r="C15" s="1">
        <v>45754</v>
      </c>
      <c r="D15" s="1">
        <v>45727</v>
      </c>
      <c r="E15" s="1">
        <v>45754</v>
      </c>
      <c r="F15" t="s">
        <v>604</v>
      </c>
      <c r="G15" t="b">
        <v>0</v>
      </c>
    </row>
    <row r="16" spans="1:7" x14ac:dyDescent="0.25">
      <c r="A16" s="1">
        <v>45762</v>
      </c>
      <c r="B16" s="1">
        <v>45755</v>
      </c>
      <c r="C16" s="1">
        <v>45761</v>
      </c>
      <c r="D16" s="1">
        <v>45734</v>
      </c>
      <c r="E16" s="1">
        <v>45761</v>
      </c>
      <c r="F16" t="s">
        <v>730</v>
      </c>
      <c r="G16" t="b">
        <v>0</v>
      </c>
    </row>
    <row r="17" spans="1:7" x14ac:dyDescent="0.25">
      <c r="A17" s="1">
        <v>45769</v>
      </c>
      <c r="B17" s="1">
        <v>45762</v>
      </c>
      <c r="C17" s="1">
        <v>45768</v>
      </c>
      <c r="D17" s="1">
        <v>45741</v>
      </c>
      <c r="E17" s="1">
        <v>45768</v>
      </c>
      <c r="F17" t="s">
        <v>762</v>
      </c>
      <c r="G17" t="b">
        <v>1</v>
      </c>
    </row>
    <row r="18" spans="1:7" x14ac:dyDescent="0.25">
      <c r="A18" s="1">
        <v>45776</v>
      </c>
      <c r="B18" s="1">
        <v>45769</v>
      </c>
      <c r="C18" s="1">
        <v>45775</v>
      </c>
      <c r="D18" s="1">
        <v>45748</v>
      </c>
      <c r="E18" s="1">
        <v>45775</v>
      </c>
      <c r="F18" t="s">
        <v>763</v>
      </c>
      <c r="G18" t="b">
        <v>0</v>
      </c>
    </row>
    <row r="19" spans="1:7" x14ac:dyDescent="0.25">
      <c r="A19" s="1">
        <v>45783</v>
      </c>
      <c r="B19" s="1">
        <v>45776</v>
      </c>
      <c r="C19" s="1">
        <v>45782</v>
      </c>
      <c r="D19" s="1">
        <v>45755</v>
      </c>
      <c r="E19" s="1">
        <v>45782</v>
      </c>
      <c r="F19" t="s">
        <v>764</v>
      </c>
      <c r="G19" t="b">
        <v>0</v>
      </c>
    </row>
    <row r="20" spans="1:7" x14ac:dyDescent="0.25">
      <c r="A20" s="1">
        <v>45790</v>
      </c>
      <c r="B20" s="1">
        <v>45783</v>
      </c>
      <c r="C20" s="1">
        <v>45789</v>
      </c>
      <c r="D20" s="1">
        <v>45762</v>
      </c>
      <c r="E20" s="1">
        <v>45789</v>
      </c>
      <c r="F20" t="s">
        <v>765</v>
      </c>
      <c r="G20" t="b">
        <v>0</v>
      </c>
    </row>
    <row r="21" spans="1:7" x14ac:dyDescent="0.25">
      <c r="A21" s="1">
        <v>45797</v>
      </c>
      <c r="B21" s="1">
        <v>45790</v>
      </c>
      <c r="C21" s="1">
        <v>45796</v>
      </c>
      <c r="D21" s="1">
        <v>45769</v>
      </c>
      <c r="E21" s="1">
        <v>45796</v>
      </c>
      <c r="F21" t="s">
        <v>766</v>
      </c>
      <c r="G21" t="b">
        <v>0</v>
      </c>
    </row>
    <row r="22" spans="1:7" x14ac:dyDescent="0.25">
      <c r="A22" s="1">
        <v>45804</v>
      </c>
      <c r="B22" s="1">
        <v>45797</v>
      </c>
      <c r="C22" s="1">
        <v>45803</v>
      </c>
      <c r="D22" s="1">
        <v>45776</v>
      </c>
      <c r="E22" s="1">
        <v>45803</v>
      </c>
      <c r="F22" t="s">
        <v>767</v>
      </c>
      <c r="G22" t="b">
        <v>0</v>
      </c>
    </row>
    <row r="23" spans="1:7" x14ac:dyDescent="0.25">
      <c r="A23" s="1">
        <v>45811</v>
      </c>
      <c r="B23" s="1">
        <v>45804</v>
      </c>
      <c r="C23" s="1">
        <v>45810</v>
      </c>
      <c r="D23" s="1">
        <v>45783</v>
      </c>
      <c r="E23" s="1">
        <v>45810</v>
      </c>
      <c r="F23" t="s">
        <v>768</v>
      </c>
      <c r="G23" t="b">
        <v>0</v>
      </c>
    </row>
    <row r="24" spans="1:7" x14ac:dyDescent="0.25">
      <c r="A24" s="1">
        <v>45818</v>
      </c>
      <c r="B24" s="1">
        <v>45811</v>
      </c>
      <c r="C24" s="1">
        <v>45817</v>
      </c>
      <c r="D24" s="1">
        <v>45790</v>
      </c>
      <c r="E24" s="1">
        <v>45817</v>
      </c>
      <c r="F24" t="s">
        <v>769</v>
      </c>
      <c r="G24" t="b">
        <v>0</v>
      </c>
    </row>
    <row r="25" spans="1:7" x14ac:dyDescent="0.25">
      <c r="A25" s="1">
        <v>45825</v>
      </c>
      <c r="B25" s="1">
        <v>45818</v>
      </c>
      <c r="C25" s="1">
        <v>45824</v>
      </c>
      <c r="D25" s="1">
        <v>45797</v>
      </c>
      <c r="E25" s="1">
        <v>45824</v>
      </c>
      <c r="F25" t="s">
        <v>770</v>
      </c>
      <c r="G25" t="b">
        <v>0</v>
      </c>
    </row>
    <row r="26" spans="1:7" x14ac:dyDescent="0.25">
      <c r="A26" s="1">
        <v>45832</v>
      </c>
      <c r="B26" s="1">
        <v>45825</v>
      </c>
      <c r="C26" s="1">
        <v>45831</v>
      </c>
      <c r="D26" s="1">
        <v>45804</v>
      </c>
      <c r="E26" s="1">
        <v>45831</v>
      </c>
      <c r="F26" t="s">
        <v>771</v>
      </c>
      <c r="G26" t="b">
        <v>0</v>
      </c>
    </row>
    <row r="27" spans="1:7" x14ac:dyDescent="0.25">
      <c r="A27" s="1">
        <v>45839</v>
      </c>
      <c r="B27" s="1">
        <v>45832</v>
      </c>
      <c r="C27" s="1">
        <v>45838</v>
      </c>
      <c r="D27" s="1">
        <v>45811</v>
      </c>
      <c r="E27" s="1">
        <v>45838</v>
      </c>
      <c r="F27" t="s">
        <v>772</v>
      </c>
      <c r="G27" t="b">
        <v>0</v>
      </c>
    </row>
    <row r="28" spans="1:7" x14ac:dyDescent="0.25">
      <c r="A28" s="1">
        <v>45846</v>
      </c>
      <c r="B28" s="1">
        <v>45839</v>
      </c>
      <c r="C28" s="1">
        <v>45845</v>
      </c>
      <c r="D28" s="1">
        <v>45818</v>
      </c>
      <c r="E28" s="1">
        <v>45845</v>
      </c>
      <c r="F28" t="s">
        <v>773</v>
      </c>
      <c r="G28" t="b">
        <v>0</v>
      </c>
    </row>
    <row r="29" spans="1:7" x14ac:dyDescent="0.25">
      <c r="A29" s="1">
        <v>45853</v>
      </c>
      <c r="B29" s="1">
        <v>45846</v>
      </c>
      <c r="C29" s="1">
        <v>45852</v>
      </c>
      <c r="D29" s="1">
        <v>45825</v>
      </c>
      <c r="E29" s="1">
        <v>45852</v>
      </c>
      <c r="F29" t="s">
        <v>774</v>
      </c>
      <c r="G29" t="b">
        <v>0</v>
      </c>
    </row>
    <row r="30" spans="1:7" x14ac:dyDescent="0.25">
      <c r="A30" s="1">
        <v>45860</v>
      </c>
      <c r="B30" s="1">
        <v>45853</v>
      </c>
      <c r="C30" s="1">
        <v>45859</v>
      </c>
      <c r="D30" s="1">
        <v>45832</v>
      </c>
      <c r="E30" s="1">
        <v>45859</v>
      </c>
      <c r="F30" t="s">
        <v>775</v>
      </c>
      <c r="G30" t="b">
        <v>0</v>
      </c>
    </row>
    <row r="31" spans="1:7" x14ac:dyDescent="0.25">
      <c r="A31" s="1">
        <v>45867</v>
      </c>
      <c r="B31" s="1">
        <v>45860</v>
      </c>
      <c r="C31" s="1">
        <v>45866</v>
      </c>
      <c r="D31" s="1">
        <v>45839</v>
      </c>
      <c r="E31" s="1">
        <v>45866</v>
      </c>
      <c r="F31" t="s">
        <v>776</v>
      </c>
      <c r="G31" t="b">
        <v>0</v>
      </c>
    </row>
    <row r="32" spans="1:7" x14ac:dyDescent="0.25">
      <c r="A32" s="1">
        <v>45874</v>
      </c>
      <c r="B32" s="1">
        <v>45867</v>
      </c>
      <c r="C32" s="1">
        <v>45873</v>
      </c>
      <c r="D32" s="1">
        <v>45846</v>
      </c>
      <c r="E32" s="1">
        <v>45873</v>
      </c>
      <c r="F32" t="s">
        <v>777</v>
      </c>
      <c r="G32" t="b">
        <v>0</v>
      </c>
    </row>
    <row r="33" spans="1:7" x14ac:dyDescent="0.25">
      <c r="A33" s="1">
        <v>45881</v>
      </c>
      <c r="B33" s="1">
        <v>45874</v>
      </c>
      <c r="C33" s="1">
        <v>45880</v>
      </c>
      <c r="D33" s="1">
        <v>45853</v>
      </c>
      <c r="E33" s="1">
        <v>45880</v>
      </c>
      <c r="F33" t="s">
        <v>778</v>
      </c>
      <c r="G33" t="b">
        <v>0</v>
      </c>
    </row>
    <row r="34" spans="1:7" x14ac:dyDescent="0.25">
      <c r="A34" s="1">
        <v>45888</v>
      </c>
      <c r="B34" s="1">
        <v>45881</v>
      </c>
      <c r="C34" s="1">
        <v>45887</v>
      </c>
      <c r="D34" s="1">
        <v>45860</v>
      </c>
      <c r="E34" s="1">
        <v>45887</v>
      </c>
      <c r="F34" t="s">
        <v>779</v>
      </c>
      <c r="G34" t="b">
        <v>0</v>
      </c>
    </row>
    <row r="35" spans="1:7" x14ac:dyDescent="0.25">
      <c r="A35" s="1">
        <v>45895</v>
      </c>
      <c r="B35" s="1">
        <v>45888</v>
      </c>
      <c r="C35" s="1">
        <v>45894</v>
      </c>
      <c r="D35" s="1">
        <v>45867</v>
      </c>
      <c r="E35" s="1">
        <v>45894</v>
      </c>
      <c r="F35" t="s">
        <v>780</v>
      </c>
      <c r="G35" t="b">
        <v>0</v>
      </c>
    </row>
    <row r="36" spans="1:7" x14ac:dyDescent="0.25">
      <c r="A36" s="1">
        <v>45902</v>
      </c>
      <c r="B36" s="1">
        <v>45895</v>
      </c>
      <c r="C36" s="1">
        <v>45901</v>
      </c>
      <c r="D36" s="1">
        <v>45874</v>
      </c>
      <c r="E36" s="1">
        <v>45901</v>
      </c>
      <c r="F36" t="s">
        <v>781</v>
      </c>
      <c r="G36" t="b">
        <v>0</v>
      </c>
    </row>
    <row r="37" spans="1:7" x14ac:dyDescent="0.25">
      <c r="A37" s="1">
        <v>45909</v>
      </c>
      <c r="B37" s="1">
        <v>45902</v>
      </c>
      <c r="C37" s="1">
        <v>45908</v>
      </c>
      <c r="D37" s="1">
        <v>45881</v>
      </c>
      <c r="E37" s="1">
        <v>45908</v>
      </c>
      <c r="F37" t="s">
        <v>782</v>
      </c>
      <c r="G37" t="b">
        <v>0</v>
      </c>
    </row>
    <row r="38" spans="1:7" x14ac:dyDescent="0.25">
      <c r="A38" s="1">
        <v>45916</v>
      </c>
      <c r="B38" s="1">
        <v>45909</v>
      </c>
      <c r="C38" s="1">
        <v>45915</v>
      </c>
      <c r="D38" s="1">
        <v>45888</v>
      </c>
      <c r="E38" s="1">
        <v>45915</v>
      </c>
      <c r="F38" t="s">
        <v>783</v>
      </c>
      <c r="G38" t="b">
        <v>0</v>
      </c>
    </row>
    <row r="39" spans="1:7" x14ac:dyDescent="0.25">
      <c r="A39" s="1">
        <v>45923</v>
      </c>
      <c r="B39" s="1">
        <v>45916</v>
      </c>
      <c r="C39" s="1">
        <v>45922</v>
      </c>
      <c r="D39" s="1">
        <v>45895</v>
      </c>
      <c r="E39" s="1">
        <v>45922</v>
      </c>
      <c r="F39" t="s">
        <v>784</v>
      </c>
      <c r="G39" t="b">
        <v>0</v>
      </c>
    </row>
    <row r="40" spans="1:7" x14ac:dyDescent="0.25">
      <c r="A40" s="1">
        <v>45930</v>
      </c>
      <c r="B40" s="1">
        <v>45923</v>
      </c>
      <c r="C40" s="1">
        <v>45929</v>
      </c>
      <c r="D40" s="1">
        <v>45902</v>
      </c>
      <c r="E40" s="1">
        <v>45929</v>
      </c>
      <c r="F40" t="s">
        <v>785</v>
      </c>
      <c r="G40" t="b">
        <v>0</v>
      </c>
    </row>
    <row r="41" spans="1:7" x14ac:dyDescent="0.25">
      <c r="A41" s="1">
        <v>45937</v>
      </c>
      <c r="B41" s="1">
        <v>45930</v>
      </c>
      <c r="C41" s="1">
        <v>45936</v>
      </c>
      <c r="D41" s="1">
        <v>45909</v>
      </c>
      <c r="E41" s="1">
        <v>45936</v>
      </c>
      <c r="F41" t="s">
        <v>786</v>
      </c>
      <c r="G41" t="b">
        <v>0</v>
      </c>
    </row>
    <row r="42" spans="1:7" x14ac:dyDescent="0.25">
      <c r="A42" s="1">
        <v>45944</v>
      </c>
      <c r="B42" s="1">
        <v>45937</v>
      </c>
      <c r="C42" s="1">
        <v>45943</v>
      </c>
      <c r="D42" s="1">
        <v>45916</v>
      </c>
      <c r="E42" s="1">
        <v>45943</v>
      </c>
      <c r="F42" t="s">
        <v>787</v>
      </c>
      <c r="G42" t="b">
        <v>0</v>
      </c>
    </row>
    <row r="43" spans="1:7" x14ac:dyDescent="0.25">
      <c r="A43" s="1">
        <v>45951</v>
      </c>
      <c r="B43" s="1">
        <v>45944</v>
      </c>
      <c r="C43" s="1">
        <v>45950</v>
      </c>
      <c r="D43" s="1">
        <v>45923</v>
      </c>
      <c r="E43" s="1">
        <v>45950</v>
      </c>
      <c r="F43" t="s">
        <v>788</v>
      </c>
      <c r="G43" t="b">
        <v>0</v>
      </c>
    </row>
    <row r="44" spans="1:7" x14ac:dyDescent="0.25">
      <c r="A44" s="1">
        <v>45958</v>
      </c>
      <c r="B44" s="1">
        <v>45951</v>
      </c>
      <c r="C44" s="1">
        <v>45957</v>
      </c>
      <c r="D44" s="1">
        <v>45930</v>
      </c>
      <c r="E44" s="1">
        <v>45957</v>
      </c>
      <c r="F44" t="s">
        <v>789</v>
      </c>
      <c r="G44" t="b">
        <v>0</v>
      </c>
    </row>
    <row r="45" spans="1:7" x14ac:dyDescent="0.25">
      <c r="A45" s="1">
        <v>45965</v>
      </c>
      <c r="B45" s="1">
        <v>45958</v>
      </c>
      <c r="C45" s="1">
        <v>45964</v>
      </c>
      <c r="D45" s="1">
        <v>45937</v>
      </c>
      <c r="E45" s="1">
        <v>45964</v>
      </c>
      <c r="F45" t="s">
        <v>790</v>
      </c>
      <c r="G45" t="b">
        <v>0</v>
      </c>
    </row>
    <row r="46" spans="1:7" x14ac:dyDescent="0.25">
      <c r="A46" s="1">
        <v>45972</v>
      </c>
      <c r="B46" s="1">
        <v>45965</v>
      </c>
      <c r="C46" s="1">
        <v>45971</v>
      </c>
      <c r="D46" s="1">
        <v>45944</v>
      </c>
      <c r="E46" s="1">
        <v>45971</v>
      </c>
      <c r="F46" t="s">
        <v>791</v>
      </c>
      <c r="G46" t="b">
        <v>0</v>
      </c>
    </row>
    <row r="47" spans="1:7" x14ac:dyDescent="0.25">
      <c r="A47" s="1">
        <v>45979</v>
      </c>
      <c r="B47" s="1">
        <v>45972</v>
      </c>
      <c r="C47" s="1">
        <v>45978</v>
      </c>
      <c r="D47" s="1">
        <v>45951</v>
      </c>
      <c r="E47" s="1">
        <v>45978</v>
      </c>
      <c r="F47" t="s">
        <v>792</v>
      </c>
      <c r="G47" t="b">
        <v>0</v>
      </c>
    </row>
    <row r="48" spans="1:7" x14ac:dyDescent="0.25">
      <c r="A48" s="1">
        <v>45986</v>
      </c>
      <c r="B48" s="1">
        <v>45979</v>
      </c>
      <c r="C48" s="1">
        <v>45985</v>
      </c>
      <c r="D48" s="1">
        <v>45958</v>
      </c>
      <c r="E48" s="1">
        <v>45985</v>
      </c>
      <c r="F48" t="s">
        <v>793</v>
      </c>
      <c r="G48" t="b">
        <v>0</v>
      </c>
    </row>
    <row r="49" spans="1:7" x14ac:dyDescent="0.25">
      <c r="A49" s="1">
        <v>45993</v>
      </c>
      <c r="B49" s="1">
        <v>45986</v>
      </c>
      <c r="C49" s="1">
        <v>45992</v>
      </c>
      <c r="D49" s="1">
        <v>45965</v>
      </c>
      <c r="E49" s="1">
        <v>45992</v>
      </c>
      <c r="F49" t="s">
        <v>794</v>
      </c>
      <c r="G49" t="b">
        <v>0</v>
      </c>
    </row>
    <row r="50" spans="1:7" x14ac:dyDescent="0.25">
      <c r="A50" s="1">
        <v>46000</v>
      </c>
      <c r="B50" s="1">
        <v>45993</v>
      </c>
      <c r="C50" s="1">
        <v>45999</v>
      </c>
      <c r="D50" s="1">
        <v>45972</v>
      </c>
      <c r="E50" s="1">
        <v>45999</v>
      </c>
      <c r="F50" t="s">
        <v>795</v>
      </c>
      <c r="G50" t="b">
        <v>0</v>
      </c>
    </row>
    <row r="51" spans="1:7" x14ac:dyDescent="0.25">
      <c r="A51" s="1">
        <v>46007</v>
      </c>
      <c r="B51" s="1">
        <v>46000</v>
      </c>
      <c r="C51" s="1">
        <v>46006</v>
      </c>
      <c r="D51" s="1">
        <v>45979</v>
      </c>
      <c r="E51" s="1">
        <v>46006</v>
      </c>
      <c r="F51" t="s">
        <v>796</v>
      </c>
      <c r="G51" t="b">
        <v>0</v>
      </c>
    </row>
    <row r="52" spans="1:7" x14ac:dyDescent="0.25">
      <c r="A52" s="1">
        <v>46014</v>
      </c>
      <c r="B52" s="1">
        <v>46007</v>
      </c>
      <c r="C52" s="1">
        <v>46013</v>
      </c>
      <c r="D52" s="1">
        <v>45986</v>
      </c>
      <c r="E52" s="1">
        <v>46013</v>
      </c>
      <c r="F52" t="s">
        <v>797</v>
      </c>
      <c r="G52" t="b">
        <v>0</v>
      </c>
    </row>
    <row r="53" spans="1:7" x14ac:dyDescent="0.25">
      <c r="A53" s="1">
        <v>46021</v>
      </c>
      <c r="B53" s="1">
        <v>46014</v>
      </c>
      <c r="C53" s="1">
        <v>46020</v>
      </c>
      <c r="D53" s="1">
        <v>45993</v>
      </c>
      <c r="E53" s="1">
        <v>46020</v>
      </c>
      <c r="F53" t="s">
        <v>798</v>
      </c>
      <c r="G53" t="b">
        <v>0</v>
      </c>
    </row>
  </sheetData>
  <pageMargins left="0.7" right="0.7" top="0.75" bottom="0.75" header="0.3" footer="0.3"/>
  <tableParts count="1">
    <tablePart r:id="rId1"/>
  </tableParts>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216D32-AC08-44D5-B238-95BE61A326E1}">
  <sheetPr>
    <tabColor rgb="FF00B0F0"/>
  </sheetPr>
  <dimension ref="A1:G53"/>
  <sheetViews>
    <sheetView workbookViewId="0">
      <selection sqref="A1:G53"/>
    </sheetView>
  </sheetViews>
  <sheetFormatPr defaultRowHeight="15" x14ac:dyDescent="0.25"/>
  <cols>
    <col min="1" max="1" width="26.28515625" bestFit="1" customWidth="1"/>
    <col min="2" max="2" width="19.42578125" bestFit="1" customWidth="1"/>
    <col min="3" max="3" width="18.140625" bestFit="1" customWidth="1"/>
    <col min="4" max="4" width="20.7109375" bestFit="1" customWidth="1"/>
    <col min="5" max="5" width="19.42578125" bestFit="1" customWidth="1"/>
    <col min="6" max="6" width="21.7109375" bestFit="1" customWidth="1"/>
    <col min="7" max="7" width="11.28515625" bestFit="1" customWidth="1"/>
  </cols>
  <sheetData>
    <row r="1" spans="1:7" ht="18.75" x14ac:dyDescent="0.3">
      <c r="A1" s="118" t="s">
        <v>755</v>
      </c>
      <c r="B1" s="118" t="s">
        <v>756</v>
      </c>
      <c r="C1" s="118" t="s">
        <v>757</v>
      </c>
      <c r="D1" s="118" t="s">
        <v>758</v>
      </c>
      <c r="E1" s="118" t="s">
        <v>759</v>
      </c>
      <c r="F1" s="7" t="s">
        <v>760</v>
      </c>
      <c r="G1" s="7" t="s">
        <v>761</v>
      </c>
    </row>
    <row r="2" spans="1:7" ht="18.75" x14ac:dyDescent="0.3">
      <c r="A2" s="118">
        <v>45664</v>
      </c>
      <c r="B2" s="118">
        <v>45657</v>
      </c>
      <c r="C2" s="118">
        <v>45663</v>
      </c>
      <c r="D2" s="118">
        <v>45636</v>
      </c>
      <c r="E2" s="118">
        <v>45663</v>
      </c>
      <c r="F2" s="7" t="s">
        <v>514</v>
      </c>
      <c r="G2" s="7" t="b">
        <f ca="1">_7Day_28Day_250414_[[#This Row],[Report_Due_Date]]=TODAY()+MOD(2-WEEKDAY(TODAY(),2),7)+IF(WEEKDAY(TODAY(),2)=2,7,0)</f>
        <v>0</v>
      </c>
    </row>
    <row r="3" spans="1:7" ht="18.75" x14ac:dyDescent="0.3">
      <c r="A3" s="118">
        <v>45671</v>
      </c>
      <c r="B3" s="118">
        <v>45664</v>
      </c>
      <c r="C3" s="118">
        <v>45670</v>
      </c>
      <c r="D3" s="118">
        <v>45643</v>
      </c>
      <c r="E3" s="118">
        <v>45670</v>
      </c>
      <c r="F3" s="7" t="s">
        <v>513</v>
      </c>
      <c r="G3" s="7" t="b">
        <f ca="1">_7Day_28Day_250414_[[#This Row],[Report_Due_Date]]=TODAY()+MOD(2-WEEKDAY(TODAY(),2),7)+IF(WEEKDAY(TODAY(),2)=2,7,0)</f>
        <v>0</v>
      </c>
    </row>
    <row r="4" spans="1:7" ht="18.75" x14ac:dyDescent="0.3">
      <c r="A4" s="118">
        <v>45678</v>
      </c>
      <c r="B4" s="118">
        <v>45671</v>
      </c>
      <c r="C4" s="118">
        <v>45677</v>
      </c>
      <c r="D4" s="118">
        <v>45650</v>
      </c>
      <c r="E4" s="118">
        <v>45677</v>
      </c>
      <c r="F4" s="7" t="s">
        <v>512</v>
      </c>
      <c r="G4" s="7" t="b">
        <f ca="1">_7Day_28Day_250414_[[#This Row],[Report_Due_Date]]=TODAY()+MOD(2-WEEKDAY(TODAY(),2),7)+IF(WEEKDAY(TODAY(),2)=2,7,0)</f>
        <v>0</v>
      </c>
    </row>
    <row r="5" spans="1:7" ht="18.75" x14ac:dyDescent="0.3">
      <c r="A5" s="118">
        <v>45685</v>
      </c>
      <c r="B5" s="118">
        <v>45678</v>
      </c>
      <c r="C5" s="118">
        <v>45684</v>
      </c>
      <c r="D5" s="118">
        <v>45657</v>
      </c>
      <c r="E5" s="118">
        <v>45684</v>
      </c>
      <c r="F5" s="7" t="s">
        <v>511</v>
      </c>
      <c r="G5" s="7" t="b">
        <f ca="1">_7Day_28Day_250414_[[#This Row],[Report_Due_Date]]=TODAY()+MOD(2-WEEKDAY(TODAY(),2),7)+IF(WEEKDAY(TODAY(),2)=2,7,0)</f>
        <v>0</v>
      </c>
    </row>
    <row r="6" spans="1:7" ht="18.75" x14ac:dyDescent="0.3">
      <c r="A6" s="118">
        <v>45692</v>
      </c>
      <c r="B6" s="118">
        <v>45685</v>
      </c>
      <c r="C6" s="118">
        <v>45691</v>
      </c>
      <c r="D6" s="118">
        <v>45664</v>
      </c>
      <c r="E6" s="118">
        <v>45691</v>
      </c>
      <c r="F6" s="7" t="s">
        <v>510</v>
      </c>
      <c r="G6" s="7" t="b">
        <f ca="1">_7Day_28Day_250414_[[#This Row],[Report_Due_Date]]=TODAY()+MOD(2-WEEKDAY(TODAY(),2),7)+IF(WEEKDAY(TODAY(),2)=2,7,0)</f>
        <v>0</v>
      </c>
    </row>
    <row r="7" spans="1:7" ht="18.75" x14ac:dyDescent="0.3">
      <c r="A7" s="118">
        <v>45699</v>
      </c>
      <c r="B7" s="118">
        <v>45692</v>
      </c>
      <c r="C7" s="118">
        <v>45698</v>
      </c>
      <c r="D7" s="118">
        <v>45671</v>
      </c>
      <c r="E7" s="118">
        <v>45698</v>
      </c>
      <c r="F7" s="7" t="s">
        <v>509</v>
      </c>
      <c r="G7" s="7" t="b">
        <f ca="1">_7Day_28Day_250414_[[#This Row],[Report_Due_Date]]=TODAY()+MOD(2-WEEKDAY(TODAY(),2),7)+IF(WEEKDAY(TODAY(),2)=2,7,0)</f>
        <v>0</v>
      </c>
    </row>
    <row r="8" spans="1:7" ht="18.75" x14ac:dyDescent="0.3">
      <c r="A8" s="118">
        <v>45706</v>
      </c>
      <c r="B8" s="118">
        <v>45699</v>
      </c>
      <c r="C8" s="118">
        <v>45705</v>
      </c>
      <c r="D8" s="118">
        <v>45678</v>
      </c>
      <c r="E8" s="118">
        <v>45705</v>
      </c>
      <c r="F8" s="7" t="s">
        <v>508</v>
      </c>
      <c r="G8" s="7" t="b">
        <f ca="1">_7Day_28Day_250414_[[#This Row],[Report_Due_Date]]=TODAY()+MOD(2-WEEKDAY(TODAY(),2),7)+IF(WEEKDAY(TODAY(),2)=2,7,0)</f>
        <v>0</v>
      </c>
    </row>
    <row r="9" spans="1:7" ht="18.75" x14ac:dyDescent="0.3">
      <c r="A9" s="118">
        <v>45713</v>
      </c>
      <c r="B9" s="118">
        <v>45706</v>
      </c>
      <c r="C9" s="118">
        <v>45712</v>
      </c>
      <c r="D9" s="118">
        <v>45685</v>
      </c>
      <c r="E9" s="118">
        <v>45712</v>
      </c>
      <c r="F9" s="7" t="s">
        <v>507</v>
      </c>
      <c r="G9" s="7" t="b">
        <f ca="1">_7Day_28Day_250414_[[#This Row],[Report_Due_Date]]=TODAY()+MOD(2-WEEKDAY(TODAY(),2),7)+IF(WEEKDAY(TODAY(),2)=2,7,0)</f>
        <v>0</v>
      </c>
    </row>
    <row r="10" spans="1:7" ht="18.75" x14ac:dyDescent="0.3">
      <c r="A10" s="118">
        <v>45720</v>
      </c>
      <c r="B10" s="118">
        <v>45713</v>
      </c>
      <c r="C10" s="118">
        <v>45719</v>
      </c>
      <c r="D10" s="118">
        <v>45692</v>
      </c>
      <c r="E10" s="118">
        <v>45719</v>
      </c>
      <c r="F10" s="7" t="s">
        <v>506</v>
      </c>
      <c r="G10" s="7" t="b">
        <f ca="1">_7Day_28Day_250414_[[#This Row],[Report_Due_Date]]=TODAY()+MOD(2-WEEKDAY(TODAY(),2),7)+IF(WEEKDAY(TODAY(),2)=2,7,0)</f>
        <v>0</v>
      </c>
    </row>
    <row r="11" spans="1:7" ht="18.75" x14ac:dyDescent="0.3">
      <c r="A11" s="118">
        <v>45727</v>
      </c>
      <c r="B11" s="118">
        <v>45720</v>
      </c>
      <c r="C11" s="118">
        <v>45726</v>
      </c>
      <c r="D11" s="118">
        <v>45699</v>
      </c>
      <c r="E11" s="118">
        <v>45726</v>
      </c>
      <c r="F11" s="7" t="s">
        <v>505</v>
      </c>
      <c r="G11" s="7" t="b">
        <f ca="1">_7Day_28Day_250414_[[#This Row],[Report_Due_Date]]=TODAY()+MOD(2-WEEKDAY(TODAY(),2),7)+IF(WEEKDAY(TODAY(),2)=2,7,0)</f>
        <v>0</v>
      </c>
    </row>
    <row r="12" spans="1:7" ht="18.75" x14ac:dyDescent="0.3">
      <c r="A12" s="118">
        <v>45734</v>
      </c>
      <c r="B12" s="118">
        <v>45727</v>
      </c>
      <c r="C12" s="118">
        <v>45733</v>
      </c>
      <c r="D12" s="118">
        <v>45706</v>
      </c>
      <c r="E12" s="118">
        <v>45733</v>
      </c>
      <c r="F12" s="7" t="s">
        <v>528</v>
      </c>
      <c r="G12" s="7" t="b">
        <f ca="1">_7Day_28Day_250414_[[#This Row],[Report_Due_Date]]=TODAY()+MOD(2-WEEKDAY(TODAY(),2),7)+IF(WEEKDAY(TODAY(),2)=2,7,0)</f>
        <v>0</v>
      </c>
    </row>
    <row r="13" spans="1:7" ht="18.75" x14ac:dyDescent="0.3">
      <c r="A13" s="118">
        <v>45741</v>
      </c>
      <c r="B13" s="118">
        <v>45734</v>
      </c>
      <c r="C13" s="118">
        <v>45740</v>
      </c>
      <c r="D13" s="118">
        <v>45713</v>
      </c>
      <c r="E13" s="118">
        <v>45740</v>
      </c>
      <c r="F13" s="7" t="s">
        <v>548</v>
      </c>
      <c r="G13" s="7" t="b">
        <f ca="1">_7Day_28Day_250414_[[#This Row],[Report_Due_Date]]=TODAY()+MOD(2-WEEKDAY(TODAY(),2),7)+IF(WEEKDAY(TODAY(),2)=2,7,0)</f>
        <v>0</v>
      </c>
    </row>
    <row r="14" spans="1:7" ht="18.75" x14ac:dyDescent="0.3">
      <c r="A14" s="118">
        <v>45748</v>
      </c>
      <c r="B14" s="118">
        <v>45741</v>
      </c>
      <c r="C14" s="118">
        <v>45747</v>
      </c>
      <c r="D14" s="118">
        <v>45720</v>
      </c>
      <c r="E14" s="118">
        <v>45747</v>
      </c>
      <c r="F14" s="7" t="s">
        <v>581</v>
      </c>
      <c r="G14" s="7" t="b">
        <f ca="1">_7Day_28Day_250414_[[#This Row],[Report_Due_Date]]=TODAY()+MOD(2-WEEKDAY(TODAY(),2),7)+IF(WEEKDAY(TODAY(),2)=2,7,0)</f>
        <v>0</v>
      </c>
    </row>
    <row r="15" spans="1:7" ht="18.75" x14ac:dyDescent="0.3">
      <c r="A15" s="118">
        <v>45755</v>
      </c>
      <c r="B15" s="118">
        <v>45748</v>
      </c>
      <c r="C15" s="118">
        <v>45754</v>
      </c>
      <c r="D15" s="118">
        <v>45727</v>
      </c>
      <c r="E15" s="118">
        <v>45754</v>
      </c>
      <c r="F15" s="7" t="s">
        <v>604</v>
      </c>
      <c r="G15" s="7" t="b">
        <f ca="1">_7Day_28Day_250414_[[#This Row],[Report_Due_Date]]=TODAY()+MOD(2-WEEKDAY(TODAY(),2),7)+IF(WEEKDAY(TODAY(),2)=2,7,0)</f>
        <v>0</v>
      </c>
    </row>
    <row r="16" spans="1:7" ht="18.75" x14ac:dyDescent="0.3">
      <c r="A16" s="118">
        <v>45762</v>
      </c>
      <c r="B16" s="118">
        <v>45755</v>
      </c>
      <c r="C16" s="118">
        <v>45761</v>
      </c>
      <c r="D16" s="118">
        <v>45734</v>
      </c>
      <c r="E16" s="118">
        <v>45761</v>
      </c>
      <c r="F16" s="7" t="s">
        <v>730</v>
      </c>
      <c r="G16" s="7" t="b">
        <f ca="1">_7Day_28Day_250414_[[#This Row],[Report_Due_Date]]=TODAY()+MOD(2-WEEKDAY(TODAY(),2),7)+IF(WEEKDAY(TODAY(),2)=2,7,0)</f>
        <v>0</v>
      </c>
    </row>
    <row r="17" spans="1:7" ht="18.75" x14ac:dyDescent="0.3">
      <c r="A17" s="118">
        <v>45769</v>
      </c>
      <c r="B17" s="118">
        <v>45762</v>
      </c>
      <c r="C17" s="118">
        <v>45768</v>
      </c>
      <c r="D17" s="118">
        <v>45741</v>
      </c>
      <c r="E17" s="118">
        <v>45768</v>
      </c>
      <c r="F17" s="7" t="s">
        <v>762</v>
      </c>
      <c r="G17" s="7" t="b">
        <f ca="1">_7Day_28Day_250414_[[#This Row],[Report_Due_Date]]=TODAY()+MOD(2-WEEKDAY(TODAY(),2),7)+IF(WEEKDAY(TODAY(),2)=2,7,0)</f>
        <v>0</v>
      </c>
    </row>
    <row r="18" spans="1:7" ht="18.75" x14ac:dyDescent="0.3">
      <c r="A18" s="118">
        <v>45776</v>
      </c>
      <c r="B18" s="118">
        <v>45769</v>
      </c>
      <c r="C18" s="118">
        <v>45775</v>
      </c>
      <c r="D18" s="118">
        <v>45748</v>
      </c>
      <c r="E18" s="118">
        <v>45775</v>
      </c>
      <c r="F18" s="7" t="s">
        <v>763</v>
      </c>
      <c r="G18" s="7" t="b">
        <f ca="1">_7Day_28Day_250414_[[#This Row],[Report_Due_Date]]=TODAY()+MOD(2-WEEKDAY(TODAY(),2),7)+IF(WEEKDAY(TODAY(),2)=2,7,0)</f>
        <v>0</v>
      </c>
    </row>
    <row r="19" spans="1:7" ht="18.75" x14ac:dyDescent="0.3">
      <c r="A19" s="118">
        <v>45783</v>
      </c>
      <c r="B19" s="118">
        <v>45776</v>
      </c>
      <c r="C19" s="118">
        <v>45782</v>
      </c>
      <c r="D19" s="118">
        <v>45755</v>
      </c>
      <c r="E19" s="118">
        <v>45782</v>
      </c>
      <c r="F19" s="7" t="s">
        <v>764</v>
      </c>
      <c r="G19" s="7" t="b">
        <f ca="1">_7Day_28Day_250414_[[#This Row],[Report_Due_Date]]=TODAY()+MOD(2-WEEKDAY(TODAY(),2),7)+IF(WEEKDAY(TODAY(),2)=2,7,0)</f>
        <v>0</v>
      </c>
    </row>
    <row r="20" spans="1:7" ht="18.75" x14ac:dyDescent="0.3">
      <c r="A20" s="118">
        <v>45790</v>
      </c>
      <c r="B20" s="118">
        <v>45783</v>
      </c>
      <c r="C20" s="118">
        <v>45789</v>
      </c>
      <c r="D20" s="118">
        <v>45762</v>
      </c>
      <c r="E20" s="118">
        <v>45789</v>
      </c>
      <c r="F20" s="7" t="s">
        <v>765</v>
      </c>
      <c r="G20" s="7" t="b">
        <f ca="1">_7Day_28Day_250414_[[#This Row],[Report_Due_Date]]=TODAY()+MOD(2-WEEKDAY(TODAY(),2),7)+IF(WEEKDAY(TODAY(),2)=2,7,0)</f>
        <v>0</v>
      </c>
    </row>
    <row r="21" spans="1:7" ht="18.75" x14ac:dyDescent="0.3">
      <c r="A21" s="118">
        <v>45797</v>
      </c>
      <c r="B21" s="118">
        <v>45790</v>
      </c>
      <c r="C21" s="118">
        <v>45796</v>
      </c>
      <c r="D21" s="118">
        <v>45769</v>
      </c>
      <c r="E21" s="118">
        <v>45796</v>
      </c>
      <c r="F21" s="7" t="s">
        <v>766</v>
      </c>
      <c r="G21" s="7" t="b">
        <f ca="1">_7Day_28Day_250414_[[#This Row],[Report_Due_Date]]=TODAY()+MOD(2-WEEKDAY(TODAY(),2),7)+IF(WEEKDAY(TODAY(),2)=2,7,0)</f>
        <v>1</v>
      </c>
    </row>
    <row r="22" spans="1:7" ht="18.75" x14ac:dyDescent="0.3">
      <c r="A22" s="118">
        <v>45804</v>
      </c>
      <c r="B22" s="118">
        <v>45797</v>
      </c>
      <c r="C22" s="118">
        <v>45803</v>
      </c>
      <c r="D22" s="118">
        <v>45776</v>
      </c>
      <c r="E22" s="118">
        <v>45803</v>
      </c>
      <c r="F22" s="7" t="s">
        <v>767</v>
      </c>
      <c r="G22" s="7" t="b">
        <f ca="1">_7Day_28Day_250414_[[#This Row],[Report_Due_Date]]=TODAY()+MOD(2-WEEKDAY(TODAY(),2),7)+IF(WEEKDAY(TODAY(),2)=2,7,0)</f>
        <v>0</v>
      </c>
    </row>
    <row r="23" spans="1:7" ht="18.75" x14ac:dyDescent="0.3">
      <c r="A23" s="118">
        <v>45811</v>
      </c>
      <c r="B23" s="118">
        <v>45804</v>
      </c>
      <c r="C23" s="118">
        <v>45810</v>
      </c>
      <c r="D23" s="118">
        <v>45783</v>
      </c>
      <c r="E23" s="118">
        <v>45810</v>
      </c>
      <c r="F23" s="7" t="s">
        <v>768</v>
      </c>
      <c r="G23" s="7" t="b">
        <f ca="1">_7Day_28Day_250414_[[#This Row],[Report_Due_Date]]=TODAY()+MOD(2-WEEKDAY(TODAY(),2),7)+IF(WEEKDAY(TODAY(),2)=2,7,0)</f>
        <v>0</v>
      </c>
    </row>
    <row r="24" spans="1:7" ht="18.75" x14ac:dyDescent="0.3">
      <c r="A24" s="118">
        <v>45818</v>
      </c>
      <c r="B24" s="118">
        <v>45811</v>
      </c>
      <c r="C24" s="118">
        <v>45817</v>
      </c>
      <c r="D24" s="118">
        <v>45790</v>
      </c>
      <c r="E24" s="118">
        <v>45817</v>
      </c>
      <c r="F24" s="7" t="s">
        <v>769</v>
      </c>
      <c r="G24" s="7" t="b">
        <f ca="1">_7Day_28Day_250414_[[#This Row],[Report_Due_Date]]=TODAY()+MOD(2-WEEKDAY(TODAY(),2),7)+IF(WEEKDAY(TODAY(),2)=2,7,0)</f>
        <v>0</v>
      </c>
    </row>
    <row r="25" spans="1:7" ht="18.75" x14ac:dyDescent="0.3">
      <c r="A25" s="118">
        <v>45825</v>
      </c>
      <c r="B25" s="118">
        <v>45818</v>
      </c>
      <c r="C25" s="118">
        <v>45824</v>
      </c>
      <c r="D25" s="118">
        <v>45797</v>
      </c>
      <c r="E25" s="118">
        <v>45824</v>
      </c>
      <c r="F25" s="7" t="s">
        <v>770</v>
      </c>
      <c r="G25" s="7" t="b">
        <f ca="1">_7Day_28Day_250414_[[#This Row],[Report_Due_Date]]=TODAY()+MOD(2-WEEKDAY(TODAY(),2),7)+IF(WEEKDAY(TODAY(),2)=2,7,0)</f>
        <v>0</v>
      </c>
    </row>
    <row r="26" spans="1:7" ht="18.75" x14ac:dyDescent="0.3">
      <c r="A26" s="118">
        <v>45832</v>
      </c>
      <c r="B26" s="118">
        <v>45825</v>
      </c>
      <c r="C26" s="118">
        <v>45831</v>
      </c>
      <c r="D26" s="118">
        <v>45804</v>
      </c>
      <c r="E26" s="118">
        <v>45831</v>
      </c>
      <c r="F26" s="7" t="s">
        <v>771</v>
      </c>
      <c r="G26" s="7" t="b">
        <f ca="1">_7Day_28Day_250414_[[#This Row],[Report_Due_Date]]=TODAY()+MOD(2-WEEKDAY(TODAY(),2),7)+IF(WEEKDAY(TODAY(),2)=2,7,0)</f>
        <v>0</v>
      </c>
    </row>
    <row r="27" spans="1:7" ht="18.75" x14ac:dyDescent="0.3">
      <c r="A27" s="118">
        <v>45839</v>
      </c>
      <c r="B27" s="118">
        <v>45832</v>
      </c>
      <c r="C27" s="118">
        <v>45838</v>
      </c>
      <c r="D27" s="118">
        <v>45811</v>
      </c>
      <c r="E27" s="118">
        <v>45838</v>
      </c>
      <c r="F27" s="7" t="s">
        <v>772</v>
      </c>
      <c r="G27" s="7" t="b">
        <f ca="1">_7Day_28Day_250414_[[#This Row],[Report_Due_Date]]=TODAY()+MOD(2-WEEKDAY(TODAY(),2),7)+IF(WEEKDAY(TODAY(),2)=2,7,0)</f>
        <v>0</v>
      </c>
    </row>
    <row r="28" spans="1:7" ht="18.75" x14ac:dyDescent="0.3">
      <c r="A28" s="118">
        <v>45846</v>
      </c>
      <c r="B28" s="118">
        <v>45839</v>
      </c>
      <c r="C28" s="118">
        <v>45845</v>
      </c>
      <c r="D28" s="118">
        <v>45818</v>
      </c>
      <c r="E28" s="118">
        <v>45845</v>
      </c>
      <c r="F28" s="7" t="s">
        <v>773</v>
      </c>
      <c r="G28" s="7" t="b">
        <f ca="1">_7Day_28Day_250414_[[#This Row],[Report_Due_Date]]=TODAY()+MOD(2-WEEKDAY(TODAY(),2),7)+IF(WEEKDAY(TODAY(),2)=2,7,0)</f>
        <v>0</v>
      </c>
    </row>
    <row r="29" spans="1:7" ht="18.75" x14ac:dyDescent="0.3">
      <c r="A29" s="118">
        <v>45853</v>
      </c>
      <c r="B29" s="118">
        <v>45846</v>
      </c>
      <c r="C29" s="118">
        <v>45852</v>
      </c>
      <c r="D29" s="118">
        <v>45825</v>
      </c>
      <c r="E29" s="118">
        <v>45852</v>
      </c>
      <c r="F29" s="7" t="s">
        <v>774</v>
      </c>
      <c r="G29" s="7" t="b">
        <f ca="1">_7Day_28Day_250414_[[#This Row],[Report_Due_Date]]=TODAY()+MOD(2-WEEKDAY(TODAY(),2),7)+IF(WEEKDAY(TODAY(),2)=2,7,0)</f>
        <v>0</v>
      </c>
    </row>
    <row r="30" spans="1:7" ht="18.75" x14ac:dyDescent="0.3">
      <c r="A30" s="118">
        <v>45860</v>
      </c>
      <c r="B30" s="118">
        <v>45853</v>
      </c>
      <c r="C30" s="118">
        <v>45859</v>
      </c>
      <c r="D30" s="118">
        <v>45832</v>
      </c>
      <c r="E30" s="118">
        <v>45859</v>
      </c>
      <c r="F30" s="7" t="s">
        <v>775</v>
      </c>
      <c r="G30" s="7" t="b">
        <f ca="1">_7Day_28Day_250414_[[#This Row],[Report_Due_Date]]=TODAY()+MOD(2-WEEKDAY(TODAY(),2),7)+IF(WEEKDAY(TODAY(),2)=2,7,0)</f>
        <v>0</v>
      </c>
    </row>
    <row r="31" spans="1:7" ht="18.75" x14ac:dyDescent="0.3">
      <c r="A31" s="118">
        <v>45867</v>
      </c>
      <c r="B31" s="118">
        <v>45860</v>
      </c>
      <c r="C31" s="118">
        <v>45866</v>
      </c>
      <c r="D31" s="118">
        <v>45839</v>
      </c>
      <c r="E31" s="118">
        <v>45866</v>
      </c>
      <c r="F31" s="7" t="s">
        <v>776</v>
      </c>
      <c r="G31" s="7" t="b">
        <f ca="1">_7Day_28Day_250414_[[#This Row],[Report_Due_Date]]=TODAY()+MOD(2-WEEKDAY(TODAY(),2),7)+IF(WEEKDAY(TODAY(),2)=2,7,0)</f>
        <v>0</v>
      </c>
    </row>
    <row r="32" spans="1:7" ht="18.75" x14ac:dyDescent="0.3">
      <c r="A32" s="118">
        <v>45874</v>
      </c>
      <c r="B32" s="118">
        <v>45867</v>
      </c>
      <c r="C32" s="118">
        <v>45873</v>
      </c>
      <c r="D32" s="118">
        <v>45846</v>
      </c>
      <c r="E32" s="118">
        <v>45873</v>
      </c>
      <c r="F32" s="7" t="s">
        <v>777</v>
      </c>
      <c r="G32" s="7" t="b">
        <f ca="1">_7Day_28Day_250414_[[#This Row],[Report_Due_Date]]=TODAY()+MOD(2-WEEKDAY(TODAY(),2),7)+IF(WEEKDAY(TODAY(),2)=2,7,0)</f>
        <v>0</v>
      </c>
    </row>
    <row r="33" spans="1:7" ht="18.75" x14ac:dyDescent="0.3">
      <c r="A33" s="118">
        <v>45881</v>
      </c>
      <c r="B33" s="118">
        <v>45874</v>
      </c>
      <c r="C33" s="118">
        <v>45880</v>
      </c>
      <c r="D33" s="118">
        <v>45853</v>
      </c>
      <c r="E33" s="118">
        <v>45880</v>
      </c>
      <c r="F33" s="7" t="s">
        <v>778</v>
      </c>
      <c r="G33" s="7" t="b">
        <f ca="1">_7Day_28Day_250414_[[#This Row],[Report_Due_Date]]=TODAY()+MOD(2-WEEKDAY(TODAY(),2),7)+IF(WEEKDAY(TODAY(),2)=2,7,0)</f>
        <v>0</v>
      </c>
    </row>
    <row r="34" spans="1:7" ht="18.75" x14ac:dyDescent="0.3">
      <c r="A34" s="118">
        <v>45888</v>
      </c>
      <c r="B34" s="118">
        <v>45881</v>
      </c>
      <c r="C34" s="118">
        <v>45887</v>
      </c>
      <c r="D34" s="118">
        <v>45860</v>
      </c>
      <c r="E34" s="118">
        <v>45887</v>
      </c>
      <c r="F34" s="7" t="s">
        <v>779</v>
      </c>
      <c r="G34" s="7" t="b">
        <f ca="1">_7Day_28Day_250414_[[#This Row],[Report_Due_Date]]=TODAY()+MOD(2-WEEKDAY(TODAY(),2),7)+IF(WEEKDAY(TODAY(),2)=2,7,0)</f>
        <v>0</v>
      </c>
    </row>
    <row r="35" spans="1:7" ht="18.75" x14ac:dyDescent="0.3">
      <c r="A35" s="118">
        <v>45895</v>
      </c>
      <c r="B35" s="118">
        <v>45888</v>
      </c>
      <c r="C35" s="118">
        <v>45894</v>
      </c>
      <c r="D35" s="118">
        <v>45867</v>
      </c>
      <c r="E35" s="118">
        <v>45894</v>
      </c>
      <c r="F35" s="7" t="s">
        <v>780</v>
      </c>
      <c r="G35" s="7" t="b">
        <f ca="1">_7Day_28Day_250414_[[#This Row],[Report_Due_Date]]=TODAY()+MOD(2-WEEKDAY(TODAY(),2),7)+IF(WEEKDAY(TODAY(),2)=2,7,0)</f>
        <v>0</v>
      </c>
    </row>
    <row r="36" spans="1:7" ht="18.75" x14ac:dyDescent="0.3">
      <c r="A36" s="118">
        <v>45902</v>
      </c>
      <c r="B36" s="118">
        <v>45895</v>
      </c>
      <c r="C36" s="118">
        <v>45901</v>
      </c>
      <c r="D36" s="118">
        <v>45874</v>
      </c>
      <c r="E36" s="118">
        <v>45901</v>
      </c>
      <c r="F36" s="7" t="s">
        <v>781</v>
      </c>
      <c r="G36" s="7" t="b">
        <f ca="1">_7Day_28Day_250414_[[#This Row],[Report_Due_Date]]=TODAY()+MOD(2-WEEKDAY(TODAY(),2),7)+IF(WEEKDAY(TODAY(),2)=2,7,0)</f>
        <v>0</v>
      </c>
    </row>
    <row r="37" spans="1:7" ht="18.75" x14ac:dyDescent="0.3">
      <c r="A37" s="118">
        <v>45909</v>
      </c>
      <c r="B37" s="118">
        <v>45902</v>
      </c>
      <c r="C37" s="118">
        <v>45908</v>
      </c>
      <c r="D37" s="118">
        <v>45881</v>
      </c>
      <c r="E37" s="118">
        <v>45908</v>
      </c>
      <c r="F37" s="7" t="s">
        <v>782</v>
      </c>
      <c r="G37" s="7" t="b">
        <f ca="1">_7Day_28Day_250414_[[#This Row],[Report_Due_Date]]=TODAY()+MOD(2-WEEKDAY(TODAY(),2),7)+IF(WEEKDAY(TODAY(),2)=2,7,0)</f>
        <v>0</v>
      </c>
    </row>
    <row r="38" spans="1:7" ht="18.75" x14ac:dyDescent="0.3">
      <c r="A38" s="118">
        <v>45916</v>
      </c>
      <c r="B38" s="118">
        <v>45909</v>
      </c>
      <c r="C38" s="118">
        <v>45915</v>
      </c>
      <c r="D38" s="118">
        <v>45888</v>
      </c>
      <c r="E38" s="118">
        <v>45915</v>
      </c>
      <c r="F38" s="7" t="s">
        <v>783</v>
      </c>
      <c r="G38" s="7" t="b">
        <f ca="1">_7Day_28Day_250414_[[#This Row],[Report_Due_Date]]=TODAY()+MOD(2-WEEKDAY(TODAY(),2),7)+IF(WEEKDAY(TODAY(),2)=2,7,0)</f>
        <v>0</v>
      </c>
    </row>
    <row r="39" spans="1:7" ht="18.75" x14ac:dyDescent="0.3">
      <c r="A39" s="118">
        <v>45923</v>
      </c>
      <c r="B39" s="118">
        <v>45916</v>
      </c>
      <c r="C39" s="118">
        <v>45922</v>
      </c>
      <c r="D39" s="118">
        <v>45895</v>
      </c>
      <c r="E39" s="118">
        <v>45922</v>
      </c>
      <c r="F39" s="7" t="s">
        <v>784</v>
      </c>
      <c r="G39" s="7" t="b">
        <f ca="1">_7Day_28Day_250414_[[#This Row],[Report_Due_Date]]=TODAY()+MOD(2-WEEKDAY(TODAY(),2),7)+IF(WEEKDAY(TODAY(),2)=2,7,0)</f>
        <v>0</v>
      </c>
    </row>
    <row r="40" spans="1:7" ht="18.75" x14ac:dyDescent="0.3">
      <c r="A40" s="118">
        <v>45930</v>
      </c>
      <c r="B40" s="118">
        <v>45923</v>
      </c>
      <c r="C40" s="118">
        <v>45929</v>
      </c>
      <c r="D40" s="118">
        <v>45902</v>
      </c>
      <c r="E40" s="118">
        <v>45929</v>
      </c>
      <c r="F40" s="7" t="s">
        <v>785</v>
      </c>
      <c r="G40" s="7" t="b">
        <f ca="1">_7Day_28Day_250414_[[#This Row],[Report_Due_Date]]=TODAY()+MOD(2-WEEKDAY(TODAY(),2),7)+IF(WEEKDAY(TODAY(),2)=2,7,0)</f>
        <v>0</v>
      </c>
    </row>
    <row r="41" spans="1:7" ht="18.75" x14ac:dyDescent="0.3">
      <c r="A41" s="118">
        <v>45937</v>
      </c>
      <c r="B41" s="118">
        <v>45930</v>
      </c>
      <c r="C41" s="118">
        <v>45936</v>
      </c>
      <c r="D41" s="118">
        <v>45909</v>
      </c>
      <c r="E41" s="118">
        <v>45936</v>
      </c>
      <c r="F41" s="7" t="s">
        <v>786</v>
      </c>
      <c r="G41" s="7" t="b">
        <f ca="1">_7Day_28Day_250414_[[#This Row],[Report_Due_Date]]=TODAY()+MOD(2-WEEKDAY(TODAY(),2),7)+IF(WEEKDAY(TODAY(),2)=2,7,0)</f>
        <v>0</v>
      </c>
    </row>
    <row r="42" spans="1:7" ht="18.75" x14ac:dyDescent="0.3">
      <c r="A42" s="118">
        <v>45944</v>
      </c>
      <c r="B42" s="118">
        <v>45937</v>
      </c>
      <c r="C42" s="118">
        <v>45943</v>
      </c>
      <c r="D42" s="118">
        <v>45916</v>
      </c>
      <c r="E42" s="118">
        <v>45943</v>
      </c>
      <c r="F42" s="7" t="s">
        <v>787</v>
      </c>
      <c r="G42" s="7" t="b">
        <f ca="1">_7Day_28Day_250414_[[#This Row],[Report_Due_Date]]=TODAY()+MOD(2-WEEKDAY(TODAY(),2),7)+IF(WEEKDAY(TODAY(),2)=2,7,0)</f>
        <v>0</v>
      </c>
    </row>
    <row r="43" spans="1:7" ht="18.75" x14ac:dyDescent="0.3">
      <c r="A43" s="118">
        <v>45951</v>
      </c>
      <c r="B43" s="118">
        <v>45944</v>
      </c>
      <c r="C43" s="118">
        <v>45950</v>
      </c>
      <c r="D43" s="118">
        <v>45923</v>
      </c>
      <c r="E43" s="118">
        <v>45950</v>
      </c>
      <c r="F43" s="7" t="s">
        <v>788</v>
      </c>
      <c r="G43" s="7" t="b">
        <f ca="1">_7Day_28Day_250414_[[#This Row],[Report_Due_Date]]=TODAY()+MOD(2-WEEKDAY(TODAY(),2),7)+IF(WEEKDAY(TODAY(),2)=2,7,0)</f>
        <v>0</v>
      </c>
    </row>
    <row r="44" spans="1:7" ht="18.75" x14ac:dyDescent="0.3">
      <c r="A44" s="118">
        <v>45958</v>
      </c>
      <c r="B44" s="118">
        <v>45951</v>
      </c>
      <c r="C44" s="118">
        <v>45957</v>
      </c>
      <c r="D44" s="118">
        <v>45930</v>
      </c>
      <c r="E44" s="118">
        <v>45957</v>
      </c>
      <c r="F44" s="7" t="s">
        <v>789</v>
      </c>
      <c r="G44" s="7" t="b">
        <f ca="1">_7Day_28Day_250414_[[#This Row],[Report_Due_Date]]=TODAY()+MOD(2-WEEKDAY(TODAY(),2),7)+IF(WEEKDAY(TODAY(),2)=2,7,0)</f>
        <v>0</v>
      </c>
    </row>
    <row r="45" spans="1:7" ht="18.75" x14ac:dyDescent="0.3">
      <c r="A45" s="118">
        <v>45965</v>
      </c>
      <c r="B45" s="118">
        <v>45958</v>
      </c>
      <c r="C45" s="118">
        <v>45964</v>
      </c>
      <c r="D45" s="118">
        <v>45937</v>
      </c>
      <c r="E45" s="118">
        <v>45964</v>
      </c>
      <c r="F45" s="7" t="s">
        <v>790</v>
      </c>
      <c r="G45" s="7" t="b">
        <f ca="1">_7Day_28Day_250414_[[#This Row],[Report_Due_Date]]=TODAY()+MOD(2-WEEKDAY(TODAY(),2),7)+IF(WEEKDAY(TODAY(),2)=2,7,0)</f>
        <v>0</v>
      </c>
    </row>
    <row r="46" spans="1:7" ht="18.75" x14ac:dyDescent="0.3">
      <c r="A46" s="118">
        <v>45972</v>
      </c>
      <c r="B46" s="118">
        <v>45965</v>
      </c>
      <c r="C46" s="118">
        <v>45971</v>
      </c>
      <c r="D46" s="118">
        <v>45944</v>
      </c>
      <c r="E46" s="118">
        <v>45971</v>
      </c>
      <c r="F46" s="7" t="s">
        <v>791</v>
      </c>
      <c r="G46" s="7" t="b">
        <f ca="1">_7Day_28Day_250414_[[#This Row],[Report_Due_Date]]=TODAY()+MOD(2-WEEKDAY(TODAY(),2),7)+IF(WEEKDAY(TODAY(),2)=2,7,0)</f>
        <v>0</v>
      </c>
    </row>
    <row r="47" spans="1:7" ht="18.75" x14ac:dyDescent="0.3">
      <c r="A47" s="118">
        <v>45979</v>
      </c>
      <c r="B47" s="118">
        <v>45972</v>
      </c>
      <c r="C47" s="118">
        <v>45978</v>
      </c>
      <c r="D47" s="118">
        <v>45951</v>
      </c>
      <c r="E47" s="118">
        <v>45978</v>
      </c>
      <c r="F47" s="7" t="s">
        <v>792</v>
      </c>
      <c r="G47" s="7" t="b">
        <f ca="1">_7Day_28Day_250414_[[#This Row],[Report_Due_Date]]=TODAY()+MOD(2-WEEKDAY(TODAY(),2),7)+IF(WEEKDAY(TODAY(),2)=2,7,0)</f>
        <v>0</v>
      </c>
    </row>
    <row r="48" spans="1:7" ht="18.75" x14ac:dyDescent="0.3">
      <c r="A48" s="118">
        <v>45986</v>
      </c>
      <c r="B48" s="118">
        <v>45979</v>
      </c>
      <c r="C48" s="118">
        <v>45985</v>
      </c>
      <c r="D48" s="118">
        <v>45958</v>
      </c>
      <c r="E48" s="118">
        <v>45985</v>
      </c>
      <c r="F48" s="7" t="s">
        <v>793</v>
      </c>
      <c r="G48" s="7" t="b">
        <f ca="1">_7Day_28Day_250414_[[#This Row],[Report_Due_Date]]=TODAY()+MOD(2-WEEKDAY(TODAY(),2),7)+IF(WEEKDAY(TODAY(),2)=2,7,0)</f>
        <v>0</v>
      </c>
    </row>
    <row r="49" spans="1:7" ht="18.75" x14ac:dyDescent="0.3">
      <c r="A49" s="118">
        <v>45993</v>
      </c>
      <c r="B49" s="118">
        <v>45986</v>
      </c>
      <c r="C49" s="118">
        <v>45992</v>
      </c>
      <c r="D49" s="118">
        <v>45965</v>
      </c>
      <c r="E49" s="118">
        <v>45992</v>
      </c>
      <c r="F49" s="7" t="s">
        <v>794</v>
      </c>
      <c r="G49" s="7" t="b">
        <f ca="1">_7Day_28Day_250414_[[#This Row],[Report_Due_Date]]=TODAY()+MOD(2-WEEKDAY(TODAY(),2),7)+IF(WEEKDAY(TODAY(),2)=2,7,0)</f>
        <v>0</v>
      </c>
    </row>
    <row r="50" spans="1:7" ht="18.75" x14ac:dyDescent="0.3">
      <c r="A50" s="118">
        <v>46000</v>
      </c>
      <c r="B50" s="118">
        <v>45993</v>
      </c>
      <c r="C50" s="118">
        <v>45999</v>
      </c>
      <c r="D50" s="118">
        <v>45972</v>
      </c>
      <c r="E50" s="118">
        <v>45999</v>
      </c>
      <c r="F50" s="7" t="s">
        <v>795</v>
      </c>
      <c r="G50" s="7" t="b">
        <f ca="1">_7Day_28Day_250414_[[#This Row],[Report_Due_Date]]=TODAY()+MOD(2-WEEKDAY(TODAY(),2),7)+IF(WEEKDAY(TODAY(),2)=2,7,0)</f>
        <v>0</v>
      </c>
    </row>
    <row r="51" spans="1:7" ht="18.75" x14ac:dyDescent="0.3">
      <c r="A51" s="118">
        <v>46007</v>
      </c>
      <c r="B51" s="118">
        <v>46000</v>
      </c>
      <c r="C51" s="118">
        <v>46006</v>
      </c>
      <c r="D51" s="118">
        <v>45979</v>
      </c>
      <c r="E51" s="118">
        <v>46006</v>
      </c>
      <c r="F51" s="7" t="s">
        <v>796</v>
      </c>
      <c r="G51" s="7" t="b">
        <f ca="1">_7Day_28Day_250414_[[#This Row],[Report_Due_Date]]=TODAY()+MOD(2-WEEKDAY(TODAY(),2),7)+IF(WEEKDAY(TODAY(),2)=2,7,0)</f>
        <v>0</v>
      </c>
    </row>
    <row r="52" spans="1:7" ht="15.75" x14ac:dyDescent="0.25">
      <c r="A52" s="119">
        <v>46014</v>
      </c>
      <c r="B52" s="119">
        <v>46007</v>
      </c>
      <c r="C52" s="119">
        <v>46013</v>
      </c>
      <c r="D52" s="119">
        <v>45986</v>
      </c>
      <c r="E52" s="119">
        <v>46013</v>
      </c>
      <c r="F52" s="120" t="s">
        <v>797</v>
      </c>
      <c r="G52" s="119" t="b">
        <f ca="1">_7Day_28Day_250414_[[#This Row],[Report_Due_Date]]=TODAY()+MOD(2-WEEKDAY(TODAY(),2),7)+IF(WEEKDAY(TODAY(),2)=2,7,0)</f>
        <v>0</v>
      </c>
    </row>
    <row r="53" spans="1:7" ht="15.75" x14ac:dyDescent="0.25">
      <c r="A53" s="119">
        <v>46021</v>
      </c>
      <c r="B53" s="119">
        <v>46014</v>
      </c>
      <c r="C53" s="119">
        <v>46020</v>
      </c>
      <c r="D53" s="119">
        <v>45993</v>
      </c>
      <c r="E53" s="119">
        <v>46020</v>
      </c>
      <c r="F53" s="120" t="s">
        <v>798</v>
      </c>
      <c r="G53" s="119" t="b">
        <f ca="1">_7Day_28Day_250414_[[#This Row],[Report_Due_Date]]=TODAY()+MOD(2-WEEKDAY(TODAY(),2),7)+IF(WEEKDAY(TODAY(),2)=2,7,0)</f>
        <v>0</v>
      </c>
    </row>
  </sheetData>
  <conditionalFormatting sqref="A2:G53">
    <cfRule type="expression" dxfId="0" priority="1">
      <formula>$G2=TRUE</formula>
    </cfRule>
  </conditionalFormatting>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_activity xmlns="b1bf5c3b-6d54-46d3-b945-dfb4607c5fc2" xsi:nil="true"/>
  </documentManagement>
</p:properties>
</file>

<file path=customXml/item2.xml>��
</file>

<file path=customXml/item3.xml><?xml version="1.0" encoding="utf-8"?>
<ct:contentTypeSchema xmlns:ct="http://schemas.microsoft.com/office/2006/metadata/contentType" xmlns:ma="http://schemas.microsoft.com/office/2006/metadata/properties/metaAttributes" ct:_="" ma:_="" ma:contentTypeName="Document" ma:contentTypeID="0x010100601B980016700041A859C26B0CBE3010" ma:contentTypeVersion="16" ma:contentTypeDescription="Create a new document." ma:contentTypeScope="" ma:versionID="1209fce709753742879aa2378553e378">
  <xsd:schema xmlns:xsd="http://www.w3.org/2001/XMLSchema" xmlns:xs="http://www.w3.org/2001/XMLSchema" xmlns:p="http://schemas.microsoft.com/office/2006/metadata/properties" xmlns:ns3="b1bf5c3b-6d54-46d3-b945-dfb4607c5fc2" xmlns:ns4="a7c3798e-333d-4d8c-b7f0-61d3254dbad2" targetNamespace="http://schemas.microsoft.com/office/2006/metadata/properties" ma:root="true" ma:fieldsID="5789b25bd9b028519a2563d031c469c4" ns3:_="" ns4:_="">
    <xsd:import namespace="b1bf5c3b-6d54-46d3-b945-dfb4607c5fc2"/>
    <xsd:import namespace="a7c3798e-333d-4d8c-b7f0-61d3254dbad2"/>
    <xsd:element name="properties">
      <xsd:complexType>
        <xsd:sequence>
          <xsd:element name="documentManagement">
            <xsd:complexType>
              <xsd:all>
                <xsd:element ref="ns3:MediaServiceMetadata" minOccurs="0"/>
                <xsd:element ref="ns3:MediaServiceFastMetadata" minOccurs="0"/>
                <xsd:element ref="ns3:_activity" minOccurs="0"/>
                <xsd:element ref="ns4:SharedWithUsers" minOccurs="0"/>
                <xsd:element ref="ns4:SharedWithDetails" minOccurs="0"/>
                <xsd:element ref="ns4:SharingHintHash" minOccurs="0"/>
                <xsd:element ref="ns3:MediaServiceDateTaken" minOccurs="0"/>
                <xsd:element ref="ns3:MediaServiceAutoTags" minOccurs="0"/>
                <xsd:element ref="ns3:MediaLengthInSeconds" minOccurs="0"/>
                <xsd:element ref="ns3:MediaServiceLocation" minOccurs="0"/>
                <xsd:element ref="ns3:MediaServiceGenerationTime" minOccurs="0"/>
                <xsd:element ref="ns3:MediaServiceEventHashCode" minOccurs="0"/>
                <xsd:element ref="ns3:MediaServiceOCR" minOccurs="0"/>
                <xsd:element ref="ns3:MediaServiceObjectDetectorVersions" minOccurs="0"/>
                <xsd:element ref="ns3:MediaServiceSystemTags"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1bf5c3b-6d54-46d3-b945-dfb4607c5fc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_activity" ma:index="10" nillable="true" ma:displayName="_activity" ma:hidden="true" ma:internalName="_activity">
      <xsd:simpleType>
        <xsd:restriction base="dms:Note"/>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AutoTags" ma:index="15" nillable="true" ma:displayName="Tags" ma:internalName="MediaServiceAutoTags" ma:readOnly="true">
      <xsd:simpleType>
        <xsd:restriction base="dms:Text"/>
      </xsd:simpleType>
    </xsd:element>
    <xsd:element name="MediaLengthInSeconds" ma:index="16" nillable="true" ma:displayName="MediaLengthInSeconds" ma:hidden="true" ma:internalName="MediaLengthInSeconds" ma:readOnly="true">
      <xsd:simpleType>
        <xsd:restriction base="dms:Unknown"/>
      </xsd:simpleType>
    </xsd:element>
    <xsd:element name="MediaServiceLocation" ma:index="17" nillable="true" ma:displayName="Location" ma:indexed="true" ma:internalName="MediaServiceLocation" ma:readOnly="true">
      <xsd:simpleType>
        <xsd:restriction base="dms:Text"/>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OCR" ma:index="20" nillable="true" ma:displayName="Extracted Text" ma:internalName="MediaServiceOCR" ma:readOnly="true">
      <xsd:simpleType>
        <xsd:restriction base="dms:Note">
          <xsd:maxLength value="255"/>
        </xsd:restriction>
      </xsd:simpleType>
    </xsd:element>
    <xsd:element name="MediaServiceObjectDetectorVersions" ma:index="21" nillable="true" ma:displayName="MediaServiceObjectDetectorVersions" ma:hidden="true" ma:indexed="true" ma:internalName="MediaServiceObjectDetectorVersions" ma:readOnly="true">
      <xsd:simpleType>
        <xsd:restriction base="dms:Text"/>
      </xsd:simpleType>
    </xsd:element>
    <xsd:element name="MediaServiceSystemTags" ma:index="22" nillable="true" ma:displayName="MediaServiceSystemTags" ma:hidden="true" ma:internalName="MediaServiceSystemTags" ma:readOnly="true">
      <xsd:simpleType>
        <xsd:restriction base="dms:Note"/>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a7c3798e-333d-4d8c-b7f0-61d3254dbad2" elementFormDefault="qualified">
    <xsd:import namespace="http://schemas.microsoft.com/office/2006/documentManagement/types"/>
    <xsd:import namespace="http://schemas.microsoft.com/office/infopath/2007/PartnerControls"/>
    <xsd:element name="SharedWithUsers" ma:index="1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Shared With Details" ma:internalName="SharedWithDetails" ma:readOnly="true">
      <xsd:simpleType>
        <xsd:restriction base="dms:Note">
          <xsd:maxLength value="255"/>
        </xsd:restriction>
      </xsd:simpleType>
    </xsd:element>
    <xsd:element name="SharingHintHash" ma:index="13"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52810D0D-F7EB-4155-BDDE-E199544D9328}">
  <ds:schemaRefs>
    <ds:schemaRef ds:uri="http://schemas.microsoft.com/office/2006/metadata/properties"/>
    <ds:schemaRef ds:uri="http://schemas.microsoft.com/office/infopath/2007/PartnerControls"/>
    <ds:schemaRef ds:uri="b1bf5c3b-6d54-46d3-b945-dfb4607c5fc2"/>
  </ds:schemaRefs>
</ds:datastoreItem>
</file>

<file path=customXml/itemProps2.xml><?xml version="1.0" encoding="utf-8"?>
<ds:datastoreItem xmlns:ds="http://schemas.openxmlformats.org/officeDocument/2006/customXml" ds:itemID="{A3093440-9B82-429A-AB14-5B94A942AFFA}">
  <ds:schemaRefs>
    <ds:schemaRef ds:uri="http://schemas.microsoft.com/DataMashup"/>
  </ds:schemaRefs>
</ds:datastoreItem>
</file>

<file path=customXml/itemProps3.xml><?xml version="1.0" encoding="utf-8"?>
<ds:datastoreItem xmlns:ds="http://schemas.openxmlformats.org/officeDocument/2006/customXml" ds:itemID="{21E17DD6-CAB6-420A-A95D-C32957EEB92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1bf5c3b-6d54-46d3-b945-dfb4607c5fc2"/>
    <ds:schemaRef ds:uri="a7c3798e-333d-4d8c-b7f0-61d3254dbad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CB7326F4-C310-4BE5-8C1C-0B665131CBE9}">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34</vt:i4>
      </vt:variant>
      <vt:variant>
        <vt:lpstr>Named Ranges</vt:lpstr>
      </vt:variant>
      <vt:variant>
        <vt:i4>5</vt:i4>
      </vt:variant>
    </vt:vector>
  </HeadingPairs>
  <TitlesOfParts>
    <vt:vector size="39" baseType="lpstr">
      <vt:lpstr>Current_7D</vt:lpstr>
      <vt:lpstr>Current_28D</vt:lpstr>
      <vt:lpstr>Bur_Auto</vt:lpstr>
      <vt:lpstr>Bur_Auto_7D</vt:lpstr>
      <vt:lpstr>BUR_AUTO_PT</vt:lpstr>
      <vt:lpstr>Bur_C_R_28D (2)</vt:lpstr>
      <vt:lpstr>Bur_C_R</vt:lpstr>
      <vt:lpstr>Bur_C_R_7D</vt:lpstr>
      <vt:lpstr>Bur_C_R_28D</vt:lpstr>
      <vt:lpstr>BUR_C_R_PT</vt:lpstr>
      <vt:lpstr>MV_Theft</vt:lpstr>
      <vt:lpstr>_MV_THEFT_7DAY</vt:lpstr>
      <vt:lpstr>MV_THEFT_28D</vt:lpstr>
      <vt:lpstr>MV_THEFT_PT</vt:lpstr>
      <vt:lpstr>Robbery</vt:lpstr>
      <vt:lpstr>Robbery_28D</vt:lpstr>
      <vt:lpstr>_Robbery_7D</vt:lpstr>
      <vt:lpstr>ROB_PT</vt:lpstr>
      <vt:lpstr>Sexual_Offenses</vt:lpstr>
      <vt:lpstr>Sex_Off_7D</vt:lpstr>
      <vt:lpstr>Sex_Off_28D</vt:lpstr>
      <vt:lpstr>SEXUAL_PT</vt:lpstr>
      <vt:lpstr>Sheet1</vt:lpstr>
      <vt:lpstr>ESRI_Export</vt:lpstr>
      <vt:lpstr>Invoked Function</vt:lpstr>
      <vt:lpstr>25DateFormats</vt:lpstr>
      <vt:lpstr>Debug_Transform_File (2)</vt:lpstr>
      <vt:lpstr>Debug_Transform_File</vt:lpstr>
      <vt:lpstr>Invoked Function (4)</vt:lpstr>
      <vt:lpstr>Invoked Function (3)</vt:lpstr>
      <vt:lpstr>Invoked Function (2)</vt:lpstr>
      <vt:lpstr>EXPORT_RMS</vt:lpstr>
      <vt:lpstr>_7Day_28Day_250414_ (2)</vt:lpstr>
      <vt:lpstr>_7Day_28Day_250414_</vt:lpstr>
      <vt:lpstr>'Invoked Function'!ExternalData_2</vt:lpstr>
      <vt:lpstr>'Invoked Function (2)'!ExternalData_2</vt:lpstr>
      <vt:lpstr>'Invoked Function (3)'!ExternalData_3</vt:lpstr>
      <vt:lpstr>'Invoked Function (4)'!ExternalData_4</vt:lpstr>
      <vt:lpstr>Debug_Transform_File!ExternalData_5</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Robert Carucci</dc:creator>
  <cp:keywords/>
  <dc:description/>
  <cp:lastModifiedBy>Robert Carucci</cp:lastModifiedBy>
  <cp:revision/>
  <cp:lastPrinted>2025-03-03T00:55:41Z</cp:lastPrinted>
  <dcterms:created xsi:type="dcterms:W3CDTF">2015-06-05T18:17:20Z</dcterms:created>
  <dcterms:modified xsi:type="dcterms:W3CDTF">2025-05-17T14:52:19Z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0x010100601B980016700041A859C26B0CBE3010</vt:lpwstr>
  </property>
</Properties>
</file>