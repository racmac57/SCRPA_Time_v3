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ivotTables/pivotTable3.xml" ContentType="application/vnd.openxmlformats-officedocument.spreadsheetml.pivotTable+xml"/>
  <Override PartName="/xl/drawings/drawing1.xml" ContentType="application/vnd.openxmlformats-officedocument.drawing+xml"/>
  <Override PartName="/xl/tables/table3.xml" ContentType="application/vnd.openxmlformats-officedocument.spreadsheetml.table+xml"/>
  <Override PartName="/xl/queryTables/queryTable1.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4.xml" ContentType="application/vnd.openxmlformats-officedocument.spreadsheetml.pivotTable+xml"/>
  <Override PartName="/xl/tables/table4.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05" codeName="{DD97A8EA-9A9A-E61F-A557-7D5A7D7259CE}"/>
  <workbookPr codeName="ThisWorkbook"/>
  <mc:AlternateContent xmlns:mc="http://schemas.openxmlformats.org/markup-compatibility/2006">
    <mc:Choice Requires="x15">
      <x15ac:absPath xmlns:x15ac="http://schemas.microsoft.com/office/spreadsheetml/2010/11/ac" url="https://hackensack-my.sharepoint.com/personal/rcarucci_hackensackpd_org/Documents/_25_SCRPA/TIME_Based/"/>
    </mc:Choice>
  </mc:AlternateContent>
  <xr:revisionPtr revIDLastSave="549" documentId="8_{D6DBEA6B-41CA-4024-B140-951495D40045}" xr6:coauthVersionLast="47" xr6:coauthVersionMax="47" xr10:uidLastSave="{096FC52E-7D13-4979-B589-5F8095ED655C}"/>
  <bookViews>
    <workbookView xWindow="48135" yWindow="-20025" windowWidth="22635" windowHeight="15345" tabRatio="746" firstSheet="2" activeTab="4" xr2:uid="{00000000-000D-0000-FFFF-FFFF00000000}"/>
  </bookViews>
  <sheets>
    <sheet name="BUR_AUTO_PT" sheetId="12" r:id="rId1"/>
    <sheet name="Bur_C_R_28D (2)" sheetId="34" state="hidden" r:id="rId2"/>
    <sheet name="All_Crimes" sheetId="54" r:id="rId3"/>
    <sheet name="Sheet3" sheetId="56" r:id="rId4"/>
    <sheet name="Sexual_Offenses" sheetId="53" r:id="rId5"/>
    <sheet name="robPT" sheetId="59" r:id="rId6"/>
    <sheet name="Robbery" sheetId="52" r:id="rId7"/>
    <sheet name="Motor_Vehicle_Theft" sheetId="51" r:id="rId8"/>
    <sheet name="Auto_Burglary" sheetId="50" r:id="rId9"/>
    <sheet name="Burglary_Commercial_Residential" sheetId="49" r:id="rId10"/>
    <sheet name="BUR_C_R_PT" sheetId="11" r:id="rId11"/>
    <sheet name="_7Day_28Day_250414_ (2)" sheetId="31" state="hidden" r:id="rId12"/>
  </sheets>
  <definedNames>
    <definedName name="_xlcn.WorksheetConnection_Time_SCRPA_Master_2.0.xlsmAll_Crimes1" hidden="1">All_Crimes[]</definedName>
    <definedName name="ExternalData_1" localSheetId="11" hidden="1">'_7Day_28Day_250414_ (2)'!$A$1:$G$53</definedName>
    <definedName name="ExternalData_10" localSheetId="2" hidden="1">All_Crimes!$A$1:$AP$100</definedName>
    <definedName name="ExternalData_2" localSheetId="0" hidden="1">BUR_AUTO_PT!#REF!</definedName>
    <definedName name="ExternalData_3" localSheetId="10" hidden="1">BUR_C_R_PT!$M$1:$BN$11</definedName>
    <definedName name="ExternalData_5" localSheetId="9" hidden="1">Burglary_Commercial_Residential!$A$1:$BI$26</definedName>
    <definedName name="ExternalData_6" localSheetId="8" hidden="1">Auto_Burglary!$A$1:$BI$47</definedName>
    <definedName name="ExternalData_6" localSheetId="1" hidden="1">'Bur_C_R_28D (2)'!$A$1:$H$7</definedName>
    <definedName name="ExternalData_7" localSheetId="7" hidden="1">Motor_Vehicle_Theft!$A$1:$AM$24</definedName>
    <definedName name="ExternalData_8" localSheetId="6" hidden="1">'Robbery'!$A$1:$BJ$17</definedName>
    <definedName name="ExternalData_9" localSheetId="4" hidden="1">Sexual_Offenses!$A$1:$BJ$16</definedName>
  </definedNames>
  <calcPr calcId="191028"/>
  <pivotCaches>
    <pivotCache cacheId="0" r:id="rId13"/>
    <pivotCache cacheId="1" r:id="rId14"/>
    <pivotCache cacheId="2" r:id="rId15"/>
    <pivotCache cacheId="3" r:id="rId16"/>
    <pivotCache cacheId="12" r:id="rId17"/>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ll_Crimes" name="All_Crimes" connection="WorksheetConnection_Time_SCRPA_Master_2.0.xlsm!All_Crime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3" i="11" l="1" a="1"/>
  <c r="A33" i="11" s="1"/>
  <c r="A15" i="11" a="1"/>
  <c r="A15" i="11" s="1"/>
  <c r="A35" i="12" a="1"/>
  <c r="A35" i="12"/>
  <c r="A17" i="12" a="1"/>
  <c r="A17"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_7Day_28Day_250414_" description="Connection to the '_7Day_28Day_250414_' query in the workbook." type="5" refreshedVersion="8" background="1" saveData="1">
    <dbPr connection="Provider=Microsoft.Mashup.OleDb.1;Data Source=$Workbook$;Location=_7Day_28Day_250414_;Extended Properties=&quot;&quot;" command="SELECT * FROM [_7Day_28Day_250414_]"/>
  </connection>
  <connection id="2" xr16:uid="{00000000-0015-0000-FFFF-FFFF01000000}" keepAlive="1" name="Query - All_Crimes" description="Connection to the 'All_Crimes' query in the workbook." type="5" refreshedVersion="8" background="1" saveData="1">
    <dbPr connection="Provider=Microsoft.Mashup.OleDb.1;Data Source=$Workbook$;Location=All_Crimes;Extended Properties=&quot;&quot;" command="SELECT * FROM [All_Crimes]"/>
  </connection>
  <connection id="3" xr16:uid="{00000000-0015-0000-FFFF-FFFF02000000}" keepAlive="1" name="Query - Auto_Burglary" description="Connection to the 'Auto_Burglary' query in the workbook." type="5" refreshedVersion="8" background="1" saveData="1">
    <dbPr connection="Provider=Microsoft.Mashup.OleDb.1;Data Source=$Workbook$;Location=Auto_Burglary;Extended Properties=&quot;&quot;" command="SELECT * FROM [Auto_Burglary]"/>
  </connection>
  <connection id="4" xr16:uid="{00000000-0015-0000-FFFF-FFFF03000000}" keepAlive="1" name="Query - Burglary_Commercial_Residential" description="Connection to the 'Burglary_Commercial_Residential' query in the workbook." type="5" refreshedVersion="8" background="1" saveData="1">
    <dbPr connection="Provider=Microsoft.Mashup.OleDb.1;Data Source=$Workbook$;Location=Burglary_Commercial_Residential;Extended Properties=&quot;&quot;" command="SELECT * FROM [Burglary_Commercial_Residential]"/>
  </connection>
  <connection id="5" xr16:uid="{00000000-0015-0000-FFFF-FFFF04000000}" keepAlive="1" name="Query - EXPORT_RMS" description="Connection to the 'EXPORT_RMS' query in the workbook." type="5" refreshedVersion="8" background="1" saveData="1">
    <dbPr connection="Provider=Microsoft.Mashup.OleDb.1;Data Source=$Workbook$;Location=EXPORT_RMS;Extended Properties=&quot;&quot;" command="SELECT * FROM [EXPORT_RMS]"/>
  </connection>
  <connection id="6" xr16:uid="{00000000-0015-0000-FFFF-FFFF05000000}" keepAlive="1" name="Query - fnExtractAfterKeyword" description="Connection to the 'fnExtractAfterKeyword' query in the workbook." type="5" refreshedVersion="0" background="1">
    <dbPr connection="Provider=Microsoft.Mashup.OleDb.1;Data Source=$Workbook$;Location=fnExtractAfterKeyword;Extended Properties=&quot;&quot;" command="SELECT * FROM [fnExtractAfterKeyword]"/>
  </connection>
  <connection id="7" xr16:uid="{00000000-0015-0000-FFFF-FFFF06000000}" keepAlive="1" name="Query - Motor_Vehicle_Theft" description="Connection to the 'Motor_Vehicle_Theft' query in the workbook." type="5" refreshedVersion="8" background="1" saveData="1">
    <dbPr connection="Provider=Microsoft.Mashup.OleDb.1;Data Source=$Workbook$;Location=Motor_Vehicle_Theft;Extended Properties=&quot;&quot;" command="SELECT * FROM [Motor_Vehicle_Theft]"/>
  </connection>
  <connection id="8" xr16:uid="{00000000-0015-0000-FFFF-FFFF07000000}"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9" xr16:uid="{00000000-0015-0000-FFFF-FFFF08000000}"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10" xr16:uid="{00000000-0015-0000-FFFF-FFFF09000000}" keepAlive="1" name="Query - Robbery(1)" description="Connection to the 'Robbery' query in the workbook." type="5" refreshedVersion="8" background="1" saveData="1">
    <dbPr connection="Provider=Microsoft.Mashup.OleDb.1;Data Source=$Workbook$;Location=Robbery;Extended Properties=&quot;&quot;" command="SELECT * FROM [Robbery]"/>
  </connection>
  <connection id="11" xr16:uid="{00000000-0015-0000-FFFF-FFFF0A000000}"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2" xr16:uid="{00000000-0015-0000-FFFF-FFFF0B000000}"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3" xr16:uid="{00000000-0015-0000-FFFF-FFFF0C000000}" keepAlive="1" name="Query - Sexual_Offenses(1)" description="Connection to the 'Sexual_Offenses' query in the workbook." type="5" refreshedVersion="8" background="1" saveData="1">
    <dbPr connection="Provider=Microsoft.Mashup.OleDb.1;Data Source=$Workbook$;Location=Sexual_Offenses;Extended Properties=&quot;&quot;" command="SELECT * FROM [Sexual_Offenses]"/>
  </connection>
  <connection id="14" xr16:uid="{00000000-0015-0000-FFFF-FFFF0D000000}" keepAlive="1" name="Query - Transform FileB1" description="Connection to the 'Transform FileB1' query in the workbook." type="5" refreshedVersion="0" background="1">
    <dbPr connection="Provider=Microsoft.Mashup.OleDb.1;Data Source=$Workbook$;Location=&quot;Transform FileB1&quot;;Extended Properties=&quot;&quot;" command="SELECT * FROM [Transform FileB1]"/>
  </connection>
  <connection id="15" xr16:uid="{00000000-0015-0000-FFFF-FFFF0E000000}"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6" xr16:uid="{00000000-0015-0000-FFFF-FFFF0F000000}" keepAlive="1" name="Query - Transform_FileA1" description="Connection to the 'Transform_FileA1' query in the workbook." type="5" refreshedVersion="0" background="1">
    <dbPr connection="Provider=Microsoft.Mashup.OleDb.1;Data Source=$Workbook$;Location=Transform_FileA1;Extended Properties=&quot;&quot;" command="SELECT * FROM [Transform_FileA1]"/>
  </connection>
  <connection id="17" xr16:uid="{00000000-0015-0000-FFFF-FFFF10000000}" keepAlive="1" name="Query - Transform_FileA2" description="Connection to the 'Transform_FileA2' query in the workbook." type="5" refreshedVersion="0" background="1">
    <dbPr connection="Provider=Microsoft.Mashup.OleDb.1;Data Source=$Workbook$;Location=Transform_FileA2;Extended Properties=&quot;&quot;" command="SELECT * FROM [Transform_FileA2]"/>
  </connection>
  <connection id="18" xr16:uid="{00000000-0015-0000-FFFF-FFFF11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00000000-0015-0000-FFFF-FFFF12000000}" name="WorksheetConnection_Time_SCRPA_Master_2.0.xlsm!All_Crimes" type="102" refreshedVersion="8" minRefreshableVersion="5">
    <extLst>
      <ext xmlns:x15="http://schemas.microsoft.com/office/spreadsheetml/2010/11/main" uri="{DE250136-89BD-433C-8126-D09CA5730AF9}">
        <x15:connection id="All_Crimes" autoDelete="1">
          <x15:rangePr sourceName="_xlcn.WorksheetConnection_Time_SCRPA_Master_2.0.xlsmAll_Crimes1"/>
        </x15:connection>
      </ext>
    </extLst>
  </connection>
</connections>
</file>

<file path=xl/metadata.xml><?xml version="1.0" encoding="utf-8"?>
<metadata xmlns="http://schemas.openxmlformats.org/spreadsheetml/2006/main" xmlns:xda="http://schemas.microsoft.com/office/spreadsheetml/2017/dynamicarray">
  <metadataTypes count="2">
    <metadataType name="XLDAPR" minSupportedVersion="120000" copy="1" pasteAll="1" pasteValues="1" merge="1" splitFirst="1" rowColShift="1" clearFormats="1" clearComments="1" assign="1" coerce="1" cellMeta="1"/>
    <metadataType name="XLMDX" minSupportedVersion="120000" copy="1" pasteAll="1" pasteValues="1" merge="1" splitFirst="1" rowColShift="1" clearFormats="1" clearComments="1" assign="1" coerce="1"/>
  </metadataTypes>
  <metadataStrings count="2">
    <s v="ThisWorkbookDataModel"/>
    <s v="{[All_Crimes].[ALL_INCIDENTS].&amp;[Sexual Assault - 2C:14-2b],[All_Crimes].[ALL_INCIDENTS].&amp;[Criminal Sexual Contact - 2C:14-3a],[All_Crimes].[ALL_INCIDENTS].&amp;[Sexual Assault - 2C:14-2b - Juvenile Investigation],[All_Crimes].[ALL_INCIDENTS].&amp;[Exceptionally Cleared/Closed - Sexual Assault - 2C:14-2b],[All_Crimes].[ALL_INCIDENTS].&amp;[Criminal Sexual Contact - 2C:14-3a - Juvenile Investigation],[All_Crimes].[ALL_INCIDENTS].&amp;[Mental Health Incident - Sexual Assault - 2C:14-2b - Juvenile Investigation]}"/>
  </metadataStrings>
  <mdxMetadata count="1">
    <mdx n="0" f="s">
      <ms ns="1" c="0"/>
    </mdx>
  </mdxMetadata>
  <futureMetadata name="XLDAPR" count="1">
    <bk>
      <extLst>
        <ext uri="{bdbb8cdc-fa1e-496e-a857-3c3f30c029c3}">
          <xda:dynamicArrayProperties fDynamic="1" fCollapsed="0"/>
        </ext>
      </extLst>
    </bk>
  </futureMetadata>
  <cellMetadata count="1">
    <bk>
      <rc t="1" v="0"/>
    </bk>
  </cellMetadata>
  <valueMetadata count="1">
    <bk>
      <rc t="2" v="0"/>
    </bk>
  </valueMetadata>
</metadata>
</file>

<file path=xl/sharedStrings.xml><?xml version="1.0" encoding="utf-8"?>
<sst xmlns="http://schemas.openxmlformats.org/spreadsheetml/2006/main" count="6167" uniqueCount="1052">
  <si>
    <t>Case Number</t>
  </si>
  <si>
    <t>INC_DATE</t>
  </si>
  <si>
    <t>TOD</t>
  </si>
  <si>
    <t>Start of Hour</t>
  </si>
  <si>
    <t>INC_TIME</t>
  </si>
  <si>
    <t>Day Name</t>
  </si>
  <si>
    <t>Month Name</t>
  </si>
  <si>
    <t>BLOCK</t>
  </si>
  <si>
    <t>Location</t>
  </si>
  <si>
    <t>Incident Type_1</t>
  </si>
  <si>
    <t>ALL_INCIDENTS</t>
  </si>
  <si>
    <t>Incident Type_2</t>
  </si>
  <si>
    <t>Incident Type_3</t>
  </si>
  <si>
    <t>FullAddress</t>
  </si>
  <si>
    <t>Grid</t>
  </si>
  <si>
    <t>Zone</t>
  </si>
  <si>
    <t>Narrative</t>
  </si>
  <si>
    <t>Total Value Stolen</t>
  </si>
  <si>
    <t>Total Value Recover</t>
  </si>
  <si>
    <t>Registration 1</t>
  </si>
  <si>
    <t>Make1</t>
  </si>
  <si>
    <t>Model1</t>
  </si>
  <si>
    <t>Reg State 1</t>
  </si>
  <si>
    <t>Registration 2</t>
  </si>
  <si>
    <t>Reg State 2</t>
  </si>
  <si>
    <t>Make2</t>
  </si>
  <si>
    <t>Model2</t>
  </si>
  <si>
    <t>Reviewed By</t>
  </si>
  <si>
    <t>CompleteCalc</t>
  </si>
  <si>
    <t>Officer of Record</t>
  </si>
  <si>
    <t>Squad</t>
  </si>
  <si>
    <t>Det_Assigned</t>
  </si>
  <si>
    <t>Case_Status</t>
  </si>
  <si>
    <t>NIBRS Classification</t>
  </si>
  <si>
    <t>CASE_NUMBER_LENGTH</t>
  </si>
  <si>
    <t>Incident Date</t>
  </si>
  <si>
    <t>Incident Time</t>
  </si>
  <si>
    <t>Incident Date_Between</t>
  </si>
  <si>
    <t>Incident Time_Between</t>
  </si>
  <si>
    <t>Report Date</t>
  </si>
  <si>
    <t>Report Time</t>
  </si>
  <si>
    <t>Year</t>
  </si>
  <si>
    <t>Week of Year</t>
  </si>
  <si>
    <t>Week of Month</t>
  </si>
  <si>
    <t>Day</t>
  </si>
  <si>
    <t>Day of Year</t>
  </si>
  <si>
    <t>INC_DATE_AND_TIME</t>
  </si>
  <si>
    <t>St#</t>
  </si>
  <si>
    <t>VEHICLE</t>
  </si>
  <si>
    <t>Suspect</t>
  </si>
  <si>
    <t>TOTAL_STOLEN_AMOUNT</t>
  </si>
  <si>
    <t>REPORT_CYCLE</t>
  </si>
  <si>
    <t>TIME_OF_DAY</t>
  </si>
  <si>
    <t>25-002635</t>
  </si>
  <si>
    <t>12:00-15:59 Afternoon</t>
  </si>
  <si>
    <t>January</t>
  </si>
  <si>
    <t>Prospect Ave, 0 Block</t>
  </si>
  <si>
    <t/>
  </si>
  <si>
    <t>90 Prospect Avenue, Hackensack, NJ, 07601</t>
  </si>
  <si>
    <t>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t>
  </si>
  <si>
    <t>XCSW43</t>
  </si>
  <si>
    <t>HONDA</t>
  </si>
  <si>
    <t>PIL</t>
  </si>
  <si>
    <t>NJ</t>
  </si>
  <si>
    <t>Deleon_A</t>
  </si>
  <si>
    <t>Complete</t>
  </si>
  <si>
    <t>P.O. Ruben Almonte 359</t>
  </si>
  <si>
    <t>A3</t>
  </si>
  <si>
    <t>Det. Matthew DeBonis 325</t>
  </si>
  <si>
    <t>Active/Administratively Closed</t>
  </si>
  <si>
    <t>23F = Theft From Motor Vehicle</t>
  </si>
  <si>
    <t>Afternoon (12:00-15:59)</t>
  </si>
  <si>
    <t>25-007074</t>
  </si>
  <si>
    <t>206 Stanley Place, Hackensack, NJ, 07601</t>
  </si>
  <si>
    <t>H3</t>
  </si>
  <si>
    <t>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t>
  </si>
  <si>
    <t>R36GBB</t>
  </si>
  <si>
    <t>CRV</t>
  </si>
  <si>
    <t>Levis_R</t>
  </si>
  <si>
    <t>P.O. Massimo Gallorini 379</t>
  </si>
  <si>
    <t>A2</t>
  </si>
  <si>
    <t>Sgt. Franklin Bay 162</t>
  </si>
  <si>
    <t>No Investigation</t>
  </si>
  <si>
    <t>Evening Peak (16:00-19:59)</t>
  </si>
  <si>
    <t>25-007197</t>
  </si>
  <si>
    <t>20:00-23:59 Night</t>
  </si>
  <si>
    <t>Pangborn Pl, 0 Block</t>
  </si>
  <si>
    <t>5 Pangborn Place, Hackensack, NJ, 07601</t>
  </si>
  <si>
    <t>H2</t>
  </si>
  <si>
    <t>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t>
  </si>
  <si>
    <t>R97RYW</t>
  </si>
  <si>
    <t>ODY</t>
  </si>
  <si>
    <t>P.O. Micah Gibson 365</t>
  </si>
  <si>
    <t>Det. Matthew Dogali 338</t>
  </si>
  <si>
    <t>Night (20:00-23:59)</t>
  </si>
  <si>
    <t>25-012325</t>
  </si>
  <si>
    <t>February</t>
  </si>
  <si>
    <t>East Pleasantview Avenue &amp; Kipp Street, Hackensack, NJ, 07601</t>
  </si>
  <si>
    <t>F3</t>
  </si>
  <si>
    <t>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t>
  </si>
  <si>
    <t>XGDR55</t>
  </si>
  <si>
    <t>FORD</t>
  </si>
  <si>
    <t>R1Z</t>
  </si>
  <si>
    <t>Swetits_M</t>
  </si>
  <si>
    <t>P.O. Angelo Vicale 370</t>
  </si>
  <si>
    <t>B3</t>
  </si>
  <si>
    <t>Det. Demetrius Carroll 133</t>
  </si>
  <si>
    <t>Active Investigation</t>
  </si>
  <si>
    <t>(All)</t>
  </si>
  <si>
    <t>Count of Case Number</t>
  </si>
  <si>
    <t>25-004478</t>
  </si>
  <si>
    <t>Second St, 0 Block</t>
  </si>
  <si>
    <t>30 Second Street</t>
  </si>
  <si>
    <t>Burglary - Residence</t>
  </si>
  <si>
    <t>30 Second Street, Hackensack, NJ, 07601</t>
  </si>
  <si>
    <t>G3</t>
  </si>
  <si>
    <t>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t>
  </si>
  <si>
    <t>P.O. Aziah Miller 357</t>
  </si>
  <si>
    <t>220 = Burglary/Breaking &amp; Entering</t>
  </si>
  <si>
    <t>suspects at the time this report was taken</t>
  </si>
  <si>
    <t>$35.00. A Victim Notification was completed and the victim was provided with a copy upon our departure</t>
  </si>
  <si>
    <t>25-006864</t>
  </si>
  <si>
    <t>08:00-11:59 Morning Peak</t>
  </si>
  <si>
    <t>Kansas St, 0 Block</t>
  </si>
  <si>
    <t>60 Kansas Street</t>
  </si>
  <si>
    <t>60 Kansas Street, Hackensack, NJ, 07601</t>
  </si>
  <si>
    <t>E1</t>
  </si>
  <si>
    <t>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t>
  </si>
  <si>
    <t>P.O. Andres Lopez 375</t>
  </si>
  <si>
    <t>suspects inside</t>
  </si>
  <si>
    <t>$2,000 in miscellaneous jewelry. She described the jewelry to be earrings and gold necklaces.The victim reported she had the same incident occur in 2023</t>
  </si>
  <si>
    <t>Morning Peak (08:00-11:59)</t>
  </si>
  <si>
    <t>25-008551</t>
  </si>
  <si>
    <t>The Esplanade, 200 Block</t>
  </si>
  <si>
    <t>292 The Esplanade</t>
  </si>
  <si>
    <t>292 The Esplanade, Hackensack, NJ, 07601</t>
  </si>
  <si>
    <t>H5</t>
  </si>
  <si>
    <t>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t>
  </si>
  <si>
    <t>Klosk_J</t>
  </si>
  <si>
    <t>P.O. Denisse Caero 367</t>
  </si>
  <si>
    <t>B2</t>
  </si>
  <si>
    <t>Det. John Tanucilli 335</t>
  </si>
  <si>
    <t>25-009831</t>
  </si>
  <si>
    <t>00:00-03:59 Early Morning</t>
  </si>
  <si>
    <t>Passaic St, 400 Block</t>
  </si>
  <si>
    <t>441 Passaic Street</t>
  </si>
  <si>
    <t>Burglary - Commercial</t>
  </si>
  <si>
    <t>Burglary - Commercial, Alarm - Burglar</t>
  </si>
  <si>
    <t>Alarm - Burglar</t>
  </si>
  <si>
    <t>441 Passaic Street, Hackensack, NJ, 07601</t>
  </si>
  <si>
    <t>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t>
  </si>
  <si>
    <t>P.O. Benjamin Estrada 350</t>
  </si>
  <si>
    <t>Det. Frank Scarpa 348</t>
  </si>
  <si>
    <t>Early Morning (00:00-03:59)</t>
  </si>
  <si>
    <t>25-013147</t>
  </si>
  <si>
    <t>35 Pangborn Place</t>
  </si>
  <si>
    <t>Burglary - Commercial, Suspicious Incident</t>
  </si>
  <si>
    <t>Suspicious Incident</t>
  </si>
  <si>
    <t>35 Pangborn Place, Hackensack, NJ, 07601</t>
  </si>
  <si>
    <t>I1</t>
  </si>
  <si>
    <t>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t>
  </si>
  <si>
    <t>Sgt. Francesco Tripodi 134</t>
  </si>
  <si>
    <t>Under Supervisor Review</t>
  </si>
  <si>
    <t>suspect(s): unknown     i responded to the listed location, 35 pangborn place - hackensack emergency dental, on a report of a burglary</t>
  </si>
  <si>
    <t>$100.00 USD) and a Keep Connect Router Reporter ( $50.00) had been a taken from the basement. The complainant further stated there did not appear to be any forced entry into the basement $150.00 USD</t>
  </si>
  <si>
    <t>I5</t>
  </si>
  <si>
    <t>Knapp_J</t>
  </si>
  <si>
    <t>P.O. Kevin Small 328</t>
  </si>
  <si>
    <t>Complaint Signed</t>
  </si>
  <si>
    <t>E2</t>
  </si>
  <si>
    <t>P.O. Daniel Francavilla 329</t>
  </si>
  <si>
    <t>B4</t>
  </si>
  <si>
    <t>(Multiple Items)</t>
  </si>
  <si>
    <t>25-000813</t>
  </si>
  <si>
    <t>309 Lookout Avenue, Hackensack, NJ, 07601</t>
  </si>
  <si>
    <t>I2</t>
  </si>
  <si>
    <t>On Saturday, January 4th, 2025, I responded to the listed location on a report of a motor vehicle theft. Upon arrival, I met the registered owner, who reported that his vehicle was parked in the driveway at 21:30 hours on 01/03/2025. He further reported that he left his residence with his friends in his friend's vehicle and returned to his residence on the morning of 01/04/2025. He noticed his vehicle was taken from his driveway. The registered owner reported there was nothing valuable in the car and was uncertain if the spare keys were in the vehicle. Both New Jersey plates are affixed to the vehicle.      Communications advised me that the vehicle was located in Clarkstown, NY, and was involved in a motor vehicle hit-and-run accident. The registered owner was also advised of the vehicle's location. I observed no cameras in the area.      The victim did not want the vehicle processed or to sign complaints if the suspect(s) are identified.     A New Jersey Victim Notification form was completed and provided to the registered owner.     An ATTF entry was completed    A motor vehicle checklist was completed and submitted.</t>
  </si>
  <si>
    <t>W46ULY</t>
  </si>
  <si>
    <t>ACC</t>
  </si>
  <si>
    <t>P.O. Nicholas Mazzaccaro 377</t>
  </si>
  <si>
    <t>Det. Robert Ghirardi 150</t>
  </si>
  <si>
    <t>240 = Theft of Motor Vehicle</t>
  </si>
  <si>
    <t>25-004097</t>
  </si>
  <si>
    <t>244 First Street, Hackensack, NJ, 07601</t>
  </si>
  <si>
    <t>On 01/15/2025 I responded to 244 First Street on a reported motor vehicle theft. Upon arrival I met with the driver of the stolen vehicle, Jeffrey Mejiamorquecho. He reported he parked his motor vehicle in front of 244 First Street facing north at around 24:00 hours. He further reported his mother left his residence at 05:00 hours on the listed date and noticed the vehicle was gone. The driver also reported he received a notification from EZ Pass with a charge from the George Washington Bridge toll at 04:13 hours on the listed date. The driver then walked out with me to where his vehicle was parked and observed broken glass which he suspected to be from his rear passenger side window. The driver advised me the vehicle had 1 plate in the rear and was worth approximately $50,000.00 as the vehicle was fairly new. He further reported he attempted to track the vehicle as it contains tracking equipment but was unsuccessful as it was not connecting. He believes it was disconnected somehow after the vehicle was stolen.240 First Street has cameras in the general direction of where the vehicle was parked. It is unknown at this time if they captured the incident occur.Insurance Information: Company: Geico (369)Policy Number: 6183163036The driver was provided with a completed New Jersey Victim Notification Form.The driver wished to have the vehicle processed if located and a Hackensack Police Consent to Search from was completed.The vehicle was entered into NCIC as stolen by Communications.The vehicle was entered into ATTF as stolen.</t>
  </si>
  <si>
    <t>U38ULG</t>
  </si>
  <si>
    <t>CIV</t>
  </si>
  <si>
    <t>P.O. Frank Lorenzo 371</t>
  </si>
  <si>
    <t>b1</t>
  </si>
  <si>
    <t>25-005871</t>
  </si>
  <si>
    <t>33 Ross Avenue, Hackensack, NJ, 07601</t>
  </si>
  <si>
    <t>On January 22, 2025, I responded to the listed location on a report on a stolen motor vehicle. Upon arrival, I met with the registered owner, Kamil Garcia. The registered owner stated on January 21, 2025 at approximately 1800 hours he parked his vehicle, a 2023 Honda Passport color red bearing NJ registration U22RSV in front of 33 Ross Ave facing West. The registered owner stated that he currently has possession of the two key fobs that belong to the vehicle. At approximately 0309 hours on January 22, 2025 he responded to his vehicle where he last parked it and the vehicle was no longer there.       The registered owner received a completed victim notification. The vehicle was entered as stolen into NCIC (NIC #  V956704006) along with a stolen motor vehicle form. The vehicle was also entered as stolen into the  ATTF website. The registered owner does not wish to have the vehicle processed at this time. Approximate value for the above vehicle is 46,000.00 USD.</t>
  </si>
  <si>
    <t>U22RSV</t>
  </si>
  <si>
    <t>PAS</t>
  </si>
  <si>
    <t>Tovbin_S</t>
  </si>
  <si>
    <t>P.O. Roselys Salas 369</t>
  </si>
  <si>
    <t>25-006083</t>
  </si>
  <si>
    <t>443 Hudson Street, Hackensack, NJ, 07601</t>
  </si>
  <si>
    <t>E3</t>
  </si>
  <si>
    <t>On January 22, 2025, I responded to the listed location on a report of a stolen motor vehicle. Upon arrival, I met with the victim, Melisssa Williams, also registered owner. The victim stated the vehicle has been lodged at 443 Hudson Street with permission of the resident Jermal Clark. The victim stated upon speaking to Jermal Clark he stated "the vehicle was towed off the property early morning and he got some money for it."  Sgt. Tovbin and I spoke to Jermal Clark, who stated that he does not know which towing company towed the vehicle. I asked Jermal Clark if he towed the vehicle off the property and he was uncooperative in answering the question.       The vehicle, a 2006 Nissan Pathfinder color black bearing NJ registration Y62SRJ, was last seen on January 21, 2025 at approximately 1600 hours parked facing South on the listed property. The victim stated that she currently does not have possession of the key. The victim indicated the one key was last in possession of Jermal Clark.       The registered owner received a completed victim notification. The vehicle was entered as stolen into NCIC (NIC # V146697789 ) along with a stolen motor vehicle form. The vehicle was also entered as stolen into the  ATTF website. The registered owner does not wish to have the vehicle processed at this time. Approximate value for the above vehicle is 2,500.00 USD.</t>
  </si>
  <si>
    <t>Y62SRJ</t>
  </si>
  <si>
    <t>NISSAN</t>
  </si>
  <si>
    <t>PTH</t>
  </si>
  <si>
    <t>25-008075</t>
  </si>
  <si>
    <t>Essex St, 100 Block</t>
  </si>
  <si>
    <t>119 Essex Street, Hackensack, NJ, 07601</t>
  </si>
  <si>
    <t>F1</t>
  </si>
  <si>
    <t>On January 29, 2025, I responded to the listed location on a report on a stolen motor vehicle. Upon arrival, I met with the registered owner, Trina Coley. The registered owner stated on January 28, 2025 during the afternoon hours she parked her vehicle , a 2012 Lexus ES color black bearing NJ registration K84CXU in her residence private parking lot facing East. The registered owner stated that she currently does not have possession of the key fob as it was left inside of the vehicle along with her cell phone. At approximately 0930 hours on January 29, 2025 she responded to her vehicle where she last parked it,and the vehicle was no longer there.       The registered owner received a completed victim notification. The vehicle was entered as stolen into NCIC (NIC #V686695547 ) along with a stolen motor vehicle form. The vehicle was also entered as stolen into the ATTF web site. The registered owner does not wish to have the vehicle processed at this time. Approximate value for the above vehicle is 7,000.00 USD and the iPhone 15 at $800.00 USD.</t>
  </si>
  <si>
    <t>K84CXU</t>
  </si>
  <si>
    <t>LEXUS</t>
  </si>
  <si>
    <t>ES</t>
  </si>
  <si>
    <t>Ex-Cleared / Closed</t>
  </si>
  <si>
    <t>25-008777</t>
  </si>
  <si>
    <t>453 Sutton Avenue, Hackensack, NJ, 07601</t>
  </si>
  <si>
    <t>F2</t>
  </si>
  <si>
    <t>On February 1, 2025, I responded to the listed location on a report on a stolen motor vehicle. Upon arrival, I met with the registered owner, Mohammed Almowail. The registered owner stated on February 1, 2025 at approximately 0100 hours he parked his vehicle, a 2012 Ford Crown Victoria color grey bearing NJ registration P77UZJ in front of 453 Sutton Avenue facing East. At approximately 0230 hours, while inside of the residence he heard the vehicle being turned on and when he walked out to where he last parked it the vehicle was no longer there.      The registered owner stated that he currently has possession of the two keys that belong to the vehicle. The vehicle has two NJ plates(P77UZJ) attached.     It should be noted the victim was in the process of selling the vehicle today to someone by the alias of Taylor Jacobs via Facebook marketplace. The victim provided the above listed address and videos of where the vehicle was going to be located to the above listed alias of Taylor Jacobs.     The vehicle also contained a black wallet inside with three Bank of America Credit Cards and 4 Bank of Kuwaitt Credit Cards issued to Abdull Alhajeri. The victim was advised to report and lock all cards.      The registered owner received a completed victim notification. The vehicle was entered as stolen into NCIC (NIC # V786677145 ) along with a stolen motor vehicle form. The vehicle was also entered as stolen into the  ATTF site. The registered owner does not wish to have the vehicle processed at this time. Approximate value for the above vehicle is 3,000.00 USD. The value of the black wallet is approximately $30.00 USD.</t>
  </si>
  <si>
    <t>P77UZJ</t>
  </si>
  <si>
    <t>CRO</t>
  </si>
  <si>
    <t>25-009657</t>
  </si>
  <si>
    <t>Midtown Bridge Approach, 0 Block</t>
  </si>
  <si>
    <t>55 Midtown Bridge Approach, Hackensack, NJ, 07601</t>
  </si>
  <si>
    <t>H1</t>
  </si>
  <si>
    <t>I responded to the listed location on a reported motor vehicle theft. Upon arrival, I spoke with the complainant. She stated that on 02/04/2025 at 11:29 hours, she received a text from her boss, asking her to check on one of their U-Haul vehicles. She further stated that upon searching the parking lot, she could not locate the vehicle. The complainant reported that the vehicle had been rented out, so she contacted the contract holder to ensure the vehicle was dropped off. Upon verifying such and checking camera footage, the vehicle is seen on camera being dropped off by the customer. He is then approached by the suspect, where a brief verbal exchange is had. The customer is then seen leaving the area. The suspect is then seen retrieving keys from a lock box, before entering the van and fleeing the area.     I then spoke with the customer. He stated that he had dropped the vehicle off at the listed location at approximately 18:40 hours. He further stated that upon dropping it off, he was greeted by the suspect, who acted as an employee of the business. The customer reported that after a brief discussion, he was wary of the suspect and secured the keys in the lock box himself. He further stated that he then left the area.       A check in house of our tow list was conducted, with the vehicle not having been reported as towed or repossessed.  The complainant was advised of the recovery process, including fingerprinting of the vehicle. The complainant stated that she would like the vehicle held for prints on behalf of U-Haul and signed a Consent to Search Form. The complainant advised that she was unsure if the vehicle had a tracking system.       The vehicle is valued at approximately $45,000.00.            The complainant has video footage of the incident, available upon request.       Vehicle was entered into the ATTF website.    A New Jersey Victim Notification Form was completed.Insurance Info: Self-InsuredCertificate #:S012Exp: 06/30/2025</t>
  </si>
  <si>
    <t>AM82732</t>
  </si>
  <si>
    <t>RAM</t>
  </si>
  <si>
    <t>PROMASTER</t>
  </si>
  <si>
    <t>AZ</t>
  </si>
  <si>
    <t>25-010474</t>
  </si>
  <si>
    <t>Hudson St, 100 Block</t>
  </si>
  <si>
    <t>170 Hudson Street, Hackensack, NJ, 07601</t>
  </si>
  <si>
    <t>I responded to the listed location on a motor vehicle theft. Upon arrival, I met with the complainant and the victim. The victim only spoke Spanish, so her husband (the complainant) translated. The complainant stated that his wife's vehicle was parking in the driveway of 170 Hudson Street, which was located between 170 Hudson Street and 166 Hudson Street. He stated that he left his vehicle running and went back into his house at 0635 hours. When he went to check on the vehicle at 0650 hours, he discovered it was missing. The vehicle was left unlocked with the keys in the ignition. I observed cameras in the rear of the house, but none located directly where the vehicle was parked.A victim notification form was completed and a copy was given to the victim. The victim requested to have the vehicle process if located. The estimated value of the stolen auto is $2,000.00 Dollars.</t>
  </si>
  <si>
    <t>T12SSE</t>
  </si>
  <si>
    <t>DODGE</t>
  </si>
  <si>
    <t>CAR</t>
  </si>
  <si>
    <t>P.O. Matthew Tedesco 316</t>
  </si>
  <si>
    <t>Morning (04:00-07:59)</t>
  </si>
  <si>
    <t>25-010788</t>
  </si>
  <si>
    <t>535 Hudson Street, Hackensack, NJ, 07601</t>
  </si>
  <si>
    <t>The victim responded to police headquarters on a report of a motor vehicle theft.  The victim, Clever Asitimbay Mora, reported that he parked the vehicle in the area of 535 Hudson Street in this jurisdiction on 01/31/2025.  The victim reported that on 02/7/2025 at approximately 13:00 hours, he checked the GPS location of his vehicle on his phone and noticed that his vehicle was located at 3945 Frankford Avenue, Philadelphia, PA 19124.  He reported he possessed one (1) key to the vehicle, and the other key was broken.  Both the front and rear license plates were attached to the vehicle.  The victim did not want the vehicle processed if located.  The vehicle is insured by GEICO unknown policy number at this time.  The value of the vehicle is approximately $6,000.00.  A victim notification form was completed, and the vehicle was entered into N.C.I.C and the Auto Theft Task Force (ATTF) as stolen.  I contacted Philadelphia Police Department District 24 and spoke with P.O. Kane and advised him of the location of the vehicle.</t>
  </si>
  <si>
    <t>S70MPZ</t>
  </si>
  <si>
    <t>25-013091</t>
  </si>
  <si>
    <t>Recovered Stolen Vehicle</t>
  </si>
  <si>
    <t>100 Second Street, Hackensack, NJ, 07601</t>
  </si>
  <si>
    <t>Suspect(s): Unknown     The victim, Kimberly Trujillo, responded to Police Headquarters on a report of a Motor Vehicle Theft.  Upon arrival, the victim stated that her 2022 grey 4-door Honda Accord bearing NJ reg: L17PUM had been stolen from her apartment complex's parking lot and had been located in Rochelle Park. The victim further stated the listed vehicle was parked in assigned space number #2 and was last known to be parked there at approximately 2300 hours. The victim advised me she was in possession of the master key and no other party had access to her vehicle. The victim further advised me the spare key to her vehicle was misplaced approximately two (2) years in the past. Both license plates were attached to the vehicle at the time the victim parked the vehicle.     The victim stated on 02/17/2025 at approximately 0800, she received a phone call from Rochelle Park Police Department Det. Galina #151 advising her the listed vehicle had been located behind a CrossFit gym in Rochelle Park. Det. Gallina #151 further advised the victim, that the listed vehicle was located with all four (4) wheels removed from the vehicle. The victim further stated upon receiving the phone call, they responded to their second vehicle which was also parked in their apartment complex's parking lot. At this time, the victim observed an E-Z Pass and Camera from the stolen vehicle left on the hood of her second vehicle.      The victim stated she would like to have the vehicle processed should it be recovered and signed a consent to search form. A victim notification form was completed and a copy was given to the victim. The vehicle's insurance information was unable to be provided due to the paperwork being inside the glove box of the stolen vehicle.The vehicle registration was given to dispatch and was entered into NCIC. A stolen vehicle entry was made into the Auto Theft Task Force website.The vehicle's estimated value is approximately $22,000 USD.  See Rochelle Park Case #2025-002492.</t>
  </si>
  <si>
    <t>L17PUM</t>
  </si>
  <si>
    <t>25-013106</t>
  </si>
  <si>
    <t>30 Prospect Avenue, Hackensack, NJ, 07601</t>
  </si>
  <si>
    <t>G4</t>
  </si>
  <si>
    <t>On February 17, 2025 I responded to 300 Atlantic Street (HUMC Parking Garage) on a report of a motor vehicle theft. Upon arrival, I met with the victim who is the registered owner of the vehicle and his wife. The victim advised me that his wife parked the vehicle (2020 Honda Accord blue) inside the monthly permit parking section near the entrance of the garage at approximately 2000 hours last night. This morning around 0900 hours they arrived to the garage and discovered that the vehicle was missing. They advised me that they only have one key and checked the area for the vehicle but were met with negative results. I advised Headquarters to check if the vehicle was towed from the premises which also yielded negative results. At this time I advised the registered owner the procedure with reporting a stolen vehicle. At this time he stated he wanted the vehicle processed and signed a consent to search form. A victim notification form was also completed and a copy was provided to the victim. Upon completion the vehicle was placed into NCIC and ATTF as stolen.</t>
  </si>
  <si>
    <t>Z53RVG</t>
  </si>
  <si>
    <t>P.O. Anzour Marza 356</t>
  </si>
  <si>
    <t>25-015290</t>
  </si>
  <si>
    <t>430 Washington Avenue, Hackensack, NJ, 07601</t>
  </si>
  <si>
    <t>On February 24, 2025, at approximately 11:50 hours I responded to 430 Washington Avenue for a report of a motor vehicle theft. Upon arrival, I spoke with the registered owners of the vehicle, Carlos Sevilla, and Milagros Parra-Loor. Both parties reported that they last parked their vehicle, a Silver Honda Pilot bearing MD-8FL4661 in front of 430 Washington Avenue facing North at approximately 10:00 hours on February 24, 2025. They reported that they locked the doors to the vehicle. They reported that they left their residence at approximately 23:00 hours and noticed that their vehicle was gone. I asked the parties if any one else has access to their vehicle to which they stated no. Ms. Parra-Loor reported that she has been backed up on payments for approximately three (3) months and last made a payment with the bank this morning.       Sgt. Donnerstag responded to assist.       The victims reported they did not want the vehicle processed if found. A Victim Notification Form was completed.       The vehicle was entered into NCIC as stolen. The ATTF form was completed online.</t>
  </si>
  <si>
    <t>8FL4661</t>
  </si>
  <si>
    <t>PILOT</t>
  </si>
  <si>
    <t>MD</t>
  </si>
  <si>
    <t>25-003362</t>
  </si>
  <si>
    <t>Dispute</t>
  </si>
  <si>
    <t>204 Clay Street, Hackensack, NJ, 07601</t>
  </si>
  <si>
    <t>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t>
  </si>
  <si>
    <t>P.O. Forrod Bonsu 353</t>
  </si>
  <si>
    <t>B1</t>
  </si>
  <si>
    <t>Det. Frankie Garrett 323</t>
  </si>
  <si>
    <t>120 = Robbery</t>
  </si>
  <si>
    <t>25-003813</t>
  </si>
  <si>
    <t>Resisting Arrest/Eluding</t>
  </si>
  <si>
    <t>Suspicious Person</t>
  </si>
  <si>
    <t>450 Hackensack Avenue, Hackensack, NJ, 07601</t>
  </si>
  <si>
    <t>I6</t>
  </si>
  <si>
    <t>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t>
  </si>
  <si>
    <t>Y82VDS</t>
  </si>
  <si>
    <t>VOLKS</t>
  </si>
  <si>
    <t>ATL</t>
  </si>
  <si>
    <t>b2</t>
  </si>
  <si>
    <t>25-004629</t>
  </si>
  <si>
    <t>630 Main Street, Hackensack, NJ, 07601</t>
  </si>
  <si>
    <t>Suspect 1: Hispanic male, approximately early 30' s in age, approximately 5'10" in height, approximately 180 in weight, wearing a tan hooded sweater, brown "NY" Yankees logo hat, black sweatpants and white sneakers.Suspect 2: Hispanic female, approximately mid 20's in age, approximately 5'5"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t>
  </si>
  <si>
    <t>HYUNDAI</t>
  </si>
  <si>
    <t>SONATA</t>
  </si>
  <si>
    <t>Det. John Mora 257</t>
  </si>
  <si>
    <t>25-009348</t>
  </si>
  <si>
    <t>144 Hudson Street, Hackensack, NJ, 07601</t>
  </si>
  <si>
    <t>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t>
  </si>
  <si>
    <t>25-009438</t>
  </si>
  <si>
    <t>400 Hackensack Avenue, Hackensack, NJ, 07601</t>
  </si>
  <si>
    <t>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 black beanie, black puffer, dark pants, white/blue sneakers     Suspect 2: Black female, heavy build, 5'8", short hair, black puffer, black leggings, black pocketbook     Suspect 3: Black female, heavy build, 5'7", long cornrows, gray puffer, light blue jeans</t>
  </si>
  <si>
    <t>Column Labels</t>
  </si>
  <si>
    <t>25-002564</t>
  </si>
  <si>
    <t>Juvenile Investigation</t>
  </si>
  <si>
    <t>135 First Street, Hackensack, NJ, 07601</t>
  </si>
  <si>
    <t>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t>
  </si>
  <si>
    <t>Dominguez_L</t>
  </si>
  <si>
    <t>Det. Cristobal Lara-Nunez 341</t>
  </si>
  <si>
    <t>STA</t>
  </si>
  <si>
    <t>Det. Evelyn Reyes 336</t>
  </si>
  <si>
    <t>11D = Fondling</t>
  </si>
  <si>
    <t>25-006324</t>
  </si>
  <si>
    <t>176  Berdan Place, Hackensack, NJ, 07601</t>
  </si>
  <si>
    <t>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t>
  </si>
  <si>
    <t>Bay_F</t>
  </si>
  <si>
    <t>DET</t>
  </si>
  <si>
    <t>TOT DCP&amp;P</t>
  </si>
  <si>
    <t>25-013527</t>
  </si>
  <si>
    <t>Exceptionally Cleared/Closed</t>
  </si>
  <si>
    <t>240  Prospect Avenue, Hackensack, NJ, 07601</t>
  </si>
  <si>
    <t>H4</t>
  </si>
  <si>
    <t>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t>
  </si>
  <si>
    <t>25-014007</t>
  </si>
  <si>
    <t>360 Union Street, Hackensack, NJ, 07601</t>
  </si>
  <si>
    <t>P.O. Angie Tabares 363</t>
  </si>
  <si>
    <t>Cleared - Arrest</t>
  </si>
  <si>
    <t>36A = Incest</t>
  </si>
  <si>
    <t>25-012110</t>
  </si>
  <si>
    <t>Christopher Columbus Drive, 100 Block</t>
  </si>
  <si>
    <t>Assist Other Agency</t>
  </si>
  <si>
    <t>128 Christopher Columbus Drive, Jersey City, NJ 07302, Hackensack, NJ, 07601</t>
  </si>
  <si>
    <t>Victim and suspect were in a dating relationship for approximately 9 months.    I responded to Police Headquarters on a report of Domestic Violence. Upon arrival I met with the Victim who stated on 02/13/2025 at approximately 0200 hours she was at a bar called "Six26"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t>
  </si>
  <si>
    <t>Briggs_S</t>
  </si>
  <si>
    <t>TOT Outside Jurisdiction</t>
  </si>
  <si>
    <t>Time of Day</t>
  </si>
  <si>
    <t>Mon</t>
  </si>
  <si>
    <t>Tue</t>
  </si>
  <si>
    <t>Wed</t>
  </si>
  <si>
    <t>Fri</t>
  </si>
  <si>
    <t>Sat</t>
  </si>
  <si>
    <t>YTD</t>
  </si>
  <si>
    <t>28-DAY</t>
  </si>
  <si>
    <t>Sun</t>
  </si>
  <si>
    <t>Notes</t>
  </si>
  <si>
    <t>25-018160</t>
  </si>
  <si>
    <t>March</t>
  </si>
  <si>
    <t>216 Central Avenue, Hackensack, NJ, 07601</t>
  </si>
  <si>
    <t>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"Mike Williams"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t>
  </si>
  <si>
    <t>R64NVW</t>
  </si>
  <si>
    <t>EXP</t>
  </si>
  <si>
    <t>Farhi_B</t>
  </si>
  <si>
    <t>25-019245</t>
  </si>
  <si>
    <t>American Legion Drive, 200 Block</t>
  </si>
  <si>
    <t>282 American Legion Drive, Hackensack, NJ, 07601</t>
  </si>
  <si>
    <t>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t>
  </si>
  <si>
    <t>K46PXJ</t>
  </si>
  <si>
    <t>HYN</t>
  </si>
  <si>
    <t>TIB</t>
  </si>
  <si>
    <t>P.O. Peter Voorhis 380</t>
  </si>
  <si>
    <t>25-017536</t>
  </si>
  <si>
    <t>Essex St, 200 Block</t>
  </si>
  <si>
    <t>216 Essex Street, Hackensack, NJ, 07601</t>
  </si>
  <si>
    <t>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"If you call the police, I will kill you."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"No."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t>
  </si>
  <si>
    <t>P.O. Steven Lemanowicz 347</t>
  </si>
  <si>
    <t>25-017488</t>
  </si>
  <si>
    <t>195 High Street, Hackensack, NJ, 07601</t>
  </si>
  <si>
    <t>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 I will fuck both of ya up" and began demanding the money Foster owed him.     Hunt reported that, he told the suspect that he was going to call the police. The suspect then stated ' I ain't scared of no police"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t>
  </si>
  <si>
    <t>D78PNR</t>
  </si>
  <si>
    <t>BMW</t>
  </si>
  <si>
    <t>430</t>
  </si>
  <si>
    <t>P.O. Bobby Rivera 361</t>
  </si>
  <si>
    <t>C03W10</t>
  </si>
  <si>
    <t>C03W09</t>
  </si>
  <si>
    <t>C02W08</t>
  </si>
  <si>
    <t>C02W07</t>
  </si>
  <si>
    <t>C02W06</t>
  </si>
  <si>
    <t>C02W05</t>
  </si>
  <si>
    <t>C01W04</t>
  </si>
  <si>
    <t>C01W03</t>
  </si>
  <si>
    <t>C01W02</t>
  </si>
  <si>
    <t>C01W01</t>
  </si>
  <si>
    <t>N/A</t>
  </si>
  <si>
    <t>25-019756</t>
  </si>
  <si>
    <t>123 Anderson Street, Hackensack, NJ, 07601</t>
  </si>
  <si>
    <t>***Spanish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t>
  </si>
  <si>
    <t>K87VEF</t>
  </si>
  <si>
    <t>SUBARU</t>
  </si>
  <si>
    <t>TRI</t>
  </si>
  <si>
    <t>Det. Gunther Lara-Nunez 351</t>
  </si>
  <si>
    <t>C03W11</t>
  </si>
  <si>
    <t>25-019648</t>
  </si>
  <si>
    <t>Park Ave, 0 Block</t>
  </si>
  <si>
    <t>1 Park Avenue</t>
  </si>
  <si>
    <t>1 Park Avenue, Hackensack, NJ, 07601</t>
  </si>
  <si>
    <t>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t>
  </si>
  <si>
    <t>Ghirardi_R</t>
  </si>
  <si>
    <t>suspect #1- black female, long black hair, approximately in the early 30's, approximately 5'10 in height, approximately 170 lbs, wearing a black baseball hat, black jacket, white and black leggings, white socks and white sneakers suspect #2- black female, long black hair, approximately in the early 30's, approximately 5'10 in height, approximately 250 lbs, wearing a white jacket, white and grey leggings,white socks and tan timberlands suspects walked through the front lobby door of 1 park avenue, they proceeded to take the elevator to the 4th floor suspect 1 was seen leaving the entrance of 1 park avenue with two bags potentially from the apartment suspect #1 left with is unknown at this time</t>
  </si>
  <si>
    <t>Thur</t>
  </si>
  <si>
    <t>25-021703</t>
  </si>
  <si>
    <t>414 Hackensack Avenue, Hackensack, NJ, 07601</t>
  </si>
  <si>
    <t>The Hackensack Police Department was contacted by Det M Pletcher in reference to Sparta PD OCA ST2025-007957.  They sought assistance with executing a search warrant.  At 0530 Sparta PD held a briefing in HPD Detective Bureau.  Representatives from NYPD, Sussex County Prosecutor's Office, Sparta PD, and Englewood PD were present.  The subject of their investigation was Jerry Montgomery.  Sparta PD had a search warrant for Montgomery's apartment and a vehicle registered to his wife.After the brief Hackensack PD ESU secured the apartment and turned it over to the investigative personnel.  Montgomery was taken into custody and transported to HPD HQ by Sparta PD.  The vehicle which was subject to search was towed from 414 Hackensack Ave lot to HPD's secure garage by All Points towing.  During transport it was followed by POs Small and Voorhis in radio car 115.Sparta PD's search warrant is docket number JA-SSX-1953A-SW-25, approved by the Honorable Janine Allen.</t>
  </si>
  <si>
    <t>Y52RXA</t>
  </si>
  <si>
    <t>KIA</t>
  </si>
  <si>
    <t>TEL</t>
  </si>
  <si>
    <t>Lt. John Knapp 141</t>
  </si>
  <si>
    <t>HACSOC</t>
  </si>
  <si>
    <t>C03W12</t>
  </si>
  <si>
    <t>25-022902</t>
  </si>
  <si>
    <t>171 Kenneth Street, Hackensack, NJ, 07601</t>
  </si>
  <si>
    <t>On March 21, 2025 at approximately 14:19 hours, I responded to 171 Kenneth St (Rocky Auto Repair Shop) for a motor vehicle theft report. Upon arrival, I met with the shop owner, Wilfredo Polanco, who called on behalf of the vehicle's owner.      Mr. Polanco reported that the vehicle was dropped off on 03/20/2025 for service by John Velez, a church volunteer. Mr. Polanco further reported that on 03/20/205 at approximately 17:00 hours, he parked the church van outside in the shop driveway and placed the keys in the visor. Mr. Polanco reported that this is common practice between him and the church since a member of the church normally picks up the van after hours.      A church administrator, Ms. Wass reached out to Mr. Martin and advised him that she observed the vehicle in East Rutherford, NJ and wanted to know why it was there. This alerted Mr. Martin to the fact that the vehicle was possibly moved without his or the church's authorization.      Mr. Martin then reached out to Mr. Polanco on 03/21/2025 at approximately 13:00 hours, and questioned why the church's van was in East Rutherford. Mr. Polanco reported he did not know as he believed the van was picked up as usual. Mr. Polanco proceeded to check security cameras for the auto shop where he learned the van was stolen on 03/21/2025 at approximately 07:50 hours.      I watched the security footage where I observed a white female, wearing blue sweatpants, a black sweater with the hood up, with blonde hair walk up to the van. After a few moments, the suspect enters the van. The suspect proceeds to sit in the van for a couple of minutes before starting the vehicle South on Kenneth St. Mr. Polanco was advised to save all footage.      Mr. Martin requested the vehicle to be processed if found. A consent to search form was filled out and signed.      The vehicle was entered into the ATTF system.     Communication was provided the vehicle information to be entered into NCIC.     Sgt. Tripodi was notified by Sgt. Compitiello.     Value of the vehicle is estimated to be $4,000.00.</t>
  </si>
  <si>
    <t>JWG42F</t>
  </si>
  <si>
    <t>CHEVROLET</t>
  </si>
  <si>
    <t>25-023424</t>
  </si>
  <si>
    <t>24 Pulaski Place, Hackensack, NJ, 07601</t>
  </si>
  <si>
    <t>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t>
  </si>
  <si>
    <t>M88KXU</t>
  </si>
  <si>
    <t>ECO</t>
  </si>
  <si>
    <t>Competiello_Fa</t>
  </si>
  <si>
    <t>Unknown</t>
  </si>
  <si>
    <t>25-024952</t>
  </si>
  <si>
    <t>211 Essex Street</t>
  </si>
  <si>
    <t>Burglary - Commercial, Hindering Apprehension, Resisting Arrest/Eluding</t>
  </si>
  <si>
    <t>Hindering Apprehension</t>
  </si>
  <si>
    <t>211 Essex Street, Hackensack, NJ, 07601</t>
  </si>
  <si>
    <t>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"Jorge Williams".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t>
  </si>
  <si>
    <t>P.O. Laura Lopez-Amaya 374</t>
  </si>
  <si>
    <t>$26.99. Melanie Esquiveo then responded to police headquarters to provide a statement to detectives</t>
  </si>
  <si>
    <t>C04W13</t>
  </si>
  <si>
    <t>25-025078</t>
  </si>
  <si>
    <t>2 Park Avenue</t>
  </si>
  <si>
    <t>2 Park Avenue, Hackensack, NJ, 07601</t>
  </si>
  <si>
    <t>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t>
  </si>
  <si>
    <t>Sgt. Patrick Williams 143</t>
  </si>
  <si>
    <t>suspect stated after observing the broken door, he entered his apartment and found drawers, cabinets, and his bedroom door were opened suspects suspect departed his residence suspects appeared to only have gone into a select pair of jeans which contained the rolex watch suspects entered stairwell 3, located across from the victim's apartment at approximately 0030 hours suspects were then viewed leaving the apartment approximately six (6) minutes later at 0036 hours suspects involved, please refer to detective sergeant williams case report suspects if identified</t>
  </si>
  <si>
    <t>$10,000.00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$8,000.00 dollars was stolen. The bracelet was located on the top of the TV stand $8,000.00 dollars was stolen. The necklace was located in the apartment bedroom $4,000.00 dollars.   A Nintendo Switch (Gaming Console) valued at approximately  $300.00 dollars was stolen. The gaming console was located on the living room couch</t>
  </si>
  <si>
    <t>25-025926</t>
  </si>
  <si>
    <t>100 Essex Street</t>
  </si>
  <si>
    <t>100 Essex Street, Hackensack, NJ, 07601</t>
  </si>
  <si>
    <t>G2</t>
  </si>
  <si>
    <t>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"Asaad Martinez-Pollard" may be the suspect. The victim reported being assaulted by the suspect a few weeks prior and seeing him briefly today. See Case #25-010292 for further. A NJ Victim Notification form was completed and a copy was provided to the victim. Detective DeBonis was advised.</t>
  </si>
  <si>
    <t>P.O. Anthony Mattalian 83</t>
  </si>
  <si>
    <t>suspect was inside his apartment, were visible suspect suspect a few weeks prior and seeing him briefly today</t>
  </si>
  <si>
    <t>$50.00 USD inside, attached to four (4) keys and one (1) safety deposit box key. Total loss of  $200.00 USD.     The victim stated in effect that he took a shower at approximately 0500 hours today</t>
  </si>
  <si>
    <t>25-027338</t>
  </si>
  <si>
    <t>April</t>
  </si>
  <si>
    <t>Fair St, 0 Block</t>
  </si>
  <si>
    <t>75 Fair Street</t>
  </si>
  <si>
    <t>75 Fair Street, Hackensack, NJ, 07601</t>
  </si>
  <si>
    <t>On Friday, April 4, 2025, at approximately 13:15 hours, I responded in marked radio car #108 to 75 Fair Street, Apt. 1, for a report of a burglary to a residence.  Upon arrival, I spoke to SANDY JOHNSON, the victim's neighbor, who stated that the listed residence was burglarized.     JOHNSON stated that the victim has been at New Bridge Medical Center's intensive care unit for over month and she has permission from the victim to check on her apartment.  JOHNSON further stated that she regularly checks the victim's mailbox and puts the victim's mail inside the victim's apartment which is reported to be left unlocked at all times.  On Tuesday, 04/01/2025 at approximately 12:00 hours, JOHNSON entered the apartment to drop off the victim's mail and check the apartment, specifically checking to make sure that the TV in the victim's bedroom was still there.  The TV was last seen at this time.  On today's date at approximately 12:30 hours,  JOHNSON entered the apartment and noticed that the TV in the victim's bedroom was missing.  JOHNSON left the apartment and notified the complainant (victim's son).       I requested a supervisor to which Sgt. Tovbin responded.  Upon his arrival, we cleared the apartment which yielded negative results for unwanted persons.  Sgt. Tovbin notified Det. Sgt. Tripodi regarding the incident.  Det. Sgt. Tripodi received consent to process the scene from the complainant on the victim's behalf via telephone.  Det. Sgt. Tripodi, Det. G. Lara-Nunez and Det. Dogali responded on scene.  Bergen County Sheriff's Office BCI Unit responded on scene.  Det. Colon #1952 photographed the scene, see BCI case number #2025-0211.  The door to the apartment was secured by JOHNSON.</t>
  </si>
  <si>
    <t>P.O. Alexander Reyes 355</t>
  </si>
  <si>
    <t>C04W14</t>
  </si>
  <si>
    <t>25-026113</t>
  </si>
  <si>
    <t>310 Lookout Avenue, Hackensack, NJ, 07601</t>
  </si>
  <si>
    <t>While on scene investigating a separate incident (OCA 25-026103), Sgt. Donnerstag located the listed vehicle with its drivers side window smashed in. The interior of the vehicle appeared to be rummaged through. The registered owner of the vehicle, Ms. Olga Balakova was contacted and responded to the vehicle's location. She stated she parked her car at approximately 1800 hours.     Ms. Balakova gave consent to Det. Tanucilli to have the vehicle processed. Bergen County Sheriffs BCI detective's Stefanic # 1954 and Anastasio # 1766 were already on scene to process a separate vehicle ( see case # 25-026103 ). The vehicle was processed by Bergen County Sheriffs BCI on scene, see their case number 2025-0206 for further.  Ms. Balakova stated that only a few dollars in change appeared to be missing. She was not sure of the exact amount, but stated it was only one or two dollars total. The total cost of damage is unknown at the time.      The scene was turned over to Det. Tanucilli.</t>
  </si>
  <si>
    <t>IMKR57</t>
  </si>
  <si>
    <t>ROGUE</t>
  </si>
  <si>
    <t>P.O. Matthew Antista 135</t>
  </si>
  <si>
    <t>A4</t>
  </si>
  <si>
    <t>290 = Destruction/Damage/Vandalism of Property</t>
  </si>
  <si>
    <t>25-026103</t>
  </si>
  <si>
    <t>I responded on the report of a suspicious incident. Upon arrival, I met with Yuri Vasilevski. He stated his vehicle window was broken and his belongings were on the ground. Sgt. Donnerstag arrived on scene to assist. The victim, Mr. Vasilevski, stated he parked his vehicle at approximately 2000 hours. When he returned to the vehicle, he found it had been broken into.     Det. Tanucilli was contacted and arrived on scene. It should be noted that while on scene Sgt. Donnerstag located another vehicle which appeared to be broken into (see case # 25-026113). Mr. Vasilevski gave consent to Det. Tanucilli to have the vehicle processed. Bergen County Sheriffs BCI detectives Stefanic and Anastasio responded to the scene and processed the vehicle (OCA 2025-0207). The victim stated five (5) dollars in 1 dollar bills of US currency were taken from the center console of his vehicle. Total value amount of repairs are unknown at this time.   The scene was turned over to Det. Tanucilli.</t>
  </si>
  <si>
    <t>UTU50W</t>
  </si>
  <si>
    <t>RGE</t>
  </si>
  <si>
    <t>25-026357</t>
  </si>
  <si>
    <t>77 Prospect Avenue, Hackensack, NJ, 07601</t>
  </si>
  <si>
    <t>On April 1, 2025 P.O Deoliveira and I responded to 77 Prospect Avenue on a report of a burglary to Auto. Upon arrival, we were met by the victim Jaime Laracuente and the building super Mark Muci. The victim advised us that he was contacted by Mr. Muci about his vehicle being burglarized. Mr. Muci was contacted by another tenant in the building who discovered that the victims window passenger side window was broken into. The vehicle was discovered to be burglarized at approximately 20:10 hours tonight. When the victim was asked, he stated he parked his vehicle in the rear lot of 77 Prospect Avenue at around 17:00 hours on 03/31/2025 and has not used it since. The victim provided me with his vehicle registration (NJ:U57SNU) and insurance (Code 012:   #908248625).I advised Headquarters and Sgt. Farhi responded to the scene. At this time the victim stated that he did not enter his vehicle but stated that their were no items of value when the burglary occurred. The area was canvassed with no signs of additional vehicles being burglarized and no surveillance camera's on the property. Det. Tanucilli was contacted and responded to the scene.The victim requested that his vehicle be processed for evidence and Bergen County BCI was contacted. The victim completed a consent to search form on scene. At approximately 21:33 hours BCI Det. Stefanic and Anastasio responded to the scene and processed the vehicle. Their case number is 2025-0208. The scene was then turned over to the registered owner. A victim notification form was completed and provided to the victim.</t>
  </si>
  <si>
    <t>U57SNU</t>
  </si>
  <si>
    <t>MAZDA</t>
  </si>
  <si>
    <t>C30</t>
  </si>
  <si>
    <t>25-025341</t>
  </si>
  <si>
    <t>296 Berry Street, Hackensack, NJ, 07601</t>
  </si>
  <si>
    <t>I responded to the listed location on a possible theft.  Upon arrival, I met with the victim, Mr. Dallas Gray.  Mr. Gray reported that his vehicle, NJ #T41VHN, was stolen.  He parked his vehicle in his detached driveway (on Haynes Street) yesterday, 3/28/25, at approximately 2030 hrs.  Today, 3/29/25, at approximately 1000 hrs, he noticed his vehicle was no longer in the driveway.  Mr. Gray has both vehicle keys in his possession.  Mr. Gray reported the only valuable item in the vehicle was his EZPass.  Mr. Gray does not want the vehicle processed.We observed the vehicle door key lock on the dirt patch adjacent to the driveway. Victim was provided with a NJ Victim Notification form.Estimated cost of the vehicle is $50,000Insurance provider: Geico 100, policy #4587415441</t>
  </si>
  <si>
    <t>T41VHN</t>
  </si>
  <si>
    <t>ACURA</t>
  </si>
  <si>
    <t>TLX</t>
  </si>
  <si>
    <t>P.O. Wanda Rivera 161</t>
  </si>
  <si>
    <t>A1</t>
  </si>
  <si>
    <t>25-026716</t>
  </si>
  <si>
    <t>Mental Health Incident</t>
  </si>
  <si>
    <t>260 Union Street, Hackensack, NJ, 07601</t>
  </si>
  <si>
    <t>On April 2, 2025, at approximately 2140 hours P.O. Bonsu and I responded to 260 Union Avenue on a reported mental health incident. We spoke with Janice Reid, who is a supervisor at the Holly Center, and she reported that A.M.C. was arguing with O.L.. They began to fight and the Holly Center staff were able to separate both of them. After the fight, A.M.C began becoming verbally aggressive with the staff and wrote a note that stated, "You dumb bitch's I ain't telling yall that yall but I going my gang to shoot this place up." Janice Reid further reported that that A.M.C. kept threatening to get a gang to shoot up the Holly Center.       While on scene, A.M.C. made statements that she wanted "to go down for attempted murder" and that she wanted to get CPC High Point shot up. CPC High Point is a school A.M.C. previously attended. Then A.M.C. began to state that she was sexually assaulted by Holly Center staff and specifically named Tyrone Bagley and Randall White who were on scene. Sgt. Donnerstag and Sgt. Ghirardi responded to the scene to assist. P.O. Bonsu asked A.M.C. more about her allegations. A.M.C. reported the incident occurred approximately a month ago on a weekend but did not recall if it was in the morning, afternoon, or evening. A.M.C. further reported it happened in her room at the Holly Center but she did not want to discuss any further. Hackensack University Medical Center BLS responded and transported A.M.C. to Hackensack University Medical Center. Janice Reid accompanied A.M.C.. I followed the ambulance to Hackensack University Medical Center.      Detective Garrett was notified and responded to Hackensack University Medical Center. I notified Alexandra #1576 from DCP&amp;P of the incident. She reported that DCP&amp;P would be making an immediate response to the hospital. Detective Garrett stated he was familiar with the patient and of the prior sexual assault allegation from previous encounters.  T.O.T. to detectives. See supplement for further contact information. A CBH care form was completed.</t>
  </si>
  <si>
    <t>P.O. Christian Alvarez 364</t>
  </si>
  <si>
    <t>Day of Week</t>
  </si>
  <si>
    <t>Time of Day Incident Occurred</t>
  </si>
  <si>
    <t>Victim's Vehicle Description</t>
  </si>
  <si>
    <t>Vehicle Was Parked</t>
  </si>
  <si>
    <t>Entry Method</t>
  </si>
  <si>
    <t>Damage to Vehicle</t>
  </si>
  <si>
    <t>Suspect Description</t>
  </si>
  <si>
    <t>Suspect Vehicle Description</t>
  </si>
  <si>
    <t>Items Stolen</t>
  </si>
  <si>
    <t>Value of Stolen Property</t>
  </si>
  <si>
    <t>Keys with Vehicle</t>
  </si>
  <si>
    <t>Offense Completed</t>
  </si>
  <si>
    <t>Block Incident Occurred On</t>
  </si>
  <si>
    <t>Structure Type</t>
  </si>
  <si>
    <t>Point of Entry</t>
  </si>
  <si>
    <t>Signs of Forced Entry</t>
  </si>
  <si>
    <t>Yes</t>
  </si>
  <si>
    <t>Friday</t>
  </si>
  <si>
    <t>No</t>
  </si>
  <si>
    <t>25-024100</t>
  </si>
  <si>
    <t>Medical Call</t>
  </si>
  <si>
    <t>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t>
  </si>
  <si>
    <t>C73VBN</t>
  </si>
  <si>
    <t>IMP</t>
  </si>
  <si>
    <t>25-025304</t>
  </si>
  <si>
    <t>Parkway, 0 Block</t>
  </si>
  <si>
    <t>15 Parkway, Hackensack, NJ, 07601</t>
  </si>
  <si>
    <t>Suspect is a tall, slim male dressed in all black. Complainant was unable to identify any further.     P.O. Anguizaca and I responded to the listed location on a report of a suspicious incident. Upon arrival, we met with the complainant who stated she was sleeping inside her residence when she heard a cracking sound outside her window. The complainant stated she looked outside her window and saw a male dressed in all black banging on the driver side door of the listed vehicle. She yelled out her window "what are you doing" to which the suspect responded "construction work" and took off running. The complainant stated he ran and got into the passenger seat of a white vehicle. The vehicle went east on Kaplan Avenue up until Polifly Road to which the complainant lost visual. The complainant was unable to provide any further information on the suspect vehicle.    The vehicles driver door handle was broken, but the vehicle was not entered due to the suspect fleeing upon observing the complainant. The approximate cost to repair the damage is $200.00.   The complainant was unable to get the vehicle owner on the phone so we were unable to get permission to process the vehicle.    A New Jersey Victim Witness Notification Form was completed and the complainant was given a copy.     Vehicle insurance: 4487-16-41-49        Insurance Code: 148</t>
  </si>
  <si>
    <t>Z85SBR</t>
  </si>
  <si>
    <t>25-026077</t>
  </si>
  <si>
    <t>Second Street &amp; American Legion Drive, Hackensack, NJ, 07601</t>
  </si>
  <si>
    <t>I responded to the area of Second Street , between Central Avenue and American Legion Drive on report of a burglary. On arrival, I spoke with the victim who reported that on today's date around 1840 hours she left her vehicle parked facing South on the West side of Second Street. Upon the victim returning to her vehicle around 2200 hours she found her vehicle with the front passenger window shattered and interior rummaged through. I observed the front passenger window shattered and a large rock underneath the steering wheel by the pedals. Damage to the front wind shield, rear view mirror, and electrical panel was caused by this large rock that was thrown into the vehicle. The monetary value of the damage caused by the large rock is currently unknown.      Sgt. Donnerstag responded and Bergen County BCI was advised of the incident. The vehicle was not processed for evidence. The victim reported missing approximately $5.00 US in mixed coins and a Go Pro camera worth approximately $600.00 US. A victim notification form was completed and the victim received a copy.       Detectives were notified. Insurance: Progressive Policy: 992696988Code: 135</t>
  </si>
  <si>
    <t>J72JJJ</t>
  </si>
  <si>
    <t>TOYOTA</t>
  </si>
  <si>
    <t>SIENNA</t>
  </si>
  <si>
    <t>P.O. Jeffrey Rodriguez 342</t>
  </si>
  <si>
    <t>25-028451</t>
  </si>
  <si>
    <t>Property - Found</t>
  </si>
  <si>
    <t>120 Atlantic Street, Hackensack, NJ, 07601</t>
  </si>
  <si>
    <t>Suspect description: Slim build, black male, approximately 5'11 in height, wearing all black / dark clothing.     On 4/8/25 at approximately 00:52 hours,  I responded to the area of 120 Atlantic Street on a reported suspicious person. It was reported an unknown male suspect attempted to open a vehicle door and fled the area on foot. P.O. Papanikolaou and Sgt. Butler responded to assist.   Upon arrival I met with the complainant / witness, Sherif Abraham. The complainant reported on 4/8/25 at approximately 00:47 hours, he observed the suspect inside vehicle 1 (NJ T21VBK). Vehicle 1 was parked curbside on the north side of Atlantic Street, in front of 118 Atlantic Street. The complainant further reported the suspect fled the area on foot traveling north, last seen jumping the fence of 118 Atlantic Street. The complainant reported while the suspect fled, he dropped a black duffle bag, which was located on the west side of 118 Atlantic Street.  Upon inspecting vehicle 1, the interior did not appear disturbed. Upon further investigation, the front passenger side door to vehicle 1 was left insecure. The front passenger door to vehicle 1 was unable to be secured. Vehicle 1 also had a dash camera fixed to the front windshield. At this time it was unknown if the dash camera was recording / operable.  Upon responding to the west side of 118 Atlantic Street, I observed a medium size black in color "Jordan" duffle bag containing clothing / property. Upon further checking the area, a tied / knotted mint colored small size towel was also observed. All found property was secured in radio car 104.   A DMV check of vehicle 1 was conducted, which resulted the registered owner, Luis Moreno Colmenares, resided at 107 Atlantic Street. P.O. Papanikolaou later responded to 107 Atlantic Street in attempt to locate / speak with the owner, which resulted negative.  A Hackensack Notification Card was completed and secured on vehicle 1. Additionally a Hackensack Notification Card was completed and secured in the mail box of 107 Atlantic Street.   P.O. Estrada and P.O. Mena checked the area in an attempt to locate the suspect, which resulted negative.   At this time, I was unable to confirm vehicle 1 was burglarized or what proceeds may have been stolen from the vehicle. All evidence / found property was transported to headquarters. At headquarters all property was inventoried.   The medium size black in color "Jordan" duffle bag containing a white in color Adidas hat, a pair of white and blue colored socks, black colored shorts, white colored shirt, clear glass bottle of cologne / perfume and a pair of white and orange colored puma sneakers.  The tied / knotted mint colored small size towel contained a black plastic organizing tray inside. Inside the tray contained the following: - A black  plastic ash tray cup- Juicy J's rolling paper(s)- "OCB" slim premium rolling paper(s) with tip(s)- Three multi color plastic lighters - White in color USB car charger - A backwoods magnet - Two "UFOND" headband lights - White colored paper matches - A silver and black in color "driven" ammunition style key chain- $4.53 in assorted change- A small clear glass bottle with a silver in color metal screw cap. Attached to the screw cap was a small silver in color spoon / scooper. Within the bottle contained an unknown white powdered substance (suspected cocaine).    The mint in color towel containing multiple items was later placed in a brown paper bag. The currency was later placed in currency security bag # 0588856. The small clear glass bottle containing the suspected cocaine was later placed in evidence bag # 7824140. All evidence / found property was later secured in evidence locker 6. See evidence report for further.   The immediate area was checked for any other vehicles possibly burglarized with negative results.</t>
  </si>
  <si>
    <t>T21VBK</t>
  </si>
  <si>
    <t>530</t>
  </si>
  <si>
    <t>Butler_J</t>
  </si>
  <si>
    <t>C04W15</t>
  </si>
  <si>
    <t>NJ-U57SNU MAZDA, C30</t>
  </si>
  <si>
    <t>Pritate Lot</t>
  </si>
  <si>
    <t>Not stated in Report</t>
  </si>
  <si>
    <t>Residential - Home</t>
  </si>
  <si>
    <t>None reported</t>
  </si>
  <si>
    <t>Electronics</t>
  </si>
  <si>
    <t>A neighbor reported the incident while the homeowner was hospitalized for an extended stay at New Bridge Medical Center.</t>
  </si>
  <si>
    <t>28-Day</t>
  </si>
  <si>
    <t>Report_Due_Date</t>
  </si>
  <si>
    <t>7_Day_Start</t>
  </si>
  <si>
    <t>7_Day_End</t>
  </si>
  <si>
    <t>28_Day_Start</t>
  </si>
  <si>
    <t>28_Day_End</t>
  </si>
  <si>
    <t>Report_Name</t>
  </si>
  <si>
    <t>Is_Due</t>
  </si>
  <si>
    <t>C04W16</t>
  </si>
  <si>
    <t>C05W17</t>
  </si>
  <si>
    <t>C05W18</t>
  </si>
  <si>
    <t>C05W19</t>
  </si>
  <si>
    <t>C05W20</t>
  </si>
  <si>
    <t>C06W21</t>
  </si>
  <si>
    <t>C06W22</t>
  </si>
  <si>
    <t>C06W23</t>
  </si>
  <si>
    <t>C06W24</t>
  </si>
  <si>
    <t>C07W25</t>
  </si>
  <si>
    <t>C07W26</t>
  </si>
  <si>
    <t>C07W27</t>
  </si>
  <si>
    <t>C07W28</t>
  </si>
  <si>
    <t>C08W29</t>
  </si>
  <si>
    <t>C08W30</t>
  </si>
  <si>
    <t>C08W31</t>
  </si>
  <si>
    <t>C08W32</t>
  </si>
  <si>
    <t>C09W33</t>
  </si>
  <si>
    <t>C09W34</t>
  </si>
  <si>
    <t>C09W35</t>
  </si>
  <si>
    <t>C09W36</t>
  </si>
  <si>
    <t>C10W37</t>
  </si>
  <si>
    <t>C10W38</t>
  </si>
  <si>
    <t>C10W39</t>
  </si>
  <si>
    <t>C10W40</t>
  </si>
  <si>
    <t>C11W41</t>
  </si>
  <si>
    <t>C11W42</t>
  </si>
  <si>
    <t>C11W43</t>
  </si>
  <si>
    <t>C11W44</t>
  </si>
  <si>
    <t>C12W45</t>
  </si>
  <si>
    <t>C12W46</t>
  </si>
  <si>
    <t>C12W47</t>
  </si>
  <si>
    <t>C12W48</t>
  </si>
  <si>
    <t>C13W49</t>
  </si>
  <si>
    <t>C13W50</t>
  </si>
  <si>
    <t>C13W51</t>
  </si>
  <si>
    <t>C13W52</t>
  </si>
  <si>
    <t>25-029155</t>
  </si>
  <si>
    <t>283 Summit Avenue, Hackensack, NJ, 07601</t>
  </si>
  <si>
    <t>On April 10, 2025, I responded to the listed location on a report of a Burglary to Auto. Upon arrival, I met with the victim, Stein Saboae. The victim reported a Burglary to his auto bearing NJ registration Z73VFP. The victim reported his ring camera captures a young white male approximately 15-17 years of age, last seen wearing a neon green and gray jacket with dark pants and a helmet. The unknown suspect is observed on a black scooter riding down into the victim's driveway at 2310 hours and ride back out at 2311 hours. The ring camera located at the backdoor captured him opening the driver side door. The victim reports his Oakley clear green lenses glasses missing out of the vehicle. The victim reported the value of the Oakley glasses are $395.00 dollars. Sgt. Tovbin also responded. The victim does not wish to have his vehicle processed. The victim received a  completed victim notification form. The surveillance footage was emailed to detectives division with  the case number. Det. Sgt. Williams was notified.</t>
  </si>
  <si>
    <t>Z73VFP</t>
  </si>
  <si>
    <t>SUB</t>
  </si>
  <si>
    <t>Property Stolen</t>
  </si>
  <si>
    <t>25-029829</t>
  </si>
  <si>
    <t>140 Hudson Street, Hackensack, NJ, 07601</t>
  </si>
  <si>
    <t>I responded to the listed location on a report of a suspicious incident. Upon arrival, I spoke to the home residents who stated somebody entered their apartment and took their belongings. The victims explained that they were going through an eviction process so they were unable to enter the apartment for a couple of days. They then explained that they fixed the issue and when they returned to their apartment, some of their belongings were missing.    The victims advised that they left the apartment on April 8th, 2025 and returned on today's date.    Manuel Vasquez stated he was missing:           3 Citizen watches           3 Gold necklaces           $26.00 Manuel stated he believes the total loss is $400.00.    Tomas Lopez stated he was missing:          3 Dewalt drill sets          A necklace          A watch           2 Samsung Tablets          $50.00.Tomas stated he believes the total loss is $700.00.     There was also no sign of forced entry.     The victims stated that prior to contacting the police they touched several items in the apartment thus contaminating the scene.</t>
  </si>
  <si>
    <t>$26.00 Manuel stated he believes the total loss is  $400.00.    Tomas Lopez stated he was missing:          3 Dewalt drill sets          A necklace          A watch           2 Samsung Tablets           $50.00.Tomas stated he believes the total loss is  $700.00.     There was also no sign of forced entry</t>
  </si>
  <si>
    <t>25-030198</t>
  </si>
  <si>
    <t>157 Central Avenue, Hackensack, NJ, 07601</t>
  </si>
  <si>
    <t>On April 13, 2025, at approximately 1634 hours, P.O. McCarthy and I were dispatched to 157 Central Ave for a parking complaint. Upon our arrival, arrestee 1, Melanie Curry,  arrestee 2, Tyrone Miles, victim 1, Edwin Vasquez, and victim 2, Mirelis Lopez, were standing in the rear parking lot of 157 Central Ave arguing.  I spoke with arrestee 1, Melanie Curry, who stated that the victim, Edwin Lopez, has been parking in her parking spot, which has been an ongoing problem. Arrestee 1 also stated that she went into the rear seat of the Ford Explorer and took victim 2's pocketbook. She further stated the reason she took the pocketbook was so they would move their vehicle. I spoke with Victim 1, who stated that he was arguing with arrestee 1 and arrestee 2 over parking. Arrestee 2 walked over to the victim's 2005 Honda Accord, silver in color, New Jersey Registration N51UXW, and punctured both front tires with a knife.  I spoke with victim 2, who stated that arrestee 2 walked over to her 2019 Ford Explorer, black in color, New Jersey Registration D478UTT, which was also parked in the parking lot. The arrestee opened the rear door without permission and took out her Michael Kors black pocketbook from the back seat, and brought it into her apartment. See below for a detailed list of the contents of the purse. Victim 2 showed us a video of arrestee 2 puncturing the front tires of victim 1's vehicle. The video shows a black male wearing different clothing than what arrestee 2 was wearing, but you could see that arrestee 2 had the same wedding ring and blue bracelet that he had on his left wrist. Victim 2 further stated that arrestee 2 went into his residence and changed his clothes and sneakers.  Sgt. Briggs and P.O. Marble arrived on the scene to assist. Sgt. Brigg advised me that while he was speaking with arrestee 2, the arrestee admitted that he did puncture the two front tires with a knife. Sgt. Briggs went with the arrestee and retrieved the knife, described at a 10" kitchen knife with a blue handle and five inch blade which he turned over to me to be secured and transported to headquarters.   Both arrestees were placed in handcuffs, arrestee 1 was placed in the rear of patrol vehicle 108, and arrestee 2 was placed in the rear of patrol vehicle 107, Both vehicles were checked before and after for contraband. Both arrestees were searched at the scene and back at headquarters with negative results for additional contraband.  Victim notification forms were filled out and provided to both victims. A Handle with Care form was completed and turned into the front desk.  The knife was placed in an evidence knife box, tagged and placed into evidence locker 1  I contacted DCPP and spoke with Alisha #1357 and informed her of the situation. She advised me that they would not be responding but would be documenting the incident at this time.  Vehicle 1: cost of two tires $300.00 eachGeico Insurance 6168591045 The following items were taken from Vehicle 2 Black Michael Kors pocketbook $300.00wallet                                          $50.00Cash                                           $70.00 Diapers                                       $50.00Medicationa single blank check for the victim's checking account which was loose in the purse. Detective Tanucilli was notified and responded to headquarters to take recorded statements. See his report for further.  Both suspects were processed without incident and Lt. Klosk authored complaints S2025-000176, S2025-000177 on my behalf. The suspects were then released from custody.</t>
  </si>
  <si>
    <t>N51UXW</t>
  </si>
  <si>
    <t>D48UTT</t>
  </si>
  <si>
    <t>XPL</t>
  </si>
  <si>
    <t>P.O. Michael Scangarella 349</t>
  </si>
  <si>
    <t>25-030220</t>
  </si>
  <si>
    <t>64 Prospect Avenue, Hackensack, NJ, 07601</t>
  </si>
  <si>
    <t>On April 13, 2025 at approximately 18:44 hours, P.O. Alvarez, SPO Abueg, and I responded to 64 prospect ave apt #B9 for a 911 call for a possible fight.     Upon arrival, I observed a black male, wearing a black leather jacket with white on the boarders, grey jeans, black and red shoes, with short hair, running out of the apartment complex. I attempted to stop the party but he fled running to the rear of 77 Prospect Ave. As I was unaware if the person who fled was involved in the incident I responded to apartment #B9 where I observed the door half open, glass on the floor, and the apartment to be in disarray.     At that moment, Anthony Campbell (victim hereafter), walked out. I observed a laceration to his forehead. The victim also complained of right leg pain. I observed a laceration to his right leg. Hackensack EMS #134 were on scene. They evaluated the victim and he signed an RMA form.     The victim reported he was sitting in his apartment when he began to hear loud banging. The victim reported he made his way to the front door to investigate the sound. The victim reported as he approached the door, it swung open violently. The victim reported he then saw Michael Dearmas (arrestee hereafter) standing on the outside. It should be noted that Dearmas matched the description of the person who fled upon my arrival to the building. The victim reported the arrestee then ran into the apartment and grabbed him by the shirt striking him in the head in the process. The victim reported he then attempted to back up to call 911 to which the arrestee then yelled " I am going to kill you ". The victim reported the arrestee then ran out of the apartment.      The victim reported damage to the front door which would cost approximately $50.00 to repair. The victim also reported a broken mirror which cost him approximately $150.00.     The victim reported he has never had issues with the arrestee until the divorce proceeding with his daughter was initiated. Sgt. Ghirardi arrived on scene. Sgt. Ghirardi notified Det. Tanucilli. Det. Tanucilli arrived on scene.  I asked the victim if he wished to have the scene processed to which he accepted. A Hackensack Police Consent to Search form was completed and turned over to Det. Tanucilli upon his arrival on scene. BCSO Det. S. Delacruz #1955 arrived on scene. Det. Delacruz photographed and processed the scene. See BCSO case number #2025-0233 for more.       While on scene, Sgt. Ghirardi was speaking to the victims daughter on the phone when she received a call from the arrestee. The victims daughter placed the call on 3-way where he disclosed he was standing in front of a liquor store on Lehigh St. Communications was able to confirm the arrestees location via security cameras. P.O. Vicale, SPO Abueg, P.O. Voorhis, P.O. Caero, and P.O. Alvarez made their way to the arrestees location. Upon arrival, the arrestee again fled on an electric bicycle heading south into the NJ Transit Station Lot on Essex St. P.O. Vicale activated his exterior emergency warning lights in attempted to stop the arrestee.     Upon reaching the back of the parking lot the arrestee jumped off the bicycle and ran onto the train tracks. The arrestee then jumped into a small creek but surrendered to P.O. Vicale shortly after. The arrestee was pulled out of the creek by P.O. Vicale and handcuffed behind his back. The arrestee then requested an ambulance for leg pain. The arrestee was transported to Hackensack Hospital. The arrestee was searched before and after the transported which yielded negative results for contraband. P.O. Voorhis rode in the ambulance with the arrestee while P.O. Vicale followed.     At approximately 21:00 the victim contacted the Hackensack Police Headquarters advising he had located the arrestees phone inside the apartment. I responded to the apartment to secure the phone as evidence. The phone was tagged and secured in evidence locker #2.      Communication confirmed the arrestee had active warrant #W-2025-000167 out of this jurisdiction.        The arrestee also had warrant # W-2025-000078 and 1604-W-2025-000080 from Hawthrone PD.     The victims daughter, Toya Campbell-Dearmas, had active FRO #FV-14-001021-25 against the arrestee. The victims address is listed on the FRO.      The bicycle the arrestee was on was logged into property and secured in bulk storage in the old police garage.       A New Jersey Victim Notification form was filled out and a copy was provided to the victim.      Lt. Klosk authored complainant #W 2025 000178 0223 on my behalf for the charges of 2C:18-2, 2C:12-3, 2C12-1a, 2C:17-3, 2C:25-31.</t>
  </si>
  <si>
    <t>$50.00 to repair. The victim also reported a broken mirror which cost him approximately  $150.00.     The victim reported he has never had issues with the arrestee until the divorce proceeding with his daughter was initiated</t>
  </si>
  <si>
    <t>25-030391</t>
  </si>
  <si>
    <t>Kinderkamack Road, 0 Block</t>
  </si>
  <si>
    <t>2 Kinderkamack Road, Hackensack, NJ, 07601</t>
  </si>
  <si>
    <t>I4</t>
  </si>
  <si>
    <t>Suspect: White Hispanic male, approximately 30-40 years old, facial hair, named "Jean"     On 04/14/25, I responded to police headquarters for a walk-in that reported being sexually assaulted on 03/23/2025. The victim reported that on 03/23/25 she requested a 'Lyft' ride from her residence to her friend's house that resides at 169 Passaic Street, Hackensack. The Lyft ride arrived at the victim's residence at approximately 14:53 hours.     During the course of the transportation, the victim believed she had left her cellphone at home. The suspect offered to return to retrieve her cellphone. The victim then realizes her cellphone was in her bag that was inside the vehicle. The victim apologized multiple times to the suspect for returning to her home. The victim then offered $40.00 in cash to the suspect who then accepted the cash.      During the course of the transportation, the victim reported the suspect was asking her personal questions such as: "when was the last time you kissed someone and/or had sex?" The victim stated "about a year and a half ago or more". The suspect pulled over near Jefferson Street. The suspect then stated "kiss me ,come to the front seat and kiss me". The victim then entered the front seat. The suspect then grabbed the victim's face and kissed her for approximately 10 seconds. While kissing the victim, the suspect groped the victim's chest from outer clothing, then down to her hips, to her vagina. The suspect then rubbed the victim's vagina over her clothing. The victim stated she was "frozen" and unable to react to the suspects action. The suspect then stopped and asked to kiss her again. The victim stated the second kiss lasted 2-3 seconds. The victim stated to the suspect she had bad experiences in the past and did not feel comfortable continuing. The suspect then stopped; however, kept his right hand on her thighs.     Over the course of the ride, the suspect attempted to pull over again but this time on Prospect Avenue and Atlantic Street. The victim's friend called her during this time,  questioning her about her location due to the time that she had left from home. Upon arrival to her destination, as the victim exited the vehicle, the suspect stated "You can call me if you want to get a better experience."     A New Jersey Victim Notification Form was completed. A copy was given and explained to the victim. The Detective Bureau was notified and Det. Carroll responded to speak with the victim.  Reference initial reported taken by River Edge Police on 4/12/2025: Case # 2025-03824</t>
  </si>
  <si>
    <t>Gretkowski_J</t>
  </si>
  <si>
    <t>P.O. Juda DeOliveira 376</t>
  </si>
  <si>
    <t>Block</t>
  </si>
  <si>
    <t>CaseID</t>
  </si>
  <si>
    <t>Motor Vehicle Theft - 2C:20-3</t>
  </si>
  <si>
    <t>W46uly</t>
  </si>
  <si>
    <t>Honda</t>
  </si>
  <si>
    <t>klosk_j</t>
  </si>
  <si>
    <t>Criminal Sexual Contact - 2C:14-3a</t>
  </si>
  <si>
    <t>Dominguez_l</t>
  </si>
  <si>
    <t>Burglary - Auto - 2C:18-2</t>
  </si>
  <si>
    <t>deleon_a</t>
  </si>
  <si>
    <t>Criminal Attempt - 2C:5-1</t>
  </si>
  <si>
    <t>Robbery - 2C:15-1</t>
  </si>
  <si>
    <t>Resisting Arrest/Eluding - 2C:29-2</t>
  </si>
  <si>
    <t>y82vds</t>
  </si>
  <si>
    <t>Volks</t>
  </si>
  <si>
    <t>swetits_m</t>
  </si>
  <si>
    <t>Burglary - Residence - 2C:18-2</t>
  </si>
  <si>
    <t>Hyundai</t>
  </si>
  <si>
    <t>Sonata</t>
  </si>
  <si>
    <t>tovbin_s</t>
  </si>
  <si>
    <t>Nissan</t>
  </si>
  <si>
    <t>Sexual Assault - 2C:14-2b</t>
  </si>
  <si>
    <t>bay_f</t>
  </si>
  <si>
    <t>levis_r</t>
  </si>
  <si>
    <t>Theft - 2C:20-3</t>
  </si>
  <si>
    <t>r36gbb</t>
  </si>
  <si>
    <t>r97ryw</t>
  </si>
  <si>
    <t>nj</t>
  </si>
  <si>
    <t>k84cxu</t>
  </si>
  <si>
    <t>Lexus</t>
  </si>
  <si>
    <t>Swetits_m</t>
  </si>
  <si>
    <t>p77uzj</t>
  </si>
  <si>
    <t>Ford</t>
  </si>
  <si>
    <t>am82732</t>
  </si>
  <si>
    <t>Promaster</t>
  </si>
  <si>
    <t>Burglary - Commercial - 2C:18-2</t>
  </si>
  <si>
    <t>T12sse</t>
  </si>
  <si>
    <t>Dodge</t>
  </si>
  <si>
    <t>s70mpz</t>
  </si>
  <si>
    <t>Aggravated Assault - 2C:12-1b</t>
  </si>
  <si>
    <t>briggs_s</t>
  </si>
  <si>
    <t>l17pum</t>
  </si>
  <si>
    <t>z53rvg</t>
  </si>
  <si>
    <t>Tuesday</t>
  </si>
  <si>
    <t>Monday</t>
  </si>
  <si>
    <t>Wednesday</t>
  </si>
  <si>
    <t>Thursday</t>
  </si>
  <si>
    <t>Saturday</t>
  </si>
  <si>
    <t>Sunday</t>
  </si>
  <si>
    <t>June</t>
  </si>
  <si>
    <t>May</t>
  </si>
  <si>
    <t>IncidentDate</t>
  </si>
  <si>
    <t>NibrsClassification</t>
  </si>
  <si>
    <t>CaseNumberLength</t>
  </si>
  <si>
    <t>IncDate</t>
  </si>
  <si>
    <t>IncTime</t>
  </si>
  <si>
    <t>StartOfHour</t>
  </si>
  <si>
    <t>TimeOfDay</t>
  </si>
  <si>
    <t>240 Prospect Avenue, Hackensack, NJ, 07601</t>
  </si>
  <si>
    <t>25-030780</t>
  </si>
  <si>
    <t>325 Union Street, Hackensack, NJ, 07601</t>
  </si>
  <si>
    <t>25-031651</t>
  </si>
  <si>
    <t>28 Summit Avenue, Hackensack, NJ, 07601</t>
  </si>
  <si>
    <t>25-031686</t>
  </si>
  <si>
    <t>125 River Street, Hackensack, NJ, 07601</t>
  </si>
  <si>
    <t>25-031868</t>
  </si>
  <si>
    <t>11 Passaic Street, Hackensack, NJ, 07601</t>
  </si>
  <si>
    <t>25-032451</t>
  </si>
  <si>
    <t>130 Overlook Avenue, Hackensack, NJ, 07601</t>
  </si>
  <si>
    <t>25-032420</t>
  </si>
  <si>
    <t>16 Johnson Avenue, Hackensack, NJ, 07601</t>
  </si>
  <si>
    <t>25-032505</t>
  </si>
  <si>
    <t>395 South River Street, Hackensack, NJ, 07601</t>
  </si>
  <si>
    <t>Unfounded / Closed</t>
  </si>
  <si>
    <t>Unlawful Possess./Weapons - 2C:39-5</t>
  </si>
  <si>
    <t>BAY_F</t>
  </si>
  <si>
    <t>farhi_b</t>
  </si>
  <si>
    <t>ghirardi_r</t>
  </si>
  <si>
    <t>Subaru</t>
  </si>
  <si>
    <t>Chevrolet</t>
  </si>
  <si>
    <t>Criminal Mischief - Vehicle - 2C:17-3</t>
  </si>
  <si>
    <t>m88kxu</t>
  </si>
  <si>
    <t>competiello_fa</t>
  </si>
  <si>
    <t>klosk_J</t>
  </si>
  <si>
    <t>Hindering Apprehension - 2C:29-3</t>
  </si>
  <si>
    <t>KLOSK_J</t>
  </si>
  <si>
    <t>Attempted Burglary - 2C:18-2</t>
  </si>
  <si>
    <t>Acura</t>
  </si>
  <si>
    <t>Criminal Mischief - 2C:17-3</t>
  </si>
  <si>
    <t>Toyota</t>
  </si>
  <si>
    <t>imkr57</t>
  </si>
  <si>
    <t>Rogue</t>
  </si>
  <si>
    <t>utu50w</t>
  </si>
  <si>
    <t>Mazda</t>
  </si>
  <si>
    <t>t21vbk</t>
  </si>
  <si>
    <t>butler_j</t>
  </si>
  <si>
    <t>gretkowski_j</t>
  </si>
  <si>
    <t>Terroristic Threats - 2C:12-3</t>
  </si>
  <si>
    <t>Weapons - Unlawful Purposes - 2C:39-4</t>
  </si>
  <si>
    <t>n51uxw</t>
  </si>
  <si>
    <t>d48utt</t>
  </si>
  <si>
    <t>P.O. Paula Lopez 362</t>
  </si>
  <si>
    <t>G1</t>
  </si>
  <si>
    <t>SIE</t>
  </si>
  <si>
    <t>Warrant Arrest</t>
  </si>
  <si>
    <t>peralta_k</t>
  </si>
  <si>
    <t>Comp/Victim request no police action</t>
  </si>
  <si>
    <t>donnerstag_r</t>
  </si>
  <si>
    <t>Intoxicated Person</t>
  </si>
  <si>
    <t>xkem57</t>
  </si>
  <si>
    <t>E25</t>
  </si>
  <si>
    <t>h88kag</t>
  </si>
  <si>
    <t>GMC</t>
  </si>
  <si>
    <t>G15RSU</t>
  </si>
  <si>
    <t>GEN</t>
  </si>
  <si>
    <t>G80</t>
  </si>
  <si>
    <t>25-033529</t>
  </si>
  <si>
    <t>25-034836</t>
  </si>
  <si>
    <t>530 West Lookout Avenue, Hackensack, NJ, 07601</t>
  </si>
  <si>
    <t>25-035174</t>
  </si>
  <si>
    <t>25-035383</t>
  </si>
  <si>
    <t>East Pleasantview Avenue  &amp; Kipp Street, Hackensack, NJ, 07601</t>
  </si>
  <si>
    <t>25-035499</t>
  </si>
  <si>
    <t>Park Street &amp; , Hackensack, NJ, 07601</t>
  </si>
  <si>
    <t>25-035868</t>
  </si>
  <si>
    <t>185 Central Avenue, Hackensack, NJ, 07601</t>
  </si>
  <si>
    <t>25-036368</t>
  </si>
  <si>
    <t>326 Prospect Avenue, Hackensack, NJ, 07601</t>
  </si>
  <si>
    <t>25-037005</t>
  </si>
  <si>
    <t>233 Kinderkamack Road, Hackensack, NJ, 07601</t>
  </si>
  <si>
    <t>G86REG</t>
  </si>
  <si>
    <t>Tesla</t>
  </si>
  <si>
    <t>MOD</t>
  </si>
  <si>
    <t>J73SXP</t>
  </si>
  <si>
    <t>ELANTA</t>
  </si>
  <si>
    <t>Carjacking - 2C:15-2</t>
  </si>
  <si>
    <t>unknown</t>
  </si>
  <si>
    <t>Mercedes</t>
  </si>
  <si>
    <t>Det. Michael Koenig 153</t>
  </si>
  <si>
    <t>CSB</t>
  </si>
  <si>
    <t>Det. Felix Katsaroans 326</t>
  </si>
  <si>
    <t>3HRC7</t>
  </si>
  <si>
    <t>Yamaha</t>
  </si>
  <si>
    <t>CZD</t>
  </si>
  <si>
    <t>s41usm</t>
  </si>
  <si>
    <t>JET</t>
  </si>
  <si>
    <t>Incomplete</t>
  </si>
  <si>
    <t>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Detectives.</t>
  </si>
  <si>
    <t>P.O. Mattalian and I responded to the listed location on a report of a burglary that took place in the past.  The victim's residence is occupied as a rooming house with multiple tenants. Upon arrival, we made contact with the victim, Gerard White.  The victim stated that he left his residence yesterday 4/14/2025 at approximately 2300 hours. The victim had slept in a hotel due to him and his girlfriend (Erica Best) getting into a verbal altercation. The victim stated Best was not in the room when he left to the hotel.  The victim returned back to his home today 4/15/2025 at approximately 1830 hours and was unable to open his door due to unknown object blocking his room door. The victim walked to the back of the structure to look through his window. The victim discovered his room window was ajar which appeared suspicious. The victim further discovered his apartment in complete disarray, with furniture flipped upside down, and tomato sauce smeared all over his walls.  The victim then discovered his pillow and some personal belongings in the garbage can that was across the driveway in the rear of the home.  Sgt. Competiello arrived on scene.     An anonymous neighbor from room # 5 advised us that at approximately 0400 hours on 4/15/2025 he observed the silhouette of a women dressed like a "ninja" coming from the rear of the listed location with unknown items. The female then entered into an unknown SUV.  The victim stated that he was missing a pair of suede "Jordan" shoes with an approximate cost of $300.00.  He also had damage to his dresser and bed that had an approximate cost of $550.00.  P.O. Mattalian was able to pry the bedroom door open and I observed tomato sauce and food smeared all over the walls of the room.  Det./Sgt. Williams and Det. Tanucilli arrived on scene.  The victim gave us verbal and written consent to have the room processed.  Det. Brielle Colon # 1952 from BCI arrived on scene to photograph and fingerprint the scene.  The victim was given a copy of the victim notification form and advised that detectives would follow up with him.        ****See Detective Tanucilli's supplement***</t>
  </si>
  <si>
    <t>On April 18, 2025, at approximately 22:08 hours Sgt. Donnerstag, P.O. Bonsu, and I responded to 28 Summit Avenue for a report of a burglary that occurred in the past. The victims reported that they last saw their green Aipass electric bicycle and 58" TLC 4k TV  on Wednesday, April 16, 2025 at approximately 06:00 hours in their garage (located in the rear). They reported noticing that both the electric bicycle and 58" TV was gone earlier today. It should be noted, the garage door remains unlocked at all times and the victims do not have a key for it. There was no sign of forced entry observed. The victims reported the green Aipass electric bicycle costs approximately $758.00 and the 58" TV costs approximately $300.00 for a total loss of $1,058.00.       Due to the victims contaminating the area Bergen County BCI was not advised. The New Jersey Victim Notification Form was completed and a copy was provided.      Det./Sgt. Williams was notified.       The victims reported they would like to sign complaints if the suspects are identified.</t>
  </si>
  <si>
    <t>Suspect's description: 6'00 Hispanic males with medium skin color complexion.      On Friday, 04/19/2025, I responded to a bus shelter on Grand Avenue, River Edge and met with P.O. Colucci from River Edge Police Department. He reported that Mr. Michael Kennedy (victim) reported that he was robbed at the Hackensack Bus Terminal earlier today. The victim was intoxicated and does not remember exactly how the incident occurred. He remembers leaving Bergen Community Wellness Center on Hudson Street around 2000 hours.      While on scene, the victim reported that he and two other Hispanic males got into a mutual fight at the bus terminal. P.O. Colucci told me the victim changed his story and the last statement was not his original reporting. The victim then reported while outside the bus terminal, he was snatched from behind by the suspects, kicked on his right leg and punched in the head several times. Sgt. Donnerstag arrived to assist. We did not observe any injuries to the victim nor did he have a complaint of pain in the areas. The victim further reported that the suspects stole $30.00 and his bus pass (unknown value). The victim was turned back over to P.O. Colucci, who was subsequently transported to New Bridge Medical Center due to his level of intoxication.     I responded to the bus terminal and did not observed any possible evidence from the incident or a possible crime scene. Detectives were notified.</t>
  </si>
  <si>
    <t>I responded to the listed location on a report of a burglary. Upon arrival, I spoke to the complainant who explained that both of the vehicles they use for work had been burglarized.    Vehicle 1 is owned by Rusin Doru Electric but is driven by Victim Wilian daily for work. I spoke to Wilian who explained that he had his belongings inside the vehicle while he worked inside the building. He explained that his wallet was in the front passenger seat of the vehicle and the doors were left unlocked. Wilian then further explained that he is consistently grabbing tools out of the vehicle which is why he kept the doors unlocked, he also stated he was near the vehicle at all times except from 1400 to 1500 hours. Wilian then advised that his wallet was taken from the front seat of the vehicle with      His license     1 debit card from TD bank     1 WIC Card     1 ID from Guatemala      $375.00 and     1 key fob for his Acura that is parked at his residence.     Vehicle 2 is owned by Selvin Duarte but is driven daily by the complainant Victor Duarte for work. Victor explained that when they returned to both vehicles at approximately 1500 hours, both glove box compartments were opened. They started searching the vehicles once they realized Wilians wallet was missing, but nothing else was taken.       The vehicles were unable to be processed due to Wilian and Victor touching all handles and items inside.   2 New Jersey Victim Witness notification forms were completed and given to the victims.</t>
  </si>
  <si>
    <t>I responded to 130 Overlook Avenue for a report of a burglary.  Upon arrival, I met with the complainant in the lobby of the apartment building. She stated that she believes the suspect had stolen her wallet from her apartment.      The victim stated that approximately a week and a half ago the incident had occurred.  The victim was unable to provide a specific date and time of the incident.  The suspect is a neighbor of the victim and has had interactions with him in the past.  She further stated that on the day of the incident, the suspect appeared in her residence uninvited and did not see him come through the front door.  When inside, the suspect began asking the victim questions about her carpet and couch.  The victim said after he asked the questions, the suspect left.  After the incident, she realized her wallet was missing from her dining room table.  The victim reported that the wallet is of the brand Victoria's Secret which is black in color with a flower design (worth approximately $30.00), containing two NJ Transit bus tickets and approximately $7.00 in coin currency. She stated that she did not see the suspect take the wallet.  No signs of forced entry were reported to the victim's apartment door.      The suspect was on scene and he stated that he has never gone into the victim's residence, invited or uninvited.  The only time he's interacted with her was a few months ago he gave the victim containers of food after the victim had surgery.  The suspect stated that the victim might be going through early stages of dementia.A New Jersey Victim Notification form was completed and a copy was given to the victim.I notified Sgt. Tovbin who advised Det. Sgt. Williams of the incident.</t>
  </si>
  <si>
    <t>On Monday, April 21, 2025 at approximately 0800 hours,  P.O Francavilla and I responded to 16 Johnson Avenue on a report of a burglary.     Upon my arrival, I spoke to the complainant who escorted P.O. Francavilla and myself to the rear of the building where a window appeared to be forced open. I then spoke to Giustina who stated she arrived at the business and unlocked the door to set up the office. She advised that once she entered, she realized the alarm was going off and then noticed 3 alcohol bottles on the floor. Giustina stated that once she noticed the bottles, she exited the business and waited in the parking lot. P.O Francavilla and I made entry into the business and completed an interior check.  The interior check yielded negative results for any person(s) in the business.  While completing the interior check, I observed a safe on the floor pried open and the main office was torn apart. Upon further inspection, I observed that several other rooms had cabinets opened. Giustina then handed us the key for the outside gate that lead to the opened window. Upon further investigation, we noticed a crow bar on the floor next to the window. I requested for a supervisor and SGT. Tovbin arrived on scene. SGT. Tovbin requested detectives and DET. Dogali and D/SGT. Williams arrived on scene at approximately 0855 hours.    The complainant consented to the business to be processed and signed a Consent to Search form.    At 0850 hours, the scene was preserved and a crime scene log had commenced.-0908 hours, Det. Charlenea/Det. Delacruz/ D/SGT. Dilkes (BCI) arrived to process the scene.-1014 hours, detectives were completed and the scene was turned over to D/SGT. Williams and DET. Dogali.  Giustina advised $4,000.00 were taken but that she was unaware what else was taken.</t>
  </si>
  <si>
    <t>On April 21, 2025 at approximately 12:46 hours, the victim responded to headquarters to report a burglary to his vehicle that happened in the past.  I met with the victim in headquarters where I escorted him to report room 2 to conduct my investigation.       The victim stated that some of his collectable toy cars were stolen from the trunk of the listed vehicle.  The victim believes that the incident occurred at 395 South River Street (John Leckie Bus Company parking lot) between the dates of 04/08/2025 and 04/10/2025, between 05:00 and 09:00 hours.  During those times, the victim parks the listed vehicle in the parking lot of his workplace.  The victim stated that he usually locks his vehicle when it is parked at his workplace but recalls returning to his vehicle on 04/09 and had found his vehicle unlocked.  When asked if he believes the incident occurred elsewhere, the victim stated that he has coworkers that are aware that he keeps his collection of toy cars in his vehicle.  The victim stated that all twenty (20) toy cars are in their original boxes and the approximate total value of them is $600.00.The victim stated that his vehicle was parked in view of surveillance cameras.A New Jersey Victim Notification Form was completed and a copy was provided to the victim.List of property reported stolen:M2-1970 Nissan Fairlady Z432 -A51M2- Coca Cola Pop 1955 Chevy Bel Air Hard Top Custom2025 Gulf Mini Silver Tooned Set2025 M2 Machines Gulf Set and ChaseHot Wheels Silver Series Salt Flat Racers Set</t>
  </si>
  <si>
    <t>On Thursday April 25, 2025, I was assigned as the Hackensack High School SRO.  I was notified by the 11th grade assistant Principal Nicole Adams that there was a report of a possible sexual assault.      The victim M.T. made initial disclosure to her teacher Ms. Mitchell that while at lunch she was kissed and inappropriately touched by the suspect C.R.  After receiving the report Ms. Mitchell immediately notified Mrs. Adams.      I spoke to the victim who stated that she was kissed by the suspect without her consent during her lunch period. The victim added that on other unspecified days the suspect has touched her breast and buttocks without her consent. At this time the victim does not want to pursue any criminal complaints against the suspect.     Please note today's incident was captured by the school's surveillance camera ( HHS Cafeteria Comet Side #24). I requested a copy from the IT department.       I notified the victim's father Antonio Tapia of the incident. At this time he indicated that he does not want to sign complaints. He was advised how to do so if they changed their minds.</t>
  </si>
  <si>
    <t>I responded to the listed location on a report of a motor vehicle theft. Upon arrival, I spoke to the victim who stated the listed vehicle was taken out of her driveway. The victim advised that on Friday, April 25th, 2025 she parked her vehicle in her driveway and left for the weekend. She returned to her residence on April 28th, 2025 and realized the vehicle was missing.    The victim stated she has no possible suspects for the incident.    A New Jersey Victim Witness Notification form was completed and the victim was provided a copy. The victim also stated she would like to have the vehicle processed if it was found. The stolen vehicle check list was completed and given to dispatch to be entered into NCIC. The vehicle was also enetered into the ATTF website.    Total cost of vehicle: $45,000.  Vehicle Insurance:   Policy #: 6173947828         Code: 369</t>
  </si>
  <si>
    <t>On April 29, 2025, I responded to the listed location for a report of a stolen vehicle.  Upon arrival, I spoke to the victim who stated her vehicle was stolen from the guest parking lot.     The victim stated that she parked her vehicle in guest spot #2 facing north at approximately 14:00 hours. The victim returned to her vehicle at approximately 14:40 hours where she realized her vehicle was missing.  Upon review of the surveillance footage, the vehicle was stolen at 14:15 hours.  At 14:14 hours, a blue colored SUV with front flashing lights (unknown registration, make or model) was seen pulling up to the listed vehicle and two white male parties exited.  The driver of the blue colored SUV entered the listed vehicle then fled in the vehicle and was last seen fleeing south on Prospect Avenue.  The other male party got into the driver seat of the blue SUV and also fled south on Prospect Avenue.       The victim was unable to articulate if she had left her vehicle unlocked and/or running but stated that she did not leave the key fob in the vehicle.   The victim stated that she had property that was left in the vehicle which included: a MCM handbag color brown (worth $500.00), her NJ driver's license, a Capital One credit card, a Wells Fargo debit card, hers and her daughter's birth certificates, Social Security card, U.S. Passport, and a car seat (worth approximately $50.00).  The estimated cost for the listed vehicle is $21,000.00. A New Jersey Victim Notification Form was completed and a copy was given to the victim.  The victim stated she does not want her vehicle processed.</t>
  </si>
  <si>
    <t>On Tuesday, April 29th at approximately 0830 hours, while Detective Reo was on an extra duty traffic assignment, an anonymous male complainant approached him and disclosed the following. The anonymous complainant stated that on Sunday, April 29th at approximately 1830 hours, he witnessed an armed robbery committed by three (3) unknown male actors against an unknown Hispanic male in the area of Kipp Street and E. Pleasantview Avenue. The complainant further disclosed that the alleged "victim" was observed being dragged and thrown from the exterior hood of a vehicle, possibly car jacked and that one of the actor(s) displayed a firearm. No other information was provided at the time.   At approximately 1000 hours, after receiving the anonymous report and information from D/Sgt. Seretis, Detective Rios and I responded to the area to conduct a thorough canvass. Upon further investigation, we acquired numerous CCTV recordings of the incident, which corroborated the complainant's recollection of the events that occurred.     The Bergen County Prosecutor's Office Special Investigation Squad was notified and responded. The incident is under active investigation pending further development.</t>
  </si>
  <si>
    <t>Suspects description: (1) Black Male wearing a black hoodie and a black ski mask black sweatpants and unknown sneakers. Possibly 20-30 yrs of age but difficult to tell with the ski masks.  (2) Black male wearing a black hoodie with black jeans and unknown sneakers with a maroon and black military pattern ski mask. Possibly 20-30 years of age but difficult to tell with the ski mask         The complainant and the victim responded to police headquarters to report a robbery. The victim stated he was walking West on Gamewell coming to the intersection of South Park street at approximately 1400-1430 hours when two Suspects approached him one standing behind him holding a sharp object to his back and another in front of him raiding his pockets. He stated the suspects were saying something to him in English but he did not understand any of it since he only speaks Spanish. The victim stated he was too afraid to fight back and the suspects took approximately $385-$387 cash and his blue IPhone 15 with a gray case from his pockets. The complainant was advised on how to sign complainant and may do so if the suspects are identified. A New Jersey Victim Notification form was completed and a copy was provided to the complainant.Det. Garrett was advised.</t>
  </si>
  <si>
    <t>I responded to the listed location on theft of sneakers.  Upon arrival I made contact with the victim, Matese Shine, who stated that 15 pairs of her Jordan and Nike sneakers were missing from her home.  The victim stated that she has been staying at her boyfriends house but came back to her home this morning at approximately 1100 hours and realized a few of her sneaker boxes were missing.  She then called her son who stays in her home sometimes to ask him if he took her sneakers or had anyone in the home while she wasn't there in which he responded "no." The victim's son then stated that he left the door open to the home while he went to the corner store and came back home shortly after.  The victim then returned back to her home this evening at approximately 2200 hours and discovered that she had more sneakers missing from her home.  The estimated cost in sneakers that were taken is approximately $5000.00.  Due to the sneakers being taken from the home, I requested a Sgt. for a possible burglary.  Sgt. Butler arrived on scene.        I did not observe the door or handle to be tampered with and no other items were missing according to the victim.  The victim, however, did notice a pair of gray, white, and light blue Nike Air Force size 8 in a Black Nike Air show box size 9 that did not belong to her or her son.  Det. Tanucilli arrived on scene.  While confirming the victim's pedigree information through Info Cop, the results revealed that she had an outstanding warrant out of Waldwick (Warrant # E21 337).  The victim was given a copy of the R.O.R. form with a new court date from Walwick to appear in-person on May 19th, 2025.  The victim was also given a copy of the victim notification form.  If the suspect is identified, the victim would like to pursue with criminal complaints.  The sneakers were secured into evidence in Locker # 2  See Detective Tanucilli's report for further.</t>
  </si>
  <si>
    <t>On 05/03/25, I responded to 326 Prospect Avenue on a report of a motor vehicle theft. Upon arrival, I spoke with the victim who reported her motorcycle (2023 Yamaha CZD black &amp; gray bearing NJ-3HRC7) was stolen from 326 Prospect Avenue Garage Level C #22. The victim stated she last saw the motorcycle on approximately 03/01/25.      The value of the motorcycle was approximately $9,700.00. The victim also stated inside the motorcycles storage compartments were:       Vehicle registration worth approximately $5.00      Helmet worth approximately $375.00      2 pair of leather gloves worth approximately $100.00      Battery Booster approximately $160.00      Miscellaneous Tools worth approximately $50.00           Total lost value approximately $10,390.00      There are surveillance cameras throughout the garage and on each level. Surveillance Camera footage is available per management (Spencer Ross) if requested.      A New Jersey Victim Notification Form was completed. A copy was explained and given to the victim. The victim requested the motorcycle be processed for evidence if located and a Hackensack Police Consent To Search Form was completed and signed by the victim. The vehicle was entered into NCIC and the NJ State Police ATTF web site as stolen.</t>
  </si>
  <si>
    <t>CCAD# 25-163269  Indira states her VW was taken in the past hour</t>
  </si>
  <si>
    <t>Burglary - Commercial - 2C:18-2 - Alarm - Burglar</t>
  </si>
  <si>
    <t>Burglary - Commercial - 2C:18-2 - Suspicious Incident</t>
  </si>
  <si>
    <t>Burglary - Commercial - 2C:18-2 - Hindering Apprehension - 2C:29-3 - Resisting Arrest/Eluding - 2C:29-2</t>
  </si>
  <si>
    <t>Burglary - Residence - 2C:18-2 - Terroristic Threats - 2C:12-3 - Criminal Mischief - 2C:17-3</t>
  </si>
  <si>
    <t>Burglary - Residence - 2C:18-2 - Theft - 2C:20-3 - Criminal Mischief - 2C:17-3</t>
  </si>
  <si>
    <t>Burglary - Residence - 2C:18-2 - Theft - 2C:20-3 - Warrant Arrest</t>
  </si>
  <si>
    <t>Afternoon (12:00–15:59)</t>
  </si>
  <si>
    <t>Morning Peak (08:00–11:59)</t>
  </si>
  <si>
    <t>Early Morning (00:00–03:59)</t>
  </si>
  <si>
    <t>Night (20:00–23:59)</t>
  </si>
  <si>
    <t>Evening Peak (16:00–19:59)</t>
  </si>
  <si>
    <t>Morning (04:00–07:59)</t>
  </si>
  <si>
    <t>Motor Vehicle Theft - 2C:20-3 - Theft - 2C:20-3</t>
  </si>
  <si>
    <t>Motor Vehicle Theft - 2C:20-3 - Recovered Stolen Vehicle</t>
  </si>
  <si>
    <t>Dispute - Criminal Attempt - 2C:5-1 - Robbery - 2C:15-1</t>
  </si>
  <si>
    <t>Robbery - 2C:15-1 - Resisting Arrest/Eluding - 2C:29-2 - Suspicious Person</t>
  </si>
  <si>
    <t>Suspicious Incident - Robbery - 2C:15-1</t>
  </si>
  <si>
    <t>Assist Other Agency - Aggravated Assault - 2C:12-1b - Robbery - 2C:15-1</t>
  </si>
  <si>
    <t>Robbery - 2C:15-1 - Unlawful Possess./Weapons - 2C:39-5 - Dispute</t>
  </si>
  <si>
    <t>Robbery - 2C:15-1 - Theft - 2C:20-3 - Medical Call</t>
  </si>
  <si>
    <t>Robbery - 2C:15-1 - Intoxicated Person - Assist Other Agency</t>
  </si>
  <si>
    <t>Carjacking - 2C:15-2 - Robbery - 2C:15-1</t>
  </si>
  <si>
    <t>Criminal Sexual Contact - 2C:14-3a - Juvenile Investigation</t>
  </si>
  <si>
    <t>Sexual Assault - 2C:14-2b - Juvenile Investigation</t>
  </si>
  <si>
    <t>Exceptionally Cleared/Closed - Sexual Assault - 2C:14-2b</t>
  </si>
  <si>
    <t>Mental Health Incident - Sexual Assault - 2C:14-2b - Juvenile Investigation</t>
  </si>
  <si>
    <t>Crime_Category</t>
  </si>
  <si>
    <t>Assist Other Agency - Burglary - Residence - 2C:18-2</t>
  </si>
  <si>
    <t>Enhanced_TimeOfDay</t>
  </si>
  <si>
    <t>Row Labels</t>
  </si>
  <si>
    <t>Grand Total</t>
  </si>
  <si>
    <t>Lookout Avenue, 300 Block</t>
  </si>
  <si>
    <t>Honda ACC</t>
  </si>
  <si>
    <t>First Street, 200 Block</t>
  </si>
  <si>
    <t>Honda CIV</t>
  </si>
  <si>
    <t>Ross Avenue, 0 Block</t>
  </si>
  <si>
    <t>HONDA PAS</t>
  </si>
  <si>
    <t>Hudson Street, 400 Block</t>
  </si>
  <si>
    <t>Nissan PTH</t>
  </si>
  <si>
    <t>Essex Street, 100 Block</t>
  </si>
  <si>
    <t>Lexus ES</t>
  </si>
  <si>
    <t>Sutton Avenue, 400 Block</t>
  </si>
  <si>
    <t>Ford CRO</t>
  </si>
  <si>
    <t>RAM Promaster</t>
  </si>
  <si>
    <t>Hudson Street, 100 Block</t>
  </si>
  <si>
    <t>Dodge CAR</t>
  </si>
  <si>
    <t>Hudson Street, 500 Block</t>
  </si>
  <si>
    <t>Second Street, 100 Block</t>
  </si>
  <si>
    <t>Prospect Avenue, 0 Block</t>
  </si>
  <si>
    <t>Washington Avenue, 400 Block</t>
  </si>
  <si>
    <t>Honda PILOT</t>
  </si>
  <si>
    <t>Kenneth Street, 100 Block</t>
  </si>
  <si>
    <t xml:space="preserve">Chevrolet </t>
  </si>
  <si>
    <t>Berry Street, 200 Block</t>
  </si>
  <si>
    <t>Acura TLX</t>
  </si>
  <si>
    <t>West Lookout Avenue, 500 Block</t>
  </si>
  <si>
    <t>Tesla MOD</t>
  </si>
  <si>
    <t>Prospect Avenue, 200 Block</t>
  </si>
  <si>
    <t>Hyundai ELANTA</t>
  </si>
  <si>
    <t>Prospect Avenue, 300 Block</t>
  </si>
  <si>
    <t>Yamaha CZD</t>
  </si>
  <si>
    <t>Kinderkamack Road, 200 Block</t>
  </si>
  <si>
    <t>Volks JET</t>
  </si>
  <si>
    <t>Second Street, 0 Block</t>
  </si>
  <si>
    <t>Kansas Street, 0 Block</t>
  </si>
  <si>
    <t>Passaic Street, 400 Block</t>
  </si>
  <si>
    <t>Pangborn Place, 0 Block</t>
  </si>
  <si>
    <t>Park Avenue, 0 Block</t>
  </si>
  <si>
    <t>Essex Street, 200 Block</t>
  </si>
  <si>
    <t>Fair Street, 0 Block</t>
  </si>
  <si>
    <t>Union Street, 300 Block</t>
  </si>
  <si>
    <t>Summit Avenue, 0 Block</t>
  </si>
  <si>
    <t>Overlook Avenue, 100 Block</t>
  </si>
  <si>
    <t>Johnson Avenue, 0 Block</t>
  </si>
  <si>
    <t>Central Avenue, 100 Block</t>
  </si>
  <si>
    <t>Clay Street, 200 Block</t>
  </si>
  <si>
    <t>Hackensack Avenue, 400 Block</t>
  </si>
  <si>
    <t>Volks ATL</t>
  </si>
  <si>
    <t>Main Street, 600 Block</t>
  </si>
  <si>
    <t>Hyundai Sonata</t>
  </si>
  <si>
    <t>High Street, 100 Block</t>
  </si>
  <si>
    <t>BMW 430</t>
  </si>
  <si>
    <t>Subaru IMP</t>
  </si>
  <si>
    <t>River Street, 100 Block</t>
  </si>
  <si>
    <t>Pleasantview Avenue  &amp; Kipp Street, Unknown Block</t>
  </si>
  <si>
    <t xml:space="preserve">BMW </t>
  </si>
  <si>
    <t>Street &amp;, Unknown Block</t>
  </si>
  <si>
    <t>First Street, 100 Block</t>
  </si>
  <si>
    <t>Berdan Place, 100 Block</t>
  </si>
  <si>
    <t>Union Street, 200 Block</t>
  </si>
  <si>
    <t>Period</t>
  </si>
  <si>
    <t>BLOCK_Enhanced</t>
  </si>
  <si>
    <t>Stanley Place, 200 Block</t>
  </si>
  <si>
    <t>Burglary - Auto - 2C:18-2 - Theft - 2C:20-3</t>
  </si>
  <si>
    <t>Pleasantview Avenue &amp; Kipp Street, Unknown Block</t>
  </si>
  <si>
    <t>Historical</t>
  </si>
  <si>
    <t>Central Avenue, 200 Block</t>
  </si>
  <si>
    <t>Anderson Street, 100 Block</t>
  </si>
  <si>
    <t>Pulaski Place, 0 Block</t>
  </si>
  <si>
    <t>Burglary - Auto - 2C:18-2 - Criminal Mischief - Vehicle - 2C:17-3</t>
  </si>
  <si>
    <t>Suspicious Incident - Attempted Burglary - 2C:18-2</t>
  </si>
  <si>
    <t>Street &amp; American Legion Drive, Unknown Block</t>
  </si>
  <si>
    <t>Burglary - Auto - 2C:18-2 - Theft - 2C:20-3 - Criminal Mischief - 2C:17-3</t>
  </si>
  <si>
    <t>Atlantic Street, 100 Block</t>
  </si>
  <si>
    <t>Burglary - Auto - 2C:18-2 - Suspicious Person - Property - Found</t>
  </si>
  <si>
    <t>Summit Avenue, 200 Block</t>
  </si>
  <si>
    <t>Burglary - Auto - 2C:18-2 - Weapons - Unlawful Purposes - 2C:39-4</t>
  </si>
  <si>
    <t>Passaic Street, 0 Block</t>
  </si>
  <si>
    <t>South River Street, 300 Block</t>
  </si>
  <si>
    <t>25-038214</t>
  </si>
  <si>
    <t>Shoplifting - 2C:20-11</t>
  </si>
  <si>
    <t>500 South River Street, Hackensack, NJ, 07601</t>
  </si>
  <si>
    <t>On 5/9/25 while at 500 South River Street Sgt. Competiello and I were approached by an unknown party stating a shoplifter was getting physical with ShopRite Loss Prevention Officer(s). Sgt. Competiello responded and made contact with the all parties. The suspect / arrestee, Virgil Kearney, was then placed under arrest. It was reported on 5/9/25 the victim / ShopRite Loss Prevention Officer observed Kearney on video surveillance conceal multiple items / merchandise in his pocket / backpack. Kearney was later observed walking towards the front register area and took two Red Bull drinks. Kearney is seen passing all points of sale(s), failing to pay, and exiting the store. While outside the store, ShopRite Loss Prevention approached Kearney. A physical altercation then started when Kearney tackled the victim, Conner Maret, to the ground and began wrestling the victim, while on the ground. Due to the physical altercation the victim sustained a minor scratch to his neck, left side. A witness / ShopRite Loss Prevention Officer, Martin Almonte-Tejada, was also present.Prior to transport to headquarters, Kearney was searched and multiple stolen merchandise were located in his pockets. All known stolen merchandise were later returned to ShopRite Loss Prevention. At this time the total amount of stolen proceed(s) were unknown, but ShopRite Loss Prevention estimated to be approximately $60.00 to $200.00.The arrestee was searched incident to arrest, yielding negative results for contraband. The arrestee was transported to Headquarters in marked radio car #115. P.O. Mattalian followed behind. Concurrently, Sgt. Competiello transported the victim to Headquarters in marked radio car #109. Upon arrival at Headquarters, the victim was turned over to Detective Dogali to provide a recorded statement. See Det. Dogali's supplement for further. The arrestee was fingerprinted and photographed.  I authored Complaint W 2025 000233 0223 for 2C:15-1A(1) robbery. The arrestee was then remanded to the Bergen County Jail.Due to the arrestee currently being homeless CBH Care / ARRIVE was offered, which he accepted. A CBH Care Form was later completed.Be advised, while issuing a city ordinance violation at the same physical location (Case # 25-038212), Sgt. Competiello and I were approached by a party who advised us of the Robbery in progress at Shop Rite. While Sgt. Competiello responded to Shop Rite, I quickly completed my city ordinance violation call, deactivated my BWC and responded to assist. Upon responding to Shop Rite I thought I activated my BWC, but it was later discovered It was never activated.</t>
  </si>
  <si>
    <t>P.O. Ioannis Papanikolaou 308</t>
  </si>
  <si>
    <t>South River Street, 500 Block</t>
  </si>
  <si>
    <t>Robbery - 2C:15-1 - Shoplifting - 2C:20-11</t>
  </si>
  <si>
    <t>25-038971</t>
  </si>
  <si>
    <t>38 Moonachie Road, Hackensack, NJ, 07601</t>
  </si>
  <si>
    <t>On Monday, May 12th, 2025, I responded to the listed location on a burglary report to auto report. Upon arrival, I met with Isaac Martinezestrada (complainant hereafter) of vehicle 1 bearing New Jersey Plate P36RMF, which was parked in parking space 95. The complainant stated he parked the vehicle at approximately 19:00 on 05/11/2025 and was unsure if he had locked the doors. He further stated that he returned to it at approximately 06:45 on 05/12/2025. He also reported that when he returned to the vehicle, he noticed the driver's side door slightly ajar, with his charging cable outside the car. The complainant reported that he noticed his car was rummaged through, and $18.00 was missing from the driver's side compact. He further noted that nothing else was taken, and his vehicle was intact. The complainant also reported having a dash camera facing outwards of the vehicle. He further reported that at approximately 03:21 hours on 05/12/2025, he could hear a person/suspect rummaging through the vehicle. He was advised to save the audio. Sgt. Ghirardi was notified.  I completed a victim's notification form and provided a copy to the complainant. The complainant wanted to sign a complaint if the suspect was to be identified.</t>
  </si>
  <si>
    <t>P36RMF</t>
  </si>
  <si>
    <t>CAM</t>
  </si>
  <si>
    <t>Moonachie Road, 0 Block</t>
  </si>
  <si>
    <t>25-038962</t>
  </si>
  <si>
    <t>Unlawful Taking - 2C:20-10</t>
  </si>
  <si>
    <t>70 Cedar Avenue, Hackensack, NJ, 07601</t>
  </si>
  <si>
    <t>The suspect is the victim's mother's boyfriend's son, who is not related to the victim and does not reside at the residence. The victim is not friends with the suspect but only knows him.          On Monday, May 12th, 2025, P.O. Lyak, P.O. Rivera, and I responded to 70 Cedar Avenue on a report of a fight involving a stick. Upon arrival, I spoke with the victim, who is now referred to as Molano-Rivera, Alejandro. He reported that the suspect, who is now referred to as Amadiz, Freddy Jr, assaulted him multiple times to his hands and one time to his head. Alejandro reported that he was walking down his steps, opened the door, and observed Amadiz standing there. Amadiz then squatted down, picked up a stick, and started to assault Alejandro with it multiple times. Alejandro then ran back up the steps and began to scream for help. Amadiz then followed Alejandro up the stairs and continued to assault Alejandro. Alejandro made contact with his father, who was inside the apartment,when the father opened the apartment door, Amadiz took off down the steps and went toward the front of the house. Alejandro reported that Amandiz did not state anything to him during the assault. Alejandro refused medical attention on scene. While Amadiz was assaulting Alejandro, Amandiz caused damage to the ceiling causing a hole. The estimated total cost of repairing the hole in the wall is $300.00.       Sgt. Ghirardi was advised and responded to the scene to assist.      Amandiz entered the listed vehicle and left the scene after the assault occurred with the weapon he used.       Masshiel Barriows, who is the witness, reported hearing the screaming from inside her apartment which is located on the first floor. She reported that when she heard the scream, she went outside and only observed the suspect walking out of the stairs with the stick in his hands, and did not observe the assault occur.    Det/Sgt. Tripodi was advised and responded to the scene to assist and captured pictures of the incident.      Victim Notification forms were completed and were given to the victim.</t>
  </si>
  <si>
    <t>s28snh</t>
  </si>
  <si>
    <t>knapp_j</t>
  </si>
  <si>
    <t>Cedar Avenue, 0 Block</t>
  </si>
  <si>
    <t>Burglary - Residence - 2C:18-2 - Aggravated Assault - 2C:12-1b - Unlawful Taking - 2C:20-10</t>
  </si>
  <si>
    <t>25-039095</t>
  </si>
  <si>
    <t>343 Park Street, Hackensack, NJ, 07601</t>
  </si>
  <si>
    <t>On May 12th, 2025, I responded to Headquarters on a report of a burglary. Upon arrival, I met with Gnahore Gnegbo (Victim), who stated that on May 4th, 2025, at approximately 13:00 hours, his residence was burglarized. The victim stated that the front door did not have a lock and was very poorly secured which is how he supposed the suspect/s gained access. The victim stated that he did not know what exactly was missing other than what he reported.      Items stolen:      Old Social Security Card     Old New Jersey Drivers License     Unknown Miscellaneous items     The victim completed a Hackensack PD Fraud packet as a precaution in case there was any credit card fraud discovered on his banking account after the incident to which he did not disclose any suspicious activity.      Detectives notified</t>
  </si>
  <si>
    <t>Park Street, 300 Block</t>
  </si>
  <si>
    <t>25-039451</t>
  </si>
  <si>
    <t>On Tuesday May 13, 2025, I was assigned as the Hackensack High School SRO.   I was notified by the school counselor, Kara Ferrazano, that J.N. disclosed to her that she is involved in an intimate relationship with a 22 year old Hispanic male.       I spoke to the victim in the presence of her case worker, Carolina Valera. The victim confirmed that she is 15 year old and is currently sexually active with her 22 year old boyfriend. She added that they had sex on Sunday May 11, 2025 in his apartment located in the State of New York. The victim stated that this sexual interaction was consensual and refused to provide the identity of the suspect. She also refused to give and exact location of the incident.  I advised her that under New Jersey State Law she could not legally give consent. Various attempts were made to get further information, but the victim refused to cooperate.      I spoke to the victim's mother Maria Zhumi Peralta and advised her of the incident. She stated her daughter had disclosed this incident to her on May 12, 2025. Zhumi Peralta stated she does not know any information about the actor, but will try to obtain it from her daughter.     DCP&amp;P was notified by Mrs. Ferrazano. I notified the Bergen County Prosecutor's Office SVU. I spoke to Det. Negron who advised me that due to the incident occurring in New York I should notify the proper jurisdiction upon obtaining the location of the incident.Case Active pending victim cooperation.</t>
  </si>
  <si>
    <t>delcarpio_m</t>
  </si>
  <si>
    <t>25-039778</t>
  </si>
  <si>
    <t>520 River Street, Hackensack, NJ, 07601</t>
  </si>
  <si>
    <t>On Wednesday, 05/14/2025, I responded to 520 Hackensack Avenue (All American Ford) for a motor vehicle theft. I met with Mr. Nelson Minier (Complainant), who is the general manager at All American Ford. He reported that Ms. Pegeen Callagy was the lease owner of a black 2022 Ford Bronco. Fusion Auto Finance (victim) owns the rights to the vehicle and made arrangements to pick the vehicle up with a third party towing company. The vehicle was parked and secured on the north side of the Ford lot.      The complainant reported that he has been in contact via e-mail with Mr. Sam Carter, who is the manager at Fusion Auto Finance. After arrangements were confirmed between both of them, Richie's Towing responded on 05/05/2025 at 1747 hours for the vehicle and took possession of the vehicle. Mr. Erol Hasan was the tow truck driver that day. Prior to taking the vehicle, he confirmed the vehicle's identification number and he was given a key fob by an employee at Ford. The complainant further reported that the victim contacted him later reporting the vehicle was never delivered.      Today, Mr. Hasan and Mr. Richard Cazassa (Owner of Richie's Towing) responded to Ford after being notified about the vehicle's whereabouts. Mr. Cazassa reported that he has been doing business with Noriega Towing for some time. He further reported that "Danny Noriega" contacted him about subletting a contract for him to pick the 2022 Bronco. Mr. Cazassa sent Mr. Hasan and the vehicle was towed back to his tow yard. Mr. Cazassa reported that he held the vehicle for an unusual amount of time (4 hours) and then "Danny" sent him a drop off location at JC Penny parking lot at Cherry Hill Mall. Mr. Hasan reported that he gave the vehicle to two (2) young black males and in return he was given $1,000.00 in cash for his services. The total value of the vehicle is approximately $36,000.00. Sgt. Det. Tripodi was notified. To be noted, the complainant reported that Ms. Pegeen Callagy received a suspicious phone call from a towing company wanting to pick up the vehicle from her house, in which she denied.</t>
  </si>
  <si>
    <t>BRO</t>
  </si>
  <si>
    <t>River Street, 500 Block</t>
  </si>
  <si>
    <t>Motor Vehicle Theft - 2C:20-3 - Suspicious Incident</t>
  </si>
  <si>
    <t>25-039963</t>
  </si>
  <si>
    <t>South Railroad Avenue &amp; Atlantic Street, Hackensack, NJ, 07601</t>
  </si>
  <si>
    <t>On May 15, 2025, at approximately 0815 hours the victim responded to Hackensack Police Headquarters to report a stolen motor vehicle. The victim reported that on May 12, 2025, at approximately 1930 hours he parked vehicle 1 in front of 95 Railroad Avenue facing west. When he returned to his vehicle on May 12, 2025, at approximately 2025 hours his vehicle was gone. He thought housing authority may have taken possession of the vehicle so he waited to ask them if prior to reporting it stolen. The victim further reported that he had placed a lock to prohibit the steering of the vehicle and he had a kill switch for the battery enabled. The victim is unaware of any possible suspects at this time. The approximate value of the vehicle is $1,500.00. The following items were inside the vehicle:     - An air compressor with an approximate value of $50.00     - A gray helmet with an approximate value of $20.00    The total amount stolen was $1,570.00. The victim does not wish to have the vehicle processed if it is recovered. The victim reports there is surveillance cameras in the area where the incident occurred. The victim wants to sign complaints if the suspect is identified. A victim notification form was completed. I submit the stolen vehicle entry into the Auto Theft Task Force web site. Motor vehicle theft checklist was placed in the detectives' box.</t>
  </si>
  <si>
    <t>6BHK7</t>
  </si>
  <si>
    <t>QIA</t>
  </si>
  <si>
    <t>JIG</t>
  </si>
  <si>
    <t>Railroad Avenue &amp; Atlantic Street, Unknown Block</t>
  </si>
  <si>
    <t>25-040394</t>
  </si>
  <si>
    <t>33 Henry Place, Hackensack, NJ, 07601</t>
  </si>
  <si>
    <t>I responded to police headquarters on a report of a burglary to a residence.  Upon arrival I made contact with the victim, Vanessa Durango, who stated initially that she believes her ex-boyfriend, Max Makarov (suspect), stole money from her.  The victim stated that on Monday, May 12, 2025 at approximately 0800 hours, the suspect got home and asked the victim for some money and food.  The victim stated that she did not have any money but he can help himself to some food and then went back to sleep.  The victim then woke back up at 1130 hours and realized $500.00 was missing from her purse.  The victim tried contacting the suspect via phone with negative results.       Furthermore, the victim stated that she got home this afternoon as approximately 1200 hours and saw her apartment was ransacked.  The victim is unaware if the suspect has copies of her keys and did not notice any visible forced entry to the home.  The victim did not give permission to the suspect to enter her home.  The victim stated that she noticed her yellow Gucci purse was missing that has an estimated cost of $1000.00.  The victim also stated that she had money taken out of her Capital One Bank Account totaling $2200.00.  She was given a fraud packet to fill out and advised to bring back with all proper documentation and we would create a supplement report.  The victim was given a copy of the victim notification form.  Detective Dogali was advised of the incident.</t>
  </si>
  <si>
    <t>Henry Place, 0 Block</t>
  </si>
  <si>
    <t>25-041339</t>
  </si>
  <si>
    <t>55 Clinton Place, Hackensack, NJ, 07601</t>
  </si>
  <si>
    <t>On Monday, May 19, 2025 at approximately 1932 hours, I responded to 55 Clinton Place on report of a motor vehicle theft. The victim reported that at approximately 1930 hours on yesterday's date, she parked the listed vehicle in her assigned parking space (#29), located in the rear lot of the listed address.     The victim further reported that she returned to her vehicle the following day, in which she was unable to locate. The victim stated that she spoke to the listed building's property manager who advised that their were no recent tows authorized by management.     The approximate cost of the listed vehicle was $25,000.00. The victim wished to have the vehicle processed for fingerprints if recovered. A Latent Prints Consent Form was completed. A Victim Notification Form was completed and the victim was provided with a copy upon my departure. The listed Vehicle was entered in the NCIC database as stolen. A stolen vehicle entry was submitted through the ATTF web site.     To be noted, the victim was in possession of the vehicle's key fobs at the time this report was taken.      Vehicle Insurance: Progressive / Policy #: 991846756 / Code: 134 / Expiration: 07/16/2025</t>
  </si>
  <si>
    <t>5964HJ</t>
  </si>
  <si>
    <t>ESC</t>
  </si>
  <si>
    <t>Clinton Place, 0 Block</t>
  </si>
  <si>
    <t>25-041571</t>
  </si>
  <si>
    <t>461 Passaic Street, Hackensack, NJ, 07601</t>
  </si>
  <si>
    <t>The victim responded to police headquarters on a report of an auto burglary.  The victim reported that on 05/14/2025 at approximately 11:15 hours, she had parked in the handicap parking space in the parking lot of 461 Passaic Street (Family Dollar).  The victim reported that she thought she had locked her vehicle while she was inside the Family Dollar.  An Unknown suspect (s) had entered her vehicle and stolen her handicap parking placard.  The victim reported she exited the store at approximately 11:30 hours on 05/14/2025.  The victim reported that she went from the Family Dollar to Stew Leonard's and parked her vehicle when she noticed that her handicap parking placard was missing or stolen from her vehicle.  A New Jersey Victim notification form was completed.</t>
  </si>
  <si>
    <t>P2403495</t>
  </si>
  <si>
    <t>25-041892</t>
  </si>
  <si>
    <t>43 Maple Avenue, Hackensack, NJ, 07601</t>
  </si>
  <si>
    <t>The victim, Gabrielle Meighan, who is a program assistant at the Bergen Charter School, responded to police headquarters on a report of criminal sexual contact.  The victim reported that on 05/13/2025, at approximately 15:30 hours, she and the suspect, Stephen Innocenzi, a teacher with the school, were in the gymnasium setting for a play on the stage.  While backstage, reaching for an item, the suspect walked behind her and brushed the front of his hand against her buttocks.  After the suspect brushed up against the victim the suspect stated " I'm sorry Gabrielle i didn't mean to slap your ass".   After the suspect apologized, he then again slapped the victim's buttocks forcefully with the front of his hand and then walked away.  The victim reported the incident involving human resources personnel.  Det. Mora was notified, spoke with the victim, and took a recorded statement.  The New Jersey Victim notification form was completed.</t>
  </si>
  <si>
    <t>Maple Avenue, 0 Block</t>
  </si>
  <si>
    <t>25-042858</t>
  </si>
  <si>
    <t>Simple Assault - 2C:12-1a</t>
  </si>
  <si>
    <t>79 Lodi Street, Hackensack, NJ, 07601</t>
  </si>
  <si>
    <t>I responded to the listed location on a reported criminal mischief. On arrival, Sgt. Farhi was on scene speaking with the victims. Samora Turner (Victim), the resident, reported that while she was inside her apartment the suspect came inside her home without permission and entered on the Briscolina Street entrance of her apartment that was unlocked at the time. It should be noted that the suspect is known to both victims as a friend. An argument ensued between the victims and the suspect, as the suspect attempted to punch Samora Turner with closed fist, her friend (Alexis Salas) which was inside the apartment also stepped in front of her and the suspect punched her in the face. The suspect then took Alexis Salas's (Victim) Iphone 15 pro valued at $1,200,00 USD and exited via the front door of the apartment which is located on the Lodi Street side. The suspect then attempted to re enter the apartment but was locked out and subsequently kicked the door in causing damage to the frame of the door of about $500.00 USD. The argument continued until the suspect fled eastbound on Lodi Street , stopped and slammed the Iphone 15 pro on the ground causing it to shatter. The incident was  witnessed by S.T., as she was inside the apartment the entire time.      The victim, Alexis Salas complained of pain to her right eye but refused medical attention. Both victims refused to complete a voluntary hand written statement. They both refused to respond to police headquarters to provide a recorded statement but were advised to respond at a later time if they wished. Victim notification forms were completed for both victims and they received copies.      A handle with care form was completed for S.T. Det. Tanucilli was notified and advised of the incident.</t>
  </si>
  <si>
    <t>Lodi Street, 0 Block</t>
  </si>
  <si>
    <t>Burglary - Residence - 2C:18-2 - Criminal Mischief - 2C:17-3 - Simple Assault - 2C:12-1a</t>
  </si>
  <si>
    <t>7-Day</t>
  </si>
  <si>
    <t>25-042950</t>
  </si>
  <si>
    <t>20 Prospect Avenue, Hackensack, NJ, 07601</t>
  </si>
  <si>
    <t>On 05/25/25 P.O. W. Rivera, P.O. I. Papanikolaou and I were dispatched to 20 Prospect, Suite 602, to a suspected burglary in the past. Upon arrival to the listed location, I met with Ms. Alfaro, who is the Operations Manager. I then met Ms. Guzman who is a Palliative Care Coordinator, and Mr. Bravo, who is a nurse at the practice. Ms. Alfaro stated that Mr. Bravo and Ms. Guzman, upon arriving to work at 0700 hrs, witnessed the suspect sitting in the front desk area. Mr. Bravo believed he locked the office doors when he left work yesterday, 05/24/25, at approximately 1900 hrs. Ms. Guzman tried talking to the suspect to ask why she was there, and the suspect did not respond. Ms. Guzman stated that the suspect was mumbling to herself incoherently, and did not make eye contact. The suspect then moved toward the door. The suspect then placed a pair of glasses down on the table next to the front door, and walked out of the office. It is unknown if the glasses belonged to the suspect or a staff member.After the suspect left the office, Mr. Bravo and Ms. Guzman stated they checked all the rooms to see if anything was missing. Upon checking the rooms, they observed the suspect had made multiple stacks of coins on the desk in one of the rooms. Its unknown if the coins belong to a staff member, or if they belong to the suspect. They also observed that the suspect had eaten food in their office break room. She left behind a drink, a half eaten chocolate bar, and other remnants of food on the break room table.  They also found that the suspect left a sticky note with a number 973-223-5491 and the name Great Darris Grandpa on the break room table. Mr. Bravo and Ms. Guzman stated no items of value appear to be missing at this time. Ms. Guzman then called Ms. Alfaro, and Ms. Alfaro called security. Ms. Alfaro afterward contacted Hackensack PD. Sgt. Butler arrived on scene and called the number on the sticky note. Sgt. Butler was able to make contact with the party listed on the note. The contact told Sgt.  Butler that the suspect's name was Tammi Brodish. The contact informed Sgt. Butler that the suspect suffers from mental illness. The contact is unaware of the suspect's current whereabouts, but believes she maybe homeless. HUMC security viewed the cameras and gave the description of the suspect. Suspect was described as a white female, wearing a grey hoodie and white leopard print pants. The cameras showed she entered the office at approximately 0600 hrs and left the office at approximately 0710 hrs. Suspect was then observed heading toward the service elevator.Sgt. Butler notified Lt. Levis who Det. Sgt. Tripodi. The scene had been disturbed by employees prior to police arrival.</t>
  </si>
  <si>
    <t>P.O. Jann Aberde 386</t>
  </si>
  <si>
    <t>25-043052</t>
  </si>
  <si>
    <t>87 Troast Street, Hackensack, NJ, 07601</t>
  </si>
  <si>
    <t>Suspect Descriptions: Five Hispanic/Dominican males, unknown clothing description. Seen fleeing the area in two vehicles, one possibly a white Honda sedan.     P.O. Antista and I responded to the listed location on a reported suspicious incident. Upon arrival, we spoke with the victim. He stated that today at approximately 18:15, he was inside his home watching the television. He further stated that the door was slightly ajar and that one of the suspects suddenly kicked it, causing it to fully open. The victim reported that the five suspects entered his home, with one of them stating that they were "looking for someone". The victim advised that his primary language is Spanish and that the suspects spoke to him in English. He further reported that he had asked the suspects to leave, at which time the main suspect told him "Don't talk to me like that". The victim stated that the suspects then left the residence, with him guiding them out the front door. He further stated that one of the suspects purposely struck the victim with the screen door as they were leaving, causing him slight pain to his arm. When asked if he needed medical attention, he declined.    Sgt. Farhi was contacted and advised of the circumstances. The victim was advised that detectives would be in contact with him in the following days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100 Troast and 79 Troast, which may have captured the incident.</t>
  </si>
  <si>
    <t>Troast Street, 0 Block</t>
  </si>
  <si>
    <t>Burglary - Residence - 2C:18-2 - Suspicious Person - Suspicious Incident</t>
  </si>
  <si>
    <t>25-043063</t>
  </si>
  <si>
    <t>On Sunday, May 25, 2025 at approximately 19:23 hours, I responded to the lobby of 60 Kansas Street on a report of a theft. Upon my arrival, I met with Ms. Shannon Gaddy (Complainant) who wished to report several missing items from her deceased brother's apartment. The complainant advised me, that she had received an e-mail from the Housing Authority to clean out her deceased brother's (Norman Gaddy) apartment by June 1, 2025. The complainant further advised me, that she came to the apartment today at approximately 19:00 hours, and began removing her brother's belongings when she noticed several items belonging to her brother missing. At that point, I asked the complainant if she knew of anyone other than herself that had access to the apartment to which she stated "No". The complainant then stated that the last time she was in her brother's apartment was the day he passed which was on April 26, 2025 and since then, no one to her knowledge had entered the apartment.  As per the complainant, no other friend or family member had key access to the apartment other than her. The complainant stated, that the only other individuals with key access to the apartment were the building's maintenance department. I checked the exterior door to the apartment and it appeared to be secure and did not exhibit any signs of forced entry. I also checked the hallway for cameras and there were no cameras located anywhere in the hallway or corridor of the second floor or outside of the apartment. Due to the complainant's observations and statements, I believed a possible burglary had occurred and contacted headquarters and requested for a supervisor to respond. Shortly thereafter, Sgt. Farhi arrived on scene and was advised of the circumstances. After speaking with myself and the complainant, Sgt. Farhi concurred that a burglary may have occurred and contacted the on-call Detective. Sgt. Farhi spoke with Detective Lara-Nunez and it was determined that Detective Lara-Nunez would conduct a follow up investigation at a later date and time. Due to the complainant already entering the apartment and moving and touching items in the apartment, the Bergen County Sheriff's Office Bureau of Criminal Identification was not contacted. The list of belongings removed from the apartment are as follows: 1. (1)  Sony Playstation 7 valued at approximately $750.00 dollars. 2. (1) Poland Spring Water Jug containing a $20 dollar bill and a large quantity of coins valued at approximately $350 dollars.  3. (1) Pair of silver studded earings valued at approximately $60.00 dollars. 4. (1) Silver chain and cross valued at approximately $100.00 dollars.Total value of missing property is $1,260 dollars. The complainant was provided with a victim notification form and advised that she would be receiving a follow up call in a few days from the Detective Bureau.</t>
  </si>
  <si>
    <t>P.O. Reuven Lyak 318</t>
  </si>
  <si>
    <t>25-043408</t>
  </si>
  <si>
    <t>Fight - Unarmed</t>
  </si>
  <si>
    <t>505 South River Street, Hackensack, NJ, 07601</t>
  </si>
  <si>
    <t>On 05/26/25, Sgt. Farhi, Sgt. Tedesco, P.O. Sroka, P.O. Almonte, and I responded to 505 S. River Street on a report of an unarmed fight. Upon arrival, I met with victim John Rannella, who stated a white sedan BMW, a green sedan BMW, and a blue Honda or Toyota (unknown license plates at this time) were blocking other vehicles in the parking lot of the listed location. Rannella approached the group and requested them to move their vehicles. The three vehicles exited the parking lot of the listed location.     At approximately 23:27 hours, the white BMW parked at the intersection of S. River Street and E. Moonachie Road. The Green BMW parked in front of 8 E. Moonachie Road. Rannella walked up to the intersection of S. River Street and E. Moonachie Road. The drivers and passengers exited their vehicle and began to assault Rannella by throwing punches and throwing a full 'Essentia' water bottle to his face. Rannella had lacerations to his face/nose area. Victim William Burke approached the suspects as Rannella was being assaulted. The suspects then assaulted Burke by throwing a punch to his face. Burke stated he fell to the ground.  As he was attempting to get up on his feet his phone fell out of his pocket. The suspects then grabbed Burke's phone, entered their vehicle, then fled the area.     Hackensack Volunteer EMS #1061 responded to assist. Both victims, Rannella and Burke, refused further medical attention.      Det. D. Carroll was notified and responded. Burke was transported to police headquarters for statements in the rear seat of radio car 121. The rear seat was checked prior and after transport with negative results.      A New Jersey Victim Notification Form was completed. A copy was explained and given to the victim.      Surveillance video is available at a later date.</t>
  </si>
  <si>
    <t>Robbery - 2C:15-1 - Simple Assault - 2C:12-1a - Fight - Unarmed</t>
  </si>
  <si>
    <t>Next Day</t>
  </si>
  <si>
    <t>Honda PIL</t>
  </si>
  <si>
    <t>Within Week</t>
  </si>
  <si>
    <t>Same Day</t>
  </si>
  <si>
    <t>Honda CRV</t>
  </si>
  <si>
    <t>Honda ODY</t>
  </si>
  <si>
    <t>Within Month</t>
  </si>
  <si>
    <t>Ford R1Z</t>
  </si>
  <si>
    <t>Ford EXP</t>
  </si>
  <si>
    <t>HYN TIB</t>
  </si>
  <si>
    <t>Subaru TRI</t>
  </si>
  <si>
    <t>Ford ECO</t>
  </si>
  <si>
    <t>Toyota SIENNA</t>
  </si>
  <si>
    <t>Nissan Rogue</t>
  </si>
  <si>
    <t>Nissan RGE</t>
  </si>
  <si>
    <t>Mazda C30</t>
  </si>
  <si>
    <t>BMW 530</t>
  </si>
  <si>
    <t>Chevrolet SUB</t>
  </si>
  <si>
    <t>Ford E25</t>
  </si>
  <si>
    <t>GEN G80</t>
  </si>
  <si>
    <t>Delayed Report</t>
  </si>
  <si>
    <t>Toyota CAM</t>
  </si>
  <si>
    <t>Ford BRO</t>
  </si>
  <si>
    <t>QIA JIG</t>
  </si>
  <si>
    <t>Ford ESC</t>
  </si>
  <si>
    <t>BLOCK2</t>
  </si>
  <si>
    <t>AllIncidents</t>
  </si>
  <si>
    <t>Dalton_Jo</t>
  </si>
  <si>
    <t>Robbery - 2C:15-1 - Aggravated Assault - 2C:12-1b</t>
  </si>
  <si>
    <t>Criminal Incidents</t>
  </si>
  <si>
    <t>Juvenile-Related Incidents</t>
  </si>
  <si>
    <t>Public Safety and Welfare</t>
  </si>
  <si>
    <t>Investigations and Follow-Ups</t>
  </si>
  <si>
    <t>Emergency Response</t>
  </si>
  <si>
    <t>Assistance and Mutual Aid</t>
  </si>
  <si>
    <t>XKEM57</t>
  </si>
  <si>
    <t>H88KAG</t>
  </si>
  <si>
    <t>Donnerstag_R</t>
  </si>
  <si>
    <t>Peralta_K</t>
  </si>
  <si>
    <t>TESLA</t>
  </si>
  <si>
    <t>UNKNOWN</t>
  </si>
  <si>
    <t>MERCEDES</t>
  </si>
  <si>
    <t>YAMAHA</t>
  </si>
  <si>
    <t>S41USM</t>
  </si>
  <si>
    <t>S28SNH</t>
  </si>
  <si>
    <t>Delcarpio_M</t>
  </si>
  <si>
    <t>25-043899</t>
  </si>
  <si>
    <t>160 River Street, Hackensack, NJ, 07601</t>
  </si>
  <si>
    <t>On Wednesday, 05/28/2025, Mr. Matthew Gilson (victim) responded to headquarters for a burglary report. The victim reported that he is the only person that has access to his apartment. His front door is key fob access.      The victim reported, on 05/23/2025, he left his apartment at 0800 hours and returned at 1600 hours. When he returned, he observed his front apartment door ajar. He further reported he entered his apartment and did not notice anything missing or his disturbed. He reported when he was looked in his closet, he notice a blue suit pants was missing. He also notice his social security card was missing as well.      The total amount stolen is $1,200.00. The suit pants brand name is unknown at this time. He is also unaware if he is missing anything else. The victim did not have surveillance cameras at the time.      Sgt. Ghirardi and Detectives were notified.     The victim would like to sign complaints against the suspect if they were identified. A New Jersey Victim Notification form was completed.</t>
  </si>
  <si>
    <t>25-044042</t>
  </si>
  <si>
    <t>540 Main Street, Hackensack, NJ, 07601</t>
  </si>
  <si>
    <t>Suspect description: Hispanic male, red hooded sweatshirt and black pants.      P.O. Vicale, P.O. Francavilla and I responded to the listed location for a robbery. Upon our arrival, the victim was located in the parking lot of 403 Park Street. I spoke with the victim while P.O. Vicale and P.O. Francavilla checked the area for the suspect. The victim stated he was at the 540 Main Street, 7-Eleven, drinking alcoholic beverages when the suspect pushed him and stated give me your phone and license. The victim further reported he stated no and ran to 505 Main Street, Chase bank, parking lot . The victim stated the suspect followed him, and continued requesting the victim gives him the phone and license. The victim then walked to Passaic Street and Park Street where the suspect followed. The victim stated the suspect ran South on Park Street. The victim never gave his phone and license to the suspect. The victim stated he believes the suspect's name is Fernando or Roberto, he does not known the suspects last name or where he lives.      While speaking with the victim I detected a strong odor of an alcoholic beverage coming from his breath and it appeared that he was intoxicated.      The victim refused to cooperate and wanted no further Police assistance. The victim did not wish to speak with a Detective or make a statement.</t>
  </si>
  <si>
    <t>P.O. Jacob Price 366</t>
  </si>
  <si>
    <t>Main Street, 500 Block</t>
  </si>
  <si>
    <t>25-045625</t>
  </si>
  <si>
    <t>1 University Plaza Drive, Hackensack, NJ, 07601</t>
  </si>
  <si>
    <t>I3</t>
  </si>
  <si>
    <t>I responded to 1 University Plaza on a report of and Motor Vehicle Theft. Upon arrival the complainant stated his company vehicle had been stolen over night. The complainant stated his worker; Mr. Delgado, parked the vehicle at 1340 hours on June 2, 2025. And when he returned at 0600 hours June 3, 2025 the vehicle was unable to be located. The complainant stated the vehicle was valued at approximately $7,000, and the flooring equipment and materials inside of the vehicle were valued at approximately $25,000. The complainant refused to have the vehicle processed upon recovery. The vehicle information was entered as stolen into NCIC. A completed  MV Theft Checklist was placed in the Detective Bureau Box and a Stolen Vehicle entry was made into Auto Theft Task Force.Vehicle Insurance Code - 017Insurance Policy #- PAC00001097928Detectives were notified.</t>
  </si>
  <si>
    <t>XEFE81</t>
  </si>
  <si>
    <t>E35</t>
  </si>
  <si>
    <t>Lt. Franklin Bay 162</t>
  </si>
  <si>
    <t>University Plaza Drive, 0 Block</t>
  </si>
  <si>
    <t>25-045839</t>
  </si>
  <si>
    <t>160 Overlook Avenue, Hackensack, NJ, 07601</t>
  </si>
  <si>
    <t>On June 3rd, 2025, I responded to 160 Overlook Avenue on a report of a motor vehicle theft. Upon arrival, the victim stated that his motorcycle, bearing NJ Reg 4HXZ4, was stolen from its parking space. The victim stated that he secured his motorcycle in a covered parking garage at the listed address, parking level G3, space #51. The victim reported last observing it on approximately 5/1/25. Estimated value of the motorcycle is $15,000.00 USD, according to the victim.      The victim reported that the parking garage is key fob swipe access only for residents of the building. The interior of the parking area was checked for cameras, yielding negative results. I observed a camera on the exterior of the building, but was unable to determine if they face the garage entrances. The victim stated that the building superintendent was not on scene at this time, therefore I was unable to review potential camera footage. The victim's friend, who he rents the parking space from, stated that he did not observe the motorcycle there on 5/22/25 when he returned from a business trip. Possible window for the theft is from approximately 5/1/25 to 5/22/25. The victim stated that he still had possession of the vehicle's keys.     A NJ Victim Notification Form was completed and a copy was provided to the victim. The listed vehicle was entered into the Auto Theft Task Force website and NCIC. A Motor Vehicle Theft Investigation checklist was completed and submitted to Detective's Bureau. The victim was unable to provide further vehicle information at this time. Sgt. Butler was advised.</t>
  </si>
  <si>
    <t>4HXZ4</t>
  </si>
  <si>
    <t>YAM</t>
  </si>
  <si>
    <t>YZF</t>
  </si>
  <si>
    <t>25-045993</t>
  </si>
  <si>
    <t>Investigation - Follow-Up</t>
  </si>
  <si>
    <t>167 Central Avenue, Hackensack, NJ, 07601</t>
  </si>
  <si>
    <t>On 6/1/2025, the victim, Erica Best, responded to the Hackensack Medical Center. The victim reported to hospital staff she was a victim of an alleged sexual assault. Note, the victim did not initially report the incident to the Hackensack Police Department.     At the hospital, nursing staff provided medical attention to the victim. Nursing staff notified the Bergen County Prosecutor's Office Special Victim's Unit. Detective Atie from the Special Victim's Unit was apprised of the incident. According to the victim, the incident occurred outside of 167 Central Avenue on 6/1/2025. The exact time and location of the incident is unconfirmed. The suspect's identify is also unknown. The victim requested to purse this matter criminally.     The victim cooperated and consented to a full forensic medical examination. A Sexual Assault Response Team nurse was dispatched for the examination. The examination was conducted and completed at the hospital.    On 6/4/2025, I responded to the Bergen County Prosecutor's Office Special Victim's Unit to assist Detective Atie with the victim's interview. The victim was scheduled for an interview at 1100 hours. The victim did not arrive for the interview as scheduled. At approximately 1200 hours, Detective Atie attempted to contact the victim by phone with negative results. For further details surrounding the incident, refer to Detective Atie's report  (BCPO : 25-00708).    **This case will remain Active/Administratively Closed pending cooperation from the victim***</t>
  </si>
  <si>
    <t>11A = Rape</t>
  </si>
  <si>
    <t>Sexual Assault - 2C:14-2b - Investigation - Follow-Up - Active/Administratively Closed</t>
  </si>
  <si>
    <t>25-046294</t>
  </si>
  <si>
    <t>411 Simons Avenue, Hackensack, NJ, 07601</t>
  </si>
  <si>
    <t>On Thursday, June 5th, 2025 at 0704 hours, I responded to 411 Simons Avenue on a burglary to auto. Upon arrival, I met with the complainant who stated he observed three (3) males dressed in black and wearing black masks surrounding the victim's vehicle (NJ-P55UNM).  He observed them smash out the rear passenger side window and enter the vehicle. The complainant yelled at the suspects which caused them to flee.  They fled in a white sedan that had both license plates covered.  The vehicle fled East on Simons Avenue towards South Summit Avenue.     Sgt. Tovbin responded to assist. The registered owner, Denise Nunez was unable to respond.  The registered owner's son, John Nunez, responded. He is the primary user of her vehicle. We observed the rear passenger window completely smashed out with shattered glass in and out of the car. Without touching the vehicle, John Nunez was able to determine that nothing was stolen from his mother's vehicle. The registered owner and John Nunez denied having the vehicle processed for fingerprints.    John Nunez captured the entire incident on a camera affixed to 416 Simons Avenue.  He saved the footage and will send it to the Hackensack Detective's e-mail. The video confirmed everything the complainant reported. John Nunez stated that the cost to repair the smashed out window is approximately $286.05. A New Jersey Victim Notification Form was completed.     There were multiple cameras affixed to the surrounding houses in the area. D/Lt. F. Bay was notified.</t>
  </si>
  <si>
    <t>P55UNM</t>
  </si>
  <si>
    <t>INFINITI</t>
  </si>
  <si>
    <t>Q50</t>
  </si>
  <si>
    <t>Burglary - Auto - 2C:18-2 - Criminal Mischief - 2C:17-3</t>
  </si>
  <si>
    <t>Simons Avenue, 400 Block</t>
  </si>
  <si>
    <t>25-046290</t>
  </si>
  <si>
    <t>39 Union Street, Hackensack, NJ, 07601</t>
  </si>
  <si>
    <t>On June 5, 2025, I responded to the listed location on a report of a burglary to an auto. Upon arrival, I met with the witness, William Ash. The witness reported that as he was responding to his vehicle, he observed two suspects.  Two males with a black ski mask.  The witness described them as a Hispanic male and a Black male. The witness stated that one male was in a vehicle (white Infiniti) and the other male was standing next to a black Infiniti bearing NJ registration EJK4320. The black Infiniti was parked in one of the tenant parking spots. The witness stated that as he walked past the male standing next to the black Infiniti, he observed the passenger-side rear window of that vehicle was shattered. The witness then observed suspect #1 reaching inside of the vehicle. The witness reported that as he turned around in an attempt to copy the registration to the vehicle occupied by Suspect #2, Suspect #1 jumped into the vehicle and they fled Northbound on Railroad Avenue. The witness stated that he observed NJ plates with a "PJ" but was unable to get the remaining characters due to the plate being covered by a tinted glass. Sgt. Tovbin also responded.       The victim responded to her vehicle and stated that she last parked her vehicle on June 4, 2025 at approximately 1900 hours. The victim stated that she is in possession of both of her key fobs and nothing appears to have been taken out of the vehicle. The victim stated that she does not want the vehicle to be processed. The victim received and completed a victim notification form. D/Lt. F. Bay was notified.</t>
  </si>
  <si>
    <t>EJK4320</t>
  </si>
  <si>
    <t>NY</t>
  </si>
  <si>
    <t>Union Street, 0 Block</t>
  </si>
  <si>
    <t>25-047026</t>
  </si>
  <si>
    <t>On Saturday, May 7, 2025 at approximately 1714 hours, I responded to 414 Hackensack Avenue ona burglary to an auto. Upon arrival, I met with the victim who reporte that an unknown suspect had smashed the rear window of the listed vehicle (NJ Reg. J58VJZ). The victim further reported that the unknown suspect stole her computer bag with various items inside. The victim reported that she parked the listed vehicle in front of 1000 building, on 6/7/2025 at approximately 0830 hours and returned on 6/7/2025 at approximately 1700 hours. The listed vehicle could not be processed due to the victim contaminating the scene.     The victim reported the price to fix the rear window at $1,000.00. The victim reported that an employee advised her that there are no cameras facing the vehicle.Stolen items:                   Price:Black computer bag      $60.00Misc. paperworkColumbia bank checks (unknown account number)Silver Dell laptop             $1,500.00$1,500.00 cashTotal loss: $3,060.00Insurance Information: Statefarm Guaranty InsurancePolicy #2388444-A10-30A     A New Jersey Victim Notification Form was completed and a copy was provided to the victim.</t>
  </si>
  <si>
    <t>J58VJZ</t>
  </si>
  <si>
    <t>FOR</t>
  </si>
  <si>
    <t>P.O. Maximiliano Anguizaca 368</t>
  </si>
  <si>
    <t>25-047203</t>
  </si>
  <si>
    <t>On June 8, 2025, I responded to the listed location on a report of a burglary to auto.  Upon arrival, I met with the victim, Vinnetta Singletary, who stated that her vehicle bearing NJ registration T64KLC was last seen by her daughter without any damage at approximately 0130 hours today. The vehicle was parked facing East near the intersection of American Legion Drive and Second Street. Surveillance cameras belonging to the Hackensack Board of Education were observed in the area but unable to view due the building being closed.     The victim reported she responded to her vehicle at approximately 1000 hours today and observed that her front passenger side window was shattered. The victim also reported that her Michael Kors purse was stolen out of the front passenger seat. The Michael Kors purse's approximate value is about $300.00 USD. The victim stated that the purse contained a lighter valued at $4.00, a tray valued at $25.00, and a finder valued at $8.00.  The total value of items stolen is $329 USD.      The victim did not wish to have the car processed. The victim received a completed victim notification form. Sgt. Tovbin was advised and responded.</t>
  </si>
  <si>
    <t>T64KLC</t>
  </si>
  <si>
    <t>25-047385</t>
  </si>
  <si>
    <t>111 River Street, Hackensack, NJ, 07601</t>
  </si>
  <si>
    <t>Suspect description:  Black female, skinny build, approximately 5' 5" tall, medium brown complexion, and she was last seen wearing a light blue scarf wrapped around her head, blue jean jacket, and unknown color pants.  She was also holding a gray laptop that was open with light blue headphone on her head.  She also has a black bookbag with her.       On June 8th, 2025, I responded to 111 River Street, TD Bank, on a report of a dispute between two parties.  Upon arrival, I met with Carlos Argueta, the Victim, and he stated that he was withdrawing some money from the ATM machine prior to returning home, 160 River Street Apt. #262, Hackensack, NJ 07601.        When he initially entered the ATM vestibule, there was an unknown black female, the Suspect, already in the vestibule, sitting down on the floor.  He withdrew his money, turned around and the Suspect began speaking to the Victim.  The Victim stated that the Suspect took out a long object that appeared to be a bat out of a black bag.  She then swung it in the air and stated to the Victim that she was going to "fuck him up." The Suspect then pushed the Victim around the waist area and took $40.00 (Two (2) twenty dollar bills) that was in his right hand.  He then stated that the Suspect fled the area walking north on Main Street.      P.O. Caero responded to check the area but was unable to locate the Suspect.  Sgt. Donnerstag also responded to assist.  The Victim stated that he will provide a statement to Detectives and will proceed with a criminal complaint if the Suspect was located and identified.  He also stated that he would be able to identify the Suspect or the Suspect's photograph in the future.  Det. Mora was notified and responded to obtain a statement from the Victim.  See Det. Mora's Supplemental Report for further information.       At Headquarters, the Victim mentioned that the Suspect stated something about the Victim's sexuality and being gay.  NJ Supplementary Bias Incident Offense Report was completed and submitted to the Detective Division's mail box.  Det. Mora was notified about the bias incident.  The Victim was provided with a copy of the Victim Notification Form.  It was also confirmed that the Victim did not sustain any injuries and refused any medical assistance.</t>
  </si>
  <si>
    <t>P.O. James Han 165</t>
  </si>
  <si>
    <t>Ford E35</t>
  </si>
  <si>
    <t>YAM YZF</t>
  </si>
  <si>
    <t>Infiniti</t>
  </si>
  <si>
    <t>Infiniti Q50</t>
  </si>
  <si>
    <t>Subaru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</si>
</sst>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44" formatCode="_(&quot;$&quot;* #,##0.00_);_(&quot;$&quot;* \(#,##0.00\);_(&quot;$&quot;* &quot;-&quot;??_);_(@_)"/>
    <numFmt numFmtId="164" formatCode="ddd"/>
    <numFmt numFmtId="165" formatCode="00"/>
    <numFmt numFmtId="166" formatCode="000"/>
    <numFmt numFmtId="167" formatCode="mm/dd/yy\ hh:mm"/>
    <numFmt numFmtId="168" formatCode="[$-F400]h:mm:ss\ AM/PM"/>
    <numFmt numFmtId="169" formatCode="hh:mm"/>
  </numFmts>
  <fonts count="23" x14ac:knownFonts="1">
    <font>
      <sz val="11"/>
      <color theme="1"/>
      <name val="Calibri"/>
      <family val="2"/>
      <scheme val="minor"/>
    </font>
    <font>
      <sz val="12"/>
      <color theme="1"/>
      <name val="Aptos Narrow"/>
      <family val="2"/>
    </font>
    <font>
      <sz val="12"/>
      <color theme="1"/>
      <name val="Aptos Narrow"/>
      <family val="2"/>
    </font>
    <font>
      <sz val="12"/>
      <color theme="1"/>
      <name val="Aptos"/>
      <family val="2"/>
    </font>
    <font>
      <sz val="14"/>
      <color theme="1"/>
      <name val="Aptos Narrow"/>
      <family val="2"/>
    </font>
    <font>
      <sz val="11"/>
      <color theme="1"/>
      <name val="Aptos"/>
      <family val="2"/>
    </font>
    <font>
      <sz val="14"/>
      <color theme="1"/>
      <name val="Aptos"/>
      <family val="2"/>
    </font>
    <font>
      <sz val="12"/>
      <color theme="1"/>
      <name val="Aptos"/>
      <family val="2"/>
    </font>
    <font>
      <b/>
      <sz val="18"/>
      <color theme="1"/>
      <name val="Aptos"/>
      <family val="2"/>
    </font>
    <font>
      <b/>
      <sz val="14"/>
      <color theme="1"/>
      <name val="Aptos Narrow"/>
      <family val="2"/>
    </font>
    <font>
      <sz val="8"/>
      <name val="Calibri"/>
      <family val="2"/>
      <scheme val="minor"/>
    </font>
    <font>
      <sz val="8"/>
      <color theme="1"/>
      <name val="Calibri"/>
      <family val="2"/>
      <scheme val="minor"/>
    </font>
    <font>
      <sz val="8"/>
      <color theme="1"/>
      <name val="Aptos"/>
      <family val="2"/>
    </font>
    <font>
      <sz val="11"/>
      <color theme="1"/>
      <name val="Calibri"/>
      <family val="2"/>
      <scheme val="minor"/>
    </font>
    <font>
      <b/>
      <sz val="14"/>
      <color theme="1"/>
      <name val="Aptos"/>
      <family val="2"/>
    </font>
    <font>
      <sz val="12"/>
      <color theme="1"/>
      <name val="Aptos"/>
      <family val="2"/>
    </font>
    <font>
      <sz val="14"/>
      <color theme="1"/>
      <name val="Aptos"/>
      <family val="2"/>
    </font>
    <font>
      <sz val="11"/>
      <color theme="1"/>
      <name val="Aptos"/>
      <family val="2"/>
    </font>
    <font>
      <sz val="8"/>
      <color theme="0" tint="-0.14999847407452621"/>
      <name val="Aptos"/>
      <family val="2"/>
    </font>
    <font>
      <sz val="8"/>
      <color theme="1"/>
      <name val="Aptos"/>
      <family val="2"/>
    </font>
    <font>
      <sz val="11"/>
      <color theme="1"/>
      <name val="Aptos"/>
    </font>
    <font>
      <sz val="5"/>
      <color theme="0" tint="-0.14999847407452621"/>
      <name val="Aptos"/>
    </font>
    <font>
      <sz val="14"/>
      <color theme="1"/>
      <name val="Aptos"/>
    </font>
  </fonts>
  <fills count="4">
    <fill>
      <patternFill patternType="none"/>
    </fill>
    <fill>
      <patternFill patternType="gray125"/>
    </fill>
    <fill>
      <patternFill patternType="solid">
        <fgColor theme="6" tint="0.79998168889431442"/>
        <bgColor theme="6" tint="0.79998168889431442"/>
      </patternFill>
    </fill>
    <fill>
      <patternFill patternType="solid">
        <fgColor theme="0" tint="-0.14999847407452621"/>
        <bgColor theme="0" tint="-0.14999847407452621"/>
      </patternFill>
    </fill>
  </fills>
  <borders count="24">
    <border>
      <left/>
      <right/>
      <top/>
      <bottom/>
      <diagonal/>
    </border>
    <border>
      <left style="medium">
        <color indexed="64"/>
      </left>
      <right style="medium">
        <color indexed="64"/>
      </right>
      <top style="medium">
        <color indexed="64"/>
      </top>
      <bottom style="thin">
        <color rgb="FF513E80"/>
      </bottom>
      <diagonal/>
    </border>
    <border>
      <left style="medium">
        <color indexed="64"/>
      </left>
      <right style="medium">
        <color indexed="64"/>
      </right>
      <top style="thin">
        <color rgb="FF513E80"/>
      </top>
      <bottom style="thin">
        <color rgb="FF513E80"/>
      </bottom>
      <diagonal/>
    </border>
    <border>
      <left style="medium">
        <color indexed="64"/>
      </left>
      <right style="medium">
        <color indexed="64"/>
      </right>
      <top style="thin">
        <color rgb="FF513E80"/>
      </top>
      <bottom style="medium">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style="thin">
        <color theme="1"/>
      </top>
      <bottom style="thin">
        <color theme="1"/>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theme="1"/>
      </bottom>
      <diagonal/>
    </border>
    <border>
      <left/>
      <right style="medium">
        <color indexed="64"/>
      </right>
      <top style="thin">
        <color theme="1"/>
      </top>
      <bottom style="thin">
        <color theme="1"/>
      </bottom>
      <diagonal/>
    </border>
    <border>
      <left style="medium">
        <color indexed="64"/>
      </left>
      <right style="medium">
        <color indexed="64"/>
      </right>
      <top style="thin">
        <color theme="1"/>
      </top>
      <bottom style="thin">
        <color indexed="64"/>
      </bottom>
      <diagonal/>
    </border>
    <border>
      <left/>
      <right style="medium">
        <color indexed="64"/>
      </right>
      <top style="thin">
        <color theme="1"/>
      </top>
      <bottom style="thin">
        <color indexed="64"/>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2">
    <xf numFmtId="0" fontId="0" fillId="0" borderId="0"/>
    <xf numFmtId="44" fontId="13" fillId="0" borderId="0" applyFont="0" applyFill="0" applyBorder="0" applyAlignment="0" applyProtection="0"/>
  </cellStyleXfs>
  <cellXfs count="107">
    <xf numFmtId="0" fontId="0" fillId="0" borderId="0" xfId="0"/>
    <xf numFmtId="14" fontId="0" fillId="0" borderId="0" xfId="0" applyNumberFormat="1"/>
    <xf numFmtId="22" fontId="0" fillId="0" borderId="0" xfId="0" applyNumberFormat="1"/>
    <xf numFmtId="0" fontId="0" fillId="0" borderId="0" xfId="0" pivotButton="1"/>
    <xf numFmtId="0" fontId="5" fillId="0" borderId="0" xfId="0" applyFont="1"/>
    <xf numFmtId="0" fontId="6" fillId="0" borderId="0" xfId="0" applyFont="1" applyAlignment="1">
      <alignment horizontal="center"/>
    </xf>
    <xf numFmtId="0" fontId="7" fillId="0" borderId="0" xfId="0" applyFont="1"/>
    <xf numFmtId="0" fontId="8" fillId="0" borderId="0" xfId="0" applyFont="1"/>
    <xf numFmtId="0" fontId="4" fillId="0" borderId="0" xfId="0" applyFont="1" applyAlignment="1">
      <alignment horizontal="center"/>
    </xf>
    <xf numFmtId="20" fontId="4" fillId="0" borderId="0" xfId="0" applyNumberFormat="1" applyFont="1" applyAlignment="1">
      <alignment horizontal="center"/>
    </xf>
    <xf numFmtId="165" fontId="4" fillId="0" borderId="0" xfId="0" applyNumberFormat="1" applyFont="1" applyAlignment="1">
      <alignment horizontal="center"/>
    </xf>
    <xf numFmtId="166" fontId="4" fillId="0" borderId="0" xfId="0" applyNumberFormat="1" applyFont="1" applyAlignment="1">
      <alignment horizontal="center"/>
    </xf>
    <xf numFmtId="167" fontId="4" fillId="0" borderId="0" xfId="0" applyNumberFormat="1" applyFont="1" applyAlignment="1">
      <alignment horizontal="center"/>
    </xf>
    <xf numFmtId="14" fontId="4" fillId="0" borderId="0" xfId="0" applyNumberFormat="1" applyFont="1" applyAlignment="1">
      <alignment horizontal="center"/>
    </xf>
    <xf numFmtId="168" fontId="0" fillId="0" borderId="0" xfId="0" applyNumberFormat="1"/>
    <xf numFmtId="0" fontId="0" fillId="0" borderId="0" xfId="0" applyAlignment="1">
      <alignment wrapText="1"/>
    </xf>
    <xf numFmtId="0" fontId="0" fillId="0" borderId="0" xfId="0" applyAlignment="1">
      <alignment horizontal="left"/>
    </xf>
    <xf numFmtId="0" fontId="3" fillId="0" borderId="0" xfId="0" applyFont="1"/>
    <xf numFmtId="0" fontId="3" fillId="0" borderId="0" xfId="0" applyFont="1" applyAlignment="1">
      <alignment horizontal="right"/>
    </xf>
    <xf numFmtId="0" fontId="11" fillId="0" borderId="0" xfId="0" applyFont="1"/>
    <xf numFmtId="0" fontId="4" fillId="0" borderId="0" xfId="0" applyFont="1" applyAlignment="1">
      <alignment horizontal="center" wrapText="1"/>
    </xf>
    <xf numFmtId="0" fontId="12" fillId="0" borderId="0" xfId="0" applyFont="1"/>
    <xf numFmtId="0" fontId="1" fillId="0" borderId="0" xfId="0" applyFont="1" applyAlignment="1">
      <alignment horizontal="center"/>
    </xf>
    <xf numFmtId="14" fontId="1" fillId="0" borderId="0" xfId="0" applyNumberFormat="1" applyFont="1" applyAlignment="1">
      <alignment horizontal="center"/>
    </xf>
    <xf numFmtId="0" fontId="1" fillId="0" borderId="0" xfId="0" applyFont="1"/>
    <xf numFmtId="168" fontId="1" fillId="0" borderId="0" xfId="0" applyNumberFormat="1" applyFont="1" applyAlignment="1">
      <alignment horizontal="center"/>
    </xf>
    <xf numFmtId="165" fontId="1" fillId="0" borderId="0" xfId="0" applyNumberFormat="1" applyFont="1" applyAlignment="1">
      <alignment horizontal="center"/>
    </xf>
    <xf numFmtId="166" fontId="1" fillId="0" borderId="0" xfId="0" applyNumberFormat="1" applyFont="1" applyAlignment="1">
      <alignment horizontal="center"/>
    </xf>
    <xf numFmtId="167" fontId="1" fillId="0" borderId="0" xfId="0" applyNumberFormat="1" applyFont="1" applyAlignment="1">
      <alignment horizontal="center"/>
    </xf>
    <xf numFmtId="0" fontId="1" fillId="0" borderId="0" xfId="0" applyFont="1" applyAlignment="1">
      <alignment wrapText="1"/>
    </xf>
    <xf numFmtId="0" fontId="9" fillId="0" borderId="2" xfId="0" applyFont="1" applyBorder="1" applyAlignment="1">
      <alignment horizontal="right"/>
    </xf>
    <xf numFmtId="0" fontId="9" fillId="0" borderId="3" xfId="0" applyFont="1" applyBorder="1" applyAlignment="1">
      <alignment horizontal="right"/>
    </xf>
    <xf numFmtId="0" fontId="9" fillId="2" borderId="4" xfId="0" applyFont="1" applyFill="1" applyBorder="1" applyAlignment="1">
      <alignment horizontal="right"/>
    </xf>
    <xf numFmtId="0" fontId="9" fillId="0" borderId="5" xfId="0" applyFont="1" applyBorder="1" applyAlignment="1">
      <alignment horizontal="right"/>
    </xf>
    <xf numFmtId="0" fontId="9" fillId="2" borderId="5" xfId="0" applyFont="1" applyFill="1" applyBorder="1" applyAlignment="1">
      <alignment horizontal="right"/>
    </xf>
    <xf numFmtId="0" fontId="9" fillId="2" borderId="5" xfId="0" applyFont="1" applyFill="1" applyBorder="1" applyAlignment="1">
      <alignment horizontal="right" vertical="center"/>
    </xf>
    <xf numFmtId="0" fontId="9" fillId="2" borderId="1" xfId="0" applyFont="1" applyFill="1" applyBorder="1" applyAlignment="1">
      <alignment horizontal="right"/>
    </xf>
    <xf numFmtId="0" fontId="1" fillId="2" borderId="1" xfId="0" applyFont="1" applyFill="1" applyBorder="1" applyAlignment="1">
      <alignment horizontal="center"/>
    </xf>
    <xf numFmtId="14" fontId="1" fillId="0" borderId="2" xfId="0" applyNumberFormat="1" applyFont="1" applyBorder="1" applyAlignment="1">
      <alignment horizontal="center"/>
    </xf>
    <xf numFmtId="0" fontId="9" fillId="2" borderId="2" xfId="0" applyFont="1" applyFill="1" applyBorder="1" applyAlignment="1">
      <alignment horizontal="right"/>
    </xf>
    <xf numFmtId="14" fontId="1" fillId="2" borderId="2" xfId="0" applyNumberFormat="1" applyFont="1" applyFill="1" applyBorder="1" applyAlignment="1">
      <alignment horizontal="center"/>
    </xf>
    <xf numFmtId="0" fontId="1" fillId="0" borderId="2" xfId="0" applyFont="1" applyBorder="1" applyAlignment="1">
      <alignment horizontal="center"/>
    </xf>
    <xf numFmtId="0" fontId="1" fillId="2" borderId="2" xfId="0" applyFont="1" applyFill="1" applyBorder="1" applyAlignment="1">
      <alignment horizontal="center"/>
    </xf>
    <xf numFmtId="0" fontId="9" fillId="2" borderId="2" xfId="0" applyFont="1" applyFill="1" applyBorder="1" applyAlignment="1">
      <alignment horizontal="right" vertical="center"/>
    </xf>
    <xf numFmtId="0" fontId="1" fillId="2" borderId="2" xfId="0" applyFont="1" applyFill="1" applyBorder="1" applyAlignment="1">
      <alignment horizontal="center" vertical="center"/>
    </xf>
    <xf numFmtId="0" fontId="1" fillId="2" borderId="8" xfId="0" applyFont="1" applyFill="1" applyBorder="1" applyAlignment="1">
      <alignment horizontal="center"/>
    </xf>
    <xf numFmtId="0" fontId="1" fillId="0" borderId="9" xfId="0" applyFont="1" applyBorder="1" applyAlignment="1">
      <alignment horizontal="center"/>
    </xf>
    <xf numFmtId="14" fontId="1" fillId="2" borderId="9" xfId="0" applyNumberFormat="1" applyFont="1" applyFill="1" applyBorder="1" applyAlignment="1">
      <alignment horizontal="center"/>
    </xf>
    <xf numFmtId="0" fontId="1" fillId="2" borderId="9" xfId="0" applyFont="1" applyFill="1" applyBorder="1" applyAlignment="1">
      <alignment horizontal="center"/>
    </xf>
    <xf numFmtId="0" fontId="1" fillId="2" borderId="9" xfId="0" applyFont="1" applyFill="1" applyBorder="1" applyAlignment="1">
      <alignment horizontal="center" vertical="center"/>
    </xf>
    <xf numFmtId="44" fontId="1" fillId="0" borderId="9" xfId="1" applyFont="1" applyBorder="1" applyAlignment="1">
      <alignment horizontal="center"/>
    </xf>
    <xf numFmtId="0" fontId="9" fillId="2" borderId="10" xfId="0" applyFont="1" applyFill="1" applyBorder="1" applyAlignment="1">
      <alignment horizontal="right"/>
    </xf>
    <xf numFmtId="0" fontId="1" fillId="2" borderId="11" xfId="0" applyFont="1" applyFill="1" applyBorder="1" applyAlignment="1">
      <alignment horizontal="center"/>
    </xf>
    <xf numFmtId="0" fontId="9" fillId="2" borderId="6" xfId="0" applyFont="1" applyFill="1" applyBorder="1" applyAlignment="1">
      <alignment horizontal="right"/>
    </xf>
    <xf numFmtId="0" fontId="1" fillId="2" borderId="7" xfId="0" applyFont="1" applyFill="1" applyBorder="1" applyAlignment="1">
      <alignment horizontal="center"/>
    </xf>
    <xf numFmtId="44" fontId="1" fillId="0" borderId="2" xfId="1" applyFont="1" applyBorder="1" applyAlignment="1">
      <alignment horizontal="center"/>
    </xf>
    <xf numFmtId="0" fontId="0" fillId="0" borderId="13" xfId="0" applyBorder="1"/>
    <xf numFmtId="0" fontId="14" fillId="0" borderId="12" xfId="0" applyFont="1" applyBorder="1" applyAlignment="1">
      <alignment horizontal="center"/>
    </xf>
    <xf numFmtId="164" fontId="14" fillId="0" borderId="12" xfId="0" applyNumberFormat="1" applyFont="1" applyBorder="1" applyAlignment="1">
      <alignment horizontal="center"/>
    </xf>
    <xf numFmtId="0" fontId="3" fillId="3" borderId="0" xfId="0" applyFont="1" applyFill="1" applyAlignment="1">
      <alignment horizontal="right"/>
    </xf>
    <xf numFmtId="0" fontId="3" fillId="3" borderId="0" xfId="0" applyFont="1" applyFill="1"/>
    <xf numFmtId="0" fontId="0" fillId="3" borderId="0" xfId="0" applyFill="1"/>
    <xf numFmtId="0" fontId="3" fillId="0" borderId="13" xfId="0" applyFont="1" applyBorder="1" applyAlignment="1">
      <alignment horizontal="right"/>
    </xf>
    <xf numFmtId="0" fontId="3" fillId="0" borderId="13" xfId="0" applyFont="1" applyBorder="1"/>
    <xf numFmtId="0" fontId="2" fillId="0" borderId="0" xfId="0" applyFont="1"/>
    <xf numFmtId="0" fontId="2" fillId="0" borderId="0" xfId="0" applyFont="1" applyAlignment="1">
      <alignment horizontal="center"/>
    </xf>
    <xf numFmtId="14" fontId="2" fillId="0" borderId="0" xfId="0" applyNumberFormat="1" applyFont="1" applyAlignment="1">
      <alignment horizontal="center"/>
    </xf>
    <xf numFmtId="14" fontId="0" fillId="0" borderId="0" xfId="0" applyNumberFormat="1" applyAlignment="1">
      <alignment horizontal="center" wrapText="1"/>
    </xf>
    <xf numFmtId="14" fontId="11" fillId="0" borderId="0" xfId="0" applyNumberFormat="1" applyFont="1" applyAlignment="1">
      <alignment horizontal="center"/>
    </xf>
    <xf numFmtId="14" fontId="0" fillId="0" borderId="0" xfId="0" applyNumberFormat="1" applyAlignment="1">
      <alignment horizontal="center"/>
    </xf>
    <xf numFmtId="0" fontId="11" fillId="0" borderId="0" xfId="0" applyFont="1" applyAlignment="1">
      <alignment wrapText="1"/>
    </xf>
    <xf numFmtId="44" fontId="1" fillId="0" borderId="3" xfId="1" applyFont="1" applyBorder="1" applyAlignment="1">
      <alignment horizontal="center"/>
    </xf>
    <xf numFmtId="0" fontId="3" fillId="3" borderId="14" xfId="0" applyFont="1" applyFill="1" applyBorder="1" applyAlignment="1">
      <alignment horizontal="right"/>
    </xf>
    <xf numFmtId="0" fontId="3" fillId="3" borderId="14" xfId="0" applyFont="1" applyFill="1" applyBorder="1"/>
    <xf numFmtId="0" fontId="15" fillId="0" borderId="0" xfId="0" applyFont="1" applyAlignment="1">
      <alignment horizontal="right"/>
    </xf>
    <xf numFmtId="0" fontId="16" fillId="0" borderId="0" xfId="0" pivotButton="1" applyFont="1" applyAlignment="1">
      <alignment horizontal="center"/>
    </xf>
    <xf numFmtId="0" fontId="17" fillId="0" borderId="0" xfId="0" pivotButton="1" applyFont="1"/>
    <xf numFmtId="0" fontId="17" fillId="0" borderId="0" xfId="0" applyFont="1"/>
    <xf numFmtId="0" fontId="16" fillId="0" borderId="0" xfId="0" applyFont="1" applyAlignment="1">
      <alignment horizontal="center"/>
    </xf>
    <xf numFmtId="0" fontId="17" fillId="0" borderId="0" xfId="0" applyFont="1" applyAlignment="1">
      <alignment wrapText="1"/>
    </xf>
    <xf numFmtId="0" fontId="18" fillId="0" borderId="0" xfId="0" applyFont="1"/>
    <xf numFmtId="0" fontId="19" fillId="0" borderId="0" xfId="0" applyFont="1"/>
    <xf numFmtId="0" fontId="15" fillId="0" borderId="0" xfId="0" applyFont="1"/>
    <xf numFmtId="20" fontId="0" fillId="0" borderId="0" xfId="0" applyNumberFormat="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169" fontId="0" fillId="0" borderId="0" xfId="0" applyNumberFormat="1"/>
    <xf numFmtId="14" fontId="3" fillId="0" borderId="0" xfId="0" applyNumberFormat="1" applyFont="1"/>
    <xf numFmtId="20" fontId="3" fillId="0" borderId="0" xfId="0" applyNumberFormat="1" applyFont="1"/>
    <xf numFmtId="169" fontId="3" fillId="0" borderId="0" xfId="0" applyNumberFormat="1" applyFont="1"/>
    <xf numFmtId="0" fontId="3" fillId="0" borderId="0" xfId="0" pivotButton="1" applyFont="1"/>
    <xf numFmtId="0" fontId="3" fillId="0" borderId="0" xfId="0" applyFont="1" applyAlignment="1">
      <alignment horizontal="left"/>
    </xf>
    <xf numFmtId="0" fontId="20" fillId="0" borderId="0" xfId="0" pivotButton="1" applyFont="1"/>
    <xf numFmtId="0" fontId="20" fillId="0" borderId="0" xfId="0" applyFont="1"/>
    <xf numFmtId="0" fontId="21" fillId="0" borderId="0" xfId="0" pivotButton="1" applyFont="1"/>
    <xf numFmtId="0" fontId="22" fillId="0" borderId="0" xfId="0" pivotButton="1" applyFont="1" applyAlignment="1">
      <alignment horizontal="center"/>
    </xf>
    <xf numFmtId="0" fontId="22" fillId="0" borderId="0" xfId="0" applyFont="1"/>
    <xf numFmtId="0" fontId="8" fillId="0" borderId="13" xfId="0" applyFont="1" applyBorder="1" applyAlignment="1">
      <alignment horizontal="center"/>
    </xf>
    <xf numFmtId="0" fontId="8" fillId="0" borderId="0" xfId="0" applyFont="1" applyAlignment="1">
      <alignment horizontal="center"/>
    </xf>
    <xf numFmtId="0" fontId="20" fillId="0" borderId="0" xfId="0" applyNumberFormat="1" applyFont="1"/>
  </cellXfs>
  <cellStyles count="2">
    <cellStyle name="Currency" xfId="1" builtinId="4"/>
    <cellStyle name="Normal" xfId="0" builtinId="0"/>
  </cellStyles>
  <dxfs count="566">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1"/>
      </font>
    </dxf>
    <dxf>
      <font>
        <sz val="11"/>
      </font>
    </dxf>
    <dxf>
      <font>
        <sz val="11"/>
      </font>
    </dxf>
    <dxf>
      <font>
        <sz val="11"/>
      </font>
    </dxf>
    <dxf>
      <font>
        <sz val="11"/>
      </font>
    </dxf>
    <dxf>
      <font>
        <color theme="1"/>
      </font>
    </dxf>
    <dxf>
      <alignment horizontal="center"/>
    </dxf>
    <dxf>
      <alignment horizontal="center"/>
    </dxf>
    <dxf>
      <font>
        <color theme="0" tint="-0.14999847407452621"/>
      </font>
    </dxf>
    <dxf>
      <font>
        <color theme="0" tint="-0.14999847407452621"/>
      </font>
    </dxf>
    <dxf>
      <font>
        <sz val="5"/>
      </font>
    </dxf>
    <dxf>
      <font>
        <sz val="5"/>
      </font>
    </dxf>
    <dxf>
      <font>
        <sz val="14"/>
      </font>
    </dxf>
    <dxf>
      <font>
        <sz val="14"/>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1"/>
      </font>
    </dxf>
    <dxf>
      <font>
        <sz val="11"/>
      </font>
    </dxf>
    <dxf>
      <font>
        <sz val="11"/>
      </font>
    </dxf>
    <dxf>
      <font>
        <sz val="11"/>
      </font>
    </dxf>
    <dxf>
      <font>
        <sz val="11"/>
      </font>
    </dxf>
    <dxf>
      <font>
        <color theme="1"/>
      </font>
    </dxf>
    <dxf>
      <alignment horizontal="center"/>
    </dxf>
    <dxf>
      <alignment horizontal="center"/>
    </dxf>
    <dxf>
      <font>
        <color theme="0" tint="-0.14999847407452621"/>
      </font>
    </dxf>
    <dxf>
      <font>
        <color theme="0" tint="-0.14999847407452621"/>
      </font>
    </dxf>
    <dxf>
      <font>
        <sz val="5"/>
      </font>
    </dxf>
    <dxf>
      <font>
        <sz val="5"/>
      </font>
    </dxf>
    <dxf>
      <font>
        <sz val="14"/>
      </font>
    </dxf>
    <dxf>
      <font>
        <sz val="14"/>
      </font>
    </dxf>
    <dxf>
      <numFmt numFmtId="0" formatCode="General"/>
    </dxf>
    <dxf>
      <numFmt numFmtId="19" formatCode="m/d/yyyy"/>
    </dxf>
    <dxf>
      <numFmt numFmtId="19" formatCode="m/d/yyyy"/>
    </dxf>
    <dxf>
      <numFmt numFmtId="19" formatCode="m/d/yyyy"/>
    </dxf>
    <dxf>
      <numFmt numFmtId="19" formatCode="m/d/yyyy"/>
    </dxf>
    <dxf>
      <numFmt numFmtId="19" formatCode="m/d/yyyy"/>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7" formatCode="mm/dd/yy\ hh:m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6" formatCode="0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5" formatCode="00"/>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68" formatCode="[$-F400]h:mm:ss\ AM/PM"/>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numFmt numFmtId="0" formatCode="General"/>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font>
        <strike val="0"/>
        <outline val="0"/>
        <shadow val="0"/>
        <u val="none"/>
        <vertAlign val="baseline"/>
        <sz val="12"/>
        <color theme="1"/>
        <name val="Aptos Narrow"/>
        <family val="2"/>
        <scheme val="none"/>
      </font>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sz val="14"/>
      </font>
    </dxf>
    <dxf>
      <font>
        <sz val="14"/>
      </font>
    </dxf>
    <dxf>
      <font>
        <sz val="5"/>
      </font>
    </dxf>
    <dxf>
      <font>
        <sz val="5"/>
      </font>
    </dxf>
    <dxf>
      <font>
        <color theme="0" tint="-0.14999847407452621"/>
      </font>
    </dxf>
    <dxf>
      <font>
        <color theme="0" tint="-0.14999847407452621"/>
      </font>
    </dxf>
    <dxf>
      <alignment horizontal="center"/>
    </dxf>
    <dxf>
      <alignment horizontal="center"/>
    </dxf>
    <dxf>
      <font>
        <color theme="1"/>
      </font>
    </dxf>
    <dxf>
      <font>
        <sz val="11"/>
      </font>
    </dxf>
    <dxf>
      <font>
        <sz val="11"/>
      </font>
    </dxf>
    <dxf>
      <font>
        <sz val="11"/>
      </font>
    </dxf>
    <dxf>
      <font>
        <sz val="11"/>
      </font>
    </dxf>
    <dxf>
      <font>
        <sz val="11"/>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4"/>
      </font>
    </dxf>
    <dxf>
      <font>
        <sz val="14"/>
      </font>
    </dxf>
    <dxf>
      <font>
        <sz val="5"/>
      </font>
    </dxf>
    <dxf>
      <font>
        <sz val="5"/>
      </font>
    </dxf>
    <dxf>
      <font>
        <color theme="0" tint="-0.14999847407452621"/>
      </font>
    </dxf>
    <dxf>
      <font>
        <color theme="0" tint="-0.14999847407452621"/>
      </font>
    </dxf>
    <dxf>
      <alignment horizontal="center"/>
    </dxf>
    <dxf>
      <alignment horizontal="center"/>
    </dxf>
    <dxf>
      <font>
        <color theme="1"/>
      </font>
    </dxf>
    <dxf>
      <font>
        <sz val="11"/>
      </font>
    </dxf>
    <dxf>
      <font>
        <sz val="11"/>
      </font>
    </dxf>
    <dxf>
      <font>
        <sz val="11"/>
      </font>
    </dxf>
    <dxf>
      <font>
        <sz val="11"/>
      </font>
    </dxf>
    <dxf>
      <font>
        <sz val="11"/>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168" formatCode="[$-F400]h:mm:ss\ AM/PM"/>
    </dxf>
    <dxf>
      <numFmt numFmtId="19" formatCode="m/d/yyyy"/>
    </dxf>
    <dxf>
      <numFmt numFmtId="168" formatCode="[$-F400]h:mm:ss\ AM/PM"/>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27" formatCode="m/d/yyyy\ h:mm"/>
    </dxf>
    <dxf>
      <numFmt numFmtId="170"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168" formatCode="[$-F400]h:mm:ss\ AM/PM"/>
    </dxf>
    <dxf>
      <numFmt numFmtId="19" formatCode="m/d/yyyy"/>
    </dxf>
    <dxf>
      <numFmt numFmtId="168" formatCode="[$-F400]h:mm:ss\ AM/PM"/>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27" formatCode="m/d/yyyy\ h:mm"/>
    </dxf>
    <dxf>
      <numFmt numFmtId="0" formatCode="General"/>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27" formatCode="m/d/yyyy\ h:mm"/>
    </dxf>
    <dxf>
      <numFmt numFmtId="170"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168" formatCode="[$-F400]h:mm:ss\ AM/PM"/>
    </dxf>
    <dxf>
      <numFmt numFmtId="19" formatCode="m/d/yyyy"/>
    </dxf>
    <dxf>
      <numFmt numFmtId="168" formatCode="[$-F400]h:mm:ss\ AM/PM"/>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27" formatCode="m/d/yyyy\ h:mm"/>
    </dxf>
    <dxf>
      <numFmt numFmtId="170"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7" formatCode="m/d/yyyy\ h:mm"/>
    </dxf>
    <dxf>
      <numFmt numFmtId="168" formatCode="[$-F400]h:mm:ss\ AM/PM"/>
    </dxf>
    <dxf>
      <numFmt numFmtId="19" formatCode="m/d/yyyy"/>
    </dxf>
    <dxf>
      <numFmt numFmtId="168" formatCode="[$-F400]h:mm:ss\ AM/PM"/>
    </dxf>
    <dxf>
      <numFmt numFmtId="0" formatCode="General"/>
    </dxf>
    <dxf>
      <numFmt numFmtId="0" formatCode="General"/>
    </dxf>
    <dxf>
      <numFmt numFmtId="0" formatCode="General"/>
    </dxf>
    <dxf>
      <numFmt numFmtId="168" formatCode="[$-F400]h:mm:ss\ AM/PM"/>
    </dxf>
    <dxf>
      <numFmt numFmtId="168" formatCode="[$-F400]h:mm:ss\ AM/PM"/>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F400]h:mm:ss\ AM/PM"/>
    </dxf>
    <dxf>
      <numFmt numFmtId="19" formatCode="m/d/yyyy"/>
    </dxf>
    <dxf>
      <numFmt numFmtId="168" formatCode="[$-F400]h:mm:ss\ AM/PM"/>
    </dxf>
    <dxf>
      <numFmt numFmtId="19" formatCode="m/d/yyyy"/>
    </dxf>
    <dxf>
      <numFmt numFmtId="169" formatCode="hh:mm"/>
    </dxf>
    <dxf>
      <numFmt numFmtId="170" formatCode="mm/dd/yy"/>
    </dxf>
    <dxf>
      <numFmt numFmtId="0" formatCode="General"/>
    </dxf>
    <dxf>
      <font>
        <color theme="0" tint="-0.14999847407452621"/>
      </font>
    </dxf>
    <dxf>
      <font>
        <color theme="0" tint="-0.14999847407452621"/>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170" formatCode="mm/dd/yy"/>
    </dxf>
    <dxf>
      <font>
        <strike val="0"/>
        <outline val="0"/>
        <shadow val="0"/>
        <u val="none"/>
        <vertAlign val="baseline"/>
        <sz val="12"/>
        <color theme="1"/>
        <name val="Aptos"/>
        <family val="2"/>
        <scheme val="none"/>
      </font>
      <numFmt numFmtId="169" formatCode="hh:mm"/>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169" formatCode="hh:mm"/>
    </dxf>
    <dxf>
      <font>
        <strike val="0"/>
        <outline val="0"/>
        <shadow val="0"/>
        <u val="none"/>
        <vertAlign val="baseline"/>
        <sz val="12"/>
        <color theme="1"/>
        <name val="Aptos"/>
        <family val="2"/>
        <scheme val="none"/>
      </font>
      <numFmt numFmtId="169" formatCode="hh:mm"/>
    </dxf>
    <dxf>
      <font>
        <strike val="0"/>
        <outline val="0"/>
        <shadow val="0"/>
        <u val="none"/>
        <vertAlign val="baseline"/>
        <sz val="12"/>
        <color theme="1"/>
        <name val="Aptos"/>
        <family val="2"/>
        <scheme val="none"/>
      </font>
      <numFmt numFmtId="170" formatCode="mm/dd/yy"/>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numFmt numFmtId="169" formatCode="hh:mm"/>
    </dxf>
    <dxf>
      <font>
        <strike val="0"/>
        <outline val="0"/>
        <shadow val="0"/>
        <u val="none"/>
        <vertAlign val="baseline"/>
        <sz val="12"/>
        <color theme="1"/>
        <name val="Aptos"/>
        <family val="2"/>
        <scheme val="none"/>
      </font>
      <numFmt numFmtId="170" formatCode="mm/dd/yy"/>
    </dxf>
    <dxf>
      <font>
        <strike val="0"/>
        <outline val="0"/>
        <shadow val="0"/>
        <u val="none"/>
        <vertAlign val="baseline"/>
        <sz val="12"/>
        <color theme="1"/>
        <name val="Aptos"/>
        <family val="2"/>
        <scheme val="none"/>
      </font>
      <numFmt numFmtId="0" formatCode="General"/>
    </dxf>
    <dxf>
      <font>
        <strike val="0"/>
        <outline val="0"/>
        <shadow val="0"/>
        <u val="none"/>
        <vertAlign val="baseline"/>
        <sz val="12"/>
        <color theme="1"/>
        <name val="Aptos"/>
        <family val="2"/>
        <scheme val="none"/>
      </font>
    </dxf>
    <dxf>
      <font>
        <strike val="0"/>
        <outline val="0"/>
        <shadow val="0"/>
        <u val="none"/>
        <vertAlign val="baseline"/>
        <sz val="12"/>
        <color theme="1"/>
        <name val="Aptos"/>
        <family val="2"/>
        <scheme val="none"/>
      </font>
    </dxf>
    <dxf>
      <font>
        <sz val="12"/>
      </font>
    </dxf>
    <dxf>
      <font>
        <sz val="12"/>
      </font>
    </dxf>
    <dxf>
      <font>
        <sz val="12"/>
      </font>
    </dxf>
    <dxf>
      <font>
        <sz val="12"/>
      </font>
    </dxf>
    <dxf>
      <font>
        <sz val="12"/>
      </font>
    </dxf>
    <dxf>
      <font>
        <sz val="12"/>
      </font>
    </dxf>
    <dxf>
      <font>
        <sz val="12"/>
      </font>
    </dxf>
    <dxf>
      <font>
        <sz val="12"/>
      </font>
    </dxf>
    <dxf>
      <font>
        <sz val="12"/>
      </font>
    </dxf>
    <dxf>
      <font>
        <sz val="12"/>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font>
        <strike val="0"/>
        <outline val="0"/>
        <shadow val="0"/>
        <u val="none"/>
        <vertAlign val="baseline"/>
        <sz val="12"/>
        <color theme="1"/>
        <name val="Aptos Narrow"/>
        <family val="2"/>
        <scheme val="none"/>
      </font>
      <alignment horizontal="general" vertical="bottom" textRotation="0" wrapText="1"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none"/>
      </font>
      <alignment horizontal="center" vertical="bottom" textRotation="0" wrapText="0" indent="0" justifyLastLine="0" shrinkToFit="0" readingOrder="0"/>
    </dxf>
    <dxf>
      <font>
        <strike val="0"/>
        <outline val="0"/>
        <shadow val="0"/>
        <u val="none"/>
        <vertAlign val="baseline"/>
        <sz val="12"/>
        <color theme="1"/>
        <name val="Aptos Narrow"/>
        <family val="2"/>
        <scheme val="none"/>
      </font>
      <numFmt numFmtId="170" formatCode="mm/dd/yy"/>
      <alignment horizontal="center" vertical="bottom" textRotation="0" wrapText="0" indent="0" justifyLastLine="0" shrinkToFit="0" readingOrder="0"/>
    </dxf>
    <dxf>
      <font>
        <strike val="0"/>
        <outline val="0"/>
        <shadow val="0"/>
        <u val="none"/>
        <vertAlign val="baseline"/>
        <sz val="12"/>
        <color theme="1"/>
        <name val="Aptos Narrow"/>
        <family val="2"/>
        <scheme val="none"/>
      </font>
      <alignment vertical="bottom" textRotation="0" wrapText="0" indent="0" justifyLastLine="0" shrinkToFit="0" readingOrder="0"/>
    </dxf>
    <dxf>
      <font>
        <strike val="0"/>
        <outline val="0"/>
        <shadow val="0"/>
        <u val="none"/>
        <vertAlign val="baseline"/>
        <sz val="12"/>
        <color theme="1"/>
        <name val="Aptos Narrow"/>
        <family val="2"/>
        <scheme val="none"/>
      </font>
      <alignment horizontal="general" vertical="bottom" textRotation="0" wrapText="0" indent="0" justifyLastLine="0" shrinkToFit="0" readingOrder="0"/>
    </dxf>
    <dxf>
      <font>
        <strike val="0"/>
        <outline val="0"/>
        <shadow val="0"/>
        <u val="none"/>
        <vertAlign val="baseline"/>
        <sz val="14"/>
        <color theme="1"/>
        <name val="Aptos Narrow"/>
        <family val="2"/>
        <scheme val="none"/>
      </font>
      <alignment horizontal="center" vertical="bottom" textRotation="0" wrapText="0" indent="0" justifyLastLine="0" shrinkToFit="0" readingOrder="0"/>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8"/>
      </font>
    </dxf>
    <dxf>
      <font>
        <sz val="8"/>
      </font>
    </dxf>
    <dxf>
      <font>
        <sz val="8"/>
      </font>
    </dxf>
    <dxf>
      <font>
        <sz val="14"/>
        <name val="Aptos"/>
        <scheme val="none"/>
      </font>
      <alignment horizontal="center"/>
    </dxf>
    <dxf>
      <alignment horizontal="right"/>
    </dxf>
    <dxf>
      <font>
        <sz val="12"/>
        <name val="Aptos"/>
        <scheme val="none"/>
      </font>
      <alignment horizontal="general" vertical="bottom" textRotation="0" wrapText="0" indent="0" justifyLastLine="0" shrinkToFit="0" readingOrder="0"/>
    </dxf>
    <dxf>
      <font>
        <sz val="12"/>
      </font>
    </dxf>
    <dxf>
      <alignment wrapText="0"/>
    </dxf>
    <dxf>
      <alignment wrapText="0"/>
    </dxf>
    <dxf>
      <alignment wrapText="0"/>
    </dxf>
    <dxf>
      <font>
        <color theme="0" tint="-0.14999847407452621"/>
      </font>
    </dxf>
    <dxf>
      <font>
        <color theme="0" tint="-0.14999847407452621"/>
      </font>
    </dxf>
    <dxf>
      <fill>
        <patternFill>
          <bgColor auto="1"/>
        </patternFill>
      </fill>
    </dxf>
    <dxf>
      <fill>
        <patternFill>
          <bgColor auto="1"/>
        </patternFill>
      </fill>
    </dxf>
    <dxf>
      <fill>
        <patternFill>
          <bgColor auto="1"/>
        </patternFill>
      </fill>
    </dxf>
    <dxf>
      <alignment horizontal="center"/>
    </dxf>
    <dxf>
      <alignment wrapText="1"/>
    </dxf>
    <dxf>
      <alignment wrapText="1"/>
    </dxf>
    <dxf>
      <alignment wrapText="1"/>
    </dxf>
    <dxf>
      <font>
        <sz val="14"/>
      </font>
    </dxf>
    <dxf>
      <alignment wrapText="1"/>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8"/>
      </font>
    </dxf>
    <dxf>
      <font>
        <sz val="8"/>
      </font>
    </dxf>
    <dxf>
      <font>
        <sz val="8"/>
      </font>
    </dxf>
    <dxf>
      <font>
        <sz val="14"/>
        <name val="Aptos"/>
        <scheme val="none"/>
      </font>
      <alignment horizontal="center"/>
    </dxf>
    <dxf>
      <alignment horizontal="right"/>
    </dxf>
    <dxf>
      <font>
        <sz val="12"/>
        <name val="Aptos"/>
        <scheme val="none"/>
      </font>
      <alignment horizontal="general" vertical="bottom" textRotation="0" wrapText="0" indent="0" justifyLastLine="0" shrinkToFit="0" readingOrder="0"/>
    </dxf>
    <dxf>
      <font>
        <sz val="12"/>
      </font>
    </dxf>
    <dxf>
      <alignment wrapText="0"/>
    </dxf>
    <dxf>
      <alignment wrapText="0"/>
    </dxf>
    <dxf>
      <alignment wrapText="0"/>
    </dxf>
    <dxf>
      <font>
        <color theme="0" tint="-0.14999847407452621"/>
      </font>
    </dxf>
    <dxf>
      <font>
        <color theme="0" tint="-0.14999847407452621"/>
      </font>
    </dxf>
    <dxf>
      <fill>
        <patternFill>
          <bgColor auto="1"/>
        </patternFill>
      </fill>
    </dxf>
    <dxf>
      <fill>
        <patternFill>
          <bgColor auto="1"/>
        </patternFill>
      </fill>
    </dxf>
    <dxf>
      <fill>
        <patternFill>
          <bgColor auto="1"/>
        </patternFill>
      </fill>
    </dxf>
    <dxf>
      <alignment horizontal="center"/>
    </dxf>
    <dxf>
      <alignment wrapText="1"/>
    </dxf>
    <dxf>
      <alignment wrapText="1"/>
    </dxf>
    <dxf>
      <alignment wrapText="1"/>
    </dxf>
    <dxf>
      <font>
        <sz val="14"/>
      </font>
    </dxf>
    <dxf>
      <fill>
        <patternFill patternType="solid">
          <fgColor theme="7" tint="0.79998168889431442"/>
          <bgColor theme="7" tint="0.79998168889431442"/>
        </patternFill>
      </fill>
    </dxf>
    <dxf>
      <fill>
        <patternFill patternType="solid">
          <fgColor theme="7" tint="0.79998168889431442"/>
          <bgColor theme="7" tint="0.79998168889431442"/>
        </patternFill>
      </fill>
    </dxf>
    <dxf>
      <font>
        <b/>
        <color theme="1"/>
      </font>
    </dxf>
    <dxf>
      <font>
        <b/>
        <color theme="1"/>
      </font>
    </dxf>
    <dxf>
      <font>
        <b/>
        <color theme="1"/>
      </font>
      <border>
        <top style="double">
          <color theme="7"/>
        </top>
      </border>
    </dxf>
    <dxf>
      <font>
        <b/>
        <i val="0"/>
        <color theme="1"/>
      </font>
      <border diagonalUp="0" diagonalDown="0">
        <left/>
        <right/>
        <top/>
        <bottom style="medium">
          <color theme="7"/>
        </bottom>
        <vertical/>
        <horizontal/>
      </border>
    </dxf>
    <dxf>
      <font>
        <color theme="1"/>
      </font>
      <border>
        <left style="medium">
          <color theme="7"/>
        </left>
        <right style="medium">
          <color theme="7"/>
        </right>
        <top style="medium">
          <color theme="7"/>
        </top>
        <bottom style="medium">
          <color theme="7"/>
        </bottom>
        <vertical style="thin">
          <color theme="7"/>
        </vertical>
        <horizontal style="thin">
          <color theme="7"/>
        </horizontal>
      </border>
    </dxf>
    <dxf>
      <fill>
        <patternFill patternType="solid">
          <fgColor theme="6" tint="0.79998168889431442"/>
          <bgColor theme="6" tint="0.79998168889431442"/>
        </patternFill>
      </fill>
    </dxf>
    <dxf>
      <fill>
        <patternFill patternType="solid">
          <fgColor theme="6" tint="0.79992065187536243"/>
          <bgColor theme="0" tint="-0.14996795556505021"/>
        </patternFill>
      </fill>
    </dxf>
    <dxf>
      <font>
        <b/>
        <color theme="1"/>
      </font>
    </dxf>
    <dxf>
      <font>
        <b/>
        <color theme="1"/>
      </font>
    </dxf>
    <dxf>
      <font>
        <b/>
        <color theme="1"/>
      </font>
      <border>
        <top style="double">
          <color theme="6"/>
        </top>
      </border>
    </dxf>
    <dxf>
      <font>
        <b/>
        <i val="0"/>
        <color theme="1"/>
      </font>
      <border diagonalUp="0" diagonalDown="1">
        <left/>
        <right/>
        <top/>
        <bottom style="medium">
          <color theme="6"/>
        </bottom>
        <diagonal style="medium">
          <color theme="6"/>
        </diagonal>
        <vertical/>
        <horizontal/>
      </border>
    </dxf>
    <dxf>
      <font>
        <color theme="1"/>
      </font>
      <border>
        <left style="medium">
          <color theme="1"/>
        </left>
        <right style="medium">
          <color theme="1"/>
        </right>
        <top style="medium">
          <color theme="1"/>
        </top>
        <bottom style="medium">
          <color theme="1"/>
        </bottom>
        <vertical style="thin">
          <color theme="6"/>
        </vertical>
        <horizontal style="thin">
          <color theme="6"/>
        </horizontal>
      </border>
    </dxf>
    <dxf>
      <fill>
        <patternFill patternType="solid">
          <fgColor theme="6" tint="0.79998168889431442"/>
          <bgColor theme="6" tint="0.79998168889431442"/>
        </patternFill>
      </fill>
    </dxf>
    <dxf>
      <fill>
        <patternFill patternType="solid">
          <fgColor theme="6" tint="0.79998168889431442"/>
          <bgColor theme="6" tint="0.79998168889431442"/>
        </patternFill>
      </fill>
    </dxf>
    <dxf>
      <font>
        <b/>
        <color theme="1"/>
      </font>
    </dxf>
    <dxf>
      <font>
        <b/>
        <color theme="1"/>
      </font>
    </dxf>
    <dxf>
      <font>
        <b/>
        <color theme="1"/>
      </font>
      <border>
        <top style="double">
          <color theme="6"/>
        </top>
      </border>
    </dxf>
    <dxf>
      <font>
        <b/>
        <i val="0"/>
        <color theme="1"/>
      </font>
      <border diagonalUp="0" diagonalDown="1">
        <left/>
        <right/>
        <top/>
        <bottom style="medium">
          <color theme="6"/>
        </bottom>
        <diagonal style="medium">
          <color theme="6"/>
        </diagonal>
        <vertical/>
        <horizontal/>
      </border>
    </dxf>
    <dxf>
      <font>
        <color theme="1"/>
      </font>
      <border>
        <left style="medium">
          <color theme="6"/>
        </left>
        <right style="medium">
          <color theme="6"/>
        </right>
        <top style="medium">
          <color theme="6"/>
        </top>
        <bottom style="medium">
          <color theme="6"/>
        </bottom>
        <vertical style="thin">
          <color theme="6"/>
        </vertical>
        <horizontal style="thin">
          <color theme="6"/>
        </horizontal>
      </border>
    </dxf>
    <dxf>
      <fill>
        <patternFill patternType="solid">
          <fgColor theme="6" tint="0.79992065187536243"/>
          <bgColor rgb="FFD3B5E9"/>
        </patternFill>
      </fill>
    </dxf>
    <dxf>
      <fill>
        <patternFill patternType="solid">
          <fgColor theme="6" tint="0.79995117038483843"/>
          <bgColor rgb="FFD3B5E9"/>
        </patternFill>
      </fill>
    </dxf>
    <dxf>
      <font>
        <b/>
        <color theme="1"/>
      </font>
    </dxf>
    <dxf>
      <font>
        <b/>
        <color theme="1"/>
      </font>
    </dxf>
    <dxf>
      <font>
        <b/>
        <color theme="1"/>
      </font>
      <border diagonalUp="0" diagonalDown="0">
        <left/>
        <right/>
        <top style="thick">
          <color rgb="FF513E80"/>
        </top>
        <bottom/>
        <vertical/>
        <horizontal/>
      </border>
    </dxf>
    <dxf>
      <font>
        <b/>
        <color theme="1"/>
      </font>
      <border diagonalUp="0" diagonalDown="0">
        <left/>
        <right/>
        <top/>
        <bottom style="medium">
          <color rgb="FF513E80"/>
        </bottom>
        <vertical/>
        <horizontal/>
      </border>
    </dxf>
    <dxf>
      <font>
        <color theme="1"/>
      </font>
      <border>
        <left style="medium">
          <color rgb="FF513E80"/>
        </left>
        <right style="medium">
          <color rgb="FF513E80"/>
        </right>
        <top style="medium">
          <color rgb="FF513E80"/>
        </top>
        <bottom style="medium">
          <color rgb="FF513E80"/>
        </bottom>
        <vertical style="thin">
          <color rgb="FF513E80"/>
        </vertical>
        <horizontal style="thin">
          <color rgb="FF513E80"/>
        </horizontal>
      </border>
    </dxf>
    <dxf>
      <fill>
        <patternFill patternType="solid">
          <fgColor theme="5" tint="0.79998168889431442"/>
          <bgColor theme="5" tint="0.79998168889431442"/>
        </patternFill>
      </fill>
    </dxf>
    <dxf>
      <fill>
        <patternFill patternType="solid">
          <fgColor theme="5" tint="0.79998168889431442"/>
          <bgColor theme="5" tint="0.79998168889431442"/>
        </patternFill>
      </fill>
    </dxf>
    <dxf>
      <font>
        <b/>
        <color theme="1"/>
      </font>
    </dxf>
    <dxf>
      <font>
        <b/>
        <color theme="1"/>
      </font>
    </dxf>
    <dxf>
      <font>
        <b/>
        <color theme="1"/>
      </font>
      <border>
        <top style="double">
          <color theme="5"/>
        </top>
      </border>
    </dxf>
    <dxf>
      <font>
        <b/>
        <i val="0"/>
        <color theme="1"/>
      </font>
      <border diagonalUp="0" diagonalDown="0">
        <left/>
        <right/>
        <top/>
        <bottom style="medium">
          <color theme="5"/>
        </bottom>
        <vertical/>
        <horizontal/>
      </border>
    </dxf>
    <dxf>
      <font>
        <color theme="1"/>
      </font>
      <border>
        <left style="medium">
          <color theme="5"/>
        </left>
        <right style="medium">
          <color theme="5"/>
        </right>
        <top style="medium">
          <color theme="5"/>
        </top>
        <bottom style="medium">
          <color theme="5"/>
        </bottom>
        <vertical style="thin">
          <color theme="5"/>
        </vertical>
        <horizontal style="thin">
          <color theme="5"/>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i val="0"/>
        <color theme="1"/>
      </font>
      <border diagonalUp="0" diagonalDown="0">
        <left/>
        <right/>
        <top/>
        <bottom style="medium">
          <color theme="4"/>
        </bottom>
        <vertical/>
        <horizontal/>
      </border>
    </dxf>
    <dxf>
      <font>
        <color theme="1"/>
      </font>
      <border>
        <left style="medium">
          <color theme="4"/>
        </left>
        <right style="medium">
          <color theme="4"/>
        </right>
        <top style="medium">
          <color theme="4"/>
        </top>
        <bottom style="medium">
          <color theme="4"/>
        </bottom>
        <vertical style="thin">
          <color theme="4"/>
        </vertical>
        <horizontal style="thin">
          <color theme="4"/>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color theme="1"/>
      </font>
    </dxf>
    <dxf>
      <font>
        <b/>
        <color theme="1"/>
      </font>
    </dxf>
    <dxf>
      <font>
        <b/>
        <color theme="1"/>
      </font>
      <border>
        <top style="double">
          <color theme="1"/>
        </top>
      </border>
    </dxf>
    <dxf>
      <font>
        <b/>
        <i val="0"/>
        <color theme="1"/>
      </font>
      <border diagonalUp="0" diagonalDown="0">
        <left/>
        <right/>
        <top/>
        <bottom style="medium">
          <color theme="1"/>
        </bottom>
        <vertical/>
        <horizontal/>
      </border>
    </dxf>
    <dxf>
      <font>
        <color theme="1"/>
      </font>
      <border>
        <left style="medium">
          <color theme="1"/>
        </left>
        <right style="medium">
          <color theme="1"/>
        </right>
        <top style="medium">
          <color theme="1"/>
        </top>
        <bottom style="medium">
          <color theme="1"/>
        </bottom>
        <vertical style="thin">
          <color theme="1"/>
        </vertical>
        <horizontal style="thin">
          <color theme="1"/>
        </horizontal>
      </border>
    </dxf>
  </dxfs>
  <tableStyles count="8" defaultTableStyle="TableStyleMedium2" defaultPivotStyle="PivotStyleLight16">
    <tableStyle name="Invisible" pivot="0" table="0" count="0" xr9:uid="{ED64E85C-CF3E-41CC-8B05-D20723E14618}"/>
    <tableStyle name="TableStyleLight15 2" pivot="0" count="7" xr9:uid="{6E068814-5BB5-4BA1-ACB0-253459FA954C}">
      <tableStyleElement type="wholeTable" dxfId="565"/>
      <tableStyleElement type="headerRow" dxfId="564"/>
      <tableStyleElement type="totalRow" dxfId="563"/>
      <tableStyleElement type="firstColumn" dxfId="562"/>
      <tableStyleElement type="lastColumn" dxfId="561"/>
      <tableStyleElement type="firstRowStripe" dxfId="560"/>
      <tableStyleElement type="firstColumnStripe" dxfId="559"/>
    </tableStyle>
    <tableStyle name="TableStyleLight16 2" pivot="0" count="7" xr9:uid="{D69CDBB7-032E-49BC-AC54-A31420CE7655}">
      <tableStyleElement type="wholeTable" dxfId="558"/>
      <tableStyleElement type="headerRow" dxfId="557"/>
      <tableStyleElement type="totalRow" dxfId="556"/>
      <tableStyleElement type="firstColumn" dxfId="555"/>
      <tableStyleElement type="lastColumn" dxfId="554"/>
      <tableStyleElement type="firstRowStripe" dxfId="553"/>
      <tableStyleElement type="firstColumnStripe" dxfId="552"/>
    </tableStyle>
    <tableStyle name="TableStyleLight17 2" pivot="0" count="7" xr9:uid="{F0E5CF34-A936-4E2B-86EA-DA714855B9FB}">
      <tableStyleElement type="wholeTable" dxfId="551"/>
      <tableStyleElement type="headerRow" dxfId="550"/>
      <tableStyleElement type="totalRow" dxfId="549"/>
      <tableStyleElement type="firstColumn" dxfId="548"/>
      <tableStyleElement type="lastColumn" dxfId="547"/>
      <tableStyleElement type="firstRowStripe" dxfId="546"/>
      <tableStyleElement type="firstColumnStripe" dxfId="545"/>
    </tableStyle>
    <tableStyle name="TableStyleLight18 2" pivot="0" count="7" xr9:uid="{FCE9A81E-B697-440C-9031-FD78FF52ED88}">
      <tableStyleElement type="wholeTable" dxfId="544"/>
      <tableStyleElement type="headerRow" dxfId="543"/>
      <tableStyleElement type="totalRow" dxfId="542"/>
      <tableStyleElement type="firstColumn" dxfId="541"/>
      <tableStyleElement type="lastColumn" dxfId="540"/>
      <tableStyleElement type="firstRowStripe" dxfId="539"/>
      <tableStyleElement type="firstColumnStripe" dxfId="538"/>
    </tableStyle>
    <tableStyle name="TableStyleLight18 3" pivot="0" count="7" xr9:uid="{AE81560E-A0A1-4B8F-8608-83C1F78B608A}">
      <tableStyleElement type="wholeTable" dxfId="537"/>
      <tableStyleElement type="headerRow" dxfId="536"/>
      <tableStyleElement type="totalRow" dxfId="535"/>
      <tableStyleElement type="firstColumn" dxfId="534"/>
      <tableStyleElement type="lastColumn" dxfId="533"/>
      <tableStyleElement type="firstRowStripe" dxfId="532"/>
      <tableStyleElement type="firstColumnStripe" dxfId="531"/>
    </tableStyle>
    <tableStyle name="TableStyleLight18 3 2" pivot="0" count="7" xr9:uid="{4C6F2DC0-9EE9-4779-9307-175D1C00B7C0}">
      <tableStyleElement type="wholeTable" dxfId="530"/>
      <tableStyleElement type="headerRow" dxfId="529"/>
      <tableStyleElement type="totalRow" dxfId="528"/>
      <tableStyleElement type="firstColumn" dxfId="527"/>
      <tableStyleElement type="lastColumn" dxfId="526"/>
      <tableStyleElement type="firstRowStripe" dxfId="525"/>
      <tableStyleElement type="firstColumnStripe" dxfId="524"/>
    </tableStyle>
    <tableStyle name="TableStyleLight19 2" pivot="0" count="7" xr9:uid="{A6B5A85E-1A32-4277-8575-40D0AE2BF488}">
      <tableStyleElement type="wholeTable" dxfId="523"/>
      <tableStyleElement type="headerRow" dxfId="522"/>
      <tableStyleElement type="totalRow" dxfId="521"/>
      <tableStyleElement type="firstColumn" dxfId="520"/>
      <tableStyleElement type="lastColumn" dxfId="519"/>
      <tableStyleElement type="firstRowStripe" dxfId="518"/>
      <tableStyleElement type="firstColumnStripe" dxfId="517"/>
    </tableStyle>
  </tableStyles>
  <colors>
    <mruColors>
      <color rgb="FFE0B3FF"/>
      <color rgb="FFD3B5E9"/>
      <color rgb="FFFFFF66"/>
      <color rgb="FFFF0000"/>
      <color rgb="FF513E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theme" Target="theme/theme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5.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openxmlformats.org/officeDocument/2006/relationships/styles" Target="styles.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openxmlformats.org/officeDocument/2006/relationships/powerPivotData" Target="model/item.data"/><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[Time_SCRPA_Master_2.0.xlsm]All_Crimes!PivotTable6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lumMod val="85000"/>
              <a:lumOff val="1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400" b="0" i="0" u="none" strike="noStrike" kern="1200" baseline="0">
                  <a:solidFill>
                    <a:schemeClr val="tx1">
                      <a:lumMod val="75000"/>
                      <a:lumOff val="25000"/>
                    </a:schemeClr>
                  </a:solidFill>
                  <a:latin typeface="Aptos ExtraBold" panose="020B0004020202020204" pitchFamily="34"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All_Crimes!$AU$4:$AU$5</c:f>
              <c:strCache>
                <c:ptCount val="1"/>
                <c:pt idx="0">
                  <c:v>28-Day</c:v>
                </c:pt>
              </c:strCache>
            </c:strRef>
          </c:tx>
          <c:spPr>
            <a:solidFill>
              <a:schemeClr val="accent1"/>
            </a:solidFill>
            <a:ln>
              <a:noFill/>
            </a:ln>
            <a:effectLst/>
          </c:spPr>
          <c:invertIfNegative val="0"/>
          <c:cat>
            <c:strRef>
              <c:f>All_Crimes!$AT$6:$AT$9</c:f>
              <c:strCache>
                <c:ptCount val="3"/>
                <c:pt idx="0">
                  <c:v>Morning Peak (08:00–11:59)</c:v>
                </c:pt>
                <c:pt idx="1">
                  <c:v>Afternoon (12:00–15:59)</c:v>
                </c:pt>
                <c:pt idx="2">
                  <c:v>Night (20:00–23:59)</c:v>
                </c:pt>
              </c:strCache>
            </c:strRef>
          </c:cat>
          <c:val>
            <c:numRef>
              <c:f>All_Crimes!$AU$6:$AU$9</c:f>
              <c:numCache>
                <c:formatCode>General</c:formatCode>
                <c:ptCount val="3"/>
                <c:pt idx="1">
                  <c:v>2</c:v>
                </c:pt>
              </c:numCache>
            </c:numRef>
          </c:val>
          <c:extLst>
            <c:ext xmlns:c16="http://schemas.microsoft.com/office/drawing/2014/chart" uri="{C3380CC4-5D6E-409C-BE32-E72D297353CC}">
              <c16:uniqueId val="{00000000-5504-4875-9762-B303DA12CD8E}"/>
            </c:ext>
          </c:extLst>
        </c:ser>
        <c:ser>
          <c:idx val="1"/>
          <c:order val="1"/>
          <c:tx>
            <c:strRef>
              <c:f>All_Crimes!$AV$4:$AV$5</c:f>
              <c:strCache>
                <c:ptCount val="1"/>
                <c:pt idx="0">
                  <c:v>YTD</c:v>
                </c:pt>
              </c:strCache>
            </c:strRef>
          </c:tx>
          <c:spPr>
            <a:solidFill>
              <a:schemeClr val="tx1">
                <a:lumMod val="85000"/>
                <a:lumOff val="15000"/>
              </a:schemeClr>
            </a:solidFill>
            <a:ln>
              <a:noFill/>
            </a:ln>
            <a:effectLst/>
          </c:spPr>
          <c:invertIfNegative val="0"/>
          <c:cat>
            <c:strRef>
              <c:f>All_Crimes!$AT$6:$AT$9</c:f>
              <c:strCache>
                <c:ptCount val="3"/>
                <c:pt idx="0">
                  <c:v>Morning Peak (08:00–11:59)</c:v>
                </c:pt>
                <c:pt idx="1">
                  <c:v>Afternoon (12:00–15:59)</c:v>
                </c:pt>
                <c:pt idx="2">
                  <c:v>Night (20:00–23:59)</c:v>
                </c:pt>
              </c:strCache>
            </c:strRef>
          </c:cat>
          <c:val>
            <c:numRef>
              <c:f>All_Crimes!$AV$6:$AV$9</c:f>
              <c:numCache>
                <c:formatCode>General</c:formatCode>
                <c:ptCount val="3"/>
                <c:pt idx="0">
                  <c:v>1</c:v>
                </c:pt>
                <c:pt idx="1">
                  <c:v>3</c:v>
                </c:pt>
                <c:pt idx="2">
                  <c:v>2</c:v>
                </c:pt>
              </c:numCache>
            </c:numRef>
          </c:val>
          <c:extLst>
            <c:ext xmlns:c16="http://schemas.microsoft.com/office/drawing/2014/chart" uri="{C3380CC4-5D6E-409C-BE32-E72D297353CC}">
              <c16:uniqueId val="{00000001-5504-4875-9762-B303DA12CD8E}"/>
            </c:ext>
          </c:extLst>
        </c:ser>
        <c:dLbls>
          <c:showLegendKey val="0"/>
          <c:showVal val="0"/>
          <c:showCatName val="0"/>
          <c:showSerName val="0"/>
          <c:showPercent val="0"/>
          <c:showBubbleSize val="0"/>
        </c:dLbls>
        <c:gapWidth val="187"/>
        <c:overlap val="-7"/>
        <c:axId val="104637583"/>
        <c:axId val="104628463"/>
      </c:barChart>
      <c:catAx>
        <c:axId val="104637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crossAx val="104628463"/>
        <c:crosses val="autoZero"/>
        <c:auto val="1"/>
        <c:lblAlgn val="ctr"/>
        <c:lblOffset val="100"/>
        <c:noMultiLvlLbl val="0"/>
      </c:catAx>
      <c:valAx>
        <c:axId val="1046284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crossAx val="104637583"/>
        <c:crosses val="autoZero"/>
        <c:crossBetween val="between"/>
      </c:valAx>
      <c:spPr>
        <a:solidFill>
          <a:schemeClr val="bg1">
            <a:lumMod val="85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Aptos ExtraBold" panose="020B0004020202020204" pitchFamily="34" charset="0"/>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solidFill>
        <a:schemeClr val="tx1">
          <a:lumMod val="15000"/>
          <a:lumOff val="85000"/>
        </a:schemeClr>
      </a:solidFill>
      <a:round/>
    </a:ln>
    <a:effectLst/>
  </c:spPr>
  <c:txPr>
    <a:bodyPr/>
    <a:lstStyle/>
    <a:p>
      <a:pPr>
        <a:defRPr sz="2400">
          <a:latin typeface="Aptos ExtraBold" panose="020B000402020202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fmtId val="-1"/>
  </c:pivotSource>
  <c:chart>
    <c:autoTitleDeleted val="0"/>
    <c:plotArea>
      <c:layout/>
      <c:barChart>
        <c:barDir val="col"/>
        <c:grouping val="clustered"/>
        <c:varyColors val="0"/>
        <c:dLbls>
          <c:showLegendKey val="0"/>
          <c:showVal val="0"/>
          <c:showCatName val="0"/>
          <c:showSerName val="0"/>
          <c:showPercent val="0"/>
          <c:showBubbleSize val="0"/>
        </c:dLbls>
        <c:gapWidth val="219"/>
        <c:overlap val="-27"/>
        <c:axId val="787468544"/>
        <c:axId val="787476224"/>
      </c:barChart>
      <c:catAx>
        <c:axId val="787468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7476224"/>
        <c:crosses val="autoZero"/>
        <c:auto val="1"/>
        <c:lblAlgn val="ctr"/>
        <c:lblOffset val="100"/>
        <c:noMultiLvlLbl val="0"/>
      </c:catAx>
      <c:valAx>
        <c:axId val="7874762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74685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49</xdr:col>
      <xdr:colOff>733425</xdr:colOff>
      <xdr:row>1</xdr:row>
      <xdr:rowOff>9525</xdr:rowOff>
    </xdr:from>
    <xdr:to>
      <xdr:col>79</xdr:col>
      <xdr:colOff>552450</xdr:colOff>
      <xdr:row>73</xdr:row>
      <xdr:rowOff>142875</xdr:rowOff>
    </xdr:to>
    <xdr:graphicFrame macro="">
      <xdr:nvGraphicFramePr>
        <xdr:cNvPr id="2" name="Chart 1">
          <a:extLst>
            <a:ext uri="{FF2B5EF4-FFF2-40B4-BE49-F238E27FC236}">
              <a16:creationId xmlns:a16="http://schemas.microsoft.com/office/drawing/2014/main" id="{505DD372-6C55-4B7B-F79F-F01570B4E08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1</xdr:row>
      <xdr:rowOff>0</xdr:rowOff>
    </xdr:from>
    <xdr:to>
      <xdr:col>11</xdr:col>
      <xdr:colOff>304800</xdr:colOff>
      <xdr:row>15</xdr:row>
      <xdr:rowOff>76200</xdr:rowOff>
    </xdr:to>
    <xdr:graphicFrame macro="">
      <xdr:nvGraphicFramePr>
        <xdr:cNvPr id="2" name="Chart 1">
          <a:extLst>
            <a:ext uri="{FF2B5EF4-FFF2-40B4-BE49-F238E27FC236}">
              <a16:creationId xmlns:a16="http://schemas.microsoft.com/office/drawing/2014/main" id="{EE3A776D-A881-C90A-F8B7-C427B2FCEE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797.662244444444" createdVersion="8" refreshedVersion="8" minRefreshableVersion="3" recordCount="12" xr:uid="{6C01DEB0-BC56-480A-B46A-337ED657C799}">
  <cacheSource type="worksheet">
    <worksheetSource name="Bur_Auto"/>
  </cacheSource>
  <cacheFields count="45">
    <cacheField name="Case Number" numFmtId="0">
      <sharedItems/>
    </cacheField>
    <cacheField name="INC_DATE" numFmtId="14">
      <sharedItems containsSemiMixedTypes="0" containsNonDate="0" containsDate="1" containsString="0" minDate="2025-01-06T00:00:00" maxDate="2025-04-10T00:00:00" count="11">
        <d v="2025-01-06T00:00:00"/>
        <d v="2025-01-25T00:00:00"/>
        <d v="2025-01-26T00:00:00"/>
        <d v="2025-02-13T00:00:00"/>
        <d v="2025-03-06T00:00:00"/>
        <d v="2025-03-09T00:00:00"/>
        <d v="2025-03-11T00:00:00"/>
        <d v="2025-03-23T00:00:00"/>
        <d v="2025-03-31T00:00:00"/>
        <d v="2025-04-01T00:00:00"/>
        <d v="2025-04-09T00:00:00"/>
      </sharedItems>
    </cacheField>
    <cacheField name="TIME_OF_DAY" numFmtId="0">
      <sharedItems count="4">
        <s v="Afternoon (12:00-15:59)"/>
        <s v="Evening Peak (16:00-19:59)"/>
        <s v="Night (20:00-23:59)"/>
        <s v="Morning (04:00-07:59)"/>
      </sharedItems>
    </cacheField>
    <cacheField name="Start of Hour" numFmtId="0">
      <sharedItems containsSemiMixedTypes="0" containsNonDate="0" containsDate="1" containsString="0" minDate="1899-12-30T04:00:00" maxDate="1899-12-30T23:00:00"/>
    </cacheField>
    <cacheField name="INC_TIME" numFmtId="0">
      <sharedItems containsSemiMixedTypes="0" containsNonDate="0" containsDate="1" containsString="0" minDate="1899-12-30T04:10:00" maxDate="1899-12-30T23:10:00"/>
    </cacheField>
    <cacheField name="Day Name" numFmtId="0">
      <sharedItems count="11">
        <s v="Mon"/>
        <s v="Sat"/>
        <s v="Sun"/>
        <s v="Thur"/>
        <s v="Tue"/>
        <s v="Wed"/>
        <s v="Monday" u="1"/>
        <s v="Saturday" u="1"/>
        <s v="Sunday" u="1"/>
        <s v="Thursday" u="1"/>
        <s v="Tuesday" u="1"/>
      </sharedItems>
    </cacheField>
    <cacheField name="Month Name" numFmtId="0">
      <sharedItems/>
    </cacheField>
    <cacheField name="BLOCK" numFmtId="0">
      <sharedItems/>
    </cacheField>
    <cacheField name="Location" numFmtId="0">
      <sharedItems/>
    </cacheField>
    <cacheField name="ALL_INCIDENTS" numFmtId="0">
      <sharedItems count="3">
        <s v="Burglary - Auto"/>
        <s v="Burglary - Auto, Theft"/>
        <s v="Burglary - Auto, Criminal Mischief - Vehicle"/>
      </sharedItems>
    </cacheField>
    <cacheField name="Incident Type_1" numFmtId="0">
      <sharedItems/>
    </cacheField>
    <cacheField name="Incident Type_2" numFmtId="0">
      <sharedItems/>
    </cacheField>
    <cacheField name="Incident Type_3" numFmtId="0">
      <sharedItems/>
    </cacheField>
    <cacheField name="FullAddress" numFmtId="0">
      <sharedItems/>
    </cacheField>
    <cacheField name="Grid" numFmtId="0">
      <sharedItems containsBlank="1"/>
    </cacheField>
    <cacheField name="Zone" numFmtId="0">
      <sharedItems containsString="0" containsBlank="1" containsNumber="1" containsInteger="1" minValue="5" maxValue="9"/>
    </cacheField>
    <cacheField name="Narrative" numFmtId="0">
      <sharedItems longText="1"/>
    </cacheField>
    <cacheField name="Total Value Stolen" numFmtId="0">
      <sharedItems containsString="0" containsBlank="1" containsNumber="1" containsInteger="1" minValue="2" maxValue="5"/>
    </cacheField>
    <cacheField name="Total Value Recover" numFmtId="0">
      <sharedItems containsString="0" containsBlank="1" containsNumber="1" containsInteger="1" minValue="0" maxValue="0"/>
    </cacheField>
    <cacheField name="Registration 1" numFmtId="0">
      <sharedItems/>
    </cacheField>
    <cacheField name="Make1" numFmtId="0">
      <sharedItems/>
    </cacheField>
    <cacheField name="Model1" numFmtId="0">
      <sharedItems/>
    </cacheField>
    <cacheField name="Reg State 1" numFmtId="0">
      <sharedItems/>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 Classification" numFmtId="0">
      <sharedItems containsBlank="1"/>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2" maxValue="15"/>
    </cacheField>
    <cacheField name="Week of Month" numFmtId="0">
      <sharedItems containsSemiMixedTypes="0" containsString="0" containsNumber="1" containsInteger="1" minValue="1" maxValue="6"/>
    </cacheField>
    <cacheField name="Day" numFmtId="0">
      <sharedItems containsSemiMixedTypes="0" containsString="0" containsNumber="1" containsInteger="1" minValue="1" maxValue="31"/>
    </cacheField>
    <cacheField name="Day of Year" numFmtId="0">
      <sharedItems containsSemiMixedTypes="0" containsString="0" containsNumber="1" containsInteger="1" minValue="6" maxValue="99"/>
    </cacheField>
    <cacheField name="INC_DATE_AND_TIME" numFmtId="22">
      <sharedItems containsSemiMixedTypes="0" containsNonDate="0" containsDate="1" containsString="0" minDate="2025-01-06T15:30:00" maxDate="2025-04-09T23:10:00"/>
    </cacheField>
    <cacheField name="St#" numFmtId="0">
      <sharedItems containsString="0" containsBlank="1" containsNumber="1" containsInteger="1" minValue="5" maxValue="310"/>
    </cacheField>
    <cacheField name="Notes" numFmtId="0">
      <sharedItems longText="1"/>
    </cacheField>
    <cacheField name="VEHICLE" numFmtId="0">
      <sharedItems/>
    </cacheField>
    <cacheField name="Suspect" numFmtId="0">
      <sharedItems longText="1"/>
    </cacheField>
    <cacheField name="TOTAL_STOLEN_AMOUNT" numFmtId="0">
      <sharedItems longText="1"/>
    </cacheField>
    <cacheField name="REPORT_CYCLE"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805.670336689815" createdVersion="8" refreshedVersion="8" minRefreshableVersion="3" recordCount="12" xr:uid="{1DC8B163-4D8C-4028-BC7D-099CD2E74112}">
  <cacheSource type="worksheet">
    <worksheetSource name="Robbery"/>
  </cacheSource>
  <cacheFields count="59">
    <cacheField name="Case Number" numFmtId="0">
      <sharedItems/>
    </cacheField>
    <cacheField name="IncidentDate" numFmtId="0">
      <sharedItems containsString="0" containsBlank="1" containsNumber="1" containsInteger="1" minValue="45670" maxValue="45777"/>
    </cacheField>
    <cacheField name="Incident Time" numFmtId="22">
      <sharedItems containsNonDate="0" containsDate="1" containsString="0" containsBlank="1" minDate="1899-12-30T02:00:00" maxDate="1899-12-30T21:03:00"/>
    </cacheField>
    <cacheField name="Incident Date_Between" numFmtId="14">
      <sharedItems containsNonDate="0" containsDate="1" containsString="0" containsBlank="1" minDate="2025-01-16T00:00:00" maxDate="2025-02-03T00:00:00"/>
    </cacheField>
    <cacheField name="Incident Time_Between" numFmtId="168">
      <sharedItems containsNonDate="0" containsDate="1" containsString="0" containsBlank="1" minDate="1899-12-30T18:00:00" maxDate="1899-12-30T21:16:00"/>
    </cacheField>
    <cacheField name="Report Date" numFmtId="14">
      <sharedItems containsSemiMixedTypes="0" containsNonDate="0" containsDate="1" containsString="0" minDate="2025-01-13T00:00:00" maxDate="2025-05-01T00:00:00"/>
    </cacheField>
    <cacheField name="Report Time" numFmtId="168">
      <sharedItems containsSemiMixedTypes="0" containsNonDate="0" containsDate="1" containsString="0" minDate="1899-12-30T08:30:00" maxDate="1899-12-30T23:27:52"/>
    </cacheField>
    <cacheField name="Incident Type_1" numFmtId="0">
      <sharedItems/>
    </cacheField>
    <cacheField name="Incident Type_2" numFmtId="0">
      <sharedItems containsBlank="1"/>
    </cacheField>
    <cacheField name="Incident Type_3" numFmtId="0">
      <sharedItems containsBlank="1"/>
    </cacheField>
    <cacheField name="FullAddress" numFmtId="0">
      <sharedItems/>
    </cacheField>
    <cacheField name="Grid" numFmtId="0">
      <sharedItems containsBlank="1"/>
    </cacheField>
    <cacheField name="Zone" numFmtId="0">
      <sharedItems containsString="0" containsBlank="1"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Blank="1"/>
    </cacheField>
    <cacheField name="Reg State 2" numFmtId="0">
      <sharedItems containsNonDate="0" containsString="0" containsBlank="1"/>
    </cacheField>
    <cacheField name="Make2" numFmtId="0">
      <sharedItems containsBlank="1"/>
    </cacheField>
    <cacheField name="Model2" numFmtId="0">
      <sharedItems containsNonDate="0" containsString="0" containsBlank="1"/>
    </cacheField>
    <cacheField name="Reviewed By" numFmtId="0">
      <sharedItems containsBlank="1"/>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13T00:00:00" maxDate="2025-05-01T00:00:00"/>
    </cacheField>
    <cacheField name="IncTime" numFmtId="168">
      <sharedItems containsSemiMixedTypes="0" containsNonDate="0" containsDate="1" containsString="0" minDate="1899-12-30T02:00:00" maxDate="1899-12-30T21:03:00"/>
    </cacheField>
    <cacheField name="StartOfHour" numFmtId="168">
      <sharedItems containsSemiMixedTypes="0" containsNonDate="0" containsDate="1" containsString="0" minDate="1899-12-30T02:00:00" maxDate="1899-12-30T21:00:00"/>
    </cacheField>
    <cacheField name="TimeOfDay" numFmtId="0">
      <sharedItems/>
    </cacheField>
    <cacheField name="ALL_INCIDENTS" numFmtId="0">
      <sharedItems/>
    </cacheField>
    <cacheField name="INC_TIME" numFmtId="168">
      <sharedItems containsSemiMixedTypes="0" containsNonDate="0" containsDate="1" containsString="0" minDate="1899-12-30T02:00:00" maxDate="1899-12-30T21:03:00"/>
    </cacheField>
    <cacheField name="INC_DATE" numFmtId="14">
      <sharedItems containsSemiMixedTypes="0" containsNonDate="0" containsDate="1" containsString="0" minDate="2025-01-13T00:00:00" maxDate="2025-05-01T00:00:00"/>
    </cacheField>
    <cacheField name="Start of Hour" numFmtId="168">
      <sharedItems containsSemiMixedTypes="0" containsNonDate="0" containsDate="1" containsString="0" minDate="1899-12-30T02:00:00" maxDate="1899-12-30T21:00:00"/>
    </cacheField>
    <cacheField name="INC_DATE_AND_TIME" numFmtId="22">
      <sharedItems containsNonDate="0" containsString="0" containsBlank="1"/>
    </cacheField>
    <cacheField name="TOD" numFmtId="0">
      <sharedItems/>
    </cacheField>
    <cacheField name="Day Name" numFmtId="0">
      <sharedItems/>
    </cacheField>
    <cacheField name="Month Name" numFmtId="0">
      <sharedItems/>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3" maxValue="18"/>
    </cacheField>
    <cacheField name="Week of Month" numFmtId="0">
      <sharedItems containsSemiMixedTypes="0" containsString="0" containsNumber="1" containsInteger="1" minValue="2" maxValue="5"/>
    </cacheField>
    <cacheField name="Day" numFmtId="0">
      <sharedItems containsSemiMixedTypes="0" containsString="0" containsNumber="1" containsInteger="1" minValue="2" maxValue="30"/>
    </cacheField>
    <cacheField name="Day of Year" numFmtId="0">
      <sharedItems containsSemiMixedTypes="0" containsString="0" containsNumber="1" containsInteger="1" minValue="13" maxValue="120"/>
    </cacheField>
    <cacheField name="BLOCK" numFmtId="0">
      <sharedItems/>
    </cacheField>
    <cacheField name="Location" numFmtId="0">
      <sharedItems/>
    </cacheField>
    <cacheField name="St#" numFmtId="0">
      <sharedItems containsNonDate="0" containsString="0" containsBlank="1"/>
    </cacheField>
    <cacheField name="Notes" numFmtId="0">
      <sharedItems containsNonDate="0" containsString="0" containsBlank="1"/>
    </cacheField>
    <cacheField name="VEHICLE" numFmtId="0">
      <sharedItems containsBlank="1"/>
    </cacheField>
    <cacheField name="Suspect" numFmtId="0">
      <sharedItems containsNonDate="0" containsString="0" containsBlank="1"/>
    </cacheField>
    <cacheField name="TOTAL_STOLEN_AMOUNT" numFmtId="0">
      <sharedItems containsNonDate="0" containsString="0" containsBlank="1"/>
    </cacheField>
    <cacheField name="REPORT_CYCLE" numFmtId="0">
      <sharedItems containsNonDate="0" containsString="0" containsBlank="1"/>
    </cacheField>
    <cacheField name="TIME_OF_DAY" numFmtId="0">
      <sharedItems/>
    </cacheField>
    <cacheField name="Enhanced_TimeOfDay" numFmtId="0">
      <sharedItems count="5">
        <s v="Afternoon (12:00–15:59)"/>
        <s v="Night (20:00–23:59)"/>
        <s v="Evening Peak (16:00–19:59)"/>
        <s v="Early Morning (00:00–03:59)"/>
        <s v="Morning Peak (08:00–11:59)"/>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bert A. Carucci" refreshedDate="45805.708216550927" createdVersion="8" refreshedVersion="8" minRefreshableVersion="3" recordCount="14" xr:uid="{527BE24B-7166-4B40-B815-123A4A5BC53F}">
  <cacheSource type="worksheet">
    <worksheetSource name="Sexual_Offenses"/>
  </cacheSource>
  <cacheFields count="65">
    <cacheField name="Case Number" numFmtId="0">
      <sharedItems/>
    </cacheField>
    <cacheField name="IncidentDate" numFmtId="14">
      <sharedItems containsSemiMixedTypes="0" containsNonDate="0" containsDate="1" containsString="0" minDate="2017-06-20T00:00:00" maxDate="2025-05-28T00:00:00"/>
    </cacheField>
    <cacheField name="Incident Time" numFmtId="20">
      <sharedItems containsNonDate="0" containsDate="1" containsString="0" containsBlank="1" minDate="1899-12-30T02:00:00" maxDate="1899-12-30T23:27:00"/>
    </cacheField>
    <cacheField name="Incident Date_Between" numFmtId="14">
      <sharedItems containsNonDate="0" containsDate="1" containsString="0" containsBlank="1" minDate="2024-09-20T00:00:00" maxDate="2025-03-24T00:00:00"/>
    </cacheField>
    <cacheField name="Incident Time_Between" numFmtId="168">
      <sharedItems containsNonDate="0" containsDate="1" containsString="0" containsBlank="1" minDate="1899-12-30T15:24:00" maxDate="1899-12-30T23:45:00"/>
    </cacheField>
    <cacheField name="Report Date" numFmtId="14">
      <sharedItems containsSemiMixedTypes="0" containsNonDate="0" containsDate="1" containsString="0" minDate="2025-01-10T00:00:00" maxDate="2025-05-27T00:00:00"/>
    </cacheField>
    <cacheField name="Report Time" numFmtId="168">
      <sharedItems containsSemiMixedTypes="0" containsNonDate="0" containsDate="1" containsString="0" minDate="1899-12-30T06:37:50" maxDate="1899-12-30T23:39:25"/>
    </cacheField>
    <cacheField name="Incident Type_1" numFmtId="0">
      <sharedItems/>
    </cacheField>
    <cacheField name="Incident Type_2" numFmtId="0">
      <sharedItems containsBlank="1"/>
    </cacheField>
    <cacheField name="Incident Type_3" numFmtId="0">
      <sharedItems containsBlank="1"/>
    </cacheField>
    <cacheField name="FullAddress" numFmtId="0">
      <sharedItems/>
    </cacheField>
    <cacheField name="Grid" numFmtId="0">
      <sharedItems/>
    </cacheField>
    <cacheField name="Zone" numFmtId="0">
      <sharedItems containsString="0" containsBlank="1" containsNumber="1" containsInteger="1" minValue="5" maxValue="9"/>
    </cacheField>
    <cacheField name="Narrative" numFmtId="0">
      <sharedItems longText="1"/>
    </cacheField>
    <cacheField name="Total Value Stolen" numFmtId="0">
      <sharedItems containsNonDate="0" containsString="0" containsBlank="1"/>
    </cacheField>
    <cacheField name="Total Value Recover"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Blank="1"/>
    </cacheField>
    <cacheField name="Reg State 2" numFmtId="0">
      <sharedItems containsNonDate="0" containsString="0" containsBlank="1"/>
    </cacheField>
    <cacheField name="Make2" numFmtId="0">
      <sharedItems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ontainsBlank="1"/>
    </cacheField>
    <cacheField name="Case_Status" numFmtId="0">
      <sharedItems containsBlank="1"/>
    </cacheField>
    <cacheField name="Nibrs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17-06-20T00:00:00" maxDate="2025-05-28T00:00:00" count="14">
        <d v="2025-01-07T00:00:00"/>
        <d v="2025-01-23T00:00:00"/>
        <d v="2025-02-13T00:00:00"/>
        <d v="2025-02-17T00:00:00"/>
        <d v="2017-06-20T00:00:00"/>
        <d v="2025-04-02T00:00:00"/>
        <d v="2025-03-23T00:00:00"/>
        <d v="2025-04-24T00:00:00"/>
        <d v="2025-04-27T00:00:00"/>
        <d v="2025-05-12T00:00:00"/>
        <d v="2025-05-11T00:00:00"/>
        <d v="2025-05-13T00:00:00"/>
        <d v="2025-05-24T00:00:00"/>
        <d v="2025-05-27T00:00:00"/>
      </sharedItems>
      <fieldGroup par="64"/>
    </cacheField>
    <cacheField name="IncTime" numFmtId="168">
      <sharedItems containsSemiMixedTypes="0" containsNonDate="0" containsDate="1" containsString="0" minDate="1899-12-30T02:00:00" maxDate="1899-12-30T23:27:00"/>
    </cacheField>
    <cacheField name="StartOfHour" numFmtId="168">
      <sharedItems containsSemiMixedTypes="0" containsNonDate="0" containsDate="1" containsString="0" minDate="1899-12-30T02:00:00" maxDate="1899-12-30T23:00:00"/>
    </cacheField>
    <cacheField name="TimeOfDay" numFmtId="0">
      <sharedItems/>
    </cacheField>
    <cacheField name="Block" numFmtId="0">
      <sharedItems/>
    </cacheField>
    <cacheField name="AllIncidents" numFmtId="0">
      <sharedItems/>
    </cacheField>
    <cacheField name="Period" numFmtId="0">
      <sharedItems count="4">
        <s v="YTD"/>
        <s v="Historical"/>
        <s v="28-Day"/>
        <s v="7-Day"/>
      </sharedItems>
    </cacheField>
    <cacheField name="ALL_INCIDENTS" numFmtId="0">
      <sharedItems/>
    </cacheField>
    <cacheField name="INC_TIME" numFmtId="168">
      <sharedItems containsSemiMixedTypes="0" containsNonDate="0" containsDate="1" containsString="0" minDate="1899-12-30T02:00:00" maxDate="1899-12-30T23:27:00"/>
    </cacheField>
    <cacheField name="INC_DATE" numFmtId="14">
      <sharedItems containsSemiMixedTypes="0" containsNonDate="0" containsDate="1" containsString="0" minDate="2017-06-20T00:00:00" maxDate="2025-05-28T00:00:00"/>
    </cacheField>
    <cacheField name="Start of Hour" numFmtId="168">
      <sharedItems containsSemiMixedTypes="0" containsNonDate="0" containsDate="1" containsString="0" minDate="1899-12-30T02:00:00" maxDate="1899-12-30T23:00:00"/>
    </cacheField>
    <cacheField name="INC_DATE_AND_TIME" numFmtId="22">
      <sharedItems containsNonDate="0" containsString="0" containsBlank="1"/>
    </cacheField>
    <cacheField name="TOD" numFmtId="0">
      <sharedItems/>
    </cacheField>
    <cacheField name="Day Name" numFmtId="0">
      <sharedItems count="6">
        <s v="Tuesday"/>
        <s v="Thursday"/>
        <s v="Monday"/>
        <s v="Wednesday"/>
        <s v="Sunday"/>
        <s v="Saturday"/>
      </sharedItems>
    </cacheField>
    <cacheField name="Month Name" numFmtId="0">
      <sharedItems/>
    </cacheField>
    <cacheField name="Year" numFmtId="0">
      <sharedItems containsSemiMixedTypes="0" containsString="0" containsNumber="1" containsInteger="1" minValue="2017" maxValue="2025"/>
    </cacheField>
    <cacheField name="Week of Year" numFmtId="0">
      <sharedItems containsSemiMixedTypes="0" containsString="0" containsNumber="1" containsInteger="1" minValue="2" maxValue="25"/>
    </cacheField>
    <cacheField name="Week of Month" numFmtId="0">
      <sharedItems containsSemiMixedTypes="0" containsString="0" containsNumber="1" containsInteger="1" minValue="1" maxValue="5"/>
    </cacheField>
    <cacheField name="Day" numFmtId="0">
      <sharedItems containsSemiMixedTypes="0" containsString="0" containsNumber="1" containsInteger="1" minValue="2" maxValue="27"/>
    </cacheField>
    <cacheField name="Day of Year" numFmtId="0">
      <sharedItems containsSemiMixedTypes="0" containsString="0" containsNumber="1" containsInteger="1" minValue="7" maxValue="171"/>
    </cacheField>
    <cacheField name="BLOCK2" numFmtId="0">
      <sharedItems/>
    </cacheField>
    <cacheField name="Location" numFmtId="0">
      <sharedItems/>
    </cacheField>
    <cacheField name="St#" numFmtId="0">
      <sharedItems containsNonDate="0" containsString="0" containsBlank="1"/>
    </cacheField>
    <cacheField name="Notes" numFmtId="0">
      <sharedItems containsNonDate="0" containsString="0" containsBlank="1"/>
    </cacheField>
    <cacheField name="VEHICLE" numFmtId="0">
      <sharedItems containsBlank="1"/>
    </cacheField>
    <cacheField name="Suspect" numFmtId="0">
      <sharedItems containsNonDate="0" containsString="0" containsBlank="1"/>
    </cacheField>
    <cacheField name="TOTAL_STOLEN_AMOUNT" numFmtId="0">
      <sharedItems containsNonDate="0" containsString="0" containsBlank="1"/>
    </cacheField>
    <cacheField name="REPORT_CYCLE" numFmtId="0">
      <sharedItems containsNonDate="0" containsString="0" containsBlank="1"/>
    </cacheField>
    <cacheField name="TIME_OF_DAY" numFmtId="0">
      <sharedItems/>
    </cacheField>
    <cacheField name="Enhanced_TimeOfDay" numFmtId="0">
      <sharedItems count="6">
        <s v="Afternoon (12:00–15:59)"/>
        <s v="Early Morning (00:00–03:59)"/>
        <s v="Night (20:00–23:59)"/>
        <s v="Morning Peak (08:00–11:59)"/>
        <s v="Evening Peak (16:00–19:59)"/>
        <s v="Morning (04:00–07:59)"/>
      </sharedItems>
    </cacheField>
    <cacheField name="Months (Incident Date)" numFmtId="0" databaseField="0">
      <fieldGroup base="32">
        <rangePr groupBy="months" startDate="2017-06-20T00:00:00" endDate="2025-05-28T00:00:00"/>
        <groupItems count="14">
          <s v="&lt;6/20/2017"/>
          <s v="Jan"/>
          <s v="Feb"/>
          <s v="Mar"/>
          <s v="Apr"/>
          <s v="May"/>
          <s v="Jun"/>
          <s v="Jul"/>
          <s v="Aug"/>
          <s v="Sep"/>
          <s v="Oct"/>
          <s v="Nov"/>
          <s v="Dec"/>
          <s v="&gt;5/28/2025"/>
        </groupItems>
      </fieldGroup>
    </cacheField>
    <cacheField name="Quarters (Incident Date)" numFmtId="0" databaseField="0">
      <fieldGroup base="32">
        <rangePr groupBy="quarters" startDate="2017-06-20T00:00:00" endDate="2025-05-28T00:00:00"/>
        <groupItems count="6">
          <s v="&lt;6/20/2017"/>
          <s v="Qtr1"/>
          <s v="Qtr2"/>
          <s v="Qtr3"/>
          <s v="Qtr4"/>
          <s v="&gt;5/28/2025"/>
        </groupItems>
      </fieldGroup>
    </cacheField>
    <cacheField name="Years (Incident Date)" numFmtId="0" databaseField="0">
      <fieldGroup base="32">
        <rangePr groupBy="years" startDate="2017-06-20T00:00:00" endDate="2025-05-28T00:00:00"/>
        <groupItems count="11">
          <s v="&lt;6/20/2017"/>
          <s v="2017"/>
          <s v="2018"/>
          <s v="2019"/>
          <s v="2020"/>
          <s v="2021"/>
          <s v="2022"/>
          <s v="2023"/>
          <s v="2024"/>
          <s v="2025"/>
          <s v="&gt;5/28/2025"/>
        </groupItems>
      </fieldGroup>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Robert A. Carucci" refreshedDate="45805.761322569444" backgroundQuery="1" createdVersion="8" refreshedVersion="8" minRefreshableVersion="3" recordCount="0" supportSubquery="1" supportAdvancedDrill="1" xr:uid="{6BF035B7-2BE0-49AD-9E55-C883D30A7CED}">
  <cacheSource type="external" connectionId="18"/>
  <cacheFields count="4">
    <cacheField name="[All_Crimes].[Enhanced_TimeOfDay].[Enhanced_TimeOfDay]" caption="Enhanced_TimeOfDay" numFmtId="0" hierarchy="34" level="1">
      <sharedItems count="3">
        <s v="Afternoon (12:00–15:59)"/>
        <s v="Morning Peak (08:00–11:59)"/>
        <s v="Night (20:00–23:59)"/>
      </sharedItems>
    </cacheField>
    <cacheField name="[All_Crimes].[Period].[Period]" caption="Period" numFmtId="0" hierarchy="31" level="1">
      <sharedItems count="4">
        <s v="28-Day"/>
        <s v="YTD"/>
        <s v="7-Day" u="1"/>
        <s v="Historical" u="1"/>
      </sharedItems>
    </cacheField>
    <cacheField name="[Measures].[Count of Case Number]" caption="Count of Case Number" numFmtId="0" hierarchy="44" level="32767"/>
    <cacheField name="[All_Crimes].[ALL_INCIDENTS].[ALL_INCIDENTS]" caption="ALL_INCIDENTS" numFmtId="0" hierarchy="30" level="1">
      <sharedItems containsSemiMixedTypes="0" containsNonDate="0" containsString="0"/>
    </cacheField>
  </cacheFields>
  <cacheHierarchies count="45">
    <cacheHierarchy uniqueName="[All_Crimes].[Case Number]" caption="Case Number" attribute="1" defaultMemberUniqueName="[All_Crimes].[Case Number].[All]" allUniqueName="[All_Crimes].[Case Number].[All]" dimensionUniqueName="[All_Crimes]" displayFolder="" count="0" memberValueDatatype="130" unbalanced="0"/>
    <cacheHierarchy uniqueName="[All_Crimes].[IncidentDate]" caption="IncidentDate" attribute="1" time="1" defaultMemberUniqueName="[All_Crimes].[IncidentDate].[All]" allUniqueName="[All_Crimes].[IncidentDate].[All]" dimensionUniqueName="[All_Crimes]" displayFolder="" count="0" memberValueDatatype="7" unbalanced="0"/>
    <cacheHierarchy uniqueName="[All_Crimes].[Incident Time]" caption="Incident Time" attribute="1" time="1" defaultMemberUniqueName="[All_Crimes].[Incident Time].[All]" allUniqueName="[All_Crimes].[Incident Time].[All]" dimensionUniqueName="[All_Crimes]" displayFolder="" count="0" memberValueDatatype="7" unbalanced="0"/>
    <cacheHierarchy uniqueName="[All_Crimes].[Incident Type_1]" caption="Incident Type_1" attribute="1" defaultMemberUniqueName="[All_Crimes].[Incident Type_1].[All]" allUniqueName="[All_Crimes].[Incident Type_1].[All]" dimensionUniqueName="[All_Crimes]" displayFolder="" count="2" memberValueDatatype="130" unbalanced="0"/>
    <cacheHierarchy uniqueName="[All_Crimes].[Incident Type_2]" caption="Incident Type_2" attribute="1" defaultMemberUniqueName="[All_Crimes].[Incident Type_2].[All]" allUniqueName="[All_Crimes].[Incident Type_2].[All]" dimensionUniqueName="[All_Crimes]" displayFolder="" count="0" memberValueDatatype="130" unbalanced="0"/>
    <cacheHierarchy uniqueName="[All_Crimes].[Incident Type_3]" caption="Incident Type_3" attribute="1" defaultMemberUniqueName="[All_Crimes].[Incident Type_3].[All]" allUniqueName="[All_Crimes].[Incident Type_3].[All]" dimensionUniqueName="[All_Crimes]" displayFolder="" count="0" memberValueDatatype="130" unbalanced="0"/>
    <cacheHierarchy uniqueName="[All_Crimes].[FullAddress]" caption="FullAddress" attribute="1" defaultMemberUniqueName="[All_Crimes].[FullAddress].[All]" allUniqueName="[All_Crimes].[FullAddress].[All]" dimensionUniqueName="[All_Crimes]" displayFolder="" count="0" memberValueDatatype="130" unbalanced="0"/>
    <cacheHierarchy uniqueName="[All_Crimes].[Grid]" caption="Grid" attribute="1" defaultMemberUniqueName="[All_Crimes].[Grid].[All]" allUniqueName="[All_Crimes].[Grid].[All]" dimensionUniqueName="[All_Crimes]" displayFolder="" count="0" memberValueDatatype="130" unbalanced="0"/>
    <cacheHierarchy uniqueName="[All_Crimes].[Zone]" caption="Zone" attribute="1" defaultMemberUniqueName="[All_Crimes].[Zone].[All]" allUniqueName="[All_Crimes].[Zone].[All]" dimensionUniqueName="[All_Crimes]" displayFolder="" count="0" memberValueDatatype="20" unbalanced="0"/>
    <cacheHierarchy uniqueName="[All_Crimes].[Narrative]" caption="Narrative" attribute="1" defaultMemberUniqueName="[All_Crimes].[Narrative].[All]" allUniqueName="[All_Crimes].[Narrative].[All]" dimensionUniqueName="[All_Crimes]" displayFolder="" count="0" memberValueDatatype="130" unbalanced="0"/>
    <cacheHierarchy uniqueName="[All_Crimes].[Total Value Stolen]" caption="Total Value Stolen" attribute="1" defaultMemberUniqueName="[All_Crimes].[Total Value Stolen].[All]" allUniqueName="[All_Crimes].[Total Value Stolen].[All]" dimensionUniqueName="[All_Crimes]" displayFolder="" count="0" memberValueDatatype="20" unbalanced="0"/>
    <cacheHierarchy uniqueName="[All_Crimes].[Total Value Recover]" caption="Total Value Recover" attribute="1" defaultMemberUniqueName="[All_Crimes].[Total Value Recover].[All]" allUniqueName="[All_Crimes].[Total Value Recover].[All]" dimensionUniqueName="[All_Crimes]" displayFolder="" count="0" memberValueDatatype="20" unbalanced="0"/>
    <cacheHierarchy uniqueName="[All_Crimes].[Registration 1]" caption="Registration 1" attribute="1" defaultMemberUniqueName="[All_Crimes].[Registration 1].[All]" allUniqueName="[All_Crimes].[Registration 1].[All]" dimensionUniqueName="[All_Crimes]" displayFolder="" count="0" memberValueDatatype="130" unbalanced="0"/>
    <cacheHierarchy uniqueName="[All_Crimes].[Make1]" caption="Make1" attribute="1" defaultMemberUniqueName="[All_Crimes].[Make1].[All]" allUniqueName="[All_Crimes].[Make1].[All]" dimensionUniqueName="[All_Crimes]" displayFolder="" count="0" memberValueDatatype="130" unbalanced="0"/>
    <cacheHierarchy uniqueName="[All_Crimes].[Model1]" caption="Model1" attribute="1" defaultMemberUniqueName="[All_Crimes].[Model1].[All]" allUniqueName="[All_Crimes].[Model1].[All]" dimensionUniqueName="[All_Crimes]" displayFolder="" count="0" memberValueDatatype="130" unbalanced="0"/>
    <cacheHierarchy uniqueName="[All_Crimes].[Reg State 1]" caption="Reg State 1" attribute="1" defaultMemberUniqueName="[All_Crimes].[Reg State 1].[All]" allUniqueName="[All_Crimes].[Reg State 1].[All]" dimensionUniqueName="[All_Crimes]" displayFolder="" count="0" memberValueDatatype="130" unbalanced="0"/>
    <cacheHierarchy uniqueName="[All_Crimes].[Registration 2]" caption="Registration 2" attribute="1" defaultMemberUniqueName="[All_Crimes].[Registration 2].[All]" allUniqueName="[All_Crimes].[Registration 2].[All]" dimensionUniqueName="[All_Crimes]" displayFolder="" count="0" memberValueDatatype="130" unbalanced="0"/>
    <cacheHierarchy uniqueName="[All_Crimes].[Reg State 2]" caption="Reg State 2" attribute="1" defaultMemberUniqueName="[All_Crimes].[Reg State 2].[All]" allUniqueName="[All_Crimes].[Reg State 2].[All]" dimensionUniqueName="[All_Crimes]" displayFolder="" count="0" memberValueDatatype="130" unbalanced="0"/>
    <cacheHierarchy uniqueName="[All_Crimes].[Make2]" caption="Make2" attribute="1" defaultMemberUniqueName="[All_Crimes].[Make2].[All]" allUniqueName="[All_Crimes].[Make2].[All]" dimensionUniqueName="[All_Crimes]" displayFolder="" count="0" memberValueDatatype="130" unbalanced="0"/>
    <cacheHierarchy uniqueName="[All_Crimes].[Model2]" caption="Model2" attribute="1" defaultMemberUniqueName="[All_Crimes].[Model2].[All]" allUniqueName="[All_Crimes].[Model2].[All]" dimensionUniqueName="[All_Crimes]" displayFolder="" count="0" memberValueDatatype="130" unbalanced="0"/>
    <cacheHierarchy uniqueName="[All_Crimes].[Reviewed By]" caption="Reviewed By" attribute="1" defaultMemberUniqueName="[All_Crimes].[Reviewed By].[All]" allUniqueName="[All_Crimes].[Reviewed By].[All]" dimensionUniqueName="[All_Crimes]" displayFolder="" count="0" memberValueDatatype="130" unbalanced="0"/>
    <cacheHierarchy uniqueName="[All_Crimes].[Officer of Record]" caption="Officer of Record" attribute="1" defaultMemberUniqueName="[All_Crimes].[Officer of Record].[All]" allUniqueName="[All_Crimes].[Officer of Record].[All]" dimensionUniqueName="[All_Crimes]" displayFolder="" count="0" memberValueDatatype="130" unbalanced="0"/>
    <cacheHierarchy uniqueName="[All_Crimes].[Squad]" caption="Squad" attribute="1" defaultMemberUniqueName="[All_Crimes].[Squad].[All]" allUniqueName="[All_Crimes].[Squad].[All]" dimensionUniqueName="[All_Crimes]" displayFolder="" count="0" memberValueDatatype="130" unbalanced="0"/>
    <cacheHierarchy uniqueName="[All_Crimes].[Det_Assigned]" caption="Det_Assigned" attribute="1" defaultMemberUniqueName="[All_Crimes].[Det_Assigned].[All]" allUniqueName="[All_Crimes].[Det_Assigned].[All]" dimensionUniqueName="[All_Crimes]" displayFolder="" count="0" memberValueDatatype="130" unbalanced="0"/>
    <cacheHierarchy uniqueName="[All_Crimes].[Case_Status]" caption="Case_Status" attribute="1" defaultMemberUniqueName="[All_Crimes].[Case_Status].[All]" allUniqueName="[All_Crimes].[Case_Status].[All]" dimensionUniqueName="[All_Crimes]" displayFolder="" count="0" memberValueDatatype="130" unbalanced="0"/>
    <cacheHierarchy uniqueName="[All_Crimes].[NibrsClassification]" caption="NibrsClassification" attribute="1" defaultMemberUniqueName="[All_Crimes].[NibrsClassification].[All]" allUniqueName="[All_Crimes].[NibrsClassification].[All]" dimensionUniqueName="[All_Crimes]" displayFolder="" count="0" memberValueDatatype="130" unbalanced="0"/>
    <cacheHierarchy uniqueName="[All_Crimes].[IncDate]" caption="IncDate" attribute="1" time="1" defaultMemberUniqueName="[All_Crimes].[IncDate].[All]" allUniqueName="[All_Crimes].[IncDate].[All]" dimensionUniqueName="[All_Crimes]" displayFolder="" count="0" memberValueDatatype="7" unbalanced="0"/>
    <cacheHierarchy uniqueName="[All_Crimes].[IncTime]" caption="IncTime" attribute="1" time="1" defaultMemberUniqueName="[All_Crimes].[IncTime].[All]" allUniqueName="[All_Crimes].[IncTime].[All]" dimensionUniqueName="[All_Crimes]" displayFolder="" count="0" memberValueDatatype="7" unbalanced="0"/>
    <cacheHierarchy uniqueName="[All_Crimes].[StartOfHour]" caption="StartOfHour" attribute="1" time="1" defaultMemberUniqueName="[All_Crimes].[StartOfHour].[All]" allUniqueName="[All_Crimes].[StartOfHour].[All]" dimensionUniqueName="[All_Crimes]" displayFolder="" count="0" memberValueDatatype="7" unbalanced="0"/>
    <cacheHierarchy uniqueName="[All_Crimes].[TimeOfDay]" caption="TimeOfDay" attribute="1" defaultMemberUniqueName="[All_Crimes].[TimeOfDay].[All]" allUniqueName="[All_Crimes].[TimeOfDay].[All]" dimensionUniqueName="[All_Crimes]" displayFolder="" count="0" memberValueDatatype="130" unbalanced="0"/>
    <cacheHierarchy uniqueName="[All_Crimes].[ALL_INCIDENTS]" caption="ALL_INCIDENTS" attribute="1" defaultMemberUniqueName="[All_Crimes].[ALL_INCIDENTS].[All]" allUniqueName="[All_Crimes].[ALL_INCIDENTS].[All]" dimensionUniqueName="[All_Crimes]" displayFolder="" count="2" memberValueDatatype="130" unbalanced="0">
      <fieldsUsage count="2">
        <fieldUsage x="-1"/>
        <fieldUsage x="3"/>
      </fieldsUsage>
    </cacheHierarchy>
    <cacheHierarchy uniqueName="[All_Crimes].[Period]" caption="Period" attribute="1" defaultMemberUniqueName="[All_Crimes].[Period].[All]" allUniqueName="[All_Crimes].[Period].[All]" dimensionUniqueName="[All_Crimes]" displayFolder="" count="2" memberValueDatatype="130" unbalanced="0">
      <fieldsUsage count="2">
        <fieldUsage x="-1"/>
        <fieldUsage x="1"/>
      </fieldsUsage>
    </cacheHierarchy>
    <cacheHierarchy uniqueName="[All_Crimes].[INC_TIME]" caption="INC_TIME" attribute="1" time="1" defaultMemberUniqueName="[All_Crimes].[INC_TIME].[All]" allUniqueName="[All_Crimes].[INC_TIME].[All]" dimensionUniqueName="[All_Crimes]" displayFolder="" count="0" memberValueDatatype="7" unbalanced="0"/>
    <cacheHierarchy uniqueName="[All_Crimes].[INC_DATE]" caption="INC_DATE" attribute="1" time="1" defaultMemberUniqueName="[All_Crimes].[INC_DATE].[All]" allUniqueName="[All_Crimes].[INC_DATE].[All]" dimensionUniqueName="[All_Crimes]" displayFolder="" count="0" memberValueDatatype="7" unbalanced="0"/>
    <cacheHierarchy uniqueName="[All_Crimes].[Enhanced_TimeOfDay]" caption="Enhanced_TimeOfDay" attribute="1" defaultMemberUniqueName="[All_Crimes].[Enhanced_TimeOfDay].[All]" allUniqueName="[All_Crimes].[Enhanced_TimeOfDay].[All]" dimensionUniqueName="[All_Crimes]" displayFolder="" count="2" memberValueDatatype="130" unbalanced="0">
      <fieldsUsage count="2">
        <fieldUsage x="-1"/>
        <fieldUsage x="0"/>
      </fieldsUsage>
    </cacheHierarchy>
    <cacheHierarchy uniqueName="[All_Crimes].[Day Name]" caption="Day Name" attribute="1" defaultMemberUniqueName="[All_Crimes].[Day Name].[All]" allUniqueName="[All_Crimes].[Day Name].[All]" dimensionUniqueName="[All_Crimes]" displayFolder="" count="0" memberValueDatatype="130" unbalanced="0"/>
    <cacheHierarchy uniqueName="[All_Crimes].[Month Name]" caption="Month Name" attribute="1" defaultMemberUniqueName="[All_Crimes].[Month Name].[All]" allUniqueName="[All_Crimes].[Month Name].[All]" dimensionUniqueName="[All_Crimes]" displayFolder="" count="0" memberValueDatatype="130" unbalanced="0"/>
    <cacheHierarchy uniqueName="[All_Crimes].[Year]" caption="Year" attribute="1" defaultMemberUniqueName="[All_Crimes].[Year].[All]" allUniqueName="[All_Crimes].[Year].[All]" dimensionUniqueName="[All_Crimes]" displayFolder="" count="0" memberValueDatatype="20" unbalanced="0"/>
    <cacheHierarchy uniqueName="[All_Crimes].[Week of Year]" caption="Week of Year" attribute="1" defaultMemberUniqueName="[All_Crimes].[Week of Year].[All]" allUniqueName="[All_Crimes].[Week of Year].[All]" dimensionUniqueName="[All_Crimes]" displayFolder="" count="0" memberValueDatatype="20" unbalanced="0"/>
    <cacheHierarchy uniqueName="[All_Crimes].[Day]" caption="Day" attribute="1" defaultMemberUniqueName="[All_Crimes].[Day].[All]" allUniqueName="[All_Crimes].[Day].[All]" dimensionUniqueName="[All_Crimes]" displayFolder="" count="0" memberValueDatatype="20" unbalanced="0"/>
    <cacheHierarchy uniqueName="[All_Crimes].[BLOCK_Enhanced]" caption="BLOCK_Enhanced" attribute="1" defaultMemberUniqueName="[All_Crimes].[BLOCK_Enhanced].[All]" allUniqueName="[All_Crimes].[BLOCK_Enhanced].[All]" dimensionUniqueName="[All_Crimes]" displayFolder="" count="0" memberValueDatatype="130" unbalanced="0"/>
    <cacheHierarchy uniqueName="[All_Crimes].[Crime_Category]" caption="Crime_Category" attribute="1" defaultMemberUniqueName="[All_Crimes].[Crime_Category].[All]" allUniqueName="[All_Crimes].[Crime_Category].[All]" dimensionUniqueName="[All_Crimes]" displayFolder="" count="0" memberValueDatatype="130" unbalanced="0"/>
    <cacheHierarchy uniqueName="[Measures].[__XL_Count All_Crimes]" caption="__XL_Count All_Crimes" measure="1" displayFolder="" measureGroup="All_Crimes" count="0" hidden="1"/>
    <cacheHierarchy uniqueName="[Measures].[__No measures defined]" caption="__No measures defined" measure="1" displayFolder="" count="0" hidden="1"/>
    <cacheHierarchy uniqueName="[Measures].[Count of Case Number]" caption="Count of Case Number" measure="1" displayFolder="" measureGroup="All_Crimes" count="0" oneField="1" hidden="1">
      <fieldsUsage count="1">
        <fieldUsage x="2"/>
      </fieldsUsage>
      <extLst>
        <ext xmlns:x15="http://schemas.microsoft.com/office/spreadsheetml/2010/11/main" uri="{B97F6D7D-B522-45F9-BDA1-12C45D357490}">
          <x15:cacheHierarchy aggregatedColumn="0"/>
        </ext>
      </extLst>
    </cacheHierarchy>
  </cacheHierarchies>
  <kpis count="0"/>
  <dimensions count="2">
    <dimension name="All_Crimes" uniqueName="[All_Crimes]" caption="All_Crimes"/>
    <dimension measure="1" name="Measures" uniqueName="[Measures]" caption="Measures"/>
  </dimensions>
  <measureGroups count="1">
    <measureGroup name="All_Crimes" caption="All_Crimes"/>
  </measureGroups>
  <maps count="1">
    <map measureGroup="0" dimension="0"/>
  </maps>
  <extLst>
    <ext xmlns:x14="http://schemas.microsoft.com/office/spreadsheetml/2009/9/main" uri="{725AE2AE-9491-48be-B2B4-4EB974FC3084}">
      <x14:pivotCacheDefinition supportSubqueryNonVisual="1" supportSubqueryCalcMem="1" supportAddCalcMems="1"/>
    </ext>
    <ext xmlns:xxpim="http://schemas.microsoft.com/office/spreadsheetml/2020/pivotNov2020" uri="{48A13866-0669-42A6-8768-4E36796AE8C3}">
      <xxpim:implicitMeasureSupport>1</xxpim:implicitMeasureSupport>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bert A. Carucci" refreshedDate="45818.878520949074" createdVersion="8" refreshedVersion="8" minRefreshableVersion="3" recordCount="25" xr:uid="{CE3CD6FB-6E91-4F73-AC39-C31501C9D233}">
  <cacheSource type="worksheet">
    <worksheetSource name="Burglary_Commercial_Residential"/>
  </cacheSource>
  <cacheFields count="61">
    <cacheField name="Case Number" numFmtId="0">
      <sharedItems/>
    </cacheField>
    <cacheField name="IncidentDate" numFmtId="14">
      <sharedItems containsNonDate="0" containsDate="1" containsString="0" containsBlank="1" minDate="2025-01-16T00:00:00" maxDate="2025-05-26T00:00:00"/>
    </cacheField>
    <cacheField name="Incident Time" numFmtId="22">
      <sharedItems containsNonDate="0" containsDate="1" containsString="0" containsBlank="1" minDate="1899-12-30T01:07:00" maxDate="1899-12-30T23:30:00"/>
    </cacheField>
    <cacheField name="Incident Date_Between" numFmtId="14">
      <sharedItems containsNonDate="0" containsDate="1" containsString="0" containsBlank="1" minDate="2025-01-16T00:00:00" maxDate="2025-05-26T00:00:00"/>
    </cacheField>
    <cacheField name="Incident Time_Between" numFmtId="168">
      <sharedItems containsNonDate="0" containsDate="1" containsString="0" containsBlank="1" minDate="1899-12-30T00:36:00" maxDate="1899-12-30T18:30:00"/>
    </cacheField>
    <cacheField name="Report Date" numFmtId="14">
      <sharedItems containsSemiMixedTypes="0" containsNonDate="0" containsDate="1" containsString="0" minDate="2025-01-16T00:00:00" maxDate="2025-05-29T00:00:00"/>
    </cacheField>
    <cacheField name="Report Time" numFmtId="168">
      <sharedItems containsSemiMixedTypes="0" containsNonDate="0" containsDate="1" containsString="0" minDate="1899-12-30T02:57:41" maxDate="1899-12-30T22:43:12"/>
    </cacheField>
    <cacheField name="Incident Type_1" numFmtId="0">
      <sharedItems/>
    </cacheField>
    <cacheField name="Incident Type_2" numFmtId="0">
      <sharedItems containsBlank="1"/>
    </cacheField>
    <cacheField name="Incident Type_3" numFmtId="0">
      <sharedItems containsBlank="1"/>
    </cacheField>
    <cacheField name="FullAddress" numFmtId="0">
      <sharedItems/>
    </cacheField>
    <cacheField name="Grid" numFmtId="0">
      <sharedItems containsBlank="1"/>
    </cacheField>
    <cacheField name="Zone" numFmtId="0">
      <sharedItems containsString="0" containsBlank="1" containsNumber="1" containsInteger="1" minValue="5" maxValue="9"/>
    </cacheField>
    <cacheField name="Narrative" numFmtId="0">
      <sharedItems longText="1"/>
    </cacheField>
    <cacheField name="Total Value Stolen" numFmtId="0">
      <sharedItems containsString="0" containsBlank="1" containsNumber="1" containsInteger="1" minValue="50300" maxValue="50300"/>
    </cacheField>
    <cacheField name="Total Value Recover" numFmtId="0">
      <sharedItems containsNonDate="0" containsString="0" containsBlank="1"/>
    </cacheField>
    <cacheField name="Registration 1" numFmtId="0">
      <sharedItems containsBlank="1"/>
    </cacheField>
    <cacheField name="Make1" numFmtId="0">
      <sharedItems containsBlank="1"/>
    </cacheField>
    <cacheField name="Model1" numFmtId="0">
      <sharedItems containsBlank="1"/>
    </cacheField>
    <cacheField name="Reg State 1" numFmtId="0">
      <sharedItems containsBlank="1"/>
    </cacheField>
    <cacheField name="Registration 2" numFmtId="0">
      <sharedItems containsNonDate="0" containsString="0" containsBlank="1"/>
    </cacheField>
    <cacheField name="Reg State 2" numFmtId="0">
      <sharedItems containsNonDate="0" containsString="0" containsBlank="1"/>
    </cacheField>
    <cacheField name="Make2" numFmtId="0">
      <sharedItems containsNonDate="0" containsString="0" containsBlank="1"/>
    </cacheField>
    <cacheField name="Model2" numFmtId="0">
      <sharedItems containsNonDate="0" containsString="0" containsBlank="1"/>
    </cacheField>
    <cacheField name="Reviewed By" numFmtId="0">
      <sharedItems/>
    </cacheField>
    <cacheField name="CompleteCalc" numFmtId="0">
      <sharedItems/>
    </cacheField>
    <cacheField name="Officer of Record" numFmtId="0">
      <sharedItems/>
    </cacheField>
    <cacheField name="Squad" numFmtId="0">
      <sharedItems/>
    </cacheField>
    <cacheField name="Det_Assigned" numFmtId="0">
      <sharedItems/>
    </cacheField>
    <cacheField name="Case_Status" numFmtId="0">
      <sharedItems/>
    </cacheField>
    <cacheField name="NibrsClassification" numFmtId="0">
      <sharedItems containsBlank="1"/>
    </cacheField>
    <cacheField name="CASE_NUMBER_LENGTH" numFmtId="0">
      <sharedItems containsSemiMixedTypes="0" containsString="0" containsNumber="1" containsInteger="1" minValue="9" maxValue="9"/>
    </cacheField>
    <cacheField name="Incident Date" numFmtId="14">
      <sharedItems containsSemiMixedTypes="0" containsNonDate="0" containsDate="1" containsString="0" minDate="2025-01-16T00:00:00" maxDate="2025-05-26T00:00:00"/>
    </cacheField>
    <cacheField name="IncTime" numFmtId="168">
      <sharedItems containsSemiMixedTypes="0" containsNonDate="0" containsDate="1" containsString="0" minDate="1899-12-30T01:07:00" maxDate="1899-12-30T23:30:00"/>
    </cacheField>
    <cacheField name="StartOfHour" numFmtId="168">
      <sharedItems containsSemiMixedTypes="0" containsNonDate="0" containsDate="1" containsString="0" minDate="1899-12-30T01:00:00" maxDate="1899-12-30T23:00:00"/>
    </cacheField>
    <cacheField name="TimeOfDay" numFmtId="0">
      <sharedItems/>
    </cacheField>
    <cacheField name="Block" numFmtId="0">
      <sharedItems/>
    </cacheField>
    <cacheField name="ALL_INCIDENTS" numFmtId="0">
      <sharedItems count="11">
        <s v="Burglary - Residence - 2C:18-2"/>
        <s v="Burglary - Commercial - 2C:18-2 - Alarm - Burglar"/>
        <s v="Burglary - Commercial - 2C:18-2 - Suspicious Incident"/>
        <s v="Burglary - Commercial - 2C:18-2 - Hindering Apprehension - 2C:29-3 - Resisting Arrest/Eluding - 2C:29-2"/>
        <s v="Burglary - Residence - 2C:18-2 - Terroristic Threats - 2C:12-3 - Criminal Mischief - 2C:17-3"/>
        <s v="Burglary - Residence - 2C:18-2 - Theft - 2C:20-3 - Criminal Mischief - 2C:17-3"/>
        <s v="Burglary - Commercial - 2C:18-2"/>
        <s v="Burglary - Residence - 2C:18-2 - Theft - 2C:20-3 - Warrant Arrest"/>
        <s v="Burglary - Residence - 2C:18-2 - Aggravated Assault - 2C:12-1b - Unlawful Taking - 2C:20-10"/>
        <s v="Burglary - Residence - 2C:18-2 - Criminal Mischief - 2C:17-3 - Simple Assault - 2C:12-1a"/>
        <s v="Burglary - Residence - 2C:18-2 - Suspicious Person - Suspicious Incident"/>
      </sharedItems>
    </cacheField>
    <cacheField name="Period" numFmtId="0">
      <sharedItems/>
    </cacheField>
    <cacheField name="INC_TIME" numFmtId="168">
      <sharedItems containsSemiMixedTypes="0" containsNonDate="0" containsDate="1" containsString="0" minDate="1899-12-30T01:07:00" maxDate="1899-12-30T23:30:00"/>
    </cacheField>
    <cacheField name="INC_DATE" numFmtId="14">
      <sharedItems containsSemiMixedTypes="0" containsNonDate="0" containsDate="1" containsString="0" minDate="2025-01-16T00:00:00" maxDate="2025-05-26T00:00:00" count="22">
        <d v="2025-01-16T00:00:00"/>
        <d v="2025-01-25T00:00:00"/>
        <d v="2025-01-31T00:00:00"/>
        <d v="2025-02-05T00:00:00"/>
        <d v="2025-02-17T00:00:00"/>
        <d v="2025-03-10T00:00:00"/>
        <d v="2025-03-27T00:00:00"/>
        <d v="2025-03-31T00:00:00"/>
        <d v="2025-04-01T00:00:00"/>
        <d v="2025-04-08T00:00:00"/>
        <d v="2025-04-13T00:00:00"/>
        <d v="2025-04-14T00:00:00"/>
        <d v="2025-04-16T00:00:00"/>
        <d v="2025-04-21T00:00:00"/>
        <d v="2025-04-20T00:00:00"/>
        <d v="2025-05-01T00:00:00"/>
        <d v="2025-05-12T00:00:00"/>
        <d v="2025-05-04T00:00:00"/>
        <d v="2025-05-24T00:00:00"/>
        <d v="2025-05-25T00:00:00"/>
        <d v="2025-04-27T00:00:00"/>
        <d v="2025-05-23T00:00:00"/>
      </sharedItems>
    </cacheField>
    <cacheField name="Start of Hour" numFmtId="168">
      <sharedItems containsSemiMixedTypes="0" containsNonDate="0" containsDate="1" containsString="0" minDate="1899-12-30T01:00:00" maxDate="1899-12-30T23:00:00"/>
    </cacheField>
    <cacheField name="INC_DATE_AND_TIME" numFmtId="22">
      <sharedItems containsNonDate="0" containsString="0" containsBlank="1"/>
    </cacheField>
    <cacheField name="TOD" numFmtId="0">
      <sharedItems count="6">
        <s v="Afternoon (12:00–15:59)"/>
        <s v="Morning Peak (08:00–11:59)"/>
        <s v="Early Morning (00:00–03:59)"/>
        <s v="Night (20:00–23:59)"/>
        <s v="Evening Peak (16:00–19:59)"/>
        <s v="Morning (04:00–07:59)"/>
      </sharedItems>
    </cacheField>
    <cacheField name="Day Name" numFmtId="0">
      <sharedItems containsBlank="1" count="8">
        <s v="Thursday"/>
        <s v="Saturday"/>
        <s v="Friday"/>
        <s v="Wednesday"/>
        <s v="Monday"/>
        <s v="Tuesday"/>
        <s v="Sunday"/>
        <m u="1"/>
      </sharedItems>
    </cacheField>
    <cacheField name="Month Name" numFmtId="0">
      <sharedItems/>
    </cacheField>
    <cacheField name="Year" numFmtId="0">
      <sharedItems containsSemiMixedTypes="0" containsString="0" containsNumber="1" containsInteger="1" minValue="2025" maxValue="2025"/>
    </cacheField>
    <cacheField name="Week of Year" numFmtId="0">
      <sharedItems containsSemiMixedTypes="0" containsString="0" containsNumber="1" containsInteger="1" minValue="3" maxValue="22"/>
    </cacheField>
    <cacheField name="Week of Month" numFmtId="0">
      <sharedItems containsSemiMixedTypes="0" containsString="0" containsNumber="1" containsInteger="1" minValue="1" maxValue="6"/>
    </cacheField>
    <cacheField name="Day" numFmtId="0">
      <sharedItems containsSemiMixedTypes="0" containsString="0" containsNumber="1" containsInteger="1" minValue="1" maxValue="31"/>
    </cacheField>
    <cacheField name="Day of Year" numFmtId="0">
      <sharedItems containsSemiMixedTypes="0" containsString="0" containsNumber="1" containsInteger="1" minValue="16" maxValue="145"/>
    </cacheField>
    <cacheField name="BLOCK2" numFmtId="0">
      <sharedItems/>
    </cacheField>
    <cacheField name="Location" numFmtId="0">
      <sharedItems/>
    </cacheField>
    <cacheField name="St#" numFmtId="0">
      <sharedItems containsNonDate="0" containsString="0" containsBlank="1"/>
    </cacheField>
    <cacheField name="Notes" numFmtId="0">
      <sharedItems containsNonDate="0" containsString="0" containsBlank="1"/>
    </cacheField>
    <cacheField name="VEHICLE" numFmtId="0">
      <sharedItems containsBlank="1"/>
    </cacheField>
    <cacheField name="Suspect" numFmtId="0">
      <sharedItems containsNonDate="0" containsString="0" containsBlank="1"/>
    </cacheField>
    <cacheField name="TOTAL_STOLEN_AMOUNT" numFmtId="0">
      <sharedItems containsString="0" containsBlank="1" containsNumber="1" containsInteger="1" minValue="50300" maxValue="50300"/>
    </cacheField>
    <cacheField name="REPORT_CYCLE" numFmtId="0">
      <sharedItems containsNonDate="0" containsString="0" containsBlank="1"/>
    </cacheField>
    <cacheField name="TIME_OF_DAY" numFmtId="0">
      <sharedItems count="6">
        <s v="Afternoon (12:00–15:59)"/>
        <s v="Morning Peak (08:00–11:59)"/>
        <s v="Early Morning (00:00–03:59)"/>
        <s v="Night (20:00–23:59)"/>
        <s v="Evening Peak (16:00–19:59)"/>
        <s v="Morning (04:00–07:59)"/>
      </sharedItems>
    </cacheField>
    <cacheField name="Enhanced_TimeOfDay"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s v="25-002635"/>
    <x v="0"/>
    <x v="0"/>
    <d v="1899-12-30T15:00:00"/>
    <d v="1899-12-30T15:30:00"/>
    <x v="0"/>
    <s v="January"/>
    <s v="Prospect Ave, 0 Block"/>
    <s v="90 Prospect Avenue"/>
    <x v="0"/>
    <s v="Burglary - Auto"/>
    <s v=""/>
    <s v=""/>
    <s v="90 Prospect Avenue, Hackensack, NJ, 07601"/>
    <m/>
    <n v="7"/>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m/>
    <m/>
    <s v="XCSW43"/>
    <s v="HONDA"/>
    <s v="PIL"/>
    <s v="NJ"/>
    <m/>
    <m/>
    <m/>
    <m/>
    <s v="Deleon_A"/>
    <s v="P.O. Ruben Almonte 359"/>
    <s v="A3"/>
    <s v="Det. Matthew DeBonis 325"/>
    <s v="Active/Administratively Closed"/>
    <s v="23F = Theft From Motor Vehicle"/>
    <n v="2025"/>
    <n v="2"/>
    <n v="2"/>
    <n v="6"/>
    <n v="6"/>
    <d v="2025-01-06T15:30:00"/>
    <n v="90"/>
    <s v="Suspect(s): Unknown.     I responded to the listed location, 90 Prospect Avenue, on a report of a burglary to auto. Upon arrival, I was met by the victim, Kelly Nurnberg-Darzi, who stated on the morning of 01/10/25 she responded to her grey 2006 Honda Pilot and observed all of her work equipment to be missing. The victim advised me she specialized in opening safes and stores several of her high-value tools in the rear of the listed vehicle. The victim stated the listed vehicle was parked in assigned space #20 and did not move it from the assigned space. The victim stated she last recalled observing her tools in the listed vehicle on 01/06/25 and had not returned to the vehicle since. The following items were taken from the listed vehicle:2 Boroscope - $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The victim stated the damage occurred on 01/04/25 while her son was parking the vehicle. The victim further stated she did not have any time to repair the broken window and remove the tools from the vehicle prior to them being taken.      The victim advised me she believes the suspect may be her husband Uri Darzi whom she is currently in a civil lawsuit with. Sgt. Peralta responded assist.A victim notification form was completed and a copy was given to the victim."/>
    <s v="Vehicle 1: NJ-XCSW43 HONDA, PIL"/>
    <s v="suspect(s): unknown suspect may be her husband uri darzi whom she is currently in a civil lawsuit with"/>
    <s v="$5,000.00 USD8 Redundant Locks -  $2,000.00 USD5 Drills -  $5,000.00 USD1 large box of drill bits -  $1,200.00 USD1 tool bag with several tools -  $2,000.00 USD6 Electronic locks -  $1,320.00 USD4 FAS locks -  $480.00 Total Value -  $17,000.00 USD     While on scene, I observed several cameras in the parking garage of 90 Prospect Avenue. I further observed the listed vehicle to have a broken rear passenger side window which gives direct access to the vehicles trunk"/>
    <s v="C01W01"/>
  </r>
  <r>
    <s v="25-007074"/>
    <x v="1"/>
    <x v="1"/>
    <d v="1899-12-30T18:00:00"/>
    <d v="1899-12-30T18:27:00"/>
    <x v="1"/>
    <s v="January"/>
    <s v="Stanley Pl, 200 Block"/>
    <s v="206 Stanley Place"/>
    <x v="1"/>
    <s v="Burglary - Auto"/>
    <s v="Theft"/>
    <s v=""/>
    <s v="206 Stanley Place, Hackensack, NJ, 07601"/>
    <s v="H3"/>
    <n v="8"/>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m/>
    <m/>
    <s v="R36GBB"/>
    <s v="HONDA"/>
    <s v="CRV"/>
    <s v="NJ"/>
    <m/>
    <m/>
    <m/>
    <m/>
    <s v="Levis_R"/>
    <s v="P.O. Massimo Gallorini 379"/>
    <s v="A2"/>
    <s v="Sgt. Franklin Bay 162"/>
    <s v="No Investigation"/>
    <s v="23F = Theft From Motor Vehicle"/>
    <n v="2025"/>
    <n v="4"/>
    <n v="4"/>
    <n v="25"/>
    <n v="25"/>
    <d v="2025-01-25T18:27:00"/>
    <n v="206"/>
    <s v="Suspect description: Possibly male, approximately 5'7'' in height, with a slim build. On 1/26/25 P.O. Papanikolaou and I responded to 206 Stanley Place on a reported theft from auto. Upon arrival, I spoke with the victim, Phyllis Cunningham. The victim reported on 1/25/25 at approximately 20:52 hours she received a text message from her son. The text was a video of an unknown suspect entering her vehicle, New Jersey Registration R36GBB. The listed vehicle was parked in the driveway at 206 Stanley Place. The victim showed me the video that her son texted her. Upon observing the video I observed on 1/25/25 at 18:27 hours the suspect entered the vehicle from the front driver side door, which was left insecure. Later, the suspect was seen on video to be searching through the vehicle. After the incident the victim responded to check her vehicle. Upon inspecting her vehicle nothing appeared to be stolen and no damage was observed. A New Jersey victim notification form was completed. The victim did not request to have the vehicle processed. At this time the victim reported if the suspect could be identified she would pursue a criminal case.  The victim was advised to save the video surveillance of the incident. Sgt. Competiello was advised."/>
    <s v="Vehicle 1: NJ-R36GBB HONDA, CRV"/>
    <s v="suspect description: possibly male, approximately 5'7'' in height, with a slim build suspect entering her vehicle, new jersey registration r36gbb suspect entered the vehicle from the front driver side door, which was left insecure suspect was seen on video to be searching through the vehicle suspect could be identified she would pursue a criminal case"/>
    <s v=""/>
    <s v="C01W04"/>
  </r>
  <r>
    <s v="25-007197"/>
    <x v="2"/>
    <x v="2"/>
    <d v="1899-12-30T20:00:00"/>
    <d v="1899-12-30T20:10:00"/>
    <x v="2"/>
    <s v="January"/>
    <s v="Pangborn Pl, 0 Block"/>
    <s v="5 Pangborn Place"/>
    <x v="1"/>
    <s v="Burglary - Auto"/>
    <s v="Theft"/>
    <s v=""/>
    <s v="5 Pangborn Place, Hackensack, NJ, 07601"/>
    <s v="H2"/>
    <n v="9"/>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m/>
    <m/>
    <s v="R97RYW"/>
    <s v="HONDA"/>
    <s v="ODY"/>
    <s v="NJ"/>
    <m/>
    <m/>
    <m/>
    <m/>
    <s v="Deleon_A"/>
    <s v="P.O. Micah Gibson 365"/>
    <s v="A3"/>
    <s v="Det. Matthew Dogali 338"/>
    <s v="Active/Administratively Closed"/>
    <s v="23F = Theft From Motor Vehicle"/>
    <n v="2025"/>
    <n v="5"/>
    <n v="5"/>
    <n v="26"/>
    <n v="26"/>
    <d v="2025-01-26T20:10:00"/>
    <n v="5"/>
    <s v="I responded to the listed location on a reported theft from a motor vehicle. Sgt. Farhi responded to assist. Upon arrival, I spoke with the complainant. She stated that on 01/26/2025 at approximately 20:10 hours, she had turned her vehicle on to heat up. She further stated that she had left the vehicle running with the keys inside when she returned to her apartment for a few moments. The complainant reported that when she returned to the vehicle, the vehicle was still there but the keys were missing.       The complainant stated that no other items appeared to be missing from the vehicle. Furthermore, due to contamination by the complainant, the vehicle was unable to be processed.    The complainant stated that the value of the key fob is approximately $200.00.    The vehicle was parked on Conklin Place, 150 feet east of Pangborn Place, facing west.    A check of the area for cameras revealed one on the Bergen Christian Academies.       A New Jersey Victim Notification Form was completed and provided to the complainant. She was further advised on how to obtain a copy of this report.  Detective Garrett was notified.Vehicle Insurance: GeicoCode :365Policy Number: 6164-87-88-42"/>
    <s v="Vehicle 1: NJ-R97RYW HONDA, ODY"/>
    <s v=""/>
    <s v="$200.00.    The vehicle was parked on Conklin Place, 150 feet east of Pangborn Place, facing west"/>
    <s v="C01W04"/>
  </r>
  <r>
    <s v="25-012325"/>
    <x v="3"/>
    <x v="1"/>
    <d v="1899-12-30T16:00:00"/>
    <d v="1899-12-30T16:00:00"/>
    <x v="3"/>
    <s v="February"/>
    <s v="East Pleasantview Avenue &amp; Kipp Street"/>
    <s v="East Pleasantview Avenue &amp; Kipp Street"/>
    <x v="0"/>
    <s v="Burglary - Auto"/>
    <s v=""/>
    <s v=""/>
    <s v="East Pleasantview Avenue &amp; Kipp Street, Hackensack, NJ, 07601"/>
    <s v="F3"/>
    <n v="6"/>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m/>
    <m/>
    <s v="XGDR55"/>
    <s v="FORD"/>
    <s v="R1Z"/>
    <s v="NJ"/>
    <m/>
    <m/>
    <m/>
    <m/>
    <s v="Swetits_M"/>
    <s v="P.O. Angelo Vicale 370"/>
    <s v="B3"/>
    <s v="Det. Demetrius Carroll 133"/>
    <s v="Active Investigation"/>
    <s v="23F = Theft From Motor Vehicle"/>
    <n v="2025"/>
    <n v="7"/>
    <n v="3"/>
    <n v="13"/>
    <n v="44"/>
    <d v="2025-02-13T16:00:00"/>
    <m/>
    <s v="I responded to East Pleasantview and Kipp St. on a burglary to auto. Upon arrival I met with the complainant, Mr. Santangelo who is an employee of PSE&amp;G. He stated that he parked and locked his work vehicle (NJ-XGDR55) on 2/13/25 at approximately 1600 hours then returned on 2/14/25 at 0710 hours and noticed the rear passenger side window was completely shattered.     The window was shattered and the unknown suspect(s) were able to unlock the door from the inside and enter the vehicle. Mr. Santangelo reported numerous tools were stolen. Mr. Santangelo touched the inside of the vehicle prior to my arrival, contaminating it making it unable to be processed. Stolen tools:1-Metro Tech 810 Mark out scope- approximately $3,000.001-Heath RMLD- Approximately $8,000.001-Heath gas detector- Approximately $5,000.00                                            Approximate amount stolen: $16,000.00    I did not observe any cameras in the area and the PSE&amp;G vehicle is self insured."/>
    <s v="Vehicle 1: NJ-XGDR55 FORD, R1Z"/>
    <s v="suspect(s) were able to unlock the door from the inside and enter the vehicle"/>
    <s v="$3,000.001-Heath RMLD- Approximately  $8,000.001-Heath gas detector- Approximately  $5,000.00                                            Approximate amount stolen:  $16,000.00    I did not observe any cameras in the area and the PSE&amp;G vehicle is self insured."/>
    <s v="C02W07"/>
  </r>
  <r>
    <s v="25-018160"/>
    <x v="4"/>
    <x v="2"/>
    <d v="1899-12-30T22:00:00"/>
    <d v="1899-12-30T22:35:45"/>
    <x v="3"/>
    <s v="March"/>
    <s v="Central Ave, 200 Block"/>
    <s v="216 Central Avenue"/>
    <x v="0"/>
    <s v="Burglary - Auto"/>
    <s v=""/>
    <s v=""/>
    <s v="216 Central Avenue, Hackensack, NJ, 07601"/>
    <s v="H3"/>
    <n v="8"/>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m/>
    <m/>
    <s v="R64NVW"/>
    <s v="FORD"/>
    <s v="EXP"/>
    <s v="NJ"/>
    <m/>
    <m/>
    <m/>
    <m/>
    <s v="Farhi_B"/>
    <s v="P.O. Ruben Almonte 359"/>
    <s v="A3"/>
    <s v="Det. John Tanucilli 335"/>
    <s v="Active Investigation"/>
    <m/>
    <n v="2025"/>
    <n v="10"/>
    <n v="2"/>
    <n v="6"/>
    <n v="65"/>
    <d v="2025-03-06T22:35:00"/>
    <n v="216"/>
    <s v="Suspect: Black male with a beard wearing a gray hooded sweatshirt. Possibly named Mike Williams.      I responded to the listed location, 216 Central Avenue, on a report of burglary to auto. Upon arrival, I was met by the victim, Michael Gibson, who stated his black wallet (valued at $10.00 USD) was taken from his vehicles glove box. The victim advised me the wallet contained approximately 3 credit cards, 3 debit cards and $8.00 USD. The victim further stated while he was at home he received a notification from his bank of suspicious credit card use. The victim responded back to his vehicle which was parked in front of his residence (348 1st Street),  and observed his vehicle to have been rummaged through with items removed from his glove box and placed on the driver's seat. No damage to the vehicle was reported. When the victim was notified of the suspicious charges, he was informed one of his debit cards was used at the Central Avenue Mini Market. The victim drove his vehicle to the Central Avenue mini mart to locate the suspect which was unsuccessful.     While on scene, I observed a video of the suspect completing a purchase at the listed location. I further observed a receipt of the transaction signed with the name &quot;Mike Williams&quot; used as the signature for the transaction. The video and photo of the receipt was E-Mailed to detectives by the victim. Total amount spent by the suspect was approximately $102.33 USD. The victim was advised to complete a fraud packet for a follow up report. The victim was further advised to cancel all of his stolen credit/debit cards and monitor his credit for at least 30 days.      I requested a supervisor and Sgt. Farhi responded. Det./Sgt. Williams was notified of the the incident by Sgt. Farhi. P.O. DeOliveira responded to assist.The vehicle was unable to be processed due to the complainant entering and moving his vehicle. A victim notification form was completed and a copy was given to the victim."/>
    <s v="Vehicle 1: NJ-R64NVW FORD, EXP"/>
    <s v="suspect: black male with a beard wearing a gray hooded sweatshirt suspect which was unsuccessful suspect completing a purchase at the listed location suspect was approximately $102"/>
    <s v="$10.00 USD) was taken from his vehicles glove box. The victim advised me the wallet contained approximately 3 credit cards, 3 debit cards and  $8.00 USD. The victim further stated while he was at home he received a notification from his bank of suspicious credit card use $102.33 USD. The victim was advised to complete a fraud packet for a follow up report"/>
    <s v="C03W10"/>
  </r>
  <r>
    <s v="25-019245"/>
    <x v="5"/>
    <x v="1"/>
    <d v="1899-12-30T19:00:00"/>
    <d v="1899-12-30T19:30:00"/>
    <x v="2"/>
    <s v="March"/>
    <s v="American Legion Drive, 200 Block"/>
    <s v="282 American Legion Drive"/>
    <x v="0"/>
    <s v="Burglary - Auto"/>
    <s v=""/>
    <s v=""/>
    <s v="282 American Legion Drive, Hackensack, NJ, 07601"/>
    <s v="G3"/>
    <n v="7"/>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m/>
    <m/>
    <s v="K46PXJ"/>
    <s v="HYN"/>
    <s v="TIB"/>
    <s v="NJ"/>
    <m/>
    <m/>
    <m/>
    <m/>
    <s v="Klosk_J"/>
    <s v="P.O. Peter Voorhis 380"/>
    <s v="B1"/>
    <m/>
    <m/>
    <m/>
    <n v="2025"/>
    <n v="11"/>
    <n v="3"/>
    <n v="9"/>
    <n v="68"/>
    <d v="2025-03-09T19:30:00"/>
    <n v="282"/>
    <s v="On March 10, 2025, P.O. small and I responded to 282 American Legion Drive for a burglary to auto report. Upon our arrival, we met with the complainant, Luis Cela. He is Juan Cela-Saula's brother (Victim). The complainant stated the victim responded to his vehicle this morning and observed the interior of his vehicle in complete disarray while attempting to leave for work. After exiting his parking spot, the victim then changed his mind and contacted the complainant to file a report on his behalf because he had to go to work. The complainant had to park the vehicle in another spot on American Legion Drive because the vehicle was moved by the victim prior to his departure.      The complainant stated the victim parked his vehicle bearing NJ/K46PXJ on American Legion Drive on 03/9/2025 at approximately 1930 hours and noticed the vehicle was burglarized at 0830 hours today. The victim stated approximately $250.00 dollars in miscellaneous tools were missing from the vehicle. We did not observe any visible damage or forced entry to the doors' exterior. The victim believes he locked his vehicle when he parked it. Detective Sgt. Williams was notified. Sgt. Ghirardi and Sgt. Donnerstag responded.      The victim does not want the vehicle to be processed. The victim would like to sign complaints if the suspect is identified. A New Jersey Victim Notification Form was completed and provided to the victim.     State of New Jersey Insurance, policy number LCP699-4257-606 and insurance code 258."/>
    <s v="Vehicle 1: NJ-K46PXJ HYN, TIB"/>
    <s v="suspect is identified"/>
    <s v="$250.00 dollars in miscellaneous tools were missing from the vehicle. We did not observe any visible damage or forced entry to the doors' exterior"/>
    <s v="C03W10"/>
  </r>
  <r>
    <s v="25-019756"/>
    <x v="6"/>
    <x v="0"/>
    <d v="1899-12-30T14:00:00"/>
    <d v="1899-12-30T14:30:00"/>
    <x v="4"/>
    <s v="March"/>
    <s v="Anderson St, 100 Block"/>
    <s v="123 Anderson Street"/>
    <x v="0"/>
    <s v="Burglary - Auto"/>
    <s v=""/>
    <s v=""/>
    <s v="123 Anderson Street, Hackensack, NJ, 07601"/>
    <s v="H3"/>
    <n v="8"/>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m/>
    <m/>
    <s v="K87VEF"/>
    <s v="SUBARU"/>
    <s v="TRI"/>
    <s v="NJ"/>
    <m/>
    <m/>
    <m/>
    <m/>
    <s v="Bay_F"/>
    <s v="P.O. Denisse Caero 367"/>
    <s v="B2"/>
    <s v="Det. Gunther Lara-Nunez 351"/>
    <s v="Active Investigation"/>
    <s v="23F = Theft From Motor Vehicle"/>
    <n v="2025"/>
    <n v="11"/>
    <n v="3"/>
    <n v="11"/>
    <n v="70"/>
    <d v="2025-03-11T14:30:00"/>
    <n v="123"/>
    <s v="***Spanish Speaking Only***      On March 11, 2025, at approximately 1430 hours the complainant responded to Hackensack Police Department Headquarters to report a burglary from auto. The complainant reported that he parked his vehicle bearing NJ-K87VEF in the parking lot of 123 Anderson Street facing East (in front of the railroad tracks) at approximately 13:30 hours. He reported that he did not lock the door prior to leaving. The complainant reported that at approximately 14:30 hours he responded back to his vehicle and noticed that his wallet (yellow leather) was missing, along with $200.00 dollars. He reported that he left his wallet with the $200.00 in the middle console which was visible to any passerby.        Due to the victim reporting that he contaminated the area/vehicle, he was not offered to have his vehicle to be fingerprinted by BCI. The victim reported there was no damage or forced entry to his vehicle. The New Jersey Victim Notification Form was completed and a copy was provided to the victim. He was advised on how to obtain a new drivers license. He was advised on how to sign complaints against the suspects should they be identified."/>
    <s v="Vehicle 1: NJ-K87VEF SUBARU, TRI"/>
    <s v="suspects should they be identified"/>
    <s v="$200.00 dollars. He reported that he left his wallet with the  $200.00 in the middle console which was visible to any passerby.        Due to the victim reporting that he contaminated the area/vehicle, he was not offered to have his vehicle to be fingerprinted by BCI"/>
    <s v="C03W11"/>
  </r>
  <r>
    <s v="25-023424"/>
    <x v="7"/>
    <x v="3"/>
    <d v="1899-12-30T04:00:00"/>
    <d v="1899-12-30T04:10:00"/>
    <x v="2"/>
    <s v="March"/>
    <s v="Pulaski Pl, 0 Block"/>
    <s v="24 Pulaski Place"/>
    <x v="2"/>
    <s v="Burglary - Auto"/>
    <s v="Criminal Mischief - Vehicle"/>
    <s v=""/>
    <s v="24 Pulaski Place, Hackensack, NJ, 07601"/>
    <s v="E3"/>
    <n v="5"/>
    <s v="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
    <m/>
    <m/>
    <s v="M88KXU"/>
    <s v="FORD"/>
    <s v="ECO"/>
    <s v="NJ"/>
    <m/>
    <m/>
    <m/>
    <m/>
    <s v="Competiello_Fa"/>
    <s v="P.O. Micah Gibson 365"/>
    <s v="A3"/>
    <s v="Det. Demetrius Carroll 133"/>
    <s v="Active Investigation"/>
    <m/>
    <n v="2025"/>
    <n v="13"/>
    <n v="5"/>
    <n v="23"/>
    <n v="82"/>
    <d v="2025-03-23T04:10:00"/>
    <n v="24"/>
    <s v="Suspect Vehicle Description: White 4-door SUV, possibly a Honda CRV or Toyota style SUV.      I responded to the listed location on a reported burglary from auto. Upon arrival, I spoke with the victim. He stated that, on 03/23/2025 at approximately 0415 hours, he had awoke to the sound of his vehicle alarm sounding. He further stated that when he looked outside, he observed the suspect vehicle parked next to his, facing west. The victim reported that upon seeing him, the suspect vehicle fled the scene, traveling west on Pulaski Place towards an unknown direction.   The victim stated that his vehicle had been broken into, as I observed the driver side door lock to be dislodged. He further stated that he had entered the vehicle via the driver side prior to my arrival and located a wrench in the driver seat that was not his. He reported that the suspect also damaged the steering wheel and ignition system to his vehicle.        Upon confirming that the victim did not want the vehicle processed, he entered his vehicle and verified that no items of his were missing. The victim reported that a cane, located in the console between the driver and passenger seats, was not his. The cane and wrench were then secured as evidence.        P.O. Rodriguez responded with the patrol camera on scene. I then took seven photos (placard included) of the scene. It should be noted that I secured the cane prior to P.O. Rodriguez's arrival on scene. The original position of the cane was captured on my body worn camera.        A search of the area for cameras yielded the following: 32 Pulaski Place, 29 Pulaski Place,18 Pulaski Place,17 Pulaski Place, and 15 Pulaski Place.       The victim stated that the approximate cost to repair his vehicle is $1,000.00.         A New Jersey Victim Notification Form was completed and provided to the victim. He was advised on how to obtain a copy of  this report.      The cane and wrench were secured in evidence locker number one.Insurance Info: 908340839Company Code: 135"/>
    <s v="Vehicle 1: NJ-M88KXU FORD, ECO"/>
    <s v="suspect vehicle description: white 4-door suv, possibly a honda crv or toyota style suv suspect vehicle parked next to his, facing west suspect vehicle fled the scene, traveling west on pulaski place towards an unknown direction suspect also damaged the steering wheel and ignition system to his vehicle"/>
    <s v="$1,000.00.         A New Jersey Victim Notification Form was completed and provided to the victim"/>
    <s v="C03W12"/>
  </r>
  <r>
    <s v="25-026113"/>
    <x v="8"/>
    <x v="1"/>
    <d v="1899-12-30T18:00:00"/>
    <d v="1899-12-30T18:00:00"/>
    <x v="0"/>
    <s v="March"/>
    <s v="Lookout Ave, 300 Block"/>
    <s v="310 Lookout Avenue"/>
    <x v="0"/>
    <s v="Burglary - Auto"/>
    <s v=""/>
    <s v=""/>
    <s v="310 Lookout Avenue, Hackensack, NJ, 07601"/>
    <s v="I2"/>
    <m/>
    <s v="While on scene investigating a separate incident (OCA 25-026103), Sgt. Donnerstag located the listed vehicle with its drivers side window smashed in. The interior of the vehicle appeared to be rummaged through. The registered owner of the vehicle, Ms. Olga Balakova was contacted and responded to the vehicle's location. She stated she parked her car at approximately 1800 hours.     Ms. Balakova gave consent to Det. Tanucilli to have the vehicle processed. Bergen County Sheriffs BCI detective's Stefanic # 1954 and Anastasio # 1766 were already on scene to process a separate vehicle ( see case # 25-026103 ). The vehicle was processed by Bergen County Sheriffs BCI on scene, see their case number 2025-0206 for further.  Ms. Balakova stated that only a few dollars in change appeared to be missing. She was not sure of the exact amount, but stated it was only one or two dollars total. The total cost of damage is unknown at the time.      The scene was turned over to Det. Tanucilli."/>
    <n v="2"/>
    <n v="0"/>
    <s v="IMKR57"/>
    <s v="NISSAN"/>
    <s v="ROGUE"/>
    <s v="NJ"/>
    <m/>
    <m/>
    <m/>
    <m/>
    <s v="Farhi_B"/>
    <s v="P.O. Matthew Antista 135"/>
    <s v="A4"/>
    <s v="Det. John Tanucilli 335"/>
    <s v="Active Investigation"/>
    <s v="290 = Destruction/Damage/Vandalism of Property"/>
    <n v="2025"/>
    <n v="14"/>
    <n v="6"/>
    <n v="31"/>
    <n v="90"/>
    <d v="2025-03-31T18:00:00"/>
    <n v="310"/>
    <s v="While on scene investigating a separate incident (OCA 25-026103), Sgt. Donnerstag located the listed vehicle with its drivers side window smashed in. The interior of the vehicle appeared to be rummaged through. The registered owner of the vehicle, Ms. Olga Balakova was contacted and responded to the vehicle's location. She stated she parked her car at approximately 1800 hours.     Ms. Balakova gave consent to Det. Tanucilli to have the vehicle processed. Bergen County Sheriffs BCI detective's Stefanic # 1954 and Anastasio # 1766 were already on scene to process a separate vehicle ( see case # 25-026103 ). The vehicle was processed by Bergen County Sheriffs BCI on scene, see their case number 2025-0206 for further.  Ms. Balakova stated that only a few dollars in change appeared to be missing. She was not sure of the exact amount, but stated it was only one or two dollars total. The total cost of damage is unknown at the time.      The scene was turned over to Det. Tanucilli."/>
    <s v="Vehicle 1: NJ-IMKR57 NISSAN, ROGUE"/>
    <s v=""/>
    <s v=""/>
    <s v="C04W13"/>
  </r>
  <r>
    <s v="25-026103"/>
    <x v="8"/>
    <x v="2"/>
    <d v="1899-12-30T20:00:00"/>
    <d v="1899-12-30T20:00:00"/>
    <x v="0"/>
    <s v="March"/>
    <s v="Lookout Ave, 300 Block"/>
    <s v="310 Lookout Avenue"/>
    <x v="0"/>
    <s v="Burglary - Auto"/>
    <s v=""/>
    <s v=""/>
    <s v="310 Lookout Avenue, Hackensack, NJ, 07601"/>
    <s v="I2"/>
    <n v="9"/>
    <s v="I responded on the report of a suspicious incident. Upon arrival, I met with Yuri Vasilevski. He stated his vehicle window was broken and his belongings were on the ground. Sgt. Donnerstag arrived on scene to assist. The victim, Mr. Vasilevski, stated he parked his vehicle at approximately 2000 hours. When he returned to the vehicle, he found it had been broken into.     Det. Tanucilli was contacted and arrived on scene. It should be noted that while on scene Sgt. Donnerstag located another vehicle which appeared to be broken into (see case # 25-026113). Mr. Vasilevski gave consent to Det. Tanucilli to have the vehicle processed. Bergen County Sheriffs BCI detectives Stefanic and Anastasio responded to the scene and processed the vehicle (OCA 2025-0207). The victim stated five (5) dollars in 1 dollar bills of US currency were taken from the center console of his vehicle. Total value amount of repairs are unknown at this time.   The scene was turned over to Det. Tanucilli."/>
    <n v="5"/>
    <n v="0"/>
    <s v="UTU50W"/>
    <s v="NISSAN"/>
    <s v="RGE"/>
    <s v="NJ"/>
    <m/>
    <m/>
    <m/>
    <m/>
    <s v="Farhi_B"/>
    <s v="P.O. Matthew Antista 135"/>
    <s v="A4"/>
    <s v="Det. John Tanucilli 335"/>
    <s v="Active Investigation"/>
    <s v="290 = Destruction/Damage/Vandalism of Property"/>
    <n v="2025"/>
    <n v="14"/>
    <n v="6"/>
    <n v="31"/>
    <n v="90"/>
    <d v="2025-03-31T20:00:00"/>
    <n v="310"/>
    <s v="I responded on the report of a suspicious incident. Upon arrival, I met with Yuri Vasilevski. He stated his vehicle window was broken and his belongings were on the ground. Sgt. Donnerstag arrived on scene to assist. The victim, Mr. Vasilevski, stated he parked his vehicle at approximately 2000 hours. When he returned to the vehicle, he found it had been broken into.     Det. Tanucilli was contacted and arrived on scene. It should be noted that while on scene Sgt. Donnerstag located another vehicle which appeared to be broken into (see case # 25-026113). Mr. Vasilevski gave consent to Det. Tanucilli to have the vehicle processed. Bergen County Sheriffs BCI detectives Stefanic and Anastasio responded to the scene and processed the vehicle (OCA 2025-0207). The victim stated five (5) dollars in 1 dollar bills of US currency were taken from the center console of his vehicle. Total value amount of repairs are unknown at this time.   The scene was turned over to Det. Tanucilli."/>
    <s v="Vehicle 1: NJ-UTU50W NISSAN, RGE"/>
    <s v=""/>
    <s v=""/>
    <s v="C04W13"/>
  </r>
  <r>
    <s v="25-026357"/>
    <x v="9"/>
    <x v="2"/>
    <d v="1899-12-30T20:00:00"/>
    <d v="1899-12-30T20:28:40"/>
    <x v="4"/>
    <s v="April"/>
    <s v="Prospect Ave, 0 Block"/>
    <s v="77 Prospect Avenue"/>
    <x v="0"/>
    <s v="Burglary - Auto"/>
    <s v=""/>
    <s v=""/>
    <s v="77 Prospect Avenue, Hackensack, NJ, 07601"/>
    <s v="G4"/>
    <n v="7"/>
    <s v="On April 1, 2025 P.O Deoliveira and I responded to 77 Prospect Avenue on a report of a burglary to Auto. Upon arrival, we were met by the victim Jaime Laracuente and the building super Mark Muci. The victim advised us that he was contacted by Mr. Muci about his vehicle being burglarized. Mr. Muci was contacted by another tenant in the building who discovered that the victims window passenger side window was broken into. The vehicle was discovered to be burglarized at approximately 20:10 hours tonight. When the victim was asked, he stated he parked his vehicle in the rear lot of 77 Prospect Avenue at around 17:00 hours on 03/31/2025 and has not used it since. The victim provided me with his vehicle registration (NJ:U57SNU) and insurance (Code 012:   #908248625).I advised Headquarters and Sgt. Farhi responded to the scene. At this time the victim stated that he did not enter his vehicle but stated that their were no items of value when the burglary occurred. The area was canvassed with no signs of additional vehicles being burglarized and no surveillance camera's on the property. Det. Tanucilli was contacted and responded to the scene.The victim requested that his vehicle be processed for evidence and Bergen County BCI was contacted. The victim completed a consent to search form on scene. At approximately 21:33 hours BCI Det. Stefanic and Anastasio responded to the scene and processed the vehicle. Their case number is 2025-0208. The scene was then turned over to the registered owner. A victim notification form was completed and provided to the victim."/>
    <m/>
    <m/>
    <s v="U57SNU"/>
    <s v="MAZDA"/>
    <s v="C30"/>
    <s v="NJ"/>
    <m/>
    <m/>
    <m/>
    <m/>
    <s v="Deleon_A"/>
    <s v="P.O. Anzour Marza 356"/>
    <s v="A3"/>
    <s v="Det. John Tanucilli 335"/>
    <s v="Active/Administratively Closed"/>
    <m/>
    <n v="2025"/>
    <n v="14"/>
    <n v="1"/>
    <n v="1"/>
    <n v="91"/>
    <d v="2025-04-01T20:28:00"/>
    <n v="77"/>
    <s v="On April 1, 2025 P.O Deoliveira and I responded to 77 Prospect Avenue on a report of a burglary to Auto. Upon arrival, we were met by the victim Jaime Laracuente and the building super Mark Muci. The victim advised us that he was contacted by Mr. Muci about his vehicle being burglarized. Mr. Muci was contacted by another tenant in the building who discovered that the victims window passenger side window was broken into. The vehicle was discovered to be burglarized at approximately 20:10 hours tonight. When the victim was asked, he stated he parked his vehicle in the rear lot of 77 Prospect Avenue at around 17:00 hours on 03/31/2025 and has not used it since. The victim provided me with his vehicle registration (NJ:U57SNU) and insurance (Code 012:   #908248625).I advised Headquarters and Sgt. Farhi responded to the scene. At this time the victim stated that he did not enter his vehicle but stated that their were no items of value when the burglary occurred. The area was canvassed with no signs of additional vehicles being burglarized and no surveillance camera's on the property. Det. Tanucilli was contacted and responded to the scene.The victim requested that his vehicle be processed for evidence and Bergen County BCI was contacted. The victim completed a consent to search form on scene. At approximately 21:33 hours BCI Det. Stefanic and Anastasio responded to the scene and processed the vehicle. Their case number is 2025-0208. The scene was then turned over to the registered owner. A victim notification form was completed and provided to the victim."/>
    <s v="Vehicle 1: NJ-U57SNU MAZDA, C30"/>
    <s v=""/>
    <s v=""/>
    <s v="C04W14"/>
  </r>
  <r>
    <s v="25-029155"/>
    <x v="10"/>
    <x v="2"/>
    <d v="1899-12-30T23:00:00"/>
    <d v="1899-12-30T23:10:00"/>
    <x v="5"/>
    <s v="April"/>
    <s v="Summit Ave, 200 Block"/>
    <s v="283 Summit Avenue"/>
    <x v="0"/>
    <s v="Burglary - Auto"/>
    <s v=""/>
    <s v=""/>
    <s v="283 Summit Avenue, Hackensack, NJ, 07601"/>
    <s v="H5"/>
    <n v="8"/>
    <s v="On April 10, 2025, I responded to the listed location on a report of a Burglary to Auto. Upon arrival, I met with the victim, Stein Saboae. The victim reported a Burglary to his auto bearing NJ registration Z73VFP. The victim reported his ring camera captures a young white male approximately 15-17 years of age, last seen wearing a neon green and gray jacket with dark pants and a helmet. The unknown suspect is observed on a black scooter riding down into the victim's driveway at 2310 hours and ride back out at 2311 hours. The ring camera located at the backdoor captured him opening the driver side door. The victim reports his Oakley clear green lenses glasses missing out of the vehicle. The victim reported the value of the Oakley glasses are $395.00 dollars. Sgt. Tovbin also responded. The victim does not wish to have his vehicle processed. The victim received a  completed victim notification form. The surveillance footage was emailed to detectives division with  the case number. Det. Sgt. Williams was notified."/>
    <m/>
    <m/>
    <s v="Z73VFP"/>
    <s v="CHEVROLET"/>
    <s v="SUB"/>
    <s v="NJ"/>
    <m/>
    <m/>
    <m/>
    <m/>
    <s v="Bay_F"/>
    <s v="P.O. Roselys Salas 369"/>
    <s v="B4"/>
    <s v="Det. Gunther Lara-Nunez 351"/>
    <s v="Active Investigation"/>
    <m/>
    <n v="2025"/>
    <n v="15"/>
    <n v="2"/>
    <n v="9"/>
    <n v="99"/>
    <d v="2025-04-09T23:10:00"/>
    <n v="283"/>
    <s v="On April 10, 2025, I responded to the listed location on a report of a Burglary to Auto. Upon arrival, I met with the victim, Stein Saboae. The victim reported a Burglary to his auto bearing NJ registration Z73VFP. The victim reported his ring camera captures a young white male approximately 15-17 years of age, last seen wearing a neon green and gray jacket with dark pants and a helmet. The unknown suspect is observed on a black scooter riding down into the victim's driveway at 2310 hours and ride back out at 2311 hours. The ring camera located at the backdoor captured him opening the driver side door. The victim reports his Oakley clear green lenses glasses missing out of the vehicle. The victim reported the value of the Oakley glasses are $395.00 dollars. Sgt. Tovbin also responded. The victim does not wish to have his vehicle processed. The victim received a  completed victim notification form. The surveillance footage was emailed to detectives division with  the case number. Det. Sgt. Williams was notified."/>
    <s v="Vehicle 1: NJ-Z73VFP CHEVROLET, SUB"/>
    <s v="suspect is observed on a black scooter riding down into the victim's driveway at 2310 hours and ride back out at 2311 hours"/>
    <s v="$395.00 dollars. Sgt"/>
    <s v="C04W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
  <r>
    <s v="25-003362"/>
    <n v="45670"/>
    <d v="1899-12-30T12:05:00"/>
    <m/>
    <m/>
    <d v="2025-01-13T00:00:00"/>
    <d v="1899-12-30T12:07:44"/>
    <s v="Dispute"/>
    <s v="Criminal Attempt - 2C:5-1"/>
    <s v="Robbery - 2C:15-1"/>
    <s v="204 Clay Street, Hackensack, NJ, 07601"/>
    <s v="H3"/>
    <n v="8"/>
    <s v="On Monday, January 13th, 2025, at approximately 12:07 hours, P.O. Alvarez and I responded to the listed location on a dispute report. Before our arrival, headquarters had advised us that the male suspect, described as wearing a grey hoodie and sweatpants, had fled southbound on First Street. Upon arrival, we met with Maria Romero Peralta, the mother of the juvenile victim, A.R.      She reported that the described suspect, later identified as D.T., had punched her in the left eye and her right breast. With the mother's permission and in her presence, we spoke to the victim, a juvenile male, A.R., who reported that the suspect, D.T., had stolen a red electronic moped bike and had dropped it off at his house. He further reported that the suspect asked the victim if he could drop off the stolen moped for a couple of days. The victim also reported giving the stolen moped bike to another friend since he did not know how to operate the bike. A.R. later noted that the suspect, D.T., recovered the stolen moped bike from the said friend they have in common and had the bike confiscated byLaw Enforcement in another jurisdiction.      Today, the victim reported that the suspect arrived at his residence demanding $400.00 for the moped because it had been confiscated. He further reported that the suspect arrived with three (3) other friends: two Hispanic males, unknown names, dates of birth, or addresses, and a Hispanic female, blonde hair and blue jacket, operating a Toyota Rav 4 with an unknown NY tag. He also reported that a fight ensued between him and the suspect, and the three (3) witnesses stood by.      The victim also reported that his mother, Maria Romero Peralta, heard the commotion and broke up the fight, retreating with the victim and herself back into the residence. A.R. reported that the front entrance door closed and was being held by his mother when the suspect breached the door with physical force and continued to assault the victim while demanding $400.00 for the red moped electric bike.  I then requested a supervisor, and Sgt. Williams responded to assist.     Maria Romero Peralta reported that while attempting to break up the fight, she was punched in the left eye and right breast by the suspect, D.T. She also reported that the suspect and the three (3) witnesses fled the scene after she threatened to call the police. Maria Romero Peralta, along with A.R. declined medical attention at the scene. The mother and the victim wanted to provide statements to detectives and were transported to headquarters by P.O. Alvarez as I followed.      At headquarters, Detectives Mora and Garrett responded to report room 2 and met with the victim and his mother. Before providing statements to the detectives, Maria Romero Peralta began to have complaints of pain in her left eye and right breast. I observed her left eye to be swollen and red. Maria Romero Peralta then requested to be transported to the hospital for evaluation and treatment. I requested an ambulance, and Hackensack University Medical Center BLS #136 arrived. The mother, now a patient, was transported to the HUMC along with A.R. for treatment. The patient reported that she would respond to headquarters at a later time to provide statements to the detectives. I contacted DCP&amp;P Christine #1718 and advised of the incident. She reported that the incident would only be documented. I completed a victim notification form and provided a copy to the victim.It should be noted that the victim, A.R., reported that he had dropped out of school as of today; therefore, a handle with care was not completed. See Detectives report for additional information."/>
    <m/>
    <m/>
    <m/>
    <m/>
    <m/>
    <m/>
    <m/>
    <m/>
    <m/>
    <m/>
    <s v="klosk_j"/>
    <s v="Complete"/>
    <s v="P.O. Forrod Bonsu 353"/>
    <s v="B1"/>
    <s v="Det. Frankie Garrett 323"/>
    <s v="Active Investigation"/>
    <s v="120 = Robbery"/>
    <n v="9"/>
    <d v="2025-01-13T00:00:00"/>
    <d v="1899-12-30T12:05:00"/>
    <d v="1899-12-30T12:00:00"/>
    <s v="Afternoon"/>
    <s v="Dispute - Criminal Attempt - 2C:5-1 - Robbery - 2C:15-1"/>
    <d v="1899-12-30T12:05:00"/>
    <d v="2025-01-13T00:00:00"/>
    <d v="1899-12-30T12:00:00"/>
    <m/>
    <s v="Afternoon (12:00–15:59)"/>
    <s v="Monday"/>
    <s v="January"/>
    <n v="2025"/>
    <n v="3"/>
    <n v="3"/>
    <n v="13"/>
    <n v="13"/>
    <s v="Clay Street, 200 Block"/>
    <s v="204 Clay Street, Hackensack, NJ, 07601"/>
    <m/>
    <m/>
    <m/>
    <m/>
    <m/>
    <m/>
    <s v="Afternoon (12:00–15:59)"/>
    <x v="0"/>
  </r>
  <r>
    <s v="25-003813"/>
    <n v="45671"/>
    <d v="1899-12-30T15:22:34"/>
    <m/>
    <m/>
    <d v="2025-01-14T00:00:00"/>
    <d v="1899-12-30T15:22:34"/>
    <s v="Robbery - 2C:15-1"/>
    <s v="Resisting Arrest/Eluding - 2C:29-2"/>
    <s v="Suspicious Person"/>
    <s v="450 Hackensack Avenue, Hackensack, NJ, 07601"/>
    <s v="I6"/>
    <n v="9"/>
    <s v="On Tuesday, January 14th, 2025, P.O. Conlon. P.O. Voorhis, and I responded to 450 Hackensack Avenue for a report of a trespasser on the premises who had shoplifted in the past and has also been aggressive with staff in the past.    Upon my arrival, I observed the arrestee enter a white Volkswagon (NJ-Y82VDS) that was leaving the parking lot. The security officers at Home Depot also pointed out the arrestee as he entered the car. I conducted a motor vehicle stop with the vehicle at the traffic light exiting the parking lot. As I approached the vehicle, the arrestee exited the vehicle and started running West on Hackensack Avenue. P.O. Conlon, P.O. Voorhis, and I began running after the arrestee and announcing ourselves as Hackensack Police. When the arrestee approached the other side of Hackensack Avenue, he stopped, and P.O. Conlon apprehended him. The arrestee was flailing his arms while I was attempting to place him in handcuffs. The arrestee was then put in handcuffs with his hands behind his back. The arrestee was then searched, which yielded negative for contraband.   The Loss Prevention Officers stated that the arrestee entered the front door of Home Depot with a black ski covering his face. The loss prevention officers noticed the arrestee from previous shoplifting. The arrestee then concealed several power tools totaling $1,284.00 and placed them in a shopping cart. The arrestee then went past all points of sale and tried to exit the store. Prior to exiting the store, the loss prevention officers approached him and tried to stop him from leaving. The arrestee then pushed the loss prevention officers and fled the store on foot. The loss prevention officer recovered the items. The arrestee then entered the listed vehicle and fled the parking lot for the exit of the mall. A photo copy of the receipt was placed into the BCI mailbox located at the front at the front desk.  The items that were recovered: M18 Jobsite Radio priced at $189.00Two 20V Atomic BL Combo Kit priced at $149.00 eachM18 Fuel Jig Saw priced at $199.00MKE M12 Packout Flood Light priced at $149.00M18 Fuel 10 Miter Saw priced at $449.00     Totaling at $1,284.00.The arrestee was placed in radio car 114 and transported to police headquarters for processing. The vehicle was checked before and after the transport for contraband which yielded negative   The arrestee was processed at police headquarters by P.O. Caero. Complaint W-2025-000016 was authored by Lt. Swetits against the arrestee and was signed for 2C:29-2a(1), 2C:29-2a(2), and two counts of 2C:15-1A(1).  The arrestee also had multiple outstanding warrants from various jurisdictions.The arrestee was remanded to the Bergen County Jail."/>
    <m/>
    <m/>
    <s v="y82vds"/>
    <s v="Volks"/>
    <s v="ATL"/>
    <s v="NJ"/>
    <m/>
    <m/>
    <m/>
    <m/>
    <s v="swetits_m"/>
    <s v="Complete"/>
    <s v="P.O. Nicholas Mazzaccaro 377"/>
    <s v="b2"/>
    <s v="Det. John Tanucilli 335"/>
    <s v="Active Investigation"/>
    <s v="120 = Robbery"/>
    <n v="9"/>
    <d v="2025-01-14T00:00:00"/>
    <d v="1899-12-30T15:22:34"/>
    <d v="1899-12-30T15:00:00"/>
    <s v="Afternoon"/>
    <s v="Robbery - 2C:15-1 - Resisting Arrest/Eluding - 2C:29-2 - Suspicious Person"/>
    <d v="1899-12-30T15:22:34"/>
    <d v="2025-01-14T00:00:00"/>
    <d v="1899-12-30T15:00:00"/>
    <m/>
    <s v="Afternoon (12:00–15:59)"/>
    <s v="Tuesday"/>
    <s v="January"/>
    <n v="2025"/>
    <n v="3"/>
    <n v="3"/>
    <n v="14"/>
    <n v="14"/>
    <s v="Hackensack Avenue, 400 Block"/>
    <s v="450 Hackensack Avenue, Hackensack, NJ, 07601"/>
    <m/>
    <m/>
    <s v="Volks ATL"/>
    <m/>
    <m/>
    <m/>
    <s v="Afternoon (12:00–15:59)"/>
    <x v="0"/>
  </r>
  <r>
    <s v="25-004629"/>
    <n v="45673"/>
    <d v="1899-12-30T21:03:00"/>
    <d v="2025-01-16T00:00:00"/>
    <d v="1899-12-30T21:16:00"/>
    <d v="2025-01-17T00:00:00"/>
    <d v="1899-12-30T12:16:59"/>
    <s v="Robbery - 2C:15-1"/>
    <m/>
    <m/>
    <s v="630 Main Street, Hackensack, NJ, 07601"/>
    <s v="I1"/>
    <n v="9"/>
    <s v="Suspect 1: Hispanic male, approximately early 30' s in age, approximately 5'10&quot; in height, approximately 180 in weight, wearing a tan hooded sweater, brown &quot;NY&quot; Yankees logo hat, black sweatpants and white sneakers.Suspect 2: Hispanic female, approximately mid 20's in age, approximately 5'5&quot; in height, approximately 140 in weight, wearing a black jacket, grey hooded sweater, tan pants and cream colored shoes. Suspect Vehicle: 4 door Silver in color Hyundai Sonata (unknown registration).On 1/17/25 P.O. Papanikolaou and I responded to 630 Main Street, Target on a reported shoplifting. While   speaking with Target Loss Prevention they wanted to report an additional incident, which occurred in the past.Target Loss Prevention / victim, Cheikh Gaye, reported on 1/16/25 at approximately 21:03 hours suspect 1 and suspect 2 entered Target. It was further reported on 1/16/25 at approximately 21:16 hours suspect 1 and 2 passed all points of sale with unpaid merchandise in a shopping cart. The unpaid merchandise (furniture, grocery, health and beauty, home and kitchen products) totaled $452.71. Prior to exiting Target Loss Prevention / the victim confronted both suspects. Target Loss Prevention were able to recover all merchandise that both suspects attempted to steal. While recovering the stolen merchandise suspect 1 punched the victim in the head, specifically the top left side, with a closed fist one time. The victim reported having a complaint of pain hours after being assaulted. Both suspect later left the area in the suspect vehicle. A Sgt. was requested and Sgt. Competiello responded. Detectives were notified. The victim later responded to headquarters to provide a voluntary statement. The victim refused medical attention at this time.A receipt of the unpaid merchandise was provided by Target Loss Prevention. The receipt was later secured in the Detective Bureau Mailbox."/>
    <m/>
    <m/>
    <m/>
    <s v="Hyundai"/>
    <s v="Sonata"/>
    <m/>
    <m/>
    <m/>
    <m/>
    <m/>
    <s v="deleon_a"/>
    <s v="Complete"/>
    <s v="P.O. Massimo Gallorini 379"/>
    <s v="A2"/>
    <s v="Det. John Mora 257"/>
    <s v="Cleared - Arrest"/>
    <s v="120 = Robbery"/>
    <n v="9"/>
    <d v="2025-01-16T00:00:00"/>
    <d v="1899-12-30T21:03:00"/>
    <d v="1899-12-30T21:00:00"/>
    <s v="Evening"/>
    <s v="Robbery - 2C:15-1"/>
    <d v="1899-12-30T21:03:00"/>
    <d v="2025-01-16T00:00:00"/>
    <d v="1899-12-30T21:00:00"/>
    <m/>
    <s v="Night (20:00–23:59)"/>
    <s v="Thursday"/>
    <s v="January"/>
    <n v="2025"/>
    <n v="3"/>
    <n v="3"/>
    <n v="16"/>
    <n v="16"/>
    <s v="Main Street, 600 Block"/>
    <s v="630 Main Street, Hackensack, NJ, 07601"/>
    <m/>
    <m/>
    <s v="Hyundai Sonata"/>
    <m/>
    <m/>
    <m/>
    <s v="Night (20:00–23:59)"/>
    <x v="1"/>
  </r>
  <r>
    <s v="25-009348"/>
    <n v="45690"/>
    <d v="1899-12-30T17:25:00"/>
    <d v="2025-02-02T00:00:00"/>
    <d v="1899-12-30T18:00:00"/>
    <d v="2025-02-03T00:00:00"/>
    <d v="1899-12-30T12:02:04"/>
    <s v="Suspicious Incident"/>
    <s v="Robbery - 2C:15-1"/>
    <m/>
    <s v="144 Hudson Street, Hackensack, NJ, 07601"/>
    <s v="E1"/>
    <n v="5"/>
    <s v="Unknown Suspect Descriptions:Unknown Suspect 1: Tall white male, crew cut, no clothing descriptionUnknown Suspects 2-5: 4 males, unknown race, wearing dark colored helmets and dark clothes with padding.         While in the area, P.O. Maceri and I were flagged down by the victim. Upon speaking with him, he advised that he had been robbed. Sgt. Farhi responded to assist.          The victim stated that on 02/02/2025 between 17:25 and 18:00 hours, he was walking north on Main Street, near the area of Main Street and Court Street with two acquaintances. He further stated that while walking in that area, a verbal dispute took place between the three of them. The victim reported that at this time, he was approached by five suspects, with four of them carrying bats. He further reported that suspect #1 threatened him, stating that he would beat him up if he didn't hand over his belongings. The victim stated that suspect #1 forcibly retrieved the wallet off his person and removed a debit card and identification card, before throwing the wallet back in his direction. He further stated that the suspect's then told him if they saw him again, they would beat him up. The suspects then fled east on Court Street, before turning left to head north on River Road.        A New Jersey Victim Notification Form was completed and provided to the victim.       The detective division was notified and advised that they would follow up with the victim."/>
    <m/>
    <m/>
    <m/>
    <m/>
    <m/>
    <m/>
    <m/>
    <m/>
    <m/>
    <m/>
    <s v="deleon_a"/>
    <s v="Complete"/>
    <s v="P.O. Micah Gibson 365"/>
    <s v="A3"/>
    <s v="Sgt. Francesco Tripodi 134"/>
    <s v="No Investigation"/>
    <m/>
    <n v="9"/>
    <d v="2025-02-02T00:00:00"/>
    <d v="1899-12-30T17:25:00"/>
    <d v="1899-12-30T17:00:00"/>
    <s v="Afternoon"/>
    <s v="Suspicious Incident - Robbery - 2C:15-1"/>
    <d v="1899-12-30T17:25:00"/>
    <d v="2025-02-02T00:00:00"/>
    <d v="1899-12-30T17:00:00"/>
    <m/>
    <s v="Evening Peak (16:00–19:59)"/>
    <s v="Sunday"/>
    <s v="February"/>
    <n v="2025"/>
    <n v="6"/>
    <n v="2"/>
    <n v="2"/>
    <n v="33"/>
    <s v="Hudson Street, 100 Block"/>
    <s v="144 Hudson Street, Hackensack, NJ, 07601"/>
    <m/>
    <m/>
    <m/>
    <m/>
    <m/>
    <m/>
    <s v="Evening Peak (16:00–19:59)"/>
    <x v="2"/>
  </r>
  <r>
    <s v="25-009438"/>
    <m/>
    <m/>
    <m/>
    <m/>
    <d v="2025-02-03T00:00:00"/>
    <d v="1899-12-30T16:40:35"/>
    <s v="Robbery - 2C:15-1"/>
    <m/>
    <m/>
    <s v="400 Hackensack Avenue, Hackensack, NJ, 07601"/>
    <s v="I6"/>
    <n v="9"/>
    <s v="On Monday, February 3, 2025 at approximately 1640 hours, Sgt. Farhi and I responded to 400 Hackensack Avenue (Marc Jacobs) on a reported robbery. Upon arrival, I met with the victim who reported that three suspects (1 male, 2 females) entered the establishment at approximately 1600 hours. The suspects reportedly exited and reentered the store multiples time prior to committing the offense, with the last entry being made only by the male suspect.     The victim further reported that the suspect grabbed three small purses from the display shelf before he began to walk toward the exit. At that time, the victim stated that he attempted to stop the suspect, who immediately shoved him into a store fixture. The suspect reportedly proceeded to run out of the store toward the nearest mall exit, where he entered a black vehicle and fled in an unknown direction. The victim stated that he was able to recover one of the purses during the incident.     The victim advised that he sustained minor injuries to his left arm as result of the incident, in which he refused any medical attention. The victim wished to provide a recorded statement to detectives. He was transported to police headquarters where he was turned over to Det. Dogali. The total loss suffered by the establishment for the two purses was approximately $650.00. The store manager (witness) wished to have complaints signed against the suspects if they were able to be identified.     Suspect 1: Black male, slim build, 5'8&quot;, black beanie, black puffer, dark pants, white/blue sneakers     Suspect 2: Black female, heavy build, 5'8&quot;, short hair, black puffer, black leggings, black pocketbook     Suspect 3: Black female, heavy build, 5'7&quot;, long cornrows, gray puffer, light blue jeans"/>
    <m/>
    <m/>
    <m/>
    <m/>
    <m/>
    <m/>
    <m/>
    <m/>
    <m/>
    <m/>
    <s v="levis_r"/>
    <s v="Complete"/>
    <s v="P.O. Aziah Miller 357"/>
    <s v="A3"/>
    <s v="Det. Matthew Dogali 338"/>
    <s v="Active/Administratively Closed"/>
    <s v="120 = Robbery"/>
    <n v="9"/>
    <d v="2025-02-03T00:00:00"/>
    <d v="1899-12-30T16:40:35"/>
    <d v="1899-12-30T16:00:00"/>
    <s v="Afternoon"/>
    <s v="Robbery - 2C:15-1"/>
    <d v="1899-12-30T16:40:35"/>
    <d v="2025-02-03T00:00:00"/>
    <d v="1899-12-30T16:00:00"/>
    <m/>
    <s v="Evening Peak (16:00–19:59)"/>
    <s v="Monday"/>
    <s v="February"/>
    <n v="2025"/>
    <n v="6"/>
    <n v="2"/>
    <n v="3"/>
    <n v="34"/>
    <s v="Hackensack Avenue, 400 Block"/>
    <s v="400 Hackensack Avenue, Hackensack, NJ, 07601"/>
    <m/>
    <m/>
    <m/>
    <m/>
    <m/>
    <m/>
    <s v="Evening Peak (16:00–19:59)"/>
    <x v="2"/>
  </r>
  <r>
    <s v="25-012110"/>
    <n v="45701"/>
    <d v="1899-12-30T02:00:00"/>
    <m/>
    <m/>
    <d v="2025-02-13T00:00:00"/>
    <d v="1899-12-30T12:17:39"/>
    <s v="Assist Other Agency"/>
    <s v="Aggravated Assault - 2C:12-1b"/>
    <s v="Robbery - 2C:15-1"/>
    <s v="128 Christopher Columbus Drive, Jersey City, NJ 07302, Hackensack, NJ, 07601"/>
    <s v="I5"/>
    <n v="9"/>
    <s v="Victim and suspect were in a dating relationship for approximately 9 months.    I responded to Police Headquarters on a report of Domestic Violence. Upon arrival I met with the Victim who stated on 02/13/2025 at approximately 0200 hours she was at a bar called &quot;Six26&quot;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
    <m/>
    <m/>
    <m/>
    <m/>
    <m/>
    <m/>
    <m/>
    <m/>
    <m/>
    <m/>
    <s v="briggs_s"/>
    <s v="Complete"/>
    <s v="P.O. Angelo Vicale 370"/>
    <s v="B3"/>
    <s v="Det. John Mora 257"/>
    <s v="TOT Outside Jurisdiction"/>
    <m/>
    <n v="9"/>
    <d v="2025-02-13T00:00:00"/>
    <d v="1899-12-30T02:00:00"/>
    <d v="1899-12-30T02:00:00"/>
    <s v="Morning"/>
    <s v="Assist Other Agency - Aggravated Assault - 2C:12-1b - Robbery - 2C:15-1"/>
    <d v="1899-12-30T02:00:00"/>
    <d v="2025-02-13T00:00:00"/>
    <d v="1899-12-30T02:00:00"/>
    <m/>
    <s v="Early Morning (00:00–03:59)"/>
    <s v="Thursday"/>
    <s v="February"/>
    <n v="2025"/>
    <n v="7"/>
    <n v="3"/>
    <n v="13"/>
    <n v="44"/>
    <s v="Christopher Columbus Drive, 100 Block"/>
    <s v="128 Christopher Columbus Drive, Jersey City, NJ 07302, Hackensack, NJ, 07601"/>
    <m/>
    <m/>
    <m/>
    <m/>
    <m/>
    <m/>
    <s v="Early Morning (00:00–03:59)"/>
    <x v="3"/>
  </r>
  <r>
    <s v="25-017488"/>
    <n v="45720"/>
    <d v="1899-12-30T15:23:00"/>
    <m/>
    <m/>
    <d v="2025-03-04T00:00:00"/>
    <d v="1899-12-30T15:28:00"/>
    <s v="Robbery - 2C:15-1"/>
    <s v="Unlawful Possess./Weapons - 2C:39-5"/>
    <s v="Dispute"/>
    <s v="195 High Street, Hackensack, NJ, 07601"/>
    <s v="H3"/>
    <n v="8"/>
    <s v="On Tuesday, March 4, 2025, at approximately 15:28 hours, P.O. Scangarella and I responded to 195 High Street on a report of a dispute involving a baseball bat. Upon arrival, I met with the victims, Albert Hunt and Melody Foster in front of the listed address. Foster reported that earlier today, at approximately 06:30 hours, she heard loud banging on the front door. She reported that she did not answer the door but believed it was the suspect because she owed him money.  She indicated that the knocking eventually stopped. I then spoke with Hunt who reported that, while walking home from work, in the area of First and High Street, a white BMW sedan pulled along side of him. He further reported that the suspect exited the BMW and confronted him. Hunt reported that the suspect began asking where Foster was and Hunt advised him that he believes she was at the listed address. The suspect then stated &quot; Ya keep fucking around with me and I am going to bust a cap in both of your asses'. Hunt further reported that, as he continued walking towards his house, the suspect reentered the white BMW and began following him. Hunt indicated that, upon arriving to his residence, the suspect exited the BMW, and followed him up the front porch. Hunt added that, upon opening his front door, the suspect followed him inside, uninvited. Hunt reported that, upon entering behind him, the suspect removed a short black baseball bat from his waistband and stated &quot; I will fuck both of ya up&quot; and began demanding the money Foster owed him.     Hunt reported that, he told the suspect that he was going to call the police. The suspect then stated ' I ain't scared of no police&quot; and attempted to snatch Hunts phone from his hands. Hunt indicated that he was able to recover the cell phone and the suspect fled. Following the incident, Hunt and Foster observed one of their windows shattered. Both victims alleged that the suspect was responsible for the broken window, however, neither of them observed it. Foster provided a NJ registration for the suspect's vehicle of NJ -D78PNR. A computer search of the registration revealed it belonged to a White BMW 430. Foster also provided the suspects name and an address of 26 Anderson Street, where she believes the mother resides. The results of the registration lookup is also associated with the aforementioned address.     Hunt was willing to provide a recorded statement of the incident and I transported him to headquarters. Upon arrival, Det. Mora responded and escorted Hunt to the interview to complete the statement. Hunt also stated he wanted to sign complaints against the suspect. Victim Notification form was completed and a copy was provided to the vicim. Lt. Bay authored complaint number 2025-0223-W-000101 on my behalf against the suspect for 2C:15-1A(2), 2C:12-3A, 2C:12-1A3, 2C:39-5D, and 2C:39-4D."/>
    <m/>
    <m/>
    <s v="D78PNR"/>
    <s v="BMW"/>
    <s v="430"/>
    <s v="NJ"/>
    <m/>
    <m/>
    <m/>
    <m/>
    <s v="BAY_F"/>
    <s v="Complete"/>
    <s v="P.O. Bobby Rivera 361"/>
    <s v="b2"/>
    <s v="Det. John Mora 257"/>
    <s v="Complaint Signed"/>
    <s v="120 = Robbery"/>
    <n v="9"/>
    <d v="2025-03-04T00:00:00"/>
    <d v="1899-12-30T15:23:00"/>
    <d v="1899-12-30T15:00:00"/>
    <s v="Afternoon"/>
    <s v="Robbery - 2C:15-1 - Unlawful Possess./Weapons - 2C:39-5 - Dispute"/>
    <d v="1899-12-30T15:23:00"/>
    <d v="2025-03-04T00:00:00"/>
    <d v="1899-12-30T15:00:00"/>
    <m/>
    <s v="Afternoon (12:00–15:59)"/>
    <s v="Tuesday"/>
    <s v="March"/>
    <n v="2025"/>
    <n v="10"/>
    <n v="2"/>
    <n v="4"/>
    <n v="63"/>
    <s v="High Street, 100 Block"/>
    <s v="195 High Street, Hackensack, NJ, 07601"/>
    <m/>
    <m/>
    <s v="BMW 430"/>
    <m/>
    <m/>
    <m/>
    <s v="Afternoon (12:00–15:59)"/>
    <x v="0"/>
  </r>
  <r>
    <s v="25-017536"/>
    <n v="45720"/>
    <d v="1899-12-30T18:59:25"/>
    <m/>
    <m/>
    <d v="2025-03-04T00:00:00"/>
    <d v="1899-12-30T18:59:25"/>
    <s v="Robbery - 2C:15-1"/>
    <m/>
    <m/>
    <s v="216 Essex Street, Hackensack, NJ, 07601"/>
    <s v="F1"/>
    <n v="6"/>
    <s v="Suspect description:  BM, 5'5, gray vest, blue hooded sweatshirt, blue jeans, black medium length hair, black purse and a black backpack.       I responded to the listed location on a report of a shoplifting.  Upon arrival, I spoke with Employee Digeshkum Patel who advised a black male (suspect) had entered his store whom he recognized that had caused a disturbance earlier in the day with his customers.  He told the suspect to leave or he will call the police.  The suspect then grabbed two 50 ml bottles of Patron Silver and the employee grabbed his hand.  A short tug of war ensued resulting in the employee suffering an abrasion to his left thumb.  The suspect then left the store with the bottles, picked up a black backpack he left outside the store and walked North on Lehigh Street.  I asked the employee if the suspect said anything during the theft and he stated the suspect responded, &quot;If you call the police, I will kill you.&quot;  For clarification, I later asked him at what point the threats occurred and the second time he replied that the threats occurred just prior to the suspect taking the bottles.       The victim declined medical attention and I requested a Supervisor to respond.  Sgt. Briggs responded and asked the victim if he was able to make a recorded statement which he replied that he could come to the police department tomorrow.  I asked the victim if he believed if the threat to his life would be carried out or if he was in fear for his safety and he replied &quot;No.&quot;       A BOLO of the suspect was put out to patrols and a canvass of the area was negative for the suspect.       The victim did want to file charges against the suspect if he was identified.  A victim notification form was completed and provided to the victim.  The employee was asked to retain the video footage of the incident until a detective could make a copy.          The bottles of Patron were valued at $7.00 each for a total loss of $14.00."/>
    <m/>
    <m/>
    <m/>
    <m/>
    <m/>
    <m/>
    <m/>
    <m/>
    <m/>
    <m/>
    <s v="BAY_F"/>
    <s v="Complete"/>
    <s v="P.O. Steven Lemanowicz 347"/>
    <s v="B4"/>
    <s v="Det. Matthew DeBonis 325"/>
    <s v="Complaint Signed"/>
    <s v="120 = Robbery"/>
    <n v="9"/>
    <d v="2025-03-04T00:00:00"/>
    <d v="1899-12-30T18:59:25"/>
    <d v="1899-12-30T18:00:00"/>
    <s v="Evening"/>
    <s v="Robbery - 2C:15-1"/>
    <d v="1899-12-30T18:59:25"/>
    <d v="2025-03-04T00:00:00"/>
    <d v="1899-12-30T18:00:00"/>
    <m/>
    <s v="Evening Peak (16:00–19:59)"/>
    <s v="Tuesday"/>
    <s v="March"/>
    <n v="2025"/>
    <n v="10"/>
    <n v="2"/>
    <n v="4"/>
    <n v="63"/>
    <s v="Essex Street, 200 Block"/>
    <s v="216 Essex Street, Hackensack, NJ, 07601"/>
    <m/>
    <m/>
    <m/>
    <m/>
    <m/>
    <m/>
    <s v="Evening Peak (16:00–19:59)"/>
    <x v="2"/>
  </r>
  <r>
    <s v="25-024100"/>
    <n v="45741"/>
    <d v="1899-12-30T11:37:00"/>
    <m/>
    <m/>
    <d v="2025-03-25T00:00:00"/>
    <d v="1899-12-30T12:04:57"/>
    <s v="Robbery - 2C:15-1"/>
    <s v="Theft - 2C:20-3"/>
    <s v="Medical Call"/>
    <s v="450 Hackensack Avenue, Hackensack, NJ, 07601"/>
    <s v="I6"/>
    <n v="9"/>
    <s v="Suspect: Hispanic female approximately 50 years of age and heavy build.      On March 25, 2025, at approximately 1204 hours I responded to 450 Hackensack Avenue on a reported robbery. Sgt. Donnerstag and Sgt. Ghirardi responded to assist. We spoke with the victim who reported that he had just finished shopping at 99 Ranch Market and placed the groceries in his vehicle. After placing the groceries in his vehicle, the victim sat in the driver's seat of his car. The victim further reported he was approached by the suspect who put a gold chain around his neck and began to converse with him. The suspect then began to rip the victim's Rolex watch off of his left wrist. The victim attempted to stop the suspect but was unsuccessful. The suspect stole the watch and got into the passenger seat of a white sedan, which drove off. The victim sustained abrasions to both hands.     The Rolex stolen was gold and had a white face. The approximate value is $15,000.00. Hackensack University Medical Center BLS responded to the scene and evaluated the patient. The patient refused to be transported to the hospital and signed a form. Sgt. Williams and Det. Tanucilli responded to the scene to assist. The victim reported that he would provide a recorded statement to detectives at a later date because he had to go home to tend to his son. The victim did not want his vehicle processed at this point in time. There are surveillance cameras where this incident occurred. I completed a victim notification form and the victim was given a copy.    The necklace that was placed on the victim's neck was secured in an evidence bag and transported to Hackensack Police Headquarters where it was placed in evidence locker #8. TOT to detectives."/>
    <m/>
    <m/>
    <s v="C73VBN"/>
    <s v="Subaru"/>
    <s v="IMP"/>
    <s v="NJ"/>
    <m/>
    <m/>
    <m/>
    <m/>
    <s v="klosk_j"/>
    <s v="Complete"/>
    <s v="P.O. Christian Alvarez 364"/>
    <s v="B1"/>
    <s v="Det. John Tanucilli 335"/>
    <s v="Active Investigation"/>
    <s v="120 = Robbery"/>
    <n v="9"/>
    <d v="2025-03-25T00:00:00"/>
    <d v="1899-12-30T11:37:00"/>
    <d v="1899-12-30T11:00:00"/>
    <s v="Morning"/>
    <s v="Robbery - 2C:15-1 - Theft - 2C:20-3 - Medical Call"/>
    <d v="1899-12-30T11:37:00"/>
    <d v="2025-03-25T00:00:00"/>
    <d v="1899-12-30T11:00:00"/>
    <m/>
    <s v="Morning Peak (08:00–11:59)"/>
    <s v="Tuesday"/>
    <s v="March"/>
    <n v="2025"/>
    <n v="13"/>
    <n v="5"/>
    <n v="25"/>
    <n v="84"/>
    <s v="Hackensack Avenue, 400 Block"/>
    <s v="450 Hackensack Avenue, Hackensack, NJ, 07601"/>
    <m/>
    <m/>
    <s v="Subaru IMP"/>
    <m/>
    <m/>
    <m/>
    <s v="Morning Peak (08:00–11:59)"/>
    <x v="4"/>
  </r>
  <r>
    <s v="25-031686"/>
    <n v="45765"/>
    <d v="1899-12-30T20:30:00"/>
    <m/>
    <m/>
    <d v="2025-04-18T00:00:00"/>
    <d v="1899-12-30T23:27:52"/>
    <s v="Robbery - 2C:15-1"/>
    <s v="Intoxicated Person"/>
    <s v="Assist Other Agency"/>
    <s v="125 River Street, Hackensack, NJ, 07601"/>
    <s v="G1"/>
    <n v="7"/>
    <s v="Suspect's description: 6'00 Hispanic males with medium skin color complexion.      On Friday, 04/19/2025, I responded to a bus shelter on Grand Avenue, River Edge and met with P.O. Colucci from River Edge Police Department. He reported that Mr. Michael Kennedy (victim) reported that he was robbed at the Hackensack Bus Terminal earlier today. The victim was intoxicated and does not remember exactly how the incident occurred. He remembers leaving Bergen Community Wellness Center on Hudson Street around 2000 hours.      While on scene, the victim reported that he and two other Hispanic males got into a mutual fight at the bus terminal. P.O. Colucci told me the victim changed his story and the last statement was not his original reporting. The victim then reported while outside the bus terminal, he was snatched from behind by the suspects, kicked on his right leg and punched in the head several times. Sgt. Donnerstag arrived to assist. We did not observe any injuries to the victim nor did he have a complaint of pain in the areas. The victim further reported that the suspects stole $30.00 and his bus pass (unknown value). The victim was turned back over to P.O. Colucci, who was subsequently transported to New Bridge Medical Center due to his level of intoxication.     I responded to the bus terminal and did not observed any possible evidence from the incident or a possible crime scene. Detectives were notified."/>
    <m/>
    <m/>
    <m/>
    <m/>
    <m/>
    <m/>
    <m/>
    <m/>
    <m/>
    <m/>
    <s v="ghirardi_r"/>
    <s v="Complete"/>
    <s v="P.O. Kevin Small 328"/>
    <s v="b2"/>
    <s v="Sgt. Patrick Williams 143"/>
    <s v="Under Supervisor Review"/>
    <s v="120 = Robbery"/>
    <n v="9"/>
    <d v="2025-04-18T00:00:00"/>
    <d v="1899-12-30T20:30:00"/>
    <d v="1899-12-30T20:00:00"/>
    <s v="Evening"/>
    <s v="Robbery - 2C:15-1 - Intoxicated Person - Assist Other Agency"/>
    <d v="1899-12-30T20:30:00"/>
    <d v="2025-04-18T00:00:00"/>
    <d v="1899-12-30T20:00:00"/>
    <m/>
    <s v="Night (20:00–23:59)"/>
    <s v="Friday"/>
    <s v="April"/>
    <n v="2025"/>
    <n v="16"/>
    <n v="3"/>
    <n v="18"/>
    <n v="108"/>
    <s v="River Street, 100 Block"/>
    <s v="125 River Street, Hackensack, NJ, 07601"/>
    <m/>
    <m/>
    <m/>
    <m/>
    <m/>
    <m/>
    <s v="Night (20:00–23:59)"/>
    <x v="1"/>
  </r>
  <r>
    <s v="25-035383"/>
    <n v="45774"/>
    <d v="1899-12-30T18:30:00"/>
    <m/>
    <m/>
    <d v="2025-04-29T00:00:00"/>
    <d v="1899-12-30T08:30:00"/>
    <s v="Carjacking - 2C:15-2"/>
    <s v="Robbery - 2C:15-1"/>
    <m/>
    <s v="East Pleasantview Avenue  &amp; Kipp Street, Hackensack, NJ, 07601"/>
    <s v="F3"/>
    <n v="6"/>
    <s v="On Tuesday, April 29th at approximately 0830 hours, while Detective Reo was on an extra duty traffic assignment, an anonymous male complainant approached him and disclosed the following. The anonymous complainant stated that on Sunday, April 29th at approximately 1830 hours, he witnessed an armed robbery committed by three (3) unknown male actors against an unknown Hispanic male in the area of Kipp Street and E. Pleasantview Avenue. The complainant further disclosed that the alleged &quot;victim&quot; was observed being dragged and thrown from the exterior hood of a vehicle, possibly car jacked and that one of the actor(s) displayed a firearm. No other information was provided at the time.   At approximately 1000 hours, after receiving the anonymous report and information from D/Sgt. Seretis, Detective Rios and I responded to the area to conduct a thorough canvass. Upon further investigation, we acquired numerous CCTV recordings of the incident, which corroborated the complainant's recollection of the events that occurred.     The Bergen County Prosecutor's Office Special Investigation Squad was notified and responded. The incident is under active investigation pending further development."/>
    <m/>
    <m/>
    <s v="Unknown"/>
    <s v="BMW"/>
    <m/>
    <m/>
    <s v="unknown"/>
    <m/>
    <s v="Mercedes"/>
    <m/>
    <m/>
    <s v="Complete"/>
    <s v="Det. Michael Koenig 153"/>
    <s v="CSB"/>
    <m/>
    <m/>
    <m/>
    <n v="9"/>
    <d v="2025-04-27T00:00:00"/>
    <d v="1899-12-30T18:30:00"/>
    <d v="1899-12-30T18:00:00"/>
    <s v="Evening"/>
    <s v="Carjacking - 2C:15-2 - Robbery - 2C:15-1"/>
    <d v="1899-12-30T18:30:00"/>
    <d v="2025-04-27T00:00:00"/>
    <d v="1899-12-30T18:00:00"/>
    <m/>
    <s v="Evening Peak (16:00–19:59)"/>
    <s v="Sunday"/>
    <s v="April"/>
    <n v="2025"/>
    <n v="18"/>
    <n v="5"/>
    <n v="27"/>
    <n v="117"/>
    <s v="Pleasantview Avenue  &amp; Kipp Street, Unknown Block"/>
    <s v="East Pleasantview Avenue  &amp; Kipp Street, Hackensack, NJ, 07601"/>
    <m/>
    <m/>
    <s v="BMW "/>
    <m/>
    <m/>
    <m/>
    <s v="Evening Peak (16:00–19:59)"/>
    <x v="2"/>
  </r>
  <r>
    <s v="25-035499"/>
    <n v="45777"/>
    <d v="1899-12-30T16:19:23"/>
    <m/>
    <m/>
    <d v="2025-04-30T00:00:00"/>
    <d v="1899-12-30T16:19:23"/>
    <s v="Robbery - 2C:15-1"/>
    <m/>
    <m/>
    <s v="Park Street &amp; , Hackensack, NJ, 07601"/>
    <m/>
    <m/>
    <s v="Suspects description: (1) Black Male wearing a black hoodie and a black ski mask black sweatpants and unknown sneakers. Possibly 20-30 yrs of age but difficult to tell with the ski masks.  (2) Black male wearing a black hoodie with black jeans and unknown sneakers with a maroon and black military pattern ski mask. Possibly 20-30 years of age but difficult to tell with the ski mask         The complainant and the victim responded to police headquarters to report a robbery. The victim stated he was walking West on Gamewell coming to the intersection of South Park street at approximately 1400-1430 hours when two Suspects approached him one standing behind him holding a sharp object to his back and another in front of him raiding his pockets. He stated the suspects were saying something to him in English but he did not understand any of it since he only speaks Spanish. The victim stated he was too afraid to fight back and the suspects took approximately $385-$387 cash and his blue IPhone 15 with a gray case from his pockets. The complainant was advised on how to sign complainant and may do so if the suspects are identified. A New Jersey Victim Notification form was completed and a copy was provided to the complainant.Det. Garrett was advised."/>
    <m/>
    <m/>
    <m/>
    <m/>
    <m/>
    <m/>
    <m/>
    <m/>
    <m/>
    <m/>
    <s v="levis_r"/>
    <s v="Complete"/>
    <s v="P.O. Angie Tabares 363"/>
    <s v="A3"/>
    <s v="Det. Felix Katsaroans 326"/>
    <s v="Ex-Cleared / Closed"/>
    <m/>
    <n v="9"/>
    <d v="2025-04-30T00:00:00"/>
    <d v="1899-12-30T16:19:23"/>
    <d v="1899-12-30T16:00:00"/>
    <s v="Afternoon"/>
    <s v="Robbery - 2C:15-1"/>
    <d v="1899-12-30T16:19:23"/>
    <d v="2025-04-30T00:00:00"/>
    <d v="1899-12-30T16:00:00"/>
    <m/>
    <s v="Evening Peak (16:00–19:59)"/>
    <s v="Wednesday"/>
    <s v="April"/>
    <n v="2025"/>
    <n v="18"/>
    <n v="5"/>
    <n v="30"/>
    <n v="120"/>
    <s v="Street &amp;, Unknown Block"/>
    <s v="Park Street &amp; , Hackensack, NJ, 07601"/>
    <m/>
    <m/>
    <m/>
    <m/>
    <m/>
    <m/>
    <s v="Evening Peak (16:00–19:59)"/>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
  <r>
    <s v="25-002564"/>
    <d v="2025-01-07T00:00:00"/>
    <d v="1899-12-30T14:00:00"/>
    <m/>
    <m/>
    <d v="2025-01-10T00:00:00"/>
    <d v="1899-12-30T14:20:51"/>
    <s v="Criminal Sexual Contact - 2C:14-3a"/>
    <s v="Juvenile Investigation"/>
    <m/>
    <s v="135 First Street, Hackensack, NJ, 07601"/>
    <s v="G3"/>
    <n v="7"/>
    <s v="On Friday January 10, 2025, I was assigned as the Hackensack High School SRO. I was advised that a student wanted to report a crime and was currently in the main office. Upon arriving to the main office I met the victim, A.R.       As I began to speak with the victim she immediately began to cry. She stated that she was inappropriately touched by the suspect who is also student. The suspect was identified as Manuel Martinez Perez. The victim stated that on Tuesday January 7, 2025  she was in her 9th period class ESL 2 in room 276. She shares this class with the suspect and his cousin Esmeralda Perez Martinez who is a potential witness.       The victim stated during class the suspect gave her a hug. As he was hugging her he dropped his hand down and grabbed her breast over her clothing. She immediately became angry and told him not to touch her. She then advised Esmeralda Perez Martinez that she was touched inappropriately by the suspect. The victim stated that she reported this incident to her her teacher Mrs. Magdalene Symmonds, but she did not understand her due to a language barrier.  The victim reported that this was not the first time she was inappropriately touched by the suspect. She reported that the prior week a similar incident occurred. I notified assistant Principal Celso King of this report.      I spoke to Esmeralda Perez Martinez who may have witness the incident. Perez Martinez stated that she sits in a group with the victim and the suspect. The day of the incident she did not observe the suspect touch the victim because she was busy doing her class work. The witness did confirm that the victim mentioned to her that she was inappropriately touched by the suspect.       The victim's mother, Raquel Lelio, was notified of the incident and responded to the school. She advised me that she was not sure if she wanted to sign criminal complaints against the suspect. She wants to speak with her daughter and husband before making a decision.       Det. E. Reyes was advised of the incident and will follow up with the complainant at a later time."/>
    <m/>
    <m/>
    <m/>
    <m/>
    <m/>
    <m/>
    <m/>
    <m/>
    <m/>
    <m/>
    <s v="Dominguez_l"/>
    <s v="Complete"/>
    <s v="Det. Cristobal Lara-Nunez 341"/>
    <s v="STA"/>
    <s v="Det. Evelyn Reyes 336"/>
    <s v="Active/Administratively Closed"/>
    <s v="11D = Fondling"/>
    <n v="9"/>
    <x v="0"/>
    <d v="1899-12-30T14:00:00"/>
    <d v="1899-12-30T14:00:00"/>
    <s v="Afternoon (12:00–15:59)"/>
    <s v="First Street, 100 Block"/>
    <s v="Criminal Sexual Contact - 2C:14-3a - Juvenile Investigation"/>
    <x v="0"/>
    <s v="Criminal Sexual Contact - 2C:14-3a - Juvenile Investigation"/>
    <d v="1899-12-30T14:00:00"/>
    <d v="2025-01-07T00:00:00"/>
    <d v="1899-12-30T14:00:00"/>
    <m/>
    <s v="Afternoon (12:00–15:59)"/>
    <x v="0"/>
    <s v="January"/>
    <n v="2025"/>
    <n v="2"/>
    <n v="2"/>
    <n v="7"/>
    <n v="7"/>
    <s v="First Street, 100 Block"/>
    <s v="135 First Street, Hackensack, NJ, 07601"/>
    <m/>
    <m/>
    <m/>
    <m/>
    <m/>
    <m/>
    <s v="Afternoon (12:00–15:59)"/>
    <x v="0"/>
  </r>
  <r>
    <s v="25-006324"/>
    <d v="2025-01-23T00:00:00"/>
    <d v="1899-12-30T15:00:00"/>
    <m/>
    <m/>
    <d v="2025-01-23T00:00:00"/>
    <d v="1899-12-30T15:58:15"/>
    <s v="Sexual Assault - 2C:14-2b"/>
    <s v="Juvenile Investigation"/>
    <m/>
    <s v="176  Berdan Place, Hackensack, NJ, 07601"/>
    <s v="H3"/>
    <n v="8"/>
    <s v="On Thursday, 01/23/2025 I was notified by D/Sgt. Dominguez of a possible sexual assault involving a juvenile. I was advised that 10 y/o S.S. disclosed to a school teacher that her mothers boyfriend has been touching her while her mother was sleeping. This reportedly has occurred on multiple occasions. No further information was available at this time. S.S. is a student at Nelly K. Parker school, who already notified DCP&amp;P as per protocol.    I contacted DCP&amp;P social worker Jennifer Diaz who was assigned to the initial investigation. Ms. Diaz advised me that she was currently enroute to Nelly K. Parker to meet with S.S., and school staff. She advised me that she already contacted BCPO/SVU. I advised her that I will meet her at the school. Upon arrival I met with Ms. Diaz, who advised me that S.S. was set to be picked up from school by another unknown adult possibly the suspect. Due to the circumstances it was determined that S.S. will be transported to BCPO (100 Eisenhower Drive, Paramus NJ) to undergo a forensic interview with SVU. Contact was made to S.S. mother, Ibys Sandoval, who was advised that a police investigation is underway and her presence is required. Ms. Sandoval expressed that she has transportation issues, therefore this agency arranged transport for her.  Det. Reyes responded to pick up Ms. Sandoval at her residence (176 Berdan Place, Hackensack NJ). Ms. Sandoval was transported to Nelly K. Parker to meet up with her daughter, and ultimately transported to BCPO for the interview.   Contact information was limited at the time of this report (See Det. Reyes Supplemental report for further details)"/>
    <m/>
    <m/>
    <m/>
    <m/>
    <m/>
    <m/>
    <m/>
    <m/>
    <m/>
    <m/>
    <s v="bay_f"/>
    <s v="Complete"/>
    <s v="Det. Frankie Garrett 323"/>
    <s v="DET"/>
    <s v="Det. Evelyn Reyes 336"/>
    <s v="TOT DCP&amp;P"/>
    <m/>
    <n v="9"/>
    <x v="1"/>
    <d v="1899-12-30T15:00:00"/>
    <d v="1899-12-30T15:00:00"/>
    <s v="Afternoon (12:00–15:59)"/>
    <s v="Berdan Place, 100 Block"/>
    <s v="Sexual Assault - 2C:14-2b - Juvenile Investigation"/>
    <x v="0"/>
    <s v="Sexual Assault - 2C:14-2b - Juvenile Investigation"/>
    <d v="1899-12-30T15:00:00"/>
    <d v="2025-01-23T00:00:00"/>
    <d v="1899-12-30T15:00:00"/>
    <m/>
    <s v="Afternoon (12:00–15:59)"/>
    <x v="1"/>
    <s v="January"/>
    <n v="2025"/>
    <n v="4"/>
    <n v="4"/>
    <n v="23"/>
    <n v="23"/>
    <s v="Berdan Place, 100 Block"/>
    <s v="176  Berdan Place, Hackensack, NJ, 07601"/>
    <m/>
    <m/>
    <m/>
    <m/>
    <m/>
    <m/>
    <s v="Afternoon (12:00–15:59)"/>
    <x v="0"/>
  </r>
  <r>
    <s v="25-012110"/>
    <d v="2025-02-13T00:00:00"/>
    <d v="1899-12-30T02:00:00"/>
    <m/>
    <m/>
    <d v="2025-02-13T00:00:00"/>
    <d v="1899-12-30T12:17:39"/>
    <s v="Assist Other Agency"/>
    <s v="Aggravated Assault - 2C:12-1b"/>
    <s v="Robbery - 2C:15-1"/>
    <s v="128 Christopher Columbus Drive, Jersey City, NJ 07302, Hackensack, NJ, 07601"/>
    <s v="I5"/>
    <n v="9"/>
    <s v="Victim and suspect were in a dating relationship for approximately 9 months.    I responded to Police Headquarters on a report of Domestic Violence. Upon arrival I met with the Victim who stated on 02/13/2025 at approximately 0200 hours she was at a bar called &quot;Six26&quot; in Jersey City, NJ (128 Christopher Columbus Drive, Jersey City, NJ 07302.) She stated while she was leaving the bar, the suspect met with her on the sidewalk. The victim stated the suspect wished to get back together, but she refused. He then became angry and proceeded to strangle her, briefly cutting off her ability to breath, however she did not lose consciousness. Right after the suspect strangled her, he stole her Iphone 14 Pro out of her front pocket (Approximate value: $1,000.00) then fled the scene.     The victim advised me that she currently has a restraining order against the suspect, but he has not been served. Docket number: FV-BER-002857-24.A recorded statement was taken by Detective Mora. BREATHE services were offered but the victim refused. A New Jersey Victim Notification Form was completed.DVRT Form was completed.Voluntary Handwritten Statement was completed.ODARA Form was completed. Jersey City Police Department Detective Soto was advised of the incident.All paperwork was forwarded to him for complaints to be signed."/>
    <m/>
    <m/>
    <m/>
    <m/>
    <m/>
    <m/>
    <m/>
    <m/>
    <m/>
    <m/>
    <s v="briggs_s"/>
    <s v="Complete"/>
    <s v="P.O. Angelo Vicale 370"/>
    <s v="B3"/>
    <s v="Det. John Mora 257"/>
    <s v="TOT Outside Jurisdiction"/>
    <m/>
    <n v="9"/>
    <x v="2"/>
    <d v="1899-12-30T02:00:00"/>
    <d v="1899-12-30T02:00:00"/>
    <s v="Early Morning (00:00–03:59)"/>
    <s v="Christopher Columbus Drive, 100 Block"/>
    <s v="Assist Other Agency - Aggravated Assault - 2C:12-1b - Robbery - 2C:15-1"/>
    <x v="0"/>
    <s v="Assist Other Agency - Aggravated Assault - 2C:12-1b - Robbery - 2C:15-1"/>
    <d v="1899-12-30T02:00:00"/>
    <d v="2025-02-13T00:00:00"/>
    <d v="1899-12-30T02:00:00"/>
    <m/>
    <s v="Early Morning (00:00–03:59)"/>
    <x v="1"/>
    <s v="February"/>
    <n v="2025"/>
    <n v="7"/>
    <n v="3"/>
    <n v="13"/>
    <n v="44"/>
    <s v="Christopher Columbus Drive, 100 Block"/>
    <s v="128 Christopher Columbus Drive, Jersey City, NJ 07302, Hackensack, NJ, 07601"/>
    <m/>
    <m/>
    <m/>
    <m/>
    <m/>
    <m/>
    <s v="Early Morning (00:00–03:59)"/>
    <x v="1"/>
  </r>
  <r>
    <s v="25-013527"/>
    <d v="2025-02-17T00:00:00"/>
    <d v="1899-12-30T20:00:00"/>
    <d v="2025-02-17T00:00:00"/>
    <d v="1899-12-30T23:45:00"/>
    <d v="2025-02-18T00:00:00"/>
    <d v="1899-12-30T17:39:20"/>
    <s v="Exceptionally Cleared/Closed"/>
    <s v="Sexual Assault - 2C:14-2b"/>
    <m/>
    <s v="240  Prospect Avenue, Hackensack, NJ, 07601"/>
    <s v="H4"/>
    <n v="8"/>
    <s v="On February 18, 2025, I was advised by Sgt. Tripodi that a female, later identified as Yamini Verma, a victim of sexual assault was going to be seen at Mt. Sinai hospital in New York City.  At approximately 17:00 hours, I received a call from NYPD SVU Detective Woo that Ms. Verma was confirmed a patient at Mt. Sinai Emergency Room and was undergoing the SART Examination.    Det. Tanucilli and I responded to Mt. Sinai emergency room to meet with the victim.  Upon our arrival the RN Rachel stated that the victim was still undergoing the SART examination.  Once the examination was completed Det. Tanucilli and I entered the room and spoke with the victim (BWC was activated).    The victim told us that she was sexually assaulted by the suspect Akashpreet Riar on February 17, 2025.  The victim stated that the suspect is a teacher's assistant at the New York College of Podiatric Medicine, where she attends.  She stated that she was in communication with the suspect because she was looking for a tutor and he offered to help her.  The suspect picked up the victim in a blue Honda (unknown registration) from her residence in New York City at approximately 1930 hours.  The victim and suspect arrived at the suspect's apartment (240 Prospect Avenue, unknown apartment).  The victim and suspect were studying for approximately 1 hours, before both parties started to have a few drinks of alcohol.  The victim stated that the suspect started to approach her and speak in a sexual manner.  The victim stated that she refused his advancements and told him that she is not interested.  The victim stated that the suspect started to grope her breasts, buttocks and thighs while trying to kiss her neck.  The victim felt scared and again tried to push off the suspect.  The victim stated that she went to the bathroom and when she finished and unlocked the door, the suspect forced his way into the bathroom.  She stated that the suspect forced her to pull down her pants and shoved his hand down the front of her pants.  She stated that her head was pushed into the sink and the suspect began to digitally penetrate the victim's vagina.  The victim stated that she told the suspect to stop but felt like she had no control over the situation.  The victim stated that she was then picked up and placed into the bathtub where the suspect inserted his penis into her vagina against her will.  The victim said she was raped for approximately 2 minutes and the suspect ejaculated next to the victim.    The victim stated she was in a daze of confusion and fear.  She stated that the suspect called an UBER for her and she took the ride share back to NYC.  The victim stated that she was in disbelief and called her Dean of the college, Dr. Chusid in the morning (2/18/2025).  The victim stated that she told her dean that she was sexually assaulted, and he then recommended she seek medical attention the the nearest hospital.  At the emergency room,  evidence was collected which included the victim's bra (item #1), shirt (item #2), jeans (item #3) and the SART collection kit (item #4).  The victim stated that she wished to continue with a police investigation.  At that point  I contacted the Bergen County Prosecutor's office and spoke to Det. Chris Miranda.   He instructed me to see if the victim is available to respond to BCPO Headquarters in Paramus for an interview on Wednesday, February  19, 2025 at 1700 hours.  The victim agreed.  The evidence was turned over to Det. Tanucilli . Back at police headquarters, an evidence report was generated and the evidence was secured in temp. evidence locker #3 and the temp. evidence refrigerator.    On February 19, 2025, I responded to the Bergen County Prosecutor's Office to meet with the Special Victim's Unit detectives and the victim.  The victim spoke with Detectives Miranda and Dawson.  After meeting with the BCPO SVU detectives the victim stated that she wanted to apply for a SASPA Protection Order.  She was advised to respond to Hackensack Police Headquarters during business hours to obtain a copy of the police report and then go the Bergen County Superior Court and apply in person for the protection order.  The victim stated that she needs some time before she is ready to proceed with the police investigation.    At this point the case will be placed as Ex-Cleared/Closed pending the victim wanting to proceed with the police investigation with the assistance of BCPO.    (See BCPO Case #BCP-25-00237)"/>
    <m/>
    <m/>
    <m/>
    <m/>
    <m/>
    <m/>
    <m/>
    <m/>
    <m/>
    <m/>
    <s v="bay_f"/>
    <s v="Complete"/>
    <s v="Det. Matthew Dogali 338"/>
    <s v="DET"/>
    <s v="Det. Matthew Dogali 338"/>
    <s v="Ex-Cleared / Closed"/>
    <m/>
    <n v="9"/>
    <x v="3"/>
    <d v="1899-12-30T20:00:00"/>
    <d v="1899-12-30T20:00:00"/>
    <s v="Night (20:00–23:59)"/>
    <s v="Prospect Avenue, 200 Block"/>
    <s v="Exceptionally Cleared/Closed - Sexual Assault - 2C:14-2b"/>
    <x v="0"/>
    <s v="Exceptionally Cleared/Closed - Sexual Assault - 2C:14-2b"/>
    <d v="1899-12-30T20:00:00"/>
    <d v="2025-02-17T00:00:00"/>
    <d v="1899-12-30T20:00:00"/>
    <m/>
    <s v="Night (20:00–23:59)"/>
    <x v="2"/>
    <s v="February"/>
    <n v="2025"/>
    <n v="8"/>
    <n v="4"/>
    <n v="17"/>
    <n v="48"/>
    <s v="Prospect Avenue, 200 Block"/>
    <s v="240  Prospect Avenue, Hackensack, NJ, 07601"/>
    <m/>
    <m/>
    <m/>
    <m/>
    <m/>
    <m/>
    <s v="Night (20:00–23:59)"/>
    <x v="2"/>
  </r>
  <r>
    <s v="25-014007"/>
    <d v="2017-06-20T00:00:00"/>
    <d v="1899-12-30T12:52:04"/>
    <d v="2024-09-20T00:00:00"/>
    <m/>
    <d v="2025-02-20T00:00:00"/>
    <d v="1899-12-30T12:52:04"/>
    <s v="Sexual Assault - 2C:14-2b"/>
    <m/>
    <m/>
    <s v="360 Union Street, Hackensack, NJ, 07601"/>
    <s v="H2"/>
    <n v="8"/>
    <s v="On February 20, 2025 I responded to 360 Union Street, Hackensack Middle school on a report of sexual assault involving a minor. Det. James was also present at the time as we spoke to the 7th grade Councilor, Mrs. Odumosu, in regard to the incident. Mr. Sass and Mr. Ruiz were also present at this time.           Mrs. Odumasu stated that she spoke to the victim A.D.(12) and was informed the following. A.D.(12) had stated that she was being sexually assaulted by her older brother A.D. (18) approximately 2-3 times a year since she was in first grade at the approximate age of 5 years old. When asked what type of sexual assault took place, she stated penetration occurred. In one instance she stated that a cousin was present and witness the assault, but did not specify the cousin by name. A.D.(12) stated that the last assault occurred some time in June or September of 2024. When asked if she had ever told anyone she stated she told her mother after every incident to which her mother responded by saying that her and her brother would have to learn to coexist and work past it because she did not want to call the police and have to pick between both her children.Det. Reyes was advised all investigation turned over to Detectives."/>
    <m/>
    <m/>
    <m/>
    <m/>
    <m/>
    <m/>
    <m/>
    <m/>
    <m/>
    <m/>
    <s v="deleon_a"/>
    <s v="Complete"/>
    <s v="P.O. Angie Tabares 363"/>
    <s v="A3"/>
    <s v="Det. Frankie Garrett 323"/>
    <s v="Cleared - Arrest"/>
    <s v="36A = Incest"/>
    <n v="9"/>
    <x v="4"/>
    <d v="1899-12-30T12:52:04"/>
    <d v="1899-12-30T12:00:00"/>
    <s v="Afternoon (12:00–15:59)"/>
    <s v="Union Street, 300 Block"/>
    <s v="Sexual Assault - 2C:14-2b"/>
    <x v="1"/>
    <s v="Sexual Assault - 2C:14-2b"/>
    <d v="1899-12-30T12:52:04"/>
    <d v="2017-06-20T00:00:00"/>
    <d v="1899-12-30T12:00:00"/>
    <m/>
    <s v="Afternoon (12:00–15:59)"/>
    <x v="0"/>
    <s v="June"/>
    <n v="2017"/>
    <n v="25"/>
    <n v="4"/>
    <n v="20"/>
    <n v="171"/>
    <s v="Union Street, 300 Block"/>
    <s v="360 Union Street, Hackensack, NJ, 07601"/>
    <m/>
    <m/>
    <m/>
    <m/>
    <m/>
    <m/>
    <s v="Afternoon (12:00–15:59)"/>
    <x v="0"/>
  </r>
  <r>
    <s v="25-026716"/>
    <d v="2025-04-02T00:00:00"/>
    <d v="1899-12-30T21:35:00"/>
    <m/>
    <m/>
    <d v="2025-04-02T00:00:00"/>
    <d v="1899-12-30T21:40:41"/>
    <s v="Mental Health Incident"/>
    <s v="Sexual Assault - 2C:14-2b"/>
    <s v="Juvenile Investigation"/>
    <s v="260 Union Street, Hackensack, NJ, 07601"/>
    <s v="H2"/>
    <n v="8"/>
    <s v="On April 2, 2025, at approximately 2140 hours P.O. Bonsu and I responded to 260 Union Avenue on a reported mental health incident. We spoke with Janice Reid, who is a supervisor at the Holly Center, and she reported that A.M.C. was arguing with O.L.. They began to fight and the Holly Center staff were able to separate both of them. After the fight, A.M.C began becoming verbally aggressive with the staff and wrote a note that stated, &quot;You dumb bitch's I ain't telling yall that yall but I going my gang to shoot this place up.&quot; Janice Reid further reported that that A.M.C. kept threatening to get a gang to shoot up the Holly Center.       While on scene, A.M.C. made statements that she wanted &quot;to go down for attempted murder&quot; and that she wanted to get CPC High Point shot up. CPC High Point is a school A.M.C. previously attended. Then A.M.C. began to state that she was sexually assaulted by Holly Center staff and specifically named Tyrone Bagley and Randall White who were on scene. Sgt. Donnerstag and Sgt. Ghirardi responded to the scene to assist. P.O. Bonsu asked A.M.C. more about her allegations. A.M.C. reported the incident occurred approximately a month ago on a weekend but did not recall if it was in the morning, afternoon, or evening. A.M.C. further reported it happened in her room at the Holly Center but she did not want to discuss any further. Hackensack University Medical Center BLS responded and transported A.M.C. to Hackensack University Medical Center. Janice Reid accompanied A.M.C.. I followed the ambulance to Hackensack University Medical Center.      Detective Garrett was notified and responded to Hackensack University Medical Center. I notified Alexandra #1576 from DCP&amp;P of the incident. She reported that DCP&amp;P would be making an immediate response to the hospital. Detective Garrett stated he was familiar with the patient and of the prior sexual assault allegation from previous encounters.  T.O.T. to detectives. See supplement for further contact information. A CBH care form was completed."/>
    <m/>
    <m/>
    <m/>
    <m/>
    <m/>
    <m/>
    <m/>
    <m/>
    <m/>
    <m/>
    <s v="KLOSK_J"/>
    <s v="Complete"/>
    <s v="P.O. Christian Alvarez 364"/>
    <s v="B1"/>
    <s v="Det. Frankie Garrett 323"/>
    <s v="TOT DCP&amp;P"/>
    <m/>
    <n v="9"/>
    <x v="5"/>
    <d v="1899-12-30T21:35:00"/>
    <d v="1899-12-30T21:00:00"/>
    <s v="Night (20:00–23:59)"/>
    <s v="Union Street, 200 Block"/>
    <s v="Mental Health Incident - Sexual Assault - 2C:14-2b - Juvenile Investigation"/>
    <x v="0"/>
    <s v="Mental Health Incident - Sexual Assault - 2C:14-2b - Juvenile Investigation"/>
    <d v="1899-12-30T21:35:00"/>
    <d v="2025-04-02T00:00:00"/>
    <d v="1899-12-30T21:00:00"/>
    <m/>
    <s v="Night (20:00–23:59)"/>
    <x v="3"/>
    <s v="April"/>
    <n v="2025"/>
    <n v="14"/>
    <n v="1"/>
    <n v="2"/>
    <n v="92"/>
    <s v="Union Street, 200 Block"/>
    <s v="260 Union Street, Hackensack, NJ, 07601"/>
    <m/>
    <m/>
    <m/>
    <m/>
    <m/>
    <m/>
    <s v="Night (20:00–23:59)"/>
    <x v="2"/>
  </r>
  <r>
    <s v="25-030391"/>
    <d v="2025-03-23T00:00:00"/>
    <d v="1899-12-30T14:53:00"/>
    <d v="2025-03-23T00:00:00"/>
    <d v="1899-12-30T15:24:00"/>
    <d v="2025-04-14T00:00:00"/>
    <d v="1899-12-30T11:53:23"/>
    <s v="Criminal Sexual Contact - 2C:14-3a"/>
    <m/>
    <m/>
    <s v="2 Kinderkamack Road, Hackensack, NJ, 07601"/>
    <s v="I4"/>
    <n v="9"/>
    <s v="Suspect: White Hispanic male, approximately 30-40 years old, facial hair, named &quot;Jean&quot;     On 04/14/25, I responded to police headquarters for a walk-in that reported being sexually assaulted on 03/23/2025. The victim reported that on 03/23/25 she requested a 'Lyft' ride from her residence to her friend's house that resides at 169 Passaic Street, Hackensack. The Lyft ride arrived at the victim's residence at approximately 14:53 hours.     During the course of the transportation, the victim believed she had left her cellphone at home. The suspect offered to return to retrieve her cellphone. The victim then realizes her cellphone was in her bag that was inside the vehicle. The victim apologized multiple times to the suspect for returning to her home. The victim then offered $40.00 in cash to the suspect who then accepted the cash.      During the course of the transportation, the victim reported the suspect was asking her personal questions such as: &quot;when was the last time you kissed someone and/or had sex?&quot; The victim stated &quot;about a year and a half ago or more&quot;. The suspect pulled over near Jefferson Street. The suspect then stated &quot;kiss me ,come to the front seat and kiss me&quot;. The victim then entered the front seat. The suspect then grabbed the victim's face and kissed her for approximately 10 seconds. While kissing the victim, the suspect groped the victim's chest from outer clothing, then down to her hips, to her vagina. The suspect then rubbed the victim's vagina over her clothing. The victim stated she was &quot;frozen&quot; and unable to react to the suspects action. The suspect then stopped and asked to kiss her again. The victim stated the second kiss lasted 2-3 seconds. The victim stated to the suspect she had bad experiences in the past and did not feel comfortable continuing. The suspect then stopped; however, kept his right hand on her thighs.     Over the course of the ride, the suspect attempted to pull over again but this time on Prospect Avenue and Atlantic Street. The victim's friend called her during this time,  questioning her about her location due to the time that she had left from home. Upon arrival to her destination, as the victim exited the vehicle, the suspect stated &quot;You can call me if you want to get a better experience.&quot;     A New Jersey Victim Notification Form was completed. A copy was given and explained to the victim. The Detective Bureau was notified and Det. Carroll responded to speak with the victim.  Reference initial reported taken by River Edge Police on 4/12/2025: Case # 2025-03824"/>
    <m/>
    <m/>
    <m/>
    <m/>
    <m/>
    <m/>
    <m/>
    <m/>
    <m/>
    <m/>
    <s v="gretkowski_j"/>
    <s v="Complete"/>
    <s v="P.O. Juda DeOliveira 376"/>
    <s v="A3"/>
    <s v="Det. Demetrius Carroll 133"/>
    <s v="Active Investigation"/>
    <s v="11D = Fondling"/>
    <n v="9"/>
    <x v="6"/>
    <d v="1899-12-30T14:53:00"/>
    <d v="1899-12-30T14:00:00"/>
    <s v="Afternoon (12:00–15:59)"/>
    <s v="Kinderkamack Road, 0 Block"/>
    <s v="Criminal Sexual Contact - 2C:14-3a"/>
    <x v="0"/>
    <s v="Criminal Sexual Contact - 2C:14-3a"/>
    <d v="1899-12-30T14:53:00"/>
    <d v="2025-03-23T00:00:00"/>
    <d v="1899-12-30T14:00:00"/>
    <m/>
    <s v="Afternoon (12:00–15:59)"/>
    <x v="4"/>
    <s v="March"/>
    <n v="2025"/>
    <n v="13"/>
    <n v="5"/>
    <n v="23"/>
    <n v="82"/>
    <s v="Kinderkamack Road, 0 Block"/>
    <s v="2 Kinderkamack Road, Hackensack, NJ, 07601"/>
    <m/>
    <m/>
    <m/>
    <m/>
    <m/>
    <m/>
    <s v="Afternoon (12:00–15:59)"/>
    <x v="0"/>
  </r>
  <r>
    <s v="25-033529"/>
    <d v="2025-04-24T00:00:00"/>
    <d v="1899-12-30T10:52:00"/>
    <m/>
    <m/>
    <d v="2025-04-24T00:00:00"/>
    <d v="1899-12-30T15:16:12"/>
    <s v="Criminal Sexual Contact - 2C:14-3a"/>
    <s v="Juvenile Investigation"/>
    <m/>
    <s v="135 First Street, Hackensack, NJ, 07601"/>
    <s v="G3"/>
    <n v="7"/>
    <s v="On Thursday April 25, 2025, I was assigned as the Hackensack High School SRO.  I was notified by the 11th grade assistant Principal Nicole Adams that there was a report of a possible sexual assault.      The victim M.T. made initial disclosure to her teacher Ms. Mitchell that while at lunch she was kissed and inappropriately touched by the suspect C.R.  After receiving the report Ms. Mitchell immediately notified Mrs. Adams.      I spoke to the victim who stated that she was kissed by the suspect without her consent during her lunch period. The victim added that on other unspecified days the suspect has touched her breast and buttocks without her consent. At this time the victim does not want to pursue any criminal complaints against the suspect.     Please note today's incident was captured by the school's surveillance camera ( HHS Cafeteria Comet Side #24). I requested a copy from the IT department.       I notified the victim's father Antonio Tapia of the incident. At this time he indicated that he does not want to sign complaints. He was advised how to do so if they changed their minds."/>
    <m/>
    <m/>
    <m/>
    <m/>
    <m/>
    <m/>
    <m/>
    <m/>
    <m/>
    <m/>
    <s v="Dominguez_l"/>
    <s v="Complete"/>
    <s v="Det. Cristobal Lara-Nunez 341"/>
    <s v="STA"/>
    <s v="Det. Cristobal Lara-Nunez 341"/>
    <s v="Comp/Victim request no police action"/>
    <s v="11D = Fondling"/>
    <n v="9"/>
    <x v="7"/>
    <d v="1899-12-30T10:52:00"/>
    <d v="1899-12-30T10:00:00"/>
    <s v="Morning Peak (08:00–11:59)"/>
    <s v="First Street, 100 Block"/>
    <s v="Criminal Sexual Contact - 2C:14-3a - Juvenile Investigation"/>
    <x v="0"/>
    <s v="Criminal Sexual Contact - 2C:14-3a - Juvenile Investigation"/>
    <d v="1899-12-30T10:52:00"/>
    <d v="2025-04-24T00:00:00"/>
    <d v="1899-12-30T10:00:00"/>
    <m/>
    <s v="Morning Peak (08:00–11:59)"/>
    <x v="1"/>
    <s v="April"/>
    <n v="2025"/>
    <n v="17"/>
    <n v="4"/>
    <n v="24"/>
    <n v="114"/>
    <s v="First Street, 100 Block"/>
    <s v="135 First Street, Hackensack, NJ, 07601"/>
    <m/>
    <m/>
    <m/>
    <m/>
    <m/>
    <m/>
    <s v="Morning Peak (08:00–11:59)"/>
    <x v="3"/>
  </r>
  <r>
    <s v="25-035383"/>
    <d v="2025-04-27T00:00:00"/>
    <d v="1899-12-30T18:30:00"/>
    <m/>
    <m/>
    <d v="2025-04-29T00:00:00"/>
    <d v="1899-12-30T08:30:00"/>
    <s v="Robbery - 2C:15-1"/>
    <s v="Aggravated Assault - 2C:12-1b"/>
    <m/>
    <s v="East Pleasantview Avenue  &amp; Kipp Street, Hackensack, NJ, 07601"/>
    <s v="F3"/>
    <n v="6"/>
    <s v="On Tuesday, April 29th at approximately 0830 hours, while Detective Reo was on an extra duty traffic assignment, an anonymous male complainant approached him and disclosed the following. The anonymous complainant stated that on Sunday, April 29th at approximately 1830 hours, he witnessed an armed robbery committed by three (3) unknown male actors against an unknown Hispanic male in the area of Kipp Street and E. Pleasantview Avenue. The complainant further disclosed that the alleged &quot;victim&quot; was observed being dragged and thrown from the exterior hood of a vehicle, possibly car jacked and that one of the actor(s) displayed a firearm. No other information was provided at the time.   At approximately 1000 hours, after receiving the anonymous report and information from D/Sgt. Seretis, Detective Rios and I responded to the area to conduct a thorough canvass. Upon further investigation, we acquired numerous CCTV recordings of the incident, which corroborated the complainant's recollection of the events that occurred.     The Bergen County Prosecutor's Office Special Investigation Squad was notified and responded. The incident is under active investigation pending further development."/>
    <m/>
    <m/>
    <s v="Unknown"/>
    <s v="BMW"/>
    <m/>
    <m/>
    <s v="unknown"/>
    <m/>
    <s v="Mercedes"/>
    <m/>
    <s v="Dalton_Jo"/>
    <s v="Complete"/>
    <s v="Det. Michael Koenig 153"/>
    <s v="CSB"/>
    <m/>
    <m/>
    <m/>
    <n v="9"/>
    <x v="8"/>
    <d v="1899-12-30T18:30:00"/>
    <d v="1899-12-30T18:00:00"/>
    <s v="Evening Peak (16:00–19:59)"/>
    <s v="Pleasantview Avenue  &amp; Kipp Street, Unknown Block"/>
    <s v="Robbery - 2C:15-1 - Aggravated Assault - 2C:12-1b"/>
    <x v="0"/>
    <s v="Robbery - 2C:15-1 - Aggravated Assault - 2C:12-1b"/>
    <d v="1899-12-30T18:30:00"/>
    <d v="2025-04-27T00:00:00"/>
    <d v="1899-12-30T18:00:00"/>
    <m/>
    <s v="Evening Peak (16:00–19:59)"/>
    <x v="4"/>
    <s v="April"/>
    <n v="2025"/>
    <n v="18"/>
    <n v="5"/>
    <n v="27"/>
    <n v="117"/>
    <s v="Pleasantview Avenue  &amp; Kipp Street, Unknown Block"/>
    <s v="East Pleasantview Avenue  &amp; Kipp Street, Hackensack, NJ, 07601"/>
    <m/>
    <m/>
    <s v="BMW "/>
    <m/>
    <m/>
    <m/>
    <s v="Evening Peak (16:00–19:59)"/>
    <x v="4"/>
  </r>
  <r>
    <s v="25-038962"/>
    <d v="2025-05-12T00:00:00"/>
    <d v="1899-12-30T06:32:00"/>
    <m/>
    <m/>
    <d v="2025-05-12T00:00:00"/>
    <d v="1899-12-30T06:37:50"/>
    <s v="Burglary - Residence - 2C:18-2"/>
    <s v="Aggravated Assault - 2C:12-1b"/>
    <s v="Unlawful Taking - 2C:20-10"/>
    <s v="70 Cedar Avenue, Hackensack, NJ, 07601"/>
    <s v="I5"/>
    <n v="9"/>
    <s v="The suspect is the victim's mother's boyfriend's son, who is not related to the victim and does not reside at the residence. The victim is not friends with the suspect but only knows him.          On Monday, May 12th, 2025, P.O. Lyak, P.O. Rivera, and I responded to 70 Cedar Avenue on a report of a fight involving a stick. Upon arrival, I spoke with the victim, who is now referred to as Molano-Rivera, Alejandro. He reported that the suspect, who is now referred to as Amadiz, Freddy Jr, assaulted him multiple times to his hands and one time to his head. Alejandro reported that he was walking down his steps, opened the door, and observed Amadiz standing there. Amadiz then squatted down, picked up a stick, and started to assault Alejandro with it multiple times. Alejandro then ran back up the steps and began to scream for help. Amadiz then followed Alejandro up the stairs and continued to assault Alejandro. Alejandro made contact with his father, who was inside the apartment,when the father opened the apartment door, Amadiz took off down the steps and went toward the front of the house. Alejandro reported that Amandiz did not state anything to him during the assault. Alejandro refused medical attention on scene. While Amadiz was assaulting Alejandro, Amandiz caused damage to the ceiling causing a hole. The estimated total cost of repairing the hole in the wall is $300.00.       Sgt. Ghirardi was advised and responded to the scene to assist.      Amandiz entered the listed vehicle and left the scene after the assault occurred with the weapon he used.       Masshiel Barriows, who is the witness, reported hearing the screaming from inside her apartment which is located on the first floor. She reported that when she heard the scream, she went outside and only observed the suspect walking out of the stairs with the stick in his hands, and did not observe the assault occur.    Det/Sgt. Tripodi was advised and responded to the scene to assist and captured pictures of the incident.      Victim Notification forms were completed and were given to the victim."/>
    <m/>
    <m/>
    <s v="s28snh"/>
    <s v="Honda"/>
    <s v="PIL"/>
    <s v="NJ"/>
    <m/>
    <m/>
    <m/>
    <m/>
    <s v="knapp_j"/>
    <s v="Complete"/>
    <s v="P.O. Nicholas Mazzaccaro 377"/>
    <s v="B2"/>
    <s v="Sgt. Francesco Tripodi 134"/>
    <s v="Complaint Signed"/>
    <m/>
    <n v="9"/>
    <x v="9"/>
    <d v="1899-12-30T06:32:00"/>
    <d v="1899-12-30T06:00:00"/>
    <s v="Morning (04:00–07:59)"/>
    <s v="Cedar Avenue, 0 Block"/>
    <s v="Burglary - Residence - 2C:18-2 - Aggravated Assault - 2C:12-1b - Unlawful Taking - 2C:20-10"/>
    <x v="2"/>
    <s v="Burglary - Residence - 2C:18-2 - Aggravated Assault - 2C:12-1b - Unlawful Taking - 2C:20-10"/>
    <d v="1899-12-30T06:32:00"/>
    <d v="2025-05-12T00:00:00"/>
    <d v="1899-12-30T06:00:00"/>
    <m/>
    <s v="Morning (04:00–07:59)"/>
    <x v="2"/>
    <s v="May"/>
    <n v="2025"/>
    <n v="20"/>
    <n v="3"/>
    <n v="12"/>
    <n v="132"/>
    <s v="Cedar Avenue, 0 Block"/>
    <s v="70 Cedar Avenue, Hackensack, NJ, 07601"/>
    <m/>
    <m/>
    <s v="Honda PIL"/>
    <m/>
    <m/>
    <m/>
    <s v="Morning (04:00–07:59)"/>
    <x v="5"/>
  </r>
  <r>
    <s v="25-039451"/>
    <d v="2025-05-11T00:00:00"/>
    <m/>
    <m/>
    <m/>
    <d v="2025-05-13T00:00:00"/>
    <d v="1899-12-30T15:15:09"/>
    <s v="Sexual Assault - 2C:14-2b"/>
    <s v="Juvenile Investigation"/>
    <m/>
    <s v="135 First Street, Hackensack, NJ, 07601"/>
    <s v="G3"/>
    <m/>
    <s v="On Tuesday May 13, 2025, I was assigned as the Hackensack High School SRO.   I was notified by the school counselor, Kara Ferrazano, that J.N. disclosed to her that she is involved in an intimate relationship with a 22 year old Hispanic male.       I spoke to the victim in the presence of her case worker, Carolina Valera. The victim confirmed that she is 15 year old and is currently sexually active with her 22 year old boyfriend. She added that they had sex on Sunday May 11, 2025 in his apartment located in the State of New York. The victim stated that this sexual interaction was consensual and refused to provide the identity of the suspect. She also refused to give and exact location of the incident.  I advised her that under New Jersey State Law she could not legally give consent. Various attempts were made to get further information, but the victim refused to cooperate.      I spoke to the victim's mother Maria Zhumi Peralta and advised her of the incident. She stated her daughter had disclosed this incident to her on May 12, 2025. Zhumi Peralta stated she does not know any information about the actor, but will try to obtain it from her daughter.     DCP&amp;P was notified by Mrs. Ferrazano. I notified the Bergen County Prosecutor's Office SVU. I spoke to Det. Negron who advised me that due to the incident occurring in New York I should notify the proper jurisdiction upon obtaining the location of the incident.Case Active pending victim cooperation."/>
    <m/>
    <m/>
    <m/>
    <m/>
    <m/>
    <m/>
    <m/>
    <m/>
    <m/>
    <m/>
    <s v="delcarpio_m"/>
    <s v="Complete"/>
    <s v="Det. Cristobal Lara-Nunez 341"/>
    <s v="A4"/>
    <s v="Det. Cristobal Lara-Nunez 341"/>
    <s v="Active/Administratively Closed"/>
    <m/>
    <n v="9"/>
    <x v="10"/>
    <d v="1899-12-30T15:15:09"/>
    <d v="1899-12-30T15:00:00"/>
    <s v="Afternoon (12:00–15:59)"/>
    <s v="First Street, 100 Block"/>
    <s v="Sexual Assault - 2C:14-2b - Juvenile Investigation"/>
    <x v="2"/>
    <s v="Sexual Assault - 2C:14-2b - Juvenile Investigation"/>
    <d v="1899-12-30T15:15:09"/>
    <d v="2025-05-11T00:00:00"/>
    <d v="1899-12-30T15:00:00"/>
    <m/>
    <s v="Afternoon (12:00–15:59)"/>
    <x v="4"/>
    <s v="May"/>
    <n v="2025"/>
    <n v="20"/>
    <n v="3"/>
    <n v="11"/>
    <n v="131"/>
    <s v="First Street, 100 Block"/>
    <s v="135 First Street, Hackensack, NJ, 07601"/>
    <m/>
    <m/>
    <m/>
    <m/>
    <m/>
    <m/>
    <s v="Afternoon (12:00–15:59)"/>
    <x v="0"/>
  </r>
  <r>
    <s v="25-041892"/>
    <d v="2025-05-13T00:00:00"/>
    <d v="1899-12-30T15:30:00"/>
    <m/>
    <m/>
    <d v="2025-05-21T00:00:00"/>
    <d v="1899-12-30T14:05:42"/>
    <s v="Criminal Sexual Contact - 2C:14-3a"/>
    <m/>
    <m/>
    <s v="43 Maple Avenue, Hackensack, NJ, 07601"/>
    <s v="I1"/>
    <n v="9"/>
    <s v="The victim, Gabrielle Meighan, who is a program assistant at the Bergen Charter School, responded to police headquarters on a report of criminal sexual contact.  The victim reported that on 05/13/2025, at approximately 15:30 hours, she and the suspect, Stephen Innocenzi, a teacher with the school, were in the gymnasium setting for a play on the stage.  While backstage, reaching for an item, the suspect walked behind her and brushed the front of his hand against her buttocks.  After the suspect brushed up against the victim the suspect stated &quot; I'm sorry Gabrielle i didn't mean to slap your ass&quot;.   After the suspect apologized, he then again slapped the victim's buttocks forcefully with the front of his hand and then walked away.  The victim reported the incident involving human resources personnel.  Det. Mora was notified, spoke with the victim, and took a recorded statement.  The New Jersey Victim notification form was completed."/>
    <m/>
    <m/>
    <m/>
    <m/>
    <m/>
    <m/>
    <m/>
    <m/>
    <m/>
    <m/>
    <s v="ghirardi_r"/>
    <s v="Complete"/>
    <s v="P.O. Daniel Francavilla 329"/>
    <s v="B4"/>
    <s v="Det. John Mora 257"/>
    <s v="Ex-Cleared / Closed"/>
    <m/>
    <n v="9"/>
    <x v="11"/>
    <d v="1899-12-30T15:30:00"/>
    <d v="1899-12-30T15:00:00"/>
    <s v="Afternoon (12:00–15:59)"/>
    <s v="Maple Avenue, 0 Block"/>
    <s v="Criminal Sexual Contact - 2C:14-3a"/>
    <x v="2"/>
    <s v="Criminal Sexual Contact - 2C:14-3a"/>
    <d v="1899-12-30T15:30:00"/>
    <d v="2025-05-13T00:00:00"/>
    <d v="1899-12-30T15:00:00"/>
    <m/>
    <s v="Afternoon (12:00–15:59)"/>
    <x v="0"/>
    <s v="May"/>
    <n v="2025"/>
    <n v="20"/>
    <n v="3"/>
    <n v="13"/>
    <n v="133"/>
    <s v="Maple Avenue, 0 Block"/>
    <s v="43 Maple Avenue, Hackensack, NJ, 07601"/>
    <m/>
    <m/>
    <m/>
    <m/>
    <m/>
    <m/>
    <s v="Afternoon (12:00–15:59)"/>
    <x v="0"/>
  </r>
  <r>
    <s v="25-042858"/>
    <d v="2025-05-24T00:00:00"/>
    <d v="1899-12-30T22:24:00"/>
    <m/>
    <m/>
    <d v="2025-05-24T00:00:00"/>
    <d v="1899-12-30T22:36:34"/>
    <s v="Burglary - Residence - 2C:18-2"/>
    <s v="Criminal Mischief - 2C:17-3"/>
    <s v="Simple Assault - 2C:12-1a"/>
    <s v="79 Lodi Street, Hackensack, NJ, 07601"/>
    <s v="E2"/>
    <n v="5"/>
    <s v="I responded to the listed location on a reported criminal mischief. On arrival, Sgt. Farhi was on scene speaking with the victims. Samora Turner (Victim), the resident, reported that while she was inside her apartment the suspect came inside her home without permission and entered on the Briscolina Street entrance of her apartment that was unlocked at the time. It should be noted that the suspect is known to both victims as a friend. An argument ensued between the victims and the suspect, as the suspect attempted to punch Samora Turner with closed fist, her friend (Alexis Salas) which was inside the apartment also stepped in front of her and the suspect punched her in the face. The suspect then took Alexis Salas's (Victim) Iphone 15 pro valued at $1,200,00 USD and exited via the front door of the apartment which is located on the Lodi Street side. The suspect then attempted to re enter the apartment but was locked out and subsequently kicked the door in causing damage to the frame of the door of about $500.00 USD. The argument continued until the suspect fled eastbound on Lodi Street , stopped and slammed the Iphone 15 pro on the ground causing it to shatter. The incident was  witnessed by S.T., as she was inside the apartment the entire time.      The victim, Alexis Salas complained of pain to her right eye but refused medical attention. Both victims refused to complete a voluntary hand written statement. They both refused to respond to police headquarters to provide a recorded statement but were advised to respond at a later time if they wished. Victim notification forms were completed for both victims and they received copies.      A handle with care form was completed for S.T. Det. Tanucilli was notified and advised of the incident."/>
    <m/>
    <m/>
    <m/>
    <m/>
    <m/>
    <m/>
    <m/>
    <m/>
    <m/>
    <m/>
    <s v="gretkowski_j"/>
    <s v="Complete"/>
    <s v="P.O. Jeffrey Rodriguez 342"/>
    <s v="A4"/>
    <s v="Det. John Tanucilli 335"/>
    <s v="Active/Administratively Closed"/>
    <m/>
    <n v="9"/>
    <x v="12"/>
    <d v="1899-12-30T22:24:00"/>
    <d v="1899-12-30T22:00:00"/>
    <s v="Night (20:00–23:59)"/>
    <s v="Lodi Street, 0 Block"/>
    <s v="Burglary - Residence - 2C:18-2 - Criminal Mischief - 2C:17-3 - Simple Assault - 2C:12-1a"/>
    <x v="3"/>
    <s v="Burglary - Residence - 2C:18-2 - Criminal Mischief - 2C:17-3 - Simple Assault - 2C:12-1a"/>
    <d v="1899-12-30T22:24:00"/>
    <d v="2025-05-24T00:00:00"/>
    <d v="1899-12-30T22:00:00"/>
    <m/>
    <s v="Night (20:00–23:59)"/>
    <x v="5"/>
    <s v="May"/>
    <n v="2025"/>
    <n v="21"/>
    <n v="4"/>
    <n v="24"/>
    <n v="144"/>
    <s v="Lodi Street, 0 Block"/>
    <s v="79 Lodi Street, Hackensack, NJ, 07601"/>
    <m/>
    <m/>
    <m/>
    <m/>
    <m/>
    <m/>
    <s v="Night (20:00–23:59)"/>
    <x v="2"/>
  </r>
  <r>
    <s v="25-043408"/>
    <d v="2025-05-27T00:00:00"/>
    <d v="1899-12-30T23:27:00"/>
    <m/>
    <m/>
    <d v="2025-05-26T00:00:00"/>
    <d v="1899-12-30T23:39:25"/>
    <s v="Robbery - 2C:15-1"/>
    <s v="Simple Assault - 2C:12-1a"/>
    <s v="Fight - Unarmed"/>
    <s v="505 South River Street, Hackensack, NJ, 07601"/>
    <s v="E3"/>
    <n v="5"/>
    <s v="On 05/26/25, Sgt. Farhi, Sgt. Tedesco, P.O. Sroka, P.O. Almonte, and I responded to 505 S. River Street on a report of an unarmed fight. Upon arrival, I met with victim John Rannella, who stated a white sedan BMW, a green sedan BMW, and a blue Honda or Toyota (unknown license plates at this time) were blocking other vehicles in the parking lot of the listed location. Rannella approached the group and requested them to move their vehicles. The three vehicles exited the parking lot of the listed location.     At approximately 23:27 hours, the white BMW parked at the intersection of S. River Street and E. Moonachie Road. The Green BMW parked in front of 8 E. Moonachie Road. Rannella walked up to the intersection of S. River Street and E. Moonachie Road. The drivers and passengers exited their vehicle and began to assault Rannella by throwing punches and throwing a full 'Essentia' water bottle to his face. Rannella had lacerations to his face/nose area. Victim William Burke approached the suspects as Rannella was being assaulted. The suspects then assaulted Burke by throwing a punch to his face. Burke stated he fell to the ground.  As he was attempting to get up on his feet his phone fell out of his pocket. The suspects then grabbed Burke's phone, entered their vehicle, then fled the area.     Hackensack Volunteer EMS #1061 responded to assist. Both victims, Rannella and Burke, refused further medical attention.      Det. D. Carroll was notified and responded. Burke was transported to police headquarters for statements in the rear seat of radio car 121. The rear seat was checked prior and after transport with negative results.      A New Jersey Victim Notification Form was completed. A copy was explained and given to the victim.      Surveillance video is available at a later date."/>
    <m/>
    <m/>
    <m/>
    <m/>
    <m/>
    <m/>
    <m/>
    <m/>
    <m/>
    <m/>
    <s v="Dominguez_l"/>
    <s v="Complete"/>
    <s v="P.O. Juda DeOliveira 376"/>
    <s v="A4"/>
    <s v="Det. Demetrius Carroll 133"/>
    <s v="Active/Administratively Closed"/>
    <m/>
    <n v="9"/>
    <x v="13"/>
    <d v="1899-12-30T23:27:00"/>
    <d v="1899-12-30T23:00:00"/>
    <s v="Night (20:00–23:59)"/>
    <s v="South River Street, 500 Block"/>
    <s v="Robbery - 2C:15-1 - Simple Assault - 2C:12-1a - Fight - Unarmed"/>
    <x v="3"/>
    <s v="Robbery - 2C:15-1 - Simple Assault - 2C:12-1a - Fight - Unarmed"/>
    <d v="1899-12-30T23:27:00"/>
    <d v="2025-05-27T00:00:00"/>
    <d v="1899-12-30T23:00:00"/>
    <m/>
    <s v="Night (20:00–23:59)"/>
    <x v="0"/>
    <s v="May"/>
    <n v="2025"/>
    <n v="22"/>
    <n v="5"/>
    <n v="27"/>
    <n v="147"/>
    <s v="South River Street, 500 Block"/>
    <s v="505 South River Street, Hackensack, NJ, 07601"/>
    <m/>
    <m/>
    <m/>
    <m/>
    <m/>
    <m/>
    <s v="Night (20:00–23:59)"/>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25-004478"/>
    <d v="2025-01-16T00:00:00"/>
    <d v="1899-12-30T12:00:00"/>
    <d v="2025-01-16T00:00:00"/>
    <d v="1899-12-30T18:00:00"/>
    <d v="2025-01-16T00:00:00"/>
    <d v="1899-12-30T19:34:52"/>
    <s v="Burglary - Residence - 2C:18-2"/>
    <m/>
    <m/>
    <s v="30 Second Street, Hackensack, NJ, 07601"/>
    <s v="G3"/>
    <n v="7"/>
    <s v="On Thursday, January 16, 2025 at approximately 1934 hours, Sgt. Peralta and I responded to 30 Second Street, Apt. L1 on report of a residential burglary. Upon arrival, I met with the victim who reported that she left her apartment at approximately 1200 hours on this date, before returning several hours later, at approximately 1800 hours. The victim further reported that upon returning to her apartment, she observed the exterior door knob to be damaged (loose), as if someone attempted to break in. The victim stated that upon entering the apartment, the interior did not appear to be ransacked, nor did anything appear out of place at this time.      The scene was unable to processed due to the victim contaminating evidence while entering her apartment. The cost of repair for the damaged door knob was approximately $35.00. A Victim Notification was completed and the victim was provided with a copy upon our departure. There were no known suspects at the time this report was taken. Det./Sgt. Tripodi was notified."/>
    <m/>
    <m/>
    <m/>
    <m/>
    <m/>
    <m/>
    <m/>
    <m/>
    <m/>
    <m/>
    <s v="deleon_a"/>
    <s v="Complete"/>
    <s v="P.O. Aziah Miller 357"/>
    <s v="A3"/>
    <s v="Det. Matthew DeBonis 325"/>
    <s v="Active/Administratively Closed"/>
    <s v="220 = Burglary/Breaking &amp; Entering"/>
    <n v="9"/>
    <d v="2025-01-16T00:00:00"/>
    <d v="1899-12-30T12:00:00"/>
    <d v="1899-12-30T12:00:00"/>
    <s v="Afternoon (12:00–15:59)"/>
    <s v="Second Street, 0 Block"/>
    <x v="0"/>
    <s v="YTD"/>
    <d v="1899-12-30T12:00:00"/>
    <x v="0"/>
    <d v="1899-12-30T12:00:00"/>
    <m/>
    <x v="0"/>
    <x v="0"/>
    <s v="January"/>
    <n v="2025"/>
    <n v="3"/>
    <n v="3"/>
    <n v="16"/>
    <n v="16"/>
    <s v="Second Street, 0 Block"/>
    <s v="30 Second Street, Hackensack, NJ, 07601"/>
    <m/>
    <m/>
    <m/>
    <m/>
    <m/>
    <m/>
    <x v="0"/>
    <s v="Afternoon (12:00–15:59)"/>
  </r>
  <r>
    <s v="25-006864"/>
    <d v="2025-01-25T00:00:00"/>
    <d v="1899-12-30T11:00:00"/>
    <d v="2025-01-25T00:00:00"/>
    <d v="1899-12-30T14:00:00"/>
    <d v="2025-01-25T00:00:00"/>
    <d v="1899-12-30T13:55:59"/>
    <s v="Burglary - Residence - 2C:18-2"/>
    <m/>
    <m/>
    <s v="60 Kansas Street, Hackensack, NJ, 07601"/>
    <s v="E1"/>
    <n v="5"/>
    <s v="On January 25, 2025, at approximately 13:55 hours, P.O. P. Lopez, P.O. G. Lara-Nunez, P.O. Mattalian, Sgt. Competiello, and I responded to 60 Kansas apartment 8F for a possible burglary in progress. Upon arrival, I met with the victim who reported she left her apartment at approximately 11:30 hours. The victim reported approximately 14:00 hours, she returned to the apartment to find the front door slightly ajar.     We did a check of the interior of the apartment which yielded negative results for any suspects inside. The victim reported she is 100% sure the door was locked because she checked multiple times before leaving. The victim reported she was missing about $2,000 in miscellaneous jewelry. She described the jewelry to be earrings and gold necklaces.The victim reported she had the same incident occur in 2023. See 23-091001 for more. The victim reported she observed a light skin Hispanic male driving a black Lexus leaving the apartment complex as she pulled in. The victim reported she recalls the same Lexus and same male in the area after the previous incident.Sgt. Competiello contacted detectives. Detective DeBonis arrived on scene.The victim requested for the apartment to be processed. Sgt. Competiello contacted Bergen County Sheriff's Office. Detective LaSala #1866 arrived on scene. See BCSO case #2025-0052 for more .I observed no signs of forced entry. The New Jersey victim notification form was filled out and a copy was provided to the victim for her records.The crime scene was secured at 14:15 hours.Crime Scene Log:14:31: Det. LaSala Enters14:38: Det. LaSala Exits14:48: Det. Lasala Enters14:49: Det. Debonis Enters15:01: Det. LaSala Exits.15:04: Det. LaSala Enters.Crime Scene Terminated: 15:08"/>
    <m/>
    <m/>
    <m/>
    <m/>
    <m/>
    <m/>
    <m/>
    <m/>
    <m/>
    <m/>
    <s v="levis_r"/>
    <s v="Complete"/>
    <s v="P.O. Andres Lopez 375"/>
    <s v="A2"/>
    <s v="Det. Matthew DeBonis 325"/>
    <s v="Active/Administratively Closed"/>
    <s v="220 = Burglary/Breaking &amp; Entering"/>
    <n v="9"/>
    <d v="2025-01-25T00:00:00"/>
    <d v="1899-12-30T11:00:00"/>
    <d v="1899-12-30T11:00:00"/>
    <s v="Morning Peak (08:00–11:59)"/>
    <s v="Kansas Street, 0 Block"/>
    <x v="0"/>
    <s v="YTD"/>
    <d v="1899-12-30T11:00:00"/>
    <x v="1"/>
    <d v="1899-12-30T11:00:00"/>
    <m/>
    <x v="1"/>
    <x v="1"/>
    <s v="January"/>
    <n v="2025"/>
    <n v="4"/>
    <n v="4"/>
    <n v="25"/>
    <n v="25"/>
    <s v="Kansas Street, 0 Block"/>
    <s v="60 Kansas Street, Hackensack, NJ, 07601"/>
    <m/>
    <m/>
    <m/>
    <m/>
    <m/>
    <m/>
    <x v="1"/>
    <s v="Morning Peak (08:00–11:59)"/>
  </r>
  <r>
    <s v="25-008551"/>
    <d v="2025-01-31T00:00:00"/>
    <d v="1899-12-30T11:59:50"/>
    <m/>
    <m/>
    <d v="2025-01-31T00:00:00"/>
    <d v="1899-12-30T11:59:50"/>
    <s v="Burglary - Residence - 2C:18-2"/>
    <m/>
    <m/>
    <s v="292 The Esplanade, Hackensack, NJ, 07601"/>
    <s v="H5"/>
    <n v="8"/>
    <s v="On January 31, 2025, at approximately 1200 hours the victim responded to Hackensack Police Department Headquarters for a report of a burglary to his residence that occurred in the past. I met with the victim who reported that last Friday, January 24, 2025 at approximately 1200 hours he left his residence with his wife and son for the day. He reported that upon his return to his residence at approximately 1500 hours, he observed the front door (allows entry into the apartment) wide open.  He further reported that he believes he locked the door before he left but did not observe any damage to his door. He reported that he went inside his residence to check if anyone was in his apartment with negative results. The victim reported that the following day, Saturday, January 25, 2025, he looked for his beige folder that contained copies and originals of the following items: passport, social security cards, and licenses of his wife, Arelis Bonilla, and his sons, Eduardo M. Sobrino and Edwin D. Sobrino-Bonilla.       The victim reported that he last saw his beige folder with those documents in his living room approximately one month ago. The victim was advised to contact the social security administration, DMV, and credit companies to advise them of the above. He was also advised on how to obtain new copies of his social security card, license, and passport. The victim was advised to report any fraudulent activity he may see.       A New Jersey Victim Notification Form was completed and a copy was provided to the victim. He was advised to contact Hackensack Police Department should another incident like this arise.       The victim was not offered B.C.I. to respond to the residence due to the apartment being contaminated for approximately a week. Det. Lt. Weber was notified."/>
    <m/>
    <m/>
    <m/>
    <m/>
    <m/>
    <m/>
    <m/>
    <m/>
    <m/>
    <m/>
    <s v="klosk_j"/>
    <s v="Complete"/>
    <s v="P.O. Denisse Caero 367"/>
    <s v="B2"/>
    <s v="Det. John Tanucilli 335"/>
    <s v="Active/Administratively Closed"/>
    <s v="220 = Burglary/Breaking &amp; Entering"/>
    <n v="9"/>
    <d v="2025-01-31T00:00:00"/>
    <d v="1899-12-30T11:59:50"/>
    <d v="1899-12-30T11:00:00"/>
    <s v="Morning Peak (08:00–11:59)"/>
    <s v="The Esplanade, 200 Block"/>
    <x v="0"/>
    <s v="YTD"/>
    <d v="1899-12-30T11:59:50"/>
    <x v="2"/>
    <d v="1899-12-30T11:00:00"/>
    <m/>
    <x v="1"/>
    <x v="2"/>
    <s v="January"/>
    <n v="2025"/>
    <n v="5"/>
    <n v="5"/>
    <n v="31"/>
    <n v="31"/>
    <s v="The Esplanade, 200 Block"/>
    <s v="292 The Esplanade, Hackensack, NJ, 07601"/>
    <m/>
    <m/>
    <m/>
    <m/>
    <m/>
    <m/>
    <x v="1"/>
    <s v="Morning Peak (08:00–11:59)"/>
  </r>
  <r>
    <s v="25-009831"/>
    <d v="2025-02-05T00:00:00"/>
    <d v="1899-12-30T02:57:00"/>
    <m/>
    <m/>
    <d v="2025-02-05T00:00:00"/>
    <d v="1899-12-30T02:57:41"/>
    <s v="Burglary - Commercial - 2C:18-2"/>
    <s v="Alarm - Burglar"/>
    <m/>
    <s v="441 Passaic Street, Hackensack, NJ, 07601"/>
    <s v="H5"/>
    <n v="8"/>
    <s v="On Wednesday, February 5, 2025 at approximately 0300 hours,  P.O Dominguez and I responded to Hackensack Pharmacy (441 Passaic Street) on a reported activated burglar alarm.   Upon my arrival, I observed the main entrance glass door located on the north side of the business to be shattered.  I also observed a master lock and a metal pin on the ground near the door that appeared to had been cut off the steel roller gate located in front of the glass door. I also observed a white prescription pill bottle on the ground near the master lock.  I advised police communications of my findings and P.O A. Lopez , P.O N. Marza and P.O Mattalian arrived to assist.  A perimeter of the business was immediately established.  P.O Dominguez, P.O N. Marza and I made entry into the business and completed an interior check.  The interior check yielded negative results for any person(s) in the business.  While completing the interior check, I observed two gray large paver stones on the floor near the front glass door.  It appears the two stones were used to break the glass to the front door to gain access.  I observed several white prescription pill bottles on the floor as well as several pairs of eye glasses.  Upon further inspection, I observed a white wooden cabinet located behind the service counter that appeared to have been broken into which contained several white prescription pill bottles similar to the prescription pill bottle located outside on the ground in front of the business.  P.O Dominguez made notification to the tour commander. At approximately 0445 hours, Det. Scarpa and the business owner, Mr. Bodawala, arrived and were updated.  Mr. Bodawala consented to the business to be processed and signed a Consent to Search form.  Mr. Bodawala showed video footage of the incident to Det. Scarpa and e-mailed the footage to Det. Scarpa.  See Det. Scarpa's Supplemental report for further. At 0315 hours, the scene was preserved and a crime log had commenced.-0448 hours, Det. N. LaSala (BCSD-CSU) arrived to process the scene, BCSD case # 2025-0088.-0528 hours, Det. N. LaSala completed processing the scene. The scene was turned over to Mr. Bodawala. Mr. Bodawala advised it is unknown what proceeds/value were taken at this time. He advised once he and his employee conduct and complete an inventory, he will compile a list and forward it to Det. Scarpa. Case turned over to Det. Scarpa."/>
    <m/>
    <m/>
    <m/>
    <m/>
    <m/>
    <m/>
    <m/>
    <m/>
    <m/>
    <m/>
    <s v="swetits_m"/>
    <s v="Complete"/>
    <s v="P.O. Benjamin Estrada 350"/>
    <s v="A2"/>
    <s v="Det. Frank Scarpa 348"/>
    <s v="Active Investigation"/>
    <s v="220 = Burglary/Breaking &amp; Entering"/>
    <n v="9"/>
    <d v="2025-02-05T00:00:00"/>
    <d v="1899-12-30T02:57:00"/>
    <d v="1899-12-30T02:00:00"/>
    <s v="Early Morning (00:00–03:59)"/>
    <s v="Passaic Street, 400 Block"/>
    <x v="1"/>
    <s v="YTD"/>
    <d v="1899-12-30T02:57:00"/>
    <x v="3"/>
    <d v="1899-12-30T02:00:00"/>
    <m/>
    <x v="2"/>
    <x v="3"/>
    <s v="February"/>
    <n v="2025"/>
    <n v="6"/>
    <n v="2"/>
    <n v="5"/>
    <n v="36"/>
    <s v="Passaic Street, 400 Block"/>
    <s v="441 Passaic Street, Hackensack, NJ, 07601"/>
    <m/>
    <m/>
    <m/>
    <m/>
    <m/>
    <m/>
    <x v="2"/>
    <s v="Early Morning (00:00–03:59)"/>
  </r>
  <r>
    <s v="25-013147"/>
    <d v="2025-02-17T00:00:00"/>
    <d v="1899-12-30T12:35:58"/>
    <m/>
    <m/>
    <d v="2025-02-17T00:00:00"/>
    <d v="1899-12-30T12:35:58"/>
    <s v="Burglary - Commercial - 2C:18-2"/>
    <s v="Suspicious Incident"/>
    <m/>
    <s v="35 Pangborn Place, Hackensack, NJ, 07601"/>
    <s v="I1"/>
    <n v="9"/>
    <s v="Suspect(s): Unknown     I responded to the listed location, 35 Pangborn Place - Hackensack Emergency Dental, on a report of a burglary. Upon arrival, I was met by the complainant, Beau Jin, who is the manager of the business. The complainant stated that a TP-Link 300 Mbps Wireless Router ($100.00 USD) and a Keep Connect Router Reporter ($50.00) had been a taken from the basement. The complainant further stated there did not appear to be any forced entry into the basement. I was then advised by the complainant that the basement was accessible by the employees as well as the residence of the apartments on the second and third floor.     The complainant advised me the business was closed and secured for on 02/14/2025 until 02/16/2025. The complainant further advised me he on 02/15/2025 he observed through his phone that the businesses router was inoperable. The complainant stated upon opening business on 02/17/2025 he responded to the basement and observed that the router was taken. The complainant further reported he observed feces on the handle of the main entrance door and in the amazon drop off box located in front of the business.      The scene was unable to be processed due to the complainant contamination the scene as well as the fecal matter contaminating the door handle.Sgt. Farhi was notified. Detectives were notified by Sgt. Farhi. Total value of items taken - $150.00 USD"/>
    <m/>
    <m/>
    <m/>
    <m/>
    <m/>
    <m/>
    <m/>
    <m/>
    <m/>
    <m/>
    <s v="deleon_a"/>
    <s v="Complete"/>
    <s v="P.O. Ruben Almonte 359"/>
    <s v="A3"/>
    <s v="Sgt. Francesco Tripodi 134"/>
    <s v="Active/Administratively Closed"/>
    <s v="220 = Burglary/Breaking &amp; Entering"/>
    <n v="9"/>
    <d v="2025-02-17T00:00:00"/>
    <d v="1899-12-30T12:35:58"/>
    <d v="1899-12-30T12:00:00"/>
    <s v="Afternoon (12:00–15:59)"/>
    <s v="Pangborn Place, 0 Block"/>
    <x v="2"/>
    <s v="YTD"/>
    <d v="1899-12-30T12:35:58"/>
    <x v="4"/>
    <d v="1899-12-30T12:00:00"/>
    <m/>
    <x v="0"/>
    <x v="4"/>
    <s v="February"/>
    <n v="2025"/>
    <n v="8"/>
    <n v="4"/>
    <n v="17"/>
    <n v="48"/>
    <s v="Pangborn Place, 0 Block"/>
    <s v="35 Pangborn Place, Hackensack, NJ, 07601"/>
    <m/>
    <m/>
    <m/>
    <m/>
    <m/>
    <m/>
    <x v="0"/>
    <s v="Afternoon (12:00–15:59)"/>
  </r>
  <r>
    <s v="25-019648"/>
    <d v="2025-03-10T00:00:00"/>
    <d v="1899-12-30T01:07:00"/>
    <d v="2025-03-10T00:00:00"/>
    <d v="1899-12-30T03:53:00"/>
    <d v="2025-03-11T00:00:00"/>
    <d v="1899-12-30T10:36:59"/>
    <s v="Burglary - Residence - 2C:18-2"/>
    <m/>
    <m/>
    <s v="1 Park Avenue, Hackensack, NJ, 07601"/>
    <s v="H1"/>
    <n v="8"/>
    <s v="Description of Suspect #1- Black Female, long black hair, approximately in the early 30's, approximately 5'10 in height, approximately 170 lbs, wearing a black baseball hat, black jacket, white and black leggings, white socks and white sneakers.      Description of Suspect #2- Black Female, long black hair, approximately in the early 30's, approximately 5'10 in height, approximately 250 lbs, wearing a white jacket, white and grey leggings,white socks and tan timberlands.       On Tuesday, March 11th, 2025, I responded to the listed location on a burglary to the apartment #435. Upon arrival, I was met with the complainant and another leasing agent for the listed location. The complaint reported that the lessee was evicted from his apartment on 12/23/2024 and still currently had items in his apartment. She further reported that today she received a video from a neighbor that resides next to apartment #435 of two females that were observed sitting on the balcony of the the apartment #435  earlier this morning. The complaint further reported that the keys to the apartment #435 were deactivated and the only person that had possession of that key fob was the lessee. The lessee was not on scene.                      Sgt. Donnerstag was notified, which who then notified the detectives. Det. Sgt. Williams and Det. Dogali responded.       At 01:07 the two suspects walked through the front lobby door of 1 Park Avenue, they proceeded to take the elevator to the 4th floor. They gained entry to apartment #435 some how, which there was no visible damage to the door or to the lock. Prior to my arrival, the complainant and the other leasing agent entered the apartment to see if there was anyone inside which yielded negative. At 03:53 hours, suspect 1 was seen leaving the entrance of 1 Park Avenue with two bags potentially from the apartment. The items that suspect #1 left with is unknown at this time. The apartment was secured by the complainant."/>
    <m/>
    <m/>
    <m/>
    <m/>
    <m/>
    <m/>
    <m/>
    <m/>
    <m/>
    <m/>
    <s v="ghirardi_r"/>
    <s v="Complete"/>
    <s v="P.O. Nicholas Mazzaccaro 377"/>
    <s v="B2"/>
    <s v="Det. Matthew Dogali 338"/>
    <s v="Complaint Signed"/>
    <s v="220 = Burglary/Breaking &amp; Entering"/>
    <n v="9"/>
    <d v="2025-03-10T00:00:00"/>
    <d v="1899-12-30T01:07:00"/>
    <d v="1899-12-30T01:00:00"/>
    <s v="Early Morning (00:00–03:59)"/>
    <s v="Park Avenue, 0 Block"/>
    <x v="0"/>
    <s v="YTD"/>
    <d v="1899-12-30T01:07:00"/>
    <x v="5"/>
    <d v="1899-12-30T01:00:00"/>
    <m/>
    <x v="2"/>
    <x v="4"/>
    <s v="March"/>
    <n v="2025"/>
    <n v="11"/>
    <n v="3"/>
    <n v="10"/>
    <n v="69"/>
    <s v="Park Avenue, 0 Block"/>
    <s v="1 Park Avenue, Hackensack, NJ, 07601"/>
    <m/>
    <m/>
    <m/>
    <m/>
    <m/>
    <m/>
    <x v="2"/>
    <s v="Early Morning (00:00–03:59)"/>
  </r>
  <r>
    <s v="25-024952"/>
    <d v="2025-03-27T00:00:00"/>
    <d v="1899-12-30T22:43:12"/>
    <m/>
    <m/>
    <d v="2025-03-27T00:00:00"/>
    <d v="1899-12-30T22:43:12"/>
    <s v="Burglary - Commercial - 2C:18-2"/>
    <s v="Hindering Apprehension - 2C:29-3"/>
    <s v="Resisting Arrest/Eluding - 2C:29-2"/>
    <s v="211 Essex Street, Hackensack, NJ, 07601"/>
    <s v="F1"/>
    <n v="6"/>
    <s v="On March 28th, 2025 P.O. McCarthy, P.O. Salas, P.O. Francavilla, S.P.O. Aster, and SGT. Tovbin responded to the listed location on a report of a suspicious incident. Upon arrival, we met with the complainant who had live footage of the listed location through her ring camera of the arrestee inside. P.O. Salas P.O. Francavilla and S.P.O. Aster created a perimeter on the outside of the building and P.O. McCarthy, SGT. Tovbin and I entered the location. Once we reached suite 202 and realized we could not gain entry, P.O. Francavilla responded with a key provided by the complainant.     SGT. Tovbin and P.O. McCarthy entered Suite 202 identifying themselves and giving loud verbal commands for the arrestee to show himself. Shortly after entering the suite to conduct a search, the arrestee attempted to exit using the second door. I advised him to show his hands, and P.O. Francavilla and myself were able to handcuff him for our safety after a brief struggle.    We escorted the arrestee outside, where we searched his person for our safety.  We then asked him for his pedigree information to which he gave us the name &quot;Jorge Williams&quot;.  We were unable to locate any person with the information provided. Believing that he was providing us with false pedigree information and hindering our investigation, we determined it was necessary to transport him to headquarters for fingerprinting to confirm his identity.  While S.P.O. Abueg and I were escorting him to radio car 111, the arrestee began running, initiating a foot pursuit. He fled South in the parking lot and then ran across the street into the lot of 80 South Newman Street. P.O. McCarthy deployed his taser, but it did not make contact with his person due to the several layers of clothing he was wearing. P.O. Francavilla was able to apprehend the arrestee and bring him to the ground.     The arrestee was then placed in radio car 108 and transported to police headquarters by P.O. McCarthy. The vehicle was checked before and after transportation which yielded negative results.      Prior to transportation, the complainant approached us and advised us that the arrestee had stolen and eaten a cake they had in their break room. The complainant stated that the stolen cake was valued at $26.99. Melanie Esquiveo then responded to police headquarters to provide a statement to detectives.     Upon arrival at Police Headquarters, he was searched again by P.O. Vicale and handcuffed to the bench. The arrestee then began cooperating and provided us with the correct pedigree information which yielded an active warrant out of Passaic.      The arrestee complained of difficulty breathing and an ambulance was requested. Hackensack Ambulance arrived on scene and assessed the arrestee's. They stated his heart rate was a bit accelerated but should calm down momentarily. After the arrestee took off his two sweatshirts and 2 shirts, he started calming down. The arrestee refused further medical attention.    P.O. Vicale and P.O. Salas processed the arrestee with no complications.    The arrestee was found in possession of an American Express Amex Card which was secured as evidence and placed into evidence locker 2.    The arrestee was charged with:       Burglary - 2C:18-2       Hindering Apprehension - 2C:29-3       Resisting Arrest/Eluding - 2C:29-2A(2)       Obstruction - 2C:29-1(B)    P.O. Anguizaca and P.O. Vicale transported the arrestee to BCJ without further incident.     See Detectives supplement for further."/>
    <m/>
    <m/>
    <m/>
    <m/>
    <m/>
    <m/>
    <m/>
    <m/>
    <m/>
    <m/>
    <s v="bay_f"/>
    <s v="Complete"/>
    <s v="P.O. Laura Lopez-Amaya 374"/>
    <s v="B3"/>
    <s v="Det. John Mora 257"/>
    <s v="Cleared - Arrest"/>
    <s v="220 = Burglary/Breaking &amp; Entering"/>
    <n v="9"/>
    <d v="2025-03-27T00:00:00"/>
    <d v="1899-12-30T22:43:12"/>
    <d v="1899-12-30T22:00:00"/>
    <s v="Night (20:00–23:59)"/>
    <s v="Essex Street, 200 Block"/>
    <x v="3"/>
    <s v="YTD"/>
    <d v="1899-12-30T22:43:12"/>
    <x v="6"/>
    <d v="1899-12-30T22:00:00"/>
    <m/>
    <x v="3"/>
    <x v="0"/>
    <s v="March"/>
    <n v="2025"/>
    <n v="13"/>
    <n v="5"/>
    <n v="27"/>
    <n v="86"/>
    <s v="Essex Street, 200 Block"/>
    <s v="211 Essex Street, Hackensack, NJ, 07601"/>
    <m/>
    <m/>
    <m/>
    <m/>
    <m/>
    <m/>
    <x v="3"/>
    <s v="Night (20:00–23:59)"/>
  </r>
  <r>
    <s v="25-025078"/>
    <d v="2025-03-27T00:00:00"/>
    <d v="1899-12-30T23:30:00"/>
    <d v="2025-03-28T00:00:00"/>
    <d v="1899-12-30T00:36:00"/>
    <d v="2025-03-28T00:00:00"/>
    <d v="1899-12-30T11:13:39"/>
    <s v="Burglary - Residence - 2C:18-2"/>
    <m/>
    <m/>
    <s v="2 Park Avenue, Hackensack, NJ, 07601"/>
    <s v="H1"/>
    <n v="8"/>
    <s v="On March 28th, 2025, at approximately 1110 hours, P.O. Lyak, Sgt. Donnerstag, Det./Sgt. Williams and I, responded to 2 Park Avenue, Apt. 635 (Ivy &amp; Green), on a report of a burglary. Upon our arrival we met with the victim, Juan Rondon Jr., who stated that his apartment was burglarized.      The victim stated he left his apartment on March 27th, 2025, at approximately 23:30 hours and returned to his apartment the following morning on March 28th, at approximately 0830 hours. When the victim arrived at his apartment, he noticed the door was slightly opened. Upon entry, he noticed the dead bolt to the apartment door was forced open and broken. The victim stated he had locked the dead bolt and door handle lock prior to leaving the night of March 27th, but did not utilize the door latch.      The suspect stated after observing the broken door, he entered his apartment and found drawers, cabinets, and his bedroom door were opened. The victim noticed black heavy-duty garbage bags located in the center of his apartment that were left by the suspects. While attempting to identify if merchandise or valuables were stolen during the burglary, he opened and closed many of the drawers and cabinets, contaminating the scene.     The victim stated, approximately $10,000.00 dollars in the denomination of $20.00 dollar bills located in the a kitchen drawer was missing.      Upon further examination, the victim stated a Two-Tone Sky Dweller Champaign Dial Rolex, model #326933, serial #54XV1419, valued at approximately $20,000.00 dollars was stolen. The watch was located inside the pocket of a pair of jeans in his bedroom closet. It should be noted, the victim's closet where the watch was stolen was in the same condition as when the suspect departed his residence. No other belongings or merchandise were disturbed or moved. The suspects appeared to only have gone into a select pair of jeans which contained the Rolex watch.      A Jubilee fourteen (14) karat gold bracelet valued at approximately $8,000.00 dollars was stolen. The bracelet was located on the top of the TV stand.      A fourteen (14) karat white gold necklace valued at approximately $8,000.00 dollars was stolen. The necklace was located in the apartment bedroom.      Multiple FedEx packages containing high-end clothing items and clothing items were stolen from the apartment bedroom and closet. The packages were valued at approximately $4,000.00 dollars.   A Nintendo Switch (Gaming Console) valued at approximately $300.00 dollars was stolen. The gaming console was located on the living room couch.      Detective Sergeant Williams met with the building concierge and they were able show security footage of three (3) unknown individuals wearing black clothing, hoods, face masks, and black gloves. The suspects entered stairwell 3, located across from the victim's apartment at approximately 0030 hours. The suspects were then viewed leaving the apartment approximately six (6) minutes later at 0036 hours. For further information with regards to the suspects involved, please refer to Detective Sergeant Williams case report.      The victim was provided with a Victim Notification Form and wished to sign complaints against the suspects if identified."/>
    <n v="50300"/>
    <m/>
    <m/>
    <m/>
    <m/>
    <m/>
    <m/>
    <m/>
    <m/>
    <m/>
    <s v="klosk_j"/>
    <s v="Complete"/>
    <s v="P.O. Peter Voorhis 380"/>
    <s v="B1"/>
    <s v="Sgt. Patrick Williams 143"/>
    <s v="Active/Administratively Closed"/>
    <s v="220 = Burglary/Breaking &amp; Entering"/>
    <n v="9"/>
    <d v="2025-03-27T00:00:00"/>
    <d v="1899-12-30T23:30:00"/>
    <d v="1899-12-30T23:00:00"/>
    <s v="Night (20:00–23:59)"/>
    <s v="Park Avenue, 0 Block"/>
    <x v="0"/>
    <s v="YTD"/>
    <d v="1899-12-30T23:30:00"/>
    <x v="6"/>
    <d v="1899-12-30T23:00:00"/>
    <m/>
    <x v="3"/>
    <x v="0"/>
    <s v="March"/>
    <n v="2025"/>
    <n v="13"/>
    <n v="5"/>
    <n v="27"/>
    <n v="86"/>
    <s v="Park Avenue, 0 Block"/>
    <s v="2 Park Avenue, Hackensack, NJ, 07601"/>
    <m/>
    <m/>
    <m/>
    <m/>
    <n v="50300"/>
    <m/>
    <x v="3"/>
    <s v="Night (20:00–23:59)"/>
  </r>
  <r>
    <s v="25-025926"/>
    <d v="2025-03-31T00:00:00"/>
    <d v="1899-12-30T12:00:00"/>
    <m/>
    <m/>
    <d v="2025-03-31T00:00:00"/>
    <d v="1899-12-30T13:02:43"/>
    <s v="Burglary - Residence - 2C:18-2"/>
    <m/>
    <m/>
    <s v="100 Essex Street, Hackensack, NJ, 07601"/>
    <s v="G2"/>
    <n v="7"/>
    <s v="On March 31st, 2025, I responded to the listed address (100 Essex Street) on a report of a burglary. Upon arrival, I spoke to the victim, John Ross, who reported that his keys were missing. The victim reported missing a Coach keychain, with $50.00 USD inside, attached to four (4) keys and one (1) safety deposit box key. Total loss of $200.00 USD.     The victim stated in effect that he took a shower at approximately 0500 hours today. The victim reported not leaving his apartment again until approximately 1130 hours to use the bathroom. The victim reported observing his keys at this time. The victim stated that he was only in the bathroom for a minute. Upon responding back to his apartment, he stated that he began to watch a television show. Approximately 30 minutes to an hour later, he attempted to locate his keys, which are usually placed on his dresser, yielding negative results. The victim reported not securing his door while showering or using the bathroom. At this time, no signs of forced entry or any evidentiary proof that a suspect was inside his apartment, were visible. Sgt. Butler responded.       The scene was unable to be processed due to the victim contaminating the scene while looking for his keys. No CCTV camera were observed.      The victim stated that a &quot;Asaad Martinez-Pollard&quot; may be the suspect. The victim reported being assaulted by the suspect a few weeks prior and seeing him briefly today. See Case #25-010292 for further. A NJ Victim Notification form was completed and a copy was provided to the victim. Detective DeBonis was advised."/>
    <m/>
    <m/>
    <m/>
    <m/>
    <m/>
    <m/>
    <m/>
    <m/>
    <m/>
    <m/>
    <s v="competiello_fa"/>
    <s v="Complete"/>
    <s v="P.O. Anthony Mattalian 83"/>
    <s v="A2"/>
    <s v="Sgt. Francesco Tripodi 134"/>
    <s v="No Investigation"/>
    <s v="220 = Burglary/Breaking &amp; Entering"/>
    <n v="9"/>
    <d v="2025-03-31T00:00:00"/>
    <d v="1899-12-30T12:00:00"/>
    <d v="1899-12-30T12:00:00"/>
    <s v="Afternoon (12:00–15:59)"/>
    <s v="Essex Street, 100 Block"/>
    <x v="0"/>
    <s v="YTD"/>
    <d v="1899-12-30T12:00:00"/>
    <x v="7"/>
    <d v="1899-12-30T12:00:00"/>
    <m/>
    <x v="0"/>
    <x v="4"/>
    <s v="March"/>
    <n v="2025"/>
    <n v="14"/>
    <n v="6"/>
    <n v="31"/>
    <n v="90"/>
    <s v="Essex Street, 100 Block"/>
    <s v="100 Essex Street, Hackensack, NJ, 07601"/>
    <m/>
    <m/>
    <m/>
    <m/>
    <m/>
    <m/>
    <x v="0"/>
    <s v="Afternoon (12:00–15:59)"/>
  </r>
  <r>
    <s v="25-027338"/>
    <d v="2025-04-01T00:00:00"/>
    <d v="1899-12-30T12:00:00"/>
    <d v="2025-04-04T00:00:00"/>
    <d v="1899-12-30T12:30:00"/>
    <d v="2025-04-04T00:00:00"/>
    <d v="1899-12-30T13:05:28"/>
    <s v="Burglary - Residence - 2C:18-2"/>
    <m/>
    <m/>
    <s v="75 Fair Street, Hackensack, NJ, 07601"/>
    <s v="E1"/>
    <n v="5"/>
    <s v="On Friday, April 4, 2025, at approximately 13:15 hours, I responded in marked radio car #108 to 75 Fair Street, Apt. 1, for a report of a burglary to a residence.  Upon arrival, I spoke to SANDY JOHNSON, the victim's neighbor, who stated that the listed residence was burglarized.     JOHNSON stated that the victim has been at New Bridge Medical Center's intensive care unit for over month and she has permission from the victim to check on her apartment.  JOHNSON further stated that she regularly checks the victim's mailbox and puts the victim's mail inside the victim's apartment which is reported to be left unlocked at all times.  On Tuesday, 04/01/2025 at approximately 12:00 hours, JOHNSON entered the apartment to drop off the victim's mail and check the apartment, specifically checking to make sure that the TV in the victim's bedroom was still there.  The TV was last seen at this time.  On today's date at approximately 12:30 hours,  JOHNSON entered the apartment and noticed that the TV in the victim's bedroom was missing.  JOHNSON left the apartment and notified the complainant (victim's son).       I requested a supervisor to which Sgt. Tovbin responded.  Upon his arrival, we cleared the apartment which yielded negative results for unwanted persons.  Sgt. Tovbin notified Det. Sgt. Tripodi regarding the incident.  Det. Sgt. Tripodi received consent to process the scene from the complainant on the victim's behalf via telephone.  Det. Sgt. Tripodi, Det. G. Lara-Nunez and Det. Dogali responded on scene.  Bergen County Sheriff's Office BCI Unit responded on scene.  Det. Colon #1952 photographed the scene, see BCI case number #2025-0211.  The door to the apartment was secured by JOHNSON."/>
    <m/>
    <m/>
    <m/>
    <m/>
    <m/>
    <m/>
    <m/>
    <m/>
    <m/>
    <m/>
    <s v="klosk_j"/>
    <s v="Complete"/>
    <s v="P.O. Alexander Reyes 355"/>
    <s v="B4"/>
    <s v="Det. Gunther Lara-Nunez 351"/>
    <s v="Active/Administratively Closed"/>
    <s v="220 = Burglary/Breaking &amp; Entering"/>
    <n v="9"/>
    <d v="2025-04-01T00:00:00"/>
    <d v="1899-12-30T12:00:00"/>
    <d v="1899-12-30T12:00:00"/>
    <s v="Afternoon (12:00–15:59)"/>
    <s v="Fair Street, 0 Block"/>
    <x v="0"/>
    <s v="YTD"/>
    <d v="1899-12-30T12:00:00"/>
    <x v="8"/>
    <d v="1899-12-30T12:00:00"/>
    <m/>
    <x v="0"/>
    <x v="5"/>
    <s v="April"/>
    <n v="2025"/>
    <n v="14"/>
    <n v="1"/>
    <n v="1"/>
    <n v="91"/>
    <s v="Fair Street, 0 Block"/>
    <s v="75 Fair Street, Hackensack, NJ, 07601"/>
    <m/>
    <m/>
    <m/>
    <m/>
    <m/>
    <m/>
    <x v="0"/>
    <s v="Afternoon (12:00–15:59)"/>
  </r>
  <r>
    <s v="25-029829"/>
    <d v="2025-04-08T00:00:00"/>
    <d v="1899-12-30T12:00:00"/>
    <d v="2025-04-12T00:00:00"/>
    <d v="1899-12-30T12:00:00"/>
    <d v="2025-04-12T00:00:00"/>
    <d v="1899-12-30T12:38:52"/>
    <s v="Burglary - Residence - 2C:18-2"/>
    <m/>
    <m/>
    <s v="140 Hudson Street, Hackensack, NJ, 07601"/>
    <s v="E1"/>
    <n v="5"/>
    <s v="I responded to the listed location on a report of a suspicious incident. Upon arrival, I spoke to the home residents who stated somebody entered their apartment and took their belongings. The victims explained that they were going through an eviction process so they were unable to enter the apartment for a couple of days. They then explained that they fixed the issue and when they returned to their apartment, some of their belongings were missing.    The victims advised that they left the apartment on April 8th, 2025 and returned on today's date.    Manuel Vasquez stated he was missing:           3 Citizen watches           3 Gold necklaces           $26.00 Manuel stated he believes the total loss is $400.00.    Tomas Lopez stated he was missing:          3 Dewalt drill sets          A necklace          A watch           2 Samsung Tablets          $50.00.Tomas stated he believes the total loss is $700.00.     There was also no sign of forced entry.     The victims stated that prior to contacting the police they touched several items in the apartment thus contaminating the scene."/>
    <m/>
    <m/>
    <m/>
    <m/>
    <m/>
    <m/>
    <m/>
    <m/>
    <m/>
    <m/>
    <s v="bay_f"/>
    <s v="Complete"/>
    <s v="P.O. Laura Lopez-Amaya 374"/>
    <s v="B3"/>
    <s v="Det. Matthew Dogali 338"/>
    <s v="Active Investigation"/>
    <s v="220 = Burglary/Breaking &amp; Entering"/>
    <n v="9"/>
    <d v="2025-04-08T00:00:00"/>
    <d v="1899-12-30T12:00:00"/>
    <d v="1899-12-30T12:00:00"/>
    <s v="Afternoon (12:00–15:59)"/>
    <s v="Hudson Street, 100 Block"/>
    <x v="0"/>
    <s v="YTD"/>
    <d v="1899-12-30T12:00:00"/>
    <x v="9"/>
    <d v="1899-12-30T12:00:00"/>
    <m/>
    <x v="0"/>
    <x v="5"/>
    <s v="April"/>
    <n v="2025"/>
    <n v="15"/>
    <n v="2"/>
    <n v="8"/>
    <n v="98"/>
    <s v="Hudson Street, 100 Block"/>
    <s v="140 Hudson Street, Hackensack, NJ, 07601"/>
    <m/>
    <m/>
    <m/>
    <m/>
    <m/>
    <m/>
    <x v="0"/>
    <s v="Afternoon (12:00–15:59)"/>
  </r>
  <r>
    <s v="25-030220"/>
    <d v="2025-04-13T00:00:00"/>
    <d v="1899-12-30T18:44:52"/>
    <m/>
    <m/>
    <d v="2025-04-13T00:00:00"/>
    <d v="1899-12-30T18:44:52"/>
    <s v="Burglary - Residence - 2C:18-2"/>
    <s v="Terroristic Threats - 2C:12-3"/>
    <s v="Criminal Mischief - 2C:17-3"/>
    <s v="64 Prospect Avenue, Hackensack, NJ, 07601"/>
    <s v="G4"/>
    <n v="7"/>
    <s v="On April 13, 2025 at approximately 18:44 hours, P.O. Alvarez, SPO Abueg, and I responded to 64 prospect ave apt #B9 for a 911 call for a possible fight.     Upon arrival, I observed a black male, wearing a black leather jacket with white on the boarders, grey jeans, black and red shoes, with short hair, running out of the apartment complex. I attempted to stop the party but he fled running to the rear of 77 Prospect Ave. As I was unaware if the person who fled was involved in the incident I responded to apartment #B9 where I observed the door half open, glass on the floor, and the apartment to be in disarray.     At that moment, Anthony Campbell (victim hereafter), walked out. I observed a laceration to his forehead. The victim also complained of right leg pain. I observed a laceration to his right leg. Hackensack EMS #134 were on scene. They evaluated the victim and he signed an RMA form.     The victim reported he was sitting in his apartment when he began to hear loud banging. The victim reported he made his way to the front door to investigate the sound. The victim reported as he approached the door, it swung open violently. The victim reported he then saw Michael Dearmas (arrestee hereafter) standing on the outside. It should be noted that Dearmas matched the description of the person who fled upon my arrival to the building. The victim reported the arrestee then ran into the apartment and grabbed him by the shirt striking him in the head in the process. The victim reported he then attempted to back up to call 911 to which the arrestee then yelled &quot; I am going to kill you &quot;. The victim reported the arrestee then ran out of the apartment.      The victim reported damage to the front door which would cost approximately $50.00 to repair. The victim also reported a broken mirror which cost him approximately $150.00.     The victim reported he has never had issues with the arrestee until the divorce proceeding with his daughter was initiated. Sgt. Ghirardi arrived on scene. Sgt. Ghirardi notified Det. Tanucilli. Det. Tanucilli arrived on scene.  I asked the victim if he wished to have the scene processed to which he accepted. A Hackensack Police Consent to Search form was completed and turned over to Det. Tanucilli upon his arrival on scene. BCSO Det. S. Delacruz #1955 arrived on scene. Det. Delacruz photographed and processed the scene. See BCSO case number #2025-0233 for more.       While on scene, Sgt. Ghirardi was speaking to the victims daughter on the phone when she received a call from the arrestee. The victims daughter placed the call on 3-way where he disclosed he was standing in front of a liquor store on Lehigh St. Communications was able to confirm the arrestees location via security cameras. P.O. Vicale, SPO Abueg, P.O. Voorhis, P.O. Caero, and P.O. Alvarez made their way to the arrestees location. Upon arrival, the arrestee again fled on an electric bicycle heading south into the NJ Transit Station Lot on Essex St. P.O. Vicale activated his exterior emergency warning lights in attempted to stop the arrestee.     Upon reaching the back of the parking lot the arrestee jumped off the bicycle and ran onto the train tracks. The arrestee then jumped into a small creek but surrendered to P.O. Vicale shortly after. The arrestee was pulled out of the creek by P.O. Vicale and handcuffed behind his back. The arrestee then requested an ambulance for leg pain. The arrestee was transported to Hackensack Hospital. The arrestee was searched before and after the transported which yielded negative results for contraband. P.O. Voorhis rode in the ambulance with the arrestee while P.O. Vicale followed.     At approximately 21:00 the victim contacted the Hackensack Police Headquarters advising he had located the arrestees phone inside the apartment. I responded to the apartment to secure the phone as evidence. The phone was tagged and secured in evidence locker #2.      Communication confirmed the arrestee had active warrant #W-2025-000167 out of this jurisdiction.        The arrestee also had warrant # W-2025-000078 and 1604-W-2025-000080 from Hawthrone PD.     The victims daughter, Toya Campbell-Dearmas, had active FRO #FV-14-001021-25 against the arrestee. The victims address is listed on the FRO.      The bicycle the arrestee was on was logged into property and secured in bulk storage in the old police garage.       A New Jersey Victim Notification form was filled out and a copy was provided to the victim.      Lt. Klosk authored complainant #W 2025 000178 0223 on my behalf for the charges of 2C:18-2, 2C:12-3, 2C12-1a, 2C:17-3, 2C:25-31."/>
    <m/>
    <m/>
    <m/>
    <m/>
    <m/>
    <m/>
    <m/>
    <m/>
    <m/>
    <m/>
    <s v="klosk_j"/>
    <s v="Complete"/>
    <s v="P.O. Andres Lopez 375"/>
    <s v="A2"/>
    <s v="Det. John Tanucilli 335"/>
    <s v="Cleared - Arrest"/>
    <s v="220 = Burglary/Breaking &amp; Entering"/>
    <n v="9"/>
    <d v="2025-04-13T00:00:00"/>
    <d v="1899-12-30T18:44:52"/>
    <d v="1899-12-30T18:00:00"/>
    <s v="Evening Peak (16:00–19:59)"/>
    <s v="Prospect Avenue, 0 Block"/>
    <x v="4"/>
    <s v="YTD"/>
    <d v="1899-12-30T18:44:52"/>
    <x v="10"/>
    <d v="1899-12-30T18:00:00"/>
    <m/>
    <x v="4"/>
    <x v="6"/>
    <s v="April"/>
    <n v="2025"/>
    <n v="16"/>
    <n v="3"/>
    <n v="13"/>
    <n v="103"/>
    <s v="Prospect Avenue, 0 Block"/>
    <s v="64 Prospect Avenue, Hackensack, NJ, 07601"/>
    <m/>
    <m/>
    <m/>
    <m/>
    <m/>
    <m/>
    <x v="4"/>
    <s v="Evening Peak (16:00–19:59)"/>
  </r>
  <r>
    <s v="25-030780"/>
    <d v="2025-04-14T00:00:00"/>
    <d v="1899-12-30T23:00:00"/>
    <d v="2025-04-15T00:00:00"/>
    <d v="1899-12-30T18:30:00"/>
    <d v="2025-04-15T00:00:00"/>
    <d v="1899-12-30T18:40:03"/>
    <s v="Burglary - Residence - 2C:18-2"/>
    <s v="Theft - 2C:20-3"/>
    <s v="Criminal Mischief - 2C:17-3"/>
    <s v="325 Union Street, Hackensack, NJ, 07601"/>
    <s v="H2"/>
    <n v="8"/>
    <s v="P.O. Mattalian and I responded to the listed location on a report of a burglary that took place in the past.  The victim's residence is occupied as a rooming house with multiple tenants. Upon arrival, we made contact with the victim, Gerard White.  The victim stated that he left his residence yesterday 4/14/2025 at approximately 2300 hours. The victim had slept in a hotel due to him and his girlfriend (Erica Best) getting into a verbal altercation. The victim stated Best was not in the room when he left to the hotel.  The victim returned back to his home today 4/15/2025 at approximately 1830 hours and was unable to open his door due to unknown object blocking his room door. The victim walked to the back of the structure to look through his window. The victim discovered his room window was ajar which appeared suspicious. The victim further discovered his apartment in complete disarray, with furniture flipped upside down, and tomato sauce smeared all over his walls.  The victim then discovered his pillow and some personal belongings in the garbage can that was across the driveway in the rear of the home.  Sgt. Competiello arrived on scene.     An anonymous neighbor from room # 5 advised us that at approximately 0400 hours on 4/15/2025 he observed the silhouette of a women dressed like a &quot;ninja&quot; coming from the rear of the listed location with unknown items. The female then entered into an unknown SUV.  The victim stated that he was missing a pair of suede &quot;Jordan&quot; shoes with an approximate cost of $300.00.  He also had damage to his dresser and bed that had an approximate cost of $550.00.  P.O. Mattalian was able to pry the bedroom door open and I observed tomato sauce and food smeared all over the walls of the room.  Det./Sgt. Williams and Det. Tanucilli arrived on scene.  The victim gave us verbal and written consent to have the room processed.  Det. Brielle Colon # 1952 from BCI arrived on scene to photograph and fingerprint the scene.  The victim was given a copy of the victim notification form and advised that detectives would follow up with him.        ****See Detective Tanucilli's supplement***"/>
    <m/>
    <m/>
    <m/>
    <m/>
    <m/>
    <m/>
    <m/>
    <m/>
    <m/>
    <m/>
    <s v="butler_j"/>
    <s v="Complete"/>
    <s v="P.O. Paula Lopez 362"/>
    <s v="A1"/>
    <s v="Det. John Tanucilli 335"/>
    <s v="Active Investigation"/>
    <s v="220 = Burglary/Breaking &amp; Entering"/>
    <n v="9"/>
    <d v="2025-04-14T00:00:00"/>
    <d v="1899-12-30T23:00:00"/>
    <d v="1899-12-30T23:00:00"/>
    <s v="Night (20:00–23:59)"/>
    <s v="Union Street, 300 Block"/>
    <x v="5"/>
    <s v="YTD"/>
    <d v="1899-12-30T23:00:00"/>
    <x v="11"/>
    <d v="1899-12-30T23:00:00"/>
    <m/>
    <x v="3"/>
    <x v="4"/>
    <s v="April"/>
    <n v="2025"/>
    <n v="16"/>
    <n v="3"/>
    <n v="14"/>
    <n v="104"/>
    <s v="Union Street, 300 Block"/>
    <s v="325 Union Street, Hackensack, NJ, 07601"/>
    <m/>
    <m/>
    <m/>
    <m/>
    <m/>
    <m/>
    <x v="3"/>
    <s v="Night (20:00–23:59)"/>
  </r>
  <r>
    <s v="25-031651"/>
    <d v="2025-04-16T00:00:00"/>
    <d v="1899-12-30T06:00:00"/>
    <d v="2025-04-18T00:00:00"/>
    <m/>
    <d v="2025-04-18T00:00:00"/>
    <d v="1899-12-30T22:08:36"/>
    <s v="Burglary - Residence - 2C:18-2"/>
    <m/>
    <m/>
    <s v="28 Summit Avenue, Hackensack, NJ, 07601"/>
    <s v="G4"/>
    <n v="7"/>
    <s v="On April 18, 2025, at approximately 22:08 hours Sgt. Donnerstag, P.O. Bonsu, and I responded to 28 Summit Avenue for a report of a burglary that occurred in the past. The victims reported that they last saw their green Aipass electric bicycle and 58&quot; TLC 4k TV  on Wednesday, April 16, 2025 at approximately 06:00 hours in their garage (located in the rear). They reported noticing that both the electric bicycle and 58&quot; TV was gone earlier today. It should be noted, the garage door remains unlocked at all times and the victims do not have a key for it. There was no sign of forced entry observed. The victims reported the green Aipass electric bicycle costs approximately $758.00 and the 58&quot; TV costs approximately $300.00 for a total loss of $1,058.00.       Due to the victims contaminating the area Bergen County BCI was not advised. The New Jersey Victim Notification Form was completed and a copy was provided.      Det./Sgt. Williams was notified.       The victims reported they would like to sign complaints if the suspects are identified."/>
    <m/>
    <m/>
    <m/>
    <m/>
    <m/>
    <m/>
    <m/>
    <m/>
    <m/>
    <m/>
    <s v="ghirardi_r"/>
    <s v="Complete"/>
    <s v="P.O. Denisse Caero 367"/>
    <s v="B2"/>
    <s v="Det. Demetrius Carroll 133"/>
    <s v="Active Investigation"/>
    <s v="220 = Burglary/Breaking &amp; Entering"/>
    <n v="9"/>
    <d v="2025-04-16T00:00:00"/>
    <d v="1899-12-30T06:00:00"/>
    <d v="1899-12-30T06:00:00"/>
    <s v="Morning (04:00–07:59)"/>
    <s v="Summit Avenue, 0 Block"/>
    <x v="0"/>
    <s v="YTD"/>
    <d v="1899-12-30T06:00:00"/>
    <x v="12"/>
    <d v="1899-12-30T06:00:00"/>
    <m/>
    <x v="5"/>
    <x v="3"/>
    <s v="April"/>
    <n v="2025"/>
    <n v="16"/>
    <n v="3"/>
    <n v="16"/>
    <n v="106"/>
    <s v="Summit Avenue, 0 Block"/>
    <s v="28 Summit Avenue, Hackensack, NJ, 07601"/>
    <m/>
    <m/>
    <m/>
    <m/>
    <m/>
    <m/>
    <x v="5"/>
    <s v="Morning (04:00–07:59)"/>
  </r>
  <r>
    <s v="25-032451"/>
    <m/>
    <m/>
    <m/>
    <m/>
    <d v="2025-04-21T00:00:00"/>
    <d v="1899-12-30T09:39:40"/>
    <s v="Burglary - Residence - 2C:18-2"/>
    <m/>
    <m/>
    <s v="130 Overlook Avenue, Hackensack, NJ, 07601"/>
    <s v="G4"/>
    <n v="7"/>
    <s v="I responded to 130 Overlook Avenue for a report of a burglary.  Upon arrival, I met with the complainant in the lobby of the apartment building. She stated that she believes the suspect had stolen her wallet from her apartment.      The victim stated that approximately a week and a half ago the incident had occurred.  The victim was unable to provide a specific date and time of the incident.  The suspect is a neighbor of the victim and has had interactions with him in the past.  She further stated that on the day of the incident, the suspect appeared in her residence uninvited and did not see him come through the front door.  When inside, the suspect began asking the victim questions about her carpet and couch.  The victim said after he asked the questions, the suspect left.  After the incident, she realized her wallet was missing from her dining room table.  The victim reported that the wallet is of the brand Victoria's Secret which is black in color with a flower design (worth approximately $30.00), containing two NJ Transit bus tickets and approximately $7.00 in coin currency. She stated that she did not see the suspect take the wallet.  No signs of forced entry were reported to the victim's apartment door.      The suspect was on scene and he stated that he has never gone into the victim's residence, invited or uninvited.  The only time he's interacted with her was a few months ago he gave the victim containers of food after the victim had surgery.  The suspect stated that the victim might be going through early stages of dementia.A New Jersey Victim Notification form was completed and a copy was given to the victim.I notified Sgt. Tovbin who advised Det. Sgt. Williams of the incident."/>
    <m/>
    <m/>
    <m/>
    <m/>
    <m/>
    <m/>
    <m/>
    <m/>
    <m/>
    <m/>
    <s v="peralta_k"/>
    <s v="Complete"/>
    <s v="P.O. Alexander Reyes 355"/>
    <s v="B4"/>
    <s v="Sgt. Patrick Williams 143"/>
    <s v="No Investigation"/>
    <m/>
    <n v="9"/>
    <d v="2025-04-21T00:00:00"/>
    <d v="1899-12-30T09:39:40"/>
    <d v="1899-12-30T09:00:00"/>
    <s v="Morning Peak (08:00–11:59)"/>
    <s v="Overlook Avenue, 100 Block"/>
    <x v="0"/>
    <s v="YTD"/>
    <d v="1899-12-30T09:39:40"/>
    <x v="13"/>
    <d v="1899-12-30T09:00:00"/>
    <m/>
    <x v="1"/>
    <x v="4"/>
    <s v="April"/>
    <n v="2025"/>
    <n v="17"/>
    <n v="4"/>
    <n v="21"/>
    <n v="111"/>
    <s v="Overlook Avenue, 100 Block"/>
    <s v="130 Overlook Avenue, Hackensack, NJ, 07601"/>
    <m/>
    <m/>
    <m/>
    <m/>
    <m/>
    <m/>
    <x v="1"/>
    <s v="Morning Peak (08:00–11:59)"/>
  </r>
  <r>
    <s v="25-032420"/>
    <d v="2025-04-20T00:00:00"/>
    <d v="1899-12-30T03:34:00"/>
    <d v="2025-04-21T00:00:00"/>
    <d v="1899-12-30T08:00:00"/>
    <d v="2025-04-21T00:00:00"/>
    <d v="1899-12-30T08:04:33"/>
    <s v="Burglary - Commercial - 2C:18-2"/>
    <m/>
    <m/>
    <s v="16 Johnson Avenue, Hackensack, NJ, 07601"/>
    <s v="I4"/>
    <n v="9"/>
    <s v="On Monday, April 21, 2025 at approximately 0800 hours,  P.O Francavilla and I responded to 16 Johnson Avenue on a report of a burglary.     Upon my arrival, I spoke to the complainant who escorted P.O. Francavilla and myself to the rear of the building where a window appeared to be forced open. I then spoke to Giustina who stated she arrived at the business and unlocked the door to set up the office. She advised that once she entered, she realized the alarm was going off and then noticed 3 alcohol bottles on the floor. Giustina stated that once she noticed the bottles, she exited the business and waited in the parking lot. P.O Francavilla and I made entry into the business and completed an interior check.  The interior check yielded negative results for any person(s) in the business.  While completing the interior check, I observed a safe on the floor pried open and the main office was torn apart. Upon further inspection, I observed that several other rooms had cabinets opened. Giustina then handed us the key for the outside gate that lead to the opened window. Upon further investigation, we noticed a crow bar on the floor next to the window. I requested for a supervisor and SGT. Tovbin arrived on scene. SGT. Tovbin requested detectives and DET. Dogali and D/SGT. Williams arrived on scene at approximately 0855 hours.    The complainant consented to the business to be processed and signed a Consent to Search form.    At 0850 hours, the scene was preserved and a crime scene log had commenced.-0908 hours, Det. Charlenea/Det. Delacruz/ D/SGT. Dilkes (BCI) arrived to process the scene.-1014 hours, detectives were completed and the scene was turned over to D/SGT. Williams and DET. Dogali.  Giustina advised $4,000.00 were taken but that she was unaware what else was taken."/>
    <m/>
    <m/>
    <m/>
    <m/>
    <m/>
    <m/>
    <m/>
    <m/>
    <m/>
    <m/>
    <s v="peralta_k"/>
    <s v="Complete"/>
    <s v="P.O. Laura Lopez-Amaya 374"/>
    <s v="B3"/>
    <s v="Det. Matthew Dogali 338"/>
    <s v="Active Investigation"/>
    <m/>
    <n v="9"/>
    <d v="2025-04-20T00:00:00"/>
    <d v="1899-12-30T03:34:00"/>
    <d v="1899-12-30T03:00:00"/>
    <s v="Early Morning (00:00–03:59)"/>
    <s v="Johnson Avenue, 0 Block"/>
    <x v="6"/>
    <s v="YTD"/>
    <d v="1899-12-30T03:34:00"/>
    <x v="14"/>
    <d v="1899-12-30T03:00:00"/>
    <m/>
    <x v="2"/>
    <x v="6"/>
    <s v="April"/>
    <n v="2025"/>
    <n v="17"/>
    <n v="4"/>
    <n v="20"/>
    <n v="110"/>
    <s v="Johnson Avenue, 0 Block"/>
    <s v="16 Johnson Avenue, Hackensack, NJ, 07601"/>
    <m/>
    <m/>
    <m/>
    <m/>
    <m/>
    <m/>
    <x v="2"/>
    <s v="Early Morning (00:00–03:59)"/>
  </r>
  <r>
    <s v="25-035868"/>
    <d v="2025-05-01T00:00:00"/>
    <d v="1899-12-30T22:27:45"/>
    <m/>
    <m/>
    <d v="2025-05-01T00:00:00"/>
    <d v="1899-12-30T22:27:45"/>
    <s v="Burglary - Residence - 2C:18-2"/>
    <s v="Theft - 2C:20-3"/>
    <s v="Warrant Arrest"/>
    <s v="185 Central Avenue, Hackensack, NJ, 07601"/>
    <s v="G3"/>
    <n v="7"/>
    <s v="I responded to the listed location on theft of sneakers.  Upon arrival I made contact with the victim, Matese Shine, who stated that 15 pairs of her Jordan and Nike sneakers were missing from her home.  The victim stated that she has been staying at her boyfriends house but came back to her home this morning at approximately 1100 hours and realized a few of her sneaker boxes were missing.  She then called her son who stays in her home sometimes to ask him if he took her sneakers or had anyone in the home while she wasn't there in which he responded &quot;no.&quot; The victim's son then stated that he left the door open to the home while he went to the corner store and came back home shortly after.  The victim then returned back to her home this evening at approximately 2200 hours and discovered that she had more sneakers missing from her home.  The estimated cost in sneakers that were taken is approximately $5000.00.  Due to the sneakers being taken from the home, I requested a Sgt. for a possible burglary.  Sgt. Butler arrived on scene.        I did not observe the door or handle to be tampered with and no other items were missing according to the victim.  The victim, however, did notice a pair of gray, white, and light blue Nike Air Force size 8 in a Black Nike Air show box size 9 that did not belong to her or her son.  Det. Tanucilli arrived on scene.  While confirming the victim's pedigree information through Info Cop, the results revealed that she had an outstanding warrant out of Waldwick (Warrant # E21 337).  The victim was given a copy of the R.O.R. form with a new court date from Walwick to appear in-person on May 19th, 2025.  The victim was also given a copy of the victim notification form.  If the suspect is identified, the victim would like to pursue with criminal complaints.  The sneakers were secured into evidence in Locker # 2  See Detective Tanucilli's report for further."/>
    <m/>
    <m/>
    <m/>
    <m/>
    <m/>
    <m/>
    <m/>
    <m/>
    <m/>
    <m/>
    <s v="levis_r"/>
    <s v="Complete"/>
    <s v="P.O. Paula Lopez 362"/>
    <s v="A2"/>
    <s v="Det. John Tanucilli 335"/>
    <s v="Active Investigation"/>
    <m/>
    <n v="9"/>
    <d v="2025-05-01T00:00:00"/>
    <d v="1899-12-30T22:27:45"/>
    <d v="1899-12-30T22:00:00"/>
    <s v="Night (20:00–23:59)"/>
    <s v="Central Avenue, 100 Block"/>
    <x v="7"/>
    <s v="YTD"/>
    <d v="1899-12-30T22:27:45"/>
    <x v="15"/>
    <d v="1899-12-30T22:00:00"/>
    <m/>
    <x v="3"/>
    <x v="0"/>
    <s v="May"/>
    <n v="2025"/>
    <n v="18"/>
    <n v="1"/>
    <n v="1"/>
    <n v="121"/>
    <s v="Central Avenue, 100 Block"/>
    <s v="185 Central Avenue, Hackensack, NJ, 07601"/>
    <m/>
    <m/>
    <m/>
    <m/>
    <m/>
    <m/>
    <x v="3"/>
    <s v="Night (20:00–23:59)"/>
  </r>
  <r>
    <s v="25-038962"/>
    <d v="2025-05-12T00:00:00"/>
    <d v="1899-12-30T06:32:00"/>
    <m/>
    <m/>
    <d v="2025-05-12T00:00:00"/>
    <d v="1899-12-30T06:37:50"/>
    <s v="Burglary - Residence - 2C:18-2"/>
    <s v="Aggravated Assault - 2C:12-1b"/>
    <s v="Unlawful Taking - 2C:20-10"/>
    <s v="70 Cedar Avenue, Hackensack, NJ, 07601"/>
    <s v="I5"/>
    <n v="9"/>
    <s v="The suspect is the victim's mother's boyfriend's son, who is not related to the victim and does not reside at the residence. The victim is not friends with the suspect but only knows him.          On Monday, May 12th, 2025, P.O. Lyak, P.O. Rivera, and I responded to 70 Cedar Avenue on a report of a fight involving a stick. Upon arrival, I spoke with the victim, who is now referred to as Molano-Rivera, Alejandro. He reported that the suspect, who is now referred to as Amadiz, Freddy Jr, assaulted him multiple times to his hands and one time to his head. Alejandro reported that he was walking down his steps, opened the door, and observed Amadiz standing there. Amadiz then squatted down, picked up a stick, and started to assault Alejandro with it multiple times. Alejandro then ran back up the steps and began to scream for help. Amadiz then followed Alejandro up the stairs and continued to assault Alejandro. Alejandro made contact with his father, who was inside the apartment,when the father opened the apartment door, Amadiz took off down the steps and went toward the front of the house. Alejandro reported that Amandiz did not state anything to him during the assault. Alejandro refused medical attention on scene. While Amadiz was assaulting Alejandro, Amandiz caused damage to the ceiling causing a hole. The estimated total cost of repairing the hole in the wall is $300.00.       Sgt. Ghirardi was advised and responded to the scene to assist.      Amandiz entered the listed vehicle and left the scene after the assault occurred with the weapon he used.       Masshiel Barriows, who is the witness, reported hearing the screaming from inside her apartment which is located on the first floor. She reported that when she heard the scream, she went outside and only observed the suspect walking out of the stairs with the stick in his hands, and did not observe the assault occur.    Det/Sgt. Tripodi was advised and responded to the scene to assist and captured pictures of the incident.      Victim Notification forms were completed and were given to the victim."/>
    <m/>
    <m/>
    <s v="s28snh"/>
    <s v="Honda"/>
    <s v="PIL"/>
    <s v="NJ"/>
    <m/>
    <m/>
    <m/>
    <m/>
    <s v="knapp_j"/>
    <s v="Complete"/>
    <s v="P.O. Nicholas Mazzaccaro 377"/>
    <s v="B2"/>
    <s v="Sgt. Francesco Tripodi 134"/>
    <s v="Complaint Signed"/>
    <m/>
    <n v="9"/>
    <d v="2025-05-12T00:00:00"/>
    <d v="1899-12-30T06:32:00"/>
    <d v="1899-12-30T06:00:00"/>
    <s v="Morning (04:00–07:59)"/>
    <s v="Cedar Avenue, 0 Block"/>
    <x v="8"/>
    <s v="YTD"/>
    <d v="1899-12-30T06:32:00"/>
    <x v="16"/>
    <d v="1899-12-30T06:00:00"/>
    <m/>
    <x v="5"/>
    <x v="4"/>
    <s v="May"/>
    <n v="2025"/>
    <n v="20"/>
    <n v="3"/>
    <n v="12"/>
    <n v="132"/>
    <s v="Cedar Avenue, 0 Block"/>
    <s v="70 Cedar Avenue, Hackensack, NJ, 07601"/>
    <m/>
    <m/>
    <s v="Honda PIL"/>
    <m/>
    <m/>
    <m/>
    <x v="5"/>
    <s v="Morning (04:00–07:59)"/>
  </r>
  <r>
    <s v="25-039095"/>
    <d v="2025-05-04T00:00:00"/>
    <d v="1899-12-30T13:00:00"/>
    <m/>
    <m/>
    <d v="2025-05-12T00:00:00"/>
    <d v="1899-12-30T13:20:26"/>
    <s v="Burglary - Residence - 2C:18-2"/>
    <m/>
    <m/>
    <s v="343 Park Street, Hackensack, NJ, 07601"/>
    <s v="H2"/>
    <n v="8"/>
    <s v="On May 12th, 2025, I responded to Headquarters on a report of a burglary. Upon arrival, I met with Gnahore Gnegbo (Victim), who stated that on May 4th, 2025, at approximately 13:00 hours, his residence was burglarized. The victim stated that the front door did not have a lock and was very poorly secured which is how he supposed the suspect/s gained access. The victim stated that he did not know what exactly was missing other than what he reported.      Items stolen:      Old Social Security Card     Old New Jersey Drivers License     Unknown Miscellaneous items     The victim completed a Hackensack PD Fraud packet as a precaution in case there was any credit card fraud discovered on his banking account after the incident to which he did not disclose any suspicious activity.      Detectives notified"/>
    <m/>
    <m/>
    <m/>
    <m/>
    <m/>
    <m/>
    <m/>
    <m/>
    <m/>
    <m/>
    <s v="knapp_j"/>
    <s v="Complete"/>
    <s v="P.O. Peter Voorhis 380"/>
    <s v="B1"/>
    <s v="Sgt. Francesco Tripodi 134"/>
    <s v="No Investigation"/>
    <m/>
    <n v="9"/>
    <d v="2025-05-04T00:00:00"/>
    <d v="1899-12-30T13:00:00"/>
    <d v="1899-12-30T13:00:00"/>
    <s v="Afternoon (12:00–15:59)"/>
    <s v="Park Street, 300 Block"/>
    <x v="0"/>
    <s v="YTD"/>
    <d v="1899-12-30T13:00:00"/>
    <x v="17"/>
    <d v="1899-12-30T13:00:00"/>
    <m/>
    <x v="0"/>
    <x v="6"/>
    <s v="May"/>
    <n v="2025"/>
    <n v="19"/>
    <n v="2"/>
    <n v="4"/>
    <n v="124"/>
    <s v="Park Street, 300 Block"/>
    <s v="343 Park Street, Hackensack, NJ, 07601"/>
    <m/>
    <m/>
    <m/>
    <m/>
    <m/>
    <m/>
    <x v="0"/>
    <s v="Afternoon (12:00–15:59)"/>
  </r>
  <r>
    <s v="25-040394"/>
    <d v="2025-05-12T00:00:00"/>
    <d v="1899-12-30T08:00:00"/>
    <d v="2025-05-16T00:00:00"/>
    <m/>
    <d v="2025-05-16T00:00:00"/>
    <d v="1899-12-30T13:20:08"/>
    <s v="Burglary - Residence - 2C:18-2"/>
    <m/>
    <m/>
    <s v="33 Henry Place, Hackensack, NJ, 07601"/>
    <s v="E3"/>
    <n v="5"/>
    <s v="I responded to police headquarters on a report of a burglary to a residence.  Upon arrival I made contact with the victim, Vanessa Durango, who stated initially that she believes her ex-boyfriend, Max Makarov (suspect), stole money from her.  The victim stated that on Monday, May 12, 2025 at approximately 0800 hours, the suspect got home and asked the victim for some money and food.  The victim stated that she did not have any money but he can help himself to some food and then went back to sleep.  The victim then woke back up at 1130 hours and realized $500.00 was missing from her purse.  The victim tried contacting the suspect via phone with negative results.       Furthermore, the victim stated that she got home this afternoon as approximately 1200 hours and saw her apartment was ransacked.  The victim is unaware if the suspect has copies of her keys and did not notice any visible forced entry to the home.  The victim did not give permission to the suspect to enter her home.  The victim stated that she noticed her yellow Gucci purse was missing that has an estimated cost of $1000.00.  The victim also stated that she had money taken out of her Capital One Bank Account totaling $2200.00.  She was given a fraud packet to fill out and advised to bring back with all proper documentation and we would create a supplement report.  The victim was given a copy of the victim notification form.  Detective Dogali was advised of the incident."/>
    <m/>
    <m/>
    <m/>
    <m/>
    <m/>
    <m/>
    <m/>
    <m/>
    <m/>
    <m/>
    <s v="levis_r"/>
    <s v="Complete"/>
    <s v="P.O. Paula Lopez 362"/>
    <s v="A2"/>
    <s v="Sgt. Francesco Tripodi 134"/>
    <s v="No Investigation"/>
    <m/>
    <n v="9"/>
    <d v="2025-05-12T00:00:00"/>
    <d v="1899-12-30T08:00:00"/>
    <d v="1899-12-30T08:00:00"/>
    <s v="Morning Peak (08:00–11:59)"/>
    <s v="Henry Place, 0 Block"/>
    <x v="0"/>
    <s v="YTD"/>
    <d v="1899-12-30T08:00:00"/>
    <x v="16"/>
    <d v="1899-12-30T08:00:00"/>
    <m/>
    <x v="1"/>
    <x v="4"/>
    <s v="May"/>
    <n v="2025"/>
    <n v="20"/>
    <n v="3"/>
    <n v="12"/>
    <n v="132"/>
    <s v="Henry Place, 0 Block"/>
    <s v="33 Henry Place, Hackensack, NJ, 07601"/>
    <m/>
    <m/>
    <m/>
    <m/>
    <m/>
    <m/>
    <x v="1"/>
    <s v="Morning Peak (08:00–11:59)"/>
  </r>
  <r>
    <s v="25-042858"/>
    <d v="2025-05-24T00:00:00"/>
    <d v="1899-12-30T22:24:00"/>
    <m/>
    <m/>
    <d v="2025-05-24T00:00:00"/>
    <d v="1899-12-30T22:36:34"/>
    <s v="Burglary - Residence - 2C:18-2"/>
    <s v="Criminal Mischief - 2C:17-3"/>
    <s v="Simple Assault - 2C:12-1a"/>
    <s v="79 Lodi Street, Hackensack, NJ, 07601"/>
    <s v="E2"/>
    <n v="5"/>
    <s v="I responded to the listed location on a reported criminal mischief. On arrival, Sgt. Farhi was on scene speaking with the victims. Samora Turner (Victim), the resident, reported that while she was inside her apartment the suspect came inside her home without permission and entered on the Briscolina Street entrance of her apartment that was unlocked at the time. It should be noted that the suspect is known to both victims as a friend. An argument ensued between the victims and the suspect, as the suspect attempted to punch Samora Turner with closed fist, her friend (Alexis Salas) which was inside the apartment also stepped in front of her and the suspect punched her in the face. The suspect then took Alexis Salas's (Victim) Iphone 15 pro valued at $1,200,00 USD and exited via the front door of the apartment which is located on the Lodi Street side. The suspect then attempted to re enter the apartment but was locked out and subsequently kicked the door in causing damage to the frame of the door of about $500.00 USD. The argument continued until the suspect fled eastbound on Lodi Street , stopped and slammed the Iphone 15 pro on the ground causing it to shatter. The incident was  witnessed by S.T., as she was inside the apartment the entire time.      The victim, Alexis Salas complained of pain to her right eye but refused medical attention. Both victims refused to complete a voluntary hand written statement. They both refused to respond to police headquarters to provide a recorded statement but were advised to respond at a later time if they wished. Victim notification forms were completed for both victims and they received copies.      A handle with care form was completed for S.T. Det. Tanucilli was notified and advised of the incident."/>
    <m/>
    <m/>
    <m/>
    <m/>
    <m/>
    <m/>
    <m/>
    <m/>
    <m/>
    <m/>
    <s v="gretkowski_j"/>
    <s v="Complete"/>
    <s v="P.O. Jeffrey Rodriguez 342"/>
    <s v="A4"/>
    <s v="Det. John Tanucilli 335"/>
    <s v="Active/Administratively Closed"/>
    <m/>
    <n v="9"/>
    <d v="2025-05-24T00:00:00"/>
    <d v="1899-12-30T22:24:00"/>
    <d v="1899-12-30T22:00:00"/>
    <s v="Night (20:00–23:59)"/>
    <s v="Lodi Street, 0 Block"/>
    <x v="9"/>
    <s v="28-Day"/>
    <d v="1899-12-30T22:24:00"/>
    <x v="18"/>
    <d v="1899-12-30T22:00:00"/>
    <m/>
    <x v="3"/>
    <x v="1"/>
    <s v="May"/>
    <n v="2025"/>
    <n v="21"/>
    <n v="4"/>
    <n v="24"/>
    <n v="144"/>
    <s v="Lodi Street, 0 Block"/>
    <s v="79 Lodi Street, Hackensack, NJ, 07601"/>
    <m/>
    <m/>
    <m/>
    <m/>
    <m/>
    <m/>
    <x v="3"/>
    <s v="Night (20:00–23:59)"/>
  </r>
  <r>
    <s v="25-042950"/>
    <d v="2025-05-25T00:00:00"/>
    <d v="1899-12-30T05:45:00"/>
    <m/>
    <d v="1899-12-30T07:00:00"/>
    <d v="2025-05-25T00:00:00"/>
    <d v="1899-12-30T08:51:39"/>
    <s v="Burglary - Commercial - 2C:18-2"/>
    <m/>
    <m/>
    <s v="20 Prospect Avenue, Hackensack, NJ, 07601"/>
    <s v="G4"/>
    <n v="7"/>
    <s v="On 05/25/25 P.O. W. Rivera, P.O. I. Papanikolaou and I were dispatched to 20 Prospect, Suite 602, to a suspected burglary in the past. Upon arrival to the listed location, I met with Ms. Alfaro, who is the Operations Manager. I then met Ms. Guzman who is a Palliative Care Coordinator, and Mr. Bravo, who is a nurse at the practice. Ms. Alfaro stated that Mr. Bravo and Ms. Guzman, upon arriving to work at 0700 hrs, witnessed the suspect sitting in the front desk area. Mr. Bravo believed he locked the office doors when he left work yesterday, 05/24/25, at approximately 1900 hrs. Ms. Guzman tried talking to the suspect to ask why she was there, and the suspect did not respond. Ms. Guzman stated that the suspect was mumbling to herself incoherently, and did not make eye contact. The suspect then moved toward the door. The suspect then placed a pair of glasses down on the table next to the front door, and walked out of the office. It is unknown if the glasses belonged to the suspect or a staff member.After the suspect left the office, Mr. Bravo and Ms. Guzman stated they checked all the rooms to see if anything was missing. Upon checking the rooms, they observed the suspect had made multiple stacks of coins on the desk in one of the rooms. Its unknown if the coins belong to a staff member, or if they belong to the suspect. They also observed that the suspect had eaten food in their office break room. She left behind a drink, a half eaten chocolate bar, and other remnants of food on the break room table.  They also found that the suspect left a sticky note with a number 973-223-5491 and the name Great Darris Grandpa on the break room table. Mr. Bravo and Ms. Guzman stated no items of value appear to be missing at this time. Ms. Guzman then called Ms. Alfaro, and Ms. Alfaro called security. Ms. Alfaro afterward contacted Hackensack PD. Sgt. Butler arrived on scene and called the number on the sticky note. Sgt. Butler was able to make contact with the party listed on the note. The contact told Sgt.  Butler that the suspect's name was Tammi Brodish. The contact informed Sgt. Butler that the suspect suffers from mental illness. The contact is unaware of the suspect's current whereabouts, but believes she maybe homeless. HUMC security viewed the cameras and gave the description of the suspect. Suspect was described as a white female, wearing a grey hoodie and white leopard print pants. The cameras showed she entered the office at approximately 0600 hrs and left the office at approximately 0710 hrs. Suspect was then observed heading toward the service elevator.Sgt. Butler notified Lt. Levis who Det. Sgt. Tripodi. The scene had been disturbed by employees prior to police arrival."/>
    <m/>
    <m/>
    <m/>
    <m/>
    <m/>
    <m/>
    <m/>
    <m/>
    <m/>
    <m/>
    <s v="butler_j"/>
    <s v="Complete"/>
    <s v="P.O. Jann Aberde 386"/>
    <s v="A1"/>
    <s v="Sgt. Francesco Tripodi 134"/>
    <s v="No Investigation"/>
    <m/>
    <n v="9"/>
    <d v="2025-05-25T00:00:00"/>
    <d v="1899-12-30T05:45:00"/>
    <d v="1899-12-30T05:00:00"/>
    <s v="Morning (04:00–07:59)"/>
    <s v="Prospect Avenue, 0 Block"/>
    <x v="6"/>
    <s v="28-Day"/>
    <d v="1899-12-30T05:45:00"/>
    <x v="19"/>
    <d v="1899-12-30T05:00:00"/>
    <m/>
    <x v="5"/>
    <x v="6"/>
    <s v="May"/>
    <n v="2025"/>
    <n v="22"/>
    <n v="5"/>
    <n v="25"/>
    <n v="145"/>
    <s v="Prospect Avenue, 0 Block"/>
    <s v="20 Prospect Avenue, Hackensack, NJ, 07601"/>
    <m/>
    <m/>
    <m/>
    <m/>
    <m/>
    <m/>
    <x v="5"/>
    <s v="Morning (04:00–07:59)"/>
  </r>
  <r>
    <s v="25-043052"/>
    <d v="2025-05-25T00:00:00"/>
    <d v="1899-12-30T18:15:00"/>
    <m/>
    <m/>
    <d v="2025-05-25T00:00:00"/>
    <d v="1899-12-30T18:21:55"/>
    <s v="Burglary - Residence - 2C:18-2"/>
    <s v="Suspicious Person"/>
    <s v="Suspicious Incident"/>
    <s v="87 Troast Street, Hackensack, NJ, 07601"/>
    <s v="E2"/>
    <n v="5"/>
    <s v="Suspect Descriptions: Five Hispanic/Dominican males, unknown clothing description. Seen fleeing the area in two vehicles, one possibly a white Honda sedan.     P.O. Antista and I responded to the listed location on a reported suspicious incident. Upon arrival, we spoke with the victim. He stated that today at approximately 18:15, he was inside his home watching the television. He further stated that the door was slightly ajar and that one of the suspects suddenly kicked it, causing it to fully open. The victim reported that the five suspects entered his home, with one of them stating that they were &quot;looking for someone&quot;. The victim advised that his primary language is Spanish and that the suspects spoke to him in English. He further reported that he had asked the suspects to leave, at which time the main suspect told him &quot;Don't talk to me like that&quot;. The victim stated that the suspects then left the residence, with him guiding them out the front door. He further stated that one of the suspects purposely struck the victim with the screen door as they were leaving, causing him slight pain to his arm. When asked if he needed medical attention, he declined.    Sgt. Farhi was contacted and advised of the circumstances. The victim was advised that detectives would be in contact with him in the following days due to the victim touching multiple surfaces prior to our arrival, the scene was unable to be processed. A Victim Notification Form was completed and provided to the victim. The victim did not wish to completely a voluntary hand written statement at the time of this report.   While canvassing the area, I observed exterior cameras on 100 Troast and 79 Troast, which may have captured the incident."/>
    <m/>
    <m/>
    <m/>
    <m/>
    <m/>
    <m/>
    <m/>
    <m/>
    <m/>
    <m/>
    <s v="gretkowski_j"/>
    <s v="Complete"/>
    <s v="P.O. Micah Gibson 365"/>
    <s v="A4"/>
    <s v="Det. John Tanucilli 335"/>
    <s v="Active/Administratively Closed"/>
    <m/>
    <n v="9"/>
    <d v="2025-05-25T00:00:00"/>
    <d v="1899-12-30T18:15:00"/>
    <d v="1899-12-30T18:00:00"/>
    <s v="Evening Peak (16:00–19:59)"/>
    <s v="Troast Street, 0 Block"/>
    <x v="10"/>
    <s v="28-Day"/>
    <d v="1899-12-30T18:15:00"/>
    <x v="19"/>
    <d v="1899-12-30T18:00:00"/>
    <m/>
    <x v="4"/>
    <x v="6"/>
    <s v="May"/>
    <n v="2025"/>
    <n v="22"/>
    <n v="5"/>
    <n v="25"/>
    <n v="145"/>
    <s v="Troast Street, 0 Block"/>
    <s v="87 Troast Street, Hackensack, NJ, 07601"/>
    <m/>
    <m/>
    <m/>
    <m/>
    <m/>
    <m/>
    <x v="4"/>
    <s v="Evening Peak (16:00–19:59)"/>
  </r>
  <r>
    <s v="25-043063"/>
    <d v="2025-04-27T00:00:00"/>
    <d v="1899-12-30T19:00:00"/>
    <d v="2025-05-25T00:00:00"/>
    <m/>
    <d v="2025-05-25T00:00:00"/>
    <d v="1899-12-30T19:23:00"/>
    <s v="Burglary - Residence - 2C:18-2"/>
    <m/>
    <m/>
    <s v="60 Kansas Street, Hackensack, NJ, 07601"/>
    <s v="E1"/>
    <n v="5"/>
    <s v="On Sunday, May 25, 2025 at approximately 19:23 hours, I responded to the lobby of 60 Kansas Street on a report of a theft. Upon my arrival, I met with Ms. Shannon Gaddy (Complainant) who wished to report several missing items from her deceased brother's apartment. The complainant advised me, that she had received an e-mail from the Housing Authority to clean out her deceased brother's (Norman Gaddy) apartment by June 1, 2025. The complainant further advised me, that she came to the apartment today at approximately 19:00 hours, and began removing her brother's belongings when she noticed several items belonging to her brother missing. At that point, I asked the complainant if she knew of anyone other than herself that had access to the apartment to which she stated &quot;No&quot;. The complainant then stated that the last time she was in her brother's apartment was the day he passed which was on April 26, 2025 and since then, no one to her knowledge had entered the apartment.  As per the complainant, no other friend or family member had key access to the apartment other than her. The complainant stated, that the only other individuals with key access to the apartment were the building's maintenance department. I checked the exterior door to the apartment and it appeared to be secure and did not exhibit any signs of forced entry. I also checked the hallway for cameras and there were no cameras located anywhere in the hallway or corridor of the second floor or outside of the apartment. Due to the complainant's observations and statements, I believed a possible burglary had occurred and contacted headquarters and requested for a supervisor to respond. Shortly thereafter, Sgt. Farhi arrived on scene and was advised of the circumstances. After speaking with myself and the complainant, Sgt. Farhi concurred that a burglary may have occurred and contacted the on-call Detective. Sgt. Farhi spoke with Detective Lara-Nunez and it was determined that Detective Lara-Nunez would conduct a follow up investigation at a later date and time. Due to the complainant already entering the apartment and moving and touching items in the apartment, the Bergen County Sheriff's Office Bureau of Criminal Identification was not contacted. The list of belongings removed from the apartment are as follows: 1. (1)  Sony Playstation 7 valued at approximately $750.00 dollars. 2. (1) Poland Spring Water Jug containing a $20 dollar bill and a large quantity of coins valued at approximately $350 dollars.  3. (1) Pair of silver studded earings valued at approximately $60.00 dollars. 4. (1) Silver chain and cross valued at approximately $100.00 dollars.Total value of missing property is $1,260 dollars. The complainant was provided with a victim notification form and advised that she would be receiving a follow up call in a few days from the Detective Bureau."/>
    <m/>
    <m/>
    <m/>
    <m/>
    <m/>
    <m/>
    <m/>
    <m/>
    <m/>
    <m/>
    <s v="gretkowski_j"/>
    <s v="Complete"/>
    <s v="P.O. Reuven Lyak 318"/>
    <s v="B1"/>
    <s v="Det. Gunther Lara-Nunez 351"/>
    <s v="Active/Administratively Closed"/>
    <m/>
    <n v="9"/>
    <d v="2025-04-27T00:00:00"/>
    <d v="1899-12-30T19:00:00"/>
    <d v="1899-12-30T19:00:00"/>
    <s v="Evening Peak (16:00–19:59)"/>
    <s v="Kansas Street, 0 Block"/>
    <x v="0"/>
    <s v="YTD"/>
    <d v="1899-12-30T19:00:00"/>
    <x v="20"/>
    <d v="1899-12-30T19:00:00"/>
    <m/>
    <x v="4"/>
    <x v="6"/>
    <s v="April"/>
    <n v="2025"/>
    <n v="18"/>
    <n v="5"/>
    <n v="27"/>
    <n v="117"/>
    <s v="Kansas Street, 0 Block"/>
    <s v="60 Kansas Street, Hackensack, NJ, 07601"/>
    <m/>
    <m/>
    <m/>
    <m/>
    <m/>
    <m/>
    <x v="4"/>
    <s v="Evening Peak (16:00–19:59)"/>
  </r>
  <r>
    <s v="25-043899"/>
    <d v="2025-05-23T00:00:00"/>
    <d v="1899-12-30T08:00:00"/>
    <d v="2025-05-23T00:00:00"/>
    <d v="1899-12-30T16:00:00"/>
    <d v="2025-05-28T00:00:00"/>
    <d v="1899-12-30T16:53:40"/>
    <s v="Burglary - Residence - 2C:18-2"/>
    <m/>
    <m/>
    <s v="160 River Street, Hackensack, NJ, 07601"/>
    <m/>
    <m/>
    <s v="On Wednesday, 05/28/2025, Mr. Matthew Gilson (victim) responded to headquarters for a burglary report. The victim reported that he is the only person that has access to his apartment. His front door is key fob access.      The victim reported, on 05/23/2025, he left his apartment at 0800 hours and returned at 1600 hours. When he returned, he observed his front apartment door ajar. He further reported he entered his apartment and did not notice anything missing or his disturbed. He reported when he was looked in his closet, he notice a blue suit pants was missing. He also notice his social security card was missing as well.      The total amount stolen is $1,200.00. The suit pants brand name is unknown at this time. He is also unaware if he is missing anything else. The victim did not have surveillance cameras at the time.      Sgt. Ghirardi and Detectives were notified.     The victim would like to sign complaints against the suspect if they were identified. A New Jersey Victim Notification form was completed."/>
    <m/>
    <m/>
    <m/>
    <m/>
    <m/>
    <m/>
    <m/>
    <m/>
    <m/>
    <m/>
    <s v="ghirardi_r"/>
    <s v="Complete"/>
    <s v="P.O. Kevin Small 328"/>
    <s v="B2"/>
    <s v="Det. Matthew Dogali 338"/>
    <s v="Active Investigation"/>
    <m/>
    <n v="9"/>
    <d v="2025-05-23T00:00:00"/>
    <d v="1899-12-30T08:00:00"/>
    <d v="1899-12-30T08:00:00"/>
    <s v="Morning Peak (08:00–11:59)"/>
    <s v="River Street, 100 Block"/>
    <x v="0"/>
    <s v="28-Day"/>
    <d v="1899-12-30T08:00:00"/>
    <x v="21"/>
    <d v="1899-12-30T08:00:00"/>
    <m/>
    <x v="1"/>
    <x v="2"/>
    <s v="May"/>
    <n v="2025"/>
    <n v="21"/>
    <n v="4"/>
    <n v="23"/>
    <n v="143"/>
    <s v="River Street, 100 Block"/>
    <s v="160 River Street, Hackensack, NJ, 07601"/>
    <m/>
    <m/>
    <m/>
    <m/>
    <m/>
    <m/>
    <x v="1"/>
    <s v="Morning Peak (08:00–11: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3EF82DD-A285-4FF9-B154-8B7841EA0D6E}" name="PT_BUR_AUTO_YT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G9" firstHeaderRow="1" firstDataRow="2" firstDataCol="1" rowPageCount="2" colPageCount="1"/>
  <pivotFields count="45">
    <pivotField dataField="1" compact="0" outline="0" showAll="0"/>
    <pivotField axis="axisPage" compact="0" numFmtId="14" outline="0" multipleItemSelectionAllowed="1" showAll="0">
      <items count="12">
        <item x="0"/>
        <item x="1"/>
        <item x="2"/>
        <item x="3"/>
        <item x="4"/>
        <item x="5"/>
        <item x="6"/>
        <item x="7"/>
        <item x="8"/>
        <item x="9"/>
        <item x="10"/>
        <item t="default"/>
      </items>
    </pivotField>
    <pivotField name="Time of Day" axis="axisRow" compact="0" outline="0" showAll="0">
      <items count="5">
        <item x="0"/>
        <item x="1"/>
        <item x="3"/>
        <item x="2"/>
        <item t="default"/>
      </items>
    </pivotField>
    <pivotField compact="0" outline="0" showAll="0"/>
    <pivotField compact="0" outline="0" showAll="0"/>
    <pivotField axis="axisCol" compact="0" outline="0" showAll="0" nonAutoSortDefault="1">
      <items count="12">
        <item m="1" x="8"/>
        <item m="1" x="6"/>
        <item m="1" x="10"/>
        <item m="1" x="9"/>
        <item m="1" x="7"/>
        <item x="2"/>
        <item x="0"/>
        <item x="4"/>
        <item x="5"/>
        <item x="3"/>
        <item x="1"/>
        <item t="default"/>
      </items>
    </pivotField>
    <pivotField compact="0" outline="0" showAll="0"/>
    <pivotField compact="0" outline="0" showAll="0"/>
    <pivotField compact="0" outline="0" showAll="0"/>
    <pivotField axis="axisPage"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4">
    <i>
      <x/>
    </i>
    <i>
      <x v="1"/>
    </i>
    <i>
      <x v="2"/>
    </i>
    <i>
      <x v="3"/>
    </i>
  </rowItems>
  <colFields count="1">
    <field x="5"/>
  </colFields>
  <colItems count="6">
    <i>
      <x v="5"/>
    </i>
    <i>
      <x v="6"/>
    </i>
    <i>
      <x v="7"/>
    </i>
    <i>
      <x v="8"/>
    </i>
    <i>
      <x v="9"/>
    </i>
    <i>
      <x v="10"/>
    </i>
  </colItems>
  <pageFields count="2">
    <pageField fld="1" hier="-1"/>
    <pageField fld="9" hier="-1"/>
  </pageFields>
  <dataFields count="1">
    <dataField name="Count of Case Number" fld="0" subtotal="count" baseField="0" baseItem="0"/>
  </dataFields>
  <formats count="28">
    <format dxfId="487">
      <pivotArea dataOnly="0" labelOnly="1" outline="0" fieldPosition="0">
        <references count="1">
          <reference field="5" count="0"/>
        </references>
      </pivotArea>
    </format>
    <format dxfId="486">
      <pivotArea type="origin" dataOnly="0" labelOnly="1" outline="0" fieldPosition="0"/>
    </format>
    <format dxfId="485">
      <pivotArea field="5" type="button" dataOnly="0" labelOnly="1" outline="0" axis="axisCol" fieldPosition="0"/>
    </format>
    <format dxfId="484">
      <pivotArea type="topRight" dataOnly="0" labelOnly="1" outline="0" fieldPosition="0"/>
    </format>
    <format dxfId="483">
      <pivotArea dataOnly="0" labelOnly="1" outline="0" fieldPosition="0">
        <references count="1">
          <reference field="5" count="0"/>
        </references>
      </pivotArea>
    </format>
    <format dxfId="482">
      <pivotArea type="origin" dataOnly="0" labelOnly="1" outline="0" fieldPosition="0"/>
    </format>
    <format dxfId="481">
      <pivotArea field="5" type="button" dataOnly="0" labelOnly="1" outline="0" axis="axisCol" fieldPosition="0"/>
    </format>
    <format dxfId="480">
      <pivotArea type="topRight" dataOnly="0" labelOnly="1" outline="0" fieldPosition="0"/>
    </format>
    <format dxfId="479">
      <pivotArea type="origin" dataOnly="0" labelOnly="1" outline="0" fieldPosition="0"/>
    </format>
    <format dxfId="478">
      <pivotArea field="5" type="button" dataOnly="0" labelOnly="1" outline="0" axis="axisCol" fieldPosition="0"/>
    </format>
    <format dxfId="477">
      <pivotArea type="origin" dataOnly="0" labelOnly="1" outline="0" fieldPosition="0"/>
    </format>
    <format dxfId="476">
      <pivotArea field="5" type="button" dataOnly="0" labelOnly="1" outline="0" axis="axisCol" fieldPosition="0"/>
    </format>
    <format dxfId="475">
      <pivotArea type="topRight" dataOnly="0" labelOnly="1" outline="0" fieldPosition="0"/>
    </format>
    <format dxfId="474">
      <pivotArea outline="0" collapsedLevelsAreSubtotals="1" fieldPosition="0"/>
    </format>
    <format dxfId="473">
      <pivotArea dataOnly="0" labelOnly="1" outline="0" fieldPosition="0">
        <references count="1">
          <reference field="2" count="0"/>
        </references>
      </pivotArea>
    </format>
    <format dxfId="472">
      <pivotArea dataOnly="0" labelOnly="1" outline="0" fieldPosition="0">
        <references count="1">
          <reference field="2" count="0"/>
        </references>
      </pivotArea>
    </format>
    <format dxfId="471">
      <pivotArea field="2" type="button" dataOnly="0" labelOnly="1" outline="0" axis="axisRow" fieldPosition="0"/>
    </format>
    <format dxfId="470">
      <pivotArea type="origin" dataOnly="0" labelOnly="1" outline="0" fieldPosition="0"/>
    </format>
    <format dxfId="469">
      <pivotArea field="5" type="button" dataOnly="0" labelOnly="1" outline="0" axis="axisCol" fieldPosition="0"/>
    </format>
    <format dxfId="468">
      <pivotArea type="topRight" dataOnly="0" labelOnly="1" outline="0" fieldPosition="0"/>
    </format>
    <format dxfId="467">
      <pivotArea type="all" dataOnly="0" outline="0" fieldPosition="0"/>
    </format>
    <format dxfId="466">
      <pivotArea outline="0" collapsedLevelsAreSubtotals="1" fieldPosition="0"/>
    </format>
    <format dxfId="465">
      <pivotArea type="origin" dataOnly="0" labelOnly="1" outline="0" fieldPosition="0"/>
    </format>
    <format dxfId="464">
      <pivotArea field="5" type="button" dataOnly="0" labelOnly="1" outline="0" axis="axisCol" fieldPosition="0"/>
    </format>
    <format dxfId="463">
      <pivotArea type="topRight" dataOnly="0" labelOnly="1" outline="0" fieldPosition="0"/>
    </format>
    <format dxfId="462">
      <pivotArea field="2" type="button" dataOnly="0" labelOnly="1" outline="0" axis="axisRow" fieldPosition="0"/>
    </format>
    <format dxfId="461">
      <pivotArea dataOnly="0" labelOnly="1" outline="0" fieldPosition="0">
        <references count="1">
          <reference field="2" count="0"/>
        </references>
      </pivotArea>
    </format>
    <format dxfId="460">
      <pivotArea dataOnly="0" labelOnly="1" outline="0" fieldPosition="0">
        <references count="1">
          <reference field="5"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85A78C4-3C6E-4DC8-8FB5-16CBF0864303}" name="PT_BUR_AUTO_28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27:E31" firstHeaderRow="1" firstDataRow="2" firstDataCol="1" rowPageCount="2" colPageCount="1"/>
  <pivotFields count="45">
    <pivotField dataField="1" compact="0" outline="0" showAll="0"/>
    <pivotField axis="axisPage" compact="0" numFmtId="14" outline="0" multipleItemSelectionAllowed="1" showAll="0">
      <items count="12">
        <item h="1" x="0"/>
        <item h="1" x="1"/>
        <item h="1" x="2"/>
        <item h="1" x="3"/>
        <item h="1" x="4"/>
        <item h="1" x="5"/>
        <item h="1" x="6"/>
        <item x="7"/>
        <item x="8"/>
        <item x="9"/>
        <item x="10"/>
        <item t="default"/>
      </items>
    </pivotField>
    <pivotField name="Time of Day" axis="axisRow" compact="0" outline="0" showAll="0">
      <items count="5">
        <item x="0"/>
        <item x="1"/>
        <item x="3"/>
        <item x="2"/>
        <item t="default"/>
      </items>
    </pivotField>
    <pivotField compact="0" outline="0" showAll="0"/>
    <pivotField compact="0" outline="0" showAll="0"/>
    <pivotField axis="axisCol" compact="0" outline="0" showAll="0" nonAutoSortDefault="1">
      <items count="12">
        <item m="1" x="8"/>
        <item m="1" x="6"/>
        <item m="1" x="10"/>
        <item m="1" x="9"/>
        <item m="1" x="7"/>
        <item x="2"/>
        <item x="0"/>
        <item x="4"/>
        <item x="3"/>
        <item x="1"/>
        <item x="5"/>
        <item t="default"/>
      </items>
    </pivotField>
    <pivotField compact="0" outline="0" showAll="0"/>
    <pivotField compact="0" outline="0" showAll="0"/>
    <pivotField compact="0" outline="0" showAll="0"/>
    <pivotField axis="axisPage"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
  </rowFields>
  <rowItems count="3">
    <i>
      <x v="1"/>
    </i>
    <i>
      <x v="2"/>
    </i>
    <i>
      <x v="3"/>
    </i>
  </rowItems>
  <colFields count="1">
    <field x="5"/>
  </colFields>
  <colItems count="4">
    <i>
      <x v="5"/>
    </i>
    <i>
      <x v="6"/>
    </i>
    <i>
      <x v="7"/>
    </i>
    <i>
      <x v="10"/>
    </i>
  </colItems>
  <pageFields count="2">
    <pageField fld="1" hier="-1"/>
    <pageField fld="9" hier="-1"/>
  </pageFields>
  <dataFields count="1">
    <dataField name="Count of Case Number" fld="0" subtotal="count" baseField="0" baseItem="0"/>
  </dataFields>
  <formats count="29">
    <format dxfId="516">
      <pivotArea dataOnly="0" labelOnly="1" outline="0" fieldPosition="0">
        <references count="1">
          <reference field="5" count="0"/>
        </references>
      </pivotArea>
    </format>
    <format dxfId="515">
      <pivotArea type="origin" dataOnly="0" labelOnly="1" outline="0" fieldPosition="0"/>
    </format>
    <format dxfId="514">
      <pivotArea field="5" type="button" dataOnly="0" labelOnly="1" outline="0" axis="axisCol" fieldPosition="0"/>
    </format>
    <format dxfId="513">
      <pivotArea type="topRight" dataOnly="0" labelOnly="1" outline="0" fieldPosition="0"/>
    </format>
    <format dxfId="512">
      <pivotArea dataOnly="0" labelOnly="1" outline="0" fieldPosition="0">
        <references count="1">
          <reference field="5" count="0"/>
        </references>
      </pivotArea>
    </format>
    <format dxfId="511">
      <pivotArea type="origin" dataOnly="0" labelOnly="1" outline="0" fieldPosition="0"/>
    </format>
    <format dxfId="510">
      <pivotArea field="5" type="button" dataOnly="0" labelOnly="1" outline="0" axis="axisCol" fieldPosition="0"/>
    </format>
    <format dxfId="509">
      <pivotArea type="topRight" dataOnly="0" labelOnly="1" outline="0" fieldPosition="0"/>
    </format>
    <format dxfId="508">
      <pivotArea type="origin" dataOnly="0" labelOnly="1" outline="0" fieldPosition="0"/>
    </format>
    <format dxfId="507">
      <pivotArea field="5" type="button" dataOnly="0" labelOnly="1" outline="0" axis="axisCol" fieldPosition="0"/>
    </format>
    <format dxfId="506">
      <pivotArea type="origin" dataOnly="0" labelOnly="1" outline="0" fieldPosition="0"/>
    </format>
    <format dxfId="505">
      <pivotArea field="5" type="button" dataOnly="0" labelOnly="1" outline="0" axis="axisCol" fieldPosition="0"/>
    </format>
    <format dxfId="504">
      <pivotArea type="topRight" dataOnly="0" labelOnly="1" outline="0" fieldPosition="0"/>
    </format>
    <format dxfId="503">
      <pivotArea outline="0" collapsedLevelsAreSubtotals="1" fieldPosition="0"/>
    </format>
    <format dxfId="502">
      <pivotArea dataOnly="0" labelOnly="1" outline="0" fieldPosition="0">
        <references count="1">
          <reference field="2" count="0"/>
        </references>
      </pivotArea>
    </format>
    <format dxfId="501">
      <pivotArea dataOnly="0" labelOnly="1" outline="0" fieldPosition="0">
        <references count="1">
          <reference field="2" count="0"/>
        </references>
      </pivotArea>
    </format>
    <format dxfId="500">
      <pivotArea field="2" type="button" dataOnly="0" labelOnly="1" outline="0" axis="axisRow" fieldPosition="0"/>
    </format>
    <format dxfId="499">
      <pivotArea type="origin" dataOnly="0" labelOnly="1" outline="0" fieldPosition="0"/>
    </format>
    <format dxfId="498">
      <pivotArea field="5" type="button" dataOnly="0" labelOnly="1" outline="0" axis="axisCol" fieldPosition="0"/>
    </format>
    <format dxfId="497">
      <pivotArea type="topRight" dataOnly="0" labelOnly="1" outline="0" fieldPosition="0"/>
    </format>
    <format dxfId="496">
      <pivotArea type="all" dataOnly="0" outline="0" fieldPosition="0"/>
    </format>
    <format dxfId="495">
      <pivotArea outline="0" collapsedLevelsAreSubtotals="1" fieldPosition="0"/>
    </format>
    <format dxfId="494">
      <pivotArea type="origin" dataOnly="0" labelOnly="1" outline="0" fieldPosition="0"/>
    </format>
    <format dxfId="493">
      <pivotArea field="5" type="button" dataOnly="0" labelOnly="1" outline="0" axis="axisCol" fieldPosition="0"/>
    </format>
    <format dxfId="492">
      <pivotArea type="topRight" dataOnly="0" labelOnly="1" outline="0" fieldPosition="0"/>
    </format>
    <format dxfId="491">
      <pivotArea field="2" type="button" dataOnly="0" labelOnly="1" outline="0" axis="axisRow" fieldPosition="0"/>
    </format>
    <format dxfId="490">
      <pivotArea dataOnly="0" labelOnly="1" outline="0" fieldPosition="0">
        <references count="1">
          <reference field="2" count="0"/>
        </references>
      </pivotArea>
    </format>
    <format dxfId="489">
      <pivotArea dataOnly="0" labelOnly="1" outline="0" fieldPosition="0">
        <references count="1">
          <reference field="5" count="0"/>
        </references>
      </pivotArea>
    </format>
    <format dxfId="488">
      <pivotArea dataOnly="0" labelOnly="1" outline="0" fieldPosition="0">
        <references count="1">
          <reference field="1"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47087B8-6125-4CD8-B97F-E1ED7A7434DE}" name="PivotTable6"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location ref="AT4:AW9" firstHeaderRow="1" firstDataRow="2" firstDataCol="1" rowPageCount="1" colPageCount="1"/>
  <pivotFields count="4">
    <pivotField axis="axisRow" allDrilled="1" subtotalTop="0" showAll="0" nonAutoSortDefault="1" defaultSubtotal="0" defaultAttributeDrillState="1">
      <items count="3">
        <item x="1"/>
        <item x="0"/>
        <item x="2"/>
      </items>
    </pivotField>
    <pivotField axis="axisCol" allDrilled="1" subtotalTop="0" showAll="0" defaultSubtotal="0" defaultAttributeDrillState="1">
      <items count="4">
        <item s="1" x="2"/>
        <item s="1" x="0"/>
        <item s="1" x="1"/>
        <item x="3"/>
      </items>
    </pivotField>
    <pivotField dataField="1" subtotalTop="0" showAll="0" defaultSubtotal="0"/>
    <pivotField axis="axisPage" allDrilled="1" subtotalTop="0" showAll="0" dataSourceSort="1" defaultSubtotal="0" defaultAttributeDrillState="1"/>
  </pivotFields>
  <rowFields count="1">
    <field x="0"/>
  </rowFields>
  <rowItems count="4">
    <i>
      <x/>
    </i>
    <i>
      <x v="1"/>
    </i>
    <i>
      <x v="2"/>
    </i>
    <i t="grand">
      <x/>
    </i>
  </rowItems>
  <colFields count="1">
    <field x="1"/>
  </colFields>
  <colItems count="3">
    <i>
      <x v="1"/>
    </i>
    <i>
      <x v="2"/>
    </i>
    <i t="grand">
      <x/>
    </i>
  </colItems>
  <pageFields count="1">
    <pageField fld="3" hier="30" name="[All_Crimes].[ALL_INCIDENTS].&amp;[Sexual Assault - 2C:14-2b]" cap="Sexual Assault - 2C:14-2b"/>
  </pageFields>
  <dataFields count="1">
    <dataField name="Count of Case Number" fld="2" subtotal="count" baseField="0" baseItem="0"/>
  </dataFields>
  <formats count="20">
    <format dxfId="435">
      <pivotArea type="all" dataOnly="0" outline="0" fieldPosition="0"/>
    </format>
    <format dxfId="434">
      <pivotArea outline="0" collapsedLevelsAreSubtotals="1" fieldPosition="0"/>
    </format>
    <format dxfId="433">
      <pivotArea type="origin" dataOnly="0" labelOnly="1" outline="0" fieldPosition="0"/>
    </format>
    <format dxfId="432">
      <pivotArea field="1" type="button" dataOnly="0" labelOnly="1" outline="0" axis="axisCol" fieldPosition="0"/>
    </format>
    <format dxfId="431">
      <pivotArea type="topRight" dataOnly="0" labelOnly="1" outline="0" fieldPosition="0"/>
    </format>
    <format dxfId="430">
      <pivotArea field="0" type="button" dataOnly="0" labelOnly="1" outline="0" axis="axisRow" fieldPosition="0"/>
    </format>
    <format dxfId="429">
      <pivotArea dataOnly="0" labelOnly="1" fieldPosition="0">
        <references count="1">
          <reference field="0" count="0"/>
        </references>
      </pivotArea>
    </format>
    <format dxfId="428">
      <pivotArea dataOnly="0" labelOnly="1" grandRow="1" outline="0" fieldPosition="0"/>
    </format>
    <format dxfId="427">
      <pivotArea dataOnly="0" labelOnly="1" fieldPosition="0">
        <references count="1">
          <reference field="1" count="2">
            <x v="1"/>
            <x v="2"/>
          </reference>
        </references>
      </pivotArea>
    </format>
    <format dxfId="426">
      <pivotArea dataOnly="0" labelOnly="1" grandCol="1" outline="0" fieldPosition="0"/>
    </format>
    <format dxfId="425">
      <pivotArea type="all" dataOnly="0" outline="0" fieldPosition="0"/>
    </format>
    <format dxfId="424">
      <pivotArea outline="0" collapsedLevelsAreSubtotals="1" fieldPosition="0"/>
    </format>
    <format dxfId="423">
      <pivotArea type="origin" dataOnly="0" labelOnly="1" outline="0" fieldPosition="0"/>
    </format>
    <format dxfId="422">
      <pivotArea field="1" type="button" dataOnly="0" labelOnly="1" outline="0" axis="axisCol" fieldPosition="0"/>
    </format>
    <format dxfId="421">
      <pivotArea type="topRight" dataOnly="0" labelOnly="1" outline="0" fieldPosition="0"/>
    </format>
    <format dxfId="420">
      <pivotArea field="0" type="button" dataOnly="0" labelOnly="1" outline="0" axis="axisRow" fieldPosition="0"/>
    </format>
    <format dxfId="419">
      <pivotArea dataOnly="0" labelOnly="1" fieldPosition="0">
        <references count="1">
          <reference field="0" count="0"/>
        </references>
      </pivotArea>
    </format>
    <format dxfId="418">
      <pivotArea dataOnly="0" labelOnly="1" grandRow="1" outline="0" fieldPosition="0"/>
    </format>
    <format dxfId="417">
      <pivotArea dataOnly="0" labelOnly="1" fieldPosition="0">
        <references count="1">
          <reference field="1" count="2">
            <x v="1"/>
            <x v="2"/>
          </reference>
        </references>
      </pivotArea>
    </format>
    <format dxfId="416">
      <pivotArea dataOnly="0" labelOnly="1" grandCol="1" outline="0" fieldPosition="0"/>
    </format>
  </formats>
  <chartFormats count="8">
    <chartFormat chart="0" format="0" series="1">
      <pivotArea type="data" outline="0" fieldPosition="0">
        <references count="2">
          <reference field="4294967294" count="1" selected="0">
            <x v="0"/>
          </reference>
          <reference field="1" count="1" selected="0">
            <x v="1"/>
          </reference>
        </references>
      </pivotArea>
    </chartFormat>
    <chartFormat chart="0" format="1" series="1">
      <pivotArea type="data" outline="0" fieldPosition="0">
        <references count="2">
          <reference field="4294967294" count="1" selected="0">
            <x v="0"/>
          </reference>
          <reference field="1" count="1" selected="0">
            <x v="0"/>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29" format="4" series="1">
      <pivotArea type="data" outline="0" fieldPosition="0">
        <references count="2">
          <reference field="4294967294" count="1" selected="0">
            <x v="0"/>
          </reference>
          <reference field="1" count="1" selected="0">
            <x v="1"/>
          </reference>
        </references>
      </pivotArea>
    </chartFormat>
    <chartFormat chart="29" format="5" series="1">
      <pivotArea type="data" outline="0" fieldPosition="0">
        <references count="2">
          <reference field="4294967294" count="1" selected="0">
            <x v="0"/>
          </reference>
          <reference field="1" count="1" selected="0">
            <x v="2"/>
          </reference>
        </references>
      </pivotArea>
    </chartFormat>
    <chartFormat chart="30" format="6" series="1">
      <pivotArea type="data" outline="0" fieldPosition="0">
        <references count="2">
          <reference field="4294967294" count="1" selected="0">
            <x v="0"/>
          </reference>
          <reference field="1" count="1" selected="0">
            <x v="1"/>
          </reference>
        </references>
      </pivotArea>
    </chartFormat>
    <chartFormat chart="30" format="7" series="1">
      <pivotArea type="data" outline="0" fieldPosition="0">
        <references count="2">
          <reference field="4294967294" count="1" selected="0">
            <x v="0"/>
          </reference>
          <reference field="1" count="1" selected="0">
            <x v="2"/>
          </reference>
        </references>
      </pivotArea>
    </chartFormat>
  </chartFormats>
  <pivotHierarchies count="45">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6" level="1">
        <member name="[All_Crimes].[ALL_INCIDENTS].&amp;[Sexual Assault - 2C:14-2b]"/>
        <member name="[All_Crimes].[ALL_INCIDENTS].&amp;[Criminal Sexual Contact - 2C:14-3a]"/>
        <member name="[All_Crimes].[ALL_INCIDENTS].&amp;[Sexual Assault - 2C:14-2b - Juvenile Investigation]"/>
        <member name="[All_Crimes].[ALL_INCIDENTS].&amp;[Exceptionally Cleared/Closed - Sexual Assault - 2C:14-2b]"/>
        <member name="[All_Crimes].[ALL_INCIDENTS].&amp;[Criminal Sexual Contact - 2C:14-3a - Juvenile Investigation]"/>
        <member name="[All_Crimes].[ALL_INCIDENTS].&amp;[Mental Health Incident - Sexual Assault - 2C:14-2b - Juvenile Investigation]"/>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4"/>
  </rowHierarchiesUsage>
  <colHierarchiesUsage count="1">
    <colHierarchyUsage hierarchyUsage="31"/>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Time_SCRPA_Master_2.0.xlsm!All_Crimes">
        <x15:activeTabTopLevelEntity name="[All_Crim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C84346-002C-4135-84CA-E0D6646A2A6F}" name="PivotTable1"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Time of Day">
  <location ref="A3:B10" firstHeaderRow="1" firstDataRow="1" firstDataCol="1"/>
  <pivotFields count="65">
    <pivotField dataField="1" showAll="0"/>
    <pivotField numFmtId="14" showAll="0"/>
    <pivotField numFmtId="20" showAll="0"/>
    <pivotField showAll="0"/>
    <pivotField showAll="0"/>
    <pivotField numFmtId="14" showAll="0"/>
    <pivotField numFmtId="168"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items count="15">
        <item x="4"/>
        <item x="0"/>
        <item x="1"/>
        <item x="2"/>
        <item x="3"/>
        <item x="6"/>
        <item x="5"/>
        <item x="7"/>
        <item x="8"/>
        <item x="9"/>
        <item x="10"/>
        <item x="11"/>
        <item x="12"/>
        <item x="13"/>
        <item t="default"/>
      </items>
    </pivotField>
    <pivotField numFmtId="168" showAll="0"/>
    <pivotField numFmtId="168" showAll="0"/>
    <pivotField showAll="0"/>
    <pivotField showAll="0"/>
    <pivotField showAll="0"/>
    <pivotField showAll="0"/>
    <pivotField showAll="0"/>
    <pivotField numFmtId="168" showAll="0"/>
    <pivotField numFmtId="14" showAll="0"/>
    <pivotField numFmtId="168" showAll="0"/>
    <pivotField showAll="0"/>
    <pivotField showAll="0"/>
    <pivotField showAll="0">
      <items count="7">
        <item x="4"/>
        <item x="2"/>
        <item x="0"/>
        <item x="3"/>
        <item x="1"/>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7">
        <item x="0"/>
        <item x="1"/>
        <item x="3"/>
        <item x="2"/>
        <item x="4"/>
        <item x="5"/>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12">
        <item sd="0" x="0"/>
        <item sd="0" x="1"/>
        <item sd="0" x="2"/>
        <item sd="0" x="3"/>
        <item sd="0" x="4"/>
        <item sd="0" x="5"/>
        <item sd="0" x="6"/>
        <item sd="0" x="7"/>
        <item sd="0" x="8"/>
        <item sd="0" x="9"/>
        <item x="10"/>
        <item t="default"/>
      </items>
    </pivotField>
  </pivotFields>
  <rowFields count="1">
    <field x="61"/>
  </rowFields>
  <rowItems count="7">
    <i>
      <x/>
    </i>
    <i>
      <x v="1"/>
    </i>
    <i>
      <x v="2"/>
    </i>
    <i>
      <x v="3"/>
    </i>
    <i>
      <x v="4"/>
    </i>
    <i>
      <x v="5"/>
    </i>
    <i t="grand">
      <x/>
    </i>
  </rowItems>
  <colItems count="1">
    <i/>
  </colItems>
  <dataFields count="1">
    <dataField name="Count of Case Number" fld="0" subtotal="count" baseField="0" baseItem="0"/>
  </dataFields>
  <formats count="2">
    <format dxfId="371">
      <pivotArea type="origin" dataOnly="0" labelOnly="1" outline="0" fieldPosition="0"/>
    </format>
    <format dxfId="370">
      <pivotArea field="45" type="button" dataOnly="0" labelOnly="1" outline="0"/>
    </format>
  </formats>
  <pivotTableStyleInfo name="PivotStyleLight1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F2CABF-16B3-480C-A17D-5B7B4ADAA44B}"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1:C18" firstHeaderRow="1" firstDataRow="1" firstDataCol="0"/>
  <pivotFields count="59">
    <pivotField showAll="0"/>
    <pivotField showAll="0"/>
    <pivotField showAll="0"/>
    <pivotField showAll="0"/>
    <pivotField showAll="0"/>
    <pivotField numFmtId="14" showAll="0"/>
    <pivotField numFmtId="168"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numFmtId="168" showAll="0"/>
    <pivotField numFmtId="168" showAll="0"/>
    <pivotField showAll="0"/>
    <pivotField showAll="0"/>
    <pivotField numFmtId="168" showAll="0"/>
    <pivotField numFmtId="14" showAll="0"/>
    <pivotField numFmtId="168"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A6E7B34-5BE9-45D9-B5AA-94F35B1E7608}" name="PivotTable7"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4:H11" firstHeaderRow="1" firstDataRow="2" firstDataCol="1" rowPageCount="2" colPageCount="1"/>
  <pivotFields count="61">
    <pivotField dataField="1" compact="0" outline="0" showAll="0"/>
    <pivotField compact="0"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2">
        <item x="0"/>
        <item x="1"/>
        <item x="2"/>
        <item x="3"/>
        <item x="4"/>
        <item x="5"/>
        <item x="6"/>
        <item x="7"/>
        <item x="8"/>
        <item x="9"/>
        <item x="10"/>
        <item t="default"/>
      </items>
    </pivotField>
    <pivotField compact="0" outline="0" showAll="0"/>
    <pivotField compact="0" outline="0" showAll="0"/>
    <pivotField axis="axisPage" compact="0" numFmtId="14" outline="0" showAll="0">
      <items count="23">
        <item x="0"/>
        <item x="1"/>
        <item x="2"/>
        <item x="3"/>
        <item x="4"/>
        <item x="5"/>
        <item x="6"/>
        <item x="7"/>
        <item x="8"/>
        <item x="9"/>
        <item x="10"/>
        <item x="11"/>
        <item x="12"/>
        <item x="13"/>
        <item x="14"/>
        <item x="15"/>
        <item x="16"/>
        <item x="17"/>
        <item x="18"/>
        <item x="19"/>
        <item x="20"/>
        <item x="21"/>
        <item t="default"/>
      </items>
    </pivotField>
    <pivotField compact="0" outline="0" showAll="0"/>
    <pivotField compact="0" numFmtId="22" outline="0" showAll="0"/>
    <pivotField compact="0" outline="0" showAll="0">
      <items count="7">
        <item x="0"/>
        <item x="1"/>
        <item x="2"/>
        <item x="3"/>
        <item x="4"/>
        <item x="5"/>
        <item t="default"/>
      </items>
    </pivotField>
    <pivotField axis="axisCol" compact="0" outline="0" showAll="0">
      <items count="9">
        <item m="1" x="7"/>
        <item x="0"/>
        <item x="1"/>
        <item x="2"/>
        <item x="3"/>
        <item x="4"/>
        <item x="5"/>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6">
    <i>
      <x/>
    </i>
    <i>
      <x v="1"/>
    </i>
    <i>
      <x v="2"/>
    </i>
    <i>
      <x v="3"/>
    </i>
    <i>
      <x v="4"/>
    </i>
    <i>
      <x v="5"/>
    </i>
  </rowItems>
  <colFields count="1">
    <field x="44"/>
  </colFields>
  <colItems count="7">
    <i>
      <x v="1"/>
    </i>
    <i>
      <x v="2"/>
    </i>
    <i>
      <x v="3"/>
    </i>
    <i>
      <x v="4"/>
    </i>
    <i>
      <x v="5"/>
    </i>
    <i>
      <x v="6"/>
    </i>
    <i>
      <x v="7"/>
    </i>
  </colItems>
  <pageFields count="2">
    <pageField fld="40" hier="-1"/>
    <pageField fld="37" hier="-1"/>
  </pageFields>
  <dataFields count="1">
    <dataField name="Count of Case Number" fld="0" subtotal="count" baseField="0" baseItem="0"/>
  </dataFields>
  <formats count="21">
    <format dxfId="116">
      <pivotArea type="all" dataOnly="0" outline="0" fieldPosition="0"/>
    </format>
    <format dxfId="115">
      <pivotArea outline="0" collapsedLevelsAreSubtotals="1" fieldPosition="0"/>
    </format>
    <format dxfId="114">
      <pivotArea type="origin" dataOnly="0" labelOnly="1" outline="0" fieldPosition="0"/>
    </format>
    <format dxfId="113">
      <pivotArea field="44" type="button" dataOnly="0" labelOnly="1" outline="0" axis="axisCol" fieldPosition="0"/>
    </format>
    <format dxfId="112">
      <pivotArea type="topRight" dataOnly="0" labelOnly="1" outline="0" fieldPosition="0"/>
    </format>
    <format dxfId="111">
      <pivotArea field="43" type="button" dataOnly="0" labelOnly="1" outline="0"/>
    </format>
    <format dxfId="110">
      <pivotArea dataOnly="0" labelOnly="1" outline="0" fieldPosition="0">
        <references count="1">
          <reference field="44" count="0"/>
        </references>
      </pivotArea>
    </format>
    <format dxfId="109">
      <pivotArea type="all" dataOnly="0" outline="0" fieldPosition="0"/>
    </format>
    <format dxfId="108">
      <pivotArea outline="0" collapsedLevelsAreSubtotals="1" fieldPosition="0"/>
    </format>
    <format dxfId="107">
      <pivotArea type="topRight" dataOnly="0" labelOnly="1" outline="0" fieldPosition="0"/>
    </format>
    <format dxfId="106">
      <pivotArea field="43" type="button" dataOnly="0" labelOnly="1" outline="0"/>
    </format>
    <format dxfId="105">
      <pivotArea dataOnly="0" labelOnly="1" outline="0" fieldPosition="0">
        <references count="1">
          <reference field="44" count="0"/>
        </references>
      </pivotArea>
    </format>
    <format dxfId="104">
      <pivotArea field="43" type="button" dataOnly="0" labelOnly="1" outline="0"/>
    </format>
    <format dxfId="103">
      <pivotArea field="43" type="button" dataOnly="0" labelOnly="1" outline="0"/>
    </format>
    <format dxfId="102">
      <pivotArea field="59" type="button" dataOnly="0" labelOnly="1" outline="0" axis="axisRow" fieldPosition="0"/>
    </format>
    <format dxfId="101">
      <pivotArea type="origin" dataOnly="0" labelOnly="1" outline="0" fieldPosition="0"/>
    </format>
    <format dxfId="100">
      <pivotArea field="44" type="button" dataOnly="0" labelOnly="1" outline="0" axis="axisCol" fieldPosition="0"/>
    </format>
    <format dxfId="99">
      <pivotArea type="origin" dataOnly="0" labelOnly="1" outline="0" fieldPosition="0"/>
    </format>
    <format dxfId="98">
      <pivotArea field="44" type="button" dataOnly="0" labelOnly="1" outline="0" axis="axisCol" fieldPosition="0"/>
    </format>
    <format dxfId="97">
      <pivotArea field="59" type="button" dataOnly="0" labelOnly="1" outline="0" axis="axisRow" fieldPosition="0"/>
    </format>
    <format dxfId="96">
      <pivotArea dataOnly="0" labelOnly="1" outline="0" fieldPosition="0">
        <references count="1">
          <reference field="44"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E788DC1-DBFF-40DC-BB85-7B22BF6E533A}" name="PivotTable2"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26:D29" firstHeaderRow="1" firstDataRow="2" firstDataCol="1" rowPageCount="2" colPageCount="1"/>
  <pivotFields count="61">
    <pivotField dataField="1" compact="0" outline="0" showAll="0"/>
    <pivotField compact="0" outline="0" showAll="0"/>
    <pivotField compact="0" numFmtId="22" outline="0" showAll="0"/>
    <pivotField compact="0" outline="0" showAll="0"/>
    <pivotField compact="0" outline="0" showAll="0"/>
    <pivotField compact="0" numFmtId="14" outline="0" showAll="0"/>
    <pivotField compact="0" numFmtId="22"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numFmtId="168" outline="0" showAll="0"/>
    <pivotField compact="0" numFmtId="168" outline="0" showAll="0"/>
    <pivotField compact="0" outline="0" showAll="0"/>
    <pivotField compact="0" outline="0" showAll="0"/>
    <pivotField axis="axisPage" compact="0" outline="0" showAll="0">
      <items count="12">
        <item x="0"/>
        <item x="1"/>
        <item x="2"/>
        <item x="3"/>
        <item x="4"/>
        <item x="5"/>
        <item x="6"/>
        <item x="7"/>
        <item x="8"/>
        <item x="9"/>
        <item x="10"/>
        <item t="default"/>
      </items>
    </pivotField>
    <pivotField compact="0" outline="0" showAll="0"/>
    <pivotField compact="0" outline="0" showAll="0"/>
    <pivotField axis="axisPage" compact="0" numFmtId="14" outline="0" multipleItemSelectionAllowed="1" showAll="0">
      <items count="23">
        <item h="1" x="0"/>
        <item h="1" x="1"/>
        <item h="1" x="2"/>
        <item h="1" x="3"/>
        <item h="1" x="4"/>
        <item h="1" x="5"/>
        <item x="6"/>
        <item x="7"/>
        <item x="8"/>
        <item h="1" x="9"/>
        <item h="1" x="10"/>
        <item h="1" x="11"/>
        <item h="1" x="12"/>
        <item h="1" x="13"/>
        <item h="1" x="14"/>
        <item h="1" x="15"/>
        <item h="1" x="16"/>
        <item h="1" x="17"/>
        <item h="1" x="18"/>
        <item h="1" x="19"/>
        <item h="1" x="20"/>
        <item h="1" x="21"/>
        <item t="default"/>
      </items>
    </pivotField>
    <pivotField compact="0" outline="0" showAll="0"/>
    <pivotField compact="0" numFmtId="22" outline="0" showAll="0"/>
    <pivotField compact="0" outline="0" showAll="0">
      <items count="7">
        <item x="0"/>
        <item x="1"/>
        <item x="2"/>
        <item x="3"/>
        <item x="4"/>
        <item x="5"/>
        <item t="default"/>
      </items>
    </pivotField>
    <pivotField axis="axisCol" compact="0" outline="0" showAll="0">
      <items count="9">
        <item x="4"/>
        <item x="5"/>
        <item x="3"/>
        <item x="0"/>
        <item x="2"/>
        <item x="1"/>
        <item x="6"/>
        <item m="1" x="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Time of Day" axis="axisRow" compact="0" outline="0" showAll="0">
      <items count="7">
        <item x="0"/>
        <item x="1"/>
        <item x="2"/>
        <item x="3"/>
        <item x="4"/>
        <item x="5"/>
        <item t="default"/>
      </items>
    </pivotField>
    <pivotField compact="0" outline="0" showAll="0"/>
  </pivotFields>
  <rowFields count="1">
    <field x="59"/>
  </rowFields>
  <rowItems count="2">
    <i>
      <x/>
    </i>
    <i>
      <x v="3"/>
    </i>
  </rowItems>
  <colFields count="1">
    <field x="44"/>
  </colFields>
  <colItems count="3">
    <i>
      <x/>
    </i>
    <i>
      <x v="1"/>
    </i>
    <i>
      <x v="3"/>
    </i>
  </colItems>
  <pageFields count="2">
    <pageField fld="40" hier="-1"/>
    <pageField fld="37" hier="-1"/>
  </pageFields>
  <dataFields count="1">
    <dataField name="Count of Case Number" fld="0" subtotal="count" baseField="0" baseItem="0"/>
  </dataFields>
  <formats count="21">
    <format dxfId="137">
      <pivotArea type="all" dataOnly="0" outline="0" fieldPosition="0"/>
    </format>
    <format dxfId="136">
      <pivotArea outline="0" collapsedLevelsAreSubtotals="1" fieldPosition="0"/>
    </format>
    <format dxfId="135">
      <pivotArea type="origin" dataOnly="0" labelOnly="1" outline="0" fieldPosition="0"/>
    </format>
    <format dxfId="134">
      <pivotArea field="44" type="button" dataOnly="0" labelOnly="1" outline="0" axis="axisCol" fieldPosition="0"/>
    </format>
    <format dxfId="133">
      <pivotArea type="topRight" dataOnly="0" labelOnly="1" outline="0" fieldPosition="0"/>
    </format>
    <format dxfId="132">
      <pivotArea field="43" type="button" dataOnly="0" labelOnly="1" outline="0"/>
    </format>
    <format dxfId="131">
      <pivotArea dataOnly="0" labelOnly="1" outline="0" fieldPosition="0">
        <references count="1">
          <reference field="44" count="0"/>
        </references>
      </pivotArea>
    </format>
    <format dxfId="130">
      <pivotArea type="all" dataOnly="0" outline="0" fieldPosition="0"/>
    </format>
    <format dxfId="129">
      <pivotArea outline="0" collapsedLevelsAreSubtotals="1" fieldPosition="0"/>
    </format>
    <format dxfId="128">
      <pivotArea type="topRight" dataOnly="0" labelOnly="1" outline="0" fieldPosition="0"/>
    </format>
    <format dxfId="127">
      <pivotArea field="43" type="button" dataOnly="0" labelOnly="1" outline="0"/>
    </format>
    <format dxfId="126">
      <pivotArea dataOnly="0" labelOnly="1" outline="0" fieldPosition="0">
        <references count="1">
          <reference field="44" count="0"/>
        </references>
      </pivotArea>
    </format>
    <format dxfId="125">
      <pivotArea field="43" type="button" dataOnly="0" labelOnly="1" outline="0"/>
    </format>
    <format dxfId="124">
      <pivotArea field="43" type="button" dataOnly="0" labelOnly="1" outline="0"/>
    </format>
    <format dxfId="123">
      <pivotArea field="59" type="button" dataOnly="0" labelOnly="1" outline="0" axis="axisRow" fieldPosition="0"/>
    </format>
    <format dxfId="122">
      <pivotArea type="origin" dataOnly="0" labelOnly="1" outline="0" fieldPosition="0"/>
    </format>
    <format dxfId="121">
      <pivotArea field="44" type="button" dataOnly="0" labelOnly="1" outline="0" axis="axisCol" fieldPosition="0"/>
    </format>
    <format dxfId="120">
      <pivotArea type="origin" dataOnly="0" labelOnly="1" outline="0" fieldPosition="0"/>
    </format>
    <format dxfId="119">
      <pivotArea field="44" type="button" dataOnly="0" labelOnly="1" outline="0" axis="axisCol" fieldPosition="0"/>
    </format>
    <format dxfId="118">
      <pivotArea field="59" type="button" dataOnly="0" labelOnly="1" outline="0" axis="axisRow" fieldPosition="0"/>
    </format>
    <format dxfId="117">
      <pivotArea dataOnly="0" labelOnly="1" outline="0" fieldPosition="0">
        <references count="1">
          <reference field="44" count="0"/>
        </references>
      </pivotArea>
    </format>
  </formats>
  <pivotTableStyleInfo name="PivotStyleLight1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0" connectionId="2" xr16:uid="{00000000-0016-0000-0600-000000000000}" autoFormatId="16" applyNumberFormats="0" applyBorderFormats="0" applyFontFormats="0" applyPatternFormats="0" applyAlignmentFormats="0" applyWidthHeightFormats="0">
  <queryTableRefresh nextId="103">
    <queryTableFields count="42">
      <queryTableField id="1" name="Case Number" tableColumnId="1"/>
      <queryTableField id="37" name="IncidentDate" tableColumnId="37"/>
      <queryTableField id="3" name="Incident Time" tableColumnId="3"/>
      <queryTableField id="97" name="Incident Type_1" tableColumnId="52"/>
      <queryTableField id="98" name="Incident Type_2" tableColumnId="53"/>
      <queryTableField id="99" name="Incident Type_3" tableColumnId="54"/>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7" name="Officer of Record" tableColumnId="27"/>
      <queryTableField id="28" name="Squad" tableColumnId="28"/>
      <queryTableField id="29" name="Det_Assigned" tableColumnId="29"/>
      <queryTableField id="30" name="Case_Status" tableColumnId="30"/>
      <queryTableField id="38" name="NibrsClassification" tableColumnId="38"/>
      <queryTableField id="95" name="IncDate" tableColumnId="51"/>
      <queryTableField id="40" name="IncTime" tableColumnId="40"/>
      <queryTableField id="41" name="StartOfHour" tableColumnId="41"/>
      <queryTableField id="34" name="TimeOfDay" tableColumnId="34"/>
      <queryTableField id="35" name="ALL_INCIDENTS" tableColumnId="35"/>
      <queryTableField id="43" name="Period" tableColumnId="43"/>
      <queryTableField id="32" name="INC_TIME" tableColumnId="32"/>
      <queryTableField id="33" name="INC_DATE" tableColumnId="33"/>
      <queryTableField id="44" name="Enhanced_TimeOfDay" tableColumnId="44"/>
      <queryTableField id="45" name="Day Name" tableColumnId="45"/>
      <queryTableField id="46" name="Month Name" tableColumnId="46"/>
      <queryTableField id="47" name="Year" tableColumnId="47"/>
      <queryTableField id="48" name="Week of Year" tableColumnId="48"/>
      <queryTableField id="49" name="Day" tableColumnId="49"/>
      <queryTableField id="50" name="BLOCK_Enhanced" tableColumnId="50"/>
      <queryTableField id="36" name="Crime_Category" tableColumnId="3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9" connectionId="13" xr16:uid="{00000000-0016-0000-0A00-000001000000}" autoFormatId="16" applyNumberFormats="0" applyBorderFormats="0" applyFontFormats="0" applyPatternFormats="0" applyAlignmentFormats="0" applyWidthHeightFormats="0">
  <queryTableRefresh nextId="126">
    <queryTableFields count="62">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5" name="CASE_NUMBER_LENGTH" tableColumnId="42"/>
      <queryTableField id="2" name="Incident Date" tableColumnId="2"/>
      <queryTableField id="39" name="IncTime" tableColumnId="39"/>
      <queryTableField id="40" name="StartOfHour" tableColumnId="40"/>
      <queryTableField id="34" name="TimeOfDay" tableColumnId="34"/>
      <queryTableField id="88" name="BLOCK" tableColumnId="55"/>
      <queryTableField id="119" name="AllIncidents" tableColumnId="64"/>
      <queryTableField id="120" name="Period" tableColumnId="65"/>
      <queryTableField id="35" name="ALL_INCIDENTS" tableColumnId="35"/>
      <queryTableField id="76" name="INC_TIME" tableColumnId="43"/>
      <queryTableField id="77" name="INC_DATE" tableColumnId="44"/>
      <queryTableField id="78" name="Start of Hour" tableColumnId="45"/>
      <queryTableField id="79" name="INC_DATE_AND_TIME" tableColumnId="46"/>
      <queryTableField id="80" name="TOD" tableColumnId="47"/>
      <queryTableField id="81" name="Day Name" tableColumnId="48"/>
      <queryTableField id="82" name="Month Name" tableColumnId="49"/>
      <queryTableField id="83" name="Year" tableColumnId="50"/>
      <queryTableField id="84" name="Week of Year" tableColumnId="51"/>
      <queryTableField id="85" name="Week of Month" tableColumnId="52"/>
      <queryTableField id="86" name="Day" tableColumnId="53"/>
      <queryTableField id="87" name="Day of Year" tableColumnId="54"/>
      <queryTableField id="121" name="BLOCK" tableColumnId="66"/>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8" connectionId="10" xr16:uid="{00000000-0016-0000-0C00-000002000000}" autoFormatId="16" applyNumberFormats="0" applyBorderFormats="0" applyFontFormats="0" applyPatternFormats="0" applyAlignmentFormats="0" applyWidthHeightFormats="0">
  <queryTableRefresh nextId="126">
    <queryTableFields count="62">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5" name="CASE_NUMBER_LENGTH" tableColumnId="42"/>
      <queryTableField id="2" name="Incident Date" tableColumnId="2"/>
      <queryTableField id="39" name="IncTime" tableColumnId="39"/>
      <queryTableField id="40" name="StartOfHour" tableColumnId="40"/>
      <queryTableField id="34" name="TimeOfDay" tableColumnId="34"/>
      <queryTableField id="88" name="BLOCK" tableColumnId="55"/>
      <queryTableField id="119" name="AllIncidents" tableColumnId="64"/>
      <queryTableField id="120" name="Period" tableColumnId="65"/>
      <queryTableField id="35" name="ALL_INCIDENTS" tableColumnId="35"/>
      <queryTableField id="76" name="INC_TIME" tableColumnId="43"/>
      <queryTableField id="77" name="INC_DATE" tableColumnId="44"/>
      <queryTableField id="78" name="Start of Hour" tableColumnId="45"/>
      <queryTableField id="79" name="INC_DATE_AND_TIME" tableColumnId="46"/>
      <queryTableField id="80" name="TOD" tableColumnId="47"/>
      <queryTableField id="81" name="Day Name" tableColumnId="48"/>
      <queryTableField id="82" name="Month Name" tableColumnId="49"/>
      <queryTableField id="83" name="Year" tableColumnId="50"/>
      <queryTableField id="84" name="Week of Year" tableColumnId="51"/>
      <queryTableField id="85" name="Week of Month" tableColumnId="52"/>
      <queryTableField id="86" name="Day" tableColumnId="53"/>
      <queryTableField id="87" name="Day of Year" tableColumnId="54"/>
      <queryTableField id="121" name="BLOCK" tableColumnId="66"/>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7" connectionId="7" xr16:uid="{00000000-0016-0000-0D00-000003000000}" autoFormatId="16" applyNumberFormats="0" applyBorderFormats="0" applyFontFormats="0" applyPatternFormats="0" applyAlignmentFormats="0" applyWidthHeightFormats="0">
  <queryTableRefresh nextId="123">
    <queryTableFields count="39">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119" name="CaseNumberLength" tableColumnId="64"/>
      <queryTableField id="2" name="Incident Date" tableColumnId="2"/>
      <queryTableField id="39" name="IncTime" tableColumnId="39"/>
      <queryTableField id="40" name="StartOfHour" tableColumnId="40"/>
      <queryTableField id="34" name="TimeOfDay" tableColumnId="34"/>
      <queryTableField id="88" name="BLOCK" tableColumnId="55"/>
      <queryTableField id="35" name="ALL_INCIDENTS" tableColumnId="35"/>
      <queryTableField id="120" name="Period" tableColumnId="6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6" connectionId="3" xr16:uid="{00000000-0016-0000-0E00-000004000000}" autoFormatId="16" applyNumberFormats="0" applyBorderFormats="0" applyFontFormats="0" applyPatternFormats="0" applyAlignmentFormats="0" applyWidthHeightFormats="0">
  <queryTableRefresh nextId="124">
    <queryTableFields count="61">
      <queryTableField id="1" name="Case Number" tableColumnId="1"/>
      <queryTableField id="36" name="IncidentDate" tableColumnId="36"/>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37" name="NibrsClassification" tableColumnId="37"/>
      <queryTableField id="77" name="CASE_NUMBER_LENGTH" tableColumnId="44"/>
      <queryTableField id="2" name="Incident Date" tableColumnId="2"/>
      <queryTableField id="39" name="IncTime" tableColumnId="39"/>
      <queryTableField id="40" name="StartOfHour" tableColumnId="40"/>
      <queryTableField id="34" name="TimeOfDay" tableColumnId="34"/>
      <queryTableField id="88" name="BLOCK" tableColumnId="55"/>
      <queryTableField id="35" name="ALL_INCIDENTS" tableColumnId="35"/>
      <queryTableField id="119" name="Period" tableColumnId="64"/>
      <queryTableField id="78" name="INC_TIME" tableColumnId="45"/>
      <queryTableField id="79" name="INC_DATE" tableColumnId="46"/>
      <queryTableField id="80" name="Start of Hour" tableColumnId="47"/>
      <queryTableField id="81" name="INC_DATE_AND_TIME" tableColumnId="48"/>
      <queryTableField id="82" name="TOD" tableColumnId="49"/>
      <queryTableField id="76" name="Day Name" tableColumnId="43"/>
      <queryTableField id="75" name="Month Name" tableColumnId="42"/>
      <queryTableField id="83" name="Year" tableColumnId="50"/>
      <queryTableField id="84" name="Week of Year" tableColumnId="51"/>
      <queryTableField id="85" name="Week of Month" tableColumnId="52"/>
      <queryTableField id="86" name="Day" tableColumnId="53"/>
      <queryTableField id="87" name="Day of Year" tableColumnId="54"/>
      <queryTableField id="120" name="BLOCK" tableColumnId="65"/>
      <queryTableField id="89" name="Location" tableColumnId="56"/>
      <queryTableField id="90" name="St#" tableColumnId="57"/>
      <queryTableField id="91" name="Notes" tableColumnId="58"/>
      <queryTableField id="92" name="VEHICLE" tableColumnId="59"/>
      <queryTableField id="93" name="Suspect" tableColumnId="60"/>
      <queryTableField id="94" name="TOTAL_STOLEN_AMOUNT" tableColumnId="61"/>
      <queryTableField id="95" name="REPORT_CYCLE" tableColumnId="62"/>
      <queryTableField id="96" name="TIME_OF_DAY" tableColumnId="63"/>
      <queryTableField id="41" name="Enhanced_TimeOfDay" tableColumnId="4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5" connectionId="4" xr16:uid="{00000000-0016-0000-0F00-000005000000}" autoFormatId="16" applyNumberFormats="0" applyBorderFormats="0" applyFontFormats="0" applyPatternFormats="0" applyAlignmentFormats="0" applyWidthHeightFormats="0">
  <queryTableRefresh nextId="142">
    <queryTableFields count="61">
      <queryTableField id="1" name="Case Number" tableColumnId="1"/>
      <queryTableField id="55" name="IncidentDate" tableColumnId="55"/>
      <queryTableField id="3" name="Incident Time" tableColumnId="3"/>
      <queryTableField id="4" name="Incident Date_Between" tableColumnId="4"/>
      <queryTableField id="5" name="Incident Time_Between" tableColumnId="5"/>
      <queryTableField id="6" name="Report Date" tableColumnId="6"/>
      <queryTableField id="7" name="Report Time" tableColumnId="7"/>
      <queryTableField id="8" name="Incident Type_1" tableColumnId="8"/>
      <queryTableField id="9" name="Incident Type_2" tableColumnId="9"/>
      <queryTableField id="10" name="Incident Type_3" tableColumnId="10"/>
      <queryTableField id="11" name="FullAddress" tableColumnId="11"/>
      <queryTableField id="12" name="Grid" tableColumnId="12"/>
      <queryTableField id="13" name="Zone" tableColumnId="13"/>
      <queryTableField id="14" name="Narrative" tableColumnId="14"/>
      <queryTableField id="15" name="Total Value Stolen" tableColumnId="15"/>
      <queryTableField id="16" name="Total Value Recover" tableColumnId="16"/>
      <queryTableField id="17" name="Registration 1" tableColumnId="17"/>
      <queryTableField id="18" name="Make1" tableColumnId="18"/>
      <queryTableField id="19" name="Model1" tableColumnId="19"/>
      <queryTableField id="20" name="Reg State 1" tableColumnId="20"/>
      <queryTableField id="21" name="Registration 2" tableColumnId="21"/>
      <queryTableField id="22" name="Reg State 2" tableColumnId="22"/>
      <queryTableField id="23" name="Make2" tableColumnId="23"/>
      <queryTableField id="24" name="Model2" tableColumnId="24"/>
      <queryTableField id="25" name="Reviewed By" tableColumnId="25"/>
      <queryTableField id="26" name="CompleteCalc" tableColumnId="26"/>
      <queryTableField id="27" name="Officer of Record" tableColumnId="27"/>
      <queryTableField id="28" name="Squad" tableColumnId="28"/>
      <queryTableField id="29" name="Det_Assigned" tableColumnId="29"/>
      <queryTableField id="30" name="Case_Status" tableColumnId="30"/>
      <queryTableField id="56" name="NibrsClassification" tableColumnId="56"/>
      <queryTableField id="96" name="CASE_NUMBER_LENGTH" tableColumnId="62"/>
      <queryTableField id="2" name="Incident Date" tableColumnId="2"/>
      <queryTableField id="58" name="IncTime" tableColumnId="58"/>
      <queryTableField id="59" name="StartOfHour" tableColumnId="59"/>
      <queryTableField id="60" name="TimeOfDay" tableColumnId="60"/>
      <queryTableField id="109" name="BLOCK" tableColumnId="75"/>
      <queryTableField id="46" name="ALL_INCIDENTS" tableColumnId="46"/>
      <queryTableField id="135" name="Period" tableColumnId="85"/>
      <queryTableField id="97" name="INC_TIME" tableColumnId="63"/>
      <queryTableField id="98" name="INC_DATE" tableColumnId="64"/>
      <queryTableField id="99" name="Start of Hour" tableColumnId="65"/>
      <queryTableField id="100" name="INC_DATE_AND_TIME" tableColumnId="66"/>
      <queryTableField id="101" name="TOD" tableColumnId="67"/>
      <queryTableField id="102" name="Day Name" tableColumnId="68"/>
      <queryTableField id="103" name="Month Name" tableColumnId="69"/>
      <queryTableField id="104" name="Year" tableColumnId="70"/>
      <queryTableField id="105" name="Week of Year" tableColumnId="71"/>
      <queryTableField id="106" name="Week of Month" tableColumnId="72"/>
      <queryTableField id="107" name="Day" tableColumnId="73"/>
      <queryTableField id="108" name="Day of Year" tableColumnId="74"/>
      <queryTableField id="136" name="BLOCK" tableColumnId="86"/>
      <queryTableField id="110" name="Location" tableColumnId="76"/>
      <queryTableField id="111" name="St#" tableColumnId="77"/>
      <queryTableField id="112" name="Notes" tableColumnId="78"/>
      <queryTableField id="113" name="VEHICLE" tableColumnId="79"/>
      <queryTableField id="114" name="Suspect" tableColumnId="80"/>
      <queryTableField id="115" name="TOTAL_STOLEN_AMOUNT" tableColumnId="81"/>
      <queryTableField id="116" name="REPORT_CYCLE" tableColumnId="82"/>
      <queryTableField id="117" name="TIME_OF_DAY" tableColumnId="83"/>
      <queryTableField id="137" name="Enhanced_TimeOfDay" tableColumnId="87"/>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5124254-843D-4925-808B-81581425B9C5}" name="REPORT_BUR_AUTO_7DAY" displayName="REPORT_BUR_AUTO_7DAY" ref="N1:AB2" totalsRowShown="0" headerRowDxfId="459" dataDxfId="458">
  <autoFilter ref="N1:AB2" xr:uid="{85124254-843D-4925-808B-81581425B9C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autoFilter>
  <tableColumns count="15">
    <tableColumn id="1" xr3:uid="{EF7505E7-9D87-4C36-971A-B41530B0B7F6}" name="Block Incident Occurred On" dataDxfId="457"/>
    <tableColumn id="2" xr3:uid="{8922ED49-8F2E-4BF3-8E78-C8046E91BC0E}" name="Incident Date" dataDxfId="456"/>
    <tableColumn id="7" xr3:uid="{BBCF45BD-A2C3-4288-AA29-9D030301F35D}" name="Day of Week" dataDxfId="455"/>
    <tableColumn id="8" xr3:uid="{5FAD7BA0-72E7-4C32-B18F-39817BA1FE2E}" name="Time of Day Incident Occurred" dataDxfId="454"/>
    <tableColumn id="4" xr3:uid="{6D689E85-5A34-4E9C-A668-00E0889BCCAB}" name="Victim's Vehicle Description" dataDxfId="453"/>
    <tableColumn id="6" xr3:uid="{F42BEC7C-6526-44A8-AB91-17FC20818C34}" name="Vehicle Was Parked" dataDxfId="452"/>
    <tableColumn id="5" xr3:uid="{CFC7FF41-F7FC-4CDE-BD79-0667900FCBCC}" name="Entry Method" dataDxfId="451"/>
    <tableColumn id="9" xr3:uid="{00D11AA5-84CE-42B3-864B-635554C068C5}" name="Damage to Vehicle" dataDxfId="450"/>
    <tableColumn id="10" xr3:uid="{5D4117CA-0AB2-45E2-9046-55BF9807163B}" name="Suspect Description" dataDxfId="449"/>
    <tableColumn id="11" xr3:uid="{3BE4B175-BF08-4118-9ACC-49D200953A0D}" name="Suspect Vehicle Description" dataDxfId="448"/>
    <tableColumn id="12" xr3:uid="{5FF668F4-962D-48B3-B268-88F2E0A6108E}" name="Items Stolen" dataDxfId="447"/>
    <tableColumn id="13" xr3:uid="{E6B22A5D-DEB2-441A-ACEF-AF7F2AFE02F2}" name="Value of Stolen Property" dataDxfId="446"/>
    <tableColumn id="14" xr3:uid="{27E2A757-9324-4E40-BDAC-429A19FFE2BC}" name="Keys with Vehicle" dataDxfId="445"/>
    <tableColumn id="15" xr3:uid="{92696B52-EA75-4B05-AD99-65A1C7C77B9E}" name="Offense Completed" dataDxfId="444"/>
    <tableColumn id="16" xr3:uid="{9430299B-427C-4895-A43A-823B06AB5121}" name="Notes" dataDxfId="443"/>
  </tableColumns>
  <tableStyleInfo name="TableStyleLight18 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A21EBBB8-BD36-40C6-9B91-F4B334BD2AE7}" name="TestBur_C_R_28D__2" displayName="TestBur_C_R_28D__2" ref="A1:H7" totalsRowShown="0">
  <autoFilter ref="A1:H7" xr:uid="{A21EBBB8-BD36-40C6-9B91-F4B334BD2AE7}"/>
  <tableColumns count="8">
    <tableColumn id="14" xr3:uid="{E1944B9C-0E6C-4687-9CE3-92F6FEA904CE}" name="CaseID"/>
    <tableColumn id="1" xr3:uid="{7A5C1ED7-7682-4D19-A9AD-401BB706D6F5}" name="Block" dataDxfId="442"/>
    <tableColumn id="2" xr3:uid="{33438211-9C07-48A5-A5B5-2D472E44C10D}" name="Incident Date" dataDxfId="441"/>
    <tableColumn id="3" xr3:uid="{9472C38C-6062-4C14-9F67-AB426096063A}" name="Day of Week" dataDxfId="440"/>
    <tableColumn id="4" xr3:uid="{4749A001-7F85-446F-98CB-E2C0EEB5EB8B}" name="Time of Day" dataDxfId="439"/>
    <tableColumn id="5" xr3:uid="{6A651A7F-F4B3-4533-8D92-C101A177B15D}" name="Suspect" dataDxfId="438"/>
    <tableColumn id="11" xr3:uid="{B916FEE6-672C-47CC-A522-12B086DACD4C}" name="Property Stolen" dataDxfId="437"/>
    <tableColumn id="13" xr3:uid="{F8B0CCE6-B7B9-4690-97CF-3F15E4080B6C}" name="Notes" dataDxfId="436"/>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1B2722D-5BE4-4F03-B5BE-10A6C720D900}" name="All_Crimes" displayName="All_Crimes" ref="A1:AP100" tableType="queryTable" totalsRowShown="0" headerRowDxfId="415" dataDxfId="414">
  <autoFilter ref="A1:AP100" xr:uid="{51B2722D-5BE4-4F03-B5BE-10A6C720D900}"/>
  <sortState xmlns:xlrd2="http://schemas.microsoft.com/office/spreadsheetml/2017/richdata2" ref="A2:AP100">
    <sortCondition ref="B1:B100"/>
  </sortState>
  <tableColumns count="42">
    <tableColumn id="1" xr3:uid="{0FDD2D8A-7982-41C0-99D9-0D2438ECBACA}" uniqueName="1" name="Case Number" queryTableFieldId="1" dataDxfId="413"/>
    <tableColumn id="37" xr3:uid="{AAAEE88C-2BDB-498A-9979-CAFCE30E2B17}" uniqueName="37" name="IncidentDate" queryTableFieldId="37" dataDxfId="412"/>
    <tableColumn id="3" xr3:uid="{CAA53461-4203-448D-BABE-BACEC8074B34}" uniqueName="3" name="Incident Time" queryTableFieldId="3" dataDxfId="411"/>
    <tableColumn id="52" xr3:uid="{E9AADC18-3110-4782-8FB6-6509585CF5CE}" uniqueName="52" name="Incident Type_1" queryTableFieldId="97" dataDxfId="410"/>
    <tableColumn id="53" xr3:uid="{8E2A95BA-160B-4492-BA97-29B835C01361}" uniqueName="53" name="Incident Type_2" queryTableFieldId="98" dataDxfId="409"/>
    <tableColumn id="54" xr3:uid="{17859705-2727-463B-AEA3-925F1E3018E1}" uniqueName="54" name="Incident Type_3" queryTableFieldId="99" dataDxfId="408"/>
    <tableColumn id="11" xr3:uid="{81BC4B3D-0E7D-4C46-9B49-F92B7A3FF193}" uniqueName="11" name="FullAddress" queryTableFieldId="11" dataDxfId="407"/>
    <tableColumn id="12" xr3:uid="{6A8D4F0D-51A3-49B8-A24D-082D09849552}" uniqueName="12" name="Grid" queryTableFieldId="12" dataDxfId="406"/>
    <tableColumn id="13" xr3:uid="{E296028F-1D8B-4F34-888E-84F706C75AA4}" uniqueName="13" name="Zone" queryTableFieldId="13" dataDxfId="405"/>
    <tableColumn id="14" xr3:uid="{B45FABD5-9E83-444E-9089-6659A7153314}" uniqueName="14" name="Narrative" queryTableFieldId="14" dataDxfId="404"/>
    <tableColumn id="15" xr3:uid="{D02510C4-2464-40EB-ADC7-FFFDB572B551}" uniqueName="15" name="Total Value Stolen" queryTableFieldId="15" dataDxfId="403"/>
    <tableColumn id="16" xr3:uid="{BC70FC1C-37ED-4498-B349-50A608CD4DA2}" uniqueName="16" name="Total Value Recover" queryTableFieldId="16" dataDxfId="402"/>
    <tableColumn id="17" xr3:uid="{C4200733-0628-4B3C-9CF7-55F28C9BC82A}" uniqueName="17" name="Registration 1" queryTableFieldId="17" dataDxfId="401"/>
    <tableColumn id="18" xr3:uid="{EDA0EDE2-FA19-458B-A482-252EA51E5DC0}" uniqueName="18" name="Make1" queryTableFieldId="18" dataDxfId="400"/>
    <tableColumn id="19" xr3:uid="{223552B5-9F53-4691-B4B2-8787F68AAC17}" uniqueName="19" name="Model1" queryTableFieldId="19" dataDxfId="399"/>
    <tableColumn id="20" xr3:uid="{48DD3A96-7867-431F-9A62-3A2315AC7806}" uniqueName="20" name="Reg State 1" queryTableFieldId="20" dataDxfId="398"/>
    <tableColumn id="21" xr3:uid="{D5EE2796-5DEE-4754-8CCE-4F7E8B2D6FD8}" uniqueName="21" name="Registration 2" queryTableFieldId="21" dataDxfId="397"/>
    <tableColumn id="22" xr3:uid="{6E2300BF-356F-4463-B6E6-7A4C8034F83D}" uniqueName="22" name="Reg State 2" queryTableFieldId="22" dataDxfId="396"/>
    <tableColumn id="23" xr3:uid="{A693699E-FB3C-48A5-938B-BE598FFE5913}" uniqueName="23" name="Make2" queryTableFieldId="23" dataDxfId="395"/>
    <tableColumn id="24" xr3:uid="{D3739933-F44C-4873-8979-4C14A1780684}" uniqueName="24" name="Model2" queryTableFieldId="24" dataDxfId="394"/>
    <tableColumn id="25" xr3:uid="{0636A643-E171-41CD-A2FE-EFD87CAEDF2F}" uniqueName="25" name="Reviewed By" queryTableFieldId="25" dataDxfId="393"/>
    <tableColumn id="27" xr3:uid="{49C74A63-F3F3-446D-AE81-790E2C94994C}" uniqueName="27" name="Officer of Record" queryTableFieldId="27" dataDxfId="392"/>
    <tableColumn id="28" xr3:uid="{3842B9FA-B7D7-422C-ABDA-2701DD5D9E2D}" uniqueName="28" name="Squad" queryTableFieldId="28" dataDxfId="391"/>
    <tableColumn id="29" xr3:uid="{2BA544A3-12DF-47E7-8933-C2130B84DFE6}" uniqueName="29" name="Det_Assigned" queryTableFieldId="29" dataDxfId="390"/>
    <tableColumn id="30" xr3:uid="{F07EEA56-1FB1-4E52-8B30-6D3E95FE4E36}" uniqueName="30" name="Case_Status" queryTableFieldId="30" dataDxfId="389"/>
    <tableColumn id="38" xr3:uid="{0A72908E-2089-4712-9AD2-3C35C0D6943D}" uniqueName="38" name="NibrsClassification" queryTableFieldId="38" dataDxfId="388"/>
    <tableColumn id="51" xr3:uid="{B3EC970E-0272-460C-82CD-9D0F4F9953A7}" uniqueName="51" name="IncDate" queryTableFieldId="95" dataDxfId="387"/>
    <tableColumn id="40" xr3:uid="{89BCE274-8EB5-4C42-A970-7FBC0A7AE274}" uniqueName="40" name="IncTime" queryTableFieldId="40" dataDxfId="386"/>
    <tableColumn id="41" xr3:uid="{B08707AA-79B0-4E85-9549-F1EC33C1D932}" uniqueName="41" name="StartOfHour" queryTableFieldId="41" dataDxfId="385"/>
    <tableColumn id="34" xr3:uid="{47676419-459E-4C45-B9C0-474E46DEB456}" uniqueName="34" name="TimeOfDay" queryTableFieldId="34" dataDxfId="384"/>
    <tableColumn id="35" xr3:uid="{FBE8D321-E7E5-44F5-9C3E-FB64A0F40CD5}" uniqueName="35" name="ALL_INCIDENTS" queryTableFieldId="35" dataDxfId="383"/>
    <tableColumn id="43" xr3:uid="{ACF25102-A5C2-42EB-829B-2AD5F4082F1B}" uniqueName="43" name="Period" queryTableFieldId="43" dataDxfId="382"/>
    <tableColumn id="32" xr3:uid="{2A4ECAD4-FB6C-4006-A5B6-A73E7C26133D}" uniqueName="32" name="INC_TIME" queryTableFieldId="32" dataDxfId="381"/>
    <tableColumn id="33" xr3:uid="{FE60D9B3-A660-4A9F-B7C8-11CE907D9C1C}" uniqueName="33" name="INC_DATE" queryTableFieldId="33" dataDxfId="380"/>
    <tableColumn id="44" xr3:uid="{61B107CE-2301-4724-A767-C714FE7E22E4}" uniqueName="44" name="Enhanced_TimeOfDay" queryTableFieldId="44" dataDxfId="379"/>
    <tableColumn id="45" xr3:uid="{77CA50C4-6D0F-46AB-A47E-2CBB68CE0913}" uniqueName="45" name="Day Name" queryTableFieldId="45" dataDxfId="378"/>
    <tableColumn id="46" xr3:uid="{41554864-C472-457C-8CBA-31BBE802D419}" uniqueName="46" name="Month Name" queryTableFieldId="46" dataDxfId="377"/>
    <tableColumn id="47" xr3:uid="{F2852C48-90E6-4589-A842-327C29E1D008}" uniqueName="47" name="Year" queryTableFieldId="47" dataDxfId="376"/>
    <tableColumn id="48" xr3:uid="{592E9C72-21F6-4EEA-AB8B-1E8ACA8F96CF}" uniqueName="48" name="Week of Year" queryTableFieldId="48" dataDxfId="375"/>
    <tableColumn id="49" xr3:uid="{BCE11D3B-CF48-4F04-8F2D-42D384FCF788}" uniqueName="49" name="Day" queryTableFieldId="49" dataDxfId="374"/>
    <tableColumn id="50" xr3:uid="{3643FD83-E73A-437F-B859-58CB2027880C}" uniqueName="50" name="BLOCK_Enhanced" queryTableFieldId="50" dataDxfId="373"/>
    <tableColumn id="36" xr3:uid="{C38C95A1-6278-4802-B141-3434195C6370}" uniqueName="36" name="Crime_Category" queryTableFieldId="36" dataDxfId="37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F1938BF8-D159-4BBB-AEF1-8AB1941B968C}" name="Sexual_Offenses" displayName="Sexual_Offenses" ref="A1:BJ16" tableType="queryTable" totalsRowShown="0">
  <autoFilter ref="A1:BJ16" xr:uid="{F1938BF8-D159-4BBB-AEF1-8AB1941B968C}"/>
  <tableColumns count="62">
    <tableColumn id="1" xr3:uid="{A3187587-2468-4912-91EA-0280831A9601}" uniqueName="1" name="Case Number" queryTableFieldId="1" dataDxfId="369"/>
    <tableColumn id="36" xr3:uid="{08A253D4-6981-4AEF-9626-7D9B563FABA9}" uniqueName="36" name="IncidentDate" queryTableFieldId="36" dataDxfId="368"/>
    <tableColumn id="3" xr3:uid="{8A7B3CC5-D680-46D8-809B-FA35E2D0200D}" uniqueName="3" name="Incident Time" queryTableFieldId="3" dataDxfId="367"/>
    <tableColumn id="4" xr3:uid="{1DAC9239-7023-4CE4-A167-D02591F2FB1A}" uniqueName="4" name="Incident Date_Between" queryTableFieldId="4" dataDxfId="366"/>
    <tableColumn id="5" xr3:uid="{B9967EF5-B82E-4A19-8EC3-692639A2E141}" uniqueName="5" name="Incident Time_Between" queryTableFieldId="5" dataDxfId="365"/>
    <tableColumn id="6" xr3:uid="{3E5C28D7-A54F-4C49-A34D-8007C833A155}" uniqueName="6" name="Report Date" queryTableFieldId="6" dataDxfId="364"/>
    <tableColumn id="7" xr3:uid="{FAA9D375-86A7-4232-8AA8-8B6B058753F4}" uniqueName="7" name="Report Time" queryTableFieldId="7" dataDxfId="363"/>
    <tableColumn id="8" xr3:uid="{547D4F98-82BE-421C-AFAC-0A6CCB944D49}" uniqueName="8" name="Incident Type_1" queryTableFieldId="8" dataDxfId="362"/>
    <tableColumn id="9" xr3:uid="{0CEBB21D-1AE4-47F1-84D9-C0CCD55EB5D8}" uniqueName="9" name="Incident Type_2" queryTableFieldId="9" dataDxfId="361"/>
    <tableColumn id="10" xr3:uid="{47B16BBC-EFD0-4D81-9770-166C66029227}" uniqueName="10" name="Incident Type_3" queryTableFieldId="10" dataDxfId="360"/>
    <tableColumn id="11" xr3:uid="{DE753FE0-A3A1-4971-B121-FDC503893FA5}" uniqueName="11" name="FullAddress" queryTableFieldId="11" dataDxfId="359"/>
    <tableColumn id="12" xr3:uid="{E3CB3795-AEAB-4A36-BADB-E68104CA70EA}" uniqueName="12" name="Grid" queryTableFieldId="12" dataDxfId="358"/>
    <tableColumn id="13" xr3:uid="{964ABC4C-0FFE-45A8-A525-E63C9EA04552}" uniqueName="13" name="Zone" queryTableFieldId="13"/>
    <tableColumn id="14" xr3:uid="{F47A4E54-F562-44DF-9037-5D3D39AA67AE}" uniqueName="14" name="Narrative" queryTableFieldId="14" dataDxfId="357"/>
    <tableColumn id="15" xr3:uid="{33000A2F-A6A7-4D3D-B474-BE2DE0F48148}" uniqueName="15" name="Total Value Stolen" queryTableFieldId="15"/>
    <tableColumn id="16" xr3:uid="{9B1713A6-F113-468C-A1A7-4C9F423B5CCA}" uniqueName="16" name="Total Value Recover" queryTableFieldId="16"/>
    <tableColumn id="17" xr3:uid="{CF7AEDE9-DDCF-4F69-B6F9-110300858D5F}" uniqueName="17" name="Registration 1" queryTableFieldId="17" dataDxfId="356"/>
    <tableColumn id="18" xr3:uid="{0A2E3E07-0FB1-4194-ABD7-1A96AD5B6F82}" uniqueName="18" name="Make1" queryTableFieldId="18" dataDxfId="355"/>
    <tableColumn id="19" xr3:uid="{EAE3180A-166D-458E-953F-1AF2CDDB4CED}" uniqueName="19" name="Model1" queryTableFieldId="19" dataDxfId="354"/>
    <tableColumn id="20" xr3:uid="{F427534F-32C2-48F1-81CB-5733D318447F}" uniqueName="20" name="Reg State 1" queryTableFieldId="20" dataDxfId="353"/>
    <tableColumn id="21" xr3:uid="{4019DF6E-AA79-4929-B13E-90D50EC56C83}" uniqueName="21" name="Registration 2" queryTableFieldId="21" dataDxfId="352"/>
    <tableColumn id="22" xr3:uid="{CF35AC25-D52D-4368-A7E9-343D488729AF}" uniqueName="22" name="Reg State 2" queryTableFieldId="22" dataDxfId="351"/>
    <tableColumn id="23" xr3:uid="{80D5827B-E335-4BC9-A131-EE16773CDE61}" uniqueName="23" name="Make2" queryTableFieldId="23" dataDxfId="350"/>
    <tableColumn id="24" xr3:uid="{053267A7-C4A0-4B25-A6B4-5435805E0ED0}" uniqueName="24" name="Model2" queryTableFieldId="24" dataDxfId="349"/>
    <tableColumn id="25" xr3:uid="{BD3BA784-2B60-465B-B5F3-461BB2AA423D}" uniqueName="25" name="Reviewed By" queryTableFieldId="25" dataDxfId="348"/>
    <tableColumn id="26" xr3:uid="{ADD44ADA-8C7B-4180-A1AF-954AB2D10A28}" uniqueName="26" name="CompleteCalc" queryTableFieldId="26" dataDxfId="347"/>
    <tableColumn id="27" xr3:uid="{03A64B8B-F004-493E-ABCD-4A88C03481BF}" uniqueName="27" name="Officer of Record" queryTableFieldId="27" dataDxfId="346"/>
    <tableColumn id="28" xr3:uid="{A0C4031D-6D3B-497B-A2F5-AFE1A1C0C5CA}" uniqueName="28" name="Squad" queryTableFieldId="28" dataDxfId="345"/>
    <tableColumn id="29" xr3:uid="{15D65689-4033-4931-9404-25F8E38F7F13}" uniqueName="29" name="Det_Assigned" queryTableFieldId="29" dataDxfId="344"/>
    <tableColumn id="30" xr3:uid="{6CB1746B-890A-4660-BFDC-7326760CE613}" uniqueName="30" name="Case_Status" queryTableFieldId="30" dataDxfId="343"/>
    <tableColumn id="37" xr3:uid="{869DFB7F-0DD7-44FF-BAA2-439CF0FB8EF2}" uniqueName="37" name="NibrsClassification" queryTableFieldId="37" dataDxfId="342"/>
    <tableColumn id="42" xr3:uid="{EF06DB09-D078-4BB9-8A81-D7230053B89F}" uniqueName="42" name="CASE_NUMBER_LENGTH" queryTableFieldId="75"/>
    <tableColumn id="2" xr3:uid="{6342FBE7-606A-4C97-A01A-9BE7C3203A18}" uniqueName="2" name="Incident Date" queryTableFieldId="2" dataDxfId="341"/>
    <tableColumn id="39" xr3:uid="{60219516-10A0-4497-859A-45F7074AFFA3}" uniqueName="39" name="IncTime" queryTableFieldId="39" dataDxfId="340"/>
    <tableColumn id="40" xr3:uid="{DE809CB1-28E2-460D-AD29-CCC7654DC04D}" uniqueName="40" name="StartOfHour" queryTableFieldId="40" dataDxfId="339"/>
    <tableColumn id="34" xr3:uid="{ACE51454-C68B-4429-B2E1-8EE8485E966F}" uniqueName="34" name="TimeOfDay" queryTableFieldId="34" dataDxfId="338"/>
    <tableColumn id="55" xr3:uid="{15F811B4-7C2A-4F73-96F7-C9F918194219}" uniqueName="55" name="Block" queryTableFieldId="88" dataDxfId="337"/>
    <tableColumn id="64" xr3:uid="{BB9D4AE1-D9A8-4D28-8F3B-1D5CD86CF1B6}" uniqueName="64" name="AllIncidents" queryTableFieldId="119"/>
    <tableColumn id="65" xr3:uid="{26337666-8443-4948-BBCC-1604EF9E45A6}" uniqueName="65" name="Period" queryTableFieldId="120"/>
    <tableColumn id="35" xr3:uid="{F419D0D0-6376-4E23-8DE1-6565D0A4B407}" uniqueName="35" name="ALL_INCIDENTS" queryTableFieldId="35" dataDxfId="336"/>
    <tableColumn id="43" xr3:uid="{45B28119-D700-4C0A-9B3F-BAA127157529}" uniqueName="43" name="INC_TIME" queryTableFieldId="76" dataDxfId="335"/>
    <tableColumn id="44" xr3:uid="{48F696B9-64E6-48A7-AA57-55048E83746B}" uniqueName="44" name="INC_DATE" queryTableFieldId="77" dataDxfId="334"/>
    <tableColumn id="45" xr3:uid="{EF38F1EC-6839-4712-9446-924CE277982A}" uniqueName="45" name="Start of Hour" queryTableFieldId="78" dataDxfId="333"/>
    <tableColumn id="46" xr3:uid="{76E3F1E0-BFD5-4C8E-A748-659756259142}" uniqueName="46" name="INC_DATE_AND_TIME" queryTableFieldId="79" dataDxfId="332"/>
    <tableColumn id="47" xr3:uid="{9E5D7DBF-66BC-4477-812E-BFD114B2880F}" uniqueName="47" name="TOD" queryTableFieldId="80" dataDxfId="331"/>
    <tableColumn id="48" xr3:uid="{90BE6B4C-3583-4B53-8708-E3D06B863137}" uniqueName="48" name="Day Name" queryTableFieldId="81" dataDxfId="330"/>
    <tableColumn id="49" xr3:uid="{D99D5FB7-3850-4A4D-AAA0-F926E94F6D12}" uniqueName="49" name="Month Name" queryTableFieldId="82" dataDxfId="329"/>
    <tableColumn id="50" xr3:uid="{84008BD0-9E0A-48C9-9133-E63B77CC3387}" uniqueName="50" name="Year" queryTableFieldId="83"/>
    <tableColumn id="51" xr3:uid="{B21B148F-AE53-48DA-A11D-6562C364A9BF}" uniqueName="51" name="Week of Year" queryTableFieldId="84"/>
    <tableColumn id="52" xr3:uid="{71C5EC10-40A5-42CB-BA13-E6358103D70A}" uniqueName="52" name="Week of Month" queryTableFieldId="85"/>
    <tableColumn id="53" xr3:uid="{E03D6681-B3CB-45DF-A65E-BA0D12BBEBBE}" uniqueName="53" name="Day" queryTableFieldId="86"/>
    <tableColumn id="54" xr3:uid="{ED6B24B8-AFB8-4AA4-9D17-5D05C8EC225A}" uniqueName="54" name="Day of Year" queryTableFieldId="87"/>
    <tableColumn id="66" xr3:uid="{CA1A2CCA-987B-4069-9BDA-0492AC4BC544}" uniqueName="66" name="BLOCK2" queryTableFieldId="121" dataDxfId="328"/>
    <tableColumn id="56" xr3:uid="{B147B92C-4BCB-41A2-9133-3CF0FD7E1182}" uniqueName="56" name="Location" queryTableFieldId="89" dataDxfId="327"/>
    <tableColumn id="57" xr3:uid="{0B2B69D0-A00F-4546-8B0F-E8A0456177A0}" uniqueName="57" name="St#" queryTableFieldId="90" dataDxfId="326"/>
    <tableColumn id="58" xr3:uid="{F55EE3DB-34C2-49A5-873C-53121A92D5F6}" uniqueName="58" name="Notes" queryTableFieldId="91" dataDxfId="325"/>
    <tableColumn id="59" xr3:uid="{B075BB3B-CA95-41D0-B736-257A042A5EF4}" uniqueName="59" name="VEHICLE" queryTableFieldId="92" dataDxfId="324"/>
    <tableColumn id="60" xr3:uid="{98A0A98E-903C-4C29-B0A4-D62CFA74D6BB}" uniqueName="60" name="Suspect" queryTableFieldId="93" dataDxfId="323"/>
    <tableColumn id="61" xr3:uid="{39E5DF47-5488-4518-A65A-7E55929B70DD}" uniqueName="61" name="TOTAL_STOLEN_AMOUNT" queryTableFieldId="94"/>
    <tableColumn id="62" xr3:uid="{A3618ADB-129D-4F96-8C37-D16EB73C98A1}" uniqueName="62" name="REPORT_CYCLE" queryTableFieldId="95" dataDxfId="322"/>
    <tableColumn id="63" xr3:uid="{3057D8F1-1D84-4F49-85F0-E40BE7FDC27E}" uniqueName="63" name="TIME_OF_DAY" queryTableFieldId="96" dataDxfId="321"/>
    <tableColumn id="41" xr3:uid="{C984CCC8-BD01-4D3D-AEFE-83EBBBDA0B7B}" uniqueName="41" name="Enhanced_TimeOfDay" queryTableFieldId="41" dataDxfId="3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B5ABD906-8B0B-44A4-9B17-BB0210218D51}" name="Robbery" displayName="Robbery" ref="A1:BJ17" tableType="queryTable" totalsRowShown="0">
  <autoFilter ref="A1:BJ17" xr:uid="{B5ABD906-8B0B-44A4-9B17-BB0210218D51}"/>
  <tableColumns count="62">
    <tableColumn id="1" xr3:uid="{073EBEFF-0C68-4126-89D9-5E18D39A8ACB}" uniqueName="1" name="Case Number" queryTableFieldId="1" dataDxfId="319"/>
    <tableColumn id="36" xr3:uid="{7E43CF6B-C836-4189-A8E1-1111FE4C9F60}" uniqueName="36" name="IncidentDate" queryTableFieldId="36" dataDxfId="318"/>
    <tableColumn id="3" xr3:uid="{D9D63DB2-777E-444A-92F9-B7C2D59B8129}" uniqueName="3" name="Incident Time" queryTableFieldId="3" dataDxfId="317"/>
    <tableColumn id="4" xr3:uid="{FBA5B256-73EC-4423-930F-3AB29FFC64F4}" uniqueName="4" name="Incident Date_Between" queryTableFieldId="4" dataDxfId="316"/>
    <tableColumn id="5" xr3:uid="{04FF0DD0-B344-4D08-A989-C2F14120999E}" uniqueName="5" name="Incident Time_Between" queryTableFieldId="5" dataDxfId="315"/>
    <tableColumn id="6" xr3:uid="{42CC2327-AC67-4ACC-8AE4-07829E8BD85C}" uniqueName="6" name="Report Date" queryTableFieldId="6" dataDxfId="314"/>
    <tableColumn id="7" xr3:uid="{05B06BC1-9A47-4864-B541-2B6858E583D2}" uniqueName="7" name="Report Time" queryTableFieldId="7" dataDxfId="313"/>
    <tableColumn id="8" xr3:uid="{4DE47915-B627-47C7-9702-47A905A10CB2}" uniqueName="8" name="Incident Type_1" queryTableFieldId="8" dataDxfId="312"/>
    <tableColumn id="9" xr3:uid="{302E5CAB-7EBA-46C1-9FA2-65452E2ABA0F}" uniqueName="9" name="Incident Type_2" queryTableFieldId="9" dataDxfId="311"/>
    <tableColumn id="10" xr3:uid="{C85BC010-8D77-4430-B5E7-9E2CAC5A3DEC}" uniqueName="10" name="Incident Type_3" queryTableFieldId="10" dataDxfId="310"/>
    <tableColumn id="11" xr3:uid="{12E919E0-72FE-4A22-A1C0-7E51E8EDAC81}" uniqueName="11" name="FullAddress" queryTableFieldId="11" dataDxfId="309"/>
    <tableColumn id="12" xr3:uid="{2EE6A06F-7FC6-4D6A-923C-CEF8B2BCD6B8}" uniqueName="12" name="Grid" queryTableFieldId="12" dataDxfId="308"/>
    <tableColumn id="13" xr3:uid="{6D06DE54-7110-4C38-8ED5-501A40B60D15}" uniqueName="13" name="Zone" queryTableFieldId="13"/>
    <tableColumn id="14" xr3:uid="{382A7C26-8934-447A-A076-0072C2A5DF25}" uniqueName="14" name="Narrative" queryTableFieldId="14" dataDxfId="307"/>
    <tableColumn id="15" xr3:uid="{32048DBC-DAAC-4500-9ADF-38FDA230E46A}" uniqueName="15" name="Total Value Stolen" queryTableFieldId="15"/>
    <tableColumn id="16" xr3:uid="{5B44F028-6E69-4971-8A67-97C8E5CE5DBA}" uniqueName="16" name="Total Value Recover" queryTableFieldId="16"/>
    <tableColumn id="17" xr3:uid="{B11F2756-1118-43BF-ACA0-1DFCE91A124B}" uniqueName="17" name="Registration 1" queryTableFieldId="17" dataDxfId="306"/>
    <tableColumn id="18" xr3:uid="{AC324CFE-FD01-4B5F-9861-E542255371ED}" uniqueName="18" name="Make1" queryTableFieldId="18" dataDxfId="305"/>
    <tableColumn id="19" xr3:uid="{DA418A91-0A92-43B9-9954-76C8AD2874B8}" uniqueName="19" name="Model1" queryTableFieldId="19" dataDxfId="304"/>
    <tableColumn id="20" xr3:uid="{D3FD5405-62E2-4C5C-A15D-37EDB3356474}" uniqueName="20" name="Reg State 1" queryTableFieldId="20" dataDxfId="303"/>
    <tableColumn id="21" xr3:uid="{3ABEC754-62CF-4B4B-93DB-B9ED009B5BA5}" uniqueName="21" name="Registration 2" queryTableFieldId="21" dataDxfId="302"/>
    <tableColumn id="22" xr3:uid="{D58D4D60-AB45-4328-A118-4EAB553370C0}" uniqueName="22" name="Reg State 2" queryTableFieldId="22" dataDxfId="301"/>
    <tableColumn id="23" xr3:uid="{24221605-AEA9-454A-AC47-B6A7592BE693}" uniqueName="23" name="Make2" queryTableFieldId="23" dataDxfId="300"/>
    <tableColumn id="24" xr3:uid="{AF4BC642-5CDB-4825-8F7C-D70E90B4525B}" uniqueName="24" name="Model2" queryTableFieldId="24" dataDxfId="299"/>
    <tableColumn id="25" xr3:uid="{5BD394BE-C85C-4BE9-A456-57580CD2F186}" uniqueName="25" name="Reviewed By" queryTableFieldId="25" dataDxfId="298"/>
    <tableColumn id="26" xr3:uid="{961D2FB9-0F6A-4F10-B2DA-DD35257BF819}" uniqueName="26" name="CompleteCalc" queryTableFieldId="26" dataDxfId="297"/>
    <tableColumn id="27" xr3:uid="{56DB6DEB-193B-4E62-AC80-6A7CE8F3225D}" uniqueName="27" name="Officer of Record" queryTableFieldId="27" dataDxfId="296"/>
    <tableColumn id="28" xr3:uid="{F30C3D6F-19EA-4D96-8D53-A4AC7962B864}" uniqueName="28" name="Squad" queryTableFieldId="28" dataDxfId="295"/>
    <tableColumn id="29" xr3:uid="{46157F22-3336-4DAE-A8BA-FFAAFB9BB602}" uniqueName="29" name="Det_Assigned" queryTableFieldId="29" dataDxfId="294"/>
    <tableColumn id="30" xr3:uid="{84BA68F9-9176-4FDF-94D5-DD7BF4BCC249}" uniqueName="30" name="Case_Status" queryTableFieldId="30" dataDxfId="293"/>
    <tableColumn id="37" xr3:uid="{025F0873-9B21-47A4-9F54-56D348B6DE51}" uniqueName="37" name="NibrsClassification" queryTableFieldId="37" dataDxfId="292"/>
    <tableColumn id="42" xr3:uid="{A6586F66-153B-4CEE-B272-635FB18D0672}" uniqueName="42" name="CASE_NUMBER_LENGTH" queryTableFieldId="75"/>
    <tableColumn id="2" xr3:uid="{DD22F8A9-F5A1-4F63-8E03-29BB62EBDF80}" uniqueName="2" name="Incident Date" queryTableFieldId="2" dataDxfId="291"/>
    <tableColumn id="39" xr3:uid="{34FE7D4E-147F-4744-88F7-D376CD7C6D9A}" uniqueName="39" name="IncTime" queryTableFieldId="39" dataDxfId="290"/>
    <tableColumn id="40" xr3:uid="{A6EA5C19-FED2-4C6E-A0B5-77CB7790F8E5}" uniqueName="40" name="StartOfHour" queryTableFieldId="40" dataDxfId="289"/>
    <tableColumn id="34" xr3:uid="{355E542F-7984-4C4D-9084-AD2FE8CDF61E}" uniqueName="34" name="TimeOfDay" queryTableFieldId="34" dataDxfId="288"/>
    <tableColumn id="55" xr3:uid="{21829D8D-47A6-4BB0-92E5-0FD3848D2F14}" uniqueName="55" name="Block" queryTableFieldId="88" dataDxfId="287"/>
    <tableColumn id="64" xr3:uid="{D584A825-5D20-4CAB-BC5A-B97DCE10DD35}" uniqueName="64" name="AllIncidents" queryTableFieldId="119"/>
    <tableColumn id="65" xr3:uid="{F8053C5E-8CCB-4D14-A9AB-8D8C05B55432}" uniqueName="65" name="Period" queryTableFieldId="120"/>
    <tableColumn id="35" xr3:uid="{5D5123DC-18F1-45EE-B2F9-DADF20CE9CD9}" uniqueName="35" name="ALL_INCIDENTS" queryTableFieldId="35" dataDxfId="286"/>
    <tableColumn id="43" xr3:uid="{826E7572-2BE4-4A1B-905A-2E58F3378254}" uniqueName="43" name="INC_TIME" queryTableFieldId="76" dataDxfId="285"/>
    <tableColumn id="44" xr3:uid="{FFE07E43-999B-4C38-A067-30A04C4E3E29}" uniqueName="44" name="INC_DATE" queryTableFieldId="77" dataDxfId="284"/>
    <tableColumn id="45" xr3:uid="{C1021011-F28B-4EAF-806B-943B572B77D0}" uniqueName="45" name="Start of Hour" queryTableFieldId="78" dataDxfId="283"/>
    <tableColumn id="46" xr3:uid="{2D36EA95-7123-4E90-9CE6-F2F57F6530CE}" uniqueName="46" name="INC_DATE_AND_TIME" queryTableFieldId="79" dataDxfId="282"/>
    <tableColumn id="47" xr3:uid="{403C17F9-8A1E-4F59-AA79-CC17E4F56E86}" uniqueName="47" name="TOD" queryTableFieldId="80" dataDxfId="281"/>
    <tableColumn id="48" xr3:uid="{FADCA35E-FB3B-4172-B203-503B793B717C}" uniqueName="48" name="Day Name" queryTableFieldId="81" dataDxfId="280"/>
    <tableColumn id="49" xr3:uid="{02909198-AAD5-47B5-A45B-2EFC42DE9A25}" uniqueName="49" name="Month Name" queryTableFieldId="82" dataDxfId="279"/>
    <tableColumn id="50" xr3:uid="{AD988F7A-1CB5-4147-B972-6E7AED559F45}" uniqueName="50" name="Year" queryTableFieldId="83"/>
    <tableColumn id="51" xr3:uid="{8933EE75-7946-48F4-AB7F-E6B547E1C81D}" uniqueName="51" name="Week of Year" queryTableFieldId="84"/>
    <tableColumn id="52" xr3:uid="{EB7243C2-85B4-4662-81BF-E892F4178C99}" uniqueName="52" name="Week of Month" queryTableFieldId="85"/>
    <tableColumn id="53" xr3:uid="{C722D530-FEC2-447D-B437-F7CA7A1E5AE6}" uniqueName="53" name="Day" queryTableFieldId="86"/>
    <tableColumn id="54" xr3:uid="{AFBFF7E1-F209-488A-87D4-0B2E4AB29492}" uniqueName="54" name="Day of Year" queryTableFieldId="87"/>
    <tableColumn id="66" xr3:uid="{BAD70EE6-B8BE-4C0F-80D3-7B96E051FCB4}" uniqueName="66" name="BLOCK2" queryTableFieldId="121" dataDxfId="278"/>
    <tableColumn id="56" xr3:uid="{199F6E83-B61A-4E95-9850-D17286D4B7FE}" uniqueName="56" name="Location" queryTableFieldId="89" dataDxfId="277"/>
    <tableColumn id="57" xr3:uid="{F8EAFCD5-D0BA-4375-8B1C-639417542BC7}" uniqueName="57" name="St#" queryTableFieldId="90" dataDxfId="276"/>
    <tableColumn id="58" xr3:uid="{A6653756-F6D5-4AAE-880F-95484036B050}" uniqueName="58" name="Notes" queryTableFieldId="91" dataDxfId="275"/>
    <tableColumn id="59" xr3:uid="{21760134-A0A7-4692-8A52-79AD41663151}" uniqueName="59" name="VEHICLE" queryTableFieldId="92" dataDxfId="274"/>
    <tableColumn id="60" xr3:uid="{523C22A2-0D46-4FA5-B16F-E84110B2DCD2}" uniqueName="60" name="Suspect" queryTableFieldId="93" dataDxfId="273"/>
    <tableColumn id="61" xr3:uid="{A2B0BAFB-9EC9-48BD-8009-BA0F8CBBB133}" uniqueName="61" name="TOTAL_STOLEN_AMOUNT" queryTableFieldId="94"/>
    <tableColumn id="62" xr3:uid="{489729E1-F28D-47FC-BBE2-153225832E3A}" uniqueName="62" name="REPORT_CYCLE" queryTableFieldId="95" dataDxfId="272"/>
    <tableColumn id="63" xr3:uid="{5FB658CA-A39F-4168-ACF2-981291825D04}" uniqueName="63" name="TIME_OF_DAY" queryTableFieldId="96" dataDxfId="271"/>
    <tableColumn id="41" xr3:uid="{10B96B21-AF39-4385-B477-7C906B2ABECE}" uniqueName="41" name="Enhanced_TimeOfDay" queryTableFieldId="41" dataDxfId="27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769E3D5-DCAA-44E5-8C5B-733D6790954D}" name="Motor_Vehicle_Theft" displayName="Motor_Vehicle_Theft" ref="A1:AM24" tableType="queryTable" totalsRowShown="0">
  <autoFilter ref="A1:AM24" xr:uid="{3769E3D5-DCAA-44E5-8C5B-733D6790954D}"/>
  <tableColumns count="39">
    <tableColumn id="1" xr3:uid="{2F174D43-B9B7-4C52-B954-EB7D477E86E8}" uniqueName="1" name="Case Number" queryTableFieldId="1" dataDxfId="269"/>
    <tableColumn id="36" xr3:uid="{88692CB9-D92B-40BE-8727-A84F5585A9AD}" uniqueName="36" name="IncidentDate" queryTableFieldId="36" dataDxfId="268"/>
    <tableColumn id="3" xr3:uid="{9FD77C46-40B8-4B0A-92CD-FF5A5A49A119}" uniqueName="3" name="Incident Time" queryTableFieldId="3" dataDxfId="267"/>
    <tableColumn id="4" xr3:uid="{56081B7C-83A2-410B-9291-18377ABA7C7C}" uniqueName="4" name="Incident Date_Between" queryTableFieldId="4" dataDxfId="266"/>
    <tableColumn id="5" xr3:uid="{BC2D902F-0F1E-48C0-A8A9-3646CADC8ED1}" uniqueName="5" name="Incident Time_Between" queryTableFieldId="5" dataDxfId="265"/>
    <tableColumn id="6" xr3:uid="{DC89B283-EA5C-481A-AF43-2F17A503055C}" uniqueName="6" name="Report Date" queryTableFieldId="6" dataDxfId="264"/>
    <tableColumn id="7" xr3:uid="{8061574A-F605-49EF-8140-1A23CCF3358F}" uniqueName="7" name="Report Time" queryTableFieldId="7" dataDxfId="263"/>
    <tableColumn id="8" xr3:uid="{879D3EBD-8EFE-48F9-BFE8-93EB00B8E075}" uniqueName="8" name="Incident Type_1" queryTableFieldId="8" dataDxfId="262"/>
    <tableColumn id="9" xr3:uid="{C4F17403-B67B-41DF-9856-EEE94FE7BE2F}" uniqueName="9" name="Incident Type_2" queryTableFieldId="9" dataDxfId="261"/>
    <tableColumn id="10" xr3:uid="{4BD429E3-5DFB-44A8-8D32-BCE46D3AA3B4}" uniqueName="10" name="Incident Type_3" queryTableFieldId="10" dataDxfId="260"/>
    <tableColumn id="11" xr3:uid="{4BF36B6F-C70A-4219-A908-DA5FF2E54AE1}" uniqueName="11" name="FullAddress" queryTableFieldId="11" dataDxfId="259"/>
    <tableColumn id="12" xr3:uid="{1854204F-9211-4667-98A0-1012CC9A7669}" uniqueName="12" name="Grid" queryTableFieldId="12" dataDxfId="258"/>
    <tableColumn id="13" xr3:uid="{05121178-BF09-4DB1-902C-328B10156E40}" uniqueName="13" name="Zone" queryTableFieldId="13"/>
    <tableColumn id="14" xr3:uid="{5442CFE0-3197-4837-A064-8DFE4A5ED23F}" uniqueName="14" name="Narrative" queryTableFieldId="14" dataDxfId="257"/>
    <tableColumn id="15" xr3:uid="{1BEB9B34-75B4-43E6-BE67-46BA7BA10A53}" uniqueName="15" name="Total Value Stolen" queryTableFieldId="15"/>
    <tableColumn id="16" xr3:uid="{0C37241B-987B-4047-B08E-3D5456EBE32B}" uniqueName="16" name="Total Value Recover" queryTableFieldId="16"/>
    <tableColumn id="17" xr3:uid="{AC48FCAA-48F1-4D98-8EB6-D48D2D0AD813}" uniqueName="17" name="Registration 1" queryTableFieldId="17" dataDxfId="256"/>
    <tableColumn id="18" xr3:uid="{C9E3E0A5-A611-4A33-B4C6-75F0A05A2DD3}" uniqueName="18" name="Make1" queryTableFieldId="18" dataDxfId="255"/>
    <tableColumn id="19" xr3:uid="{69FE4A90-2313-4656-B374-B2D2A16B6322}" uniqueName="19" name="Model1" queryTableFieldId="19" dataDxfId="254"/>
    <tableColumn id="20" xr3:uid="{D2DDD88C-A137-4909-82AC-ADE4946EB104}" uniqueName="20" name="Reg State 1" queryTableFieldId="20" dataDxfId="253"/>
    <tableColumn id="21" xr3:uid="{FF5FC07D-D31A-4ACD-BBD0-9B694D9767E5}" uniqueName="21" name="Registration 2" queryTableFieldId="21" dataDxfId="252"/>
    <tableColumn id="22" xr3:uid="{D153ECA6-EB26-4A52-91A4-4C39B0E82D8D}" uniqueName="22" name="Reg State 2" queryTableFieldId="22" dataDxfId="251"/>
    <tableColumn id="23" xr3:uid="{E3536783-7FE5-4B8D-B1B5-18AAE9C82886}" uniqueName="23" name="Make2" queryTableFieldId="23" dataDxfId="250"/>
    <tableColumn id="24" xr3:uid="{81276FB2-FE38-48D4-AD35-97E0389FBD45}" uniqueName="24" name="Model2" queryTableFieldId="24" dataDxfId="249"/>
    <tableColumn id="25" xr3:uid="{B7E27295-1339-479A-9FFA-F6FC72108F1E}" uniqueName="25" name="Reviewed By" queryTableFieldId="25" dataDxfId="248"/>
    <tableColumn id="26" xr3:uid="{49A9A728-0939-4C84-A93C-ADE06A0F08EE}" uniqueName="26" name="CompleteCalc" queryTableFieldId="26" dataDxfId="247"/>
    <tableColumn id="27" xr3:uid="{2A139185-FDBE-4BDA-BC8B-8DE1F9D1B094}" uniqueName="27" name="Officer of Record" queryTableFieldId="27" dataDxfId="246"/>
    <tableColumn id="28" xr3:uid="{7DA4D084-1D51-4CEF-821D-D576ACCC96C4}" uniqueName="28" name="Squad" queryTableFieldId="28" dataDxfId="245"/>
    <tableColumn id="29" xr3:uid="{C0E215E2-A7C4-41D2-B352-B5082A0D9B13}" uniqueName="29" name="Det_Assigned" queryTableFieldId="29" dataDxfId="244"/>
    <tableColumn id="30" xr3:uid="{5CDD9A8C-79D0-4DD5-8498-D1937A495FEF}" uniqueName="30" name="Case_Status" queryTableFieldId="30" dataDxfId="243"/>
    <tableColumn id="37" xr3:uid="{AAEBE74C-8783-4B9F-9CA6-F64926EBBA44}" uniqueName="37" name="NibrsClassification" queryTableFieldId="37" dataDxfId="242"/>
    <tableColumn id="64" xr3:uid="{6A8EA985-43E3-4354-B8DD-C2FB40DDD3CF}" uniqueName="64" name="CaseNumberLength" queryTableFieldId="119"/>
    <tableColumn id="2" xr3:uid="{94DEE3AC-8689-49D9-BEA5-E5DE7794A120}" uniqueName="2" name="Incident Date" queryTableFieldId="2" dataDxfId="241"/>
    <tableColumn id="39" xr3:uid="{8CB0AC9B-323D-4CD1-B8BF-60641E3A8814}" uniqueName="39" name="IncTime" queryTableFieldId="39" dataDxfId="240"/>
    <tableColumn id="40" xr3:uid="{F7FB22F7-6A15-444B-83FB-B59E9B34C1F1}" uniqueName="40" name="StartOfHour" queryTableFieldId="40" dataDxfId="239"/>
    <tableColumn id="34" xr3:uid="{A78FECA6-0158-4AE2-A401-0110DC6B80B7}" uniqueName="34" name="TimeOfDay" queryTableFieldId="34" dataDxfId="238"/>
    <tableColumn id="55" xr3:uid="{43394831-B1CD-4131-9C58-5F48D35A2863}" uniqueName="55" name="Block" queryTableFieldId="88" dataDxfId="237"/>
    <tableColumn id="35" xr3:uid="{D1B6A7FC-2E16-4978-8976-EF309DDD0D0A}" uniqueName="35" name="ALL_INCIDENTS" queryTableFieldId="35" dataDxfId="236"/>
    <tableColumn id="65" xr3:uid="{3652551A-3304-40F3-8528-C7484AD53F36}" uniqueName="65" name="Period" queryTableFieldId="12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8A332714-3ECC-4D31-9CC4-4113BBAAC668}" name="Auto_Burglary" displayName="Auto_Burglary" ref="A1:BI47" tableType="queryTable" totalsRowShown="0">
  <autoFilter ref="A1:BI47" xr:uid="{8A332714-3ECC-4D31-9CC4-4113BBAAC668}"/>
  <tableColumns count="61">
    <tableColumn id="1" xr3:uid="{5BA540F9-1A7B-453B-9A4E-D96A646A6A86}" uniqueName="1" name="Case Number" queryTableFieldId="1" dataDxfId="235"/>
    <tableColumn id="36" xr3:uid="{F928487C-3E3C-41EF-A73A-5749009F7AC8}" uniqueName="36" name="IncidentDate" queryTableFieldId="36"/>
    <tableColumn id="3" xr3:uid="{5265A68B-47DF-412B-9027-77BE219F324E}" uniqueName="3" name="Incident Time" queryTableFieldId="3" dataDxfId="234"/>
    <tableColumn id="4" xr3:uid="{52D9C017-E572-4AEF-9AE7-FA13104F9197}" uniqueName="4" name="Incident Date_Between" queryTableFieldId="4" dataDxfId="233"/>
    <tableColumn id="5" xr3:uid="{B87E6B0A-7CDE-4743-A5EF-ACC76E10BDD0}" uniqueName="5" name="Incident Time_Between" queryTableFieldId="5" dataDxfId="232"/>
    <tableColumn id="6" xr3:uid="{F8B913EF-6F23-4D3C-80F0-8CEE46016093}" uniqueName="6" name="Report Date" queryTableFieldId="6" dataDxfId="231"/>
    <tableColumn id="7" xr3:uid="{B8CF4528-8AC6-4672-AC45-5EEDC8A0167D}" uniqueName="7" name="Report Time" queryTableFieldId="7" dataDxfId="230"/>
    <tableColumn id="8" xr3:uid="{8A60C3C9-8A99-4281-8664-D88253ABF77D}" uniqueName="8" name="Incident Type_1" queryTableFieldId="8" dataDxfId="229"/>
    <tableColumn id="9" xr3:uid="{5146A8AE-4FA0-4DF3-AB69-487A303207AB}" uniqueName="9" name="Incident Type_2" queryTableFieldId="9" dataDxfId="228"/>
    <tableColumn id="10" xr3:uid="{31746788-02EC-4898-90C6-D76528C8BAB6}" uniqueName="10" name="Incident Type_3" queryTableFieldId="10" dataDxfId="227"/>
    <tableColumn id="11" xr3:uid="{C7C83012-958F-48A6-BD74-3D3996C44043}" uniqueName="11" name="FullAddress" queryTableFieldId="11" dataDxfId="226"/>
    <tableColumn id="12" xr3:uid="{8BF49E38-6030-4EC6-B1D2-15D6E3DC5402}" uniqueName="12" name="Grid" queryTableFieldId="12" dataDxfId="225"/>
    <tableColumn id="13" xr3:uid="{F74CB9B5-B195-40D4-943A-1DB662BBED36}" uniqueName="13" name="Zone" queryTableFieldId="13"/>
    <tableColumn id="14" xr3:uid="{D6FD85D9-8397-4502-B5D6-9A93DA469EC9}" uniqueName="14" name="Narrative" queryTableFieldId="14" dataDxfId="224"/>
    <tableColumn id="15" xr3:uid="{C221105F-5B39-40EE-95A1-5D555D2385E1}" uniqueName="15" name="Total Value Stolen" queryTableFieldId="15"/>
    <tableColumn id="16" xr3:uid="{8D6099C8-A108-484B-8714-C5F05F5AB948}" uniqueName="16" name="Total Value Recover" queryTableFieldId="16"/>
    <tableColumn id="17" xr3:uid="{AA765734-88CD-4866-ABCC-AD18A0A66F3A}" uniqueName="17" name="Registration 1" queryTableFieldId="17" dataDxfId="223"/>
    <tableColumn id="18" xr3:uid="{3D99E826-8D76-4BE5-9C9D-4FA87BBBA88C}" uniqueName="18" name="Make1" queryTableFieldId="18" dataDxfId="222"/>
    <tableColumn id="19" xr3:uid="{D6EA09AE-AEFF-42B3-9B98-4D2ECF186737}" uniqueName="19" name="Model1" queryTableFieldId="19" dataDxfId="221"/>
    <tableColumn id="20" xr3:uid="{E0FF7603-1356-4FB8-8412-6A89A933C593}" uniqueName="20" name="Reg State 1" queryTableFieldId="20" dataDxfId="220"/>
    <tableColumn id="21" xr3:uid="{4B160E49-139C-47D4-BF89-F15D990D54FE}" uniqueName="21" name="Registration 2" queryTableFieldId="21" dataDxfId="219"/>
    <tableColumn id="22" xr3:uid="{EAFCC410-6F8F-406F-8D9A-3B537145D081}" uniqueName="22" name="Reg State 2" queryTableFieldId="22" dataDxfId="218"/>
    <tableColumn id="23" xr3:uid="{E1F02B69-A11D-482E-9032-3CF1EB88B5D8}" uniqueName="23" name="Make2" queryTableFieldId="23" dataDxfId="217"/>
    <tableColumn id="24" xr3:uid="{FE1DBFF3-60D8-4B1D-AEB5-C5A130A76F0B}" uniqueName="24" name="Model2" queryTableFieldId="24" dataDxfId="216"/>
    <tableColumn id="25" xr3:uid="{245A2044-4B70-49E5-8528-11EABA170249}" uniqueName="25" name="Reviewed By" queryTableFieldId="25" dataDxfId="215"/>
    <tableColumn id="26" xr3:uid="{FCA0B8B9-518C-4F69-9A58-CD44EE43E69D}" uniqueName="26" name="CompleteCalc" queryTableFieldId="26" dataDxfId="214"/>
    <tableColumn id="27" xr3:uid="{24B882A0-18B4-4E88-BF7D-5A1F5168DD53}" uniqueName="27" name="Officer of Record" queryTableFieldId="27" dataDxfId="213"/>
    <tableColumn id="28" xr3:uid="{5C7DC1E0-D8D1-40E0-B1DF-BDF23DB6CC98}" uniqueName="28" name="Squad" queryTableFieldId="28" dataDxfId="212"/>
    <tableColumn id="29" xr3:uid="{5CF66AEF-E5C7-48F0-9D85-2D6ADA6F4872}" uniqueName="29" name="Det_Assigned" queryTableFieldId="29" dataDxfId="211"/>
    <tableColumn id="30" xr3:uid="{61343236-62FC-4DD9-9297-28E6996EAC7D}" uniqueName="30" name="Case_Status" queryTableFieldId="30" dataDxfId="210"/>
    <tableColumn id="37" xr3:uid="{BEAA3EEC-2F71-4ED7-9F3A-AF43BE3D060C}" uniqueName="37" name="NibrsClassification" queryTableFieldId="37" dataDxfId="209"/>
    <tableColumn id="44" xr3:uid="{21D92E75-137F-499D-9D61-9C9872B65D3C}" uniqueName="44" name="CASE_NUMBER_LENGTH" queryTableFieldId="77"/>
    <tableColumn id="2" xr3:uid="{EF9458A7-9D7F-4AE2-B8BE-736AA300F1BF}" uniqueName="2" name="Incident Date" queryTableFieldId="2" dataDxfId="208"/>
    <tableColumn id="39" xr3:uid="{96AC2A62-F518-41FD-8548-7449B0BDC93D}" uniqueName="39" name="IncTime" queryTableFieldId="39" dataDxfId="207"/>
    <tableColumn id="40" xr3:uid="{BAFB2DDA-241E-494D-A64E-69A0902B83F4}" uniqueName="40" name="StartOfHour" queryTableFieldId="40" dataDxfId="206"/>
    <tableColumn id="34" xr3:uid="{E1AE53B3-6F1F-4731-A5CF-F5B2EFA1D646}" uniqueName="34" name="TimeOfDay" queryTableFieldId="34" dataDxfId="205"/>
    <tableColumn id="55" xr3:uid="{57E73902-4622-426B-BB9B-B84FCEDABAAF}" uniqueName="55" name="Block" queryTableFieldId="88" dataDxfId="204"/>
    <tableColumn id="35" xr3:uid="{183BA1A5-B13F-45F1-9691-F69CB8D1F502}" uniqueName="35" name="ALL_INCIDENTS" queryTableFieldId="35" dataDxfId="203"/>
    <tableColumn id="64" xr3:uid="{C6EE79CC-0587-4132-8F0D-45EC77C78022}" uniqueName="64" name="Period" queryTableFieldId="119"/>
    <tableColumn id="45" xr3:uid="{614A2F5C-D720-4969-B1EB-10025700405A}" uniqueName="45" name="INC_TIME" queryTableFieldId="78" dataDxfId="202"/>
    <tableColumn id="46" xr3:uid="{096282C5-53DD-4767-A377-C9DC0BDD38B7}" uniqueName="46" name="INC_DATE" queryTableFieldId="79" dataDxfId="201"/>
    <tableColumn id="47" xr3:uid="{FF966459-743F-4039-A3AE-35DB5E29A1FA}" uniqueName="47" name="Start of Hour" queryTableFieldId="80" dataDxfId="200"/>
    <tableColumn id="48" xr3:uid="{C5001A9A-E03F-44E8-971B-444DCE41C073}" uniqueName="48" name="INC_DATE_AND_TIME" queryTableFieldId="81" dataDxfId="199"/>
    <tableColumn id="49" xr3:uid="{B615AF85-B90E-4EF5-A49A-8D6E5C07454A}" uniqueName="49" name="TOD" queryTableFieldId="82" dataDxfId="198"/>
    <tableColumn id="43" xr3:uid="{7EB2DC78-7697-4356-BB33-DBF4FE1CCD12}" uniqueName="43" name="Day Name" queryTableFieldId="76" dataDxfId="197"/>
    <tableColumn id="42" xr3:uid="{C21A69D0-B83C-462B-943B-77CA135E33F6}" uniqueName="42" name="Month Name" queryTableFieldId="75" dataDxfId="196"/>
    <tableColumn id="50" xr3:uid="{926DD5E3-FCF4-4571-9049-0C95E1C56CBF}" uniqueName="50" name="Year" queryTableFieldId="83"/>
    <tableColumn id="51" xr3:uid="{3C56D885-A5B3-4245-88F6-E93E6EFD08DA}" uniqueName="51" name="Week of Year" queryTableFieldId="84"/>
    <tableColumn id="52" xr3:uid="{C7FF5245-0F92-4702-9586-0466CAD7D0DE}" uniqueName="52" name="Week of Month" queryTableFieldId="85"/>
    <tableColumn id="53" xr3:uid="{34530586-24BA-4032-A0B3-F4A968A266C6}" uniqueName="53" name="Day" queryTableFieldId="86"/>
    <tableColumn id="54" xr3:uid="{000881D7-A6B6-4894-9A57-CFF31C7CC847}" uniqueName="54" name="Day of Year" queryTableFieldId="87"/>
    <tableColumn id="65" xr3:uid="{203A6647-38E2-4599-8F72-D3E1ACBCC837}" uniqueName="65" name="BLOCK2" queryTableFieldId="120" dataDxfId="195"/>
    <tableColumn id="56" xr3:uid="{E452C2AE-A494-42EF-8A25-79315142AFB6}" uniqueName="56" name="Location" queryTableFieldId="89" dataDxfId="194"/>
    <tableColumn id="57" xr3:uid="{E3FBFA0D-CAD5-40CA-93EE-9A8B4776AC4B}" uniqueName="57" name="St#" queryTableFieldId="90" dataDxfId="193"/>
    <tableColumn id="58" xr3:uid="{9BA0E371-6599-4816-917F-993A7252C792}" uniqueName="58" name="Notes" queryTableFieldId="91" dataDxfId="192"/>
    <tableColumn id="59" xr3:uid="{5C025004-CD92-48AE-8B70-C7C8423D36EB}" uniqueName="59" name="VEHICLE" queryTableFieldId="92" dataDxfId="191"/>
    <tableColumn id="60" xr3:uid="{F1432615-2844-4EBC-A374-054A564F68BD}" uniqueName="60" name="Suspect" queryTableFieldId="93" dataDxfId="190"/>
    <tableColumn id="61" xr3:uid="{5A51A2B3-3895-418B-8C22-DB6040011481}" uniqueName="61" name="TOTAL_STOLEN_AMOUNT" queryTableFieldId="94"/>
    <tableColumn id="62" xr3:uid="{C0BDBF04-4114-4FAB-AC15-9ED083843359}" uniqueName="62" name="REPORT_CYCLE" queryTableFieldId="95" dataDxfId="189"/>
    <tableColumn id="63" xr3:uid="{881B5536-18FC-4D19-8599-0F71416652ED}" uniqueName="63" name="TIME_OF_DAY" queryTableFieldId="96" dataDxfId="188"/>
    <tableColumn id="41" xr3:uid="{4AD37EF6-C5DC-4B4C-96F0-C2455C60EDE7}" uniqueName="41" name="Enhanced_TimeOfDay" queryTableFieldId="41" dataDxfId="18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C010F07E-2B9E-4F29-B2EC-34BBDFED37C0}" name="Burglary_Commercial_Residential" displayName="Burglary_Commercial_Residential" ref="A1:BI26" tableType="queryTable" totalsRowShown="0">
  <autoFilter ref="A1:BI26" xr:uid="{C010F07E-2B9E-4F29-B2EC-34BBDFED37C0}"/>
  <tableColumns count="61">
    <tableColumn id="1" xr3:uid="{971A3DD2-3A1B-4D90-988D-EB55A9A2F9FD}" uniqueName="1" name="Case Number" queryTableFieldId="1" dataDxfId="186"/>
    <tableColumn id="55" xr3:uid="{75401D52-6EE7-4847-9BC5-574F25CD16E4}" uniqueName="55" name="IncidentDate" queryTableFieldId="55" dataDxfId="185"/>
    <tableColumn id="3" xr3:uid="{13B71906-EF90-4FC9-A1DC-B431A873447E}" uniqueName="3" name="Incident Time" queryTableFieldId="3" dataDxfId="184"/>
    <tableColumn id="4" xr3:uid="{E8D1D72E-FFD1-422E-850B-F07AC374508F}" uniqueName="4" name="Incident Date_Between" queryTableFieldId="4" dataDxfId="183"/>
    <tableColumn id="5" xr3:uid="{4B729429-2F1C-4C84-8812-B84783F88E5C}" uniqueName="5" name="Incident Time_Between" queryTableFieldId="5" dataDxfId="182"/>
    <tableColumn id="6" xr3:uid="{DAA89A0F-C3C5-4BB0-9C1D-08904D0AA835}" uniqueName="6" name="Report Date" queryTableFieldId="6" dataDxfId="181"/>
    <tableColumn id="7" xr3:uid="{721726A6-AC23-4162-AE93-BFC418AB87FE}" uniqueName="7" name="Report Time" queryTableFieldId="7" dataDxfId="180"/>
    <tableColumn id="8" xr3:uid="{A4D8D56F-C05F-4690-A6FA-C7084CBB01E7}" uniqueName="8" name="Incident Type_1" queryTableFieldId="8" dataDxfId="179"/>
    <tableColumn id="9" xr3:uid="{69E070D7-593E-4716-9FE4-7951F23AF646}" uniqueName="9" name="Incident Type_2" queryTableFieldId="9" dataDxfId="178"/>
    <tableColumn id="10" xr3:uid="{CFAA1391-10CB-47D7-8E9A-23CFCE1EC611}" uniqueName="10" name="Incident Type_3" queryTableFieldId="10" dataDxfId="177"/>
    <tableColumn id="11" xr3:uid="{8F08F409-B5B9-4B9E-83B3-9651E2B19363}" uniqueName="11" name="FullAddress" queryTableFieldId="11" dataDxfId="176"/>
    <tableColumn id="12" xr3:uid="{DD554A7E-5A9B-417D-B533-C0A39D544952}" uniqueName="12" name="Grid" queryTableFieldId="12" dataDxfId="175"/>
    <tableColumn id="13" xr3:uid="{15DCFB9F-A00A-4B74-A93C-0D16DC4ED8FD}" uniqueName="13" name="Zone" queryTableFieldId="13"/>
    <tableColumn id="14" xr3:uid="{E7FED82A-E495-4066-A113-B6C9E833558B}" uniqueName="14" name="Narrative" queryTableFieldId="14" dataDxfId="174"/>
    <tableColumn id="15" xr3:uid="{D228771B-B55C-4642-AA38-C54E5F711A17}" uniqueName="15" name="Total Value Stolen" queryTableFieldId="15"/>
    <tableColumn id="16" xr3:uid="{1BF12D1A-CC63-485A-B3EB-1D00A9BB017B}" uniqueName="16" name="Total Value Recover" queryTableFieldId="16"/>
    <tableColumn id="17" xr3:uid="{804B5A07-AC98-47E7-A7CF-17C9A74E32F5}" uniqueName="17" name="Registration 1" queryTableFieldId="17" dataDxfId="173"/>
    <tableColumn id="18" xr3:uid="{BC117EE9-FD6D-4834-A9F5-5EF602BA94DF}" uniqueName="18" name="Make1" queryTableFieldId="18" dataDxfId="172"/>
    <tableColumn id="19" xr3:uid="{BA59A70E-2102-4B81-8837-AE666E9B68EB}" uniqueName="19" name="Model1" queryTableFieldId="19" dataDxfId="171"/>
    <tableColumn id="20" xr3:uid="{26189DA3-E02D-41D1-80B8-FA231B7CA7E1}" uniqueName="20" name="Reg State 1" queryTableFieldId="20" dataDxfId="170"/>
    <tableColumn id="21" xr3:uid="{1381443D-034A-4AEF-A05A-B22CC3CF0DF9}" uniqueName="21" name="Registration 2" queryTableFieldId="21" dataDxfId="169"/>
    <tableColumn id="22" xr3:uid="{FACE3B92-9298-45AD-9B3F-764572EEECCB}" uniqueName="22" name="Reg State 2" queryTableFieldId="22" dataDxfId="168"/>
    <tableColumn id="23" xr3:uid="{973FB742-120E-4FA2-AC5E-8BCC829913EC}" uniqueName="23" name="Make2" queryTableFieldId="23" dataDxfId="167"/>
    <tableColumn id="24" xr3:uid="{D7B5F31C-8FBF-46E3-A42B-3E76BCD1DE93}" uniqueName="24" name="Model2" queryTableFieldId="24" dataDxfId="166"/>
    <tableColumn id="25" xr3:uid="{60D41445-9C9F-4747-91A8-59344B96EA1F}" uniqueName="25" name="Reviewed By" queryTableFieldId="25" dataDxfId="165"/>
    <tableColumn id="26" xr3:uid="{1C00A268-63A8-4CBD-94EE-70A66FF3648E}" uniqueName="26" name="CompleteCalc" queryTableFieldId="26" dataDxfId="164"/>
    <tableColumn id="27" xr3:uid="{179F145E-CAB0-4464-810A-46090AD5E466}" uniqueName="27" name="Officer of Record" queryTableFieldId="27" dataDxfId="163"/>
    <tableColumn id="28" xr3:uid="{9A2E5CF0-13A9-4E27-9015-3DBFE1594C61}" uniqueName="28" name="Squad" queryTableFieldId="28" dataDxfId="162"/>
    <tableColumn id="29" xr3:uid="{9C9DFBE8-034B-46ED-8173-5C0486B169F9}" uniqueName="29" name="Det_Assigned" queryTableFieldId="29" dataDxfId="161"/>
    <tableColumn id="30" xr3:uid="{12D9D1D5-6179-4F4E-93C9-6CD94CBE89D1}" uniqueName="30" name="Case_Status" queryTableFieldId="30" dataDxfId="160"/>
    <tableColumn id="56" xr3:uid="{60A3844B-A86D-49E2-B07F-730547720469}" uniqueName="56" name="NibrsClassification" queryTableFieldId="56" dataDxfId="159"/>
    <tableColumn id="62" xr3:uid="{20A8B2E7-757E-4B95-B469-46B830E9DF89}" uniqueName="62" name="CASE_NUMBER_LENGTH" queryTableFieldId="96"/>
    <tableColumn id="2" xr3:uid="{C93271B1-0F4C-404F-8FF9-5A9536A4B697}" uniqueName="2" name="Incident Date" queryTableFieldId="2" dataDxfId="158"/>
    <tableColumn id="58" xr3:uid="{51072B20-A300-4BB4-821C-2705DAB9E0A8}" uniqueName="58" name="IncTime" queryTableFieldId="58" dataDxfId="157"/>
    <tableColumn id="59" xr3:uid="{B744EE7B-A8DD-49A6-B2F1-108EE448C8EA}" uniqueName="59" name="StartOfHour" queryTableFieldId="59" dataDxfId="156"/>
    <tableColumn id="60" xr3:uid="{AD6E1BC2-9003-4C6E-9D5B-B7CCEE51EB9E}" uniqueName="60" name="TimeOfDay" queryTableFieldId="60"/>
    <tableColumn id="75" xr3:uid="{DDCC066E-3009-460F-81A6-FD41D090EBA6}" uniqueName="75" name="Block" queryTableFieldId="109" dataDxfId="155"/>
    <tableColumn id="46" xr3:uid="{02A20A98-CE18-4DF2-9407-F7285F14EF66}" uniqueName="46" name="ALL_INCIDENTS" queryTableFieldId="46" dataDxfId="154"/>
    <tableColumn id="85" xr3:uid="{215EF4B1-2B35-4276-B511-10D5CD5C6D02}" uniqueName="85" name="Period" queryTableFieldId="135"/>
    <tableColumn id="63" xr3:uid="{0B72F723-24CF-448D-8D59-7D0FAE9234B0}" uniqueName="63" name="INC_TIME" queryTableFieldId="97" dataDxfId="153"/>
    <tableColumn id="64" xr3:uid="{41453A37-7BAB-488C-8A7C-A9F87B9D15F0}" uniqueName="64" name="INC_DATE" queryTableFieldId="98" dataDxfId="152"/>
    <tableColumn id="65" xr3:uid="{BBBBACBF-D2F4-430C-8351-4273D93A079F}" uniqueName="65" name="Start of Hour" queryTableFieldId="99" dataDxfId="151"/>
    <tableColumn id="66" xr3:uid="{8041937C-95E7-4908-991A-A6580400C55C}" uniqueName="66" name="INC_DATE_AND_TIME" queryTableFieldId="100" dataDxfId="150"/>
    <tableColumn id="67" xr3:uid="{0FF939F8-0882-44CC-B237-8808F1E2E078}" uniqueName="67" name="TOD" queryTableFieldId="101" dataDxfId="149"/>
    <tableColumn id="68" xr3:uid="{12522FEB-6BD7-42A6-AF92-C5E2D54A6D32}" uniqueName="68" name="Day Name" queryTableFieldId="102" dataDxfId="148"/>
    <tableColumn id="69" xr3:uid="{38CAFBAA-A2DE-4513-B269-6712BC8748F2}" uniqueName="69" name="Month Name" queryTableFieldId="103" dataDxfId="147"/>
    <tableColumn id="70" xr3:uid="{50909469-3775-4B13-97C6-57886C6ECE47}" uniqueName="70" name="Year" queryTableFieldId="104"/>
    <tableColumn id="71" xr3:uid="{8DE6EB4B-7641-437D-A0BB-A3D15E293819}" uniqueName="71" name="Week of Year" queryTableFieldId="105"/>
    <tableColumn id="72" xr3:uid="{1F7088B8-1317-426B-9E30-70D67BE8218A}" uniqueName="72" name="Week of Month" queryTableFieldId="106"/>
    <tableColumn id="73" xr3:uid="{0B5FB367-3DAA-4B36-9EE0-B2F1545E7B36}" uniqueName="73" name="Day" queryTableFieldId="107"/>
    <tableColumn id="74" xr3:uid="{01BF0E99-6678-4CF2-A1FD-911056BA7468}" uniqueName="74" name="Day of Year" queryTableFieldId="108"/>
    <tableColumn id="86" xr3:uid="{78F1358F-3FE6-493E-A711-1EEB469AD01A}" uniqueName="86" name="BLOCK2" queryTableFieldId="136" dataDxfId="146"/>
    <tableColumn id="76" xr3:uid="{0C742A3D-62BD-4105-9FB9-F7143601AE5F}" uniqueName="76" name="Location" queryTableFieldId="110" dataDxfId="145"/>
    <tableColumn id="77" xr3:uid="{3D9D0DC8-D1CB-4630-9BD1-E91D0E3C61E3}" uniqueName="77" name="St#" queryTableFieldId="111" dataDxfId="144"/>
    <tableColumn id="78" xr3:uid="{9F17B560-09B1-4B57-ABCA-3F0D0069D712}" uniqueName="78" name="Notes" queryTableFieldId="112" dataDxfId="143"/>
    <tableColumn id="79" xr3:uid="{3040DDB8-930B-40F3-89EB-7CFC97AD171A}" uniqueName="79" name="VEHICLE" queryTableFieldId="113" dataDxfId="142"/>
    <tableColumn id="80" xr3:uid="{6ABB9E1F-B967-49C3-AD1B-C8121B837396}" uniqueName="80" name="Suspect" queryTableFieldId="114" dataDxfId="141"/>
    <tableColumn id="81" xr3:uid="{0E13BD5A-B2DD-4B10-99B1-4E0FE8308AA2}" uniqueName="81" name="TOTAL_STOLEN_AMOUNT" queryTableFieldId="115"/>
    <tableColumn id="82" xr3:uid="{D88D7C8D-4E83-47CD-B1CE-F6286A8E16CB}" uniqueName="82" name="REPORT_CYCLE" queryTableFieldId="116" dataDxfId="140"/>
    <tableColumn id="83" xr3:uid="{2DDD0B44-38CF-441C-9B7C-2398CEC80AE6}" uniqueName="83" name="TIME_OF_DAY" queryTableFieldId="117" dataDxfId="139"/>
    <tableColumn id="87" xr3:uid="{A8EF6CFB-CBFB-4DEF-8E8C-4FEBF2D9E1FB}" uniqueName="87" name="Enhanced_TimeOfDay" queryTableFieldId="137" dataDxfId="1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CD1384B-A78D-4D22-BF57-57527D4538F7}" name="Bur_C_R50" displayName="Bur_C_R50" ref="M1:BN11" totalsRowShown="0" headerRowDxfId="95" dataDxfId="94">
  <autoFilter ref="M1:BN11" xr:uid="{0CD1384B-A78D-4D22-BF57-57527D4538F7}"/>
  <tableColumns count="54">
    <tableColumn id="1" xr3:uid="{8DBFF80D-CDA3-4C7D-AFE4-25A7FA949C0B}" name="Case Number" dataDxfId="93"/>
    <tableColumn id="2" xr3:uid="{4B32C307-04B2-4E06-879B-1C47990EA447}" name="INC_DATE" dataDxfId="92"/>
    <tableColumn id="3" xr3:uid="{CCF5552A-3101-409C-A2CC-C594719C0C08}" name="TOD"/>
    <tableColumn id="4" xr3:uid="{52CEF72F-8DCC-4716-B0D5-FD829FE089F0}" name="Start of Hour" dataDxfId="91"/>
    <tableColumn id="5" xr3:uid="{B5BBE312-A7A7-4128-A0FF-7C93D3392031}" name="INC_TIME" dataDxfId="90"/>
    <tableColumn id="6" xr3:uid="{8FDC614B-9734-4F3C-BDEE-32628643507F}" name="Day Name"/>
    <tableColumn id="7" xr3:uid="{8DD8AAA6-626D-4F8A-BFE4-1F82FD5910B0}" name="Month Name"/>
    <tableColumn id="8" xr3:uid="{CDD352D5-7E11-43C1-845D-17992AD9660D}" name="BLOCK"/>
    <tableColumn id="9" xr3:uid="{A02FD012-D329-4E11-BFBA-1A87102F8B0F}" name="Location"/>
    <tableColumn id="10" xr3:uid="{01DB759B-82E5-4732-A377-079EB612A673}" name="ALL_INCIDENTS"/>
    <tableColumn id="11" xr3:uid="{F7F1E8E6-7715-433A-96FA-F6F739EEE905}" name="Incident Type_1" dataDxfId="89"/>
    <tableColumn id="12" xr3:uid="{1E716A9F-A0A5-460A-B0DF-1B111A11665F}" name="Incident Type_2" dataDxfId="88"/>
    <tableColumn id="13" xr3:uid="{313D146B-E0C1-4017-BB83-19CC998A33D9}" name="Incident Type_3" dataDxfId="87"/>
    <tableColumn id="14" xr3:uid="{2DC8E3D3-788F-43B8-AE69-2ACA178F2A0F}" name="FullAddress" dataDxfId="86"/>
    <tableColumn id="47" xr3:uid="{68B5AC45-3887-4434-A52D-46D8A7638E59}" name="Grid" dataDxfId="85"/>
    <tableColumn id="54" xr3:uid="{EF527E54-F354-46AE-8575-50C41228F173}" name="Zone"/>
    <tableColumn id="15" xr3:uid="{ABD40984-83CE-4CB0-A5D8-EB6ACB59F210}" name="Narrative" dataDxfId="84"/>
    <tableColumn id="16" xr3:uid="{38AE268A-E478-4035-998A-80465ACA29B7}" name="Total Value Stolen" dataDxfId="83"/>
    <tableColumn id="17" xr3:uid="{9AA31042-4C8A-417A-8BCC-B20C2AC6E42C}" name="Total Value Recover" dataDxfId="82"/>
    <tableColumn id="18" xr3:uid="{5C70B1F7-2EC4-4E4C-8740-3E96795DF8B1}" name="Registration 1" dataDxfId="81"/>
    <tableColumn id="19" xr3:uid="{06376A9B-1CF9-430C-A35F-AA069A6AA6C1}" name="Make1" dataDxfId="80"/>
    <tableColumn id="20" xr3:uid="{99421096-9242-4098-8FCD-C26C9FD574CD}" name="Model1" dataDxfId="79"/>
    <tableColumn id="21" xr3:uid="{331137EF-4C13-4DDC-B80D-D98644B30E12}" name="Reg State 1" dataDxfId="78"/>
    <tableColumn id="22" xr3:uid="{2BC76BE6-D952-4844-9566-C8F8CA75A344}" name="Registration 2" dataDxfId="77"/>
    <tableColumn id="23" xr3:uid="{BC00D1E6-5798-4D3C-B256-1EC44782A776}" name="Reg State 2" dataDxfId="76"/>
    <tableColumn id="24" xr3:uid="{8336147A-DCE5-4596-A1FF-FD55C43DC5FD}" name="Make2" dataDxfId="75"/>
    <tableColumn id="25" xr3:uid="{8B591E20-AFE1-4590-A3DD-8861C4C76BBA}" name="Model2" dataDxfId="74"/>
    <tableColumn id="26" xr3:uid="{917BD22A-1A91-40C1-9350-139744ECF24E}" name="Reviewed By" dataDxfId="73"/>
    <tableColumn id="27" xr3:uid="{8943FF1F-0B49-4252-AC6A-30B17CAF51E8}" name="CompleteCalc" dataDxfId="72"/>
    <tableColumn id="28" xr3:uid="{FCB4ABCF-9B7F-494A-A132-87CD59849845}" name="Officer of Record" dataDxfId="71"/>
    <tableColumn id="29" xr3:uid="{51679C79-217D-43C7-8E77-A252FA0185F3}" name="Squad" dataDxfId="70"/>
    <tableColumn id="30" xr3:uid="{5387C2E1-5463-4E1C-9742-15D9035EC8ED}" name="Det_Assigned" dataDxfId="69"/>
    <tableColumn id="31" xr3:uid="{E7153E2D-F428-4051-9826-59761DC427AA}" name="Case_Status" dataDxfId="68"/>
    <tableColumn id="32" xr3:uid="{CD2BAF2F-1A1B-49DC-8BC9-87C1FEDF9130}" name="NIBRS Classification" dataDxfId="67"/>
    <tableColumn id="33" xr3:uid="{1E1CA433-54D2-4A4F-A7D7-6AC1E3B21E32}" name="CASE_NUMBER_LENGTH" dataDxfId="66"/>
    <tableColumn id="34" xr3:uid="{8CC3CDA9-58F3-4615-B536-288F40633174}" name="Incident Date" dataDxfId="65"/>
    <tableColumn id="35" xr3:uid="{FD2B7F2D-B418-4E3B-A557-CA5398F4AC12}" name="Incident Time" dataDxfId="64"/>
    <tableColumn id="36" xr3:uid="{BF36C18E-15FE-4A62-8C3E-CCF246CFCD10}" name="Incident Date_Between" dataDxfId="63"/>
    <tableColumn id="37" xr3:uid="{6EE80A5B-99D0-44C0-829A-9534D2520FC9}" name="Incident Time_Between" dataDxfId="62"/>
    <tableColumn id="38" xr3:uid="{D64E25F8-19E5-4E37-87C2-05A9A8469D28}" name="Report Date" dataDxfId="61"/>
    <tableColumn id="39" xr3:uid="{A179B8AD-FD56-4C02-A308-C2332AD2778E}" name="Report Time" dataDxfId="60"/>
    <tableColumn id="40" xr3:uid="{DDB04E3D-06C9-440D-89ED-D617DF343DF3}" name="Year" dataDxfId="59"/>
    <tableColumn id="41" xr3:uid="{AC5909CE-A646-441A-BBC3-BF6792B94BA5}" name="Week of Year" dataDxfId="58"/>
    <tableColumn id="42" xr3:uid="{EDD8C9F0-0663-4A97-BD40-C66FB4F4088D}" name="Week of Month" dataDxfId="57"/>
    <tableColumn id="43" xr3:uid="{CD74AE42-0764-4E41-A6A6-13F76DD8434A}" name="Day" dataDxfId="56"/>
    <tableColumn id="44" xr3:uid="{484AE78D-1C83-4F29-BAC9-5CB3211FAF60}" name="Day of Year" dataDxfId="55"/>
    <tableColumn id="45" xr3:uid="{65FB300B-DB45-4A1C-BD01-4C93BBC4CC5E}" name="INC_DATE_AND_TIME" dataDxfId="54"/>
    <tableColumn id="46" xr3:uid="{07CB8E68-106E-4105-91A7-1DF1FBCEECF0}" name="St#" dataDxfId="53"/>
    <tableColumn id="49" xr3:uid="{3CCCD671-FD9B-4A69-952F-3CD5F70038EF}" name="Notes"/>
    <tableColumn id="50" xr3:uid="{9CD9617D-EAB7-4438-980F-EE64B74254B7}" name="VEHICLE" dataDxfId="52"/>
    <tableColumn id="51" xr3:uid="{3F2DD14E-E4E0-48BD-AAFC-5C72983BF6E9}" name="Suspect" dataDxfId="51"/>
    <tableColumn id="52" xr3:uid="{F63BDAC3-68F7-4E8C-8C72-8298FD2096C2}" name="TOTAL_STOLEN_AMOUNT" dataDxfId="50"/>
    <tableColumn id="53" xr3:uid="{D7C6EC5E-2C28-409D-BBB5-BF00DE5841CE}" name="REPORT_CYCLE" dataDxfId="49"/>
    <tableColumn id="48" xr3:uid="{956E24E5-8802-4C79-8C12-49C651855486}" name="TIME_OF_DAY" dataDxfId="48"/>
  </tableColumns>
  <tableStyleInfo name="TableStyleLight19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D7BFB5-DE87-453F-B008-96471774DBC6}" name="_7Day_28Day_250414___2" displayName="_7Day_28Day_250414___2" ref="A1:G53" totalsRowShown="0">
  <autoFilter ref="A1:G53" xr:uid="{C3D7BFB5-DE87-453F-B008-96471774DBC6}"/>
  <tableColumns count="7">
    <tableColumn id="1" xr3:uid="{718B9033-645F-4266-9860-38B3FB024295}" name="Report_Due_Date" dataDxfId="47"/>
    <tableColumn id="2" xr3:uid="{98C5A2A6-E059-4AE5-B823-AB869D699EEA}" name="7_Day_Start" dataDxfId="46"/>
    <tableColumn id="3" xr3:uid="{F7298E0B-BF8D-4557-879F-7FF7C9A82CA0}" name="7_Day_End" dataDxfId="45"/>
    <tableColumn id="4" xr3:uid="{31C984E2-8588-4006-8DB0-C106BC1436C5}" name="28_Day_Start" dataDxfId="44"/>
    <tableColumn id="5" xr3:uid="{056A364F-B3DB-415C-A46D-4F5FCBC5B32B}" name="28_Day_End" dataDxfId="43"/>
    <tableColumn id="6" xr3:uid="{BC69DFC2-EB2B-43B8-B52F-070228AA9EB3}" name="Report_Name" dataDxfId="42"/>
    <tableColumn id="7" xr3:uid="{B2AE0C58-411A-4344-8B07-E9FEB8FC8489}" name="Is_Due"/>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pivotTable" Target="../pivotTables/pivotTable7.xml"/><Relationship Id="rId1" Type="http://schemas.openxmlformats.org/officeDocument/2006/relationships/pivotTable" Target="../pivotTables/pivotTable6.xml"/><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278986-90B3-41AE-81F6-B4CB0C2C0B55}">
  <sheetPr codeName="Sheet2">
    <tabColor rgb="FF00B050"/>
  </sheetPr>
  <dimension ref="A1:AB38"/>
  <sheetViews>
    <sheetView workbookViewId="0">
      <selection activeCell="J2" sqref="J2:K15"/>
    </sheetView>
  </sheetViews>
  <sheetFormatPr defaultRowHeight="15" x14ac:dyDescent="0.25"/>
  <cols>
    <col min="1" max="1" width="29.140625" bestFit="1" customWidth="1"/>
    <col min="2" max="2" width="10.5703125" bestFit="1" customWidth="1"/>
    <col min="3" max="3" width="6.7109375" bestFit="1" customWidth="1"/>
    <col min="4" max="4" width="5.85546875" bestFit="1" customWidth="1"/>
    <col min="5" max="5" width="7" bestFit="1" customWidth="1"/>
    <col min="6" max="6" width="6.85546875" bestFit="1" customWidth="1"/>
    <col min="7" max="7" width="5.28515625" bestFit="1" customWidth="1"/>
    <col min="8" max="9" width="7.7109375" customWidth="1"/>
    <col min="10" max="10" width="35.5703125" bestFit="1" customWidth="1"/>
    <col min="11" max="11" width="24" bestFit="1" customWidth="1"/>
    <col min="12" max="12" width="15.140625" style="15" bestFit="1" customWidth="1"/>
    <col min="13" max="13" width="21.85546875" style="15" bestFit="1" customWidth="1"/>
    <col min="14" max="14" width="30.28515625" style="15" bestFit="1" customWidth="1"/>
    <col min="15" max="15" width="15.28515625" style="67" bestFit="1" customWidth="1"/>
    <col min="16" max="16" width="14.140625" style="15" bestFit="1" customWidth="1"/>
    <col min="17" max="17" width="33.28515625" style="15" bestFit="1" customWidth="1"/>
    <col min="18" max="18" width="31.5703125" style="15" bestFit="1" customWidth="1"/>
    <col min="19" max="19" width="22.28515625" style="15" bestFit="1" customWidth="1"/>
    <col min="20" max="20" width="15" bestFit="1" customWidth="1"/>
    <col min="21" max="21" width="21.7109375" bestFit="1" customWidth="1"/>
    <col min="22" max="22" width="22.7109375" bestFit="1" customWidth="1"/>
    <col min="23" max="23" width="31.42578125" bestFit="1" customWidth="1"/>
    <col min="24" max="24" width="18.85546875" bestFit="1" customWidth="1"/>
    <col min="25" max="25" width="26.7109375" bestFit="1" customWidth="1"/>
    <col min="26" max="26" width="19.7109375" bestFit="1" customWidth="1"/>
    <col min="27" max="27" width="22.140625" bestFit="1" customWidth="1"/>
    <col min="28" max="28" width="109" style="15" customWidth="1"/>
    <col min="44" max="44" width="25.140625" bestFit="1" customWidth="1"/>
    <col min="45" max="45" width="15.140625" bestFit="1" customWidth="1"/>
    <col min="46" max="46" width="15.5703125" bestFit="1" customWidth="1"/>
    <col min="47" max="47" width="24.5703125" bestFit="1" customWidth="1"/>
    <col min="48" max="48" width="24.85546875" bestFit="1" customWidth="1"/>
    <col min="49" max="49" width="13.85546875" bestFit="1" customWidth="1"/>
    <col min="50" max="50" width="14.140625" bestFit="1" customWidth="1"/>
    <col min="51" max="51" width="7.28515625" bestFit="1" customWidth="1"/>
    <col min="52" max="52" width="15.42578125" bestFit="1" customWidth="1"/>
    <col min="53" max="53" width="17.42578125" bestFit="1" customWidth="1"/>
    <col min="54" max="54" width="6.5703125" bestFit="1" customWidth="1"/>
    <col min="55" max="55" width="13.28515625" bestFit="1" customWidth="1"/>
    <col min="56" max="56" width="22.7109375" bestFit="1" customWidth="1"/>
    <col min="57" max="57" width="6" bestFit="1" customWidth="1"/>
  </cols>
  <sheetData>
    <row r="1" spans="1:28" ht="19.5" thickBot="1" x14ac:dyDescent="0.35">
      <c r="A1" s="76" t="s">
        <v>1</v>
      </c>
      <c r="B1" s="77" t="s">
        <v>108</v>
      </c>
      <c r="C1" s="4"/>
      <c r="D1" s="4"/>
      <c r="E1" s="4"/>
      <c r="F1" s="4"/>
      <c r="L1"/>
      <c r="M1"/>
      <c r="N1" s="8" t="s">
        <v>480</v>
      </c>
      <c r="O1" s="13" t="s">
        <v>35</v>
      </c>
      <c r="P1" s="8" t="s">
        <v>468</v>
      </c>
      <c r="Q1" s="8" t="s">
        <v>469</v>
      </c>
      <c r="R1" s="8" t="s">
        <v>470</v>
      </c>
      <c r="S1" s="8" t="s">
        <v>471</v>
      </c>
      <c r="T1" s="8" t="s">
        <v>472</v>
      </c>
      <c r="U1" s="8" t="s">
        <v>473</v>
      </c>
      <c r="V1" s="8" t="s">
        <v>474</v>
      </c>
      <c r="W1" s="8" t="s">
        <v>475</v>
      </c>
      <c r="X1" s="8" t="s">
        <v>476</v>
      </c>
      <c r="Y1" s="8" t="s">
        <v>477</v>
      </c>
      <c r="Z1" s="8" t="s">
        <v>478</v>
      </c>
      <c r="AA1" s="8" t="s">
        <v>479</v>
      </c>
      <c r="AB1" s="20" t="s">
        <v>329</v>
      </c>
    </row>
    <row r="2" spans="1:28" ht="18.75" x14ac:dyDescent="0.3">
      <c r="A2" s="76" t="s">
        <v>10</v>
      </c>
      <c r="B2" s="77" t="s">
        <v>108</v>
      </c>
      <c r="C2" s="4"/>
      <c r="D2" s="4"/>
      <c r="E2" s="4"/>
      <c r="F2" s="4"/>
      <c r="J2" s="32" t="s">
        <v>480</v>
      </c>
      <c r="K2" s="45" t="s">
        <v>56</v>
      </c>
      <c r="L2"/>
      <c r="M2"/>
      <c r="N2" s="64"/>
      <c r="O2" s="66"/>
      <c r="P2" s="65"/>
      <c r="Q2" s="65"/>
      <c r="R2" s="24"/>
      <c r="S2" s="24"/>
      <c r="T2" s="24"/>
      <c r="U2" s="24"/>
      <c r="V2" s="24"/>
      <c r="W2" s="24"/>
      <c r="X2" s="24"/>
      <c r="Y2" s="24"/>
      <c r="Z2" s="24"/>
      <c r="AA2" s="24"/>
      <c r="AB2" s="29"/>
    </row>
    <row r="3" spans="1:28" ht="18.75" x14ac:dyDescent="0.3">
      <c r="A3" s="4"/>
      <c r="B3" s="4"/>
      <c r="C3" s="4"/>
      <c r="D3" s="4"/>
      <c r="E3" s="4"/>
      <c r="F3" s="4"/>
      <c r="H3" s="4"/>
      <c r="I3" s="4"/>
      <c r="J3" s="33" t="s">
        <v>35</v>
      </c>
      <c r="K3" s="46">
        <v>45748</v>
      </c>
    </row>
    <row r="4" spans="1:28" s="19" customFormat="1" ht="18.75" x14ac:dyDescent="0.3">
      <c r="A4" s="80" t="s">
        <v>109</v>
      </c>
      <c r="B4" s="80" t="s">
        <v>5</v>
      </c>
      <c r="C4" s="81"/>
      <c r="D4" s="81"/>
      <c r="E4" s="81"/>
      <c r="F4" s="81"/>
      <c r="G4" s="81"/>
      <c r="H4"/>
      <c r="I4"/>
      <c r="J4" s="34" t="s">
        <v>468</v>
      </c>
      <c r="K4" s="47" t="s">
        <v>322</v>
      </c>
      <c r="O4" s="68"/>
      <c r="AB4" s="70"/>
    </row>
    <row r="5" spans="1:28" ht="18.75" x14ac:dyDescent="0.3">
      <c r="A5" s="75" t="s">
        <v>320</v>
      </c>
      <c r="B5" s="78" t="s">
        <v>328</v>
      </c>
      <c r="C5" s="78" t="s">
        <v>321</v>
      </c>
      <c r="D5" s="78" t="s">
        <v>322</v>
      </c>
      <c r="E5" s="78" t="s">
        <v>323</v>
      </c>
      <c r="F5" s="78" t="s">
        <v>383</v>
      </c>
      <c r="G5" s="78" t="s">
        <v>325</v>
      </c>
      <c r="J5" s="34" t="s">
        <v>469</v>
      </c>
      <c r="K5" s="48" t="s">
        <v>94</v>
      </c>
      <c r="M5"/>
      <c r="N5" t="s">
        <v>480</v>
      </c>
      <c r="O5" s="69" t="s">
        <v>35</v>
      </c>
      <c r="P5" t="s">
        <v>468</v>
      </c>
      <c r="Q5" t="s">
        <v>469</v>
      </c>
      <c r="R5" t="s">
        <v>470</v>
      </c>
      <c r="S5" t="s">
        <v>471</v>
      </c>
      <c r="T5" t="s">
        <v>472</v>
      </c>
      <c r="U5" t="s">
        <v>473</v>
      </c>
      <c r="V5" t="s">
        <v>474</v>
      </c>
      <c r="W5" t="s">
        <v>475</v>
      </c>
      <c r="X5" t="s">
        <v>476</v>
      </c>
      <c r="Y5" t="s">
        <v>477</v>
      </c>
      <c r="Z5" t="s">
        <v>478</v>
      </c>
      <c r="AA5" t="s">
        <v>479</v>
      </c>
      <c r="AB5" s="15" t="s">
        <v>329</v>
      </c>
    </row>
    <row r="6" spans="1:28" ht="18.75" x14ac:dyDescent="0.3">
      <c r="A6" s="74" t="s">
        <v>71</v>
      </c>
      <c r="B6" s="82"/>
      <c r="C6" s="82">
        <v>1</v>
      </c>
      <c r="D6" s="82">
        <v>1</v>
      </c>
      <c r="E6" s="82"/>
      <c r="F6" s="82"/>
      <c r="G6" s="82"/>
      <c r="J6" s="33" t="s">
        <v>470</v>
      </c>
      <c r="K6" s="46" t="s">
        <v>512</v>
      </c>
      <c r="M6"/>
      <c r="N6"/>
      <c r="O6" s="69"/>
      <c r="P6"/>
      <c r="Q6"/>
      <c r="R6"/>
      <c r="S6"/>
    </row>
    <row r="7" spans="1:28" ht="18.75" x14ac:dyDescent="0.3">
      <c r="A7" s="74" t="s">
        <v>83</v>
      </c>
      <c r="B7" s="82">
        <v>1</v>
      </c>
      <c r="C7" s="82">
        <v>1</v>
      </c>
      <c r="D7" s="82"/>
      <c r="E7" s="82"/>
      <c r="F7" s="82">
        <v>1</v>
      </c>
      <c r="G7" s="82">
        <v>1</v>
      </c>
      <c r="J7" s="34" t="s">
        <v>471</v>
      </c>
      <c r="K7" s="48" t="s">
        <v>513</v>
      </c>
      <c r="M7"/>
      <c r="N7"/>
      <c r="O7" s="69"/>
      <c r="P7"/>
      <c r="Q7"/>
      <c r="R7"/>
      <c r="S7"/>
    </row>
    <row r="8" spans="1:28" ht="18.75" x14ac:dyDescent="0.3">
      <c r="A8" s="74" t="s">
        <v>235</v>
      </c>
      <c r="B8" s="82">
        <v>1</v>
      </c>
      <c r="C8" s="82"/>
      <c r="D8" s="82"/>
      <c r="E8" s="82"/>
      <c r="F8" s="82"/>
      <c r="G8" s="82"/>
      <c r="J8" s="33" t="s">
        <v>472</v>
      </c>
      <c r="K8" s="46"/>
      <c r="M8"/>
      <c r="N8"/>
      <c r="O8" s="69"/>
      <c r="P8"/>
      <c r="Q8"/>
      <c r="R8"/>
      <c r="S8"/>
    </row>
    <row r="9" spans="1:28" ht="18.75" x14ac:dyDescent="0.3">
      <c r="A9" s="74" t="s">
        <v>94</v>
      </c>
      <c r="B9" s="82">
        <v>1</v>
      </c>
      <c r="C9" s="82">
        <v>1</v>
      </c>
      <c r="D9" s="82">
        <v>1</v>
      </c>
      <c r="E9" s="82">
        <v>1</v>
      </c>
      <c r="F9" s="82">
        <v>1</v>
      </c>
      <c r="G9" s="82"/>
      <c r="J9" s="33" t="s">
        <v>474</v>
      </c>
      <c r="K9" s="46" t="s">
        <v>404</v>
      </c>
      <c r="M9"/>
      <c r="N9"/>
      <c r="O9" s="69"/>
      <c r="P9"/>
      <c r="Q9"/>
      <c r="R9"/>
      <c r="S9"/>
    </row>
    <row r="10" spans="1:28" ht="18.75" x14ac:dyDescent="0.25">
      <c r="J10" s="35" t="s">
        <v>475</v>
      </c>
      <c r="K10" s="49" t="s">
        <v>404</v>
      </c>
      <c r="R10"/>
    </row>
    <row r="11" spans="1:28" ht="18.75" x14ac:dyDescent="0.3">
      <c r="J11" s="33" t="s">
        <v>476</v>
      </c>
      <c r="K11" s="46" t="s">
        <v>514</v>
      </c>
      <c r="R11"/>
    </row>
    <row r="12" spans="1:28" ht="18.75" x14ac:dyDescent="0.3">
      <c r="J12" s="34" t="s">
        <v>477</v>
      </c>
      <c r="K12" s="48" t="s">
        <v>367</v>
      </c>
      <c r="R12"/>
    </row>
    <row r="13" spans="1:28" ht="18.75" x14ac:dyDescent="0.3">
      <c r="J13" s="33" t="s">
        <v>478</v>
      </c>
      <c r="K13" s="50" t="s">
        <v>486</v>
      </c>
      <c r="R13"/>
    </row>
    <row r="14" spans="1:28" ht="18.75" x14ac:dyDescent="0.3">
      <c r="J14" s="51" t="s">
        <v>479</v>
      </c>
      <c r="K14" s="52" t="s">
        <v>484</v>
      </c>
      <c r="R14"/>
    </row>
    <row r="15" spans="1:28" ht="19.5" thickBot="1" x14ac:dyDescent="0.35">
      <c r="J15" s="53" t="s">
        <v>329</v>
      </c>
      <c r="K15" s="54"/>
      <c r="R15"/>
    </row>
    <row r="16" spans="1:28" ht="24" x14ac:dyDescent="0.4">
      <c r="A16" s="104" t="s">
        <v>326</v>
      </c>
      <c r="B16" s="104"/>
      <c r="C16" s="104"/>
      <c r="D16" s="104"/>
      <c r="E16" s="104"/>
      <c r="F16" s="104"/>
      <c r="G16" s="104"/>
      <c r="H16" s="7"/>
      <c r="R16"/>
    </row>
    <row r="17" spans="1:7" ht="18.75" x14ac:dyDescent="0.3">
      <c r="A17" s="57" t="str" cm="1">
        <f t="array" ref="A17:G21">A5:G9</f>
        <v>Time of Day</v>
      </c>
      <c r="B17" s="58" t="str">
        <v>Sun</v>
      </c>
      <c r="C17" s="58" t="str">
        <v>Mon</v>
      </c>
      <c r="D17" s="58" t="str">
        <v>Tue</v>
      </c>
      <c r="E17" s="58" t="str">
        <v>Wed</v>
      </c>
      <c r="F17" s="58" t="str">
        <v>Thur</v>
      </c>
      <c r="G17" s="57" t="str">
        <v>Sat</v>
      </c>
    </row>
    <row r="18" spans="1:7" ht="15.75" x14ac:dyDescent="0.25">
      <c r="A18" s="59" t="str">
        <v>Afternoon (12:00-15:59)</v>
      </c>
      <c r="B18" s="60">
        <v>0</v>
      </c>
      <c r="C18" s="60">
        <v>1</v>
      </c>
      <c r="D18" s="60">
        <v>1</v>
      </c>
      <c r="E18" s="61">
        <v>0</v>
      </c>
      <c r="F18" s="60">
        <v>0</v>
      </c>
      <c r="G18" s="60">
        <v>0</v>
      </c>
    </row>
    <row r="19" spans="1:7" ht="15.75" x14ac:dyDescent="0.25">
      <c r="A19" s="18" t="str">
        <v>Evening Peak (16:00-19:59)</v>
      </c>
      <c r="B19" s="17">
        <v>1</v>
      </c>
      <c r="C19" s="17">
        <v>1</v>
      </c>
      <c r="D19" s="17">
        <v>0</v>
      </c>
      <c r="E19">
        <v>0</v>
      </c>
      <c r="F19" s="17">
        <v>1</v>
      </c>
      <c r="G19" s="17">
        <v>1</v>
      </c>
    </row>
    <row r="20" spans="1:7" ht="15.75" x14ac:dyDescent="0.25">
      <c r="A20" s="59" t="str">
        <v>Morning (04:00-07:59)</v>
      </c>
      <c r="B20" s="60">
        <v>1</v>
      </c>
      <c r="C20" s="60">
        <v>0</v>
      </c>
      <c r="D20" s="60">
        <v>0</v>
      </c>
      <c r="E20" s="61">
        <v>0</v>
      </c>
      <c r="F20" s="60">
        <v>0</v>
      </c>
      <c r="G20" s="60">
        <v>0</v>
      </c>
    </row>
    <row r="21" spans="1:7" ht="15.75" x14ac:dyDescent="0.25">
      <c r="A21" s="62" t="str">
        <v>Night (20:00-23:59)</v>
      </c>
      <c r="B21" s="63">
        <v>1</v>
      </c>
      <c r="C21" s="63">
        <v>1</v>
      </c>
      <c r="D21" s="63">
        <v>1</v>
      </c>
      <c r="E21" s="56">
        <v>1</v>
      </c>
      <c r="F21" s="63">
        <v>1</v>
      </c>
      <c r="G21" s="63">
        <v>0</v>
      </c>
    </row>
    <row r="24" spans="1:7" ht="30" x14ac:dyDescent="0.25">
      <c r="A24" s="76" t="s">
        <v>1</v>
      </c>
      <c r="B24" s="79" t="s">
        <v>172</v>
      </c>
      <c r="C24" s="4"/>
      <c r="D24" s="4"/>
      <c r="E24" s="4"/>
      <c r="F24" s="4"/>
    </row>
    <row r="25" spans="1:7" x14ac:dyDescent="0.25">
      <c r="A25" s="76" t="s">
        <v>10</v>
      </c>
      <c r="B25" s="77" t="s">
        <v>108</v>
      </c>
      <c r="C25" s="4"/>
      <c r="D25" s="4"/>
      <c r="E25" s="4"/>
      <c r="F25" s="4"/>
    </row>
    <row r="26" spans="1:7" x14ac:dyDescent="0.25">
      <c r="A26" s="4"/>
      <c r="B26" s="4"/>
      <c r="C26" s="4"/>
      <c r="D26" s="4"/>
      <c r="E26" s="4"/>
      <c r="F26" s="4"/>
    </row>
    <row r="27" spans="1:7" x14ac:dyDescent="0.25">
      <c r="A27" s="80" t="s">
        <v>109</v>
      </c>
      <c r="B27" s="80" t="s">
        <v>5</v>
      </c>
      <c r="C27" s="81"/>
      <c r="D27" s="81"/>
      <c r="E27" s="81"/>
    </row>
    <row r="28" spans="1:7" ht="18.75" x14ac:dyDescent="0.3">
      <c r="A28" s="75" t="s">
        <v>320</v>
      </c>
      <c r="B28" s="78" t="s">
        <v>328</v>
      </c>
      <c r="C28" s="78" t="s">
        <v>321</v>
      </c>
      <c r="D28" s="78" t="s">
        <v>322</v>
      </c>
      <c r="E28" s="78" t="s">
        <v>323</v>
      </c>
    </row>
    <row r="29" spans="1:7" ht="15.75" x14ac:dyDescent="0.25">
      <c r="A29" s="74" t="s">
        <v>83</v>
      </c>
      <c r="B29" s="82"/>
      <c r="C29" s="82">
        <v>1</v>
      </c>
      <c r="D29" s="82"/>
      <c r="E29" s="82"/>
    </row>
    <row r="30" spans="1:7" ht="15.75" x14ac:dyDescent="0.25">
      <c r="A30" s="74" t="s">
        <v>235</v>
      </c>
      <c r="B30" s="82">
        <v>1</v>
      </c>
      <c r="C30" s="82"/>
      <c r="D30" s="82"/>
      <c r="E30" s="82"/>
    </row>
    <row r="31" spans="1:7" ht="15.75" x14ac:dyDescent="0.25">
      <c r="A31" s="74" t="s">
        <v>94</v>
      </c>
      <c r="B31" s="82"/>
      <c r="C31" s="82">
        <v>1</v>
      </c>
      <c r="D31" s="82">
        <v>1</v>
      </c>
      <c r="E31" s="82">
        <v>1</v>
      </c>
    </row>
    <row r="34" spans="1:5" ht="24" x14ac:dyDescent="0.4">
      <c r="A34" s="104" t="s">
        <v>327</v>
      </c>
      <c r="B34" s="104"/>
      <c r="C34" s="104"/>
      <c r="D34" s="104"/>
      <c r="E34" s="104"/>
    </row>
    <row r="35" spans="1:5" ht="18.75" x14ac:dyDescent="0.3">
      <c r="A35" s="57" t="str" cm="1">
        <f t="array" ref="A35:E38">A28:E31</f>
        <v>Time of Day</v>
      </c>
      <c r="B35" s="58" t="str">
        <v>Sun</v>
      </c>
      <c r="C35" s="58" t="str">
        <v>Mon</v>
      </c>
      <c r="D35" s="58" t="str">
        <v>Tue</v>
      </c>
      <c r="E35" s="58" t="str">
        <v>Wed</v>
      </c>
    </row>
    <row r="36" spans="1:5" ht="15.75" x14ac:dyDescent="0.25">
      <c r="A36" s="59" t="str">
        <v>Evening Peak (16:00-19:59)</v>
      </c>
      <c r="B36" s="60">
        <v>0</v>
      </c>
      <c r="C36" s="60">
        <v>1</v>
      </c>
      <c r="D36" s="60">
        <v>0</v>
      </c>
      <c r="E36" s="61">
        <v>0</v>
      </c>
    </row>
    <row r="37" spans="1:5" ht="15.75" x14ac:dyDescent="0.25">
      <c r="A37" s="18" t="str">
        <v>Morning (04:00-07:59)</v>
      </c>
      <c r="B37" s="17">
        <v>1</v>
      </c>
      <c r="C37" s="17">
        <v>0</v>
      </c>
      <c r="D37" s="17">
        <v>0</v>
      </c>
      <c r="E37">
        <v>0</v>
      </c>
    </row>
    <row r="38" spans="1:5" ht="15.75" x14ac:dyDescent="0.25">
      <c r="A38" s="59" t="str">
        <v>Night (20:00-23:59)</v>
      </c>
      <c r="B38" s="60">
        <v>0</v>
      </c>
      <c r="C38" s="60">
        <v>1</v>
      </c>
      <c r="D38" s="60">
        <v>1</v>
      </c>
      <c r="E38" s="61">
        <v>1</v>
      </c>
    </row>
  </sheetData>
  <mergeCells count="2">
    <mergeCell ref="A16:G16"/>
    <mergeCell ref="A34:E34"/>
  </mergeCells>
  <phoneticPr fontId="10" type="noConversion"/>
  <pageMargins left="0.7" right="0.7" top="0.75" bottom="0.75" header="0.3" footer="0.3"/>
  <pageSetup orientation="portrait" r:id="rId3"/>
  <tableParts count="1">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4140C-FEB8-4477-983A-0A15AE75688F}">
  <sheetPr codeName="Sheet14"/>
  <dimension ref="A1:H7"/>
  <sheetViews>
    <sheetView workbookViewId="0">
      <selection sqref="A1:M7"/>
    </sheetView>
  </sheetViews>
  <sheetFormatPr defaultRowHeight="15" x14ac:dyDescent="0.25"/>
  <cols>
    <col min="1" max="1" width="8.85546875" bestFit="1" customWidth="1"/>
    <col min="2" max="2" width="18.5703125" bestFit="1" customWidth="1"/>
    <col min="3" max="3" width="14.42578125" bestFit="1" customWidth="1"/>
    <col min="4" max="4" width="13.85546875" bestFit="1" customWidth="1"/>
    <col min="5" max="5" width="23.28515625" bestFit="1" customWidth="1"/>
    <col min="6" max="8" width="80.85546875" bestFit="1" customWidth="1"/>
    <col min="9" max="9" width="14.7109375" bestFit="1" customWidth="1"/>
    <col min="10" max="10" width="13.28515625" bestFit="1" customWidth="1"/>
    <col min="11" max="11" width="17.85546875" bestFit="1" customWidth="1"/>
    <col min="12" max="12" width="80.85546875" bestFit="1" customWidth="1"/>
    <col min="13" max="13" width="25.7109375" bestFit="1" customWidth="1"/>
    <col min="14" max="14" width="80.85546875" bestFit="1" customWidth="1"/>
  </cols>
  <sheetData>
    <row r="1" spans="1:8" x14ac:dyDescent="0.25">
      <c r="A1" t="s">
        <v>593</v>
      </c>
      <c r="B1" t="s">
        <v>592</v>
      </c>
      <c r="C1" t="s">
        <v>35</v>
      </c>
      <c r="D1" t="s">
        <v>468</v>
      </c>
      <c r="E1" t="s">
        <v>320</v>
      </c>
      <c r="F1" t="s">
        <v>49</v>
      </c>
      <c r="G1" t="s">
        <v>569</v>
      </c>
      <c r="H1" t="s">
        <v>329</v>
      </c>
    </row>
    <row r="2" spans="1:8" x14ac:dyDescent="0.25">
      <c r="A2">
        <v>0</v>
      </c>
      <c r="B2" t="s">
        <v>346</v>
      </c>
      <c r="C2" s="1">
        <v>45743</v>
      </c>
      <c r="D2" t="s">
        <v>383</v>
      </c>
      <c r="E2" t="s">
        <v>94</v>
      </c>
      <c r="F2" t="s">
        <v>57</v>
      </c>
      <c r="G2" t="s">
        <v>412</v>
      </c>
      <c r="H2" t="s">
        <v>410</v>
      </c>
    </row>
    <row r="3" spans="1:8" x14ac:dyDescent="0.25">
      <c r="A3">
        <v>1</v>
      </c>
      <c r="B3" t="s">
        <v>377</v>
      </c>
      <c r="C3" s="1">
        <v>45743</v>
      </c>
      <c r="D3" t="s">
        <v>383</v>
      </c>
      <c r="E3" t="s">
        <v>94</v>
      </c>
      <c r="F3" t="s">
        <v>419</v>
      </c>
      <c r="G3" t="s">
        <v>420</v>
      </c>
      <c r="H3" t="s">
        <v>417</v>
      </c>
    </row>
    <row r="4" spans="1:8" x14ac:dyDescent="0.25">
      <c r="A4">
        <v>2</v>
      </c>
      <c r="B4" t="s">
        <v>204</v>
      </c>
      <c r="C4" s="1">
        <v>45747</v>
      </c>
      <c r="D4" t="s">
        <v>321</v>
      </c>
      <c r="E4" t="s">
        <v>71</v>
      </c>
      <c r="F4" t="s">
        <v>427</v>
      </c>
      <c r="G4" t="s">
        <v>428</v>
      </c>
      <c r="H4" t="s">
        <v>425</v>
      </c>
    </row>
    <row r="5" spans="1:8" x14ac:dyDescent="0.25">
      <c r="A5">
        <v>3</v>
      </c>
      <c r="B5" t="s">
        <v>431</v>
      </c>
      <c r="C5" s="1">
        <v>45748</v>
      </c>
      <c r="D5" t="s">
        <v>322</v>
      </c>
      <c r="E5" t="s">
        <v>71</v>
      </c>
      <c r="F5" t="s">
        <v>57</v>
      </c>
      <c r="G5" t="s">
        <v>57</v>
      </c>
      <c r="H5" t="s">
        <v>434</v>
      </c>
    </row>
    <row r="6" spans="1:8" x14ac:dyDescent="0.25">
      <c r="A6">
        <v>4</v>
      </c>
      <c r="B6" t="s">
        <v>228</v>
      </c>
      <c r="C6" s="1">
        <v>45755</v>
      </c>
      <c r="D6" t="s">
        <v>322</v>
      </c>
      <c r="E6" t="s">
        <v>71</v>
      </c>
      <c r="F6" t="s">
        <v>57</v>
      </c>
      <c r="G6" t="s">
        <v>573</v>
      </c>
      <c r="H6" t="s">
        <v>572</v>
      </c>
    </row>
    <row r="7" spans="1:8" x14ac:dyDescent="0.25">
      <c r="A7">
        <v>5</v>
      </c>
      <c r="B7" t="s">
        <v>56</v>
      </c>
      <c r="C7" s="1">
        <v>45760</v>
      </c>
      <c r="D7" t="s">
        <v>328</v>
      </c>
      <c r="E7" t="s">
        <v>83</v>
      </c>
      <c r="F7" t="s">
        <v>57</v>
      </c>
      <c r="G7" t="s">
        <v>584</v>
      </c>
      <c r="H7" t="s">
        <v>583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1F61B-093C-46D4-8AAA-1AAEF686C371}">
  <sheetPr codeName="Sheet36">
    <tabColor rgb="FFFFC000"/>
  </sheetPr>
  <dimension ref="A1:AW100"/>
  <sheetViews>
    <sheetView topLeftCell="A75" workbookViewId="0">
      <selection activeCell="C86" sqref="C86"/>
    </sheetView>
  </sheetViews>
  <sheetFormatPr defaultColWidth="9.140625" defaultRowHeight="15.75" x14ac:dyDescent="0.25"/>
  <cols>
    <col min="1" max="1" width="17.85546875" style="17" bestFit="1" customWidth="1"/>
    <col min="2" max="2" width="17.28515625" style="94" bestFit="1" customWidth="1"/>
    <col min="3" max="3" width="17.7109375" style="95" bestFit="1" customWidth="1"/>
    <col min="4" max="4" width="37.140625" style="17" bestFit="1" customWidth="1"/>
    <col min="5" max="5" width="41.7109375" style="17" bestFit="1" customWidth="1"/>
    <col min="6" max="6" width="35.28515625" style="17" bestFit="1" customWidth="1"/>
    <col min="7" max="7" width="82" style="17" bestFit="1" customWidth="1"/>
    <col min="8" max="8" width="7.85546875" style="17" bestFit="1" customWidth="1"/>
    <col min="9" max="9" width="8.7109375" style="17" bestFit="1" customWidth="1"/>
    <col min="10" max="10" width="255.7109375" style="17" bestFit="1" customWidth="1"/>
    <col min="11" max="11" width="22.85546875" style="17" bestFit="1" customWidth="1"/>
    <col min="12" max="12" width="24.7109375" style="17" bestFit="1" customWidth="1"/>
    <col min="13" max="13" width="18" style="17" bestFit="1" customWidth="1"/>
    <col min="14" max="14" width="13.85546875" style="17" bestFit="1" customWidth="1"/>
    <col min="15" max="15" width="14.140625" style="17" bestFit="1" customWidth="1"/>
    <col min="16" max="16" width="15.28515625" style="17" bestFit="1" customWidth="1"/>
    <col min="17" max="17" width="18" style="17" bestFit="1" customWidth="1"/>
    <col min="18" max="18" width="15.28515625" style="17" bestFit="1" customWidth="1"/>
    <col min="19" max="19" width="12.85546875" style="17" bestFit="1" customWidth="1"/>
    <col min="20" max="20" width="11.28515625" style="17" bestFit="1" customWidth="1"/>
    <col min="21" max="21" width="17" style="17" bestFit="1" customWidth="1"/>
    <col min="22" max="22" width="34.28515625" style="17" bestFit="1" customWidth="1"/>
    <col min="23" max="23" width="10.28515625" style="17" bestFit="1" customWidth="1"/>
    <col min="24" max="24" width="31.85546875" style="94" bestFit="1" customWidth="1"/>
    <col min="25" max="25" width="39.42578125" style="95" bestFit="1" customWidth="1"/>
    <col min="26" max="26" width="51.85546875" style="95" bestFit="1" customWidth="1"/>
    <col min="27" max="28" width="11.85546875" style="17" bestFit="1" customWidth="1"/>
    <col min="29" max="29" width="16.5703125" style="17" bestFit="1" customWidth="1"/>
    <col min="30" max="30" width="30" style="95" bestFit="1" customWidth="1"/>
    <col min="31" max="31" width="106" style="94" bestFit="1" customWidth="1"/>
    <col min="32" max="32" width="10.85546875" style="17" bestFit="1" customWidth="1"/>
    <col min="33" max="33" width="13.5703125" style="17" bestFit="1" customWidth="1"/>
    <col min="34" max="34" width="14" style="17" bestFit="1" customWidth="1"/>
    <col min="35" max="35" width="30" style="17" bestFit="1" customWidth="1"/>
    <col min="36" max="36" width="14.28515625" style="17" bestFit="1" customWidth="1"/>
    <col min="37" max="37" width="17" style="17" bestFit="1" customWidth="1"/>
    <col min="38" max="38" width="8.28515625" style="17" bestFit="1" customWidth="1"/>
    <col min="39" max="39" width="17.28515625" style="17" bestFit="1" customWidth="1"/>
    <col min="40" max="40" width="7.5703125" style="17" bestFit="1" customWidth="1"/>
    <col min="41" max="41" width="53.42578125" style="17" bestFit="1" customWidth="1"/>
    <col min="42" max="42" width="31.85546875" style="17" bestFit="1" customWidth="1"/>
    <col min="43" max="43" width="9.28515625" style="17" bestFit="1" customWidth="1"/>
    <col min="44" max="44" width="11.85546875" style="17" bestFit="1" customWidth="1"/>
    <col min="45" max="45" width="12" style="17" bestFit="1" customWidth="1"/>
    <col min="46" max="46" width="30" style="17" bestFit="1" customWidth="1"/>
    <col min="47" max="47" width="19.140625" style="17" bestFit="1" customWidth="1"/>
    <col min="48" max="48" width="5.28515625" style="17" bestFit="1" customWidth="1"/>
    <col min="49" max="49" width="13.42578125" style="17" bestFit="1" customWidth="1"/>
    <col min="50" max="51" width="11.28515625" style="17" bestFit="1" customWidth="1"/>
    <col min="52" max="52" width="48.5703125" style="17" bestFit="1" customWidth="1"/>
    <col min="53" max="54" width="19" style="17" bestFit="1" customWidth="1"/>
    <col min="55" max="16384" width="9.140625" style="17"/>
  </cols>
  <sheetData>
    <row r="1" spans="1:49" x14ac:dyDescent="0.25">
      <c r="A1" s="17" t="s">
        <v>0</v>
      </c>
      <c r="B1" s="94" t="s">
        <v>643</v>
      </c>
      <c r="C1" s="95" t="s">
        <v>36</v>
      </c>
      <c r="D1" s="17" t="s">
        <v>9</v>
      </c>
      <c r="E1" s="17" t="s">
        <v>11</v>
      </c>
      <c r="F1" s="17" t="s">
        <v>12</v>
      </c>
      <c r="G1" s="17" t="s">
        <v>13</v>
      </c>
      <c r="H1" s="17" t="s">
        <v>14</v>
      </c>
      <c r="I1" s="17" t="s">
        <v>15</v>
      </c>
      <c r="J1" s="17" t="s">
        <v>16</v>
      </c>
      <c r="K1" s="17" t="s">
        <v>17</v>
      </c>
      <c r="L1" s="17" t="s">
        <v>18</v>
      </c>
      <c r="M1" s="17" t="s">
        <v>19</v>
      </c>
      <c r="N1" s="17" t="s">
        <v>20</v>
      </c>
      <c r="O1" s="17" t="s">
        <v>21</v>
      </c>
      <c r="P1" s="17" t="s">
        <v>22</v>
      </c>
      <c r="Q1" s="17" t="s">
        <v>23</v>
      </c>
      <c r="R1" s="17" t="s">
        <v>24</v>
      </c>
      <c r="S1" s="17" t="s">
        <v>25</v>
      </c>
      <c r="T1" s="17" t="s">
        <v>26</v>
      </c>
      <c r="U1" s="17" t="s">
        <v>27</v>
      </c>
      <c r="V1" s="17" t="s">
        <v>29</v>
      </c>
      <c r="W1" s="17" t="s">
        <v>30</v>
      </c>
      <c r="X1" s="17" t="s">
        <v>31</v>
      </c>
      <c r="Y1" s="17" t="s">
        <v>32</v>
      </c>
      <c r="Z1" s="17" t="s">
        <v>644</v>
      </c>
      <c r="AA1" s="94" t="s">
        <v>646</v>
      </c>
      <c r="AB1" s="95" t="s">
        <v>647</v>
      </c>
      <c r="AC1" s="95" t="s">
        <v>648</v>
      </c>
      <c r="AD1" s="17" t="s">
        <v>649</v>
      </c>
      <c r="AE1" s="17" t="s">
        <v>10</v>
      </c>
      <c r="AF1" s="17" t="s">
        <v>845</v>
      </c>
      <c r="AG1" s="95" t="s">
        <v>4</v>
      </c>
      <c r="AH1" s="94" t="s">
        <v>1</v>
      </c>
      <c r="AI1" s="17" t="s">
        <v>783</v>
      </c>
      <c r="AJ1" s="17" t="s">
        <v>5</v>
      </c>
      <c r="AK1" s="17" t="s">
        <v>6</v>
      </c>
      <c r="AL1" s="17" t="s">
        <v>41</v>
      </c>
      <c r="AM1" s="17" t="s">
        <v>42</v>
      </c>
      <c r="AN1" s="17" t="s">
        <v>44</v>
      </c>
      <c r="AO1" s="17" t="s">
        <v>846</v>
      </c>
      <c r="AP1" s="17" t="s">
        <v>781</v>
      </c>
    </row>
    <row r="2" spans="1:49" x14ac:dyDescent="0.25">
      <c r="A2" s="17" t="s">
        <v>308</v>
      </c>
      <c r="B2" s="94">
        <v>42906</v>
      </c>
      <c r="C2" s="96">
        <v>0.53615740740740736</v>
      </c>
      <c r="D2" s="17" t="s">
        <v>613</v>
      </c>
      <c r="G2" s="17" t="s">
        <v>309</v>
      </c>
      <c r="H2" s="17" t="s">
        <v>88</v>
      </c>
      <c r="I2" s="17">
        <v>8</v>
      </c>
      <c r="J2" s="17" t="s">
        <v>739</v>
      </c>
      <c r="U2" s="17" t="s">
        <v>64</v>
      </c>
      <c r="V2" s="17" t="s">
        <v>310</v>
      </c>
      <c r="W2" s="17" t="s">
        <v>67</v>
      </c>
      <c r="X2" s="17" t="s">
        <v>263</v>
      </c>
      <c r="Y2" s="17" t="s">
        <v>311</v>
      </c>
      <c r="Z2" s="17" t="s">
        <v>312</v>
      </c>
      <c r="AA2" s="94">
        <v>42906</v>
      </c>
      <c r="AB2" s="96">
        <v>0.53615740740740736</v>
      </c>
      <c r="AC2" s="96">
        <v>0.5</v>
      </c>
      <c r="AD2" s="17" t="s">
        <v>761</v>
      </c>
      <c r="AE2" s="17" t="s">
        <v>613</v>
      </c>
      <c r="AF2" s="17" t="s">
        <v>850</v>
      </c>
      <c r="AG2" s="96">
        <v>0.53615740740740736</v>
      </c>
      <c r="AH2" s="94">
        <v>42906</v>
      </c>
      <c r="AI2" s="17" t="s">
        <v>761</v>
      </c>
      <c r="AJ2" s="17" t="s">
        <v>635</v>
      </c>
      <c r="AK2" s="17" t="s">
        <v>641</v>
      </c>
      <c r="AL2" s="17">
        <v>2017</v>
      </c>
      <c r="AM2" s="17">
        <v>25</v>
      </c>
      <c r="AN2" s="17">
        <v>20</v>
      </c>
      <c r="AO2" s="17" t="s">
        <v>825</v>
      </c>
      <c r="AP2" s="17" t="s">
        <v>976</v>
      </c>
      <c r="AT2" s="97" t="s">
        <v>10</v>
      </c>
      <c r="AU2" s="17" t="s" vm="1">
        <v>172</v>
      </c>
    </row>
    <row r="3" spans="1:49" x14ac:dyDescent="0.25">
      <c r="A3" s="17" t="s">
        <v>173</v>
      </c>
      <c r="B3" s="94">
        <v>45660</v>
      </c>
      <c r="C3" s="96">
        <v>0.89583333333333326</v>
      </c>
      <c r="D3" s="17" t="s">
        <v>594</v>
      </c>
      <c r="G3" s="17" t="s">
        <v>174</v>
      </c>
      <c r="H3" s="17" t="s">
        <v>175</v>
      </c>
      <c r="I3" s="17">
        <v>9</v>
      </c>
      <c r="J3" s="17" t="s">
        <v>176</v>
      </c>
      <c r="M3" s="17" t="s">
        <v>177</v>
      </c>
      <c r="N3" s="17" t="s">
        <v>61</v>
      </c>
      <c r="O3" s="17" t="s">
        <v>178</v>
      </c>
      <c r="P3" s="17" t="s">
        <v>63</v>
      </c>
      <c r="U3" s="17" t="s">
        <v>138</v>
      </c>
      <c r="V3" s="17" t="s">
        <v>179</v>
      </c>
      <c r="W3" s="17" t="s">
        <v>171</v>
      </c>
      <c r="X3" s="17" t="s">
        <v>180</v>
      </c>
      <c r="Y3" s="17" t="s">
        <v>69</v>
      </c>
      <c r="Z3" s="17" t="s">
        <v>181</v>
      </c>
      <c r="AA3" s="94">
        <v>45660</v>
      </c>
      <c r="AB3" s="96">
        <v>0.89583333333333337</v>
      </c>
      <c r="AC3" s="96">
        <v>0.875</v>
      </c>
      <c r="AD3" s="17" t="s">
        <v>764</v>
      </c>
      <c r="AE3" s="17" t="s">
        <v>594</v>
      </c>
      <c r="AF3" s="17" t="s">
        <v>326</v>
      </c>
      <c r="AG3" s="96">
        <v>0.89583333333333337</v>
      </c>
      <c r="AH3" s="94">
        <v>45660</v>
      </c>
      <c r="AI3" s="17" t="s">
        <v>764</v>
      </c>
      <c r="AJ3" s="17" t="s">
        <v>485</v>
      </c>
      <c r="AK3" s="17" t="s">
        <v>55</v>
      </c>
      <c r="AL3" s="17">
        <v>2025</v>
      </c>
      <c r="AM3" s="17">
        <v>1</v>
      </c>
      <c r="AN3" s="17">
        <v>3</v>
      </c>
      <c r="AO3" s="17" t="s">
        <v>786</v>
      </c>
      <c r="AP3" s="17" t="s">
        <v>976</v>
      </c>
    </row>
    <row r="4" spans="1:49" x14ac:dyDescent="0.25">
      <c r="A4" s="17" t="s">
        <v>53</v>
      </c>
      <c r="B4" s="94">
        <v>45663</v>
      </c>
      <c r="C4" s="96">
        <v>0.64583333333333326</v>
      </c>
      <c r="D4" s="17" t="s">
        <v>600</v>
      </c>
      <c r="G4" s="17" t="s">
        <v>58</v>
      </c>
      <c r="I4" s="17">
        <v>7</v>
      </c>
      <c r="J4" s="17" t="s">
        <v>59</v>
      </c>
      <c r="M4" s="17" t="s">
        <v>60</v>
      </c>
      <c r="N4" s="17" t="s">
        <v>61</v>
      </c>
      <c r="O4" s="17" t="s">
        <v>62</v>
      </c>
      <c r="P4" s="17" t="s">
        <v>63</v>
      </c>
      <c r="U4" s="17" t="s">
        <v>64</v>
      </c>
      <c r="V4" s="17" t="s">
        <v>66</v>
      </c>
      <c r="W4" s="17" t="s">
        <v>67</v>
      </c>
      <c r="X4" s="17" t="s">
        <v>68</v>
      </c>
      <c r="Y4" s="17" t="s">
        <v>107</v>
      </c>
      <c r="Z4" s="17" t="s">
        <v>70</v>
      </c>
      <c r="AA4" s="94">
        <v>45663</v>
      </c>
      <c r="AB4" s="96">
        <v>0.64583333333333337</v>
      </c>
      <c r="AC4" s="96">
        <v>0.625</v>
      </c>
      <c r="AD4" s="17" t="s">
        <v>761</v>
      </c>
      <c r="AE4" s="17" t="s">
        <v>600</v>
      </c>
      <c r="AF4" s="17" t="s">
        <v>326</v>
      </c>
      <c r="AG4" s="96">
        <v>0.64583333333333337</v>
      </c>
      <c r="AH4" s="94">
        <v>45663</v>
      </c>
      <c r="AI4" s="17" t="s">
        <v>761</v>
      </c>
      <c r="AJ4" s="17" t="s">
        <v>636</v>
      </c>
      <c r="AK4" s="17" t="s">
        <v>55</v>
      </c>
      <c r="AL4" s="17">
        <v>2025</v>
      </c>
      <c r="AM4" s="17">
        <v>2</v>
      </c>
      <c r="AN4" s="17">
        <v>6</v>
      </c>
      <c r="AO4" s="17" t="s">
        <v>803</v>
      </c>
      <c r="AP4" s="17" t="s">
        <v>976</v>
      </c>
      <c r="AT4" s="97" t="s">
        <v>109</v>
      </c>
      <c r="AU4" s="97" t="s">
        <v>287</v>
      </c>
    </row>
    <row r="5" spans="1:49" x14ac:dyDescent="0.25">
      <c r="A5" s="17" t="s">
        <v>288</v>
      </c>
      <c r="B5" s="94">
        <v>45664</v>
      </c>
      <c r="C5" s="96">
        <v>0.58333333333333326</v>
      </c>
      <c r="D5" s="17" t="s">
        <v>598</v>
      </c>
      <c r="E5" s="17" t="s">
        <v>289</v>
      </c>
      <c r="G5" s="17" t="s">
        <v>290</v>
      </c>
      <c r="H5" s="17" t="s">
        <v>115</v>
      </c>
      <c r="I5" s="17">
        <v>7</v>
      </c>
      <c r="J5" s="17" t="s">
        <v>291</v>
      </c>
      <c r="U5" s="17" t="s">
        <v>292</v>
      </c>
      <c r="V5" s="17" t="s">
        <v>293</v>
      </c>
      <c r="W5" s="17" t="s">
        <v>294</v>
      </c>
      <c r="X5" s="17" t="s">
        <v>295</v>
      </c>
      <c r="Y5" s="17" t="s">
        <v>69</v>
      </c>
      <c r="Z5" s="17" t="s">
        <v>296</v>
      </c>
      <c r="AA5" s="94">
        <v>45664</v>
      </c>
      <c r="AB5" s="96">
        <v>0.58333333333333337</v>
      </c>
      <c r="AC5" s="96">
        <v>0.58333333333333337</v>
      </c>
      <c r="AD5" s="17" t="s">
        <v>761</v>
      </c>
      <c r="AE5" s="17" t="s">
        <v>777</v>
      </c>
      <c r="AF5" s="17" t="s">
        <v>326</v>
      </c>
      <c r="AG5" s="96">
        <v>0.58333333333333337</v>
      </c>
      <c r="AH5" s="94">
        <v>45664</v>
      </c>
      <c r="AI5" s="17" t="s">
        <v>761</v>
      </c>
      <c r="AJ5" s="17" t="s">
        <v>635</v>
      </c>
      <c r="AK5" s="17" t="s">
        <v>55</v>
      </c>
      <c r="AL5" s="17">
        <v>2025</v>
      </c>
      <c r="AM5" s="17">
        <v>2</v>
      </c>
      <c r="AN5" s="17">
        <v>7</v>
      </c>
      <c r="AO5" s="17" t="s">
        <v>842</v>
      </c>
      <c r="AP5" s="17" t="s">
        <v>977</v>
      </c>
      <c r="AT5" s="97" t="s">
        <v>784</v>
      </c>
      <c r="AU5" s="17" t="s">
        <v>519</v>
      </c>
      <c r="AV5" s="17" t="s">
        <v>326</v>
      </c>
      <c r="AW5" s="17" t="s">
        <v>785</v>
      </c>
    </row>
    <row r="6" spans="1:49" x14ac:dyDescent="0.25">
      <c r="A6" s="17" t="s">
        <v>257</v>
      </c>
      <c r="B6" s="94">
        <v>45670</v>
      </c>
      <c r="C6" s="96">
        <v>0.50347222222222232</v>
      </c>
      <c r="D6" s="17" t="s">
        <v>258</v>
      </c>
      <c r="E6" s="17" t="s">
        <v>602</v>
      </c>
      <c r="F6" s="17" t="s">
        <v>603</v>
      </c>
      <c r="G6" s="17" t="s">
        <v>259</v>
      </c>
      <c r="H6" s="17" t="s">
        <v>74</v>
      </c>
      <c r="I6" s="17">
        <v>8</v>
      </c>
      <c r="J6" s="17" t="s">
        <v>260</v>
      </c>
      <c r="U6" s="17" t="s">
        <v>138</v>
      </c>
      <c r="V6" s="17" t="s">
        <v>261</v>
      </c>
      <c r="W6" s="17" t="s">
        <v>262</v>
      </c>
      <c r="X6" s="17" t="s">
        <v>263</v>
      </c>
      <c r="Y6" s="17" t="s">
        <v>107</v>
      </c>
      <c r="Z6" s="17" t="s">
        <v>264</v>
      </c>
      <c r="AA6" s="94">
        <v>45670</v>
      </c>
      <c r="AB6" s="96">
        <v>0.50347222222222221</v>
      </c>
      <c r="AC6" s="96">
        <v>0.5</v>
      </c>
      <c r="AD6" s="17" t="s">
        <v>761</v>
      </c>
      <c r="AE6" s="17" t="s">
        <v>769</v>
      </c>
      <c r="AF6" s="17" t="s">
        <v>326</v>
      </c>
      <c r="AG6" s="96">
        <v>0.50347222222222221</v>
      </c>
      <c r="AH6" s="94">
        <v>45670</v>
      </c>
      <c r="AI6" s="17" t="s">
        <v>761</v>
      </c>
      <c r="AJ6" s="17" t="s">
        <v>636</v>
      </c>
      <c r="AK6" s="17" t="s">
        <v>55</v>
      </c>
      <c r="AL6" s="17">
        <v>2025</v>
      </c>
      <c r="AM6" s="17">
        <v>3</v>
      </c>
      <c r="AN6" s="17">
        <v>13</v>
      </c>
      <c r="AO6" s="17" t="s">
        <v>830</v>
      </c>
      <c r="AP6" s="17" t="s">
        <v>978</v>
      </c>
      <c r="AT6" s="98" t="s">
        <v>762</v>
      </c>
      <c r="AV6" s="17">
        <v>1</v>
      </c>
      <c r="AW6" s="17">
        <v>1</v>
      </c>
    </row>
    <row r="7" spans="1:49" x14ac:dyDescent="0.25">
      <c r="A7" s="17" t="s">
        <v>265</v>
      </c>
      <c r="B7" s="94">
        <v>45671</v>
      </c>
      <c r="C7" s="96">
        <v>0.64067129629629638</v>
      </c>
      <c r="D7" s="17" t="s">
        <v>603</v>
      </c>
      <c r="E7" s="17" t="s">
        <v>604</v>
      </c>
      <c r="F7" s="17" t="s">
        <v>267</v>
      </c>
      <c r="G7" s="17" t="s">
        <v>268</v>
      </c>
      <c r="H7" s="17" t="s">
        <v>269</v>
      </c>
      <c r="I7" s="17">
        <v>9</v>
      </c>
      <c r="J7" s="17" t="s">
        <v>270</v>
      </c>
      <c r="M7" s="17" t="s">
        <v>271</v>
      </c>
      <c r="N7" s="17" t="s">
        <v>272</v>
      </c>
      <c r="O7" s="17" t="s">
        <v>273</v>
      </c>
      <c r="P7" s="17" t="s">
        <v>63</v>
      </c>
      <c r="U7" s="17" t="s">
        <v>103</v>
      </c>
      <c r="V7" s="17" t="s">
        <v>179</v>
      </c>
      <c r="W7" s="17" t="s">
        <v>274</v>
      </c>
      <c r="X7" s="17" t="s">
        <v>141</v>
      </c>
      <c r="Y7" s="17" t="s">
        <v>107</v>
      </c>
      <c r="Z7" s="17" t="s">
        <v>264</v>
      </c>
      <c r="AA7" s="94">
        <v>45671</v>
      </c>
      <c r="AB7" s="96">
        <v>0.64067129629629627</v>
      </c>
      <c r="AC7" s="96">
        <v>0.625</v>
      </c>
      <c r="AD7" s="17" t="s">
        <v>761</v>
      </c>
      <c r="AE7" s="17" t="s">
        <v>770</v>
      </c>
      <c r="AF7" s="17" t="s">
        <v>326</v>
      </c>
      <c r="AG7" s="96">
        <v>0.64067129629629627</v>
      </c>
      <c r="AH7" s="94">
        <v>45671</v>
      </c>
      <c r="AI7" s="17" t="s">
        <v>761</v>
      </c>
      <c r="AJ7" s="17" t="s">
        <v>635</v>
      </c>
      <c r="AK7" s="17" t="s">
        <v>55</v>
      </c>
      <c r="AL7" s="17">
        <v>2025</v>
      </c>
      <c r="AM7" s="17">
        <v>3</v>
      </c>
      <c r="AN7" s="17">
        <v>14</v>
      </c>
      <c r="AO7" s="17" t="s">
        <v>831</v>
      </c>
      <c r="AP7" s="17" t="s">
        <v>979</v>
      </c>
      <c r="AT7" s="98" t="s">
        <v>761</v>
      </c>
      <c r="AU7" s="17">
        <v>2</v>
      </c>
      <c r="AV7" s="17">
        <v>3</v>
      </c>
      <c r="AW7" s="17">
        <v>5</v>
      </c>
    </row>
    <row r="8" spans="1:49" x14ac:dyDescent="0.25">
      <c r="A8" s="17" t="s">
        <v>182</v>
      </c>
      <c r="B8" s="94">
        <v>45672</v>
      </c>
      <c r="C8" s="96">
        <v>0.5398842592592592</v>
      </c>
      <c r="D8" s="17" t="s">
        <v>594</v>
      </c>
      <c r="G8" s="17" t="s">
        <v>183</v>
      </c>
      <c r="H8" s="17" t="s">
        <v>74</v>
      </c>
      <c r="I8" s="17">
        <v>8</v>
      </c>
      <c r="J8" s="17" t="s">
        <v>184</v>
      </c>
      <c r="M8" s="17" t="s">
        <v>185</v>
      </c>
      <c r="N8" s="17" t="s">
        <v>61</v>
      </c>
      <c r="O8" s="17" t="s">
        <v>186</v>
      </c>
      <c r="P8" s="17" t="s">
        <v>63</v>
      </c>
      <c r="U8" s="17" t="s">
        <v>103</v>
      </c>
      <c r="V8" s="17" t="s">
        <v>187</v>
      </c>
      <c r="W8" s="17" t="s">
        <v>188</v>
      </c>
      <c r="X8" s="17" t="s">
        <v>68</v>
      </c>
      <c r="Y8" s="17" t="s">
        <v>69</v>
      </c>
      <c r="Z8" s="17" t="s">
        <v>181</v>
      </c>
      <c r="AA8" s="94">
        <v>45672</v>
      </c>
      <c r="AB8" s="96">
        <v>0.53988425925925931</v>
      </c>
      <c r="AC8" s="96">
        <v>0.5</v>
      </c>
      <c r="AD8" s="17" t="s">
        <v>761</v>
      </c>
      <c r="AE8" s="17" t="s">
        <v>594</v>
      </c>
      <c r="AF8" s="17" t="s">
        <v>326</v>
      </c>
      <c r="AG8" s="96">
        <v>0.53988425925925931</v>
      </c>
      <c r="AH8" s="94">
        <v>45672</v>
      </c>
      <c r="AI8" s="17" t="s">
        <v>761</v>
      </c>
      <c r="AJ8" s="17" t="s">
        <v>637</v>
      </c>
      <c r="AK8" s="17" t="s">
        <v>55</v>
      </c>
      <c r="AL8" s="17">
        <v>2025</v>
      </c>
      <c r="AM8" s="17">
        <v>3</v>
      </c>
      <c r="AN8" s="17">
        <v>15</v>
      </c>
      <c r="AO8" s="17" t="s">
        <v>788</v>
      </c>
      <c r="AP8" s="17" t="s">
        <v>976</v>
      </c>
      <c r="AT8" s="98" t="s">
        <v>764</v>
      </c>
      <c r="AV8" s="17">
        <v>2</v>
      </c>
      <c r="AW8" s="17">
        <v>2</v>
      </c>
    </row>
    <row r="9" spans="1:49" x14ac:dyDescent="0.25">
      <c r="A9" s="17" t="s">
        <v>110</v>
      </c>
      <c r="B9" s="94">
        <v>45673</v>
      </c>
      <c r="C9" s="96">
        <v>0.5</v>
      </c>
      <c r="D9" s="17" t="s">
        <v>608</v>
      </c>
      <c r="G9" s="17" t="s">
        <v>114</v>
      </c>
      <c r="H9" s="17" t="s">
        <v>115</v>
      </c>
      <c r="I9" s="17">
        <v>7</v>
      </c>
      <c r="J9" s="17" t="s">
        <v>116</v>
      </c>
      <c r="U9" s="17" t="s">
        <v>64</v>
      </c>
      <c r="V9" s="17" t="s">
        <v>117</v>
      </c>
      <c r="W9" s="17" t="s">
        <v>67</v>
      </c>
      <c r="X9" s="17" t="s">
        <v>68</v>
      </c>
      <c r="Y9" s="17" t="s">
        <v>69</v>
      </c>
      <c r="Z9" s="17" t="s">
        <v>118</v>
      </c>
      <c r="AA9" s="94">
        <v>45673</v>
      </c>
      <c r="AB9" s="96">
        <v>0.5</v>
      </c>
      <c r="AC9" s="96">
        <v>0.5</v>
      </c>
      <c r="AD9" s="17" t="s">
        <v>761</v>
      </c>
      <c r="AE9" s="17" t="s">
        <v>608</v>
      </c>
      <c r="AF9" s="17" t="s">
        <v>326</v>
      </c>
      <c r="AG9" s="96">
        <v>0.5</v>
      </c>
      <c r="AH9" s="94">
        <v>45673</v>
      </c>
      <c r="AI9" s="17" t="s">
        <v>761</v>
      </c>
      <c r="AJ9" s="17" t="s">
        <v>638</v>
      </c>
      <c r="AK9" s="17" t="s">
        <v>55</v>
      </c>
      <c r="AL9" s="17">
        <v>2025</v>
      </c>
      <c r="AM9" s="17">
        <v>3</v>
      </c>
      <c r="AN9" s="17">
        <v>16</v>
      </c>
      <c r="AO9" s="17" t="s">
        <v>818</v>
      </c>
      <c r="AP9" s="17" t="s">
        <v>976</v>
      </c>
      <c r="AT9" s="98" t="s">
        <v>785</v>
      </c>
      <c r="AU9" s="17">
        <v>2</v>
      </c>
      <c r="AV9" s="17">
        <v>6</v>
      </c>
      <c r="AW9" s="17">
        <v>8</v>
      </c>
    </row>
    <row r="10" spans="1:49" x14ac:dyDescent="0.25">
      <c r="A10" s="17" t="s">
        <v>275</v>
      </c>
      <c r="B10" s="94">
        <v>45673</v>
      </c>
      <c r="C10" s="96">
        <v>0.87708333333333344</v>
      </c>
      <c r="D10" s="17" t="s">
        <v>603</v>
      </c>
      <c r="G10" s="17" t="s">
        <v>276</v>
      </c>
      <c r="H10" s="17" t="s">
        <v>159</v>
      </c>
      <c r="I10" s="17">
        <v>9</v>
      </c>
      <c r="J10" s="17" t="s">
        <v>277</v>
      </c>
      <c r="N10" s="17" t="s">
        <v>278</v>
      </c>
      <c r="O10" s="17" t="s">
        <v>279</v>
      </c>
      <c r="U10" s="17" t="s">
        <v>64</v>
      </c>
      <c r="V10" s="17" t="s">
        <v>79</v>
      </c>
      <c r="W10" s="17" t="s">
        <v>80</v>
      </c>
      <c r="X10" s="17" t="s">
        <v>280</v>
      </c>
      <c r="Y10" s="17" t="s">
        <v>311</v>
      </c>
      <c r="Z10" s="17" t="s">
        <v>264</v>
      </c>
      <c r="AA10" s="94">
        <v>45673</v>
      </c>
      <c r="AB10" s="96">
        <v>0.87708333333333333</v>
      </c>
      <c r="AC10" s="96">
        <v>0.875</v>
      </c>
      <c r="AD10" s="17" t="s">
        <v>764</v>
      </c>
      <c r="AE10" s="17" t="s">
        <v>603</v>
      </c>
      <c r="AF10" s="17" t="s">
        <v>326</v>
      </c>
      <c r="AG10" s="96">
        <v>0.87708333333333333</v>
      </c>
      <c r="AH10" s="94">
        <v>45673</v>
      </c>
      <c r="AI10" s="17" t="s">
        <v>764</v>
      </c>
      <c r="AJ10" s="17" t="s">
        <v>638</v>
      </c>
      <c r="AK10" s="17" t="s">
        <v>55</v>
      </c>
      <c r="AL10" s="17">
        <v>2025</v>
      </c>
      <c r="AM10" s="17">
        <v>3</v>
      </c>
      <c r="AN10" s="17">
        <v>16</v>
      </c>
      <c r="AO10" s="17" t="s">
        <v>833</v>
      </c>
      <c r="AP10" s="17" t="s">
        <v>976</v>
      </c>
    </row>
    <row r="11" spans="1:49" x14ac:dyDescent="0.25">
      <c r="A11" s="17" t="s">
        <v>189</v>
      </c>
      <c r="B11" s="94">
        <v>45678</v>
      </c>
      <c r="C11" s="96">
        <v>0.79166666666666674</v>
      </c>
      <c r="D11" s="17" t="s">
        <v>594</v>
      </c>
      <c r="G11" s="17" t="s">
        <v>190</v>
      </c>
      <c r="H11" s="17" t="s">
        <v>159</v>
      </c>
      <c r="I11" s="17">
        <v>9</v>
      </c>
      <c r="J11" s="17" t="s">
        <v>191</v>
      </c>
      <c r="M11" s="17" t="s">
        <v>192</v>
      </c>
      <c r="N11" s="17" t="s">
        <v>61</v>
      </c>
      <c r="O11" s="17" t="s">
        <v>193</v>
      </c>
      <c r="P11" s="17" t="s">
        <v>63</v>
      </c>
      <c r="U11" s="17" t="s">
        <v>194</v>
      </c>
      <c r="V11" s="17" t="s">
        <v>195</v>
      </c>
      <c r="W11" s="17" t="s">
        <v>171</v>
      </c>
      <c r="X11" s="17" t="s">
        <v>141</v>
      </c>
      <c r="Y11" s="17" t="s">
        <v>69</v>
      </c>
      <c r="Z11" s="17" t="s">
        <v>181</v>
      </c>
      <c r="AA11" s="94">
        <v>45678</v>
      </c>
      <c r="AB11" s="96">
        <v>0.79166666666666663</v>
      </c>
      <c r="AC11" s="96">
        <v>0.79166666666666663</v>
      </c>
      <c r="AD11" s="17" t="s">
        <v>765</v>
      </c>
      <c r="AE11" s="17" t="s">
        <v>594</v>
      </c>
      <c r="AF11" s="17" t="s">
        <v>326</v>
      </c>
      <c r="AG11" s="96">
        <v>0.79166666666666663</v>
      </c>
      <c r="AH11" s="94">
        <v>45678</v>
      </c>
      <c r="AI11" s="17" t="s">
        <v>765</v>
      </c>
      <c r="AJ11" s="17" t="s">
        <v>635</v>
      </c>
      <c r="AK11" s="17" t="s">
        <v>55</v>
      </c>
      <c r="AL11" s="17">
        <v>2025</v>
      </c>
      <c r="AM11" s="17">
        <v>4</v>
      </c>
      <c r="AN11" s="17">
        <v>21</v>
      </c>
      <c r="AO11" s="17" t="s">
        <v>790</v>
      </c>
      <c r="AP11" s="17" t="s">
        <v>976</v>
      </c>
    </row>
    <row r="12" spans="1:49" x14ac:dyDescent="0.25">
      <c r="A12" s="17" t="s">
        <v>196</v>
      </c>
      <c r="B12" s="94">
        <v>45679</v>
      </c>
      <c r="C12" s="96">
        <v>0.33333333333333326</v>
      </c>
      <c r="D12" s="17" t="s">
        <v>594</v>
      </c>
      <c r="G12" s="17" t="s">
        <v>197</v>
      </c>
      <c r="H12" s="17" t="s">
        <v>198</v>
      </c>
      <c r="I12" s="17">
        <v>5</v>
      </c>
      <c r="J12" s="17" t="s">
        <v>199</v>
      </c>
      <c r="M12" s="17" t="s">
        <v>200</v>
      </c>
      <c r="N12" s="17" t="s">
        <v>201</v>
      </c>
      <c r="O12" s="17" t="s">
        <v>202</v>
      </c>
      <c r="P12" s="17" t="s">
        <v>63</v>
      </c>
      <c r="U12" s="17" t="s">
        <v>103</v>
      </c>
      <c r="V12" s="17" t="s">
        <v>195</v>
      </c>
      <c r="W12" s="17" t="s">
        <v>171</v>
      </c>
      <c r="X12" s="17" t="s">
        <v>106</v>
      </c>
      <c r="Y12" s="17" t="s">
        <v>69</v>
      </c>
      <c r="Z12" s="17" t="s">
        <v>181</v>
      </c>
      <c r="AA12" s="94">
        <v>45679</v>
      </c>
      <c r="AB12" s="96">
        <v>0.33333333333333331</v>
      </c>
      <c r="AC12" s="96">
        <v>0.33333333333333331</v>
      </c>
      <c r="AD12" s="17" t="s">
        <v>762</v>
      </c>
      <c r="AE12" s="17" t="s">
        <v>594</v>
      </c>
      <c r="AF12" s="17" t="s">
        <v>326</v>
      </c>
      <c r="AG12" s="96">
        <v>0.33333333333333331</v>
      </c>
      <c r="AH12" s="94">
        <v>45679</v>
      </c>
      <c r="AI12" s="17" t="s">
        <v>762</v>
      </c>
      <c r="AJ12" s="17" t="s">
        <v>637</v>
      </c>
      <c r="AK12" s="17" t="s">
        <v>55</v>
      </c>
      <c r="AL12" s="17">
        <v>2025</v>
      </c>
      <c r="AM12" s="17">
        <v>4</v>
      </c>
      <c r="AN12" s="17">
        <v>22</v>
      </c>
      <c r="AO12" s="17" t="s">
        <v>792</v>
      </c>
      <c r="AP12" s="17" t="s">
        <v>976</v>
      </c>
    </row>
    <row r="13" spans="1:49" x14ac:dyDescent="0.25">
      <c r="A13" s="17" t="s">
        <v>297</v>
      </c>
      <c r="B13" s="94">
        <v>45680</v>
      </c>
      <c r="C13" s="96">
        <v>0.625</v>
      </c>
      <c r="D13" s="17" t="s">
        <v>613</v>
      </c>
      <c r="E13" s="17" t="s">
        <v>289</v>
      </c>
      <c r="G13" s="17" t="s">
        <v>298</v>
      </c>
      <c r="H13" s="17" t="s">
        <v>74</v>
      </c>
      <c r="I13" s="17">
        <v>8</v>
      </c>
      <c r="J13" s="17" t="s">
        <v>299</v>
      </c>
      <c r="U13" s="17" t="s">
        <v>300</v>
      </c>
      <c r="V13" s="17" t="s">
        <v>263</v>
      </c>
      <c r="W13" s="17" t="s">
        <v>301</v>
      </c>
      <c r="X13" s="17" t="s">
        <v>295</v>
      </c>
      <c r="Y13" s="17" t="s">
        <v>302</v>
      </c>
      <c r="Z13" s="17"/>
      <c r="AA13" s="94">
        <v>45680</v>
      </c>
      <c r="AB13" s="96">
        <v>0.625</v>
      </c>
      <c r="AC13" s="96">
        <v>0.625</v>
      </c>
      <c r="AD13" s="17" t="s">
        <v>761</v>
      </c>
      <c r="AE13" s="17" t="s">
        <v>778</v>
      </c>
      <c r="AF13" s="17" t="s">
        <v>326</v>
      </c>
      <c r="AG13" s="96">
        <v>0.625</v>
      </c>
      <c r="AH13" s="94">
        <v>45680</v>
      </c>
      <c r="AI13" s="17" t="s">
        <v>761</v>
      </c>
      <c r="AJ13" s="17" t="s">
        <v>638</v>
      </c>
      <c r="AK13" s="17" t="s">
        <v>55</v>
      </c>
      <c r="AL13" s="17">
        <v>2025</v>
      </c>
      <c r="AM13" s="17">
        <v>4</v>
      </c>
      <c r="AN13" s="17">
        <v>23</v>
      </c>
      <c r="AO13" s="17" t="s">
        <v>843</v>
      </c>
      <c r="AP13" s="17" t="s">
        <v>977</v>
      </c>
    </row>
    <row r="14" spans="1:49" x14ac:dyDescent="0.25">
      <c r="A14" s="17" t="s">
        <v>121</v>
      </c>
      <c r="B14" s="94">
        <v>45682</v>
      </c>
      <c r="C14" s="96">
        <v>0.45833333333333326</v>
      </c>
      <c r="D14" s="17" t="s">
        <v>608</v>
      </c>
      <c r="G14" s="17" t="s">
        <v>125</v>
      </c>
      <c r="H14" s="17" t="s">
        <v>126</v>
      </c>
      <c r="I14" s="17">
        <v>5</v>
      </c>
      <c r="J14" s="17" t="s">
        <v>127</v>
      </c>
      <c r="U14" s="17" t="s">
        <v>78</v>
      </c>
      <c r="V14" s="17" t="s">
        <v>128</v>
      </c>
      <c r="W14" s="17" t="s">
        <v>80</v>
      </c>
      <c r="X14" s="17" t="s">
        <v>68</v>
      </c>
      <c r="Y14" s="17" t="s">
        <v>69</v>
      </c>
      <c r="Z14" s="17" t="s">
        <v>118</v>
      </c>
      <c r="AA14" s="94">
        <v>45682</v>
      </c>
      <c r="AB14" s="96">
        <v>0.45833333333333331</v>
      </c>
      <c r="AC14" s="96">
        <v>0.45833333333333331</v>
      </c>
      <c r="AD14" s="17" t="s">
        <v>762</v>
      </c>
      <c r="AE14" s="17" t="s">
        <v>608</v>
      </c>
      <c r="AF14" s="17" t="s">
        <v>326</v>
      </c>
      <c r="AG14" s="96">
        <v>0.45833333333333331</v>
      </c>
      <c r="AH14" s="94">
        <v>45682</v>
      </c>
      <c r="AI14" s="17" t="s">
        <v>762</v>
      </c>
      <c r="AJ14" s="17" t="s">
        <v>639</v>
      </c>
      <c r="AK14" s="17" t="s">
        <v>55</v>
      </c>
      <c r="AL14" s="17">
        <v>2025</v>
      </c>
      <c r="AM14" s="17">
        <v>4</v>
      </c>
      <c r="AN14" s="17">
        <v>25</v>
      </c>
      <c r="AO14" s="17" t="s">
        <v>819</v>
      </c>
      <c r="AP14" s="17" t="s">
        <v>976</v>
      </c>
    </row>
    <row r="15" spans="1:49" x14ac:dyDescent="0.25">
      <c r="A15" s="17" t="s">
        <v>72</v>
      </c>
      <c r="B15" s="94">
        <v>45682</v>
      </c>
      <c r="C15" s="96">
        <v>0.76875000000000004</v>
      </c>
      <c r="D15" s="17" t="s">
        <v>600</v>
      </c>
      <c r="E15" s="17" t="s">
        <v>616</v>
      </c>
      <c r="G15" s="17" t="s">
        <v>73</v>
      </c>
      <c r="H15" s="17" t="s">
        <v>74</v>
      </c>
      <c r="I15" s="17">
        <v>8</v>
      </c>
      <c r="J15" s="17" t="s">
        <v>75</v>
      </c>
      <c r="M15" s="17" t="s">
        <v>76</v>
      </c>
      <c r="N15" s="17" t="s">
        <v>61</v>
      </c>
      <c r="O15" s="17" t="s">
        <v>77</v>
      </c>
      <c r="P15" s="17" t="s">
        <v>63</v>
      </c>
      <c r="U15" s="17" t="s">
        <v>78</v>
      </c>
      <c r="V15" s="17" t="s">
        <v>79</v>
      </c>
      <c r="W15" s="17" t="s">
        <v>80</v>
      </c>
      <c r="X15" s="17" t="s">
        <v>81</v>
      </c>
      <c r="Y15" s="17" t="s">
        <v>82</v>
      </c>
      <c r="Z15" s="17" t="s">
        <v>70</v>
      </c>
      <c r="AA15" s="94">
        <v>45682</v>
      </c>
      <c r="AB15" s="96">
        <v>0.76875000000000004</v>
      </c>
      <c r="AC15" s="96">
        <v>0.75</v>
      </c>
      <c r="AD15" s="17" t="s">
        <v>765</v>
      </c>
      <c r="AE15" s="17" t="s">
        <v>848</v>
      </c>
      <c r="AF15" s="17" t="s">
        <v>326</v>
      </c>
      <c r="AG15" s="96">
        <v>0.76875000000000004</v>
      </c>
      <c r="AH15" s="94">
        <v>45682</v>
      </c>
      <c r="AI15" s="17" t="s">
        <v>765</v>
      </c>
      <c r="AJ15" s="17" t="s">
        <v>639</v>
      </c>
      <c r="AK15" s="17" t="s">
        <v>55</v>
      </c>
      <c r="AL15" s="17">
        <v>2025</v>
      </c>
      <c r="AM15" s="17">
        <v>4</v>
      </c>
      <c r="AN15" s="17">
        <v>25</v>
      </c>
      <c r="AO15" s="17" t="s">
        <v>847</v>
      </c>
      <c r="AP15" s="17" t="s">
        <v>976</v>
      </c>
    </row>
    <row r="16" spans="1:49" x14ac:dyDescent="0.25">
      <c r="A16" s="17" t="s">
        <v>84</v>
      </c>
      <c r="B16" s="94">
        <v>45683</v>
      </c>
      <c r="C16" s="96">
        <v>0.84027777777777768</v>
      </c>
      <c r="D16" s="17" t="s">
        <v>600</v>
      </c>
      <c r="E16" s="17" t="s">
        <v>616</v>
      </c>
      <c r="G16" s="17" t="s">
        <v>87</v>
      </c>
      <c r="H16" s="17" t="s">
        <v>88</v>
      </c>
      <c r="I16" s="17">
        <v>9</v>
      </c>
      <c r="J16" s="17" t="s">
        <v>89</v>
      </c>
      <c r="M16" s="17" t="s">
        <v>90</v>
      </c>
      <c r="N16" s="17" t="s">
        <v>61</v>
      </c>
      <c r="O16" s="17" t="s">
        <v>91</v>
      </c>
      <c r="P16" s="17" t="s">
        <v>63</v>
      </c>
      <c r="U16" s="17" t="s">
        <v>64</v>
      </c>
      <c r="V16" s="17" t="s">
        <v>92</v>
      </c>
      <c r="W16" s="17" t="s">
        <v>67</v>
      </c>
      <c r="X16" s="17" t="s">
        <v>93</v>
      </c>
      <c r="Y16" s="17" t="s">
        <v>69</v>
      </c>
      <c r="Z16" s="17" t="s">
        <v>70</v>
      </c>
      <c r="AA16" s="94">
        <v>45683</v>
      </c>
      <c r="AB16" s="96">
        <v>0.84027777777777779</v>
      </c>
      <c r="AC16" s="96">
        <v>0.83333333333333337</v>
      </c>
      <c r="AD16" s="17" t="s">
        <v>764</v>
      </c>
      <c r="AE16" s="17" t="s">
        <v>848</v>
      </c>
      <c r="AF16" s="17" t="s">
        <v>326</v>
      </c>
      <c r="AG16" s="96">
        <v>0.84027777777777779</v>
      </c>
      <c r="AH16" s="94">
        <v>45683</v>
      </c>
      <c r="AI16" s="17" t="s">
        <v>764</v>
      </c>
      <c r="AJ16" s="17" t="s">
        <v>640</v>
      </c>
      <c r="AK16" s="17" t="s">
        <v>55</v>
      </c>
      <c r="AL16" s="17">
        <v>2025</v>
      </c>
      <c r="AM16" s="17">
        <v>5</v>
      </c>
      <c r="AN16" s="17">
        <v>26</v>
      </c>
      <c r="AO16" s="17" t="s">
        <v>821</v>
      </c>
      <c r="AP16" s="17" t="s">
        <v>976</v>
      </c>
    </row>
    <row r="17" spans="1:42" x14ac:dyDescent="0.25">
      <c r="A17" s="17" t="s">
        <v>203</v>
      </c>
      <c r="B17" s="94">
        <v>45685</v>
      </c>
      <c r="C17" s="96">
        <v>0.625</v>
      </c>
      <c r="D17" s="17" t="s">
        <v>594</v>
      </c>
      <c r="E17" s="17" t="s">
        <v>616</v>
      </c>
      <c r="G17" s="17" t="s">
        <v>205</v>
      </c>
      <c r="H17" s="17" t="s">
        <v>206</v>
      </c>
      <c r="I17" s="17">
        <v>6</v>
      </c>
      <c r="J17" s="17" t="s">
        <v>207</v>
      </c>
      <c r="M17" s="17" t="s">
        <v>208</v>
      </c>
      <c r="N17" s="17" t="s">
        <v>209</v>
      </c>
      <c r="O17" s="17" t="s">
        <v>210</v>
      </c>
      <c r="P17" s="17" t="s">
        <v>63</v>
      </c>
      <c r="U17" s="17" t="s">
        <v>103</v>
      </c>
      <c r="V17" s="17" t="s">
        <v>195</v>
      </c>
      <c r="W17" s="17" t="s">
        <v>171</v>
      </c>
      <c r="X17" s="17" t="s">
        <v>68</v>
      </c>
      <c r="Y17" s="17" t="s">
        <v>211</v>
      </c>
      <c r="Z17" s="17" t="s">
        <v>181</v>
      </c>
      <c r="AA17" s="94">
        <v>45685</v>
      </c>
      <c r="AB17" s="96">
        <v>0.625</v>
      </c>
      <c r="AC17" s="96">
        <v>0.625</v>
      </c>
      <c r="AD17" s="17" t="s">
        <v>761</v>
      </c>
      <c r="AE17" s="17" t="s">
        <v>767</v>
      </c>
      <c r="AF17" s="17" t="s">
        <v>326</v>
      </c>
      <c r="AG17" s="96">
        <v>0.625</v>
      </c>
      <c r="AH17" s="94">
        <v>45685</v>
      </c>
      <c r="AI17" s="17" t="s">
        <v>761</v>
      </c>
      <c r="AJ17" s="17" t="s">
        <v>635</v>
      </c>
      <c r="AK17" s="17" t="s">
        <v>55</v>
      </c>
      <c r="AL17" s="17">
        <v>2025</v>
      </c>
      <c r="AM17" s="17">
        <v>5</v>
      </c>
      <c r="AN17" s="17">
        <v>28</v>
      </c>
      <c r="AO17" s="17" t="s">
        <v>794</v>
      </c>
      <c r="AP17" s="17" t="s">
        <v>976</v>
      </c>
    </row>
    <row r="18" spans="1:42" x14ac:dyDescent="0.25">
      <c r="A18" s="17" t="s">
        <v>132</v>
      </c>
      <c r="B18" s="94">
        <v>45688</v>
      </c>
      <c r="C18" s="96">
        <v>0.49988425925925917</v>
      </c>
      <c r="D18" s="17" t="s">
        <v>608</v>
      </c>
      <c r="G18" s="17" t="s">
        <v>135</v>
      </c>
      <c r="H18" s="17" t="s">
        <v>136</v>
      </c>
      <c r="I18" s="17">
        <v>8</v>
      </c>
      <c r="J18" s="17" t="s">
        <v>137</v>
      </c>
      <c r="U18" s="17" t="s">
        <v>138</v>
      </c>
      <c r="V18" s="17" t="s">
        <v>139</v>
      </c>
      <c r="W18" s="17" t="s">
        <v>140</v>
      </c>
      <c r="X18" s="17" t="s">
        <v>141</v>
      </c>
      <c r="Y18" s="17" t="s">
        <v>69</v>
      </c>
      <c r="Z18" s="17" t="s">
        <v>118</v>
      </c>
      <c r="AA18" s="94">
        <v>45688</v>
      </c>
      <c r="AB18" s="96">
        <v>0.49988425925925928</v>
      </c>
      <c r="AC18" s="96">
        <v>0.45833333333333331</v>
      </c>
      <c r="AD18" s="17" t="s">
        <v>762</v>
      </c>
      <c r="AE18" s="17" t="s">
        <v>608</v>
      </c>
      <c r="AF18" s="17" t="s">
        <v>326</v>
      </c>
      <c r="AG18" s="96">
        <v>0.49988425925925928</v>
      </c>
      <c r="AH18" s="94">
        <v>45688</v>
      </c>
      <c r="AI18" s="17" t="s">
        <v>762</v>
      </c>
      <c r="AJ18" s="17" t="s">
        <v>485</v>
      </c>
      <c r="AK18" s="17" t="s">
        <v>55</v>
      </c>
      <c r="AL18" s="17">
        <v>2025</v>
      </c>
      <c r="AM18" s="17">
        <v>5</v>
      </c>
      <c r="AN18" s="17">
        <v>31</v>
      </c>
      <c r="AO18" s="17" t="s">
        <v>133</v>
      </c>
      <c r="AP18" s="17" t="s">
        <v>976</v>
      </c>
    </row>
    <row r="19" spans="1:42" x14ac:dyDescent="0.25">
      <c r="A19" s="17" t="s">
        <v>236</v>
      </c>
      <c r="B19" s="94">
        <v>45688</v>
      </c>
      <c r="C19" s="96">
        <v>0.5</v>
      </c>
      <c r="D19" s="17" t="s">
        <v>594</v>
      </c>
      <c r="G19" s="17" t="s">
        <v>237</v>
      </c>
      <c r="H19" s="17" t="s">
        <v>198</v>
      </c>
      <c r="I19" s="17">
        <v>5</v>
      </c>
      <c r="J19" s="17" t="s">
        <v>238</v>
      </c>
      <c r="M19" s="17" t="s">
        <v>239</v>
      </c>
      <c r="O19" s="17" t="s">
        <v>186</v>
      </c>
      <c r="P19" s="17" t="s">
        <v>63</v>
      </c>
      <c r="U19" s="17" t="s">
        <v>103</v>
      </c>
      <c r="V19" s="17" t="s">
        <v>170</v>
      </c>
      <c r="W19" s="17" t="s">
        <v>171</v>
      </c>
      <c r="X19" s="17" t="s">
        <v>93</v>
      </c>
      <c r="Y19" s="17" t="s">
        <v>69</v>
      </c>
      <c r="Z19" s="17" t="s">
        <v>181</v>
      </c>
      <c r="AA19" s="94">
        <v>45688</v>
      </c>
      <c r="AB19" s="96">
        <v>0.5</v>
      </c>
      <c r="AC19" s="96">
        <v>0.5</v>
      </c>
      <c r="AD19" s="17" t="s">
        <v>761</v>
      </c>
      <c r="AE19" s="17" t="s">
        <v>594</v>
      </c>
      <c r="AF19" s="17" t="s">
        <v>326</v>
      </c>
      <c r="AG19" s="96">
        <v>0.5</v>
      </c>
      <c r="AH19" s="94">
        <v>45688</v>
      </c>
      <c r="AI19" s="17" t="s">
        <v>761</v>
      </c>
      <c r="AJ19" s="17" t="s">
        <v>485</v>
      </c>
      <c r="AK19" s="17" t="s">
        <v>55</v>
      </c>
      <c r="AL19" s="17">
        <v>2025</v>
      </c>
      <c r="AM19" s="17">
        <v>5</v>
      </c>
      <c r="AN19" s="17">
        <v>31</v>
      </c>
      <c r="AO19" s="17" t="s">
        <v>801</v>
      </c>
      <c r="AP19" s="17" t="s">
        <v>976</v>
      </c>
    </row>
    <row r="20" spans="1:42" x14ac:dyDescent="0.25">
      <c r="A20" s="17" t="s">
        <v>212</v>
      </c>
      <c r="B20" s="94">
        <v>45689</v>
      </c>
      <c r="C20" s="96">
        <v>4.1666666666666741E-2</v>
      </c>
      <c r="D20" s="17" t="s">
        <v>594</v>
      </c>
      <c r="G20" s="17" t="s">
        <v>213</v>
      </c>
      <c r="H20" s="17" t="s">
        <v>214</v>
      </c>
      <c r="I20" s="17">
        <v>6</v>
      </c>
      <c r="J20" s="17" t="s">
        <v>215</v>
      </c>
      <c r="M20" s="17" t="s">
        <v>216</v>
      </c>
      <c r="N20" s="17" t="s">
        <v>101</v>
      </c>
      <c r="O20" s="17" t="s">
        <v>217</v>
      </c>
      <c r="P20" s="17" t="s">
        <v>63</v>
      </c>
      <c r="U20" s="17" t="s">
        <v>103</v>
      </c>
      <c r="V20" s="17" t="s">
        <v>195</v>
      </c>
      <c r="W20" s="17" t="s">
        <v>171</v>
      </c>
      <c r="X20" s="17" t="s">
        <v>106</v>
      </c>
      <c r="Y20" s="17" t="s">
        <v>69</v>
      </c>
      <c r="Z20" s="17" t="s">
        <v>181</v>
      </c>
      <c r="AA20" s="94">
        <v>45689</v>
      </c>
      <c r="AB20" s="96">
        <v>4.1666666666666664E-2</v>
      </c>
      <c r="AC20" s="96">
        <v>4.1666666666666664E-2</v>
      </c>
      <c r="AD20" s="17" t="s">
        <v>763</v>
      </c>
      <c r="AE20" s="17" t="s">
        <v>594</v>
      </c>
      <c r="AF20" s="17" t="s">
        <v>326</v>
      </c>
      <c r="AG20" s="96">
        <v>4.1666666666666664E-2</v>
      </c>
      <c r="AH20" s="94">
        <v>45689</v>
      </c>
      <c r="AI20" s="17" t="s">
        <v>763</v>
      </c>
      <c r="AJ20" s="17" t="s">
        <v>639</v>
      </c>
      <c r="AK20" s="17" t="s">
        <v>96</v>
      </c>
      <c r="AL20" s="17">
        <v>2025</v>
      </c>
      <c r="AM20" s="17">
        <v>5</v>
      </c>
      <c r="AN20" s="17">
        <v>1</v>
      </c>
      <c r="AO20" s="17" t="s">
        <v>796</v>
      </c>
      <c r="AP20" s="17" t="s">
        <v>976</v>
      </c>
    </row>
    <row r="21" spans="1:42" x14ac:dyDescent="0.25">
      <c r="A21" s="17" t="s">
        <v>281</v>
      </c>
      <c r="B21" s="94">
        <v>45690</v>
      </c>
      <c r="C21" s="96">
        <v>0.72569444444444442</v>
      </c>
      <c r="D21" s="17" t="s">
        <v>157</v>
      </c>
      <c r="E21" s="17" t="s">
        <v>603</v>
      </c>
      <c r="G21" s="17" t="s">
        <v>282</v>
      </c>
      <c r="H21" s="17" t="s">
        <v>126</v>
      </c>
      <c r="I21" s="17">
        <v>5</v>
      </c>
      <c r="J21" s="17" t="s">
        <v>283</v>
      </c>
      <c r="U21" s="17" t="s">
        <v>64</v>
      </c>
      <c r="V21" s="17" t="s">
        <v>92</v>
      </c>
      <c r="W21" s="17" t="s">
        <v>67</v>
      </c>
      <c r="X21" s="17" t="s">
        <v>161</v>
      </c>
      <c r="Y21" s="17" t="s">
        <v>82</v>
      </c>
      <c r="Z21" s="17"/>
      <c r="AA21" s="94">
        <v>45690</v>
      </c>
      <c r="AB21" s="96">
        <v>0.72569444444444442</v>
      </c>
      <c r="AC21" s="96">
        <v>0.70833333333333337</v>
      </c>
      <c r="AD21" s="17" t="s">
        <v>765</v>
      </c>
      <c r="AE21" s="17" t="s">
        <v>771</v>
      </c>
      <c r="AF21" s="17" t="s">
        <v>326</v>
      </c>
      <c r="AG21" s="96">
        <v>0.72569444444444442</v>
      </c>
      <c r="AH21" s="94">
        <v>45690</v>
      </c>
      <c r="AI21" s="17" t="s">
        <v>765</v>
      </c>
      <c r="AJ21" s="17" t="s">
        <v>640</v>
      </c>
      <c r="AK21" s="17" t="s">
        <v>96</v>
      </c>
      <c r="AL21" s="17">
        <v>2025</v>
      </c>
      <c r="AM21" s="17">
        <v>6</v>
      </c>
      <c r="AN21" s="17">
        <v>2</v>
      </c>
      <c r="AO21" s="17" t="s">
        <v>799</v>
      </c>
      <c r="AP21" s="17" t="s">
        <v>979</v>
      </c>
    </row>
    <row r="22" spans="1:42" x14ac:dyDescent="0.25">
      <c r="A22" s="17" t="s">
        <v>218</v>
      </c>
      <c r="B22" s="94">
        <v>45691</v>
      </c>
      <c r="C22" s="96">
        <v>0.77083333333333326</v>
      </c>
      <c r="D22" s="17" t="s">
        <v>594</v>
      </c>
      <c r="G22" s="17" t="s">
        <v>220</v>
      </c>
      <c r="H22" s="17" t="s">
        <v>221</v>
      </c>
      <c r="I22" s="17">
        <v>8</v>
      </c>
      <c r="J22" s="17" t="s">
        <v>222</v>
      </c>
      <c r="M22" s="17" t="s">
        <v>223</v>
      </c>
      <c r="N22" s="17" t="s">
        <v>224</v>
      </c>
      <c r="O22" s="17" t="s">
        <v>225</v>
      </c>
      <c r="P22" s="17" t="s">
        <v>226</v>
      </c>
      <c r="U22" s="17" t="s">
        <v>64</v>
      </c>
      <c r="V22" s="17" t="s">
        <v>92</v>
      </c>
      <c r="W22" s="17" t="s">
        <v>67</v>
      </c>
      <c r="X22" s="17" t="s">
        <v>68</v>
      </c>
      <c r="Y22" s="17" t="s">
        <v>168</v>
      </c>
      <c r="Z22" s="17" t="s">
        <v>181</v>
      </c>
      <c r="AA22" s="94">
        <v>45691</v>
      </c>
      <c r="AB22" s="96">
        <v>0.77083333333333337</v>
      </c>
      <c r="AC22" s="96">
        <v>0.75</v>
      </c>
      <c r="AD22" s="17" t="s">
        <v>765</v>
      </c>
      <c r="AE22" s="17" t="s">
        <v>594</v>
      </c>
      <c r="AF22" s="17" t="s">
        <v>326</v>
      </c>
      <c r="AG22" s="96">
        <v>0.77083333333333337</v>
      </c>
      <c r="AH22" s="94">
        <v>45691</v>
      </c>
      <c r="AI22" s="17" t="s">
        <v>765</v>
      </c>
      <c r="AJ22" s="17" t="s">
        <v>636</v>
      </c>
      <c r="AK22" s="17" t="s">
        <v>96</v>
      </c>
      <c r="AL22" s="17">
        <v>2025</v>
      </c>
      <c r="AM22" s="17">
        <v>6</v>
      </c>
      <c r="AN22" s="17">
        <v>3</v>
      </c>
      <c r="AO22" s="17" t="s">
        <v>219</v>
      </c>
      <c r="AP22" s="17" t="s">
        <v>976</v>
      </c>
    </row>
    <row r="23" spans="1:42" x14ac:dyDescent="0.25">
      <c r="A23" s="17" t="s">
        <v>142</v>
      </c>
      <c r="B23" s="94">
        <v>45693</v>
      </c>
      <c r="C23" s="96">
        <v>0.12291666666666656</v>
      </c>
      <c r="D23" s="17" t="s">
        <v>627</v>
      </c>
      <c r="E23" s="17" t="s">
        <v>148</v>
      </c>
      <c r="G23" s="17" t="s">
        <v>149</v>
      </c>
      <c r="H23" s="17" t="s">
        <v>136</v>
      </c>
      <c r="I23" s="17">
        <v>8</v>
      </c>
      <c r="J23" s="17" t="s">
        <v>150</v>
      </c>
      <c r="U23" s="17" t="s">
        <v>103</v>
      </c>
      <c r="V23" s="17" t="s">
        <v>151</v>
      </c>
      <c r="W23" s="17" t="s">
        <v>80</v>
      </c>
      <c r="X23" s="17" t="s">
        <v>152</v>
      </c>
      <c r="Y23" s="17" t="s">
        <v>107</v>
      </c>
      <c r="Z23" s="17" t="s">
        <v>118</v>
      </c>
      <c r="AA23" s="94">
        <v>45693</v>
      </c>
      <c r="AB23" s="96">
        <v>0.12291666666666666</v>
      </c>
      <c r="AC23" s="96">
        <v>8.3333333333333329E-2</v>
      </c>
      <c r="AD23" s="17" t="s">
        <v>763</v>
      </c>
      <c r="AE23" s="17" t="s">
        <v>755</v>
      </c>
      <c r="AF23" s="17" t="s">
        <v>326</v>
      </c>
      <c r="AG23" s="96">
        <v>0.12291666666666666</v>
      </c>
      <c r="AH23" s="94">
        <v>45693</v>
      </c>
      <c r="AI23" s="17" t="s">
        <v>763</v>
      </c>
      <c r="AJ23" s="17" t="s">
        <v>637</v>
      </c>
      <c r="AK23" s="17" t="s">
        <v>96</v>
      </c>
      <c r="AL23" s="17">
        <v>2025</v>
      </c>
      <c r="AM23" s="17">
        <v>6</v>
      </c>
      <c r="AN23" s="17">
        <v>5</v>
      </c>
      <c r="AO23" s="17" t="s">
        <v>820</v>
      </c>
      <c r="AP23" s="17" t="s">
        <v>980</v>
      </c>
    </row>
    <row r="24" spans="1:42" x14ac:dyDescent="0.25">
      <c r="A24" s="17" t="s">
        <v>227</v>
      </c>
      <c r="B24" s="94">
        <v>45695</v>
      </c>
      <c r="C24" s="96">
        <v>0.27430555555555558</v>
      </c>
      <c r="D24" s="17" t="s">
        <v>594</v>
      </c>
      <c r="G24" s="17" t="s">
        <v>229</v>
      </c>
      <c r="H24" s="17" t="s">
        <v>169</v>
      </c>
      <c r="I24" s="17">
        <v>5</v>
      </c>
      <c r="J24" s="17" t="s">
        <v>230</v>
      </c>
      <c r="M24" s="17" t="s">
        <v>231</v>
      </c>
      <c r="N24" s="17" t="s">
        <v>232</v>
      </c>
      <c r="O24" s="17" t="s">
        <v>233</v>
      </c>
      <c r="P24" s="17" t="s">
        <v>63</v>
      </c>
      <c r="U24" s="17" t="s">
        <v>103</v>
      </c>
      <c r="V24" s="17" t="s">
        <v>234</v>
      </c>
      <c r="W24" s="17" t="s">
        <v>105</v>
      </c>
      <c r="X24" s="17" t="s">
        <v>161</v>
      </c>
      <c r="Y24" s="17" t="s">
        <v>82</v>
      </c>
      <c r="Z24" s="17" t="s">
        <v>181</v>
      </c>
      <c r="AA24" s="94">
        <v>45695</v>
      </c>
      <c r="AB24" s="96">
        <v>0.27430555555555558</v>
      </c>
      <c r="AC24" s="96">
        <v>0.25</v>
      </c>
      <c r="AD24" s="17" t="s">
        <v>766</v>
      </c>
      <c r="AE24" s="17" t="s">
        <v>594</v>
      </c>
      <c r="AF24" s="17" t="s">
        <v>326</v>
      </c>
      <c r="AG24" s="96">
        <v>0.27430555555555558</v>
      </c>
      <c r="AH24" s="94">
        <v>45695</v>
      </c>
      <c r="AI24" s="17" t="s">
        <v>766</v>
      </c>
      <c r="AJ24" s="17" t="s">
        <v>485</v>
      </c>
      <c r="AK24" s="17" t="s">
        <v>96</v>
      </c>
      <c r="AL24" s="17">
        <v>2025</v>
      </c>
      <c r="AM24" s="17">
        <v>6</v>
      </c>
      <c r="AN24" s="17">
        <v>7</v>
      </c>
      <c r="AO24" s="17" t="s">
        <v>799</v>
      </c>
      <c r="AP24" s="17" t="s">
        <v>976</v>
      </c>
    </row>
    <row r="25" spans="1:42" x14ac:dyDescent="0.25">
      <c r="A25" s="17" t="s">
        <v>313</v>
      </c>
      <c r="B25" s="94">
        <v>45701</v>
      </c>
      <c r="C25" s="96">
        <v>8.3333333333333259E-2</v>
      </c>
      <c r="D25" s="17" t="s">
        <v>315</v>
      </c>
      <c r="E25" s="17" t="s">
        <v>631</v>
      </c>
      <c r="F25" s="17" t="s">
        <v>603</v>
      </c>
      <c r="G25" s="17" t="s">
        <v>316</v>
      </c>
      <c r="H25" s="17" t="s">
        <v>165</v>
      </c>
      <c r="I25" s="17">
        <v>9</v>
      </c>
      <c r="J25" s="17" t="s">
        <v>317</v>
      </c>
      <c r="U25" s="17" t="s">
        <v>318</v>
      </c>
      <c r="V25" s="17" t="s">
        <v>104</v>
      </c>
      <c r="W25" s="17" t="s">
        <v>105</v>
      </c>
      <c r="X25" s="17" t="s">
        <v>280</v>
      </c>
      <c r="Y25" s="17" t="s">
        <v>319</v>
      </c>
      <c r="Z25" s="17"/>
      <c r="AA25" s="94">
        <v>45701</v>
      </c>
      <c r="AB25" s="96">
        <v>8.3333333333333329E-2</v>
      </c>
      <c r="AC25" s="96">
        <v>8.3333333333333329E-2</v>
      </c>
      <c r="AD25" s="17" t="s">
        <v>763</v>
      </c>
      <c r="AE25" s="17" t="s">
        <v>772</v>
      </c>
      <c r="AF25" s="17" t="s">
        <v>326</v>
      </c>
      <c r="AG25" s="96">
        <v>8.3333333333333329E-2</v>
      </c>
      <c r="AH25" s="94">
        <v>45701</v>
      </c>
      <c r="AI25" s="17" t="s">
        <v>763</v>
      </c>
      <c r="AJ25" s="17" t="s">
        <v>638</v>
      </c>
      <c r="AK25" s="17" t="s">
        <v>96</v>
      </c>
      <c r="AL25" s="17">
        <v>2025</v>
      </c>
      <c r="AM25" s="17">
        <v>7</v>
      </c>
      <c r="AN25" s="17">
        <v>13</v>
      </c>
      <c r="AO25" s="17" t="s">
        <v>314</v>
      </c>
      <c r="AP25" s="17" t="s">
        <v>981</v>
      </c>
    </row>
    <row r="26" spans="1:42" x14ac:dyDescent="0.25">
      <c r="A26" s="17" t="s">
        <v>95</v>
      </c>
      <c r="B26" s="94">
        <v>45701</v>
      </c>
      <c r="C26" s="96">
        <v>0.66666666666666674</v>
      </c>
      <c r="D26" s="17" t="s">
        <v>600</v>
      </c>
      <c r="G26" s="17" t="s">
        <v>97</v>
      </c>
      <c r="H26" s="17" t="s">
        <v>98</v>
      </c>
      <c r="I26" s="17">
        <v>6</v>
      </c>
      <c r="J26" s="17" t="s">
        <v>99</v>
      </c>
      <c r="M26" s="17" t="s">
        <v>100</v>
      </c>
      <c r="N26" s="17" t="s">
        <v>101</v>
      </c>
      <c r="O26" s="17" t="s">
        <v>102</v>
      </c>
      <c r="P26" s="17" t="s">
        <v>63</v>
      </c>
      <c r="U26" s="17" t="s">
        <v>103</v>
      </c>
      <c r="V26" s="17" t="s">
        <v>104</v>
      </c>
      <c r="W26" s="17" t="s">
        <v>105</v>
      </c>
      <c r="X26" s="17" t="s">
        <v>106</v>
      </c>
      <c r="Y26" s="17" t="s">
        <v>69</v>
      </c>
      <c r="Z26" s="17" t="s">
        <v>70</v>
      </c>
      <c r="AA26" s="94">
        <v>45701</v>
      </c>
      <c r="AB26" s="96">
        <v>0.66666666666666663</v>
      </c>
      <c r="AC26" s="96">
        <v>0.66666666666666663</v>
      </c>
      <c r="AD26" s="17" t="s">
        <v>765</v>
      </c>
      <c r="AE26" s="17" t="s">
        <v>600</v>
      </c>
      <c r="AF26" s="17" t="s">
        <v>326</v>
      </c>
      <c r="AG26" s="96">
        <v>0.66666666666666663</v>
      </c>
      <c r="AH26" s="94">
        <v>45701</v>
      </c>
      <c r="AI26" s="17" t="s">
        <v>765</v>
      </c>
      <c r="AJ26" s="17" t="s">
        <v>638</v>
      </c>
      <c r="AK26" s="17" t="s">
        <v>96</v>
      </c>
      <c r="AL26" s="17">
        <v>2025</v>
      </c>
      <c r="AM26" s="17">
        <v>7</v>
      </c>
      <c r="AN26" s="17">
        <v>13</v>
      </c>
      <c r="AO26" s="17" t="s">
        <v>849</v>
      </c>
      <c r="AP26" s="17" t="s">
        <v>976</v>
      </c>
    </row>
    <row r="27" spans="1:42" x14ac:dyDescent="0.25">
      <c r="A27" s="17" t="s">
        <v>240</v>
      </c>
      <c r="B27" s="94">
        <v>45705</v>
      </c>
      <c r="C27" s="96">
        <v>0.34877314814814819</v>
      </c>
      <c r="D27" s="17" t="s">
        <v>594</v>
      </c>
      <c r="E27" s="17" t="s">
        <v>241</v>
      </c>
      <c r="G27" s="17" t="s">
        <v>242</v>
      </c>
      <c r="H27" s="17" t="s">
        <v>115</v>
      </c>
      <c r="I27" s="17">
        <v>7</v>
      </c>
      <c r="J27" s="17" t="s">
        <v>243</v>
      </c>
      <c r="M27" s="17" t="s">
        <v>244</v>
      </c>
      <c r="N27" s="17" t="s">
        <v>61</v>
      </c>
      <c r="O27" s="17" t="s">
        <v>178</v>
      </c>
      <c r="P27" s="17" t="s">
        <v>63</v>
      </c>
      <c r="U27" s="17" t="s">
        <v>64</v>
      </c>
      <c r="V27" s="17" t="s">
        <v>66</v>
      </c>
      <c r="W27" s="17" t="s">
        <v>67</v>
      </c>
      <c r="X27" s="17" t="s">
        <v>106</v>
      </c>
      <c r="Y27" s="17" t="s">
        <v>69</v>
      </c>
      <c r="Z27" s="17" t="s">
        <v>181</v>
      </c>
      <c r="AA27" s="94">
        <v>45705</v>
      </c>
      <c r="AB27" s="96">
        <v>0.34877314814814814</v>
      </c>
      <c r="AC27" s="96">
        <v>0.33333333333333331</v>
      </c>
      <c r="AD27" s="17" t="s">
        <v>762</v>
      </c>
      <c r="AE27" s="17" t="s">
        <v>768</v>
      </c>
      <c r="AF27" s="17" t="s">
        <v>326</v>
      </c>
      <c r="AG27" s="96">
        <v>0.34877314814814814</v>
      </c>
      <c r="AH27" s="94">
        <v>45705</v>
      </c>
      <c r="AI27" s="17" t="s">
        <v>762</v>
      </c>
      <c r="AJ27" s="17" t="s">
        <v>636</v>
      </c>
      <c r="AK27" s="17" t="s">
        <v>96</v>
      </c>
      <c r="AL27" s="17">
        <v>2025</v>
      </c>
      <c r="AM27" s="17">
        <v>8</v>
      </c>
      <c r="AN27" s="17">
        <v>17</v>
      </c>
      <c r="AO27" s="17" t="s">
        <v>802</v>
      </c>
      <c r="AP27" s="17" t="s">
        <v>979</v>
      </c>
    </row>
    <row r="28" spans="1:42" x14ac:dyDescent="0.25">
      <c r="A28" s="17" t="s">
        <v>245</v>
      </c>
      <c r="B28" s="94">
        <v>45705</v>
      </c>
      <c r="C28" s="96">
        <v>0.39716435185185195</v>
      </c>
      <c r="D28" s="17" t="s">
        <v>594</v>
      </c>
      <c r="G28" s="17" t="s">
        <v>246</v>
      </c>
      <c r="H28" s="17" t="s">
        <v>247</v>
      </c>
      <c r="I28" s="17">
        <v>7</v>
      </c>
      <c r="J28" s="17" t="s">
        <v>248</v>
      </c>
      <c r="M28" s="17" t="s">
        <v>249</v>
      </c>
      <c r="N28" s="17" t="s">
        <v>61</v>
      </c>
      <c r="O28" s="17" t="s">
        <v>178</v>
      </c>
      <c r="P28" s="17" t="s">
        <v>63</v>
      </c>
      <c r="U28" s="17" t="s">
        <v>64</v>
      </c>
      <c r="V28" s="17" t="s">
        <v>250</v>
      </c>
      <c r="W28" s="17" t="s">
        <v>67</v>
      </c>
      <c r="X28" s="17" t="s">
        <v>106</v>
      </c>
      <c r="Y28" s="17" t="s">
        <v>69</v>
      </c>
      <c r="Z28" s="17" t="s">
        <v>181</v>
      </c>
      <c r="AA28" s="94">
        <v>45705</v>
      </c>
      <c r="AB28" s="96">
        <v>0.39716435185185184</v>
      </c>
      <c r="AC28" s="96">
        <v>0.375</v>
      </c>
      <c r="AD28" s="17" t="s">
        <v>762</v>
      </c>
      <c r="AE28" s="17" t="s">
        <v>594</v>
      </c>
      <c r="AF28" s="17" t="s">
        <v>326</v>
      </c>
      <c r="AG28" s="96">
        <v>0.39716435185185184</v>
      </c>
      <c r="AH28" s="94">
        <v>45705</v>
      </c>
      <c r="AI28" s="17" t="s">
        <v>762</v>
      </c>
      <c r="AJ28" s="17" t="s">
        <v>636</v>
      </c>
      <c r="AK28" s="17" t="s">
        <v>96</v>
      </c>
      <c r="AL28" s="17">
        <v>2025</v>
      </c>
      <c r="AM28" s="17">
        <v>8</v>
      </c>
      <c r="AN28" s="17">
        <v>17</v>
      </c>
      <c r="AO28" s="17" t="s">
        <v>803</v>
      </c>
      <c r="AP28" s="17" t="s">
        <v>976</v>
      </c>
    </row>
    <row r="29" spans="1:42" x14ac:dyDescent="0.25">
      <c r="A29" s="17" t="s">
        <v>154</v>
      </c>
      <c r="B29" s="94">
        <v>45705</v>
      </c>
      <c r="C29" s="96">
        <v>0.52497685185185183</v>
      </c>
      <c r="D29" s="17" t="s">
        <v>627</v>
      </c>
      <c r="E29" s="17" t="s">
        <v>157</v>
      </c>
      <c r="G29" s="17" t="s">
        <v>158</v>
      </c>
      <c r="H29" s="17" t="s">
        <v>159</v>
      </c>
      <c r="I29" s="17">
        <v>9</v>
      </c>
      <c r="J29" s="17" t="s">
        <v>160</v>
      </c>
      <c r="U29" s="17" t="s">
        <v>64</v>
      </c>
      <c r="V29" s="17" t="s">
        <v>66</v>
      </c>
      <c r="W29" s="17" t="s">
        <v>67</v>
      </c>
      <c r="X29" s="17" t="s">
        <v>161</v>
      </c>
      <c r="Y29" s="17" t="s">
        <v>69</v>
      </c>
      <c r="Z29" s="17" t="s">
        <v>118</v>
      </c>
      <c r="AA29" s="94">
        <v>45705</v>
      </c>
      <c r="AB29" s="96">
        <v>0.52497685185185183</v>
      </c>
      <c r="AC29" s="96">
        <v>0.5</v>
      </c>
      <c r="AD29" s="17" t="s">
        <v>761</v>
      </c>
      <c r="AE29" s="17" t="s">
        <v>756</v>
      </c>
      <c r="AF29" s="17" t="s">
        <v>326</v>
      </c>
      <c r="AG29" s="96">
        <v>0.52497685185185183</v>
      </c>
      <c r="AH29" s="94">
        <v>45705</v>
      </c>
      <c r="AI29" s="17" t="s">
        <v>761</v>
      </c>
      <c r="AJ29" s="17" t="s">
        <v>636</v>
      </c>
      <c r="AK29" s="17" t="s">
        <v>96</v>
      </c>
      <c r="AL29" s="17">
        <v>2025</v>
      </c>
      <c r="AM29" s="17">
        <v>8</v>
      </c>
      <c r="AN29" s="17">
        <v>17</v>
      </c>
      <c r="AO29" s="17" t="s">
        <v>821</v>
      </c>
      <c r="AP29" s="17" t="s">
        <v>979</v>
      </c>
    </row>
    <row r="30" spans="1:42" x14ac:dyDescent="0.25">
      <c r="A30" s="17" t="s">
        <v>303</v>
      </c>
      <c r="B30" s="94">
        <v>45705</v>
      </c>
      <c r="C30" s="96">
        <v>0.83333333333333326</v>
      </c>
      <c r="D30" s="17" t="s">
        <v>304</v>
      </c>
      <c r="E30" s="17" t="s">
        <v>613</v>
      </c>
      <c r="G30" s="17" t="s">
        <v>305</v>
      </c>
      <c r="H30" s="17" t="s">
        <v>306</v>
      </c>
      <c r="I30" s="17">
        <v>8</v>
      </c>
      <c r="J30" s="17" t="s">
        <v>307</v>
      </c>
      <c r="U30" s="17" t="s">
        <v>300</v>
      </c>
      <c r="V30" s="17" t="s">
        <v>93</v>
      </c>
      <c r="W30" s="17" t="s">
        <v>301</v>
      </c>
      <c r="X30" s="17" t="s">
        <v>93</v>
      </c>
      <c r="Y30" s="17" t="s">
        <v>211</v>
      </c>
      <c r="Z30" s="17"/>
      <c r="AA30" s="94">
        <v>45705</v>
      </c>
      <c r="AB30" s="96">
        <v>0.83333333333333337</v>
      </c>
      <c r="AC30" s="96">
        <v>0.83333333333333337</v>
      </c>
      <c r="AD30" s="17" t="s">
        <v>764</v>
      </c>
      <c r="AE30" s="17" t="s">
        <v>779</v>
      </c>
      <c r="AF30" s="17" t="s">
        <v>326</v>
      </c>
      <c r="AG30" s="96">
        <v>0.83333333333333337</v>
      </c>
      <c r="AH30" s="94">
        <v>45705</v>
      </c>
      <c r="AI30" s="17" t="s">
        <v>764</v>
      </c>
      <c r="AJ30" s="17" t="s">
        <v>636</v>
      </c>
      <c r="AK30" s="17" t="s">
        <v>96</v>
      </c>
      <c r="AL30" s="17">
        <v>2025</v>
      </c>
      <c r="AM30" s="17">
        <v>8</v>
      </c>
      <c r="AN30" s="17">
        <v>17</v>
      </c>
      <c r="AO30" s="17" t="s">
        <v>812</v>
      </c>
      <c r="AP30" s="17" t="s">
        <v>976</v>
      </c>
    </row>
    <row r="31" spans="1:42" x14ac:dyDescent="0.25">
      <c r="A31" s="17" t="s">
        <v>251</v>
      </c>
      <c r="B31" s="94">
        <v>45713</v>
      </c>
      <c r="C31" s="96">
        <v>0.41666666666666674</v>
      </c>
      <c r="D31" s="17" t="s">
        <v>594</v>
      </c>
      <c r="G31" s="17" t="s">
        <v>252</v>
      </c>
      <c r="H31" s="17" t="s">
        <v>198</v>
      </c>
      <c r="I31" s="17">
        <v>5</v>
      </c>
      <c r="J31" s="17" t="s">
        <v>253</v>
      </c>
      <c r="M31" s="17" t="s">
        <v>254</v>
      </c>
      <c r="N31" s="17" t="s">
        <v>61</v>
      </c>
      <c r="O31" s="17" t="s">
        <v>255</v>
      </c>
      <c r="P31" s="17" t="s">
        <v>256</v>
      </c>
      <c r="U31" s="17" t="s">
        <v>138</v>
      </c>
      <c r="V31" s="17" t="s">
        <v>139</v>
      </c>
      <c r="W31" s="17" t="s">
        <v>140</v>
      </c>
      <c r="X31" s="17" t="s">
        <v>141</v>
      </c>
      <c r="Y31" s="17" t="s">
        <v>665</v>
      </c>
      <c r="Z31" s="17" t="s">
        <v>181</v>
      </c>
      <c r="AA31" s="94">
        <v>45713</v>
      </c>
      <c r="AB31" s="96">
        <v>0.41666666666666669</v>
      </c>
      <c r="AC31" s="96">
        <v>0.41666666666666669</v>
      </c>
      <c r="AD31" s="17" t="s">
        <v>762</v>
      </c>
      <c r="AE31" s="17" t="s">
        <v>594</v>
      </c>
      <c r="AF31" s="17" t="s">
        <v>326</v>
      </c>
      <c r="AG31" s="96">
        <v>0.41666666666666669</v>
      </c>
      <c r="AH31" s="94">
        <v>45713</v>
      </c>
      <c r="AI31" s="17" t="s">
        <v>762</v>
      </c>
      <c r="AJ31" s="17" t="s">
        <v>635</v>
      </c>
      <c r="AK31" s="17" t="s">
        <v>96</v>
      </c>
      <c r="AL31" s="17">
        <v>2025</v>
      </c>
      <c r="AM31" s="17">
        <v>9</v>
      </c>
      <c r="AN31" s="17">
        <v>25</v>
      </c>
      <c r="AO31" s="17" t="s">
        <v>804</v>
      </c>
      <c r="AP31" s="17" t="s">
        <v>976</v>
      </c>
    </row>
    <row r="32" spans="1:42" x14ac:dyDescent="0.25">
      <c r="A32" s="17" t="s">
        <v>718</v>
      </c>
      <c r="B32" s="94">
        <v>45717</v>
      </c>
      <c r="C32" s="96">
        <v>0.25</v>
      </c>
      <c r="D32" s="17" t="s">
        <v>594</v>
      </c>
      <c r="G32" s="17" t="s">
        <v>719</v>
      </c>
      <c r="H32" s="17" t="s">
        <v>306</v>
      </c>
      <c r="I32" s="17">
        <v>8</v>
      </c>
      <c r="J32" s="17" t="s">
        <v>753</v>
      </c>
      <c r="M32" s="17" t="s">
        <v>733</v>
      </c>
      <c r="N32" s="17" t="s">
        <v>989</v>
      </c>
      <c r="O32" s="17" t="s">
        <v>735</v>
      </c>
      <c r="P32" s="17" t="s">
        <v>63</v>
      </c>
      <c r="U32" s="17" t="s">
        <v>138</v>
      </c>
      <c r="V32" s="17" t="s">
        <v>591</v>
      </c>
      <c r="W32" s="17" t="s">
        <v>443</v>
      </c>
      <c r="X32" s="17" t="s">
        <v>93</v>
      </c>
      <c r="Y32" s="17" t="s">
        <v>107</v>
      </c>
      <c r="Z32" s="17"/>
      <c r="AA32" s="94">
        <v>45717</v>
      </c>
      <c r="AB32" s="96">
        <v>0.25</v>
      </c>
      <c r="AC32" s="96">
        <v>0.25</v>
      </c>
      <c r="AD32" s="17" t="s">
        <v>766</v>
      </c>
      <c r="AE32" s="17" t="s">
        <v>594</v>
      </c>
      <c r="AF32" s="17" t="s">
        <v>326</v>
      </c>
      <c r="AG32" s="96">
        <v>0.25</v>
      </c>
      <c r="AH32" s="94">
        <v>45717</v>
      </c>
      <c r="AI32" s="17" t="s">
        <v>766</v>
      </c>
      <c r="AJ32" s="17" t="s">
        <v>639</v>
      </c>
      <c r="AK32" s="17" t="s">
        <v>331</v>
      </c>
      <c r="AL32" s="17">
        <v>2025</v>
      </c>
      <c r="AM32" s="17">
        <v>9</v>
      </c>
      <c r="AN32" s="17">
        <v>1</v>
      </c>
      <c r="AO32" s="17" t="s">
        <v>814</v>
      </c>
      <c r="AP32" s="17" t="s">
        <v>976</v>
      </c>
    </row>
    <row r="33" spans="1:42" x14ac:dyDescent="0.25">
      <c r="A33" s="17" t="s">
        <v>350</v>
      </c>
      <c r="B33" s="94">
        <v>45720</v>
      </c>
      <c r="C33" s="96">
        <v>0.64097222222222228</v>
      </c>
      <c r="D33" s="17" t="s">
        <v>603</v>
      </c>
      <c r="E33" s="17" t="s">
        <v>666</v>
      </c>
      <c r="F33" s="17" t="s">
        <v>258</v>
      </c>
      <c r="G33" s="17" t="s">
        <v>351</v>
      </c>
      <c r="H33" s="17" t="s">
        <v>74</v>
      </c>
      <c r="I33" s="17">
        <v>8</v>
      </c>
      <c r="J33" s="17" t="s">
        <v>352</v>
      </c>
      <c r="M33" s="17" t="s">
        <v>353</v>
      </c>
      <c r="N33" s="17" t="s">
        <v>354</v>
      </c>
      <c r="O33" s="17" t="s">
        <v>355</v>
      </c>
      <c r="P33" s="17" t="s">
        <v>63</v>
      </c>
      <c r="U33" s="17" t="s">
        <v>300</v>
      </c>
      <c r="V33" s="17" t="s">
        <v>356</v>
      </c>
      <c r="W33" s="17" t="s">
        <v>140</v>
      </c>
      <c r="X33" s="17" t="s">
        <v>280</v>
      </c>
      <c r="Y33" s="17" t="s">
        <v>168</v>
      </c>
      <c r="Z33" s="17" t="s">
        <v>264</v>
      </c>
      <c r="AA33" s="94">
        <v>45720</v>
      </c>
      <c r="AB33" s="96">
        <v>0.64097222222222228</v>
      </c>
      <c r="AC33" s="96">
        <v>0.625</v>
      </c>
      <c r="AD33" s="17" t="s">
        <v>761</v>
      </c>
      <c r="AE33" s="17" t="s">
        <v>773</v>
      </c>
      <c r="AF33" s="17" t="s">
        <v>326</v>
      </c>
      <c r="AG33" s="96">
        <v>0.64097222222222228</v>
      </c>
      <c r="AH33" s="94">
        <v>45720</v>
      </c>
      <c r="AI33" s="17" t="s">
        <v>761</v>
      </c>
      <c r="AJ33" s="17" t="s">
        <v>635</v>
      </c>
      <c r="AK33" s="17" t="s">
        <v>331</v>
      </c>
      <c r="AL33" s="17">
        <v>2025</v>
      </c>
      <c r="AM33" s="17">
        <v>10</v>
      </c>
      <c r="AN33" s="17">
        <v>4</v>
      </c>
      <c r="AO33" s="17" t="s">
        <v>835</v>
      </c>
      <c r="AP33" s="17" t="s">
        <v>978</v>
      </c>
    </row>
    <row r="34" spans="1:42" x14ac:dyDescent="0.25">
      <c r="A34" s="17" t="s">
        <v>345</v>
      </c>
      <c r="B34" s="94">
        <v>45720</v>
      </c>
      <c r="C34" s="96">
        <v>0.79126157407407405</v>
      </c>
      <c r="D34" s="17" t="s">
        <v>603</v>
      </c>
      <c r="G34" s="17" t="s">
        <v>347</v>
      </c>
      <c r="H34" s="17" t="s">
        <v>206</v>
      </c>
      <c r="I34" s="17">
        <v>6</v>
      </c>
      <c r="J34" s="17" t="s">
        <v>348</v>
      </c>
      <c r="U34" s="17" t="s">
        <v>300</v>
      </c>
      <c r="V34" s="17" t="s">
        <v>349</v>
      </c>
      <c r="W34" s="17" t="s">
        <v>171</v>
      </c>
      <c r="X34" s="17" t="s">
        <v>68</v>
      </c>
      <c r="Y34" s="17" t="s">
        <v>168</v>
      </c>
      <c r="Z34" s="17" t="s">
        <v>264</v>
      </c>
      <c r="AA34" s="94">
        <v>45720</v>
      </c>
      <c r="AB34" s="96">
        <v>0.79126157407407405</v>
      </c>
      <c r="AC34" s="96">
        <v>0.75</v>
      </c>
      <c r="AD34" s="17" t="s">
        <v>765</v>
      </c>
      <c r="AE34" s="17" t="s">
        <v>603</v>
      </c>
      <c r="AF34" s="17" t="s">
        <v>326</v>
      </c>
      <c r="AG34" s="96">
        <v>0.79126157407407405</v>
      </c>
      <c r="AH34" s="94">
        <v>45720</v>
      </c>
      <c r="AI34" s="17" t="s">
        <v>765</v>
      </c>
      <c r="AJ34" s="17" t="s">
        <v>635</v>
      </c>
      <c r="AK34" s="17" t="s">
        <v>331</v>
      </c>
      <c r="AL34" s="17">
        <v>2025</v>
      </c>
      <c r="AM34" s="17">
        <v>10</v>
      </c>
      <c r="AN34" s="17">
        <v>4</v>
      </c>
      <c r="AO34" s="17" t="s">
        <v>823</v>
      </c>
      <c r="AP34" s="17" t="s">
        <v>976</v>
      </c>
    </row>
    <row r="35" spans="1:42" x14ac:dyDescent="0.25">
      <c r="A35" s="17" t="s">
        <v>330</v>
      </c>
      <c r="B35" s="94">
        <v>45722</v>
      </c>
      <c r="C35" s="96">
        <v>0.94149305555555562</v>
      </c>
      <c r="D35" s="17" t="s">
        <v>600</v>
      </c>
      <c r="G35" s="17" t="s">
        <v>332</v>
      </c>
      <c r="H35" s="17" t="s">
        <v>74</v>
      </c>
      <c r="I35" s="17">
        <v>8</v>
      </c>
      <c r="J35" s="17" t="s">
        <v>333</v>
      </c>
      <c r="M35" s="17" t="s">
        <v>334</v>
      </c>
      <c r="N35" s="17" t="s">
        <v>101</v>
      </c>
      <c r="O35" s="17" t="s">
        <v>335</v>
      </c>
      <c r="P35" s="17" t="s">
        <v>63</v>
      </c>
      <c r="U35" s="17" t="s">
        <v>336</v>
      </c>
      <c r="V35" s="17" t="s">
        <v>66</v>
      </c>
      <c r="W35" s="17" t="s">
        <v>67</v>
      </c>
      <c r="X35" s="17" t="s">
        <v>141</v>
      </c>
      <c r="Y35" s="17" t="s">
        <v>107</v>
      </c>
      <c r="Z35" s="17" t="s">
        <v>70</v>
      </c>
      <c r="AA35" s="94">
        <v>45722</v>
      </c>
      <c r="AB35" s="96">
        <v>0.94149305555555551</v>
      </c>
      <c r="AC35" s="96">
        <v>0.91666666666666663</v>
      </c>
      <c r="AD35" s="17" t="s">
        <v>764</v>
      </c>
      <c r="AE35" s="17" t="s">
        <v>600</v>
      </c>
      <c r="AF35" s="17" t="s">
        <v>326</v>
      </c>
      <c r="AG35" s="96">
        <v>0.94149305555555551</v>
      </c>
      <c r="AH35" s="94">
        <v>45722</v>
      </c>
      <c r="AI35" s="17" t="s">
        <v>764</v>
      </c>
      <c r="AJ35" s="17" t="s">
        <v>638</v>
      </c>
      <c r="AK35" s="17" t="s">
        <v>331</v>
      </c>
      <c r="AL35" s="17">
        <v>2025</v>
      </c>
      <c r="AM35" s="17">
        <v>10</v>
      </c>
      <c r="AN35" s="17">
        <v>6</v>
      </c>
      <c r="AO35" s="17" t="s">
        <v>851</v>
      </c>
      <c r="AP35" s="17" t="s">
        <v>976</v>
      </c>
    </row>
    <row r="36" spans="1:42" x14ac:dyDescent="0.25">
      <c r="A36" s="17" t="s">
        <v>337</v>
      </c>
      <c r="B36" s="94">
        <v>45725</v>
      </c>
      <c r="C36" s="96">
        <v>0.8125</v>
      </c>
      <c r="D36" s="17" t="s">
        <v>600</v>
      </c>
      <c r="G36" s="17" t="s">
        <v>339</v>
      </c>
      <c r="H36" s="17" t="s">
        <v>115</v>
      </c>
      <c r="I36" s="17">
        <v>7</v>
      </c>
      <c r="J36" s="17" t="s">
        <v>340</v>
      </c>
      <c r="M36" s="17" t="s">
        <v>341</v>
      </c>
      <c r="N36" s="17" t="s">
        <v>342</v>
      </c>
      <c r="O36" s="17" t="s">
        <v>343</v>
      </c>
      <c r="P36" s="17" t="s">
        <v>63</v>
      </c>
      <c r="U36" s="17" t="s">
        <v>138</v>
      </c>
      <c r="V36" s="17" t="s">
        <v>344</v>
      </c>
      <c r="W36" s="17" t="s">
        <v>262</v>
      </c>
      <c r="X36" s="17" t="s">
        <v>106</v>
      </c>
      <c r="Y36" s="17" t="s">
        <v>69</v>
      </c>
      <c r="Z36" s="17" t="s">
        <v>70</v>
      </c>
      <c r="AA36" s="94">
        <v>45725</v>
      </c>
      <c r="AB36" s="96">
        <v>0.8125</v>
      </c>
      <c r="AC36" s="96">
        <v>0.79166666666666663</v>
      </c>
      <c r="AD36" s="17" t="s">
        <v>765</v>
      </c>
      <c r="AE36" s="17" t="s">
        <v>600</v>
      </c>
      <c r="AF36" s="17" t="s">
        <v>326</v>
      </c>
      <c r="AG36" s="96">
        <v>0.8125</v>
      </c>
      <c r="AH36" s="94">
        <v>45725</v>
      </c>
      <c r="AI36" s="17" t="s">
        <v>765</v>
      </c>
      <c r="AJ36" s="17" t="s">
        <v>640</v>
      </c>
      <c r="AK36" s="17" t="s">
        <v>331</v>
      </c>
      <c r="AL36" s="17">
        <v>2025</v>
      </c>
      <c r="AM36" s="17">
        <v>11</v>
      </c>
      <c r="AN36" s="17">
        <v>9</v>
      </c>
      <c r="AO36" s="17" t="s">
        <v>338</v>
      </c>
      <c r="AP36" s="17" t="s">
        <v>976</v>
      </c>
    </row>
    <row r="37" spans="1:42" x14ac:dyDescent="0.25">
      <c r="A37" s="17" t="s">
        <v>376</v>
      </c>
      <c r="B37" s="94">
        <v>45726</v>
      </c>
      <c r="C37" s="96">
        <v>4.6527777777777724E-2</v>
      </c>
      <c r="D37" s="17" t="s">
        <v>608</v>
      </c>
      <c r="G37" s="17" t="s">
        <v>379</v>
      </c>
      <c r="H37" s="17" t="s">
        <v>221</v>
      </c>
      <c r="I37" s="17">
        <v>8</v>
      </c>
      <c r="J37" s="17" t="s">
        <v>380</v>
      </c>
      <c r="U37" s="17" t="s">
        <v>381</v>
      </c>
      <c r="V37" s="17" t="s">
        <v>179</v>
      </c>
      <c r="W37" s="17" t="s">
        <v>140</v>
      </c>
      <c r="X37" s="17" t="s">
        <v>93</v>
      </c>
      <c r="Y37" s="17" t="s">
        <v>168</v>
      </c>
      <c r="Z37" s="17" t="s">
        <v>118</v>
      </c>
      <c r="AA37" s="94">
        <v>45726</v>
      </c>
      <c r="AB37" s="96">
        <v>4.6527777777777779E-2</v>
      </c>
      <c r="AC37" s="96">
        <v>4.1666666666666664E-2</v>
      </c>
      <c r="AD37" s="17" t="s">
        <v>763</v>
      </c>
      <c r="AE37" s="17" t="s">
        <v>608</v>
      </c>
      <c r="AF37" s="17" t="s">
        <v>326</v>
      </c>
      <c r="AG37" s="96">
        <v>4.6527777777777779E-2</v>
      </c>
      <c r="AH37" s="94">
        <v>45726</v>
      </c>
      <c r="AI37" s="17" t="s">
        <v>763</v>
      </c>
      <c r="AJ37" s="17" t="s">
        <v>636</v>
      </c>
      <c r="AK37" s="17" t="s">
        <v>331</v>
      </c>
      <c r="AL37" s="17">
        <v>2025</v>
      </c>
      <c r="AM37" s="17">
        <v>11</v>
      </c>
      <c r="AN37" s="17">
        <v>10</v>
      </c>
      <c r="AO37" s="17" t="s">
        <v>822</v>
      </c>
      <c r="AP37" s="17" t="s">
        <v>976</v>
      </c>
    </row>
    <row r="38" spans="1:42" x14ac:dyDescent="0.25">
      <c r="A38" s="17" t="s">
        <v>368</v>
      </c>
      <c r="B38" s="94">
        <v>45727</v>
      </c>
      <c r="C38" s="96">
        <v>0.60416666666666674</v>
      </c>
      <c r="D38" s="17" t="s">
        <v>600</v>
      </c>
      <c r="G38" s="17" t="s">
        <v>369</v>
      </c>
      <c r="H38" s="17" t="s">
        <v>74</v>
      </c>
      <c r="I38" s="17">
        <v>8</v>
      </c>
      <c r="J38" s="17" t="s">
        <v>370</v>
      </c>
      <c r="M38" s="17" t="s">
        <v>371</v>
      </c>
      <c r="N38" s="17" t="s">
        <v>372</v>
      </c>
      <c r="O38" s="17" t="s">
        <v>373</v>
      </c>
      <c r="P38" s="17" t="s">
        <v>63</v>
      </c>
      <c r="U38" s="17" t="s">
        <v>300</v>
      </c>
      <c r="V38" s="17" t="s">
        <v>139</v>
      </c>
      <c r="W38" s="17" t="s">
        <v>140</v>
      </c>
      <c r="X38" s="17" t="s">
        <v>374</v>
      </c>
      <c r="Y38" s="17" t="s">
        <v>69</v>
      </c>
      <c r="Z38" s="17" t="s">
        <v>70</v>
      </c>
      <c r="AA38" s="94">
        <v>45727</v>
      </c>
      <c r="AB38" s="96">
        <v>0.60416666666666663</v>
      </c>
      <c r="AC38" s="96">
        <v>0.58333333333333337</v>
      </c>
      <c r="AD38" s="17" t="s">
        <v>761</v>
      </c>
      <c r="AE38" s="17" t="s">
        <v>600</v>
      </c>
      <c r="AF38" s="17" t="s">
        <v>326</v>
      </c>
      <c r="AG38" s="96">
        <v>0.60416666666666663</v>
      </c>
      <c r="AH38" s="94">
        <v>45727</v>
      </c>
      <c r="AI38" s="17" t="s">
        <v>761</v>
      </c>
      <c r="AJ38" s="17" t="s">
        <v>635</v>
      </c>
      <c r="AK38" s="17" t="s">
        <v>331</v>
      </c>
      <c r="AL38" s="17">
        <v>2025</v>
      </c>
      <c r="AM38" s="17">
        <v>11</v>
      </c>
      <c r="AN38" s="17">
        <v>11</v>
      </c>
      <c r="AO38" s="17" t="s">
        <v>852</v>
      </c>
      <c r="AP38" s="17" t="s">
        <v>976</v>
      </c>
    </row>
    <row r="39" spans="1:42" x14ac:dyDescent="0.25">
      <c r="A39" s="17" t="s">
        <v>393</v>
      </c>
      <c r="B39" s="94">
        <v>45737</v>
      </c>
      <c r="C39" s="96">
        <v>0.32499999999999996</v>
      </c>
      <c r="D39" s="17" t="s">
        <v>594</v>
      </c>
      <c r="G39" s="17" t="s">
        <v>394</v>
      </c>
      <c r="H39" s="17" t="s">
        <v>206</v>
      </c>
      <c r="I39" s="17">
        <v>6</v>
      </c>
      <c r="J39" s="17" t="s">
        <v>395</v>
      </c>
      <c r="M39" s="17" t="s">
        <v>396</v>
      </c>
      <c r="N39" s="17" t="s">
        <v>397</v>
      </c>
      <c r="P39" s="17" t="s">
        <v>63</v>
      </c>
      <c r="U39" s="17" t="s">
        <v>336</v>
      </c>
      <c r="V39" s="17" t="s">
        <v>128</v>
      </c>
      <c r="W39" s="17" t="s">
        <v>80</v>
      </c>
      <c r="X39" s="17" t="s">
        <v>152</v>
      </c>
      <c r="Y39" s="17" t="s">
        <v>211</v>
      </c>
      <c r="Z39" s="17" t="s">
        <v>181</v>
      </c>
      <c r="AA39" s="94">
        <v>45737</v>
      </c>
      <c r="AB39" s="96">
        <v>0.32500000000000001</v>
      </c>
      <c r="AC39" s="96">
        <v>0.29166666666666669</v>
      </c>
      <c r="AD39" s="17" t="s">
        <v>766</v>
      </c>
      <c r="AE39" s="17" t="s">
        <v>594</v>
      </c>
      <c r="AF39" s="17" t="s">
        <v>326</v>
      </c>
      <c r="AG39" s="96">
        <v>0.32500000000000001</v>
      </c>
      <c r="AH39" s="94">
        <v>45737</v>
      </c>
      <c r="AI39" s="17" t="s">
        <v>766</v>
      </c>
      <c r="AJ39" s="17" t="s">
        <v>485</v>
      </c>
      <c r="AK39" s="17" t="s">
        <v>331</v>
      </c>
      <c r="AL39" s="17">
        <v>2025</v>
      </c>
      <c r="AM39" s="17">
        <v>12</v>
      </c>
      <c r="AN39" s="17">
        <v>21</v>
      </c>
      <c r="AO39" s="17" t="s">
        <v>806</v>
      </c>
      <c r="AP39" s="17" t="s">
        <v>976</v>
      </c>
    </row>
    <row r="40" spans="1:42" x14ac:dyDescent="0.25">
      <c r="A40" s="17" t="s">
        <v>398</v>
      </c>
      <c r="B40" s="94">
        <v>45739</v>
      </c>
      <c r="C40" s="96">
        <v>0.17361111111111116</v>
      </c>
      <c r="D40" s="17" t="s">
        <v>600</v>
      </c>
      <c r="E40" s="17" t="s">
        <v>672</v>
      </c>
      <c r="G40" s="17" t="s">
        <v>399</v>
      </c>
      <c r="H40" s="17" t="s">
        <v>198</v>
      </c>
      <c r="I40" s="17">
        <v>5</v>
      </c>
      <c r="J40" s="17" t="s">
        <v>400</v>
      </c>
      <c r="M40" s="17" t="s">
        <v>401</v>
      </c>
      <c r="N40" s="17" t="s">
        <v>101</v>
      </c>
      <c r="O40" s="17" t="s">
        <v>402</v>
      </c>
      <c r="P40" s="17" t="s">
        <v>63</v>
      </c>
      <c r="U40" s="17" t="s">
        <v>403</v>
      </c>
      <c r="V40" s="17" t="s">
        <v>92</v>
      </c>
      <c r="W40" s="17" t="s">
        <v>67</v>
      </c>
      <c r="X40" s="17" t="s">
        <v>106</v>
      </c>
      <c r="Y40" s="17" t="s">
        <v>69</v>
      </c>
      <c r="Z40" s="17" t="s">
        <v>70</v>
      </c>
      <c r="AA40" s="94">
        <v>45739</v>
      </c>
      <c r="AB40" s="96">
        <v>0.1736111111111111</v>
      </c>
      <c r="AC40" s="96">
        <v>0.16666666666666666</v>
      </c>
      <c r="AD40" s="17" t="s">
        <v>766</v>
      </c>
      <c r="AE40" s="17" t="s">
        <v>854</v>
      </c>
      <c r="AF40" s="17" t="s">
        <v>326</v>
      </c>
      <c r="AG40" s="96">
        <v>0.1736111111111111</v>
      </c>
      <c r="AH40" s="94">
        <v>45739</v>
      </c>
      <c r="AI40" s="17" t="s">
        <v>766</v>
      </c>
      <c r="AJ40" s="17" t="s">
        <v>640</v>
      </c>
      <c r="AK40" s="17" t="s">
        <v>331</v>
      </c>
      <c r="AL40" s="17">
        <v>2025</v>
      </c>
      <c r="AM40" s="17">
        <v>13</v>
      </c>
      <c r="AN40" s="17">
        <v>23</v>
      </c>
      <c r="AO40" s="17" t="s">
        <v>853</v>
      </c>
      <c r="AP40" s="17" t="s">
        <v>976</v>
      </c>
    </row>
    <row r="41" spans="1:42" x14ac:dyDescent="0.25">
      <c r="A41" s="17" t="s">
        <v>585</v>
      </c>
      <c r="B41" s="94">
        <v>45739</v>
      </c>
      <c r="C41" s="96">
        <v>0.6201388888888888</v>
      </c>
      <c r="D41" s="17" t="s">
        <v>598</v>
      </c>
      <c r="G41" s="17" t="s">
        <v>587</v>
      </c>
      <c r="H41" s="17" t="s">
        <v>588</v>
      </c>
      <c r="I41" s="17">
        <v>9</v>
      </c>
      <c r="J41" s="17" t="s">
        <v>589</v>
      </c>
      <c r="U41" s="17" t="s">
        <v>590</v>
      </c>
      <c r="V41" s="17" t="s">
        <v>591</v>
      </c>
      <c r="W41" s="17" t="s">
        <v>67</v>
      </c>
      <c r="X41" s="17" t="s">
        <v>106</v>
      </c>
      <c r="Y41" s="17" t="s">
        <v>107</v>
      </c>
      <c r="Z41" s="17" t="s">
        <v>296</v>
      </c>
      <c r="AA41" s="94">
        <v>45739</v>
      </c>
      <c r="AB41" s="96">
        <v>0.62013888888888891</v>
      </c>
      <c r="AC41" s="96">
        <v>0.58333333333333337</v>
      </c>
      <c r="AD41" s="17" t="s">
        <v>761</v>
      </c>
      <c r="AE41" s="17" t="s">
        <v>598</v>
      </c>
      <c r="AF41" s="17" t="s">
        <v>326</v>
      </c>
      <c r="AG41" s="96">
        <v>0.62013888888888891</v>
      </c>
      <c r="AH41" s="94">
        <v>45739</v>
      </c>
      <c r="AI41" s="17" t="s">
        <v>761</v>
      </c>
      <c r="AJ41" s="17" t="s">
        <v>640</v>
      </c>
      <c r="AK41" s="17" t="s">
        <v>331</v>
      </c>
      <c r="AL41" s="17">
        <v>2025</v>
      </c>
      <c r="AM41" s="17">
        <v>13</v>
      </c>
      <c r="AN41" s="17">
        <v>23</v>
      </c>
      <c r="AO41" s="17" t="s">
        <v>586</v>
      </c>
      <c r="AP41" s="17" t="s">
        <v>976</v>
      </c>
    </row>
    <row r="42" spans="1:42" x14ac:dyDescent="0.25">
      <c r="A42" s="17" t="s">
        <v>487</v>
      </c>
      <c r="B42" s="94">
        <v>45741</v>
      </c>
      <c r="C42" s="96">
        <v>0.48402777777777772</v>
      </c>
      <c r="D42" s="17" t="s">
        <v>603</v>
      </c>
      <c r="E42" s="17" t="s">
        <v>616</v>
      </c>
      <c r="F42" s="17" t="s">
        <v>488</v>
      </c>
      <c r="G42" s="17" t="s">
        <v>268</v>
      </c>
      <c r="H42" s="17" t="s">
        <v>269</v>
      </c>
      <c r="I42" s="17">
        <v>9</v>
      </c>
      <c r="J42" s="17" t="s">
        <v>489</v>
      </c>
      <c r="M42" s="17" t="s">
        <v>490</v>
      </c>
      <c r="N42" s="17" t="s">
        <v>372</v>
      </c>
      <c r="O42" s="17" t="s">
        <v>491</v>
      </c>
      <c r="P42" s="17" t="s">
        <v>63</v>
      </c>
      <c r="U42" s="17" t="s">
        <v>138</v>
      </c>
      <c r="V42" s="17" t="s">
        <v>467</v>
      </c>
      <c r="W42" s="17" t="s">
        <v>262</v>
      </c>
      <c r="X42" s="17" t="s">
        <v>141</v>
      </c>
      <c r="Y42" s="17" t="s">
        <v>107</v>
      </c>
      <c r="Z42" s="17" t="s">
        <v>264</v>
      </c>
      <c r="AA42" s="94">
        <v>45741</v>
      </c>
      <c r="AB42" s="96">
        <v>0.48402777777777778</v>
      </c>
      <c r="AC42" s="96">
        <v>0.45833333333333331</v>
      </c>
      <c r="AD42" s="17" t="s">
        <v>762</v>
      </c>
      <c r="AE42" s="17" t="s">
        <v>774</v>
      </c>
      <c r="AF42" s="17" t="s">
        <v>326</v>
      </c>
      <c r="AG42" s="96">
        <v>0.48402777777777778</v>
      </c>
      <c r="AH42" s="94">
        <v>45741</v>
      </c>
      <c r="AI42" s="17" t="s">
        <v>762</v>
      </c>
      <c r="AJ42" s="17" t="s">
        <v>635</v>
      </c>
      <c r="AK42" s="17" t="s">
        <v>331</v>
      </c>
      <c r="AL42" s="17">
        <v>2025</v>
      </c>
      <c r="AM42" s="17">
        <v>13</v>
      </c>
      <c r="AN42" s="17">
        <v>25</v>
      </c>
      <c r="AO42" s="17" t="s">
        <v>831</v>
      </c>
      <c r="AP42" s="17" t="s">
        <v>978</v>
      </c>
    </row>
    <row r="43" spans="1:42" x14ac:dyDescent="0.25">
      <c r="A43" s="17" t="s">
        <v>405</v>
      </c>
      <c r="B43" s="94">
        <v>45743</v>
      </c>
      <c r="C43" s="96">
        <v>0.94666666666666677</v>
      </c>
      <c r="D43" s="17" t="s">
        <v>627</v>
      </c>
      <c r="E43" s="17" t="s">
        <v>676</v>
      </c>
      <c r="F43" s="17" t="s">
        <v>604</v>
      </c>
      <c r="G43" s="17" t="s">
        <v>409</v>
      </c>
      <c r="H43" s="17" t="s">
        <v>206</v>
      </c>
      <c r="I43" s="17">
        <v>6</v>
      </c>
      <c r="J43" s="17" t="s">
        <v>410</v>
      </c>
      <c r="U43" s="17" t="s">
        <v>300</v>
      </c>
      <c r="V43" s="17" t="s">
        <v>411</v>
      </c>
      <c r="W43" s="17" t="s">
        <v>105</v>
      </c>
      <c r="X43" s="17" t="s">
        <v>280</v>
      </c>
      <c r="Y43" s="17" t="s">
        <v>311</v>
      </c>
      <c r="Z43" s="17" t="s">
        <v>118</v>
      </c>
      <c r="AA43" s="94">
        <v>45743</v>
      </c>
      <c r="AB43" s="96">
        <v>0.94666666666666666</v>
      </c>
      <c r="AC43" s="96">
        <v>0.91666666666666663</v>
      </c>
      <c r="AD43" s="17" t="s">
        <v>764</v>
      </c>
      <c r="AE43" s="17" t="s">
        <v>757</v>
      </c>
      <c r="AF43" s="17" t="s">
        <v>326</v>
      </c>
      <c r="AG43" s="96">
        <v>0.94666666666666666</v>
      </c>
      <c r="AH43" s="94">
        <v>45743</v>
      </c>
      <c r="AI43" s="17" t="s">
        <v>764</v>
      </c>
      <c r="AJ43" s="17" t="s">
        <v>638</v>
      </c>
      <c r="AK43" s="17" t="s">
        <v>331</v>
      </c>
      <c r="AL43" s="17">
        <v>2025</v>
      </c>
      <c r="AM43" s="17">
        <v>13</v>
      </c>
      <c r="AN43" s="17">
        <v>27</v>
      </c>
      <c r="AO43" s="17" t="s">
        <v>823</v>
      </c>
      <c r="AP43" s="17" t="s">
        <v>976</v>
      </c>
    </row>
    <row r="44" spans="1:42" x14ac:dyDescent="0.25">
      <c r="A44" s="17" t="s">
        <v>414</v>
      </c>
      <c r="B44" s="94">
        <v>45743</v>
      </c>
      <c r="C44" s="96">
        <v>0.97916666666666674</v>
      </c>
      <c r="D44" s="17" t="s">
        <v>608</v>
      </c>
      <c r="G44" s="17" t="s">
        <v>416</v>
      </c>
      <c r="H44" s="17" t="s">
        <v>221</v>
      </c>
      <c r="I44" s="17">
        <v>8</v>
      </c>
      <c r="J44" s="17" t="s">
        <v>417</v>
      </c>
      <c r="K44" s="17">
        <v>50300</v>
      </c>
      <c r="U44" s="17" t="s">
        <v>138</v>
      </c>
      <c r="V44" s="17" t="s">
        <v>344</v>
      </c>
      <c r="W44" s="17" t="s">
        <v>262</v>
      </c>
      <c r="X44" s="17" t="s">
        <v>418</v>
      </c>
      <c r="Y44" s="17" t="s">
        <v>69</v>
      </c>
      <c r="Z44" s="17" t="s">
        <v>118</v>
      </c>
      <c r="AA44" s="94">
        <v>45743</v>
      </c>
      <c r="AB44" s="96">
        <v>0.97916666666666663</v>
      </c>
      <c r="AC44" s="96">
        <v>0.95833333333333337</v>
      </c>
      <c r="AD44" s="17" t="s">
        <v>764</v>
      </c>
      <c r="AE44" s="17" t="s">
        <v>608</v>
      </c>
      <c r="AF44" s="17" t="s">
        <v>326</v>
      </c>
      <c r="AG44" s="96">
        <v>0.97916666666666663</v>
      </c>
      <c r="AH44" s="94">
        <v>45743</v>
      </c>
      <c r="AI44" s="17" t="s">
        <v>764</v>
      </c>
      <c r="AJ44" s="17" t="s">
        <v>638</v>
      </c>
      <c r="AK44" s="17" t="s">
        <v>331</v>
      </c>
      <c r="AL44" s="17">
        <v>2025</v>
      </c>
      <c r="AM44" s="17">
        <v>13</v>
      </c>
      <c r="AN44" s="17">
        <v>27</v>
      </c>
      <c r="AO44" s="17" t="s">
        <v>822</v>
      </c>
      <c r="AP44" s="17" t="s">
        <v>976</v>
      </c>
    </row>
    <row r="45" spans="1:42" x14ac:dyDescent="0.25">
      <c r="A45" s="17" t="s">
        <v>455</v>
      </c>
      <c r="B45" s="94">
        <v>45744</v>
      </c>
      <c r="C45" s="96">
        <v>0.85416666666666674</v>
      </c>
      <c r="D45" s="17" t="s">
        <v>594</v>
      </c>
      <c r="G45" s="17" t="s">
        <v>456</v>
      </c>
      <c r="H45" s="17" t="s">
        <v>306</v>
      </c>
      <c r="I45" s="17">
        <v>8</v>
      </c>
      <c r="J45" s="17" t="s">
        <v>457</v>
      </c>
      <c r="M45" s="17" t="s">
        <v>458</v>
      </c>
      <c r="N45" s="17" t="s">
        <v>459</v>
      </c>
      <c r="O45" s="17" t="s">
        <v>460</v>
      </c>
      <c r="P45" s="17" t="s">
        <v>63</v>
      </c>
      <c r="U45" s="17" t="s">
        <v>403</v>
      </c>
      <c r="V45" s="17" t="s">
        <v>461</v>
      </c>
      <c r="W45" s="17" t="s">
        <v>462</v>
      </c>
      <c r="X45" s="17" t="s">
        <v>141</v>
      </c>
      <c r="Y45" s="17" t="s">
        <v>69</v>
      </c>
      <c r="Z45" s="17" t="s">
        <v>181</v>
      </c>
      <c r="AA45" s="94">
        <v>45744</v>
      </c>
      <c r="AB45" s="96">
        <v>0.85416666666666663</v>
      </c>
      <c r="AC45" s="96">
        <v>0.83333333333333337</v>
      </c>
      <c r="AD45" s="17" t="s">
        <v>764</v>
      </c>
      <c r="AE45" s="17" t="s">
        <v>594</v>
      </c>
      <c r="AF45" s="17" t="s">
        <v>326</v>
      </c>
      <c r="AG45" s="96">
        <v>0.85416666666666663</v>
      </c>
      <c r="AH45" s="94">
        <v>45744</v>
      </c>
      <c r="AI45" s="17" t="s">
        <v>764</v>
      </c>
      <c r="AJ45" s="17" t="s">
        <v>485</v>
      </c>
      <c r="AK45" s="17" t="s">
        <v>331</v>
      </c>
      <c r="AL45" s="17">
        <v>2025</v>
      </c>
      <c r="AM45" s="17">
        <v>13</v>
      </c>
      <c r="AN45" s="17">
        <v>28</v>
      </c>
      <c r="AO45" s="17" t="s">
        <v>808</v>
      </c>
      <c r="AP45" s="17" t="s">
        <v>976</v>
      </c>
    </row>
    <row r="46" spans="1:42" x14ac:dyDescent="0.25">
      <c r="A46" s="17" t="s">
        <v>492</v>
      </c>
      <c r="B46" s="94">
        <v>45745</v>
      </c>
      <c r="C46" s="96">
        <v>0.20515046296296302</v>
      </c>
      <c r="D46" s="17" t="s">
        <v>157</v>
      </c>
      <c r="E46" s="17" t="s">
        <v>678</v>
      </c>
      <c r="G46" s="17" t="s">
        <v>494</v>
      </c>
      <c r="H46" s="17" t="s">
        <v>214</v>
      </c>
      <c r="I46" s="17">
        <v>6</v>
      </c>
      <c r="J46" s="17" t="s">
        <v>495</v>
      </c>
      <c r="M46" s="17" t="s">
        <v>496</v>
      </c>
      <c r="N46" s="17" t="s">
        <v>459</v>
      </c>
      <c r="O46" s="17" t="s">
        <v>460</v>
      </c>
      <c r="P46" s="17" t="s">
        <v>63</v>
      </c>
      <c r="U46" s="17" t="s">
        <v>403</v>
      </c>
      <c r="V46" s="17" t="s">
        <v>411</v>
      </c>
      <c r="W46" s="17" t="s">
        <v>105</v>
      </c>
      <c r="X46" s="17" t="s">
        <v>374</v>
      </c>
      <c r="Y46" s="17" t="s">
        <v>107</v>
      </c>
      <c r="Z46" s="17"/>
      <c r="AA46" s="94">
        <v>45745</v>
      </c>
      <c r="AB46" s="96">
        <v>0.20515046296296297</v>
      </c>
      <c r="AC46" s="96">
        <v>0.16666666666666666</v>
      </c>
      <c r="AD46" s="17" t="s">
        <v>766</v>
      </c>
      <c r="AE46" s="17" t="s">
        <v>855</v>
      </c>
      <c r="AF46" s="17" t="s">
        <v>326</v>
      </c>
      <c r="AG46" s="96">
        <v>0.20515046296296297</v>
      </c>
      <c r="AH46" s="94">
        <v>45745</v>
      </c>
      <c r="AI46" s="17" t="s">
        <v>766</v>
      </c>
      <c r="AJ46" s="17" t="s">
        <v>639</v>
      </c>
      <c r="AK46" s="17" t="s">
        <v>331</v>
      </c>
      <c r="AL46" s="17">
        <v>2025</v>
      </c>
      <c r="AM46" s="17">
        <v>13</v>
      </c>
      <c r="AN46" s="17">
        <v>29</v>
      </c>
      <c r="AO46" s="17" t="s">
        <v>493</v>
      </c>
      <c r="AP46" s="17" t="s">
        <v>979</v>
      </c>
    </row>
    <row r="47" spans="1:42" x14ac:dyDescent="0.25">
      <c r="A47" s="17" t="s">
        <v>421</v>
      </c>
      <c r="B47" s="94">
        <v>45747</v>
      </c>
      <c r="C47" s="96">
        <v>0.5</v>
      </c>
      <c r="D47" s="17" t="s">
        <v>608</v>
      </c>
      <c r="G47" s="17" t="s">
        <v>423</v>
      </c>
      <c r="H47" s="17" t="s">
        <v>424</v>
      </c>
      <c r="I47" s="17">
        <v>7</v>
      </c>
      <c r="J47" s="17" t="s">
        <v>425</v>
      </c>
      <c r="U47" s="17" t="s">
        <v>403</v>
      </c>
      <c r="V47" s="17" t="s">
        <v>426</v>
      </c>
      <c r="W47" s="17" t="s">
        <v>80</v>
      </c>
      <c r="X47" s="17" t="s">
        <v>161</v>
      </c>
      <c r="Y47" s="17" t="s">
        <v>82</v>
      </c>
      <c r="Z47" s="17" t="s">
        <v>118</v>
      </c>
      <c r="AA47" s="94">
        <v>45747</v>
      </c>
      <c r="AB47" s="96">
        <v>0.5</v>
      </c>
      <c r="AC47" s="96">
        <v>0.5</v>
      </c>
      <c r="AD47" s="17" t="s">
        <v>761</v>
      </c>
      <c r="AE47" s="17" t="s">
        <v>608</v>
      </c>
      <c r="AF47" s="17" t="s">
        <v>326</v>
      </c>
      <c r="AG47" s="96">
        <v>0.5</v>
      </c>
      <c r="AH47" s="94">
        <v>45747</v>
      </c>
      <c r="AI47" s="17" t="s">
        <v>761</v>
      </c>
      <c r="AJ47" s="17" t="s">
        <v>636</v>
      </c>
      <c r="AK47" s="17" t="s">
        <v>331</v>
      </c>
      <c r="AL47" s="17">
        <v>2025</v>
      </c>
      <c r="AM47" s="17">
        <v>14</v>
      </c>
      <c r="AN47" s="17">
        <v>31</v>
      </c>
      <c r="AO47" s="17" t="s">
        <v>794</v>
      </c>
      <c r="AP47" s="17" t="s">
        <v>976</v>
      </c>
    </row>
    <row r="48" spans="1:42" x14ac:dyDescent="0.25">
      <c r="A48" s="17" t="s">
        <v>497</v>
      </c>
      <c r="B48" s="94">
        <v>45747</v>
      </c>
      <c r="C48" s="96">
        <v>0.77777777777777768</v>
      </c>
      <c r="D48" s="17" t="s">
        <v>600</v>
      </c>
      <c r="E48" s="17" t="s">
        <v>616</v>
      </c>
      <c r="F48" s="17" t="s">
        <v>680</v>
      </c>
      <c r="G48" s="17" t="s">
        <v>498</v>
      </c>
      <c r="H48" s="17" t="s">
        <v>115</v>
      </c>
      <c r="I48" s="17">
        <v>7</v>
      </c>
      <c r="J48" s="17" t="s">
        <v>499</v>
      </c>
      <c r="M48" s="17" t="s">
        <v>500</v>
      </c>
      <c r="N48" s="17" t="s">
        <v>501</v>
      </c>
      <c r="O48" s="17" t="s">
        <v>502</v>
      </c>
      <c r="P48" s="17" t="s">
        <v>63</v>
      </c>
      <c r="U48" s="17" t="s">
        <v>336</v>
      </c>
      <c r="V48" s="17" t="s">
        <v>503</v>
      </c>
      <c r="W48" s="17" t="s">
        <v>80</v>
      </c>
      <c r="X48" s="17" t="s">
        <v>141</v>
      </c>
      <c r="Y48" s="17" t="s">
        <v>69</v>
      </c>
      <c r="Z48" s="17" t="s">
        <v>444</v>
      </c>
      <c r="AA48" s="94">
        <v>45747</v>
      </c>
      <c r="AB48" s="96">
        <v>0.77777777777777779</v>
      </c>
      <c r="AC48" s="96">
        <v>0.75</v>
      </c>
      <c r="AD48" s="17" t="s">
        <v>765</v>
      </c>
      <c r="AE48" s="17" t="s">
        <v>857</v>
      </c>
      <c r="AF48" s="17" t="s">
        <v>326</v>
      </c>
      <c r="AG48" s="96">
        <v>0.77777777777777779</v>
      </c>
      <c r="AH48" s="94">
        <v>45747</v>
      </c>
      <c r="AI48" s="17" t="s">
        <v>765</v>
      </c>
      <c r="AJ48" s="17" t="s">
        <v>636</v>
      </c>
      <c r="AK48" s="17" t="s">
        <v>331</v>
      </c>
      <c r="AL48" s="17">
        <v>2025</v>
      </c>
      <c r="AM48" s="17">
        <v>14</v>
      </c>
      <c r="AN48" s="17">
        <v>31</v>
      </c>
      <c r="AO48" s="17" t="s">
        <v>856</v>
      </c>
      <c r="AP48" s="17" t="s">
        <v>976</v>
      </c>
    </row>
    <row r="49" spans="1:42" x14ac:dyDescent="0.25">
      <c r="A49" s="17" t="s">
        <v>437</v>
      </c>
      <c r="B49" s="94">
        <v>45747</v>
      </c>
      <c r="C49" s="96">
        <v>0.75</v>
      </c>
      <c r="D49" s="17" t="s">
        <v>600</v>
      </c>
      <c r="G49" s="17" t="s">
        <v>438</v>
      </c>
      <c r="H49" s="17" t="s">
        <v>175</v>
      </c>
      <c r="J49" s="17" t="s">
        <v>439</v>
      </c>
      <c r="K49" s="17">
        <v>2</v>
      </c>
      <c r="L49" s="17">
        <v>0</v>
      </c>
      <c r="M49" s="17" t="s">
        <v>440</v>
      </c>
      <c r="N49" s="17" t="s">
        <v>201</v>
      </c>
      <c r="O49" s="17" t="s">
        <v>441</v>
      </c>
      <c r="P49" s="17" t="s">
        <v>63</v>
      </c>
      <c r="U49" s="17" t="s">
        <v>336</v>
      </c>
      <c r="V49" s="17" t="s">
        <v>442</v>
      </c>
      <c r="W49" s="17" t="s">
        <v>443</v>
      </c>
      <c r="X49" s="17" t="s">
        <v>141</v>
      </c>
      <c r="Y49" s="17" t="s">
        <v>168</v>
      </c>
      <c r="Z49" s="17" t="s">
        <v>444</v>
      </c>
      <c r="AA49" s="94">
        <v>45747</v>
      </c>
      <c r="AB49" s="96">
        <v>0.75</v>
      </c>
      <c r="AC49" s="96">
        <v>0.75</v>
      </c>
      <c r="AD49" s="17" t="s">
        <v>765</v>
      </c>
      <c r="AE49" s="17" t="s">
        <v>600</v>
      </c>
      <c r="AF49" s="17" t="s">
        <v>326</v>
      </c>
      <c r="AG49" s="96">
        <v>0.75</v>
      </c>
      <c r="AH49" s="94">
        <v>45747</v>
      </c>
      <c r="AI49" s="17" t="s">
        <v>765</v>
      </c>
      <c r="AJ49" s="17" t="s">
        <v>636</v>
      </c>
      <c r="AK49" s="17" t="s">
        <v>331</v>
      </c>
      <c r="AL49" s="17">
        <v>2025</v>
      </c>
      <c r="AM49" s="17">
        <v>14</v>
      </c>
      <c r="AN49" s="17">
        <v>31</v>
      </c>
      <c r="AO49" s="17" t="s">
        <v>786</v>
      </c>
      <c r="AP49" s="17" t="s">
        <v>976</v>
      </c>
    </row>
    <row r="50" spans="1:42" x14ac:dyDescent="0.25">
      <c r="A50" s="17" t="s">
        <v>445</v>
      </c>
      <c r="B50" s="94">
        <v>45747</v>
      </c>
      <c r="C50" s="96">
        <v>0.83333333333333326</v>
      </c>
      <c r="D50" s="17" t="s">
        <v>600</v>
      </c>
      <c r="G50" s="17" t="s">
        <v>438</v>
      </c>
      <c r="H50" s="17" t="s">
        <v>175</v>
      </c>
      <c r="I50" s="17">
        <v>9</v>
      </c>
      <c r="J50" s="17" t="s">
        <v>446</v>
      </c>
      <c r="K50" s="17">
        <v>5</v>
      </c>
      <c r="L50" s="17">
        <v>0</v>
      </c>
      <c r="M50" s="17" t="s">
        <v>447</v>
      </c>
      <c r="N50" s="17" t="s">
        <v>201</v>
      </c>
      <c r="O50" s="17" t="s">
        <v>448</v>
      </c>
      <c r="P50" s="17" t="s">
        <v>63</v>
      </c>
      <c r="U50" s="17" t="s">
        <v>336</v>
      </c>
      <c r="V50" s="17" t="s">
        <v>442</v>
      </c>
      <c r="W50" s="17" t="s">
        <v>443</v>
      </c>
      <c r="X50" s="17" t="s">
        <v>141</v>
      </c>
      <c r="Y50" s="17" t="s">
        <v>168</v>
      </c>
      <c r="Z50" s="17" t="s">
        <v>444</v>
      </c>
      <c r="AA50" s="94">
        <v>45747</v>
      </c>
      <c r="AB50" s="96">
        <v>0.83333333333333337</v>
      </c>
      <c r="AC50" s="96">
        <v>0.83333333333333337</v>
      </c>
      <c r="AD50" s="17" t="s">
        <v>764</v>
      </c>
      <c r="AE50" s="17" t="s">
        <v>600</v>
      </c>
      <c r="AF50" s="17" t="s">
        <v>326</v>
      </c>
      <c r="AG50" s="96">
        <v>0.83333333333333337</v>
      </c>
      <c r="AH50" s="94">
        <v>45747</v>
      </c>
      <c r="AI50" s="17" t="s">
        <v>764</v>
      </c>
      <c r="AJ50" s="17" t="s">
        <v>636</v>
      </c>
      <c r="AK50" s="17" t="s">
        <v>331</v>
      </c>
      <c r="AL50" s="17">
        <v>2025</v>
      </c>
      <c r="AM50" s="17">
        <v>14</v>
      </c>
      <c r="AN50" s="17">
        <v>31</v>
      </c>
      <c r="AO50" s="17" t="s">
        <v>786</v>
      </c>
      <c r="AP50" s="17" t="s">
        <v>976</v>
      </c>
    </row>
    <row r="51" spans="1:42" x14ac:dyDescent="0.25">
      <c r="A51" s="17" t="s">
        <v>449</v>
      </c>
      <c r="B51" s="94">
        <v>45748</v>
      </c>
      <c r="C51" s="96">
        <v>0.85324074074074074</v>
      </c>
      <c r="D51" s="17" t="s">
        <v>600</v>
      </c>
      <c r="G51" s="17" t="s">
        <v>450</v>
      </c>
      <c r="H51" s="17" t="s">
        <v>247</v>
      </c>
      <c r="I51" s="17">
        <v>7</v>
      </c>
      <c r="J51" s="17" t="s">
        <v>451</v>
      </c>
      <c r="M51" s="17" t="s">
        <v>452</v>
      </c>
      <c r="N51" s="17" t="s">
        <v>453</v>
      </c>
      <c r="O51" s="17" t="s">
        <v>454</v>
      </c>
      <c r="P51" s="17" t="s">
        <v>63</v>
      </c>
      <c r="U51" s="17" t="s">
        <v>64</v>
      </c>
      <c r="V51" s="17" t="s">
        <v>250</v>
      </c>
      <c r="W51" s="17" t="s">
        <v>67</v>
      </c>
      <c r="X51" s="17" t="s">
        <v>141</v>
      </c>
      <c r="Y51" s="17" t="s">
        <v>69</v>
      </c>
      <c r="Z51" s="17" t="s">
        <v>70</v>
      </c>
      <c r="AA51" s="94">
        <v>45748</v>
      </c>
      <c r="AB51" s="96">
        <v>0.85324074074074074</v>
      </c>
      <c r="AC51" s="96">
        <v>0.83333333333333337</v>
      </c>
      <c r="AD51" s="17" t="s">
        <v>764</v>
      </c>
      <c r="AE51" s="17" t="s">
        <v>600</v>
      </c>
      <c r="AF51" s="17" t="s">
        <v>326</v>
      </c>
      <c r="AG51" s="96">
        <v>0.85324074074074074</v>
      </c>
      <c r="AH51" s="94">
        <v>45748</v>
      </c>
      <c r="AI51" s="17" t="s">
        <v>764</v>
      </c>
      <c r="AJ51" s="17" t="s">
        <v>635</v>
      </c>
      <c r="AK51" s="17" t="s">
        <v>430</v>
      </c>
      <c r="AL51" s="17">
        <v>2025</v>
      </c>
      <c r="AM51" s="17">
        <v>14</v>
      </c>
      <c r="AN51" s="17">
        <v>1</v>
      </c>
      <c r="AO51" s="17" t="s">
        <v>803</v>
      </c>
      <c r="AP51" s="17" t="s">
        <v>976</v>
      </c>
    </row>
    <row r="52" spans="1:42" x14ac:dyDescent="0.25">
      <c r="A52" s="17" t="s">
        <v>429</v>
      </c>
      <c r="B52" s="94">
        <v>45748</v>
      </c>
      <c r="C52" s="96">
        <v>0.5</v>
      </c>
      <c r="D52" s="17" t="s">
        <v>608</v>
      </c>
      <c r="G52" s="17" t="s">
        <v>433</v>
      </c>
      <c r="H52" s="17" t="s">
        <v>126</v>
      </c>
      <c r="I52" s="17">
        <v>5</v>
      </c>
      <c r="J52" s="17" t="s">
        <v>434</v>
      </c>
      <c r="U52" s="17" t="s">
        <v>138</v>
      </c>
      <c r="V52" s="17" t="s">
        <v>435</v>
      </c>
      <c r="W52" s="17" t="s">
        <v>171</v>
      </c>
      <c r="X52" s="17" t="s">
        <v>374</v>
      </c>
      <c r="Y52" s="17" t="s">
        <v>69</v>
      </c>
      <c r="Z52" s="17" t="s">
        <v>118</v>
      </c>
      <c r="AA52" s="94">
        <v>45748</v>
      </c>
      <c r="AB52" s="96">
        <v>0.5</v>
      </c>
      <c r="AC52" s="96">
        <v>0.5</v>
      </c>
      <c r="AD52" s="17" t="s">
        <v>761</v>
      </c>
      <c r="AE52" s="17" t="s">
        <v>608</v>
      </c>
      <c r="AF52" s="17" t="s">
        <v>326</v>
      </c>
      <c r="AG52" s="96">
        <v>0.5</v>
      </c>
      <c r="AH52" s="94">
        <v>45748</v>
      </c>
      <c r="AI52" s="17" t="s">
        <v>761</v>
      </c>
      <c r="AJ52" s="17" t="s">
        <v>635</v>
      </c>
      <c r="AK52" s="17" t="s">
        <v>430</v>
      </c>
      <c r="AL52" s="17">
        <v>2025</v>
      </c>
      <c r="AM52" s="17">
        <v>14</v>
      </c>
      <c r="AN52" s="17">
        <v>1</v>
      </c>
      <c r="AO52" s="17" t="s">
        <v>824</v>
      </c>
      <c r="AP52" s="17" t="s">
        <v>976</v>
      </c>
    </row>
    <row r="53" spans="1:42" x14ac:dyDescent="0.25">
      <c r="A53" s="17" t="s">
        <v>463</v>
      </c>
      <c r="B53" s="94">
        <v>45749</v>
      </c>
      <c r="C53" s="96">
        <v>0.89930555555555558</v>
      </c>
      <c r="D53" s="17" t="s">
        <v>464</v>
      </c>
      <c r="E53" s="17" t="s">
        <v>613</v>
      </c>
      <c r="F53" s="17" t="s">
        <v>289</v>
      </c>
      <c r="G53" s="17" t="s">
        <v>465</v>
      </c>
      <c r="H53" s="17" t="s">
        <v>88</v>
      </c>
      <c r="I53" s="17">
        <v>8</v>
      </c>
      <c r="J53" s="17" t="s">
        <v>466</v>
      </c>
      <c r="U53" s="17" t="s">
        <v>138</v>
      </c>
      <c r="V53" s="17" t="s">
        <v>467</v>
      </c>
      <c r="W53" s="17" t="s">
        <v>262</v>
      </c>
      <c r="X53" s="17" t="s">
        <v>263</v>
      </c>
      <c r="Y53" s="17" t="s">
        <v>302</v>
      </c>
      <c r="Z53" s="17"/>
      <c r="AA53" s="94">
        <v>45749</v>
      </c>
      <c r="AB53" s="96">
        <v>0.89930555555555558</v>
      </c>
      <c r="AC53" s="96">
        <v>0.875</v>
      </c>
      <c r="AD53" s="17" t="s">
        <v>764</v>
      </c>
      <c r="AE53" s="17" t="s">
        <v>780</v>
      </c>
      <c r="AF53" s="17" t="s">
        <v>326</v>
      </c>
      <c r="AG53" s="96">
        <v>0.89930555555555558</v>
      </c>
      <c r="AH53" s="94">
        <v>45749</v>
      </c>
      <c r="AI53" s="17" t="s">
        <v>764</v>
      </c>
      <c r="AJ53" s="17" t="s">
        <v>637</v>
      </c>
      <c r="AK53" s="17" t="s">
        <v>430</v>
      </c>
      <c r="AL53" s="17">
        <v>2025</v>
      </c>
      <c r="AM53" s="17">
        <v>14</v>
      </c>
      <c r="AN53" s="17">
        <v>2</v>
      </c>
      <c r="AO53" s="17" t="s">
        <v>844</v>
      </c>
      <c r="AP53" s="17" t="s">
        <v>977</v>
      </c>
    </row>
    <row r="54" spans="1:42" x14ac:dyDescent="0.25">
      <c r="A54" s="17" t="s">
        <v>504</v>
      </c>
      <c r="B54" s="94">
        <v>45755</v>
      </c>
      <c r="C54" s="96">
        <v>3.2638888888888884E-2</v>
      </c>
      <c r="D54" s="17" t="s">
        <v>600</v>
      </c>
      <c r="E54" s="17" t="s">
        <v>267</v>
      </c>
      <c r="F54" s="17" t="s">
        <v>505</v>
      </c>
      <c r="G54" s="17" t="s">
        <v>506</v>
      </c>
      <c r="H54" s="17" t="s">
        <v>424</v>
      </c>
      <c r="I54" s="17">
        <v>7</v>
      </c>
      <c r="J54" s="17" t="s">
        <v>507</v>
      </c>
      <c r="M54" s="17" t="s">
        <v>508</v>
      </c>
      <c r="N54" s="17" t="s">
        <v>354</v>
      </c>
      <c r="O54" s="17" t="s">
        <v>509</v>
      </c>
      <c r="P54" s="17" t="s">
        <v>63</v>
      </c>
      <c r="U54" s="17" t="s">
        <v>510</v>
      </c>
      <c r="V54" s="17" t="s">
        <v>79</v>
      </c>
      <c r="W54" s="17" t="s">
        <v>80</v>
      </c>
      <c r="X54" s="17" t="s">
        <v>93</v>
      </c>
      <c r="Y54" s="17" t="s">
        <v>69</v>
      </c>
      <c r="Z54" s="17" t="s">
        <v>70</v>
      </c>
      <c r="AA54" s="94">
        <v>45755</v>
      </c>
      <c r="AB54" s="96">
        <v>3.2638888888888891E-2</v>
      </c>
      <c r="AC54" s="96">
        <v>0</v>
      </c>
      <c r="AD54" s="17" t="s">
        <v>763</v>
      </c>
      <c r="AE54" s="17" t="s">
        <v>859</v>
      </c>
      <c r="AF54" s="17" t="s">
        <v>326</v>
      </c>
      <c r="AG54" s="96">
        <v>3.2638888888888891E-2</v>
      </c>
      <c r="AH54" s="94">
        <v>45755</v>
      </c>
      <c r="AI54" s="17" t="s">
        <v>763</v>
      </c>
      <c r="AJ54" s="17" t="s">
        <v>635</v>
      </c>
      <c r="AK54" s="17" t="s">
        <v>430</v>
      </c>
      <c r="AL54" s="17">
        <v>2025</v>
      </c>
      <c r="AM54" s="17">
        <v>15</v>
      </c>
      <c r="AN54" s="17">
        <v>8</v>
      </c>
      <c r="AO54" s="17" t="s">
        <v>858</v>
      </c>
      <c r="AP54" s="17" t="s">
        <v>979</v>
      </c>
    </row>
    <row r="55" spans="1:42" x14ac:dyDescent="0.25">
      <c r="A55" s="17" t="s">
        <v>570</v>
      </c>
      <c r="B55" s="94">
        <v>45755</v>
      </c>
      <c r="C55" s="96">
        <v>0.5</v>
      </c>
      <c r="D55" s="17" t="s">
        <v>608</v>
      </c>
      <c r="G55" s="17" t="s">
        <v>571</v>
      </c>
      <c r="H55" s="17" t="s">
        <v>126</v>
      </c>
      <c r="I55" s="17">
        <v>5</v>
      </c>
      <c r="J55" s="17" t="s">
        <v>572</v>
      </c>
      <c r="U55" s="17" t="s">
        <v>300</v>
      </c>
      <c r="V55" s="17" t="s">
        <v>411</v>
      </c>
      <c r="W55" s="17" t="s">
        <v>105</v>
      </c>
      <c r="X55" s="17" t="s">
        <v>93</v>
      </c>
      <c r="Y55" s="17" t="s">
        <v>107</v>
      </c>
      <c r="Z55" s="17" t="s">
        <v>118</v>
      </c>
      <c r="AA55" s="94">
        <v>45755</v>
      </c>
      <c r="AB55" s="96">
        <v>0.5</v>
      </c>
      <c r="AC55" s="96">
        <v>0.5</v>
      </c>
      <c r="AD55" s="17" t="s">
        <v>761</v>
      </c>
      <c r="AE55" s="17" t="s">
        <v>608</v>
      </c>
      <c r="AF55" s="17" t="s">
        <v>326</v>
      </c>
      <c r="AG55" s="96">
        <v>0.5</v>
      </c>
      <c r="AH55" s="94">
        <v>45755</v>
      </c>
      <c r="AI55" s="17" t="s">
        <v>761</v>
      </c>
      <c r="AJ55" s="17" t="s">
        <v>635</v>
      </c>
      <c r="AK55" s="17" t="s">
        <v>430</v>
      </c>
      <c r="AL55" s="17">
        <v>2025</v>
      </c>
      <c r="AM55" s="17">
        <v>15</v>
      </c>
      <c r="AN55" s="17">
        <v>8</v>
      </c>
      <c r="AO55" s="17" t="s">
        <v>799</v>
      </c>
      <c r="AP55" s="17" t="s">
        <v>976</v>
      </c>
    </row>
    <row r="56" spans="1:42" x14ac:dyDescent="0.25">
      <c r="A56" s="17" t="s">
        <v>663</v>
      </c>
      <c r="B56" s="94">
        <v>45755</v>
      </c>
      <c r="C56" s="96">
        <v>0.20833333333333326</v>
      </c>
      <c r="D56" s="17" t="s">
        <v>600</v>
      </c>
      <c r="G56" s="17" t="s">
        <v>664</v>
      </c>
      <c r="H56" s="17" t="s">
        <v>198</v>
      </c>
      <c r="I56" s="17">
        <v>5</v>
      </c>
      <c r="J56" s="17" t="s">
        <v>746</v>
      </c>
      <c r="M56" s="17" t="s">
        <v>705</v>
      </c>
      <c r="N56" s="17" t="s">
        <v>706</v>
      </c>
      <c r="O56" s="17" t="s">
        <v>707</v>
      </c>
      <c r="P56" s="17" t="s">
        <v>63</v>
      </c>
      <c r="U56" s="17" t="s">
        <v>985</v>
      </c>
      <c r="V56" s="17" t="s">
        <v>435</v>
      </c>
      <c r="W56" s="17" t="s">
        <v>171</v>
      </c>
      <c r="X56" s="17" t="s">
        <v>68</v>
      </c>
      <c r="Y56" s="17" t="s">
        <v>107</v>
      </c>
      <c r="Z56" s="17"/>
      <c r="AA56" s="94">
        <v>45755</v>
      </c>
      <c r="AB56" s="96">
        <v>0.20833333333333334</v>
      </c>
      <c r="AC56" s="96">
        <v>0.20833333333333334</v>
      </c>
      <c r="AD56" s="17" t="s">
        <v>766</v>
      </c>
      <c r="AE56" s="17" t="s">
        <v>600</v>
      </c>
      <c r="AF56" s="17" t="s">
        <v>326</v>
      </c>
      <c r="AG56" s="96">
        <v>0.20833333333333334</v>
      </c>
      <c r="AH56" s="94">
        <v>45755</v>
      </c>
      <c r="AI56" s="17" t="s">
        <v>766</v>
      </c>
      <c r="AJ56" s="17" t="s">
        <v>635</v>
      </c>
      <c r="AK56" s="17" t="s">
        <v>430</v>
      </c>
      <c r="AL56" s="17">
        <v>2025</v>
      </c>
      <c r="AM56" s="17">
        <v>15</v>
      </c>
      <c r="AN56" s="17">
        <v>8</v>
      </c>
      <c r="AO56" s="17" t="s">
        <v>863</v>
      </c>
      <c r="AP56" s="17" t="s">
        <v>976</v>
      </c>
    </row>
    <row r="57" spans="1:42" x14ac:dyDescent="0.25">
      <c r="A57" s="17" t="s">
        <v>564</v>
      </c>
      <c r="B57" s="94">
        <v>45756</v>
      </c>
      <c r="C57" s="96">
        <v>0.96527777777777768</v>
      </c>
      <c r="D57" s="17" t="s">
        <v>600</v>
      </c>
      <c r="G57" s="17" t="s">
        <v>565</v>
      </c>
      <c r="H57" s="17" t="s">
        <v>136</v>
      </c>
      <c r="I57" s="17">
        <v>8</v>
      </c>
      <c r="J57" s="17" t="s">
        <v>566</v>
      </c>
      <c r="M57" s="17" t="s">
        <v>567</v>
      </c>
      <c r="N57" s="17" t="s">
        <v>397</v>
      </c>
      <c r="O57" s="17" t="s">
        <v>568</v>
      </c>
      <c r="P57" s="17" t="s">
        <v>63</v>
      </c>
      <c r="U57" s="17" t="s">
        <v>300</v>
      </c>
      <c r="V57" s="17" t="s">
        <v>195</v>
      </c>
      <c r="W57" s="17" t="s">
        <v>171</v>
      </c>
      <c r="X57" s="17" t="s">
        <v>374</v>
      </c>
      <c r="Y57" s="17" t="s">
        <v>107</v>
      </c>
      <c r="Z57" s="17" t="s">
        <v>70</v>
      </c>
      <c r="AA57" s="94">
        <v>45756</v>
      </c>
      <c r="AB57" s="96">
        <v>0.96527777777777779</v>
      </c>
      <c r="AC57" s="96">
        <v>0.95833333333333337</v>
      </c>
      <c r="AD57" s="17" t="s">
        <v>764</v>
      </c>
      <c r="AE57" s="17" t="s">
        <v>600</v>
      </c>
      <c r="AF57" s="17" t="s">
        <v>326</v>
      </c>
      <c r="AG57" s="96">
        <v>0.96527777777777779</v>
      </c>
      <c r="AH57" s="94">
        <v>45756</v>
      </c>
      <c r="AI57" s="17" t="s">
        <v>764</v>
      </c>
      <c r="AJ57" s="17" t="s">
        <v>637</v>
      </c>
      <c r="AK57" s="17" t="s">
        <v>430</v>
      </c>
      <c r="AL57" s="17">
        <v>2025</v>
      </c>
      <c r="AM57" s="17">
        <v>15</v>
      </c>
      <c r="AN57" s="17">
        <v>9</v>
      </c>
      <c r="AO57" s="17" t="s">
        <v>860</v>
      </c>
      <c r="AP57" s="17" t="s">
        <v>976</v>
      </c>
    </row>
    <row r="58" spans="1:42" x14ac:dyDescent="0.25">
      <c r="A58" s="17" t="s">
        <v>581</v>
      </c>
      <c r="B58" s="94">
        <v>45760</v>
      </c>
      <c r="C58" s="96">
        <v>0.78115740740740747</v>
      </c>
      <c r="D58" s="17" t="s">
        <v>608</v>
      </c>
      <c r="E58" s="17" t="s">
        <v>689</v>
      </c>
      <c r="F58" s="17" t="s">
        <v>680</v>
      </c>
      <c r="G58" s="17" t="s">
        <v>582</v>
      </c>
      <c r="H58" s="17" t="s">
        <v>247</v>
      </c>
      <c r="I58" s="17">
        <v>7</v>
      </c>
      <c r="J58" s="17" t="s">
        <v>583</v>
      </c>
      <c r="U58" s="17" t="s">
        <v>138</v>
      </c>
      <c r="V58" s="17" t="s">
        <v>128</v>
      </c>
      <c r="W58" s="17" t="s">
        <v>80</v>
      </c>
      <c r="X58" s="17" t="s">
        <v>141</v>
      </c>
      <c r="Y58" s="17" t="s">
        <v>311</v>
      </c>
      <c r="Z58" s="17" t="s">
        <v>118</v>
      </c>
      <c r="AA58" s="94">
        <v>45760</v>
      </c>
      <c r="AB58" s="96">
        <v>0.78115740740740736</v>
      </c>
      <c r="AC58" s="96">
        <v>0.75</v>
      </c>
      <c r="AD58" s="17" t="s">
        <v>765</v>
      </c>
      <c r="AE58" s="17" t="s">
        <v>758</v>
      </c>
      <c r="AF58" s="17" t="s">
        <v>326</v>
      </c>
      <c r="AG58" s="96">
        <v>0.78115740740740736</v>
      </c>
      <c r="AH58" s="94">
        <v>45760</v>
      </c>
      <c r="AI58" s="17" t="s">
        <v>765</v>
      </c>
      <c r="AJ58" s="17" t="s">
        <v>640</v>
      </c>
      <c r="AK58" s="17" t="s">
        <v>430</v>
      </c>
      <c r="AL58" s="17">
        <v>2025</v>
      </c>
      <c r="AM58" s="17">
        <v>16</v>
      </c>
      <c r="AN58" s="17">
        <v>13</v>
      </c>
      <c r="AO58" s="17" t="s">
        <v>803</v>
      </c>
      <c r="AP58" s="17" t="s">
        <v>976</v>
      </c>
    </row>
    <row r="59" spans="1:42" x14ac:dyDescent="0.25">
      <c r="A59" s="17" t="s">
        <v>651</v>
      </c>
      <c r="B59" s="94">
        <v>45761</v>
      </c>
      <c r="C59" s="96">
        <v>0.95833333333333326</v>
      </c>
      <c r="D59" s="17" t="s">
        <v>608</v>
      </c>
      <c r="E59" s="17" t="s">
        <v>616</v>
      </c>
      <c r="F59" s="17" t="s">
        <v>680</v>
      </c>
      <c r="G59" s="17" t="s">
        <v>652</v>
      </c>
      <c r="H59" s="17" t="s">
        <v>88</v>
      </c>
      <c r="I59" s="17">
        <v>8</v>
      </c>
      <c r="J59" s="17" t="s">
        <v>740</v>
      </c>
      <c r="U59" s="17" t="s">
        <v>510</v>
      </c>
      <c r="V59" s="17" t="s">
        <v>693</v>
      </c>
      <c r="W59" s="17" t="s">
        <v>462</v>
      </c>
      <c r="X59" s="17" t="s">
        <v>141</v>
      </c>
      <c r="Y59" s="17" t="s">
        <v>107</v>
      </c>
      <c r="Z59" s="17" t="s">
        <v>118</v>
      </c>
      <c r="AA59" s="94">
        <v>45761</v>
      </c>
      <c r="AB59" s="96">
        <v>0.95833333333333337</v>
      </c>
      <c r="AC59" s="96">
        <v>0.95833333333333337</v>
      </c>
      <c r="AD59" s="17" t="s">
        <v>764</v>
      </c>
      <c r="AE59" s="17" t="s">
        <v>759</v>
      </c>
      <c r="AF59" s="17" t="s">
        <v>326</v>
      </c>
      <c r="AG59" s="96">
        <v>0.95833333333333337</v>
      </c>
      <c r="AH59" s="94">
        <v>45761</v>
      </c>
      <c r="AI59" s="17" t="s">
        <v>764</v>
      </c>
      <c r="AJ59" s="17" t="s">
        <v>636</v>
      </c>
      <c r="AK59" s="17" t="s">
        <v>430</v>
      </c>
      <c r="AL59" s="17">
        <v>2025</v>
      </c>
      <c r="AM59" s="17">
        <v>16</v>
      </c>
      <c r="AN59" s="17">
        <v>14</v>
      </c>
      <c r="AO59" s="17" t="s">
        <v>825</v>
      </c>
      <c r="AP59" s="17" t="s">
        <v>976</v>
      </c>
    </row>
    <row r="60" spans="1:42" x14ac:dyDescent="0.25">
      <c r="A60" s="17" t="s">
        <v>653</v>
      </c>
      <c r="B60" s="94">
        <v>45763</v>
      </c>
      <c r="C60" s="96">
        <v>0.25</v>
      </c>
      <c r="D60" s="17" t="s">
        <v>608</v>
      </c>
      <c r="G60" s="17" t="s">
        <v>654</v>
      </c>
      <c r="H60" s="17" t="s">
        <v>247</v>
      </c>
      <c r="I60" s="17">
        <v>7</v>
      </c>
      <c r="J60" s="17" t="s">
        <v>741</v>
      </c>
      <c r="U60" s="17" t="s">
        <v>381</v>
      </c>
      <c r="V60" s="17" t="s">
        <v>139</v>
      </c>
      <c r="W60" s="17" t="s">
        <v>140</v>
      </c>
      <c r="X60" s="17" t="s">
        <v>106</v>
      </c>
      <c r="Y60" s="17" t="s">
        <v>107</v>
      </c>
      <c r="Z60" s="17" t="s">
        <v>118</v>
      </c>
      <c r="AA60" s="94">
        <v>45763</v>
      </c>
      <c r="AB60" s="96">
        <v>0.25</v>
      </c>
      <c r="AC60" s="96">
        <v>0.25</v>
      </c>
      <c r="AD60" s="17" t="s">
        <v>766</v>
      </c>
      <c r="AE60" s="17" t="s">
        <v>608</v>
      </c>
      <c r="AF60" s="17" t="s">
        <v>326</v>
      </c>
      <c r="AG60" s="96">
        <v>0.25</v>
      </c>
      <c r="AH60" s="94">
        <v>45763</v>
      </c>
      <c r="AI60" s="17" t="s">
        <v>766</v>
      </c>
      <c r="AJ60" s="17" t="s">
        <v>637</v>
      </c>
      <c r="AK60" s="17" t="s">
        <v>430</v>
      </c>
      <c r="AL60" s="17">
        <v>2025</v>
      </c>
      <c r="AM60" s="17">
        <v>16</v>
      </c>
      <c r="AN60" s="17">
        <v>16</v>
      </c>
      <c r="AO60" s="17" t="s">
        <v>826</v>
      </c>
      <c r="AP60" s="17" t="s">
        <v>976</v>
      </c>
    </row>
    <row r="61" spans="1:42" x14ac:dyDescent="0.25">
      <c r="A61" s="17" t="s">
        <v>655</v>
      </c>
      <c r="B61" s="94">
        <v>45765</v>
      </c>
      <c r="C61" s="96">
        <v>0.85416666666666674</v>
      </c>
      <c r="D61" s="17" t="s">
        <v>603</v>
      </c>
      <c r="E61" s="17" t="s">
        <v>700</v>
      </c>
      <c r="F61" s="17" t="s">
        <v>315</v>
      </c>
      <c r="G61" s="17" t="s">
        <v>656</v>
      </c>
      <c r="H61" s="17" t="s">
        <v>694</v>
      </c>
      <c r="I61" s="17">
        <v>7</v>
      </c>
      <c r="J61" s="17" t="s">
        <v>742</v>
      </c>
      <c r="U61" s="17" t="s">
        <v>381</v>
      </c>
      <c r="V61" s="17" t="s">
        <v>167</v>
      </c>
      <c r="W61" s="17" t="s">
        <v>140</v>
      </c>
      <c r="X61" s="17" t="s">
        <v>418</v>
      </c>
      <c r="Y61" s="17" t="s">
        <v>162</v>
      </c>
      <c r="Z61" s="17" t="s">
        <v>264</v>
      </c>
      <c r="AA61" s="94">
        <v>45765</v>
      </c>
      <c r="AB61" s="96">
        <v>0.85416666666666663</v>
      </c>
      <c r="AC61" s="96">
        <v>0.83333333333333337</v>
      </c>
      <c r="AD61" s="17" t="s">
        <v>764</v>
      </c>
      <c r="AE61" s="17" t="s">
        <v>775</v>
      </c>
      <c r="AF61" s="17" t="s">
        <v>326</v>
      </c>
      <c r="AG61" s="96">
        <v>0.85416666666666663</v>
      </c>
      <c r="AH61" s="94">
        <v>45765</v>
      </c>
      <c r="AI61" s="17" t="s">
        <v>764</v>
      </c>
      <c r="AJ61" s="17" t="s">
        <v>485</v>
      </c>
      <c r="AK61" s="17" t="s">
        <v>430</v>
      </c>
      <c r="AL61" s="17">
        <v>2025</v>
      </c>
      <c r="AM61" s="17">
        <v>16</v>
      </c>
      <c r="AN61" s="17">
        <v>18</v>
      </c>
      <c r="AO61" s="17" t="s">
        <v>838</v>
      </c>
      <c r="AP61" s="17" t="s">
        <v>981</v>
      </c>
    </row>
    <row r="62" spans="1:42" x14ac:dyDescent="0.25">
      <c r="A62" s="17" t="s">
        <v>657</v>
      </c>
      <c r="B62" s="94">
        <v>45766</v>
      </c>
      <c r="C62" s="96">
        <v>0.58333333333333326</v>
      </c>
      <c r="D62" s="17" t="s">
        <v>600</v>
      </c>
      <c r="E62" s="17" t="s">
        <v>616</v>
      </c>
      <c r="G62" s="17" t="s">
        <v>658</v>
      </c>
      <c r="H62" s="17" t="s">
        <v>221</v>
      </c>
      <c r="I62" s="17">
        <v>8</v>
      </c>
      <c r="J62" s="17" t="s">
        <v>743</v>
      </c>
      <c r="M62" s="17" t="s">
        <v>982</v>
      </c>
      <c r="N62" s="17" t="s">
        <v>101</v>
      </c>
      <c r="O62" s="17" t="s">
        <v>702</v>
      </c>
      <c r="P62" s="17" t="s">
        <v>63</v>
      </c>
      <c r="Q62" s="17" t="s">
        <v>983</v>
      </c>
      <c r="R62" s="17" t="s">
        <v>63</v>
      </c>
      <c r="S62" s="17" t="s">
        <v>704</v>
      </c>
      <c r="T62" s="17" t="s">
        <v>695</v>
      </c>
      <c r="U62" s="17" t="s">
        <v>984</v>
      </c>
      <c r="V62" s="17" t="s">
        <v>411</v>
      </c>
      <c r="W62" s="17" t="s">
        <v>105</v>
      </c>
      <c r="X62" s="17" t="s">
        <v>374</v>
      </c>
      <c r="Y62" s="17" t="s">
        <v>107</v>
      </c>
      <c r="Z62" s="17" t="s">
        <v>70</v>
      </c>
      <c r="AA62" s="94">
        <v>45766</v>
      </c>
      <c r="AB62" s="96">
        <v>0.58333333333333337</v>
      </c>
      <c r="AC62" s="96">
        <v>0.58333333333333337</v>
      </c>
      <c r="AD62" s="17" t="s">
        <v>761</v>
      </c>
      <c r="AE62" s="17" t="s">
        <v>848</v>
      </c>
      <c r="AF62" s="17" t="s">
        <v>326</v>
      </c>
      <c r="AG62" s="96">
        <v>0.58333333333333337</v>
      </c>
      <c r="AH62" s="94">
        <v>45766</v>
      </c>
      <c r="AI62" s="17" t="s">
        <v>761</v>
      </c>
      <c r="AJ62" s="17" t="s">
        <v>639</v>
      </c>
      <c r="AK62" s="17" t="s">
        <v>430</v>
      </c>
      <c r="AL62" s="17">
        <v>2025</v>
      </c>
      <c r="AM62" s="17">
        <v>16</v>
      </c>
      <c r="AN62" s="17">
        <v>19</v>
      </c>
      <c r="AO62" s="17" t="s">
        <v>862</v>
      </c>
      <c r="AP62" s="17" t="s">
        <v>976</v>
      </c>
    </row>
    <row r="63" spans="1:42" x14ac:dyDescent="0.25">
      <c r="A63" s="17" t="s">
        <v>661</v>
      </c>
      <c r="B63" s="94">
        <v>45767</v>
      </c>
      <c r="C63" s="96">
        <v>0.14861111111111103</v>
      </c>
      <c r="D63" s="17" t="s">
        <v>627</v>
      </c>
      <c r="G63" s="17" t="s">
        <v>662</v>
      </c>
      <c r="H63" s="17" t="s">
        <v>588</v>
      </c>
      <c r="I63" s="17">
        <v>9</v>
      </c>
      <c r="J63" s="17" t="s">
        <v>745</v>
      </c>
      <c r="U63" s="17" t="s">
        <v>985</v>
      </c>
      <c r="V63" s="17" t="s">
        <v>411</v>
      </c>
      <c r="W63" s="17" t="s">
        <v>105</v>
      </c>
      <c r="X63" s="17" t="s">
        <v>93</v>
      </c>
      <c r="Y63" s="17" t="s">
        <v>107</v>
      </c>
      <c r="Z63" s="17"/>
      <c r="AA63" s="94">
        <v>45767</v>
      </c>
      <c r="AB63" s="96">
        <v>0.14861111111111111</v>
      </c>
      <c r="AC63" s="96">
        <v>0.125</v>
      </c>
      <c r="AD63" s="17" t="s">
        <v>763</v>
      </c>
      <c r="AE63" s="17" t="s">
        <v>627</v>
      </c>
      <c r="AF63" s="17" t="s">
        <v>326</v>
      </c>
      <c r="AG63" s="96">
        <v>0.14861111111111111</v>
      </c>
      <c r="AH63" s="94">
        <v>45767</v>
      </c>
      <c r="AI63" s="17" t="s">
        <v>763</v>
      </c>
      <c r="AJ63" s="17" t="s">
        <v>640</v>
      </c>
      <c r="AK63" s="17" t="s">
        <v>430</v>
      </c>
      <c r="AL63" s="17">
        <v>2025</v>
      </c>
      <c r="AM63" s="17">
        <v>17</v>
      </c>
      <c r="AN63" s="17">
        <v>20</v>
      </c>
      <c r="AO63" s="17" t="s">
        <v>828</v>
      </c>
      <c r="AP63" s="17" t="s">
        <v>976</v>
      </c>
    </row>
    <row r="64" spans="1:42" x14ac:dyDescent="0.25">
      <c r="A64" s="17" t="s">
        <v>708</v>
      </c>
      <c r="B64" s="94">
        <v>45771</v>
      </c>
      <c r="C64" s="96">
        <v>0.45277777777777772</v>
      </c>
      <c r="D64" s="17" t="s">
        <v>598</v>
      </c>
      <c r="E64" s="17" t="s">
        <v>289</v>
      </c>
      <c r="G64" s="17" t="s">
        <v>290</v>
      </c>
      <c r="H64" s="17" t="s">
        <v>115</v>
      </c>
      <c r="I64" s="17">
        <v>7</v>
      </c>
      <c r="J64" s="17" t="s">
        <v>747</v>
      </c>
      <c r="U64" s="17" t="s">
        <v>292</v>
      </c>
      <c r="V64" s="17" t="s">
        <v>293</v>
      </c>
      <c r="W64" s="17" t="s">
        <v>294</v>
      </c>
      <c r="X64" s="17" t="s">
        <v>293</v>
      </c>
      <c r="Y64" s="17" t="s">
        <v>698</v>
      </c>
      <c r="Z64" s="17" t="s">
        <v>296</v>
      </c>
      <c r="AA64" s="94">
        <v>45771</v>
      </c>
      <c r="AB64" s="96">
        <v>0.45277777777777778</v>
      </c>
      <c r="AC64" s="96">
        <v>0.41666666666666669</v>
      </c>
      <c r="AD64" s="17" t="s">
        <v>762</v>
      </c>
      <c r="AE64" s="17" t="s">
        <v>777</v>
      </c>
      <c r="AF64" s="17" t="s">
        <v>326</v>
      </c>
      <c r="AG64" s="96">
        <v>0.45277777777777778</v>
      </c>
      <c r="AH64" s="94">
        <v>45771</v>
      </c>
      <c r="AI64" s="17" t="s">
        <v>762</v>
      </c>
      <c r="AJ64" s="17" t="s">
        <v>638</v>
      </c>
      <c r="AK64" s="17" t="s">
        <v>430</v>
      </c>
      <c r="AL64" s="17">
        <v>2025</v>
      </c>
      <c r="AM64" s="17">
        <v>17</v>
      </c>
      <c r="AN64" s="17">
        <v>24</v>
      </c>
      <c r="AO64" s="17" t="s">
        <v>842</v>
      </c>
      <c r="AP64" s="17" t="s">
        <v>977</v>
      </c>
    </row>
    <row r="65" spans="1:42" x14ac:dyDescent="0.25">
      <c r="A65" s="17" t="s">
        <v>709</v>
      </c>
      <c r="B65" s="94">
        <v>45772</v>
      </c>
      <c r="C65" s="96">
        <v>0.5</v>
      </c>
      <c r="D65" s="17" t="s">
        <v>594</v>
      </c>
      <c r="G65" s="17" t="s">
        <v>710</v>
      </c>
      <c r="H65" s="17" t="s">
        <v>175</v>
      </c>
      <c r="I65" s="17">
        <v>9</v>
      </c>
      <c r="J65" s="17" t="s">
        <v>748</v>
      </c>
      <c r="M65" s="17" t="s">
        <v>722</v>
      </c>
      <c r="N65" s="17" t="s">
        <v>986</v>
      </c>
      <c r="O65" s="17" t="s">
        <v>724</v>
      </c>
      <c r="P65" s="17" t="s">
        <v>63</v>
      </c>
      <c r="U65" s="17" t="s">
        <v>138</v>
      </c>
      <c r="V65" s="17" t="s">
        <v>411</v>
      </c>
      <c r="W65" s="17" t="s">
        <v>105</v>
      </c>
      <c r="X65" s="17" t="s">
        <v>161</v>
      </c>
      <c r="Y65" s="17" t="s">
        <v>211</v>
      </c>
      <c r="Z65" s="17" t="s">
        <v>181</v>
      </c>
      <c r="AA65" s="94">
        <v>45772</v>
      </c>
      <c r="AB65" s="96">
        <v>0.5</v>
      </c>
      <c r="AC65" s="96">
        <v>0.5</v>
      </c>
      <c r="AD65" s="17" t="s">
        <v>761</v>
      </c>
      <c r="AE65" s="17" t="s">
        <v>594</v>
      </c>
      <c r="AF65" s="17" t="s">
        <v>326</v>
      </c>
      <c r="AG65" s="96">
        <v>0.5</v>
      </c>
      <c r="AH65" s="94">
        <v>45772</v>
      </c>
      <c r="AI65" s="17" t="s">
        <v>761</v>
      </c>
      <c r="AJ65" s="17" t="s">
        <v>485</v>
      </c>
      <c r="AK65" s="17" t="s">
        <v>430</v>
      </c>
      <c r="AL65" s="17">
        <v>2025</v>
      </c>
      <c r="AM65" s="17">
        <v>17</v>
      </c>
      <c r="AN65" s="17">
        <v>25</v>
      </c>
      <c r="AO65" s="17" t="s">
        <v>810</v>
      </c>
      <c r="AP65" s="17" t="s">
        <v>976</v>
      </c>
    </row>
    <row r="66" spans="1:42" x14ac:dyDescent="0.25">
      <c r="A66" s="17" t="s">
        <v>712</v>
      </c>
      <c r="B66" s="94">
        <v>45774</v>
      </c>
      <c r="C66" s="96">
        <v>0.77083333333333326</v>
      </c>
      <c r="D66" s="17" t="s">
        <v>727</v>
      </c>
      <c r="E66" s="17" t="s">
        <v>603</v>
      </c>
      <c r="G66" s="17" t="s">
        <v>713</v>
      </c>
      <c r="H66" s="17" t="s">
        <v>98</v>
      </c>
      <c r="I66" s="17">
        <v>6</v>
      </c>
      <c r="J66" s="17" t="s">
        <v>750</v>
      </c>
      <c r="M66" s="17" t="s">
        <v>987</v>
      </c>
      <c r="N66" s="17" t="s">
        <v>354</v>
      </c>
      <c r="Q66" s="17" t="s">
        <v>987</v>
      </c>
      <c r="S66" s="17" t="s">
        <v>988</v>
      </c>
      <c r="V66" s="17" t="s">
        <v>730</v>
      </c>
      <c r="W66" s="17" t="s">
        <v>731</v>
      </c>
      <c r="X66" s="17"/>
      <c r="Y66" s="17"/>
      <c r="Z66" s="17"/>
      <c r="AA66" s="94">
        <v>45774</v>
      </c>
      <c r="AB66" s="96">
        <v>0.77083333333333337</v>
      </c>
      <c r="AC66" s="96">
        <v>0.75</v>
      </c>
      <c r="AD66" s="17" t="s">
        <v>765</v>
      </c>
      <c r="AE66" s="17" t="s">
        <v>776</v>
      </c>
      <c r="AF66" s="17" t="s">
        <v>326</v>
      </c>
      <c r="AG66" s="96">
        <v>0.77083333333333337</v>
      </c>
      <c r="AH66" s="94">
        <v>45774</v>
      </c>
      <c r="AI66" s="17" t="s">
        <v>765</v>
      </c>
      <c r="AJ66" s="17" t="s">
        <v>640</v>
      </c>
      <c r="AK66" s="17" t="s">
        <v>430</v>
      </c>
      <c r="AL66" s="17">
        <v>2025</v>
      </c>
      <c r="AM66" s="17">
        <v>18</v>
      </c>
      <c r="AN66" s="17">
        <v>27</v>
      </c>
      <c r="AO66" s="17" t="s">
        <v>839</v>
      </c>
      <c r="AP66" s="17" t="s">
        <v>976</v>
      </c>
    </row>
    <row r="67" spans="1:42" x14ac:dyDescent="0.25">
      <c r="A67" s="17" t="s">
        <v>939</v>
      </c>
      <c r="B67" s="94">
        <v>45774</v>
      </c>
      <c r="C67" s="96">
        <v>0.79166666666666674</v>
      </c>
      <c r="D67" s="17" t="s">
        <v>608</v>
      </c>
      <c r="G67" s="17" t="s">
        <v>125</v>
      </c>
      <c r="H67" s="17" t="s">
        <v>126</v>
      </c>
      <c r="I67" s="17">
        <v>5</v>
      </c>
      <c r="J67" s="17" t="s">
        <v>940</v>
      </c>
      <c r="U67" s="17" t="s">
        <v>590</v>
      </c>
      <c r="V67" s="17" t="s">
        <v>941</v>
      </c>
      <c r="W67" s="17" t="s">
        <v>262</v>
      </c>
      <c r="X67" s="17" t="s">
        <v>374</v>
      </c>
      <c r="Y67" s="17" t="s">
        <v>69</v>
      </c>
      <c r="Z67" s="17"/>
      <c r="AA67" s="94">
        <v>45774</v>
      </c>
      <c r="AB67" s="96">
        <v>0.79166666666666663</v>
      </c>
      <c r="AC67" s="96">
        <v>0.79166666666666663</v>
      </c>
      <c r="AD67" s="17" t="s">
        <v>765</v>
      </c>
      <c r="AE67" s="17" t="s">
        <v>608</v>
      </c>
      <c r="AF67" s="17" t="s">
        <v>326</v>
      </c>
      <c r="AG67" s="96">
        <v>0.79166666666666663</v>
      </c>
      <c r="AH67" s="94">
        <v>45774</v>
      </c>
      <c r="AI67" s="17" t="s">
        <v>765</v>
      </c>
      <c r="AJ67" s="17" t="s">
        <v>640</v>
      </c>
      <c r="AK67" s="17" t="s">
        <v>430</v>
      </c>
      <c r="AL67" s="17">
        <v>2025</v>
      </c>
      <c r="AM67" s="17">
        <v>18</v>
      </c>
      <c r="AN67" s="17">
        <v>27</v>
      </c>
      <c r="AO67" s="17" t="s">
        <v>819</v>
      </c>
      <c r="AP67" s="17" t="s">
        <v>976</v>
      </c>
    </row>
    <row r="68" spans="1:42" x14ac:dyDescent="0.25">
      <c r="A68" s="17" t="s">
        <v>711</v>
      </c>
      <c r="B68" s="94">
        <v>45776</v>
      </c>
      <c r="C68" s="96">
        <v>0.5625</v>
      </c>
      <c r="D68" s="17" t="s">
        <v>594</v>
      </c>
      <c r="G68" s="17" t="s">
        <v>650</v>
      </c>
      <c r="H68" s="17" t="s">
        <v>306</v>
      </c>
      <c r="I68" s="17">
        <v>8</v>
      </c>
      <c r="J68" s="17" t="s">
        <v>749</v>
      </c>
      <c r="M68" s="17" t="s">
        <v>725</v>
      </c>
      <c r="N68" s="17" t="s">
        <v>278</v>
      </c>
      <c r="O68" s="17" t="s">
        <v>726</v>
      </c>
      <c r="P68" s="17" t="s">
        <v>63</v>
      </c>
      <c r="U68" s="17" t="s">
        <v>984</v>
      </c>
      <c r="V68" s="17" t="s">
        <v>435</v>
      </c>
      <c r="W68" s="17" t="s">
        <v>171</v>
      </c>
      <c r="X68" s="17" t="s">
        <v>141</v>
      </c>
      <c r="Y68" s="17" t="s">
        <v>665</v>
      </c>
      <c r="Z68" s="17" t="s">
        <v>181</v>
      </c>
      <c r="AA68" s="94">
        <v>45776</v>
      </c>
      <c r="AB68" s="96">
        <v>0.5625</v>
      </c>
      <c r="AC68" s="96">
        <v>0.54166666666666663</v>
      </c>
      <c r="AD68" s="17" t="s">
        <v>761</v>
      </c>
      <c r="AE68" s="17" t="s">
        <v>594</v>
      </c>
      <c r="AF68" s="17" t="s">
        <v>326</v>
      </c>
      <c r="AG68" s="96">
        <v>0.5625</v>
      </c>
      <c r="AH68" s="94">
        <v>45776</v>
      </c>
      <c r="AI68" s="17" t="s">
        <v>761</v>
      </c>
      <c r="AJ68" s="17" t="s">
        <v>635</v>
      </c>
      <c r="AK68" s="17" t="s">
        <v>430</v>
      </c>
      <c r="AL68" s="17">
        <v>2025</v>
      </c>
      <c r="AM68" s="17">
        <v>18</v>
      </c>
      <c r="AN68" s="17">
        <v>29</v>
      </c>
      <c r="AO68" s="17" t="s">
        <v>812</v>
      </c>
      <c r="AP68" s="17" t="s">
        <v>976</v>
      </c>
    </row>
    <row r="69" spans="1:42" x14ac:dyDescent="0.25">
      <c r="A69" s="17" t="s">
        <v>714</v>
      </c>
      <c r="B69" s="94">
        <v>45777</v>
      </c>
      <c r="C69" s="96">
        <v>0.68012731481481481</v>
      </c>
      <c r="D69" s="17" t="s">
        <v>603</v>
      </c>
      <c r="G69" s="17" t="s">
        <v>715</v>
      </c>
      <c r="J69" s="17" t="s">
        <v>751</v>
      </c>
      <c r="U69" s="17" t="s">
        <v>78</v>
      </c>
      <c r="V69" s="17" t="s">
        <v>310</v>
      </c>
      <c r="W69" s="17" t="s">
        <v>67</v>
      </c>
      <c r="X69" s="17" t="s">
        <v>732</v>
      </c>
      <c r="Y69" s="17" t="s">
        <v>211</v>
      </c>
      <c r="Z69" s="17"/>
      <c r="AA69" s="94">
        <v>45777</v>
      </c>
      <c r="AB69" s="96">
        <v>0.68012731481481481</v>
      </c>
      <c r="AC69" s="96">
        <v>0.66666666666666663</v>
      </c>
      <c r="AD69" s="17" t="s">
        <v>765</v>
      </c>
      <c r="AE69" s="17" t="s">
        <v>603</v>
      </c>
      <c r="AF69" s="17" t="s">
        <v>326</v>
      </c>
      <c r="AG69" s="96">
        <v>0.68012731481481481</v>
      </c>
      <c r="AH69" s="94">
        <v>45777</v>
      </c>
      <c r="AI69" s="17" t="s">
        <v>765</v>
      </c>
      <c r="AJ69" s="17" t="s">
        <v>637</v>
      </c>
      <c r="AK69" s="17" t="s">
        <v>430</v>
      </c>
      <c r="AL69" s="17">
        <v>2025</v>
      </c>
      <c r="AM69" s="17">
        <v>18</v>
      </c>
      <c r="AN69" s="17">
        <v>30</v>
      </c>
      <c r="AO69" s="17" t="s">
        <v>841</v>
      </c>
      <c r="AP69" s="17" t="s">
        <v>976</v>
      </c>
    </row>
    <row r="70" spans="1:42" x14ac:dyDescent="0.25">
      <c r="A70" s="17" t="s">
        <v>716</v>
      </c>
      <c r="B70" s="94">
        <v>45778</v>
      </c>
      <c r="C70" s="96">
        <v>0.93593750000000009</v>
      </c>
      <c r="D70" s="17" t="s">
        <v>608</v>
      </c>
      <c r="E70" s="17" t="s">
        <v>616</v>
      </c>
      <c r="F70" s="17" t="s">
        <v>696</v>
      </c>
      <c r="G70" s="17" t="s">
        <v>717</v>
      </c>
      <c r="H70" s="17" t="s">
        <v>115</v>
      </c>
      <c r="I70" s="17">
        <v>7</v>
      </c>
      <c r="J70" s="17" t="s">
        <v>752</v>
      </c>
      <c r="U70" s="17" t="s">
        <v>78</v>
      </c>
      <c r="V70" s="17" t="s">
        <v>693</v>
      </c>
      <c r="W70" s="17" t="s">
        <v>80</v>
      </c>
      <c r="X70" s="17" t="s">
        <v>141</v>
      </c>
      <c r="Y70" s="17" t="s">
        <v>107</v>
      </c>
      <c r="Z70" s="17"/>
      <c r="AA70" s="94">
        <v>45778</v>
      </c>
      <c r="AB70" s="96">
        <v>0.93593749999999998</v>
      </c>
      <c r="AC70" s="96">
        <v>0.91666666666666663</v>
      </c>
      <c r="AD70" s="17" t="s">
        <v>764</v>
      </c>
      <c r="AE70" s="17" t="s">
        <v>760</v>
      </c>
      <c r="AF70" s="17" t="s">
        <v>326</v>
      </c>
      <c r="AG70" s="96">
        <v>0.93593749999999998</v>
      </c>
      <c r="AH70" s="94">
        <v>45778</v>
      </c>
      <c r="AI70" s="17" t="s">
        <v>764</v>
      </c>
      <c r="AJ70" s="17" t="s">
        <v>638</v>
      </c>
      <c r="AK70" s="17" t="s">
        <v>642</v>
      </c>
      <c r="AL70" s="17">
        <v>2025</v>
      </c>
      <c r="AM70" s="17">
        <v>18</v>
      </c>
      <c r="AN70" s="17">
        <v>1</v>
      </c>
      <c r="AO70" s="17" t="s">
        <v>829</v>
      </c>
      <c r="AP70" s="17" t="s">
        <v>976</v>
      </c>
    </row>
    <row r="71" spans="1:42" x14ac:dyDescent="0.25">
      <c r="A71" s="17" t="s">
        <v>885</v>
      </c>
      <c r="B71" s="94">
        <v>45781</v>
      </c>
      <c r="C71" s="96">
        <v>0.54166666666666674</v>
      </c>
      <c r="D71" s="17" t="s">
        <v>608</v>
      </c>
      <c r="G71" s="17" t="s">
        <v>886</v>
      </c>
      <c r="H71" s="17" t="s">
        <v>88</v>
      </c>
      <c r="I71" s="17">
        <v>8</v>
      </c>
      <c r="J71" s="17" t="s">
        <v>887</v>
      </c>
      <c r="U71" s="17" t="s">
        <v>166</v>
      </c>
      <c r="V71" s="17" t="s">
        <v>344</v>
      </c>
      <c r="W71" s="17" t="s">
        <v>262</v>
      </c>
      <c r="X71" s="17" t="s">
        <v>161</v>
      </c>
      <c r="Y71" s="17" t="s">
        <v>82</v>
      </c>
      <c r="Z71" s="17"/>
      <c r="AA71" s="94">
        <v>45781</v>
      </c>
      <c r="AB71" s="96">
        <v>0.54166666666666663</v>
      </c>
      <c r="AC71" s="96">
        <v>0.54166666666666663</v>
      </c>
      <c r="AD71" s="17" t="s">
        <v>761</v>
      </c>
      <c r="AE71" s="17" t="s">
        <v>608</v>
      </c>
      <c r="AF71" s="17" t="s">
        <v>326</v>
      </c>
      <c r="AG71" s="96">
        <v>0.54166666666666663</v>
      </c>
      <c r="AH71" s="94">
        <v>45781</v>
      </c>
      <c r="AI71" s="17" t="s">
        <v>761</v>
      </c>
      <c r="AJ71" s="17" t="s">
        <v>640</v>
      </c>
      <c r="AK71" s="17" t="s">
        <v>642</v>
      </c>
      <c r="AL71" s="17">
        <v>2025</v>
      </c>
      <c r="AM71" s="17">
        <v>19</v>
      </c>
      <c r="AN71" s="17">
        <v>4</v>
      </c>
      <c r="AO71" s="17" t="s">
        <v>888</v>
      </c>
      <c r="AP71" s="17" t="s">
        <v>976</v>
      </c>
    </row>
    <row r="72" spans="1:42" x14ac:dyDescent="0.25">
      <c r="A72" s="17" t="s">
        <v>892</v>
      </c>
      <c r="B72" s="94">
        <v>45782</v>
      </c>
      <c r="C72" s="96">
        <v>0.74097222222222214</v>
      </c>
      <c r="D72" s="17" t="s">
        <v>594</v>
      </c>
      <c r="E72" s="17" t="s">
        <v>157</v>
      </c>
      <c r="G72" s="17" t="s">
        <v>893</v>
      </c>
      <c r="H72" s="17" t="s">
        <v>159</v>
      </c>
      <c r="I72" s="17">
        <v>9</v>
      </c>
      <c r="J72" s="17" t="s">
        <v>894</v>
      </c>
      <c r="N72" s="17" t="s">
        <v>101</v>
      </c>
      <c r="O72" s="17" t="s">
        <v>895</v>
      </c>
      <c r="U72" s="17" t="s">
        <v>138</v>
      </c>
      <c r="V72" s="17" t="s">
        <v>167</v>
      </c>
      <c r="W72" s="17" t="s">
        <v>140</v>
      </c>
      <c r="X72" s="17" t="s">
        <v>161</v>
      </c>
      <c r="Y72" s="17" t="s">
        <v>162</v>
      </c>
      <c r="Z72" s="17"/>
      <c r="AA72" s="94">
        <v>45782</v>
      </c>
      <c r="AB72" s="96">
        <v>0.74097222222222225</v>
      </c>
      <c r="AC72" s="96">
        <v>0.70833333333333337</v>
      </c>
      <c r="AD72" s="17" t="s">
        <v>765</v>
      </c>
      <c r="AE72" s="17" t="s">
        <v>897</v>
      </c>
      <c r="AF72" s="17" t="s">
        <v>326</v>
      </c>
      <c r="AG72" s="96">
        <v>0.74097222222222225</v>
      </c>
      <c r="AH72" s="94">
        <v>45782</v>
      </c>
      <c r="AI72" s="17" t="s">
        <v>765</v>
      </c>
      <c r="AJ72" s="17" t="s">
        <v>636</v>
      </c>
      <c r="AK72" s="17" t="s">
        <v>642</v>
      </c>
      <c r="AL72" s="17">
        <v>2025</v>
      </c>
      <c r="AM72" s="17">
        <v>19</v>
      </c>
      <c r="AN72" s="17">
        <v>5</v>
      </c>
      <c r="AO72" s="17" t="s">
        <v>896</v>
      </c>
      <c r="AP72" s="17" t="s">
        <v>979</v>
      </c>
    </row>
    <row r="73" spans="1:42" x14ac:dyDescent="0.25">
      <c r="A73" s="17" t="s">
        <v>864</v>
      </c>
      <c r="B73" s="94">
        <v>45786</v>
      </c>
      <c r="C73" s="96">
        <v>0.60416666666666674</v>
      </c>
      <c r="D73" s="17" t="s">
        <v>603</v>
      </c>
      <c r="E73" s="17" t="s">
        <v>865</v>
      </c>
      <c r="G73" s="17" t="s">
        <v>866</v>
      </c>
      <c r="H73" s="17" t="s">
        <v>198</v>
      </c>
      <c r="I73" s="17">
        <v>5</v>
      </c>
      <c r="J73" s="17" t="s">
        <v>867</v>
      </c>
      <c r="U73" s="17" t="s">
        <v>590</v>
      </c>
      <c r="V73" s="17" t="s">
        <v>868</v>
      </c>
      <c r="W73" s="17" t="s">
        <v>80</v>
      </c>
      <c r="X73" s="17" t="s">
        <v>93</v>
      </c>
      <c r="Y73" s="17" t="s">
        <v>311</v>
      </c>
      <c r="Z73" s="17"/>
      <c r="AA73" s="94">
        <v>45786</v>
      </c>
      <c r="AB73" s="96">
        <v>0.60416666666666663</v>
      </c>
      <c r="AC73" s="96">
        <v>0.58333333333333337</v>
      </c>
      <c r="AD73" s="17" t="s">
        <v>761</v>
      </c>
      <c r="AE73" s="17" t="s">
        <v>870</v>
      </c>
      <c r="AF73" s="17" t="s">
        <v>326</v>
      </c>
      <c r="AG73" s="96">
        <v>0.60416666666666663</v>
      </c>
      <c r="AH73" s="94">
        <v>45786</v>
      </c>
      <c r="AI73" s="17" t="s">
        <v>761</v>
      </c>
      <c r="AJ73" s="17" t="s">
        <v>485</v>
      </c>
      <c r="AK73" s="17" t="s">
        <v>642</v>
      </c>
      <c r="AL73" s="17">
        <v>2025</v>
      </c>
      <c r="AM73" s="17">
        <v>19</v>
      </c>
      <c r="AN73" s="17">
        <v>9</v>
      </c>
      <c r="AO73" s="17" t="s">
        <v>869</v>
      </c>
      <c r="AP73" s="17" t="s">
        <v>976</v>
      </c>
    </row>
    <row r="74" spans="1:42" x14ac:dyDescent="0.25">
      <c r="A74" s="17" t="s">
        <v>871</v>
      </c>
      <c r="B74" s="94">
        <v>45788</v>
      </c>
      <c r="C74" s="96">
        <v>79.166666666666671</v>
      </c>
      <c r="D74" s="17" t="s">
        <v>600</v>
      </c>
      <c r="G74" s="17" t="s">
        <v>872</v>
      </c>
      <c r="H74" s="17" t="s">
        <v>198</v>
      </c>
      <c r="I74" s="17">
        <v>5</v>
      </c>
      <c r="J74" s="17" t="s">
        <v>873</v>
      </c>
      <c r="M74" s="17" t="s">
        <v>874</v>
      </c>
      <c r="N74" s="17" t="s">
        <v>501</v>
      </c>
      <c r="O74" s="17" t="s">
        <v>875</v>
      </c>
      <c r="P74" s="17" t="s">
        <v>63</v>
      </c>
      <c r="U74" s="17" t="s">
        <v>381</v>
      </c>
      <c r="V74" s="17" t="s">
        <v>261</v>
      </c>
      <c r="W74" s="17" t="s">
        <v>262</v>
      </c>
      <c r="X74" s="17" t="s">
        <v>141</v>
      </c>
      <c r="Y74" s="17" t="s">
        <v>107</v>
      </c>
      <c r="Z74" s="17"/>
      <c r="AA74" s="94">
        <v>45788</v>
      </c>
      <c r="AB74" s="96">
        <v>0.16666666666666666</v>
      </c>
      <c r="AC74" s="96">
        <v>0.16666666666666666</v>
      </c>
      <c r="AD74" s="17" t="s">
        <v>766</v>
      </c>
      <c r="AE74" s="17" t="s">
        <v>600</v>
      </c>
      <c r="AF74" s="17" t="s">
        <v>326</v>
      </c>
      <c r="AG74" s="96">
        <v>0.16666666666666666</v>
      </c>
      <c r="AH74" s="94">
        <v>45788</v>
      </c>
      <c r="AI74" s="17" t="s">
        <v>766</v>
      </c>
      <c r="AJ74" s="17" t="s">
        <v>640</v>
      </c>
      <c r="AK74" s="17" t="s">
        <v>642</v>
      </c>
      <c r="AL74" s="17">
        <v>2025</v>
      </c>
      <c r="AM74" s="17">
        <v>20</v>
      </c>
      <c r="AN74" s="17">
        <v>11</v>
      </c>
      <c r="AO74" s="17" t="s">
        <v>876</v>
      </c>
      <c r="AP74" s="17" t="s">
        <v>976</v>
      </c>
    </row>
    <row r="75" spans="1:42" x14ac:dyDescent="0.25">
      <c r="A75" s="17" t="s">
        <v>889</v>
      </c>
      <c r="B75" s="94">
        <v>45788</v>
      </c>
      <c r="C75" s="96"/>
      <c r="D75" s="17" t="s">
        <v>613</v>
      </c>
      <c r="E75" s="17" t="s">
        <v>289</v>
      </c>
      <c r="G75" s="17" t="s">
        <v>290</v>
      </c>
      <c r="H75" s="17" t="s">
        <v>115</v>
      </c>
      <c r="J75" s="17" t="s">
        <v>890</v>
      </c>
      <c r="U75" s="17" t="s">
        <v>992</v>
      </c>
      <c r="V75" s="17" t="s">
        <v>293</v>
      </c>
      <c r="W75" s="17" t="s">
        <v>443</v>
      </c>
      <c r="X75" s="17" t="s">
        <v>293</v>
      </c>
      <c r="Y75" s="17" t="s">
        <v>69</v>
      </c>
      <c r="Z75" s="17"/>
      <c r="AA75" s="94">
        <v>45788</v>
      </c>
      <c r="AB75" s="96">
        <v>0.63552083333333331</v>
      </c>
      <c r="AC75" s="96">
        <v>0.625</v>
      </c>
      <c r="AD75" s="17" t="s">
        <v>761</v>
      </c>
      <c r="AE75" s="17" t="s">
        <v>778</v>
      </c>
      <c r="AF75" s="17" t="s">
        <v>326</v>
      </c>
      <c r="AG75" s="96">
        <v>0.63552083333333331</v>
      </c>
      <c r="AH75" s="94">
        <v>45788</v>
      </c>
      <c r="AI75" s="17" t="s">
        <v>761</v>
      </c>
      <c r="AJ75" s="17" t="s">
        <v>640</v>
      </c>
      <c r="AK75" s="17" t="s">
        <v>642</v>
      </c>
      <c r="AL75" s="17">
        <v>2025</v>
      </c>
      <c r="AM75" s="17">
        <v>20</v>
      </c>
      <c r="AN75" s="17">
        <v>11</v>
      </c>
      <c r="AO75" s="17" t="s">
        <v>842</v>
      </c>
      <c r="AP75" s="17" t="s">
        <v>977</v>
      </c>
    </row>
    <row r="76" spans="1:42" x14ac:dyDescent="0.25">
      <c r="A76" s="17" t="s">
        <v>877</v>
      </c>
      <c r="B76" s="94">
        <v>45789</v>
      </c>
      <c r="C76" s="96">
        <v>0.27222222222222214</v>
      </c>
      <c r="D76" s="17" t="s">
        <v>608</v>
      </c>
      <c r="E76" s="17" t="s">
        <v>631</v>
      </c>
      <c r="F76" s="17" t="s">
        <v>878</v>
      </c>
      <c r="G76" s="17" t="s">
        <v>879</v>
      </c>
      <c r="H76" s="17" t="s">
        <v>165</v>
      </c>
      <c r="I76" s="17">
        <v>9</v>
      </c>
      <c r="J76" s="17" t="s">
        <v>880</v>
      </c>
      <c r="M76" s="17" t="s">
        <v>991</v>
      </c>
      <c r="N76" s="17" t="s">
        <v>61</v>
      </c>
      <c r="O76" s="17" t="s">
        <v>62</v>
      </c>
      <c r="P76" s="17" t="s">
        <v>63</v>
      </c>
      <c r="U76" s="17" t="s">
        <v>166</v>
      </c>
      <c r="V76" s="17" t="s">
        <v>179</v>
      </c>
      <c r="W76" s="17" t="s">
        <v>140</v>
      </c>
      <c r="X76" s="17" t="s">
        <v>161</v>
      </c>
      <c r="Y76" s="17" t="s">
        <v>168</v>
      </c>
      <c r="Z76" s="17"/>
      <c r="AA76" s="94">
        <v>45789</v>
      </c>
      <c r="AB76" s="96">
        <v>0.2722222222222222</v>
      </c>
      <c r="AC76" s="96">
        <v>0.25</v>
      </c>
      <c r="AD76" s="17" t="s">
        <v>766</v>
      </c>
      <c r="AE76" s="17" t="s">
        <v>884</v>
      </c>
      <c r="AF76" s="17" t="s">
        <v>326</v>
      </c>
      <c r="AG76" s="96">
        <v>0.2722222222222222</v>
      </c>
      <c r="AH76" s="94">
        <v>45789</v>
      </c>
      <c r="AI76" s="17" t="s">
        <v>766</v>
      </c>
      <c r="AJ76" s="17" t="s">
        <v>636</v>
      </c>
      <c r="AK76" s="17" t="s">
        <v>642</v>
      </c>
      <c r="AL76" s="17">
        <v>2025</v>
      </c>
      <c r="AM76" s="17">
        <v>20</v>
      </c>
      <c r="AN76" s="17">
        <v>12</v>
      </c>
      <c r="AO76" s="17" t="s">
        <v>883</v>
      </c>
      <c r="AP76" s="17" t="s">
        <v>976</v>
      </c>
    </row>
    <row r="77" spans="1:42" x14ac:dyDescent="0.25">
      <c r="A77" s="17" t="s">
        <v>898</v>
      </c>
      <c r="B77" s="94">
        <v>45789</v>
      </c>
      <c r="C77" s="96">
        <v>0.8125</v>
      </c>
      <c r="D77" s="17" t="s">
        <v>594</v>
      </c>
      <c r="G77" s="17" t="s">
        <v>899</v>
      </c>
      <c r="H77" s="17" t="s">
        <v>424</v>
      </c>
      <c r="J77" s="17" t="s">
        <v>900</v>
      </c>
      <c r="M77" s="17" t="s">
        <v>901</v>
      </c>
      <c r="N77" s="17" t="s">
        <v>902</v>
      </c>
      <c r="O77" s="17" t="s">
        <v>903</v>
      </c>
      <c r="P77" s="17" t="s">
        <v>63</v>
      </c>
      <c r="U77" s="17" t="s">
        <v>166</v>
      </c>
      <c r="V77" s="17" t="s">
        <v>467</v>
      </c>
      <c r="W77" s="17" t="s">
        <v>262</v>
      </c>
      <c r="X77" s="17" t="s">
        <v>374</v>
      </c>
      <c r="Y77" s="17" t="s">
        <v>107</v>
      </c>
      <c r="Z77" s="17"/>
      <c r="AA77" s="94">
        <v>45789</v>
      </c>
      <c r="AB77" s="96">
        <v>0.8125</v>
      </c>
      <c r="AC77" s="96">
        <v>0.79166666666666663</v>
      </c>
      <c r="AD77" s="17" t="s">
        <v>765</v>
      </c>
      <c r="AE77" s="17" t="s">
        <v>594</v>
      </c>
      <c r="AF77" s="17" t="s">
        <v>326</v>
      </c>
      <c r="AG77" s="96">
        <v>0.8125</v>
      </c>
      <c r="AH77" s="94">
        <v>45789</v>
      </c>
      <c r="AI77" s="17" t="s">
        <v>765</v>
      </c>
      <c r="AJ77" s="17" t="s">
        <v>636</v>
      </c>
      <c r="AK77" s="17" t="s">
        <v>642</v>
      </c>
      <c r="AL77" s="17">
        <v>2025</v>
      </c>
      <c r="AM77" s="17">
        <v>20</v>
      </c>
      <c r="AN77" s="17">
        <v>12</v>
      </c>
      <c r="AO77" s="17" t="s">
        <v>904</v>
      </c>
      <c r="AP77" s="17" t="s">
        <v>976</v>
      </c>
    </row>
    <row r="78" spans="1:42" x14ac:dyDescent="0.25">
      <c r="A78" s="17" t="s">
        <v>905</v>
      </c>
      <c r="B78" s="94">
        <v>45789</v>
      </c>
      <c r="C78" s="96">
        <v>0.33333333333333326</v>
      </c>
      <c r="D78" s="17" t="s">
        <v>608</v>
      </c>
      <c r="G78" s="17" t="s">
        <v>906</v>
      </c>
      <c r="H78" s="17" t="s">
        <v>198</v>
      </c>
      <c r="I78" s="17">
        <v>5</v>
      </c>
      <c r="J78" s="17" t="s">
        <v>907</v>
      </c>
      <c r="U78" s="17" t="s">
        <v>78</v>
      </c>
      <c r="V78" s="17" t="s">
        <v>693</v>
      </c>
      <c r="W78" s="17" t="s">
        <v>80</v>
      </c>
      <c r="X78" s="17" t="s">
        <v>161</v>
      </c>
      <c r="Y78" s="17" t="s">
        <v>82</v>
      </c>
      <c r="Z78" s="17"/>
      <c r="AA78" s="94">
        <v>45789</v>
      </c>
      <c r="AB78" s="96">
        <v>0.33333333333333331</v>
      </c>
      <c r="AC78" s="96">
        <v>0.33333333333333331</v>
      </c>
      <c r="AD78" s="17" t="s">
        <v>762</v>
      </c>
      <c r="AE78" s="17" t="s">
        <v>608</v>
      </c>
      <c r="AF78" s="17" t="s">
        <v>326</v>
      </c>
      <c r="AG78" s="96">
        <v>0.33333333333333331</v>
      </c>
      <c r="AH78" s="94">
        <v>45789</v>
      </c>
      <c r="AI78" s="17" t="s">
        <v>762</v>
      </c>
      <c r="AJ78" s="17" t="s">
        <v>636</v>
      </c>
      <c r="AK78" s="17" t="s">
        <v>642</v>
      </c>
      <c r="AL78" s="17">
        <v>2025</v>
      </c>
      <c r="AM78" s="17">
        <v>20</v>
      </c>
      <c r="AN78" s="17">
        <v>12</v>
      </c>
      <c r="AO78" s="17" t="s">
        <v>908</v>
      </c>
      <c r="AP78" s="17" t="s">
        <v>976</v>
      </c>
    </row>
    <row r="79" spans="1:42" x14ac:dyDescent="0.25">
      <c r="A79" s="17" t="s">
        <v>919</v>
      </c>
      <c r="B79" s="94">
        <v>45790</v>
      </c>
      <c r="C79" s="96">
        <v>0.64583333333333326</v>
      </c>
      <c r="D79" s="17" t="s">
        <v>598</v>
      </c>
      <c r="G79" s="17" t="s">
        <v>920</v>
      </c>
      <c r="H79" s="17" t="s">
        <v>159</v>
      </c>
      <c r="I79" s="17">
        <v>9</v>
      </c>
      <c r="J79" s="17" t="s">
        <v>921</v>
      </c>
      <c r="U79" s="17" t="s">
        <v>381</v>
      </c>
      <c r="V79" s="17" t="s">
        <v>170</v>
      </c>
      <c r="W79" s="17" t="s">
        <v>171</v>
      </c>
      <c r="X79" s="17" t="s">
        <v>280</v>
      </c>
      <c r="Y79" s="17" t="s">
        <v>211</v>
      </c>
      <c r="Z79" s="17"/>
      <c r="AA79" s="94">
        <v>45790</v>
      </c>
      <c r="AB79" s="96">
        <v>0.64583333333333337</v>
      </c>
      <c r="AC79" s="96">
        <v>0.625</v>
      </c>
      <c r="AD79" s="17" t="s">
        <v>761</v>
      </c>
      <c r="AE79" s="17" t="s">
        <v>598</v>
      </c>
      <c r="AF79" s="17" t="s">
        <v>519</v>
      </c>
      <c r="AG79" s="96">
        <v>0.64583333333333337</v>
      </c>
      <c r="AH79" s="94">
        <v>45790</v>
      </c>
      <c r="AI79" s="17" t="s">
        <v>761</v>
      </c>
      <c r="AJ79" s="17" t="s">
        <v>635</v>
      </c>
      <c r="AK79" s="17" t="s">
        <v>642</v>
      </c>
      <c r="AL79" s="17">
        <v>2025</v>
      </c>
      <c r="AM79" s="17">
        <v>20</v>
      </c>
      <c r="AN79" s="17">
        <v>13</v>
      </c>
      <c r="AO79" s="17" t="s">
        <v>922</v>
      </c>
      <c r="AP79" s="17" t="s">
        <v>976</v>
      </c>
    </row>
    <row r="80" spans="1:42" x14ac:dyDescent="0.25">
      <c r="A80" s="17" t="s">
        <v>915</v>
      </c>
      <c r="B80" s="94">
        <v>45791</v>
      </c>
      <c r="C80" s="96">
        <v>0.46875</v>
      </c>
      <c r="D80" s="17" t="s">
        <v>600</v>
      </c>
      <c r="E80" s="17" t="s">
        <v>616</v>
      </c>
      <c r="G80" s="17" t="s">
        <v>916</v>
      </c>
      <c r="H80" s="17" t="s">
        <v>136</v>
      </c>
      <c r="I80" s="17">
        <v>8</v>
      </c>
      <c r="J80" s="17" t="s">
        <v>917</v>
      </c>
      <c r="M80" s="17" t="s">
        <v>918</v>
      </c>
      <c r="U80" s="17" t="s">
        <v>381</v>
      </c>
      <c r="V80" s="17" t="s">
        <v>170</v>
      </c>
      <c r="W80" s="17" t="s">
        <v>171</v>
      </c>
      <c r="X80" s="17" t="s">
        <v>93</v>
      </c>
      <c r="Y80" s="17" t="s">
        <v>69</v>
      </c>
      <c r="Z80" s="17"/>
      <c r="AA80" s="94">
        <v>45791</v>
      </c>
      <c r="AB80" s="96">
        <v>0.46875</v>
      </c>
      <c r="AC80" s="96">
        <v>0.45833333333333331</v>
      </c>
      <c r="AD80" s="17" t="s">
        <v>762</v>
      </c>
      <c r="AE80" s="17" t="s">
        <v>848</v>
      </c>
      <c r="AF80" s="17" t="s">
        <v>519</v>
      </c>
      <c r="AG80" s="96">
        <v>0.46875</v>
      </c>
      <c r="AH80" s="94">
        <v>45791</v>
      </c>
      <c r="AI80" s="17" t="s">
        <v>762</v>
      </c>
      <c r="AJ80" s="17" t="s">
        <v>637</v>
      </c>
      <c r="AK80" s="17" t="s">
        <v>642</v>
      </c>
      <c r="AL80" s="17">
        <v>2025</v>
      </c>
      <c r="AM80" s="17">
        <v>20</v>
      </c>
      <c r="AN80" s="17">
        <v>14</v>
      </c>
      <c r="AO80" s="17" t="s">
        <v>820</v>
      </c>
      <c r="AP80" s="17" t="s">
        <v>976</v>
      </c>
    </row>
    <row r="81" spans="1:42" x14ac:dyDescent="0.25">
      <c r="A81" s="17" t="s">
        <v>909</v>
      </c>
      <c r="B81" s="94">
        <v>45795</v>
      </c>
      <c r="C81" s="96">
        <v>0.8125</v>
      </c>
      <c r="D81" s="17" t="s">
        <v>594</v>
      </c>
      <c r="G81" s="17" t="s">
        <v>910</v>
      </c>
      <c r="H81" s="17" t="s">
        <v>159</v>
      </c>
      <c r="I81" s="17">
        <v>9</v>
      </c>
      <c r="J81" s="17" t="s">
        <v>911</v>
      </c>
      <c r="M81" s="17" t="s">
        <v>912</v>
      </c>
      <c r="N81" s="17" t="s">
        <v>101</v>
      </c>
      <c r="O81" s="17" t="s">
        <v>913</v>
      </c>
      <c r="P81" s="17" t="s">
        <v>63</v>
      </c>
      <c r="U81" s="17" t="s">
        <v>985</v>
      </c>
      <c r="V81" s="17" t="s">
        <v>117</v>
      </c>
      <c r="W81" s="17" t="s">
        <v>67</v>
      </c>
      <c r="X81" s="17" t="s">
        <v>161</v>
      </c>
      <c r="Y81" s="17" t="s">
        <v>162</v>
      </c>
      <c r="Z81" s="17"/>
      <c r="AA81" s="94">
        <v>45795</v>
      </c>
      <c r="AB81" s="96">
        <v>0.8125</v>
      </c>
      <c r="AC81" s="96">
        <v>0.79166666666666663</v>
      </c>
      <c r="AD81" s="17" t="s">
        <v>765</v>
      </c>
      <c r="AE81" s="17" t="s">
        <v>594</v>
      </c>
      <c r="AF81" s="17" t="s">
        <v>519</v>
      </c>
      <c r="AG81" s="96">
        <v>0.8125</v>
      </c>
      <c r="AH81" s="94">
        <v>45795</v>
      </c>
      <c r="AI81" s="17" t="s">
        <v>765</v>
      </c>
      <c r="AJ81" s="17" t="s">
        <v>640</v>
      </c>
      <c r="AK81" s="17" t="s">
        <v>642</v>
      </c>
      <c r="AL81" s="17">
        <v>2025</v>
      </c>
      <c r="AM81" s="17">
        <v>21</v>
      </c>
      <c r="AN81" s="17">
        <v>18</v>
      </c>
      <c r="AO81" s="17" t="s">
        <v>914</v>
      </c>
      <c r="AP81" s="17" t="s">
        <v>976</v>
      </c>
    </row>
    <row r="82" spans="1:42" x14ac:dyDescent="0.25">
      <c r="A82" s="17" t="s">
        <v>993</v>
      </c>
      <c r="B82" s="94">
        <v>45800</v>
      </c>
      <c r="C82" s="96">
        <v>0.33333333333333326</v>
      </c>
      <c r="D82" s="17" t="s">
        <v>608</v>
      </c>
      <c r="G82" s="17" t="s">
        <v>994</v>
      </c>
      <c r="J82" s="17" t="s">
        <v>995</v>
      </c>
      <c r="U82" s="17" t="s">
        <v>381</v>
      </c>
      <c r="V82" s="17" t="s">
        <v>167</v>
      </c>
      <c r="W82" s="17" t="s">
        <v>140</v>
      </c>
      <c r="X82" s="17" t="s">
        <v>93</v>
      </c>
      <c r="Y82" s="17" t="s">
        <v>107</v>
      </c>
      <c r="Z82" s="17"/>
      <c r="AA82" s="94">
        <v>45800</v>
      </c>
      <c r="AB82" s="96">
        <v>0.33333333333333331</v>
      </c>
      <c r="AC82" s="96">
        <v>0.33333333333333331</v>
      </c>
      <c r="AD82" s="17" t="s">
        <v>762</v>
      </c>
      <c r="AE82" s="17" t="s">
        <v>608</v>
      </c>
      <c r="AF82" s="17" t="s">
        <v>519</v>
      </c>
      <c r="AG82" s="96">
        <v>0.33333333333333331</v>
      </c>
      <c r="AH82" s="94">
        <v>45800</v>
      </c>
      <c r="AI82" s="17" t="s">
        <v>762</v>
      </c>
      <c r="AJ82" s="17" t="s">
        <v>485</v>
      </c>
      <c r="AK82" s="17" t="s">
        <v>642</v>
      </c>
      <c r="AL82" s="17">
        <v>2025</v>
      </c>
      <c r="AM82" s="17">
        <v>21</v>
      </c>
      <c r="AN82" s="17">
        <v>23</v>
      </c>
      <c r="AO82" s="17" t="s">
        <v>838</v>
      </c>
      <c r="AP82" s="17" t="s">
        <v>976</v>
      </c>
    </row>
    <row r="83" spans="1:42" x14ac:dyDescent="0.25">
      <c r="A83" s="17" t="s">
        <v>923</v>
      </c>
      <c r="B83" s="94">
        <v>45801</v>
      </c>
      <c r="C83" s="96">
        <v>0.93333333333333335</v>
      </c>
      <c r="D83" s="17" t="s">
        <v>608</v>
      </c>
      <c r="E83" s="17" t="s">
        <v>680</v>
      </c>
      <c r="F83" s="17" t="s">
        <v>924</v>
      </c>
      <c r="G83" s="17" t="s">
        <v>925</v>
      </c>
      <c r="H83" s="17" t="s">
        <v>169</v>
      </c>
      <c r="I83" s="17">
        <v>5</v>
      </c>
      <c r="J83" s="17" t="s">
        <v>926</v>
      </c>
      <c r="U83" s="17" t="s">
        <v>590</v>
      </c>
      <c r="V83" s="17" t="s">
        <v>503</v>
      </c>
      <c r="W83" s="17" t="s">
        <v>443</v>
      </c>
      <c r="X83" s="17" t="s">
        <v>141</v>
      </c>
      <c r="Y83" s="17" t="s">
        <v>69</v>
      </c>
      <c r="Z83" s="17"/>
      <c r="AA83" s="94">
        <v>45801</v>
      </c>
      <c r="AB83" s="96">
        <v>0.93333333333333335</v>
      </c>
      <c r="AC83" s="96">
        <v>0.91666666666666663</v>
      </c>
      <c r="AD83" s="17" t="s">
        <v>764</v>
      </c>
      <c r="AE83" s="17" t="s">
        <v>928</v>
      </c>
      <c r="AF83" s="17" t="s">
        <v>519</v>
      </c>
      <c r="AG83" s="96">
        <v>0.93333333333333335</v>
      </c>
      <c r="AH83" s="94">
        <v>45801</v>
      </c>
      <c r="AI83" s="17" t="s">
        <v>764</v>
      </c>
      <c r="AJ83" s="17" t="s">
        <v>639</v>
      </c>
      <c r="AK83" s="17" t="s">
        <v>642</v>
      </c>
      <c r="AL83" s="17">
        <v>2025</v>
      </c>
      <c r="AM83" s="17">
        <v>21</v>
      </c>
      <c r="AN83" s="17">
        <v>24</v>
      </c>
      <c r="AO83" s="17" t="s">
        <v>927</v>
      </c>
      <c r="AP83" s="17" t="s">
        <v>976</v>
      </c>
    </row>
    <row r="84" spans="1:42" x14ac:dyDescent="0.25">
      <c r="A84" s="17" t="s">
        <v>930</v>
      </c>
      <c r="B84" s="94">
        <v>45802</v>
      </c>
      <c r="C84" s="96">
        <v>0.23958333333333326</v>
      </c>
      <c r="D84" s="17" t="s">
        <v>627</v>
      </c>
      <c r="G84" s="17" t="s">
        <v>931</v>
      </c>
      <c r="H84" s="17" t="s">
        <v>247</v>
      </c>
      <c r="I84" s="17">
        <v>7</v>
      </c>
      <c r="J84" s="17" t="s">
        <v>932</v>
      </c>
      <c r="U84" s="17" t="s">
        <v>510</v>
      </c>
      <c r="V84" s="17" t="s">
        <v>933</v>
      </c>
      <c r="W84" s="17" t="s">
        <v>462</v>
      </c>
      <c r="X84" s="17" t="s">
        <v>161</v>
      </c>
      <c r="Y84" s="17" t="s">
        <v>82</v>
      </c>
      <c r="Z84" s="17"/>
      <c r="AA84" s="94">
        <v>45802</v>
      </c>
      <c r="AB84" s="96">
        <v>0.23958333333333334</v>
      </c>
      <c r="AC84" s="96">
        <v>0.20833333333333334</v>
      </c>
      <c r="AD84" s="17" t="s">
        <v>766</v>
      </c>
      <c r="AE84" s="17" t="s">
        <v>627</v>
      </c>
      <c r="AF84" s="17" t="s">
        <v>519</v>
      </c>
      <c r="AG84" s="96">
        <v>0.23958333333333334</v>
      </c>
      <c r="AH84" s="94">
        <v>45802</v>
      </c>
      <c r="AI84" s="17" t="s">
        <v>766</v>
      </c>
      <c r="AJ84" s="17" t="s">
        <v>640</v>
      </c>
      <c r="AK84" s="17" t="s">
        <v>642</v>
      </c>
      <c r="AL84" s="17">
        <v>2025</v>
      </c>
      <c r="AM84" s="17">
        <v>22</v>
      </c>
      <c r="AN84" s="17">
        <v>25</v>
      </c>
      <c r="AO84" s="17" t="s">
        <v>803</v>
      </c>
      <c r="AP84" s="17" t="s">
        <v>976</v>
      </c>
    </row>
    <row r="85" spans="1:42" x14ac:dyDescent="0.25">
      <c r="A85" s="17" t="s">
        <v>934</v>
      </c>
      <c r="B85" s="94">
        <v>45802</v>
      </c>
      <c r="C85" s="96">
        <v>0.76041666666666674</v>
      </c>
      <c r="D85" s="17" t="s">
        <v>608</v>
      </c>
      <c r="E85" s="17" t="s">
        <v>267</v>
      </c>
      <c r="F85" s="17" t="s">
        <v>157</v>
      </c>
      <c r="G85" s="17" t="s">
        <v>935</v>
      </c>
      <c r="H85" s="17" t="s">
        <v>169</v>
      </c>
      <c r="I85" s="17">
        <v>5</v>
      </c>
      <c r="J85" s="17" t="s">
        <v>936</v>
      </c>
      <c r="U85" s="17" t="s">
        <v>590</v>
      </c>
      <c r="V85" s="17" t="s">
        <v>92</v>
      </c>
      <c r="W85" s="17" t="s">
        <v>443</v>
      </c>
      <c r="X85" s="17" t="s">
        <v>141</v>
      </c>
      <c r="Y85" s="17" t="s">
        <v>69</v>
      </c>
      <c r="Z85" s="17"/>
      <c r="AA85" s="94">
        <v>45802</v>
      </c>
      <c r="AB85" s="96">
        <v>0.76041666666666663</v>
      </c>
      <c r="AC85" s="96">
        <v>0.75</v>
      </c>
      <c r="AD85" s="17" t="s">
        <v>765</v>
      </c>
      <c r="AE85" s="17" t="s">
        <v>938</v>
      </c>
      <c r="AF85" s="17" t="s">
        <v>519</v>
      </c>
      <c r="AG85" s="96">
        <v>0.76041666666666663</v>
      </c>
      <c r="AH85" s="94">
        <v>45802</v>
      </c>
      <c r="AI85" s="17" t="s">
        <v>765</v>
      </c>
      <c r="AJ85" s="17" t="s">
        <v>640</v>
      </c>
      <c r="AK85" s="17" t="s">
        <v>642</v>
      </c>
      <c r="AL85" s="17">
        <v>2025</v>
      </c>
      <c r="AM85" s="17">
        <v>22</v>
      </c>
      <c r="AN85" s="17">
        <v>25</v>
      </c>
      <c r="AO85" s="17" t="s">
        <v>937</v>
      </c>
      <c r="AP85" s="17" t="s">
        <v>979</v>
      </c>
    </row>
    <row r="86" spans="1:42" x14ac:dyDescent="0.25">
      <c r="A86" s="17" t="s">
        <v>942</v>
      </c>
      <c r="B86" s="94">
        <v>45804</v>
      </c>
      <c r="C86" s="96">
        <v>0.9770833333333333</v>
      </c>
      <c r="D86" s="17" t="s">
        <v>603</v>
      </c>
      <c r="E86" s="17" t="s">
        <v>924</v>
      </c>
      <c r="F86" s="17" t="s">
        <v>943</v>
      </c>
      <c r="G86" s="17" t="s">
        <v>944</v>
      </c>
      <c r="H86" s="17" t="s">
        <v>198</v>
      </c>
      <c r="I86" s="17">
        <v>5</v>
      </c>
      <c r="J86" s="17" t="s">
        <v>945</v>
      </c>
      <c r="U86" s="17" t="s">
        <v>292</v>
      </c>
      <c r="V86" s="17" t="s">
        <v>591</v>
      </c>
      <c r="W86" s="17" t="s">
        <v>443</v>
      </c>
      <c r="X86" s="17" t="s">
        <v>106</v>
      </c>
      <c r="Y86" s="17" t="s">
        <v>69</v>
      </c>
      <c r="Z86" s="17"/>
      <c r="AA86" s="94">
        <v>45804</v>
      </c>
      <c r="AB86" s="96">
        <v>0.9770833333333333</v>
      </c>
      <c r="AC86" s="96">
        <v>0.95833333333333337</v>
      </c>
      <c r="AD86" s="17" t="s">
        <v>764</v>
      </c>
      <c r="AE86" s="17" t="s">
        <v>946</v>
      </c>
      <c r="AF86" s="17" t="s">
        <v>519</v>
      </c>
      <c r="AG86" s="96">
        <v>0.9770833333333333</v>
      </c>
      <c r="AH86" s="94">
        <v>45804</v>
      </c>
      <c r="AI86" s="17" t="s">
        <v>764</v>
      </c>
      <c r="AJ86" s="17" t="s">
        <v>635</v>
      </c>
      <c r="AK86" s="17" t="s">
        <v>642</v>
      </c>
      <c r="AL86" s="17">
        <v>2025</v>
      </c>
      <c r="AM86" s="17">
        <v>22</v>
      </c>
      <c r="AN86" s="17">
        <v>27</v>
      </c>
      <c r="AO86" s="17" t="s">
        <v>869</v>
      </c>
      <c r="AP86" s="17" t="s">
        <v>980</v>
      </c>
    </row>
    <row r="87" spans="1:42" x14ac:dyDescent="0.25">
      <c r="A87" s="17" t="s">
        <v>996</v>
      </c>
      <c r="B87" s="94">
        <v>45806</v>
      </c>
      <c r="C87" s="96">
        <v>0.15972222222222232</v>
      </c>
      <c r="D87" s="17" t="s">
        <v>603</v>
      </c>
      <c r="G87" s="17" t="s">
        <v>997</v>
      </c>
      <c r="H87" s="17" t="s">
        <v>88</v>
      </c>
      <c r="I87" s="17">
        <v>8</v>
      </c>
      <c r="J87" s="17" t="s">
        <v>998</v>
      </c>
      <c r="U87" s="17" t="s">
        <v>194</v>
      </c>
      <c r="V87" s="17" t="s">
        <v>999</v>
      </c>
      <c r="W87" s="17" t="s">
        <v>171</v>
      </c>
      <c r="X87" s="17" t="s">
        <v>161</v>
      </c>
      <c r="Y87" s="17" t="s">
        <v>82</v>
      </c>
      <c r="Z87" s="17"/>
      <c r="AA87" s="94">
        <v>45806</v>
      </c>
      <c r="AB87" s="96">
        <v>0.15972222222222221</v>
      </c>
      <c r="AC87" s="96">
        <v>0.125</v>
      </c>
      <c r="AD87" s="17" t="s">
        <v>763</v>
      </c>
      <c r="AE87" s="17" t="s">
        <v>603</v>
      </c>
      <c r="AF87" s="17" t="s">
        <v>519</v>
      </c>
      <c r="AG87" s="96">
        <v>0.15972222222222221</v>
      </c>
      <c r="AH87" s="94">
        <v>45806</v>
      </c>
      <c r="AI87" s="17" t="s">
        <v>763</v>
      </c>
      <c r="AJ87" s="17" t="s">
        <v>638</v>
      </c>
      <c r="AK87" s="17" t="s">
        <v>642</v>
      </c>
      <c r="AL87" s="17">
        <v>2025</v>
      </c>
      <c r="AM87" s="17">
        <v>22</v>
      </c>
      <c r="AN87" s="17">
        <v>29</v>
      </c>
      <c r="AO87" s="17" t="s">
        <v>1000</v>
      </c>
      <c r="AP87" s="17" t="s">
        <v>976</v>
      </c>
    </row>
    <row r="88" spans="1:42" x14ac:dyDescent="0.25">
      <c r="A88" s="17" t="s">
        <v>1015</v>
      </c>
      <c r="B88" s="94">
        <v>45809</v>
      </c>
      <c r="C88" s="96">
        <v>0.5</v>
      </c>
      <c r="D88" s="17" t="s">
        <v>613</v>
      </c>
      <c r="E88" s="17" t="s">
        <v>1016</v>
      </c>
      <c r="F88" s="17" t="s">
        <v>69</v>
      </c>
      <c r="G88" s="17" t="s">
        <v>1017</v>
      </c>
      <c r="H88" s="17" t="s">
        <v>115</v>
      </c>
      <c r="I88" s="17">
        <v>7</v>
      </c>
      <c r="J88" s="17" t="s">
        <v>1018</v>
      </c>
      <c r="U88" s="17" t="s">
        <v>300</v>
      </c>
      <c r="V88" s="17" t="s">
        <v>141</v>
      </c>
      <c r="W88" s="17" t="s">
        <v>301</v>
      </c>
      <c r="X88" s="17" t="s">
        <v>141</v>
      </c>
      <c r="Y88" s="17" t="s">
        <v>69</v>
      </c>
      <c r="Z88" s="17" t="s">
        <v>1019</v>
      </c>
      <c r="AA88" s="94">
        <v>45809</v>
      </c>
      <c r="AB88" s="96">
        <v>0.5</v>
      </c>
      <c r="AC88" s="96">
        <v>0.5</v>
      </c>
      <c r="AD88" s="17" t="s">
        <v>761</v>
      </c>
      <c r="AE88" s="17" t="s">
        <v>1020</v>
      </c>
      <c r="AF88" s="17" t="s">
        <v>519</v>
      </c>
      <c r="AG88" s="96">
        <v>0.5</v>
      </c>
      <c r="AH88" s="94">
        <v>45809</v>
      </c>
      <c r="AI88" s="17" t="s">
        <v>761</v>
      </c>
      <c r="AJ88" s="17" t="s">
        <v>640</v>
      </c>
      <c r="AK88" s="17" t="s">
        <v>641</v>
      </c>
      <c r="AL88" s="17">
        <v>2025</v>
      </c>
      <c r="AM88" s="17">
        <v>23</v>
      </c>
      <c r="AN88" s="17">
        <v>1</v>
      </c>
      <c r="AO88" s="17" t="s">
        <v>829</v>
      </c>
      <c r="AP88" s="17" t="s">
        <v>979</v>
      </c>
    </row>
    <row r="89" spans="1:42" x14ac:dyDescent="0.25">
      <c r="A89" s="17" t="s">
        <v>1001</v>
      </c>
      <c r="B89" s="94">
        <v>45810</v>
      </c>
      <c r="C89" s="96">
        <v>0.56944444444444442</v>
      </c>
      <c r="D89" s="17" t="s">
        <v>594</v>
      </c>
      <c r="G89" s="17" t="s">
        <v>1002</v>
      </c>
      <c r="H89" s="17" t="s">
        <v>1003</v>
      </c>
      <c r="I89" s="17">
        <v>9</v>
      </c>
      <c r="J89" s="17" t="s">
        <v>1004</v>
      </c>
      <c r="M89" s="17" t="s">
        <v>1005</v>
      </c>
      <c r="N89" s="17" t="s">
        <v>101</v>
      </c>
      <c r="O89" s="17" t="s">
        <v>1006</v>
      </c>
      <c r="P89" s="17" t="s">
        <v>63</v>
      </c>
      <c r="U89" s="17" t="s">
        <v>336</v>
      </c>
      <c r="V89" s="17" t="s">
        <v>310</v>
      </c>
      <c r="W89" s="17" t="s">
        <v>67</v>
      </c>
      <c r="X89" s="17" t="s">
        <v>1007</v>
      </c>
      <c r="Y89" s="17" t="s">
        <v>162</v>
      </c>
      <c r="Z89" s="17"/>
      <c r="AA89" s="94">
        <v>45810</v>
      </c>
      <c r="AB89" s="96">
        <v>0.56944444444444442</v>
      </c>
      <c r="AC89" s="96">
        <v>0.54166666666666663</v>
      </c>
      <c r="AD89" s="17" t="s">
        <v>761</v>
      </c>
      <c r="AE89" s="17" t="s">
        <v>594</v>
      </c>
      <c r="AF89" s="17" t="s">
        <v>519</v>
      </c>
      <c r="AG89" s="96">
        <v>0.56944444444444442</v>
      </c>
      <c r="AH89" s="94">
        <v>45810</v>
      </c>
      <c r="AI89" s="17" t="s">
        <v>761</v>
      </c>
      <c r="AJ89" s="17" t="s">
        <v>636</v>
      </c>
      <c r="AK89" s="17" t="s">
        <v>641</v>
      </c>
      <c r="AL89" s="17">
        <v>2025</v>
      </c>
      <c r="AM89" s="17">
        <v>23</v>
      </c>
      <c r="AN89" s="17">
        <v>2</v>
      </c>
      <c r="AO89" s="17" t="s">
        <v>1008</v>
      </c>
      <c r="AP89" s="17" t="s">
        <v>976</v>
      </c>
    </row>
    <row r="90" spans="1:42" x14ac:dyDescent="0.25">
      <c r="A90" s="17" t="s">
        <v>1009</v>
      </c>
      <c r="B90" s="94">
        <v>45811</v>
      </c>
      <c r="C90" s="96">
        <v>0.81298611111111119</v>
      </c>
      <c r="D90" s="17" t="s">
        <v>594</v>
      </c>
      <c r="G90" s="17" t="s">
        <v>1010</v>
      </c>
      <c r="H90" s="17" t="s">
        <v>247</v>
      </c>
      <c r="I90" s="17">
        <v>7</v>
      </c>
      <c r="J90" s="17" t="s">
        <v>1011</v>
      </c>
      <c r="M90" s="17" t="s">
        <v>1012</v>
      </c>
      <c r="N90" s="17" t="s">
        <v>1013</v>
      </c>
      <c r="O90" s="17" t="s">
        <v>1014</v>
      </c>
      <c r="P90" s="17" t="s">
        <v>63</v>
      </c>
      <c r="U90" s="17" t="s">
        <v>403</v>
      </c>
      <c r="V90" s="17" t="s">
        <v>426</v>
      </c>
      <c r="W90" s="17" t="s">
        <v>80</v>
      </c>
      <c r="X90" s="17" t="s">
        <v>280</v>
      </c>
      <c r="Y90" s="17" t="s">
        <v>107</v>
      </c>
      <c r="Z90" s="17" t="s">
        <v>181</v>
      </c>
      <c r="AA90" s="94">
        <v>45811</v>
      </c>
      <c r="AB90" s="96">
        <v>0.81298611111111108</v>
      </c>
      <c r="AC90" s="96">
        <v>0.79166666666666663</v>
      </c>
      <c r="AD90" s="17" t="s">
        <v>765</v>
      </c>
      <c r="AE90" s="17" t="s">
        <v>594</v>
      </c>
      <c r="AF90" s="17" t="s">
        <v>929</v>
      </c>
      <c r="AG90" s="96">
        <v>0.81298611111111108</v>
      </c>
      <c r="AH90" s="94">
        <v>45811</v>
      </c>
      <c r="AI90" s="17" t="s">
        <v>765</v>
      </c>
      <c r="AJ90" s="17" t="s">
        <v>635</v>
      </c>
      <c r="AK90" s="17" t="s">
        <v>641</v>
      </c>
      <c r="AL90" s="17">
        <v>2025</v>
      </c>
      <c r="AM90" s="17">
        <v>23</v>
      </c>
      <c r="AN90" s="17">
        <v>3</v>
      </c>
      <c r="AO90" s="17" t="s">
        <v>827</v>
      </c>
      <c r="AP90" s="17" t="s">
        <v>976</v>
      </c>
    </row>
    <row r="91" spans="1:42" x14ac:dyDescent="0.25">
      <c r="A91" s="17" t="s">
        <v>1021</v>
      </c>
      <c r="B91" s="94">
        <v>45813</v>
      </c>
      <c r="C91" s="96">
        <v>0.28472222222222232</v>
      </c>
      <c r="D91" s="17" t="s">
        <v>600</v>
      </c>
      <c r="E91" s="17" t="s">
        <v>680</v>
      </c>
      <c r="G91" s="17" t="s">
        <v>1022</v>
      </c>
      <c r="H91" s="17" t="s">
        <v>214</v>
      </c>
      <c r="I91" s="17">
        <v>6</v>
      </c>
      <c r="J91" s="17" t="s">
        <v>1023</v>
      </c>
      <c r="M91" s="17" t="s">
        <v>1024</v>
      </c>
      <c r="N91" s="17" t="s">
        <v>1025</v>
      </c>
      <c r="O91" s="17" t="s">
        <v>1026</v>
      </c>
      <c r="P91" s="17" t="s">
        <v>63</v>
      </c>
      <c r="U91" s="17" t="s">
        <v>292</v>
      </c>
      <c r="V91" s="17" t="s">
        <v>104</v>
      </c>
      <c r="W91" s="17" t="s">
        <v>105</v>
      </c>
      <c r="X91" s="17" t="s">
        <v>141</v>
      </c>
      <c r="Y91" s="17" t="s">
        <v>107</v>
      </c>
      <c r="Z91" s="17" t="s">
        <v>70</v>
      </c>
      <c r="AA91" s="94">
        <v>45813</v>
      </c>
      <c r="AB91" s="96">
        <v>0.28472222222222221</v>
      </c>
      <c r="AC91" s="96">
        <v>0.25</v>
      </c>
      <c r="AD91" s="17" t="s">
        <v>766</v>
      </c>
      <c r="AE91" s="17" t="s">
        <v>1027</v>
      </c>
      <c r="AF91" s="17" t="s">
        <v>929</v>
      </c>
      <c r="AG91" s="96">
        <v>0.28472222222222221</v>
      </c>
      <c r="AH91" s="94">
        <v>45813</v>
      </c>
      <c r="AI91" s="17" t="s">
        <v>766</v>
      </c>
      <c r="AJ91" s="17" t="s">
        <v>638</v>
      </c>
      <c r="AK91" s="17" t="s">
        <v>641</v>
      </c>
      <c r="AL91" s="17">
        <v>2025</v>
      </c>
      <c r="AM91" s="17">
        <v>23</v>
      </c>
      <c r="AN91" s="17">
        <v>5</v>
      </c>
      <c r="AO91" s="17" t="s">
        <v>1028</v>
      </c>
      <c r="AP91" s="17" t="s">
        <v>976</v>
      </c>
    </row>
    <row r="92" spans="1:42" x14ac:dyDescent="0.25">
      <c r="A92" s="17" t="s">
        <v>1029</v>
      </c>
      <c r="B92" s="94">
        <v>45813</v>
      </c>
      <c r="C92" s="96">
        <v>0.28194444444444455</v>
      </c>
      <c r="D92" s="17" t="s">
        <v>600</v>
      </c>
      <c r="E92" s="17" t="s">
        <v>680</v>
      </c>
      <c r="G92" s="17" t="s">
        <v>1030</v>
      </c>
      <c r="H92" s="17" t="s">
        <v>424</v>
      </c>
      <c r="I92" s="17">
        <v>7</v>
      </c>
      <c r="J92" s="17" t="s">
        <v>1031</v>
      </c>
      <c r="M92" s="17" t="s">
        <v>1032</v>
      </c>
      <c r="N92" s="17" t="s">
        <v>1025</v>
      </c>
      <c r="O92" s="17" t="s">
        <v>1026</v>
      </c>
      <c r="P92" s="17" t="s">
        <v>1033</v>
      </c>
      <c r="U92" s="17" t="s">
        <v>292</v>
      </c>
      <c r="V92" s="17" t="s">
        <v>195</v>
      </c>
      <c r="W92" s="17" t="s">
        <v>171</v>
      </c>
      <c r="X92" s="17" t="s">
        <v>141</v>
      </c>
      <c r="Y92" s="17" t="s">
        <v>69</v>
      </c>
      <c r="Z92" s="17" t="s">
        <v>181</v>
      </c>
      <c r="AA92" s="94">
        <v>45813</v>
      </c>
      <c r="AB92" s="96">
        <v>0.28194444444444444</v>
      </c>
      <c r="AC92" s="96">
        <v>0.25</v>
      </c>
      <c r="AD92" s="17" t="s">
        <v>766</v>
      </c>
      <c r="AE92" s="17" t="s">
        <v>1027</v>
      </c>
      <c r="AF92" s="17" t="s">
        <v>929</v>
      </c>
      <c r="AG92" s="96">
        <v>0.28194444444444444</v>
      </c>
      <c r="AH92" s="94">
        <v>45813</v>
      </c>
      <c r="AI92" s="17" t="s">
        <v>766</v>
      </c>
      <c r="AJ92" s="17" t="s">
        <v>638</v>
      </c>
      <c r="AK92" s="17" t="s">
        <v>641</v>
      </c>
      <c r="AL92" s="17">
        <v>2025</v>
      </c>
      <c r="AM92" s="17">
        <v>23</v>
      </c>
      <c r="AN92" s="17">
        <v>5</v>
      </c>
      <c r="AO92" s="17" t="s">
        <v>1034</v>
      </c>
      <c r="AP92" s="17" t="s">
        <v>976</v>
      </c>
    </row>
    <row r="93" spans="1:42" x14ac:dyDescent="0.25">
      <c r="A93" s="17" t="s">
        <v>1035</v>
      </c>
      <c r="B93" s="94">
        <v>45815</v>
      </c>
      <c r="C93" s="96">
        <v>0.35416666666666674</v>
      </c>
      <c r="D93" s="17" t="s">
        <v>600</v>
      </c>
      <c r="E93" s="17" t="s">
        <v>680</v>
      </c>
      <c r="G93" s="17" t="s">
        <v>385</v>
      </c>
      <c r="H93" s="17" t="s">
        <v>269</v>
      </c>
      <c r="I93" s="17">
        <v>9</v>
      </c>
      <c r="J93" s="17" t="s">
        <v>1036</v>
      </c>
      <c r="M93" s="17" t="s">
        <v>1037</v>
      </c>
      <c r="N93" s="17" t="s">
        <v>372</v>
      </c>
      <c r="O93" s="17" t="s">
        <v>1038</v>
      </c>
      <c r="P93" s="17" t="s">
        <v>63</v>
      </c>
      <c r="U93" s="17" t="s">
        <v>381</v>
      </c>
      <c r="V93" s="17" t="s">
        <v>1039</v>
      </c>
      <c r="W93" s="17" t="s">
        <v>105</v>
      </c>
      <c r="X93" s="17" t="s">
        <v>93</v>
      </c>
      <c r="Y93" s="17" t="s">
        <v>107</v>
      </c>
      <c r="Z93" s="17" t="s">
        <v>70</v>
      </c>
      <c r="AA93" s="94">
        <v>45815</v>
      </c>
      <c r="AB93" s="96">
        <v>0.35416666666666669</v>
      </c>
      <c r="AC93" s="96">
        <v>0.33333333333333331</v>
      </c>
      <c r="AD93" s="17" t="s">
        <v>762</v>
      </c>
      <c r="AE93" s="17" t="s">
        <v>1027</v>
      </c>
      <c r="AF93" s="17" t="s">
        <v>929</v>
      </c>
      <c r="AG93" s="96">
        <v>0.35416666666666669</v>
      </c>
      <c r="AH93" s="94">
        <v>45815</v>
      </c>
      <c r="AI93" s="17" t="s">
        <v>762</v>
      </c>
      <c r="AJ93" s="17" t="s">
        <v>639</v>
      </c>
      <c r="AK93" s="17" t="s">
        <v>641</v>
      </c>
      <c r="AL93" s="17">
        <v>2025</v>
      </c>
      <c r="AM93" s="17">
        <v>23</v>
      </c>
      <c r="AN93" s="17">
        <v>7</v>
      </c>
      <c r="AO93" s="17" t="s">
        <v>831</v>
      </c>
      <c r="AP93" s="17" t="s">
        <v>976</v>
      </c>
    </row>
    <row r="94" spans="1:42" x14ac:dyDescent="0.25">
      <c r="A94" s="17" t="s">
        <v>1040</v>
      </c>
      <c r="B94" s="94">
        <v>45816</v>
      </c>
      <c r="C94" s="96">
        <v>6.25E-2</v>
      </c>
      <c r="D94" s="17" t="s">
        <v>600</v>
      </c>
      <c r="G94" s="17" t="s">
        <v>339</v>
      </c>
      <c r="H94" s="17" t="s">
        <v>115</v>
      </c>
      <c r="I94" s="17">
        <v>7</v>
      </c>
      <c r="J94" s="17" t="s">
        <v>1041</v>
      </c>
      <c r="M94" s="17" t="s">
        <v>1042</v>
      </c>
      <c r="N94" s="17" t="s">
        <v>101</v>
      </c>
      <c r="O94" s="17" t="s">
        <v>913</v>
      </c>
      <c r="P94" s="17" t="s">
        <v>63</v>
      </c>
      <c r="U94" s="17" t="s">
        <v>292</v>
      </c>
      <c r="V94" s="17" t="s">
        <v>195</v>
      </c>
      <c r="W94" s="17" t="s">
        <v>171</v>
      </c>
      <c r="X94" s="17" t="s">
        <v>161</v>
      </c>
      <c r="Y94" s="17" t="s">
        <v>162</v>
      </c>
      <c r="Z94" s="17" t="s">
        <v>70</v>
      </c>
      <c r="AA94" s="94">
        <v>45816</v>
      </c>
      <c r="AB94" s="96">
        <v>6.25E-2</v>
      </c>
      <c r="AC94" s="96">
        <v>4.1666666666666664E-2</v>
      </c>
      <c r="AD94" s="17" t="s">
        <v>763</v>
      </c>
      <c r="AE94" s="17" t="s">
        <v>600</v>
      </c>
      <c r="AF94" s="17" t="s">
        <v>929</v>
      </c>
      <c r="AG94" s="96">
        <v>6.25E-2</v>
      </c>
      <c r="AH94" s="94">
        <v>45816</v>
      </c>
      <c r="AI94" s="17" t="s">
        <v>763</v>
      </c>
      <c r="AJ94" s="17" t="s">
        <v>640</v>
      </c>
      <c r="AK94" s="17" t="s">
        <v>641</v>
      </c>
      <c r="AL94" s="17">
        <v>2025</v>
      </c>
      <c r="AM94" s="17">
        <v>24</v>
      </c>
      <c r="AN94" s="17">
        <v>8</v>
      </c>
      <c r="AO94" s="17" t="s">
        <v>338</v>
      </c>
      <c r="AP94" s="17" t="s">
        <v>976</v>
      </c>
    </row>
    <row r="95" spans="1:42" x14ac:dyDescent="0.25">
      <c r="A95" s="17" t="s">
        <v>1043</v>
      </c>
      <c r="B95" s="94">
        <v>45816</v>
      </c>
      <c r="C95" s="96">
        <v>0.98263888888888884</v>
      </c>
      <c r="D95" s="17" t="s">
        <v>603</v>
      </c>
      <c r="G95" s="17" t="s">
        <v>1044</v>
      </c>
      <c r="H95" s="17" t="s">
        <v>694</v>
      </c>
      <c r="I95" s="17">
        <v>7</v>
      </c>
      <c r="J95" s="17" t="s">
        <v>1045</v>
      </c>
      <c r="U95" s="17" t="s">
        <v>381</v>
      </c>
      <c r="V95" s="17" t="s">
        <v>1046</v>
      </c>
      <c r="W95" s="17" t="s">
        <v>262</v>
      </c>
      <c r="X95" s="17" t="s">
        <v>280</v>
      </c>
      <c r="Y95" s="17" t="s">
        <v>107</v>
      </c>
      <c r="Z95" s="17" t="s">
        <v>264</v>
      </c>
      <c r="AA95" s="94">
        <v>45816</v>
      </c>
      <c r="AB95" s="96">
        <v>0.98263888888888884</v>
      </c>
      <c r="AC95" s="96">
        <v>0.95833333333333337</v>
      </c>
      <c r="AD95" s="17" t="s">
        <v>764</v>
      </c>
      <c r="AE95" s="17" t="s">
        <v>603</v>
      </c>
      <c r="AF95" s="17" t="s">
        <v>929</v>
      </c>
      <c r="AG95" s="96">
        <v>0.98263888888888884</v>
      </c>
      <c r="AH95" s="94">
        <v>45816</v>
      </c>
      <c r="AI95" s="17" t="s">
        <v>764</v>
      </c>
      <c r="AJ95" s="17" t="s">
        <v>640</v>
      </c>
      <c r="AK95" s="17" t="s">
        <v>641</v>
      </c>
      <c r="AL95" s="17">
        <v>2025</v>
      </c>
      <c r="AM95" s="17">
        <v>24</v>
      </c>
      <c r="AN95" s="17">
        <v>8</v>
      </c>
      <c r="AO95" s="17" t="s">
        <v>838</v>
      </c>
      <c r="AP95" s="17" t="s">
        <v>976</v>
      </c>
    </row>
    <row r="96" spans="1:42" x14ac:dyDescent="0.25">
      <c r="A96" s="17" t="s">
        <v>284</v>
      </c>
      <c r="C96" s="96"/>
      <c r="D96" s="17" t="s">
        <v>603</v>
      </c>
      <c r="G96" s="17" t="s">
        <v>285</v>
      </c>
      <c r="H96" s="17" t="s">
        <v>269</v>
      </c>
      <c r="I96" s="17">
        <v>9</v>
      </c>
      <c r="J96" s="17" t="s">
        <v>286</v>
      </c>
      <c r="U96" s="17" t="s">
        <v>78</v>
      </c>
      <c r="V96" s="17" t="s">
        <v>117</v>
      </c>
      <c r="W96" s="17" t="s">
        <v>67</v>
      </c>
      <c r="X96" s="17" t="s">
        <v>93</v>
      </c>
      <c r="Y96" s="17" t="s">
        <v>69</v>
      </c>
      <c r="Z96" s="17" t="s">
        <v>264</v>
      </c>
      <c r="AA96" s="94">
        <v>45691</v>
      </c>
      <c r="AB96" s="96">
        <v>0.694849537037037</v>
      </c>
      <c r="AC96" s="96">
        <v>0.66666666666666663</v>
      </c>
      <c r="AD96" s="17" t="s">
        <v>765</v>
      </c>
      <c r="AE96" s="17" t="s">
        <v>603</v>
      </c>
      <c r="AF96" s="17" t="s">
        <v>326</v>
      </c>
      <c r="AG96" s="96">
        <v>0.694849537037037</v>
      </c>
      <c r="AH96" s="94">
        <v>45691</v>
      </c>
      <c r="AI96" s="17" t="s">
        <v>765</v>
      </c>
      <c r="AJ96" s="17" t="s">
        <v>636</v>
      </c>
      <c r="AK96" s="17" t="s">
        <v>96</v>
      </c>
      <c r="AL96" s="17">
        <v>2025</v>
      </c>
      <c r="AM96" s="17">
        <v>6</v>
      </c>
      <c r="AN96" s="17">
        <v>3</v>
      </c>
      <c r="AO96" s="17" t="s">
        <v>831</v>
      </c>
      <c r="AP96" s="17" t="s">
        <v>976</v>
      </c>
    </row>
    <row r="97" spans="1:42" x14ac:dyDescent="0.25">
      <c r="A97" s="17" t="s">
        <v>384</v>
      </c>
      <c r="C97" s="96"/>
      <c r="D97" s="17" t="s">
        <v>315</v>
      </c>
      <c r="E97" s="17" t="s">
        <v>608</v>
      </c>
      <c r="G97" s="17" t="s">
        <v>385</v>
      </c>
      <c r="H97" s="17" t="s">
        <v>269</v>
      </c>
      <c r="I97" s="17">
        <v>9</v>
      </c>
      <c r="J97" s="17" t="s">
        <v>386</v>
      </c>
      <c r="M97" s="17" t="s">
        <v>387</v>
      </c>
      <c r="N97" s="17" t="s">
        <v>388</v>
      </c>
      <c r="O97" s="17" t="s">
        <v>389</v>
      </c>
      <c r="P97" s="17" t="s">
        <v>63</v>
      </c>
      <c r="V97" s="17" t="s">
        <v>390</v>
      </c>
      <c r="W97" s="17" t="s">
        <v>391</v>
      </c>
      <c r="X97" s="17"/>
      <c r="Y97" s="17"/>
      <c r="Z97" s="17"/>
      <c r="AA97" s="94">
        <v>45734</v>
      </c>
      <c r="AB97" s="96">
        <v>0.22916666666666666</v>
      </c>
      <c r="AC97" s="96">
        <v>0.20833333333333334</v>
      </c>
      <c r="AD97" s="17" t="s">
        <v>766</v>
      </c>
      <c r="AE97" s="17" t="s">
        <v>782</v>
      </c>
      <c r="AF97" s="17" t="s">
        <v>326</v>
      </c>
      <c r="AG97" s="96">
        <v>0.22916666666666666</v>
      </c>
      <c r="AH97" s="94">
        <v>45734</v>
      </c>
      <c r="AI97" s="17" t="s">
        <v>766</v>
      </c>
      <c r="AJ97" s="17" t="s">
        <v>635</v>
      </c>
      <c r="AK97" s="17" t="s">
        <v>331</v>
      </c>
      <c r="AL97" s="17">
        <v>2025</v>
      </c>
      <c r="AM97" s="17">
        <v>12</v>
      </c>
      <c r="AN97" s="17">
        <v>18</v>
      </c>
      <c r="AO97" s="17" t="s">
        <v>831</v>
      </c>
      <c r="AP97" s="17" t="s">
        <v>981</v>
      </c>
    </row>
    <row r="98" spans="1:42" x14ac:dyDescent="0.25">
      <c r="A98" s="17" t="s">
        <v>574</v>
      </c>
      <c r="C98" s="96"/>
      <c r="D98" s="17" t="s">
        <v>600</v>
      </c>
      <c r="E98" s="17" t="s">
        <v>690</v>
      </c>
      <c r="G98" s="17" t="s">
        <v>575</v>
      </c>
      <c r="H98" s="17" t="s">
        <v>115</v>
      </c>
      <c r="I98" s="17">
        <v>7</v>
      </c>
      <c r="J98" s="17" t="s">
        <v>576</v>
      </c>
      <c r="M98" s="17" t="s">
        <v>577</v>
      </c>
      <c r="N98" s="17" t="s">
        <v>61</v>
      </c>
      <c r="O98" s="17" t="s">
        <v>178</v>
      </c>
      <c r="P98" s="17" t="s">
        <v>63</v>
      </c>
      <c r="Q98" s="17" t="s">
        <v>578</v>
      </c>
      <c r="R98" s="17" t="s">
        <v>63</v>
      </c>
      <c r="S98" s="17" t="s">
        <v>101</v>
      </c>
      <c r="T98" s="17" t="s">
        <v>579</v>
      </c>
      <c r="U98" s="17" t="s">
        <v>138</v>
      </c>
      <c r="V98" s="17" t="s">
        <v>580</v>
      </c>
      <c r="W98" s="17" t="s">
        <v>140</v>
      </c>
      <c r="X98" s="17" t="s">
        <v>141</v>
      </c>
      <c r="Y98" s="17" t="s">
        <v>311</v>
      </c>
      <c r="Z98" s="17" t="s">
        <v>70</v>
      </c>
      <c r="AA98" s="94">
        <v>45760</v>
      </c>
      <c r="AB98" s="96">
        <v>0.6875</v>
      </c>
      <c r="AC98" s="96">
        <v>0.66666666666666663</v>
      </c>
      <c r="AD98" s="17" t="s">
        <v>765</v>
      </c>
      <c r="AE98" s="17" t="s">
        <v>861</v>
      </c>
      <c r="AF98" s="17" t="s">
        <v>326</v>
      </c>
      <c r="AG98" s="96">
        <v>0.6875</v>
      </c>
      <c r="AH98" s="94">
        <v>45760</v>
      </c>
      <c r="AI98" s="17" t="s">
        <v>765</v>
      </c>
      <c r="AJ98" s="17" t="s">
        <v>640</v>
      </c>
      <c r="AK98" s="17" t="s">
        <v>430</v>
      </c>
      <c r="AL98" s="17">
        <v>2025</v>
      </c>
      <c r="AM98" s="17">
        <v>16</v>
      </c>
      <c r="AN98" s="17">
        <v>13</v>
      </c>
      <c r="AO98" s="17" t="s">
        <v>829</v>
      </c>
      <c r="AP98" s="17" t="s">
        <v>976</v>
      </c>
    </row>
    <row r="99" spans="1:42" x14ac:dyDescent="0.25">
      <c r="A99" s="17" t="s">
        <v>659</v>
      </c>
      <c r="C99" s="96"/>
      <c r="D99" s="17" t="s">
        <v>608</v>
      </c>
      <c r="G99" s="17" t="s">
        <v>660</v>
      </c>
      <c r="H99" s="17" t="s">
        <v>247</v>
      </c>
      <c r="I99" s="17">
        <v>7</v>
      </c>
      <c r="J99" s="17" t="s">
        <v>744</v>
      </c>
      <c r="U99" s="17" t="s">
        <v>985</v>
      </c>
      <c r="V99" s="17" t="s">
        <v>435</v>
      </c>
      <c r="W99" s="17" t="s">
        <v>171</v>
      </c>
      <c r="X99" s="17" t="s">
        <v>418</v>
      </c>
      <c r="Y99" s="17" t="s">
        <v>82</v>
      </c>
      <c r="Z99" s="17"/>
      <c r="AA99" s="94">
        <v>45768</v>
      </c>
      <c r="AB99" s="96">
        <v>0.40254629629629629</v>
      </c>
      <c r="AC99" s="96">
        <v>0.375</v>
      </c>
      <c r="AD99" s="17" t="s">
        <v>762</v>
      </c>
      <c r="AE99" s="17" t="s">
        <v>608</v>
      </c>
      <c r="AF99" s="17" t="s">
        <v>326</v>
      </c>
      <c r="AG99" s="96">
        <v>0.40254629629629629</v>
      </c>
      <c r="AH99" s="94">
        <v>45768</v>
      </c>
      <c r="AI99" s="17" t="s">
        <v>762</v>
      </c>
      <c r="AJ99" s="17" t="s">
        <v>636</v>
      </c>
      <c r="AK99" s="17" t="s">
        <v>430</v>
      </c>
      <c r="AL99" s="17">
        <v>2025</v>
      </c>
      <c r="AM99" s="17">
        <v>17</v>
      </c>
      <c r="AN99" s="17">
        <v>21</v>
      </c>
      <c r="AO99" s="17" t="s">
        <v>827</v>
      </c>
      <c r="AP99" s="17" t="s">
        <v>976</v>
      </c>
    </row>
    <row r="100" spans="1:42" x14ac:dyDescent="0.25">
      <c r="A100" s="17" t="s">
        <v>720</v>
      </c>
      <c r="C100" s="96"/>
      <c r="D100" s="17" t="s">
        <v>594</v>
      </c>
      <c r="G100" s="17" t="s">
        <v>721</v>
      </c>
      <c r="H100" s="17" t="s">
        <v>588</v>
      </c>
      <c r="I100" s="17">
        <v>9</v>
      </c>
      <c r="J100" s="17" t="s">
        <v>754</v>
      </c>
      <c r="M100" s="17" t="s">
        <v>990</v>
      </c>
      <c r="N100" s="17" t="s">
        <v>272</v>
      </c>
      <c r="O100" s="17" t="s">
        <v>737</v>
      </c>
      <c r="P100" s="17" t="s">
        <v>63</v>
      </c>
      <c r="V100" s="17" t="s">
        <v>104</v>
      </c>
      <c r="W100" s="17" t="s">
        <v>105</v>
      </c>
      <c r="X100" s="17"/>
      <c r="Y100" s="17"/>
      <c r="Z100" s="17"/>
      <c r="AA100" s="94">
        <v>45782</v>
      </c>
      <c r="AB100" s="96">
        <v>0.75549768518518523</v>
      </c>
      <c r="AC100" s="96">
        <v>0.75</v>
      </c>
      <c r="AD100" s="17" t="s">
        <v>765</v>
      </c>
      <c r="AE100" s="17" t="s">
        <v>594</v>
      </c>
      <c r="AF100" s="17" t="s">
        <v>326</v>
      </c>
      <c r="AG100" s="96">
        <v>0.75549768518518523</v>
      </c>
      <c r="AH100" s="94">
        <v>45782</v>
      </c>
      <c r="AI100" s="17" t="s">
        <v>765</v>
      </c>
      <c r="AJ100" s="17" t="s">
        <v>636</v>
      </c>
      <c r="AK100" s="17" t="s">
        <v>642</v>
      </c>
      <c r="AL100" s="17">
        <v>2025</v>
      </c>
      <c r="AM100" s="17">
        <v>19</v>
      </c>
      <c r="AN100" s="17">
        <v>5</v>
      </c>
      <c r="AO100" s="17" t="s">
        <v>816</v>
      </c>
      <c r="AP100" s="17" t="s">
        <v>976</v>
      </c>
    </row>
  </sheetData>
  <phoneticPr fontId="10" type="noConversion"/>
  <pageMargins left="0.7" right="0.7" top="0.75" bottom="0.75" header="0.3" footer="0.3"/>
  <pageSetup orientation="portrait" r:id="rId2"/>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FD0F1-9CA4-436D-9FA9-8CA463A75240}">
  <sheetPr>
    <tabColor rgb="FFFFC000"/>
  </sheetPr>
  <dimension ref="A3:B10"/>
  <sheetViews>
    <sheetView topLeftCell="A5" workbookViewId="0">
      <selection activeCell="A3" sqref="A3"/>
    </sheetView>
  </sheetViews>
  <sheetFormatPr defaultRowHeight="15" x14ac:dyDescent="0.25"/>
  <cols>
    <col min="1" max="1" width="25.7109375" bestFit="1" customWidth="1"/>
    <col min="2" max="2" width="21.140625" bestFit="1" customWidth="1"/>
    <col min="3" max="4" width="8.28515625" bestFit="1" customWidth="1"/>
    <col min="5" max="5" width="11.5703125" bestFit="1" customWidth="1"/>
    <col min="6" max="6" width="9" bestFit="1" customWidth="1"/>
    <col min="7" max="7" width="11.28515625" bestFit="1" customWidth="1"/>
    <col min="8" max="8" width="8.7109375" bestFit="1" customWidth="1"/>
    <col min="9" max="9" width="9.7109375" bestFit="1" customWidth="1"/>
    <col min="10" max="10" width="11.28515625" bestFit="1" customWidth="1"/>
  </cols>
  <sheetData>
    <row r="3" spans="1:2" x14ac:dyDescent="0.25">
      <c r="A3" s="3" t="s">
        <v>320</v>
      </c>
      <c r="B3" t="s">
        <v>109</v>
      </c>
    </row>
    <row r="4" spans="1:2" x14ac:dyDescent="0.25">
      <c r="A4" s="16" t="s">
        <v>761</v>
      </c>
      <c r="B4">
        <v>6</v>
      </c>
    </row>
    <row r="5" spans="1:2" x14ac:dyDescent="0.25">
      <c r="A5" s="16" t="s">
        <v>763</v>
      </c>
      <c r="B5">
        <v>1</v>
      </c>
    </row>
    <row r="6" spans="1:2" x14ac:dyDescent="0.25">
      <c r="A6" s="16" t="s">
        <v>762</v>
      </c>
      <c r="B6">
        <v>1</v>
      </c>
    </row>
    <row r="7" spans="1:2" x14ac:dyDescent="0.25">
      <c r="A7" s="16" t="s">
        <v>764</v>
      </c>
      <c r="B7">
        <v>4</v>
      </c>
    </row>
    <row r="8" spans="1:2" x14ac:dyDescent="0.25">
      <c r="A8" s="16" t="s">
        <v>765</v>
      </c>
      <c r="B8">
        <v>1</v>
      </c>
    </row>
    <row r="9" spans="1:2" x14ac:dyDescent="0.25">
      <c r="A9" s="16" t="s">
        <v>766</v>
      </c>
      <c r="B9">
        <v>1</v>
      </c>
    </row>
    <row r="10" spans="1:2" x14ac:dyDescent="0.25">
      <c r="A10" s="16" t="s">
        <v>785</v>
      </c>
      <c r="B10">
        <v>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E9ED34-6AC5-4566-8422-6A47C3FCEA5A}">
  <sheetPr codeName="Sheet37">
    <tabColor rgb="FFFFC000"/>
  </sheetPr>
  <dimension ref="A1:BJ16"/>
  <sheetViews>
    <sheetView tabSelected="1" workbookViewId="0">
      <selection activeCell="F6" sqref="F6"/>
    </sheetView>
  </sheetViews>
  <sheetFormatPr defaultRowHeight="15" x14ac:dyDescent="0.25"/>
  <cols>
    <col min="1" max="1" width="15.140625" bestFit="1" customWidth="1"/>
    <col min="2" max="2" width="14.7109375" style="1" bestFit="1" customWidth="1"/>
    <col min="3" max="3" width="15.5703125" style="83" bestFit="1" customWidth="1"/>
    <col min="4" max="4" width="24.5703125" bestFit="1" customWidth="1"/>
    <col min="5" max="5" width="24.85546875" bestFit="1" customWidth="1"/>
    <col min="6" max="6" width="13.85546875" bestFit="1" customWidth="1"/>
    <col min="7" max="7" width="14.140625" bestFit="1" customWidth="1"/>
    <col min="8" max="8" width="31.5703125" bestFit="1" customWidth="1"/>
    <col min="9" max="9" width="27.5703125" bestFit="1" customWidth="1"/>
    <col min="10" max="10" width="29.140625" bestFit="1" customWidth="1"/>
    <col min="11" max="11" width="70.57031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28515625" bestFit="1" customWidth="1"/>
    <col min="19" max="19" width="10.140625" bestFit="1" customWidth="1"/>
    <col min="20" max="20" width="13" bestFit="1" customWidth="1"/>
    <col min="21" max="21" width="15.5703125" bestFit="1" customWidth="1"/>
    <col min="22" max="22" width="13" bestFit="1" customWidth="1"/>
    <col min="23" max="23" width="9.7109375" bestFit="1" customWidth="1"/>
    <col min="24" max="24" width="10.140625" bestFit="1" customWidth="1"/>
    <col min="25" max="25" width="14.7109375" bestFit="1" customWidth="1"/>
    <col min="26" max="26" width="15.7109375" bestFit="1" customWidth="1"/>
    <col min="27" max="27" width="27.42578125" bestFit="1" customWidth="1"/>
    <col min="28" max="28" width="8.7109375" bestFit="1" customWidth="1"/>
    <col min="29" max="29" width="27.42578125" bestFit="1" customWidth="1"/>
    <col min="30" max="30" width="35.28515625" bestFit="1" customWidth="1"/>
    <col min="31" max="31" width="20"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48.5703125" bestFit="1" customWidth="1"/>
    <col min="38" max="38" width="81.140625" bestFit="1" customWidth="1"/>
    <col min="39" max="39" width="9.28515625" bestFit="1" customWidth="1"/>
    <col min="40" max="40" width="81.140625" bestFit="1" customWidth="1"/>
    <col min="41" max="41" width="11.85546875" bestFit="1" customWidth="1"/>
    <col min="42" max="42" width="12" bestFit="1" customWidth="1"/>
    <col min="43" max="43" width="14.42578125" bestFit="1" customWidth="1"/>
    <col min="44" max="44" width="22.7109375" bestFit="1" customWidth="1"/>
    <col min="45" max="45" width="25.7109375" bestFit="1" customWidth="1"/>
    <col min="46" max="46" width="12.28515625" bestFit="1" customWidth="1"/>
    <col min="47" max="47" width="15" bestFit="1" customWidth="1"/>
    <col min="48" max="48" width="7.28515625" bestFit="1" customWidth="1"/>
    <col min="49" max="49" width="15.42578125" bestFit="1" customWidth="1"/>
    <col min="50" max="50" width="17.42578125" bestFit="1" customWidth="1"/>
    <col min="51" max="51" width="6.5703125" bestFit="1" customWidth="1"/>
    <col min="52" max="52" width="13.28515625" bestFit="1" customWidth="1"/>
    <col min="53" max="53" width="48.5703125" bestFit="1" customWidth="1"/>
    <col min="54" max="54" width="70.5703125" bestFit="1" customWidth="1"/>
    <col min="55" max="55" width="6" bestFit="1" customWidth="1"/>
    <col min="56" max="56" width="8.5703125" bestFit="1" customWidth="1"/>
    <col min="57" max="57" width="10.42578125" bestFit="1" customWidth="1"/>
    <col min="58" max="58" width="10.140625" bestFit="1" customWidth="1"/>
    <col min="59" max="59" width="26.42578125" bestFit="1" customWidth="1"/>
    <col min="60" max="60" width="16.5703125" bestFit="1" customWidth="1"/>
    <col min="61" max="62" width="25.7109375" customWidth="1"/>
    <col min="63" max="63" width="25.7109375" bestFit="1" customWidth="1"/>
    <col min="64" max="64" width="12" bestFit="1" customWidth="1"/>
    <col min="65" max="65" width="25.7109375" bestFit="1" customWidth="1"/>
    <col min="66" max="66" width="67.7109375" bestFit="1" customWidth="1"/>
  </cols>
  <sheetData>
    <row r="1" spans="1:62" x14ac:dyDescent="0.25">
      <c r="A1" t="s">
        <v>0</v>
      </c>
      <c r="B1" s="1" t="s">
        <v>643</v>
      </c>
      <c r="C1" s="83" t="s">
        <v>36</v>
      </c>
      <c r="D1" t="s">
        <v>37</v>
      </c>
      <c r="E1" t="s">
        <v>38</v>
      </c>
      <c r="F1" t="s">
        <v>39</v>
      </c>
      <c r="G1" t="s">
        <v>40</v>
      </c>
      <c r="H1" t="s">
        <v>9</v>
      </c>
      <c r="I1" t="s">
        <v>11</v>
      </c>
      <c r="J1" t="s">
        <v>12</v>
      </c>
      <c r="K1" t="s">
        <v>13</v>
      </c>
      <c r="L1" t="s">
        <v>14</v>
      </c>
      <c r="M1" t="s">
        <v>15</v>
      </c>
      <c r="N1" t="s">
        <v>16</v>
      </c>
      <c r="O1" t="s">
        <v>17</v>
      </c>
      <c r="P1" t="s">
        <v>18</v>
      </c>
      <c r="Q1" t="s">
        <v>19</v>
      </c>
      <c r="R1" t="s">
        <v>20</v>
      </c>
      <c r="S1" t="s">
        <v>21</v>
      </c>
      <c r="T1" t="s">
        <v>22</v>
      </c>
      <c r="U1" t="s">
        <v>23</v>
      </c>
      <c r="V1" t="s">
        <v>24</v>
      </c>
      <c r="W1" t="s">
        <v>25</v>
      </c>
      <c r="X1" t="s">
        <v>26</v>
      </c>
      <c r="Y1" t="s">
        <v>27</v>
      </c>
      <c r="Z1" t="s">
        <v>28</v>
      </c>
      <c r="AA1" t="s">
        <v>29</v>
      </c>
      <c r="AB1" t="s">
        <v>30</v>
      </c>
      <c r="AC1" t="s">
        <v>31</v>
      </c>
      <c r="AD1" t="s">
        <v>32</v>
      </c>
      <c r="AE1" t="s">
        <v>644</v>
      </c>
      <c r="AF1" t="s">
        <v>34</v>
      </c>
      <c r="AG1" t="s">
        <v>35</v>
      </c>
      <c r="AH1" t="s">
        <v>647</v>
      </c>
      <c r="AI1" t="s">
        <v>648</v>
      </c>
      <c r="AJ1" t="s">
        <v>649</v>
      </c>
      <c r="AK1" t="s">
        <v>592</v>
      </c>
      <c r="AL1" t="s">
        <v>973</v>
      </c>
      <c r="AM1" t="s">
        <v>845</v>
      </c>
      <c r="AN1" t="s">
        <v>10</v>
      </c>
      <c r="AO1" t="s">
        <v>4</v>
      </c>
      <c r="AP1" t="s">
        <v>1</v>
      </c>
      <c r="AQ1" t="s">
        <v>3</v>
      </c>
      <c r="AR1" t="s">
        <v>46</v>
      </c>
      <c r="AS1" t="s">
        <v>2</v>
      </c>
      <c r="AT1" t="s">
        <v>5</v>
      </c>
      <c r="AU1" t="s">
        <v>6</v>
      </c>
      <c r="AV1" t="s">
        <v>41</v>
      </c>
      <c r="AW1" t="s">
        <v>42</v>
      </c>
      <c r="AX1" t="s">
        <v>43</v>
      </c>
      <c r="AY1" t="s">
        <v>44</v>
      </c>
      <c r="AZ1" t="s">
        <v>45</v>
      </c>
      <c r="BA1" t="s">
        <v>972</v>
      </c>
      <c r="BB1" t="s">
        <v>8</v>
      </c>
      <c r="BC1" t="s">
        <v>47</v>
      </c>
      <c r="BD1" t="s">
        <v>329</v>
      </c>
      <c r="BE1" t="s">
        <v>48</v>
      </c>
      <c r="BF1" t="s">
        <v>49</v>
      </c>
      <c r="BG1" t="s">
        <v>50</v>
      </c>
      <c r="BH1" t="s">
        <v>51</v>
      </c>
      <c r="BI1" t="s">
        <v>52</v>
      </c>
      <c r="BJ1" t="s">
        <v>783</v>
      </c>
    </row>
    <row r="2" spans="1:62" x14ac:dyDescent="0.25">
      <c r="A2" t="s">
        <v>288</v>
      </c>
      <c r="B2" s="1">
        <v>45664</v>
      </c>
      <c r="C2" s="93">
        <v>0.58333333333333326</v>
      </c>
      <c r="D2" s="1"/>
      <c r="E2" s="14"/>
      <c r="F2" s="1">
        <v>45667</v>
      </c>
      <c r="G2" s="14">
        <v>0.59781249999999997</v>
      </c>
      <c r="H2" t="s">
        <v>598</v>
      </c>
      <c r="I2" t="s">
        <v>289</v>
      </c>
      <c r="K2" t="s">
        <v>290</v>
      </c>
      <c r="L2" t="s">
        <v>115</v>
      </c>
      <c r="M2">
        <v>7</v>
      </c>
      <c r="N2" t="s">
        <v>291</v>
      </c>
      <c r="Y2" t="s">
        <v>599</v>
      </c>
      <c r="Z2" t="s">
        <v>65</v>
      </c>
      <c r="AA2" t="s">
        <v>293</v>
      </c>
      <c r="AB2" t="s">
        <v>294</v>
      </c>
      <c r="AC2" t="s">
        <v>295</v>
      </c>
      <c r="AD2" t="s">
        <v>69</v>
      </c>
      <c r="AE2" t="s">
        <v>296</v>
      </c>
      <c r="AF2">
        <v>9</v>
      </c>
      <c r="AG2" s="1">
        <v>45664</v>
      </c>
      <c r="AH2" s="14">
        <v>0.58333333333333337</v>
      </c>
      <c r="AI2" s="14">
        <v>0.58333333333333337</v>
      </c>
      <c r="AJ2" t="s">
        <v>761</v>
      </c>
      <c r="AK2" t="s">
        <v>842</v>
      </c>
      <c r="AL2" t="s">
        <v>777</v>
      </c>
      <c r="AM2" t="s">
        <v>326</v>
      </c>
      <c r="AN2" t="s">
        <v>777</v>
      </c>
      <c r="AO2" s="14">
        <v>0.58333333333333337</v>
      </c>
      <c r="AP2" s="1">
        <v>45664</v>
      </c>
      <c r="AQ2" s="14">
        <v>0.58333333333333337</v>
      </c>
      <c r="AR2" s="2"/>
      <c r="AS2" t="s">
        <v>761</v>
      </c>
      <c r="AT2" t="s">
        <v>635</v>
      </c>
      <c r="AU2" t="s">
        <v>55</v>
      </c>
      <c r="AV2">
        <v>2025</v>
      </c>
      <c r="AW2">
        <v>2</v>
      </c>
      <c r="AX2">
        <v>2</v>
      </c>
      <c r="AY2">
        <v>7</v>
      </c>
      <c r="AZ2">
        <v>7</v>
      </c>
      <c r="BA2" t="s">
        <v>842</v>
      </c>
      <c r="BB2" t="s">
        <v>290</v>
      </c>
      <c r="BI2" t="s">
        <v>761</v>
      </c>
      <c r="BJ2" t="s">
        <v>761</v>
      </c>
    </row>
    <row r="3" spans="1:62" x14ac:dyDescent="0.25">
      <c r="A3" t="s">
        <v>297</v>
      </c>
      <c r="B3" s="1">
        <v>45680</v>
      </c>
      <c r="C3" s="93">
        <v>0.625</v>
      </c>
      <c r="D3" s="1"/>
      <c r="E3" s="14"/>
      <c r="F3" s="1">
        <v>45680</v>
      </c>
      <c r="G3" s="14">
        <v>0.66545138888888888</v>
      </c>
      <c r="H3" t="s">
        <v>613</v>
      </c>
      <c r="I3" t="s">
        <v>289</v>
      </c>
      <c r="K3" t="s">
        <v>298</v>
      </c>
      <c r="L3" t="s">
        <v>74</v>
      </c>
      <c r="M3">
        <v>8</v>
      </c>
      <c r="N3" t="s">
        <v>299</v>
      </c>
      <c r="Y3" t="s">
        <v>614</v>
      </c>
      <c r="Z3" t="s">
        <v>65</v>
      </c>
      <c r="AA3" t="s">
        <v>263</v>
      </c>
      <c r="AB3" t="s">
        <v>301</v>
      </c>
      <c r="AC3" t="s">
        <v>295</v>
      </c>
      <c r="AD3" t="s">
        <v>302</v>
      </c>
      <c r="AF3">
        <v>9</v>
      </c>
      <c r="AG3" s="1">
        <v>45680</v>
      </c>
      <c r="AH3" s="14">
        <v>0.625</v>
      </c>
      <c r="AI3" s="14">
        <v>0.625</v>
      </c>
      <c r="AJ3" t="s">
        <v>761</v>
      </c>
      <c r="AK3" t="s">
        <v>843</v>
      </c>
      <c r="AL3" t="s">
        <v>778</v>
      </c>
      <c r="AM3" t="s">
        <v>326</v>
      </c>
      <c r="AN3" t="s">
        <v>778</v>
      </c>
      <c r="AO3" s="14">
        <v>0.625</v>
      </c>
      <c r="AP3" s="1">
        <v>45680</v>
      </c>
      <c r="AQ3" s="14">
        <v>0.625</v>
      </c>
      <c r="AR3" s="2"/>
      <c r="AS3" t="s">
        <v>761</v>
      </c>
      <c r="AT3" t="s">
        <v>638</v>
      </c>
      <c r="AU3" t="s">
        <v>55</v>
      </c>
      <c r="AV3">
        <v>2025</v>
      </c>
      <c r="AW3">
        <v>4</v>
      </c>
      <c r="AX3">
        <v>4</v>
      </c>
      <c r="AY3">
        <v>23</v>
      </c>
      <c r="AZ3">
        <v>23</v>
      </c>
      <c r="BA3" t="s">
        <v>843</v>
      </c>
      <c r="BB3" t="s">
        <v>298</v>
      </c>
      <c r="BI3" t="s">
        <v>761</v>
      </c>
      <c r="BJ3" t="s">
        <v>761</v>
      </c>
    </row>
    <row r="4" spans="1:62" x14ac:dyDescent="0.25">
      <c r="A4" t="s">
        <v>313</v>
      </c>
      <c r="B4" s="1">
        <v>45701</v>
      </c>
      <c r="C4" s="93">
        <v>8.3333333333333259E-2</v>
      </c>
      <c r="D4" s="1"/>
      <c r="E4" s="14"/>
      <c r="F4" s="1">
        <v>45701</v>
      </c>
      <c r="G4" s="14">
        <v>0.51225694444444447</v>
      </c>
      <c r="H4" t="s">
        <v>315</v>
      </c>
      <c r="I4" t="s">
        <v>631</v>
      </c>
      <c r="J4" t="s">
        <v>603</v>
      </c>
      <c r="K4" t="s">
        <v>316</v>
      </c>
      <c r="L4" t="s">
        <v>165</v>
      </c>
      <c r="M4">
        <v>9</v>
      </c>
      <c r="N4" t="s">
        <v>317</v>
      </c>
      <c r="Y4" t="s">
        <v>632</v>
      </c>
      <c r="Z4" t="s">
        <v>65</v>
      </c>
      <c r="AA4" t="s">
        <v>104</v>
      </c>
      <c r="AB4" t="s">
        <v>105</v>
      </c>
      <c r="AC4" t="s">
        <v>280</v>
      </c>
      <c r="AD4" t="s">
        <v>319</v>
      </c>
      <c r="AF4">
        <v>9</v>
      </c>
      <c r="AG4" s="1">
        <v>45701</v>
      </c>
      <c r="AH4" s="14">
        <v>8.3333333333333329E-2</v>
      </c>
      <c r="AI4" s="14">
        <v>8.3333333333333329E-2</v>
      </c>
      <c r="AJ4" t="s">
        <v>763</v>
      </c>
      <c r="AK4" t="s">
        <v>314</v>
      </c>
      <c r="AL4" t="s">
        <v>772</v>
      </c>
      <c r="AM4" t="s">
        <v>326</v>
      </c>
      <c r="AN4" t="s">
        <v>772</v>
      </c>
      <c r="AO4" s="14">
        <v>8.3333333333333329E-2</v>
      </c>
      <c r="AP4" s="1">
        <v>45701</v>
      </c>
      <c r="AQ4" s="14">
        <v>8.3333333333333329E-2</v>
      </c>
      <c r="AR4" s="2"/>
      <c r="AS4" t="s">
        <v>763</v>
      </c>
      <c r="AT4" t="s">
        <v>638</v>
      </c>
      <c r="AU4" t="s">
        <v>96</v>
      </c>
      <c r="AV4">
        <v>2025</v>
      </c>
      <c r="AW4">
        <v>7</v>
      </c>
      <c r="AX4">
        <v>3</v>
      </c>
      <c r="AY4">
        <v>13</v>
      </c>
      <c r="AZ4">
        <v>44</v>
      </c>
      <c r="BA4" t="s">
        <v>314</v>
      </c>
      <c r="BB4" t="s">
        <v>316</v>
      </c>
      <c r="BI4" t="s">
        <v>763</v>
      </c>
      <c r="BJ4" t="s">
        <v>763</v>
      </c>
    </row>
    <row r="5" spans="1:62" x14ac:dyDescent="0.25">
      <c r="A5" t="s">
        <v>303</v>
      </c>
      <c r="B5" s="1">
        <v>45705</v>
      </c>
      <c r="C5" s="93">
        <v>0.83333333333333326</v>
      </c>
      <c r="D5" s="1">
        <v>45705</v>
      </c>
      <c r="E5" s="14">
        <v>0.98958333333333337</v>
      </c>
      <c r="F5" s="1">
        <v>45706</v>
      </c>
      <c r="G5" s="14">
        <v>0.73564814814814816</v>
      </c>
      <c r="H5" t="s">
        <v>304</v>
      </c>
      <c r="I5" t="s">
        <v>613</v>
      </c>
      <c r="K5" t="s">
        <v>305</v>
      </c>
      <c r="L5" t="s">
        <v>306</v>
      </c>
      <c r="M5">
        <v>8</v>
      </c>
      <c r="N5" t="s">
        <v>307</v>
      </c>
      <c r="Y5" t="s">
        <v>614</v>
      </c>
      <c r="Z5" t="s">
        <v>65</v>
      </c>
      <c r="AA5" t="s">
        <v>93</v>
      </c>
      <c r="AB5" t="s">
        <v>301</v>
      </c>
      <c r="AC5" t="s">
        <v>93</v>
      </c>
      <c r="AD5" t="s">
        <v>211</v>
      </c>
      <c r="AF5">
        <v>9</v>
      </c>
      <c r="AG5" s="1">
        <v>45705</v>
      </c>
      <c r="AH5" s="14">
        <v>0.83333333333333337</v>
      </c>
      <c r="AI5" s="14">
        <v>0.83333333333333337</v>
      </c>
      <c r="AJ5" t="s">
        <v>764</v>
      </c>
      <c r="AK5" t="s">
        <v>812</v>
      </c>
      <c r="AL5" t="s">
        <v>779</v>
      </c>
      <c r="AM5" t="s">
        <v>326</v>
      </c>
      <c r="AN5" t="s">
        <v>779</v>
      </c>
      <c r="AO5" s="14">
        <v>0.83333333333333337</v>
      </c>
      <c r="AP5" s="1">
        <v>45705</v>
      </c>
      <c r="AQ5" s="14">
        <v>0.83333333333333337</v>
      </c>
      <c r="AR5" s="2"/>
      <c r="AS5" t="s">
        <v>764</v>
      </c>
      <c r="AT5" t="s">
        <v>636</v>
      </c>
      <c r="AU5" t="s">
        <v>96</v>
      </c>
      <c r="AV5">
        <v>2025</v>
      </c>
      <c r="AW5">
        <v>8</v>
      </c>
      <c r="AX5">
        <v>4</v>
      </c>
      <c r="AY5">
        <v>17</v>
      </c>
      <c r="AZ5">
        <v>48</v>
      </c>
      <c r="BA5" t="s">
        <v>812</v>
      </c>
      <c r="BB5" t="s">
        <v>305</v>
      </c>
      <c r="BI5" t="s">
        <v>764</v>
      </c>
      <c r="BJ5" t="s">
        <v>764</v>
      </c>
    </row>
    <row r="6" spans="1:62" x14ac:dyDescent="0.25">
      <c r="A6" t="s">
        <v>308</v>
      </c>
      <c r="B6" s="1">
        <v>42906</v>
      </c>
      <c r="C6" s="93">
        <v>0.53615740740740736</v>
      </c>
      <c r="D6" s="1">
        <v>45555</v>
      </c>
      <c r="E6" s="14"/>
      <c r="F6" s="1">
        <v>45708</v>
      </c>
      <c r="G6" s="14">
        <v>0.53615740740740736</v>
      </c>
      <c r="H6" t="s">
        <v>613</v>
      </c>
      <c r="K6" t="s">
        <v>309</v>
      </c>
      <c r="L6" t="s">
        <v>88</v>
      </c>
      <c r="M6">
        <v>8</v>
      </c>
      <c r="N6" t="s">
        <v>739</v>
      </c>
      <c r="Y6" t="s">
        <v>601</v>
      </c>
      <c r="Z6" t="s">
        <v>65</v>
      </c>
      <c r="AA6" t="s">
        <v>310</v>
      </c>
      <c r="AB6" t="s">
        <v>67</v>
      </c>
      <c r="AC6" t="s">
        <v>263</v>
      </c>
      <c r="AD6" t="s">
        <v>311</v>
      </c>
      <c r="AE6" t="s">
        <v>312</v>
      </c>
      <c r="AF6">
        <v>9</v>
      </c>
      <c r="AG6" s="1">
        <v>42906</v>
      </c>
      <c r="AH6" s="14">
        <v>0.53615740740740736</v>
      </c>
      <c r="AI6" s="14">
        <v>0.5</v>
      </c>
      <c r="AJ6" t="s">
        <v>761</v>
      </c>
      <c r="AK6" t="s">
        <v>825</v>
      </c>
      <c r="AL6" t="s">
        <v>613</v>
      </c>
      <c r="AM6" t="s">
        <v>850</v>
      </c>
      <c r="AN6" t="s">
        <v>613</v>
      </c>
      <c r="AO6" s="14">
        <v>0.53615740740740736</v>
      </c>
      <c r="AP6" s="1">
        <v>42906</v>
      </c>
      <c r="AQ6" s="14">
        <v>0.5</v>
      </c>
      <c r="AR6" s="2"/>
      <c r="AS6" t="s">
        <v>761</v>
      </c>
      <c r="AT6" t="s">
        <v>635</v>
      </c>
      <c r="AU6" t="s">
        <v>641</v>
      </c>
      <c r="AV6">
        <v>2017</v>
      </c>
      <c r="AW6">
        <v>25</v>
      </c>
      <c r="AX6">
        <v>4</v>
      </c>
      <c r="AY6">
        <v>20</v>
      </c>
      <c r="AZ6">
        <v>171</v>
      </c>
      <c r="BA6" t="s">
        <v>825</v>
      </c>
      <c r="BB6" t="s">
        <v>309</v>
      </c>
      <c r="BI6" t="s">
        <v>761</v>
      </c>
      <c r="BJ6" t="s">
        <v>761</v>
      </c>
    </row>
    <row r="7" spans="1:62" x14ac:dyDescent="0.25">
      <c r="A7" t="s">
        <v>463</v>
      </c>
      <c r="B7" s="1">
        <v>45749</v>
      </c>
      <c r="C7" s="93">
        <v>0.89930555555555558</v>
      </c>
      <c r="D7" s="1"/>
      <c r="E7" s="14"/>
      <c r="F7" s="1">
        <v>45749</v>
      </c>
      <c r="G7" s="14">
        <v>0.90325231481481483</v>
      </c>
      <c r="H7" t="s">
        <v>464</v>
      </c>
      <c r="I7" t="s">
        <v>613</v>
      </c>
      <c r="J7" t="s">
        <v>289</v>
      </c>
      <c r="K7" t="s">
        <v>465</v>
      </c>
      <c r="L7" t="s">
        <v>88</v>
      </c>
      <c r="M7">
        <v>8</v>
      </c>
      <c r="N7" t="s">
        <v>466</v>
      </c>
      <c r="Y7" t="s">
        <v>677</v>
      </c>
      <c r="Z7" t="s">
        <v>65</v>
      </c>
      <c r="AA7" t="s">
        <v>467</v>
      </c>
      <c r="AB7" t="s">
        <v>262</v>
      </c>
      <c r="AC7" t="s">
        <v>263</v>
      </c>
      <c r="AD7" t="s">
        <v>302</v>
      </c>
      <c r="AF7">
        <v>9</v>
      </c>
      <c r="AG7" s="1">
        <v>45749</v>
      </c>
      <c r="AH7" s="14">
        <v>0.89930555555555558</v>
      </c>
      <c r="AI7" s="14">
        <v>0.875</v>
      </c>
      <c r="AJ7" t="s">
        <v>764</v>
      </c>
      <c r="AK7" t="s">
        <v>844</v>
      </c>
      <c r="AL7" t="s">
        <v>780</v>
      </c>
      <c r="AM7" t="s">
        <v>326</v>
      </c>
      <c r="AN7" t="s">
        <v>780</v>
      </c>
      <c r="AO7" s="14">
        <v>0.89930555555555558</v>
      </c>
      <c r="AP7" s="1">
        <v>45749</v>
      </c>
      <c r="AQ7" s="14">
        <v>0.875</v>
      </c>
      <c r="AR7" s="2"/>
      <c r="AS7" t="s">
        <v>764</v>
      </c>
      <c r="AT7" t="s">
        <v>637</v>
      </c>
      <c r="AU7" t="s">
        <v>430</v>
      </c>
      <c r="AV7">
        <v>2025</v>
      </c>
      <c r="AW7">
        <v>14</v>
      </c>
      <c r="AX7">
        <v>1</v>
      </c>
      <c r="AY7">
        <v>2</v>
      </c>
      <c r="AZ7">
        <v>92</v>
      </c>
      <c r="BA7" t="s">
        <v>844</v>
      </c>
      <c r="BB7" t="s">
        <v>465</v>
      </c>
      <c r="BI7" t="s">
        <v>764</v>
      </c>
      <c r="BJ7" t="s">
        <v>764</v>
      </c>
    </row>
    <row r="8" spans="1:62" x14ac:dyDescent="0.25">
      <c r="A8" t="s">
        <v>585</v>
      </c>
      <c r="B8" s="1">
        <v>45739</v>
      </c>
      <c r="C8" s="93">
        <v>0.6201388888888888</v>
      </c>
      <c r="D8" s="1">
        <v>45739</v>
      </c>
      <c r="E8" s="14">
        <v>0.64166666666666672</v>
      </c>
      <c r="F8" s="1">
        <v>45761</v>
      </c>
      <c r="G8" s="14">
        <v>0.49540509259259258</v>
      </c>
      <c r="H8" t="s">
        <v>598</v>
      </c>
      <c r="K8" t="s">
        <v>587</v>
      </c>
      <c r="L8" t="s">
        <v>588</v>
      </c>
      <c r="M8">
        <v>9</v>
      </c>
      <c r="N8" t="s">
        <v>589</v>
      </c>
      <c r="Y8" t="s">
        <v>688</v>
      </c>
      <c r="Z8" t="s">
        <v>65</v>
      </c>
      <c r="AA8" t="s">
        <v>591</v>
      </c>
      <c r="AB8" t="s">
        <v>67</v>
      </c>
      <c r="AC8" t="s">
        <v>106</v>
      </c>
      <c r="AD8" t="s">
        <v>107</v>
      </c>
      <c r="AE8" t="s">
        <v>296</v>
      </c>
      <c r="AF8">
        <v>9</v>
      </c>
      <c r="AG8" s="1">
        <v>45739</v>
      </c>
      <c r="AH8" s="14">
        <v>0.62013888888888891</v>
      </c>
      <c r="AI8" s="14">
        <v>0.58333333333333337</v>
      </c>
      <c r="AJ8" t="s">
        <v>761</v>
      </c>
      <c r="AK8" t="s">
        <v>586</v>
      </c>
      <c r="AL8" t="s">
        <v>598</v>
      </c>
      <c r="AM8" t="s">
        <v>326</v>
      </c>
      <c r="AN8" t="s">
        <v>598</v>
      </c>
      <c r="AO8" s="14">
        <v>0.62013888888888891</v>
      </c>
      <c r="AP8" s="1">
        <v>45739</v>
      </c>
      <c r="AQ8" s="14">
        <v>0.58333333333333337</v>
      </c>
      <c r="AR8" s="2"/>
      <c r="AS8" t="s">
        <v>761</v>
      </c>
      <c r="AT8" t="s">
        <v>640</v>
      </c>
      <c r="AU8" t="s">
        <v>331</v>
      </c>
      <c r="AV8">
        <v>2025</v>
      </c>
      <c r="AW8">
        <v>13</v>
      </c>
      <c r="AX8">
        <v>5</v>
      </c>
      <c r="AY8">
        <v>23</v>
      </c>
      <c r="AZ8">
        <v>82</v>
      </c>
      <c r="BA8" t="s">
        <v>586</v>
      </c>
      <c r="BB8" t="s">
        <v>587</v>
      </c>
      <c r="BI8" t="s">
        <v>761</v>
      </c>
      <c r="BJ8" t="s">
        <v>761</v>
      </c>
    </row>
    <row r="9" spans="1:62" x14ac:dyDescent="0.25">
      <c r="A9" t="s">
        <v>708</v>
      </c>
      <c r="B9" s="1">
        <v>45771</v>
      </c>
      <c r="C9" s="93">
        <v>0.45277777777777772</v>
      </c>
      <c r="D9" s="1"/>
      <c r="E9" s="14"/>
      <c r="F9" s="1">
        <v>45771</v>
      </c>
      <c r="G9" s="14">
        <v>0.63624999999999998</v>
      </c>
      <c r="H9" t="s">
        <v>598</v>
      </c>
      <c r="I9" t="s">
        <v>289</v>
      </c>
      <c r="K9" t="s">
        <v>290</v>
      </c>
      <c r="L9" t="s">
        <v>115</v>
      </c>
      <c r="M9">
        <v>7</v>
      </c>
      <c r="N9" t="s">
        <v>747</v>
      </c>
      <c r="Y9" t="s">
        <v>292</v>
      </c>
      <c r="Z9" t="s">
        <v>65</v>
      </c>
      <c r="AA9" t="s">
        <v>293</v>
      </c>
      <c r="AB9" t="s">
        <v>294</v>
      </c>
      <c r="AC9" t="s">
        <v>293</v>
      </c>
      <c r="AD9" t="s">
        <v>698</v>
      </c>
      <c r="AE9" t="s">
        <v>296</v>
      </c>
      <c r="AF9">
        <v>9</v>
      </c>
      <c r="AG9" s="1">
        <v>45771</v>
      </c>
      <c r="AH9" s="14">
        <v>0.45277777777777778</v>
      </c>
      <c r="AI9" s="14">
        <v>0.41666666666666669</v>
      </c>
      <c r="AJ9" t="s">
        <v>762</v>
      </c>
      <c r="AK9" t="s">
        <v>842</v>
      </c>
      <c r="AL9" t="s">
        <v>777</v>
      </c>
      <c r="AM9" t="s">
        <v>326</v>
      </c>
      <c r="AN9" t="s">
        <v>777</v>
      </c>
      <c r="AO9" s="14">
        <v>0.45277777777777778</v>
      </c>
      <c r="AP9" s="1">
        <v>45771</v>
      </c>
      <c r="AQ9" s="14">
        <v>0.41666666666666669</v>
      </c>
      <c r="AR9" s="2"/>
      <c r="AS9" t="s">
        <v>762</v>
      </c>
      <c r="AT9" t="s">
        <v>638</v>
      </c>
      <c r="AU9" t="s">
        <v>430</v>
      </c>
      <c r="AV9">
        <v>2025</v>
      </c>
      <c r="AW9">
        <v>17</v>
      </c>
      <c r="AX9">
        <v>4</v>
      </c>
      <c r="AY9">
        <v>24</v>
      </c>
      <c r="AZ9">
        <v>114</v>
      </c>
      <c r="BA9" t="s">
        <v>842</v>
      </c>
      <c r="BB9" t="s">
        <v>290</v>
      </c>
      <c r="BI9" t="s">
        <v>762</v>
      </c>
      <c r="BJ9" t="s">
        <v>762</v>
      </c>
    </row>
    <row r="10" spans="1:62" x14ac:dyDescent="0.25">
      <c r="A10" t="s">
        <v>712</v>
      </c>
      <c r="B10" s="1">
        <v>45774</v>
      </c>
      <c r="C10" s="93">
        <v>0.77083333333333326</v>
      </c>
      <c r="D10" s="1"/>
      <c r="E10" s="14"/>
      <c r="F10" s="1">
        <v>45776</v>
      </c>
      <c r="G10" s="14">
        <v>0.35416666666666669</v>
      </c>
      <c r="H10" t="s">
        <v>603</v>
      </c>
      <c r="I10" t="s">
        <v>631</v>
      </c>
      <c r="K10" t="s">
        <v>713</v>
      </c>
      <c r="L10" t="s">
        <v>98</v>
      </c>
      <c r="M10">
        <v>6</v>
      </c>
      <c r="N10" t="s">
        <v>750</v>
      </c>
      <c r="Q10" t="s">
        <v>404</v>
      </c>
      <c r="R10" t="s">
        <v>354</v>
      </c>
      <c r="U10" t="s">
        <v>728</v>
      </c>
      <c r="W10" t="s">
        <v>729</v>
      </c>
      <c r="Y10" t="s">
        <v>974</v>
      </c>
      <c r="Z10" t="s">
        <v>65</v>
      </c>
      <c r="AA10" t="s">
        <v>730</v>
      </c>
      <c r="AB10" t="s">
        <v>731</v>
      </c>
      <c r="AF10">
        <v>9</v>
      </c>
      <c r="AG10" s="1">
        <v>45774</v>
      </c>
      <c r="AH10" s="14">
        <v>0.77083333333333337</v>
      </c>
      <c r="AI10" s="14">
        <v>0.75</v>
      </c>
      <c r="AJ10" t="s">
        <v>765</v>
      </c>
      <c r="AK10" t="s">
        <v>839</v>
      </c>
      <c r="AL10" t="s">
        <v>975</v>
      </c>
      <c r="AM10" t="s">
        <v>326</v>
      </c>
      <c r="AN10" t="s">
        <v>975</v>
      </c>
      <c r="AO10" s="14">
        <v>0.77083333333333337</v>
      </c>
      <c r="AP10" s="1">
        <v>45774</v>
      </c>
      <c r="AQ10" s="14">
        <v>0.75</v>
      </c>
      <c r="AR10" s="2"/>
      <c r="AS10" t="s">
        <v>765</v>
      </c>
      <c r="AT10" t="s">
        <v>640</v>
      </c>
      <c r="AU10" t="s">
        <v>430</v>
      </c>
      <c r="AV10">
        <v>2025</v>
      </c>
      <c r="AW10">
        <v>18</v>
      </c>
      <c r="AX10">
        <v>5</v>
      </c>
      <c r="AY10">
        <v>27</v>
      </c>
      <c r="AZ10">
        <v>117</v>
      </c>
      <c r="BA10" t="s">
        <v>839</v>
      </c>
      <c r="BB10" t="s">
        <v>713</v>
      </c>
      <c r="BE10" t="s">
        <v>840</v>
      </c>
      <c r="BI10" t="s">
        <v>765</v>
      </c>
      <c r="BJ10" t="s">
        <v>765</v>
      </c>
    </row>
    <row r="11" spans="1:62" x14ac:dyDescent="0.25">
      <c r="A11" t="s">
        <v>877</v>
      </c>
      <c r="B11" s="1">
        <v>45789</v>
      </c>
      <c r="C11" s="93">
        <v>0.27222222222222214</v>
      </c>
      <c r="D11" s="1"/>
      <c r="E11" s="14"/>
      <c r="F11" s="1">
        <v>45789</v>
      </c>
      <c r="G11" s="14">
        <v>0.27627314814814813</v>
      </c>
      <c r="H11" t="s">
        <v>608</v>
      </c>
      <c r="I11" t="s">
        <v>631</v>
      </c>
      <c r="J11" t="s">
        <v>878</v>
      </c>
      <c r="K11" t="s">
        <v>879</v>
      </c>
      <c r="L11" t="s">
        <v>165</v>
      </c>
      <c r="M11">
        <v>9</v>
      </c>
      <c r="N11" t="s">
        <v>880</v>
      </c>
      <c r="Q11" t="s">
        <v>881</v>
      </c>
      <c r="R11" t="s">
        <v>596</v>
      </c>
      <c r="S11" t="s">
        <v>62</v>
      </c>
      <c r="T11" t="s">
        <v>63</v>
      </c>
      <c r="Y11" t="s">
        <v>882</v>
      </c>
      <c r="Z11" t="s">
        <v>65</v>
      </c>
      <c r="AA11" t="s">
        <v>179</v>
      </c>
      <c r="AB11" t="s">
        <v>140</v>
      </c>
      <c r="AC11" t="s">
        <v>161</v>
      </c>
      <c r="AD11" t="s">
        <v>168</v>
      </c>
      <c r="AF11">
        <v>9</v>
      </c>
      <c r="AG11" s="1">
        <v>45789</v>
      </c>
      <c r="AH11" s="14">
        <v>0.2722222222222222</v>
      </c>
      <c r="AI11" s="14">
        <v>0.25</v>
      </c>
      <c r="AJ11" t="s">
        <v>766</v>
      </c>
      <c r="AK11" t="s">
        <v>883</v>
      </c>
      <c r="AL11" t="s">
        <v>884</v>
      </c>
      <c r="AM11" t="s">
        <v>326</v>
      </c>
      <c r="AN11" t="s">
        <v>884</v>
      </c>
      <c r="AO11" s="14">
        <v>0.2722222222222222</v>
      </c>
      <c r="AP11" s="1">
        <v>45789</v>
      </c>
      <c r="AQ11" s="14">
        <v>0.25</v>
      </c>
      <c r="AR11" s="2"/>
      <c r="AS11" t="s">
        <v>766</v>
      </c>
      <c r="AT11" t="s">
        <v>636</v>
      </c>
      <c r="AU11" t="s">
        <v>642</v>
      </c>
      <c r="AV11">
        <v>2025</v>
      </c>
      <c r="AW11">
        <v>20</v>
      </c>
      <c r="AX11">
        <v>3</v>
      </c>
      <c r="AY11">
        <v>12</v>
      </c>
      <c r="AZ11">
        <v>132</v>
      </c>
      <c r="BA11" t="s">
        <v>883</v>
      </c>
      <c r="BB11" t="s">
        <v>879</v>
      </c>
      <c r="BE11" t="s">
        <v>948</v>
      </c>
      <c r="BI11" t="s">
        <v>766</v>
      </c>
      <c r="BJ11" t="s">
        <v>766</v>
      </c>
    </row>
    <row r="12" spans="1:62" x14ac:dyDescent="0.25">
      <c r="A12" t="s">
        <v>889</v>
      </c>
      <c r="B12" s="1">
        <v>45788</v>
      </c>
      <c r="C12" s="93"/>
      <c r="D12" s="1"/>
      <c r="E12" s="14"/>
      <c r="F12" s="1">
        <v>45790</v>
      </c>
      <c r="G12" s="14">
        <v>0.63552083333333331</v>
      </c>
      <c r="H12" t="s">
        <v>613</v>
      </c>
      <c r="I12" t="s">
        <v>289</v>
      </c>
      <c r="K12" t="s">
        <v>290</v>
      </c>
      <c r="L12" t="s">
        <v>115</v>
      </c>
      <c r="N12" t="s">
        <v>890</v>
      </c>
      <c r="Y12" t="s">
        <v>891</v>
      </c>
      <c r="Z12" t="s">
        <v>65</v>
      </c>
      <c r="AA12" t="s">
        <v>293</v>
      </c>
      <c r="AB12" t="s">
        <v>443</v>
      </c>
      <c r="AC12" t="s">
        <v>293</v>
      </c>
      <c r="AD12" t="s">
        <v>69</v>
      </c>
      <c r="AF12">
        <v>9</v>
      </c>
      <c r="AG12" s="1">
        <v>45788</v>
      </c>
      <c r="AH12" s="14">
        <v>0.63552083333333331</v>
      </c>
      <c r="AI12" s="14">
        <v>0.625</v>
      </c>
      <c r="AJ12" t="s">
        <v>761</v>
      </c>
      <c r="AK12" t="s">
        <v>842</v>
      </c>
      <c r="AL12" t="s">
        <v>778</v>
      </c>
      <c r="AM12" t="s">
        <v>326</v>
      </c>
      <c r="AN12" t="s">
        <v>778</v>
      </c>
      <c r="AO12" s="14">
        <v>0.63552083333333331</v>
      </c>
      <c r="AP12" s="1">
        <v>45788</v>
      </c>
      <c r="AQ12" s="14">
        <v>0.625</v>
      </c>
      <c r="AR12" s="2"/>
      <c r="AS12" t="s">
        <v>761</v>
      </c>
      <c r="AT12" t="s">
        <v>640</v>
      </c>
      <c r="AU12" t="s">
        <v>642</v>
      </c>
      <c r="AV12">
        <v>2025</v>
      </c>
      <c r="AW12">
        <v>20</v>
      </c>
      <c r="AX12">
        <v>3</v>
      </c>
      <c r="AY12">
        <v>11</v>
      </c>
      <c r="AZ12">
        <v>131</v>
      </c>
      <c r="BA12" t="s">
        <v>842</v>
      </c>
      <c r="BB12" t="s">
        <v>290</v>
      </c>
      <c r="BI12" t="s">
        <v>761</v>
      </c>
      <c r="BJ12" t="s">
        <v>761</v>
      </c>
    </row>
    <row r="13" spans="1:62" x14ac:dyDescent="0.25">
      <c r="A13" t="s">
        <v>919</v>
      </c>
      <c r="B13" s="1">
        <v>45790</v>
      </c>
      <c r="C13" s="93">
        <v>0.64583333333333326</v>
      </c>
      <c r="D13" s="1"/>
      <c r="E13" s="14"/>
      <c r="F13" s="1">
        <v>45798</v>
      </c>
      <c r="G13" s="14">
        <v>0.58729166666666666</v>
      </c>
      <c r="H13" t="s">
        <v>598</v>
      </c>
      <c r="K13" t="s">
        <v>920</v>
      </c>
      <c r="L13" t="s">
        <v>159</v>
      </c>
      <c r="M13">
        <v>9</v>
      </c>
      <c r="N13" t="s">
        <v>921</v>
      </c>
      <c r="Y13" t="s">
        <v>669</v>
      </c>
      <c r="Z13" t="s">
        <v>65</v>
      </c>
      <c r="AA13" t="s">
        <v>170</v>
      </c>
      <c r="AB13" t="s">
        <v>171</v>
      </c>
      <c r="AC13" t="s">
        <v>280</v>
      </c>
      <c r="AD13" t="s">
        <v>211</v>
      </c>
      <c r="AF13">
        <v>9</v>
      </c>
      <c r="AG13" s="1">
        <v>45790</v>
      </c>
      <c r="AH13" s="14">
        <v>0.64583333333333337</v>
      </c>
      <c r="AI13" s="14">
        <v>0.625</v>
      </c>
      <c r="AJ13" t="s">
        <v>761</v>
      </c>
      <c r="AK13" t="s">
        <v>922</v>
      </c>
      <c r="AL13" t="s">
        <v>598</v>
      </c>
      <c r="AM13" t="s">
        <v>519</v>
      </c>
      <c r="AN13" t="s">
        <v>598</v>
      </c>
      <c r="AO13" s="14">
        <v>0.64583333333333337</v>
      </c>
      <c r="AP13" s="1">
        <v>45790</v>
      </c>
      <c r="AQ13" s="14">
        <v>0.625</v>
      </c>
      <c r="AR13" s="2"/>
      <c r="AS13" t="s">
        <v>761</v>
      </c>
      <c r="AT13" t="s">
        <v>635</v>
      </c>
      <c r="AU13" t="s">
        <v>642</v>
      </c>
      <c r="AV13">
        <v>2025</v>
      </c>
      <c r="AW13">
        <v>20</v>
      </c>
      <c r="AX13">
        <v>3</v>
      </c>
      <c r="AY13">
        <v>13</v>
      </c>
      <c r="AZ13">
        <v>133</v>
      </c>
      <c r="BA13" t="s">
        <v>922</v>
      </c>
      <c r="BB13" t="s">
        <v>920</v>
      </c>
      <c r="BI13" t="s">
        <v>761</v>
      </c>
      <c r="BJ13" t="s">
        <v>761</v>
      </c>
    </row>
    <row r="14" spans="1:62" x14ac:dyDescent="0.25">
      <c r="A14" t="s">
        <v>923</v>
      </c>
      <c r="B14" s="1">
        <v>45801</v>
      </c>
      <c r="C14" s="93">
        <v>0.93333333333333335</v>
      </c>
      <c r="D14" s="1"/>
      <c r="E14" s="14"/>
      <c r="F14" s="1">
        <v>45801</v>
      </c>
      <c r="G14" s="14">
        <v>0.94206018518518519</v>
      </c>
      <c r="H14" t="s">
        <v>608</v>
      </c>
      <c r="I14" t="s">
        <v>680</v>
      </c>
      <c r="J14" t="s">
        <v>924</v>
      </c>
      <c r="K14" t="s">
        <v>925</v>
      </c>
      <c r="L14" t="s">
        <v>169</v>
      </c>
      <c r="M14">
        <v>5</v>
      </c>
      <c r="N14" t="s">
        <v>926</v>
      </c>
      <c r="Y14" t="s">
        <v>688</v>
      </c>
      <c r="Z14" t="s">
        <v>65</v>
      </c>
      <c r="AA14" t="s">
        <v>503</v>
      </c>
      <c r="AB14" t="s">
        <v>443</v>
      </c>
      <c r="AC14" t="s">
        <v>141</v>
      </c>
      <c r="AD14" t="s">
        <v>69</v>
      </c>
      <c r="AF14">
        <v>9</v>
      </c>
      <c r="AG14" s="1">
        <v>45801</v>
      </c>
      <c r="AH14" s="14">
        <v>0.93333333333333335</v>
      </c>
      <c r="AI14" s="14">
        <v>0.91666666666666663</v>
      </c>
      <c r="AJ14" t="s">
        <v>764</v>
      </c>
      <c r="AK14" t="s">
        <v>927</v>
      </c>
      <c r="AL14" t="s">
        <v>928</v>
      </c>
      <c r="AM14" t="s">
        <v>519</v>
      </c>
      <c r="AN14" t="s">
        <v>928</v>
      </c>
      <c r="AO14" s="14">
        <v>0.93333333333333335</v>
      </c>
      <c r="AP14" s="1">
        <v>45801</v>
      </c>
      <c r="AQ14" s="14">
        <v>0.91666666666666663</v>
      </c>
      <c r="AR14" s="2"/>
      <c r="AS14" t="s">
        <v>764</v>
      </c>
      <c r="AT14" t="s">
        <v>639</v>
      </c>
      <c r="AU14" t="s">
        <v>642</v>
      </c>
      <c r="AV14">
        <v>2025</v>
      </c>
      <c r="AW14">
        <v>21</v>
      </c>
      <c r="AX14">
        <v>4</v>
      </c>
      <c r="AY14">
        <v>24</v>
      </c>
      <c r="AZ14">
        <v>144</v>
      </c>
      <c r="BA14" t="s">
        <v>927</v>
      </c>
      <c r="BB14" t="s">
        <v>925</v>
      </c>
      <c r="BI14" t="s">
        <v>764</v>
      </c>
      <c r="BJ14" t="s">
        <v>764</v>
      </c>
    </row>
    <row r="15" spans="1:62" x14ac:dyDescent="0.25">
      <c r="A15" t="s">
        <v>942</v>
      </c>
      <c r="B15" s="1">
        <v>45804</v>
      </c>
      <c r="C15" s="93">
        <v>0.9770833333333333</v>
      </c>
      <c r="D15" s="1"/>
      <c r="E15" s="14"/>
      <c r="F15" s="1">
        <v>45803</v>
      </c>
      <c r="G15" s="14">
        <v>0.98570601851851847</v>
      </c>
      <c r="H15" t="s">
        <v>603</v>
      </c>
      <c r="I15" t="s">
        <v>924</v>
      </c>
      <c r="J15" t="s">
        <v>943</v>
      </c>
      <c r="K15" t="s">
        <v>944</v>
      </c>
      <c r="L15" t="s">
        <v>198</v>
      </c>
      <c r="M15">
        <v>5</v>
      </c>
      <c r="N15" t="s">
        <v>945</v>
      </c>
      <c r="Y15" t="s">
        <v>599</v>
      </c>
      <c r="Z15" t="s">
        <v>65</v>
      </c>
      <c r="AA15" t="s">
        <v>591</v>
      </c>
      <c r="AB15" t="s">
        <v>443</v>
      </c>
      <c r="AC15" t="s">
        <v>106</v>
      </c>
      <c r="AD15" t="s">
        <v>69</v>
      </c>
      <c r="AF15">
        <v>9</v>
      </c>
      <c r="AG15" s="1">
        <v>45804</v>
      </c>
      <c r="AH15" s="14">
        <v>0.9770833333333333</v>
      </c>
      <c r="AI15" s="14">
        <v>0.95833333333333337</v>
      </c>
      <c r="AJ15" t="s">
        <v>764</v>
      </c>
      <c r="AK15" t="s">
        <v>869</v>
      </c>
      <c r="AL15" t="s">
        <v>946</v>
      </c>
      <c r="AM15" t="s">
        <v>519</v>
      </c>
      <c r="AN15" t="s">
        <v>946</v>
      </c>
      <c r="AO15" s="14">
        <v>0.9770833333333333</v>
      </c>
      <c r="AP15" s="1">
        <v>45804</v>
      </c>
      <c r="AQ15" s="14">
        <v>0.95833333333333337</v>
      </c>
      <c r="AR15" s="2"/>
      <c r="AS15" t="s">
        <v>764</v>
      </c>
      <c r="AT15" t="s">
        <v>635</v>
      </c>
      <c r="AU15" t="s">
        <v>642</v>
      </c>
      <c r="AV15">
        <v>2025</v>
      </c>
      <c r="AW15">
        <v>22</v>
      </c>
      <c r="AX15">
        <v>5</v>
      </c>
      <c r="AY15">
        <v>27</v>
      </c>
      <c r="AZ15">
        <v>147</v>
      </c>
      <c r="BA15" t="s">
        <v>869</v>
      </c>
      <c r="BB15" t="s">
        <v>944</v>
      </c>
      <c r="BI15" t="s">
        <v>764</v>
      </c>
      <c r="BJ15" t="s">
        <v>764</v>
      </c>
    </row>
    <row r="16" spans="1:62" x14ac:dyDescent="0.25">
      <c r="A16" t="s">
        <v>1015</v>
      </c>
      <c r="B16" s="1">
        <v>45809</v>
      </c>
      <c r="C16" s="93">
        <v>0.5</v>
      </c>
      <c r="D16" s="1"/>
      <c r="E16" s="14"/>
      <c r="F16" s="1">
        <v>45812</v>
      </c>
      <c r="G16" s="14">
        <v>0.3739351851851852</v>
      </c>
      <c r="H16" t="s">
        <v>613</v>
      </c>
      <c r="I16" t="s">
        <v>1016</v>
      </c>
      <c r="J16" t="s">
        <v>69</v>
      </c>
      <c r="K16" t="s">
        <v>1017</v>
      </c>
      <c r="L16" t="s">
        <v>115</v>
      </c>
      <c r="M16">
        <v>7</v>
      </c>
      <c r="N16" t="s">
        <v>1018</v>
      </c>
      <c r="Y16" t="s">
        <v>614</v>
      </c>
      <c r="Z16" t="s">
        <v>65</v>
      </c>
      <c r="AA16" t="s">
        <v>141</v>
      </c>
      <c r="AB16" t="s">
        <v>301</v>
      </c>
      <c r="AC16" t="s">
        <v>141</v>
      </c>
      <c r="AD16" t="s">
        <v>69</v>
      </c>
      <c r="AE16" t="s">
        <v>1019</v>
      </c>
      <c r="AF16">
        <v>9</v>
      </c>
      <c r="AG16" s="1">
        <v>45809</v>
      </c>
      <c r="AH16" s="14">
        <v>0.5</v>
      </c>
      <c r="AI16" s="14">
        <v>0.5</v>
      </c>
      <c r="AJ16" t="s">
        <v>761</v>
      </c>
      <c r="AK16" t="s">
        <v>829</v>
      </c>
      <c r="AL16" t="s">
        <v>1020</v>
      </c>
      <c r="AM16" t="s">
        <v>519</v>
      </c>
      <c r="AN16" t="s">
        <v>1020</v>
      </c>
      <c r="AO16" s="14">
        <v>0.5</v>
      </c>
      <c r="AP16" s="1">
        <v>45809</v>
      </c>
      <c r="AQ16" s="14">
        <v>0.5</v>
      </c>
      <c r="AR16" s="2"/>
      <c r="AS16" t="s">
        <v>761</v>
      </c>
      <c r="AT16" t="s">
        <v>640</v>
      </c>
      <c r="AU16" t="s">
        <v>641</v>
      </c>
      <c r="AV16">
        <v>2025</v>
      </c>
      <c r="AW16">
        <v>23</v>
      </c>
      <c r="AX16">
        <v>1</v>
      </c>
      <c r="AY16">
        <v>1</v>
      </c>
      <c r="AZ16">
        <v>152</v>
      </c>
      <c r="BA16" t="s">
        <v>829</v>
      </c>
      <c r="BB16" t="s">
        <v>1017</v>
      </c>
      <c r="BI16" t="s">
        <v>761</v>
      </c>
      <c r="BJ16" t="s">
        <v>761</v>
      </c>
    </row>
  </sheetData>
  <phoneticPr fontId="10" type="noConversion"/>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1F6918-E99C-4469-B895-3FA46C4F9DB7}">
  <sheetPr>
    <tabColor rgb="FFFFC000"/>
  </sheetPr>
  <dimension ref="A1:C18"/>
  <sheetViews>
    <sheetView workbookViewId="0"/>
  </sheetViews>
  <sheetFormatPr defaultRowHeight="15" x14ac:dyDescent="0.25"/>
  <sheetData>
    <row r="1" spans="1:3" x14ac:dyDescent="0.25">
      <c r="A1" s="84"/>
      <c r="B1" s="85"/>
      <c r="C1" s="86"/>
    </row>
    <row r="2" spans="1:3" x14ac:dyDescent="0.25">
      <c r="A2" s="87"/>
      <c r="B2" s="88"/>
      <c r="C2" s="89"/>
    </row>
    <row r="3" spans="1:3" x14ac:dyDescent="0.25">
      <c r="A3" s="87"/>
      <c r="B3" s="88"/>
      <c r="C3" s="89"/>
    </row>
    <row r="4" spans="1:3" x14ac:dyDescent="0.25">
      <c r="A4" s="87"/>
      <c r="B4" s="88"/>
      <c r="C4" s="89"/>
    </row>
    <row r="5" spans="1:3" x14ac:dyDescent="0.25">
      <c r="A5" s="87"/>
      <c r="B5" s="88"/>
      <c r="C5" s="89"/>
    </row>
    <row r="6" spans="1:3" x14ac:dyDescent="0.25">
      <c r="A6" s="87"/>
      <c r="B6" s="88"/>
      <c r="C6" s="89"/>
    </row>
    <row r="7" spans="1:3" x14ac:dyDescent="0.25">
      <c r="A7" s="87"/>
      <c r="B7" s="88"/>
      <c r="C7" s="89"/>
    </row>
    <row r="8" spans="1:3" x14ac:dyDescent="0.25">
      <c r="A8" s="87"/>
      <c r="B8" s="88"/>
      <c r="C8" s="89"/>
    </row>
    <row r="9" spans="1:3" x14ac:dyDescent="0.25">
      <c r="A9" s="87"/>
      <c r="B9" s="88"/>
      <c r="C9" s="89"/>
    </row>
    <row r="10" spans="1:3" x14ac:dyDescent="0.25">
      <c r="A10" s="87"/>
      <c r="B10" s="88"/>
      <c r="C10" s="89"/>
    </row>
    <row r="11" spans="1:3" x14ac:dyDescent="0.25">
      <c r="A11" s="87"/>
      <c r="B11" s="88"/>
      <c r="C11" s="89"/>
    </row>
    <row r="12" spans="1:3" x14ac:dyDescent="0.25">
      <c r="A12" s="87"/>
      <c r="B12" s="88"/>
      <c r="C12" s="89"/>
    </row>
    <row r="13" spans="1:3" x14ac:dyDescent="0.25">
      <c r="A13" s="87"/>
      <c r="B13" s="88"/>
      <c r="C13" s="89"/>
    </row>
    <row r="14" spans="1:3" x14ac:dyDescent="0.25">
      <c r="A14" s="87"/>
      <c r="B14" s="88"/>
      <c r="C14" s="89"/>
    </row>
    <row r="15" spans="1:3" x14ac:dyDescent="0.25">
      <c r="A15" s="87"/>
      <c r="B15" s="88"/>
      <c r="C15" s="89"/>
    </row>
    <row r="16" spans="1:3" x14ac:dyDescent="0.25">
      <c r="A16" s="87"/>
      <c r="B16" s="88"/>
      <c r="C16" s="89"/>
    </row>
    <row r="17" spans="1:3" x14ac:dyDescent="0.25">
      <c r="A17" s="87"/>
      <c r="B17" s="88"/>
      <c r="C17" s="89"/>
    </row>
    <row r="18" spans="1:3" x14ac:dyDescent="0.25">
      <c r="A18" s="90"/>
      <c r="B18" s="91"/>
      <c r="C18" s="92"/>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54C4-B4D6-43E8-9C4B-A8EBC0903D63}">
  <sheetPr codeName="Sheet38">
    <tabColor rgb="FFFFC000"/>
  </sheetPr>
  <dimension ref="A1:BJ17"/>
  <sheetViews>
    <sheetView workbookViewId="0">
      <selection activeCell="D12" sqref="D12"/>
    </sheetView>
  </sheetViews>
  <sheetFormatPr defaultRowHeight="15" x14ac:dyDescent="0.25"/>
  <cols>
    <col min="1" max="1" width="15.140625" bestFit="1" customWidth="1"/>
    <col min="2" max="2" width="14.7109375" style="1"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18.85546875" bestFit="1" customWidth="1"/>
    <col min="9" max="9" width="34.85546875" bestFit="1" customWidth="1"/>
    <col min="10" max="10" width="18.85546875" bestFit="1" customWidth="1"/>
    <col min="11" max="11" width="70.57031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28515625" bestFit="1" customWidth="1"/>
    <col min="19" max="19" width="10.140625" bestFit="1" customWidth="1"/>
    <col min="20" max="20" width="13" bestFit="1" customWidth="1"/>
    <col min="21" max="21" width="15.5703125" bestFit="1" customWidth="1"/>
    <col min="22" max="22" width="13" bestFit="1" customWidth="1"/>
    <col min="23" max="23" width="9.7109375" bestFit="1" customWidth="1"/>
    <col min="24" max="24" width="10.140625" bestFit="1" customWidth="1"/>
    <col min="25" max="25" width="14.7109375" bestFit="1" customWidth="1"/>
    <col min="26" max="26" width="15.7109375" bestFit="1" customWidth="1"/>
    <col min="27" max="27" width="28" bestFit="1" customWidth="1"/>
    <col min="28" max="28" width="8.7109375" bestFit="1" customWidth="1"/>
    <col min="29" max="29" width="24.7109375" bestFit="1" customWidth="1"/>
    <col min="30" max="30" width="29.140625" bestFit="1" customWidth="1"/>
    <col min="31" max="31" width="20"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48.5703125" bestFit="1" customWidth="1"/>
    <col min="38" max="38" width="66.5703125" bestFit="1" customWidth="1"/>
    <col min="39" max="39" width="9.140625" bestFit="1" customWidth="1"/>
    <col min="40" max="40" width="66.5703125" bestFit="1" customWidth="1"/>
    <col min="41" max="41" width="11.85546875" bestFit="1" customWidth="1"/>
    <col min="42" max="42" width="12" bestFit="1" customWidth="1"/>
    <col min="43" max="43" width="14.42578125" bestFit="1" customWidth="1"/>
    <col min="44" max="44" width="22.7109375" bestFit="1" customWidth="1"/>
    <col min="45" max="45" width="25.7109375" bestFit="1" customWidth="1"/>
    <col min="46" max="46" width="12.28515625" bestFit="1" customWidth="1"/>
    <col min="47" max="47" width="15" bestFit="1" customWidth="1"/>
    <col min="48" max="48" width="7.28515625" bestFit="1" customWidth="1"/>
    <col min="49" max="49" width="15.42578125" bestFit="1" customWidth="1"/>
    <col min="50" max="50" width="17.42578125" bestFit="1" customWidth="1"/>
    <col min="51" max="51" width="6.5703125" bestFit="1" customWidth="1"/>
    <col min="52" max="52" width="13.28515625" bestFit="1" customWidth="1"/>
    <col min="53" max="53" width="48.5703125" bestFit="1" customWidth="1"/>
    <col min="54" max="54" width="70.5703125" bestFit="1" customWidth="1"/>
    <col min="55" max="55" width="6" bestFit="1" customWidth="1"/>
    <col min="56" max="56" width="8.5703125" bestFit="1" customWidth="1"/>
    <col min="57" max="57" width="14.85546875" bestFit="1" customWidth="1"/>
    <col min="58" max="58" width="10.140625" bestFit="1" customWidth="1"/>
    <col min="59" max="59" width="26.42578125" bestFit="1" customWidth="1"/>
    <col min="60" max="60" width="16.5703125" bestFit="1" customWidth="1"/>
    <col min="61" max="62" width="25.7109375" customWidth="1"/>
    <col min="63" max="63" width="25.7109375" bestFit="1" customWidth="1"/>
    <col min="64" max="64" width="12" bestFit="1" customWidth="1"/>
    <col min="65" max="65" width="25.7109375" bestFit="1" customWidth="1"/>
    <col min="66" max="66" width="66.5703125" bestFit="1" customWidth="1"/>
  </cols>
  <sheetData>
    <row r="1" spans="1:62" x14ac:dyDescent="0.25">
      <c r="A1" t="s">
        <v>0</v>
      </c>
      <c r="B1" s="1" t="s">
        <v>643</v>
      </c>
      <c r="C1" t="s">
        <v>36</v>
      </c>
      <c r="D1" t="s">
        <v>37</v>
      </c>
      <c r="E1" t="s">
        <v>38</v>
      </c>
      <c r="F1" t="s">
        <v>39</v>
      </c>
      <c r="G1" t="s">
        <v>40</v>
      </c>
      <c r="H1" t="s">
        <v>9</v>
      </c>
      <c r="I1" t="s">
        <v>11</v>
      </c>
      <c r="J1" t="s">
        <v>12</v>
      </c>
      <c r="K1" t="s">
        <v>13</v>
      </c>
      <c r="L1" t="s">
        <v>14</v>
      </c>
      <c r="M1" t="s">
        <v>15</v>
      </c>
      <c r="N1" t="s">
        <v>16</v>
      </c>
      <c r="O1" t="s">
        <v>17</v>
      </c>
      <c r="P1" t="s">
        <v>18</v>
      </c>
      <c r="Q1" t="s">
        <v>19</v>
      </c>
      <c r="R1" t="s">
        <v>20</v>
      </c>
      <c r="S1" t="s">
        <v>21</v>
      </c>
      <c r="T1" t="s">
        <v>22</v>
      </c>
      <c r="U1" t="s">
        <v>23</v>
      </c>
      <c r="V1" t="s">
        <v>24</v>
      </c>
      <c r="W1" t="s">
        <v>25</v>
      </c>
      <c r="X1" t="s">
        <v>26</v>
      </c>
      <c r="Y1" t="s">
        <v>27</v>
      </c>
      <c r="Z1" t="s">
        <v>28</v>
      </c>
      <c r="AA1" t="s">
        <v>29</v>
      </c>
      <c r="AB1" t="s">
        <v>30</v>
      </c>
      <c r="AC1" t="s">
        <v>31</v>
      </c>
      <c r="AD1" t="s">
        <v>32</v>
      </c>
      <c r="AE1" t="s">
        <v>644</v>
      </c>
      <c r="AF1" t="s">
        <v>34</v>
      </c>
      <c r="AG1" t="s">
        <v>35</v>
      </c>
      <c r="AH1" t="s">
        <v>647</v>
      </c>
      <c r="AI1" t="s">
        <v>648</v>
      </c>
      <c r="AJ1" t="s">
        <v>649</v>
      </c>
      <c r="AK1" t="s">
        <v>592</v>
      </c>
      <c r="AL1" t="s">
        <v>973</v>
      </c>
      <c r="AM1" t="s">
        <v>845</v>
      </c>
      <c r="AN1" t="s">
        <v>10</v>
      </c>
      <c r="AO1" t="s">
        <v>4</v>
      </c>
      <c r="AP1" t="s">
        <v>1</v>
      </c>
      <c r="AQ1" t="s">
        <v>3</v>
      </c>
      <c r="AR1" t="s">
        <v>46</v>
      </c>
      <c r="AS1" t="s">
        <v>2</v>
      </c>
      <c r="AT1" t="s">
        <v>5</v>
      </c>
      <c r="AU1" t="s">
        <v>6</v>
      </c>
      <c r="AV1" t="s">
        <v>41</v>
      </c>
      <c r="AW1" t="s">
        <v>42</v>
      </c>
      <c r="AX1" t="s">
        <v>43</v>
      </c>
      <c r="AY1" t="s">
        <v>44</v>
      </c>
      <c r="AZ1" t="s">
        <v>45</v>
      </c>
      <c r="BA1" t="s">
        <v>972</v>
      </c>
      <c r="BB1" t="s">
        <v>8</v>
      </c>
      <c r="BC1" t="s">
        <v>47</v>
      </c>
      <c r="BD1" t="s">
        <v>329</v>
      </c>
      <c r="BE1" t="s">
        <v>48</v>
      </c>
      <c r="BF1" t="s">
        <v>49</v>
      </c>
      <c r="BG1" t="s">
        <v>50</v>
      </c>
      <c r="BH1" t="s">
        <v>51</v>
      </c>
      <c r="BI1" t="s">
        <v>52</v>
      </c>
      <c r="BJ1" t="s">
        <v>783</v>
      </c>
    </row>
    <row r="2" spans="1:62" x14ac:dyDescent="0.25">
      <c r="A2" t="s">
        <v>257</v>
      </c>
      <c r="B2" s="1">
        <v>45670</v>
      </c>
      <c r="C2" s="2">
        <v>0.50347222222222232</v>
      </c>
      <c r="D2" s="1"/>
      <c r="E2" s="14"/>
      <c r="F2" s="1">
        <v>45670</v>
      </c>
      <c r="G2" s="14">
        <v>0.50537037037037036</v>
      </c>
      <c r="H2" t="s">
        <v>258</v>
      </c>
      <c r="I2" t="s">
        <v>602</v>
      </c>
      <c r="J2" t="s">
        <v>603</v>
      </c>
      <c r="K2" t="s">
        <v>259</v>
      </c>
      <c r="L2" t="s">
        <v>74</v>
      </c>
      <c r="M2">
        <v>8</v>
      </c>
      <c r="N2" t="s">
        <v>260</v>
      </c>
      <c r="Y2" t="s">
        <v>597</v>
      </c>
      <c r="Z2" t="s">
        <v>65</v>
      </c>
      <c r="AA2" t="s">
        <v>261</v>
      </c>
      <c r="AB2" t="s">
        <v>262</v>
      </c>
      <c r="AC2" t="s">
        <v>263</v>
      </c>
      <c r="AD2" t="s">
        <v>107</v>
      </c>
      <c r="AE2" t="s">
        <v>264</v>
      </c>
      <c r="AF2">
        <v>9</v>
      </c>
      <c r="AG2" s="1">
        <v>45670</v>
      </c>
      <c r="AH2" s="14">
        <v>0.50347222222222221</v>
      </c>
      <c r="AI2" s="14">
        <v>0.5</v>
      </c>
      <c r="AJ2" t="s">
        <v>761</v>
      </c>
      <c r="AK2" t="s">
        <v>830</v>
      </c>
      <c r="AL2" t="s">
        <v>769</v>
      </c>
      <c r="AM2" t="s">
        <v>326</v>
      </c>
      <c r="AN2" t="s">
        <v>769</v>
      </c>
      <c r="AO2" s="14">
        <v>0.50347222222222221</v>
      </c>
      <c r="AP2" s="1">
        <v>45670</v>
      </c>
      <c r="AQ2" s="14">
        <v>0.5</v>
      </c>
      <c r="AR2" s="2"/>
      <c r="AS2" t="s">
        <v>761</v>
      </c>
      <c r="AT2" t="s">
        <v>636</v>
      </c>
      <c r="AU2" t="s">
        <v>55</v>
      </c>
      <c r="AV2">
        <v>2025</v>
      </c>
      <c r="AW2">
        <v>3</v>
      </c>
      <c r="AX2">
        <v>3</v>
      </c>
      <c r="AY2">
        <v>13</v>
      </c>
      <c r="AZ2">
        <v>13</v>
      </c>
      <c r="BA2" t="s">
        <v>830</v>
      </c>
      <c r="BB2" t="s">
        <v>259</v>
      </c>
      <c r="BI2" t="s">
        <v>761</v>
      </c>
      <c r="BJ2" t="s">
        <v>761</v>
      </c>
    </row>
    <row r="3" spans="1:62" x14ac:dyDescent="0.25">
      <c r="A3" t="s">
        <v>265</v>
      </c>
      <c r="B3" s="1">
        <v>45671</v>
      </c>
      <c r="C3" s="2">
        <v>0.64067129629629638</v>
      </c>
      <c r="D3" s="1"/>
      <c r="E3" s="14"/>
      <c r="F3" s="1">
        <v>45671</v>
      </c>
      <c r="G3" s="14">
        <v>0.64067129629629627</v>
      </c>
      <c r="H3" t="s">
        <v>603</v>
      </c>
      <c r="I3" t="s">
        <v>604</v>
      </c>
      <c r="J3" t="s">
        <v>267</v>
      </c>
      <c r="K3" t="s">
        <v>268</v>
      </c>
      <c r="L3" t="s">
        <v>269</v>
      </c>
      <c r="M3">
        <v>9</v>
      </c>
      <c r="N3" t="s">
        <v>270</v>
      </c>
      <c r="Q3" t="s">
        <v>605</v>
      </c>
      <c r="R3" t="s">
        <v>606</v>
      </c>
      <c r="S3" t="s">
        <v>273</v>
      </c>
      <c r="T3" t="s">
        <v>63</v>
      </c>
      <c r="Y3" t="s">
        <v>607</v>
      </c>
      <c r="Z3" t="s">
        <v>65</v>
      </c>
      <c r="AA3" t="s">
        <v>179</v>
      </c>
      <c r="AB3" t="s">
        <v>274</v>
      </c>
      <c r="AC3" t="s">
        <v>141</v>
      </c>
      <c r="AD3" t="s">
        <v>107</v>
      </c>
      <c r="AE3" t="s">
        <v>264</v>
      </c>
      <c r="AF3">
        <v>9</v>
      </c>
      <c r="AG3" s="1">
        <v>45671</v>
      </c>
      <c r="AH3" s="14">
        <v>0.64067129629629627</v>
      </c>
      <c r="AI3" s="14">
        <v>0.625</v>
      </c>
      <c r="AJ3" t="s">
        <v>761</v>
      </c>
      <c r="AK3" t="s">
        <v>831</v>
      </c>
      <c r="AL3" t="s">
        <v>770</v>
      </c>
      <c r="AM3" t="s">
        <v>326</v>
      </c>
      <c r="AN3" t="s">
        <v>770</v>
      </c>
      <c r="AO3" s="14">
        <v>0.64067129629629627</v>
      </c>
      <c r="AP3" s="1">
        <v>45671</v>
      </c>
      <c r="AQ3" s="14">
        <v>0.625</v>
      </c>
      <c r="AR3" s="2"/>
      <c r="AS3" t="s">
        <v>761</v>
      </c>
      <c r="AT3" t="s">
        <v>635</v>
      </c>
      <c r="AU3" t="s">
        <v>55</v>
      </c>
      <c r="AV3">
        <v>2025</v>
      </c>
      <c r="AW3">
        <v>3</v>
      </c>
      <c r="AX3">
        <v>3</v>
      </c>
      <c r="AY3">
        <v>14</v>
      </c>
      <c r="AZ3">
        <v>14</v>
      </c>
      <c r="BA3" t="s">
        <v>831</v>
      </c>
      <c r="BB3" t="s">
        <v>268</v>
      </c>
      <c r="BE3" t="s">
        <v>832</v>
      </c>
      <c r="BI3" t="s">
        <v>761</v>
      </c>
      <c r="BJ3" t="s">
        <v>761</v>
      </c>
    </row>
    <row r="4" spans="1:62" x14ac:dyDescent="0.25">
      <c r="A4" t="s">
        <v>275</v>
      </c>
      <c r="B4" s="1">
        <v>45673</v>
      </c>
      <c r="C4" s="2">
        <v>0.87708333333333344</v>
      </c>
      <c r="D4" s="1">
        <v>45673</v>
      </c>
      <c r="E4" s="14">
        <v>0.88611111111111107</v>
      </c>
      <c r="F4" s="1">
        <v>45674</v>
      </c>
      <c r="G4" s="14">
        <v>0.51179398148148147</v>
      </c>
      <c r="H4" t="s">
        <v>603</v>
      </c>
      <c r="K4" t="s">
        <v>276</v>
      </c>
      <c r="L4" t="s">
        <v>159</v>
      </c>
      <c r="M4">
        <v>9</v>
      </c>
      <c r="N4" t="s">
        <v>277</v>
      </c>
      <c r="R4" t="s">
        <v>609</v>
      </c>
      <c r="S4" t="s">
        <v>610</v>
      </c>
      <c r="Y4" t="s">
        <v>601</v>
      </c>
      <c r="Z4" t="s">
        <v>65</v>
      </c>
      <c r="AA4" t="s">
        <v>79</v>
      </c>
      <c r="AB4" t="s">
        <v>80</v>
      </c>
      <c r="AC4" t="s">
        <v>280</v>
      </c>
      <c r="AD4" t="s">
        <v>311</v>
      </c>
      <c r="AE4" t="s">
        <v>264</v>
      </c>
      <c r="AF4">
        <v>9</v>
      </c>
      <c r="AG4" s="1">
        <v>45673</v>
      </c>
      <c r="AH4" s="14">
        <v>0.87708333333333333</v>
      </c>
      <c r="AI4" s="14">
        <v>0.875</v>
      </c>
      <c r="AJ4" t="s">
        <v>764</v>
      </c>
      <c r="AK4" t="s">
        <v>833</v>
      </c>
      <c r="AL4" t="s">
        <v>603</v>
      </c>
      <c r="AM4" t="s">
        <v>326</v>
      </c>
      <c r="AN4" t="s">
        <v>603</v>
      </c>
      <c r="AO4" s="14">
        <v>0.87708333333333333</v>
      </c>
      <c r="AP4" s="1">
        <v>45673</v>
      </c>
      <c r="AQ4" s="14">
        <v>0.875</v>
      </c>
      <c r="AR4" s="2"/>
      <c r="AS4" t="s">
        <v>764</v>
      </c>
      <c r="AT4" t="s">
        <v>638</v>
      </c>
      <c r="AU4" t="s">
        <v>55</v>
      </c>
      <c r="AV4">
        <v>2025</v>
      </c>
      <c r="AW4">
        <v>3</v>
      </c>
      <c r="AX4">
        <v>3</v>
      </c>
      <c r="AY4">
        <v>16</v>
      </c>
      <c r="AZ4">
        <v>16</v>
      </c>
      <c r="BA4" t="s">
        <v>833</v>
      </c>
      <c r="BB4" t="s">
        <v>276</v>
      </c>
      <c r="BE4" t="s">
        <v>834</v>
      </c>
      <c r="BI4" t="s">
        <v>764</v>
      </c>
      <c r="BJ4" t="s">
        <v>764</v>
      </c>
    </row>
    <row r="5" spans="1:62" x14ac:dyDescent="0.25">
      <c r="A5" t="s">
        <v>281</v>
      </c>
      <c r="B5" s="1">
        <v>45690</v>
      </c>
      <c r="C5" s="2">
        <v>0.72569444444444442</v>
      </c>
      <c r="D5" s="1">
        <v>45690</v>
      </c>
      <c r="E5" s="14">
        <v>0.75</v>
      </c>
      <c r="F5" s="1">
        <v>45691</v>
      </c>
      <c r="G5" s="14">
        <v>0.50143518518518515</v>
      </c>
      <c r="H5" t="s">
        <v>157</v>
      </c>
      <c r="I5" t="s">
        <v>603</v>
      </c>
      <c r="K5" t="s">
        <v>282</v>
      </c>
      <c r="L5" t="s">
        <v>126</v>
      </c>
      <c r="M5">
        <v>5</v>
      </c>
      <c r="N5" t="s">
        <v>283</v>
      </c>
      <c r="Y5" t="s">
        <v>601</v>
      </c>
      <c r="Z5" t="s">
        <v>65</v>
      </c>
      <c r="AA5" t="s">
        <v>92</v>
      </c>
      <c r="AB5" t="s">
        <v>67</v>
      </c>
      <c r="AC5" t="s">
        <v>161</v>
      </c>
      <c r="AD5" t="s">
        <v>82</v>
      </c>
      <c r="AF5">
        <v>9</v>
      </c>
      <c r="AG5" s="1">
        <v>45690</v>
      </c>
      <c r="AH5" s="14">
        <v>0.72569444444444442</v>
      </c>
      <c r="AI5" s="14">
        <v>0.70833333333333337</v>
      </c>
      <c r="AJ5" t="s">
        <v>765</v>
      </c>
      <c r="AK5" t="s">
        <v>799</v>
      </c>
      <c r="AL5" t="s">
        <v>771</v>
      </c>
      <c r="AM5" t="s">
        <v>326</v>
      </c>
      <c r="AN5" t="s">
        <v>771</v>
      </c>
      <c r="AO5" s="14">
        <v>0.72569444444444442</v>
      </c>
      <c r="AP5" s="1">
        <v>45690</v>
      </c>
      <c r="AQ5" s="14">
        <v>0.70833333333333337</v>
      </c>
      <c r="AR5" s="2"/>
      <c r="AS5" t="s">
        <v>765</v>
      </c>
      <c r="AT5" t="s">
        <v>640</v>
      </c>
      <c r="AU5" t="s">
        <v>96</v>
      </c>
      <c r="AV5">
        <v>2025</v>
      </c>
      <c r="AW5">
        <v>6</v>
      </c>
      <c r="AX5">
        <v>2</v>
      </c>
      <c r="AY5">
        <v>2</v>
      </c>
      <c r="AZ5">
        <v>33</v>
      </c>
      <c r="BA5" t="s">
        <v>799</v>
      </c>
      <c r="BB5" t="s">
        <v>282</v>
      </c>
      <c r="BI5" t="s">
        <v>765</v>
      </c>
      <c r="BJ5" t="s">
        <v>765</v>
      </c>
    </row>
    <row r="6" spans="1:62" x14ac:dyDescent="0.25">
      <c r="A6" t="s">
        <v>284</v>
      </c>
      <c r="C6" s="2"/>
      <c r="D6" s="1"/>
      <c r="E6" s="14"/>
      <c r="F6" s="1">
        <v>45691</v>
      </c>
      <c r="G6" s="14">
        <v>0.694849537037037</v>
      </c>
      <c r="H6" t="s">
        <v>603</v>
      </c>
      <c r="K6" t="s">
        <v>285</v>
      </c>
      <c r="L6" t="s">
        <v>269</v>
      </c>
      <c r="M6">
        <v>9</v>
      </c>
      <c r="N6" t="s">
        <v>286</v>
      </c>
      <c r="Y6" t="s">
        <v>615</v>
      </c>
      <c r="Z6" t="s">
        <v>65</v>
      </c>
      <c r="AA6" t="s">
        <v>117</v>
      </c>
      <c r="AB6" t="s">
        <v>67</v>
      </c>
      <c r="AC6" t="s">
        <v>93</v>
      </c>
      <c r="AD6" t="s">
        <v>69</v>
      </c>
      <c r="AE6" t="s">
        <v>264</v>
      </c>
      <c r="AF6">
        <v>9</v>
      </c>
      <c r="AG6" s="1">
        <v>45691</v>
      </c>
      <c r="AH6" s="14">
        <v>0.694849537037037</v>
      </c>
      <c r="AI6" s="14">
        <v>0.66666666666666663</v>
      </c>
      <c r="AJ6" t="s">
        <v>765</v>
      </c>
      <c r="AK6" t="s">
        <v>831</v>
      </c>
      <c r="AL6" t="s">
        <v>603</v>
      </c>
      <c r="AM6" t="s">
        <v>326</v>
      </c>
      <c r="AN6" t="s">
        <v>603</v>
      </c>
      <c r="AO6" s="14">
        <v>0.694849537037037</v>
      </c>
      <c r="AP6" s="1">
        <v>45691</v>
      </c>
      <c r="AQ6" s="14">
        <v>0.66666666666666663</v>
      </c>
      <c r="AR6" s="2"/>
      <c r="AS6" t="s">
        <v>765</v>
      </c>
      <c r="AT6" t="s">
        <v>636</v>
      </c>
      <c r="AU6" t="s">
        <v>96</v>
      </c>
      <c r="AV6">
        <v>2025</v>
      </c>
      <c r="AW6">
        <v>6</v>
      </c>
      <c r="AX6">
        <v>2</v>
      </c>
      <c r="AY6">
        <v>3</v>
      </c>
      <c r="AZ6">
        <v>34</v>
      </c>
      <c r="BA6" t="s">
        <v>831</v>
      </c>
      <c r="BB6" t="s">
        <v>285</v>
      </c>
      <c r="BI6" t="s">
        <v>765</v>
      </c>
      <c r="BJ6" t="s">
        <v>765</v>
      </c>
    </row>
    <row r="7" spans="1:62" x14ac:dyDescent="0.25">
      <c r="A7" t="s">
        <v>313</v>
      </c>
      <c r="B7" s="1">
        <v>45701</v>
      </c>
      <c r="C7" s="2">
        <v>8.3333333333333259E-2</v>
      </c>
      <c r="D7" s="1"/>
      <c r="E7" s="14"/>
      <c r="F7" s="1">
        <v>45701</v>
      </c>
      <c r="G7" s="14">
        <v>0.51225694444444447</v>
      </c>
      <c r="H7" t="s">
        <v>315</v>
      </c>
      <c r="I7" t="s">
        <v>631</v>
      </c>
      <c r="J7" t="s">
        <v>603</v>
      </c>
      <c r="K7" t="s">
        <v>316</v>
      </c>
      <c r="L7" t="s">
        <v>165</v>
      </c>
      <c r="M7">
        <v>9</v>
      </c>
      <c r="N7" t="s">
        <v>317</v>
      </c>
      <c r="Y7" t="s">
        <v>632</v>
      </c>
      <c r="Z7" t="s">
        <v>65</v>
      </c>
      <c r="AA7" t="s">
        <v>104</v>
      </c>
      <c r="AB7" t="s">
        <v>105</v>
      </c>
      <c r="AC7" t="s">
        <v>280</v>
      </c>
      <c r="AD7" t="s">
        <v>319</v>
      </c>
      <c r="AF7">
        <v>9</v>
      </c>
      <c r="AG7" s="1">
        <v>45701</v>
      </c>
      <c r="AH7" s="14">
        <v>8.3333333333333329E-2</v>
      </c>
      <c r="AI7" s="14">
        <v>8.3333333333333329E-2</v>
      </c>
      <c r="AJ7" t="s">
        <v>763</v>
      </c>
      <c r="AK7" t="s">
        <v>314</v>
      </c>
      <c r="AL7" t="s">
        <v>772</v>
      </c>
      <c r="AM7" t="s">
        <v>326</v>
      </c>
      <c r="AN7" t="s">
        <v>772</v>
      </c>
      <c r="AO7" s="14">
        <v>8.3333333333333329E-2</v>
      </c>
      <c r="AP7" s="1">
        <v>45701</v>
      </c>
      <c r="AQ7" s="14">
        <v>8.3333333333333329E-2</v>
      </c>
      <c r="AR7" s="2"/>
      <c r="AS7" t="s">
        <v>763</v>
      </c>
      <c r="AT7" t="s">
        <v>638</v>
      </c>
      <c r="AU7" t="s">
        <v>96</v>
      </c>
      <c r="AV7">
        <v>2025</v>
      </c>
      <c r="AW7">
        <v>7</v>
      </c>
      <c r="AX7">
        <v>3</v>
      </c>
      <c r="AY7">
        <v>13</v>
      </c>
      <c r="AZ7">
        <v>44</v>
      </c>
      <c r="BA7" t="s">
        <v>314</v>
      </c>
      <c r="BB7" t="s">
        <v>316</v>
      </c>
      <c r="BI7" t="s">
        <v>763</v>
      </c>
      <c r="BJ7" t="s">
        <v>763</v>
      </c>
    </row>
    <row r="8" spans="1:62" x14ac:dyDescent="0.25">
      <c r="A8" t="s">
        <v>350</v>
      </c>
      <c r="B8" s="1">
        <v>45720</v>
      </c>
      <c r="C8" s="2">
        <v>0.64097222222222228</v>
      </c>
      <c r="D8" s="1"/>
      <c r="E8" s="14"/>
      <c r="F8" s="1">
        <v>45720</v>
      </c>
      <c r="G8" s="14">
        <v>0.64444444444444449</v>
      </c>
      <c r="H8" t="s">
        <v>603</v>
      </c>
      <c r="I8" t="s">
        <v>666</v>
      </c>
      <c r="J8" t="s">
        <v>258</v>
      </c>
      <c r="K8" t="s">
        <v>351</v>
      </c>
      <c r="L8" t="s">
        <v>74</v>
      </c>
      <c r="M8">
        <v>8</v>
      </c>
      <c r="N8" t="s">
        <v>352</v>
      </c>
      <c r="Q8" t="s">
        <v>353</v>
      </c>
      <c r="R8" t="s">
        <v>354</v>
      </c>
      <c r="S8" t="s">
        <v>355</v>
      </c>
      <c r="T8" t="s">
        <v>63</v>
      </c>
      <c r="Y8" t="s">
        <v>667</v>
      </c>
      <c r="Z8" t="s">
        <v>65</v>
      </c>
      <c r="AA8" t="s">
        <v>356</v>
      </c>
      <c r="AB8" t="s">
        <v>140</v>
      </c>
      <c r="AC8" t="s">
        <v>280</v>
      </c>
      <c r="AD8" t="s">
        <v>168</v>
      </c>
      <c r="AE8" t="s">
        <v>264</v>
      </c>
      <c r="AF8">
        <v>9</v>
      </c>
      <c r="AG8" s="1">
        <v>45720</v>
      </c>
      <c r="AH8" s="14">
        <v>0.64097222222222228</v>
      </c>
      <c r="AI8" s="14">
        <v>0.625</v>
      </c>
      <c r="AJ8" t="s">
        <v>761</v>
      </c>
      <c r="AK8" t="s">
        <v>835</v>
      </c>
      <c r="AL8" t="s">
        <v>773</v>
      </c>
      <c r="AM8" t="s">
        <v>326</v>
      </c>
      <c r="AN8" t="s">
        <v>773</v>
      </c>
      <c r="AO8" s="14">
        <v>0.64097222222222228</v>
      </c>
      <c r="AP8" s="1">
        <v>45720</v>
      </c>
      <c r="AQ8" s="14">
        <v>0.625</v>
      </c>
      <c r="AR8" s="2"/>
      <c r="AS8" t="s">
        <v>761</v>
      </c>
      <c r="AT8" t="s">
        <v>635</v>
      </c>
      <c r="AU8" t="s">
        <v>331</v>
      </c>
      <c r="AV8">
        <v>2025</v>
      </c>
      <c r="AW8">
        <v>10</v>
      </c>
      <c r="AX8">
        <v>2</v>
      </c>
      <c r="AY8">
        <v>4</v>
      </c>
      <c r="AZ8">
        <v>63</v>
      </c>
      <c r="BA8" t="s">
        <v>835</v>
      </c>
      <c r="BB8" t="s">
        <v>351</v>
      </c>
      <c r="BE8" t="s">
        <v>836</v>
      </c>
      <c r="BI8" t="s">
        <v>761</v>
      </c>
      <c r="BJ8" t="s">
        <v>761</v>
      </c>
    </row>
    <row r="9" spans="1:62" x14ac:dyDescent="0.25">
      <c r="A9" t="s">
        <v>345</v>
      </c>
      <c r="B9" s="1">
        <v>45720</v>
      </c>
      <c r="C9" s="2">
        <v>0.79126157407407405</v>
      </c>
      <c r="D9" s="1"/>
      <c r="E9" s="14"/>
      <c r="F9" s="1">
        <v>45720</v>
      </c>
      <c r="G9" s="14">
        <v>0.79126157407407405</v>
      </c>
      <c r="H9" t="s">
        <v>603</v>
      </c>
      <c r="K9" t="s">
        <v>347</v>
      </c>
      <c r="L9" t="s">
        <v>206</v>
      </c>
      <c r="M9">
        <v>6</v>
      </c>
      <c r="N9" t="s">
        <v>348</v>
      </c>
      <c r="Y9" t="s">
        <v>667</v>
      </c>
      <c r="Z9" t="s">
        <v>65</v>
      </c>
      <c r="AA9" t="s">
        <v>349</v>
      </c>
      <c r="AB9" t="s">
        <v>171</v>
      </c>
      <c r="AC9" t="s">
        <v>68</v>
      </c>
      <c r="AD9" t="s">
        <v>168</v>
      </c>
      <c r="AE9" t="s">
        <v>264</v>
      </c>
      <c r="AF9">
        <v>9</v>
      </c>
      <c r="AG9" s="1">
        <v>45720</v>
      </c>
      <c r="AH9" s="14">
        <v>0.79126157407407405</v>
      </c>
      <c r="AI9" s="14">
        <v>0.75</v>
      </c>
      <c r="AJ9" t="s">
        <v>765</v>
      </c>
      <c r="AK9" t="s">
        <v>823</v>
      </c>
      <c r="AL9" t="s">
        <v>603</v>
      </c>
      <c r="AM9" t="s">
        <v>326</v>
      </c>
      <c r="AN9" t="s">
        <v>603</v>
      </c>
      <c r="AO9" s="14">
        <v>0.79126157407407405</v>
      </c>
      <c r="AP9" s="1">
        <v>45720</v>
      </c>
      <c r="AQ9" s="14">
        <v>0.75</v>
      </c>
      <c r="AR9" s="2"/>
      <c r="AS9" t="s">
        <v>765</v>
      </c>
      <c r="AT9" t="s">
        <v>635</v>
      </c>
      <c r="AU9" t="s">
        <v>331</v>
      </c>
      <c r="AV9">
        <v>2025</v>
      </c>
      <c r="AW9">
        <v>10</v>
      </c>
      <c r="AX9">
        <v>2</v>
      </c>
      <c r="AY9">
        <v>4</v>
      </c>
      <c r="AZ9">
        <v>63</v>
      </c>
      <c r="BA9" t="s">
        <v>823</v>
      </c>
      <c r="BB9" t="s">
        <v>347</v>
      </c>
      <c r="BI9" t="s">
        <v>765</v>
      </c>
      <c r="BJ9" t="s">
        <v>765</v>
      </c>
    </row>
    <row r="10" spans="1:62" x14ac:dyDescent="0.25">
      <c r="A10" t="s">
        <v>487</v>
      </c>
      <c r="B10" s="1">
        <v>45741</v>
      </c>
      <c r="C10" s="2">
        <v>0.48402777777777772</v>
      </c>
      <c r="D10" s="1"/>
      <c r="E10" s="14"/>
      <c r="F10" s="1">
        <v>45741</v>
      </c>
      <c r="G10" s="14">
        <v>0.50343749999999998</v>
      </c>
      <c r="H10" t="s">
        <v>603</v>
      </c>
      <c r="I10" t="s">
        <v>616</v>
      </c>
      <c r="J10" t="s">
        <v>488</v>
      </c>
      <c r="K10" t="s">
        <v>268</v>
      </c>
      <c r="L10" t="s">
        <v>269</v>
      </c>
      <c r="M10">
        <v>9</v>
      </c>
      <c r="N10" t="s">
        <v>489</v>
      </c>
      <c r="Q10" t="s">
        <v>490</v>
      </c>
      <c r="R10" t="s">
        <v>670</v>
      </c>
      <c r="S10" t="s">
        <v>491</v>
      </c>
      <c r="T10" t="s">
        <v>63</v>
      </c>
      <c r="Y10" t="s">
        <v>675</v>
      </c>
      <c r="Z10" t="s">
        <v>65</v>
      </c>
      <c r="AA10" t="s">
        <v>467</v>
      </c>
      <c r="AB10" t="s">
        <v>262</v>
      </c>
      <c r="AC10" t="s">
        <v>141</v>
      </c>
      <c r="AD10" t="s">
        <v>107</v>
      </c>
      <c r="AE10" t="s">
        <v>264</v>
      </c>
      <c r="AF10">
        <v>9</v>
      </c>
      <c r="AG10" s="1">
        <v>45741</v>
      </c>
      <c r="AH10" s="14">
        <v>0.48402777777777778</v>
      </c>
      <c r="AI10" s="14">
        <v>0.45833333333333331</v>
      </c>
      <c r="AJ10" t="s">
        <v>762</v>
      </c>
      <c r="AK10" t="s">
        <v>831</v>
      </c>
      <c r="AL10" t="s">
        <v>774</v>
      </c>
      <c r="AM10" t="s">
        <v>326</v>
      </c>
      <c r="AN10" t="s">
        <v>774</v>
      </c>
      <c r="AO10" s="14">
        <v>0.48402777777777778</v>
      </c>
      <c r="AP10" s="1">
        <v>45741</v>
      </c>
      <c r="AQ10" s="14">
        <v>0.45833333333333331</v>
      </c>
      <c r="AR10" s="2"/>
      <c r="AS10" t="s">
        <v>762</v>
      </c>
      <c r="AT10" t="s">
        <v>635</v>
      </c>
      <c r="AU10" t="s">
        <v>331</v>
      </c>
      <c r="AV10">
        <v>2025</v>
      </c>
      <c r="AW10">
        <v>13</v>
      </c>
      <c r="AX10">
        <v>5</v>
      </c>
      <c r="AY10">
        <v>25</v>
      </c>
      <c r="AZ10">
        <v>84</v>
      </c>
      <c r="BA10" t="s">
        <v>831</v>
      </c>
      <c r="BB10" t="s">
        <v>268</v>
      </c>
      <c r="BE10" t="s">
        <v>837</v>
      </c>
      <c r="BI10" t="s">
        <v>762</v>
      </c>
      <c r="BJ10" t="s">
        <v>762</v>
      </c>
    </row>
    <row r="11" spans="1:62" x14ac:dyDescent="0.25">
      <c r="A11" t="s">
        <v>655</v>
      </c>
      <c r="B11" s="1">
        <v>45765</v>
      </c>
      <c r="C11" s="2">
        <v>0.85416666666666674</v>
      </c>
      <c r="D11" s="1"/>
      <c r="E11" s="14"/>
      <c r="F11" s="1">
        <v>45765</v>
      </c>
      <c r="G11" s="14">
        <v>0.97768518518518521</v>
      </c>
      <c r="H11" t="s">
        <v>603</v>
      </c>
      <c r="I11" t="s">
        <v>700</v>
      </c>
      <c r="J11" t="s">
        <v>315</v>
      </c>
      <c r="K11" t="s">
        <v>656</v>
      </c>
      <c r="L11" t="s">
        <v>694</v>
      </c>
      <c r="M11">
        <v>7</v>
      </c>
      <c r="N11" t="s">
        <v>742</v>
      </c>
      <c r="Y11" t="s">
        <v>669</v>
      </c>
      <c r="Z11" t="s">
        <v>65</v>
      </c>
      <c r="AA11" t="s">
        <v>167</v>
      </c>
      <c r="AB11" t="s">
        <v>140</v>
      </c>
      <c r="AC11" t="s">
        <v>418</v>
      </c>
      <c r="AD11" t="s">
        <v>162</v>
      </c>
      <c r="AE11" t="s">
        <v>264</v>
      </c>
      <c r="AF11">
        <v>9</v>
      </c>
      <c r="AG11" s="1">
        <v>45765</v>
      </c>
      <c r="AH11" s="14">
        <v>0.85416666666666663</v>
      </c>
      <c r="AI11" s="14">
        <v>0.83333333333333337</v>
      </c>
      <c r="AJ11" t="s">
        <v>764</v>
      </c>
      <c r="AK11" t="s">
        <v>838</v>
      </c>
      <c r="AL11" t="s">
        <v>775</v>
      </c>
      <c r="AM11" t="s">
        <v>326</v>
      </c>
      <c r="AN11" t="s">
        <v>775</v>
      </c>
      <c r="AO11" s="14">
        <v>0.85416666666666663</v>
      </c>
      <c r="AP11" s="1">
        <v>45765</v>
      </c>
      <c r="AQ11" s="14">
        <v>0.83333333333333337</v>
      </c>
      <c r="AR11" s="2"/>
      <c r="AS11" t="s">
        <v>764</v>
      </c>
      <c r="AT11" t="s">
        <v>485</v>
      </c>
      <c r="AU11" t="s">
        <v>430</v>
      </c>
      <c r="AV11">
        <v>2025</v>
      </c>
      <c r="AW11">
        <v>16</v>
      </c>
      <c r="AX11">
        <v>3</v>
      </c>
      <c r="AY11">
        <v>18</v>
      </c>
      <c r="AZ11">
        <v>108</v>
      </c>
      <c r="BA11" t="s">
        <v>838</v>
      </c>
      <c r="BB11" t="s">
        <v>656</v>
      </c>
      <c r="BI11" t="s">
        <v>764</v>
      </c>
      <c r="BJ11" t="s">
        <v>764</v>
      </c>
    </row>
    <row r="12" spans="1:62" x14ac:dyDescent="0.25">
      <c r="A12" t="s">
        <v>712</v>
      </c>
      <c r="B12" s="1">
        <v>45774</v>
      </c>
      <c r="C12" s="2">
        <v>0.77083333333333326</v>
      </c>
      <c r="D12" s="1"/>
      <c r="E12" s="14"/>
      <c r="F12" s="1">
        <v>45776</v>
      </c>
      <c r="G12" s="14">
        <v>0.35416666666666669</v>
      </c>
      <c r="H12" t="s">
        <v>727</v>
      </c>
      <c r="I12" t="s">
        <v>603</v>
      </c>
      <c r="K12" t="s">
        <v>713</v>
      </c>
      <c r="L12" t="s">
        <v>98</v>
      </c>
      <c r="M12">
        <v>6</v>
      </c>
      <c r="N12" t="s">
        <v>750</v>
      </c>
      <c r="Q12" t="s">
        <v>404</v>
      </c>
      <c r="R12" t="s">
        <v>354</v>
      </c>
      <c r="U12" t="s">
        <v>728</v>
      </c>
      <c r="W12" t="s">
        <v>729</v>
      </c>
      <c r="Z12" t="s">
        <v>65</v>
      </c>
      <c r="AA12" t="s">
        <v>730</v>
      </c>
      <c r="AB12" t="s">
        <v>731</v>
      </c>
      <c r="AF12">
        <v>9</v>
      </c>
      <c r="AG12" s="1">
        <v>45774</v>
      </c>
      <c r="AH12" s="14">
        <v>0.77083333333333337</v>
      </c>
      <c r="AI12" s="14">
        <v>0.75</v>
      </c>
      <c r="AJ12" t="s">
        <v>765</v>
      </c>
      <c r="AK12" t="s">
        <v>839</v>
      </c>
      <c r="AL12" t="s">
        <v>776</v>
      </c>
      <c r="AM12" t="s">
        <v>326</v>
      </c>
      <c r="AN12" t="s">
        <v>776</v>
      </c>
      <c r="AO12" s="14">
        <v>0.77083333333333337</v>
      </c>
      <c r="AP12" s="1">
        <v>45774</v>
      </c>
      <c r="AQ12" s="14">
        <v>0.75</v>
      </c>
      <c r="AR12" s="2"/>
      <c r="AS12" t="s">
        <v>765</v>
      </c>
      <c r="AT12" t="s">
        <v>640</v>
      </c>
      <c r="AU12" t="s">
        <v>430</v>
      </c>
      <c r="AV12">
        <v>2025</v>
      </c>
      <c r="AW12">
        <v>18</v>
      </c>
      <c r="AX12">
        <v>5</v>
      </c>
      <c r="AY12">
        <v>27</v>
      </c>
      <c r="AZ12">
        <v>117</v>
      </c>
      <c r="BA12" t="s">
        <v>839</v>
      </c>
      <c r="BB12" t="s">
        <v>713</v>
      </c>
      <c r="BE12" t="s">
        <v>840</v>
      </c>
      <c r="BI12" t="s">
        <v>765</v>
      </c>
      <c r="BJ12" t="s">
        <v>765</v>
      </c>
    </row>
    <row r="13" spans="1:62" x14ac:dyDescent="0.25">
      <c r="A13" t="s">
        <v>714</v>
      </c>
      <c r="B13" s="1">
        <v>45777</v>
      </c>
      <c r="C13" s="2">
        <v>0.68012731481481481</v>
      </c>
      <c r="D13" s="1"/>
      <c r="E13" s="14"/>
      <c r="F13" s="1">
        <v>45777</v>
      </c>
      <c r="G13" s="14">
        <v>0.68012731481481481</v>
      </c>
      <c r="H13" t="s">
        <v>603</v>
      </c>
      <c r="K13" t="s">
        <v>715</v>
      </c>
      <c r="N13" t="s">
        <v>751</v>
      </c>
      <c r="Y13" t="s">
        <v>615</v>
      </c>
      <c r="Z13" t="s">
        <v>65</v>
      </c>
      <c r="AA13" t="s">
        <v>310</v>
      </c>
      <c r="AB13" t="s">
        <v>67</v>
      </c>
      <c r="AC13" t="s">
        <v>732</v>
      </c>
      <c r="AD13" t="s">
        <v>211</v>
      </c>
      <c r="AF13">
        <v>9</v>
      </c>
      <c r="AG13" s="1">
        <v>45777</v>
      </c>
      <c r="AH13" s="14">
        <v>0.68012731481481481</v>
      </c>
      <c r="AI13" s="14">
        <v>0.66666666666666663</v>
      </c>
      <c r="AJ13" t="s">
        <v>765</v>
      </c>
      <c r="AK13" t="s">
        <v>841</v>
      </c>
      <c r="AL13" t="s">
        <v>603</v>
      </c>
      <c r="AM13" t="s">
        <v>326</v>
      </c>
      <c r="AN13" t="s">
        <v>603</v>
      </c>
      <c r="AO13" s="14">
        <v>0.68012731481481481</v>
      </c>
      <c r="AP13" s="1">
        <v>45777</v>
      </c>
      <c r="AQ13" s="14">
        <v>0.66666666666666663</v>
      </c>
      <c r="AR13" s="2"/>
      <c r="AS13" t="s">
        <v>765</v>
      </c>
      <c r="AT13" t="s">
        <v>637</v>
      </c>
      <c r="AU13" t="s">
        <v>430</v>
      </c>
      <c r="AV13">
        <v>2025</v>
      </c>
      <c r="AW13">
        <v>18</v>
      </c>
      <c r="AX13">
        <v>5</v>
      </c>
      <c r="AY13">
        <v>30</v>
      </c>
      <c r="AZ13">
        <v>120</v>
      </c>
      <c r="BA13" t="s">
        <v>841</v>
      </c>
      <c r="BB13" t="s">
        <v>715</v>
      </c>
      <c r="BI13" t="s">
        <v>765</v>
      </c>
      <c r="BJ13" t="s">
        <v>765</v>
      </c>
    </row>
    <row r="14" spans="1:62" x14ac:dyDescent="0.25">
      <c r="A14" t="s">
        <v>864</v>
      </c>
      <c r="B14" s="1">
        <v>45786</v>
      </c>
      <c r="C14" s="2">
        <v>0.60416666666666674</v>
      </c>
      <c r="D14" s="1"/>
      <c r="E14" s="14"/>
      <c r="F14" s="1">
        <v>45786</v>
      </c>
      <c r="G14" s="14">
        <v>0.60798611111111112</v>
      </c>
      <c r="H14" t="s">
        <v>603</v>
      </c>
      <c r="I14" t="s">
        <v>865</v>
      </c>
      <c r="K14" t="s">
        <v>866</v>
      </c>
      <c r="L14" t="s">
        <v>198</v>
      </c>
      <c r="M14">
        <v>5</v>
      </c>
      <c r="N14" t="s">
        <v>867</v>
      </c>
      <c r="Y14" t="s">
        <v>688</v>
      </c>
      <c r="Z14" t="s">
        <v>65</v>
      </c>
      <c r="AA14" t="s">
        <v>868</v>
      </c>
      <c r="AB14" t="s">
        <v>80</v>
      </c>
      <c r="AC14" t="s">
        <v>93</v>
      </c>
      <c r="AD14" t="s">
        <v>311</v>
      </c>
      <c r="AF14">
        <v>9</v>
      </c>
      <c r="AG14" s="1">
        <v>45786</v>
      </c>
      <c r="AH14" s="14">
        <v>0.60416666666666663</v>
      </c>
      <c r="AI14" s="14">
        <v>0.58333333333333337</v>
      </c>
      <c r="AJ14" t="s">
        <v>761</v>
      </c>
      <c r="AK14" t="s">
        <v>869</v>
      </c>
      <c r="AL14" t="s">
        <v>870</v>
      </c>
      <c r="AM14" t="s">
        <v>326</v>
      </c>
      <c r="AN14" t="s">
        <v>870</v>
      </c>
      <c r="AO14" s="14">
        <v>0.60416666666666663</v>
      </c>
      <c r="AP14" s="1">
        <v>45786</v>
      </c>
      <c r="AQ14" s="14">
        <v>0.58333333333333337</v>
      </c>
      <c r="AR14" s="2"/>
      <c r="AS14" t="s">
        <v>761</v>
      </c>
      <c r="AT14" t="s">
        <v>485</v>
      </c>
      <c r="AU14" t="s">
        <v>642</v>
      </c>
      <c r="AV14">
        <v>2025</v>
      </c>
      <c r="AW14">
        <v>19</v>
      </c>
      <c r="AX14">
        <v>2</v>
      </c>
      <c r="AY14">
        <v>9</v>
      </c>
      <c r="AZ14">
        <v>129</v>
      </c>
      <c r="BA14" t="s">
        <v>869</v>
      </c>
      <c r="BB14" t="s">
        <v>866</v>
      </c>
      <c r="BI14" t="s">
        <v>761</v>
      </c>
      <c r="BJ14" t="s">
        <v>761</v>
      </c>
    </row>
    <row r="15" spans="1:62" x14ac:dyDescent="0.25">
      <c r="A15" t="s">
        <v>942</v>
      </c>
      <c r="B15" s="1">
        <v>45804</v>
      </c>
      <c r="C15" s="2">
        <v>0.9770833333333333</v>
      </c>
      <c r="D15" s="1"/>
      <c r="E15" s="14"/>
      <c r="F15" s="1">
        <v>45803</v>
      </c>
      <c r="G15" s="14">
        <v>0.98570601851851847</v>
      </c>
      <c r="H15" t="s">
        <v>603</v>
      </c>
      <c r="I15" t="s">
        <v>924</v>
      </c>
      <c r="J15" t="s">
        <v>943</v>
      </c>
      <c r="K15" t="s">
        <v>944</v>
      </c>
      <c r="L15" t="s">
        <v>198</v>
      </c>
      <c r="M15">
        <v>5</v>
      </c>
      <c r="N15" t="s">
        <v>945</v>
      </c>
      <c r="Y15" t="s">
        <v>599</v>
      </c>
      <c r="Z15" t="s">
        <v>65</v>
      </c>
      <c r="AA15" t="s">
        <v>591</v>
      </c>
      <c r="AB15" t="s">
        <v>443</v>
      </c>
      <c r="AC15" t="s">
        <v>106</v>
      </c>
      <c r="AD15" t="s">
        <v>69</v>
      </c>
      <c r="AF15">
        <v>9</v>
      </c>
      <c r="AG15" s="1">
        <v>45804</v>
      </c>
      <c r="AH15" s="14">
        <v>0.9770833333333333</v>
      </c>
      <c r="AI15" s="14">
        <v>0.95833333333333337</v>
      </c>
      <c r="AJ15" t="s">
        <v>764</v>
      </c>
      <c r="AK15" t="s">
        <v>869</v>
      </c>
      <c r="AL15" t="s">
        <v>946</v>
      </c>
      <c r="AM15" t="s">
        <v>519</v>
      </c>
      <c r="AN15" t="s">
        <v>946</v>
      </c>
      <c r="AO15" s="14">
        <v>0.9770833333333333</v>
      </c>
      <c r="AP15" s="1">
        <v>45804</v>
      </c>
      <c r="AQ15" s="14">
        <v>0.95833333333333337</v>
      </c>
      <c r="AR15" s="2"/>
      <c r="AS15" t="s">
        <v>764</v>
      </c>
      <c r="AT15" t="s">
        <v>635</v>
      </c>
      <c r="AU15" t="s">
        <v>642</v>
      </c>
      <c r="AV15">
        <v>2025</v>
      </c>
      <c r="AW15">
        <v>22</v>
      </c>
      <c r="AX15">
        <v>5</v>
      </c>
      <c r="AY15">
        <v>27</v>
      </c>
      <c r="AZ15">
        <v>147</v>
      </c>
      <c r="BA15" t="s">
        <v>869</v>
      </c>
      <c r="BB15" t="s">
        <v>944</v>
      </c>
      <c r="BI15" t="s">
        <v>764</v>
      </c>
      <c r="BJ15" t="s">
        <v>764</v>
      </c>
    </row>
    <row r="16" spans="1:62" x14ac:dyDescent="0.25">
      <c r="A16" t="s">
        <v>996</v>
      </c>
      <c r="B16" s="1">
        <v>45806</v>
      </c>
      <c r="C16" s="2">
        <v>0.15972222222222232</v>
      </c>
      <c r="D16" s="1"/>
      <c r="E16" s="14"/>
      <c r="F16" s="1">
        <v>45806</v>
      </c>
      <c r="G16" s="14">
        <v>0.16469907407407408</v>
      </c>
      <c r="H16" t="s">
        <v>603</v>
      </c>
      <c r="K16" t="s">
        <v>997</v>
      </c>
      <c r="L16" t="s">
        <v>88</v>
      </c>
      <c r="M16">
        <v>8</v>
      </c>
      <c r="N16" t="s">
        <v>998</v>
      </c>
      <c r="Y16" t="s">
        <v>611</v>
      </c>
      <c r="Z16" t="s">
        <v>65</v>
      </c>
      <c r="AA16" t="s">
        <v>999</v>
      </c>
      <c r="AB16" t="s">
        <v>171</v>
      </c>
      <c r="AC16" t="s">
        <v>161</v>
      </c>
      <c r="AD16" t="s">
        <v>82</v>
      </c>
      <c r="AF16">
        <v>9</v>
      </c>
      <c r="AG16" s="1">
        <v>45806</v>
      </c>
      <c r="AH16" s="14">
        <v>0.15972222222222221</v>
      </c>
      <c r="AI16" s="14">
        <v>0.125</v>
      </c>
      <c r="AJ16" t="s">
        <v>763</v>
      </c>
      <c r="AK16" t="s">
        <v>1000</v>
      </c>
      <c r="AL16" t="s">
        <v>603</v>
      </c>
      <c r="AM16" t="s">
        <v>519</v>
      </c>
      <c r="AN16" t="s">
        <v>603</v>
      </c>
      <c r="AO16" s="14">
        <v>0.15972222222222221</v>
      </c>
      <c r="AP16" s="1">
        <v>45806</v>
      </c>
      <c r="AQ16" s="14">
        <v>0.125</v>
      </c>
      <c r="AR16" s="2"/>
      <c r="AS16" t="s">
        <v>763</v>
      </c>
      <c r="AT16" t="s">
        <v>638</v>
      </c>
      <c r="AU16" t="s">
        <v>642</v>
      </c>
      <c r="AV16">
        <v>2025</v>
      </c>
      <c r="AW16">
        <v>22</v>
      </c>
      <c r="AX16">
        <v>5</v>
      </c>
      <c r="AY16">
        <v>29</v>
      </c>
      <c r="AZ16">
        <v>149</v>
      </c>
      <c r="BA16" t="s">
        <v>1000</v>
      </c>
      <c r="BB16" t="s">
        <v>997</v>
      </c>
      <c r="BI16" t="s">
        <v>763</v>
      </c>
      <c r="BJ16" t="s">
        <v>763</v>
      </c>
    </row>
    <row r="17" spans="1:62" x14ac:dyDescent="0.25">
      <c r="A17" t="s">
        <v>1043</v>
      </c>
      <c r="B17" s="1">
        <v>45816</v>
      </c>
      <c r="C17" s="2">
        <v>0.98263888888888884</v>
      </c>
      <c r="D17" s="1"/>
      <c r="E17" s="14"/>
      <c r="F17" s="1">
        <v>45816</v>
      </c>
      <c r="G17" s="14">
        <v>0.98579861111111111</v>
      </c>
      <c r="H17" t="s">
        <v>603</v>
      </c>
      <c r="K17" t="s">
        <v>1044</v>
      </c>
      <c r="L17" t="s">
        <v>694</v>
      </c>
      <c r="M17">
        <v>7</v>
      </c>
      <c r="N17" t="s">
        <v>1045</v>
      </c>
      <c r="Y17" t="s">
        <v>669</v>
      </c>
      <c r="Z17" t="s">
        <v>65</v>
      </c>
      <c r="AA17" t="s">
        <v>1046</v>
      </c>
      <c r="AB17" t="s">
        <v>262</v>
      </c>
      <c r="AC17" t="s">
        <v>280</v>
      </c>
      <c r="AD17" t="s">
        <v>107</v>
      </c>
      <c r="AE17" t="s">
        <v>264</v>
      </c>
      <c r="AF17">
        <v>9</v>
      </c>
      <c r="AG17" s="1">
        <v>45816</v>
      </c>
      <c r="AH17" s="14">
        <v>0.98263888888888884</v>
      </c>
      <c r="AI17" s="14">
        <v>0.95833333333333337</v>
      </c>
      <c r="AJ17" t="s">
        <v>764</v>
      </c>
      <c r="AK17" t="s">
        <v>838</v>
      </c>
      <c r="AL17" t="s">
        <v>603</v>
      </c>
      <c r="AM17" t="s">
        <v>929</v>
      </c>
      <c r="AN17" t="s">
        <v>603</v>
      </c>
      <c r="AO17" s="14">
        <v>0.98263888888888884</v>
      </c>
      <c r="AP17" s="1">
        <v>45816</v>
      </c>
      <c r="AQ17" s="14">
        <v>0.95833333333333337</v>
      </c>
      <c r="AR17" s="2"/>
      <c r="AS17" t="s">
        <v>764</v>
      </c>
      <c r="AT17" t="s">
        <v>640</v>
      </c>
      <c r="AU17" t="s">
        <v>641</v>
      </c>
      <c r="AV17">
        <v>2025</v>
      </c>
      <c r="AW17">
        <v>24</v>
      </c>
      <c r="AX17">
        <v>2</v>
      </c>
      <c r="AY17">
        <v>8</v>
      </c>
      <c r="AZ17">
        <v>159</v>
      </c>
      <c r="BA17" t="s">
        <v>838</v>
      </c>
      <c r="BB17" t="s">
        <v>1044</v>
      </c>
      <c r="BI17" t="s">
        <v>764</v>
      </c>
      <c r="BJ17" t="s">
        <v>764</v>
      </c>
    </row>
  </sheetData>
  <phoneticPr fontId="10" type="noConversion"/>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7A332-BEDD-4000-B012-BC83C88CBDEF}">
  <sheetPr codeName="Sheet39">
    <tabColor rgb="FFFFC000"/>
  </sheetPr>
  <dimension ref="A1:AM24"/>
  <sheetViews>
    <sheetView workbookViewId="0">
      <selection activeCell="F33" sqref="F33"/>
    </sheetView>
  </sheetViews>
  <sheetFormatPr defaultRowHeight="15" x14ac:dyDescent="0.25"/>
  <cols>
    <col min="1" max="1" width="15.140625" bestFit="1" customWidth="1"/>
    <col min="2" max="2" width="14.7109375" style="1"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27.28515625" bestFit="1" customWidth="1"/>
    <col min="9" max="9" width="24.140625" bestFit="1" customWidth="1"/>
    <col min="10" max="10" width="17.42578125" bestFit="1" customWidth="1"/>
    <col min="11" max="11" width="58"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7109375" bestFit="1" customWidth="1"/>
    <col min="19" max="19" width="10.140625" bestFit="1" customWidth="1"/>
    <col min="20" max="20" width="13" bestFit="1" customWidth="1"/>
    <col min="21" max="21" width="15.5703125" bestFit="1" customWidth="1"/>
    <col min="22" max="22" width="13" bestFit="1" customWidth="1"/>
    <col min="23" max="23" width="9.28515625" bestFit="1" customWidth="1"/>
    <col min="24" max="24" width="10.140625" bestFit="1" customWidth="1"/>
    <col min="25" max="25" width="14.7109375" bestFit="1" customWidth="1"/>
    <col min="26" max="26" width="15.7109375" bestFit="1" customWidth="1"/>
    <col min="27" max="27" width="27.140625" bestFit="1" customWidth="1"/>
    <col min="28" max="28" width="8.7109375" bestFit="1" customWidth="1"/>
    <col min="29" max="29" width="26.85546875" bestFit="1" customWidth="1"/>
    <col min="30" max="30" width="29.140625" bestFit="1" customWidth="1"/>
    <col min="31" max="31" width="26.42578125" bestFit="1" customWidth="1"/>
    <col min="32" max="32" width="21" bestFit="1" customWidth="1"/>
    <col min="33" max="33" width="15.140625" bestFit="1" customWidth="1"/>
    <col min="34" max="34" width="11.5703125" bestFit="1" customWidth="1"/>
    <col min="35" max="35" width="13.85546875" bestFit="1" customWidth="1"/>
    <col min="36" max="36" width="25.7109375" bestFit="1" customWidth="1"/>
    <col min="37" max="37" width="46.42578125" bestFit="1" customWidth="1"/>
    <col min="38" max="38" width="52.42578125" customWidth="1"/>
    <col min="39" max="39" width="9.140625" bestFit="1" customWidth="1"/>
    <col min="40" max="40" width="11.85546875" bestFit="1" customWidth="1"/>
    <col min="41" max="41" width="12" bestFit="1" customWidth="1"/>
    <col min="42" max="42" width="14.42578125" bestFit="1" customWidth="1"/>
    <col min="43" max="43" width="22.7109375" bestFit="1" customWidth="1"/>
    <col min="44" max="44" width="25.7109375" bestFit="1" customWidth="1"/>
    <col min="45" max="45" width="12.28515625" bestFit="1" customWidth="1"/>
    <col min="46" max="46" width="15" bestFit="1" customWidth="1"/>
    <col min="47" max="47" width="7.28515625" bestFit="1" customWidth="1"/>
    <col min="48" max="48" width="15.42578125" bestFit="1" customWidth="1"/>
    <col min="49" max="49" width="17.42578125" bestFit="1" customWidth="1"/>
    <col min="50" max="50" width="6.5703125" bestFit="1" customWidth="1"/>
    <col min="51" max="51" width="13.28515625" bestFit="1" customWidth="1"/>
    <col min="52" max="52" width="31.85546875" bestFit="1" customWidth="1"/>
    <col min="53" max="53" width="48" bestFit="1" customWidth="1"/>
    <col min="54" max="54" width="6" bestFit="1" customWidth="1"/>
    <col min="55" max="55" width="8.5703125" bestFit="1" customWidth="1"/>
    <col min="56" max="56" width="15.7109375" bestFit="1" customWidth="1"/>
    <col min="57" max="57" width="10.140625" bestFit="1" customWidth="1"/>
    <col min="58" max="58" width="26.42578125" bestFit="1" customWidth="1"/>
    <col min="59" max="59" width="16.5703125" bestFit="1" customWidth="1"/>
    <col min="60" max="62" width="25.7109375" bestFit="1" customWidth="1"/>
    <col min="63" max="63" width="12" bestFit="1" customWidth="1"/>
    <col min="64" max="64" width="25.7109375" bestFit="1" customWidth="1"/>
    <col min="65" max="65" width="52.42578125" bestFit="1" customWidth="1"/>
  </cols>
  <sheetData>
    <row r="1" spans="1:39" x14ac:dyDescent="0.25">
      <c r="A1" t="s">
        <v>0</v>
      </c>
      <c r="B1" s="1" t="s">
        <v>643</v>
      </c>
      <c r="C1" t="s">
        <v>36</v>
      </c>
      <c r="D1" t="s">
        <v>37</v>
      </c>
      <c r="E1" t="s">
        <v>38</v>
      </c>
      <c r="F1" t="s">
        <v>39</v>
      </c>
      <c r="G1" t="s">
        <v>40</v>
      </c>
      <c r="H1" t="s">
        <v>9</v>
      </c>
      <c r="I1" t="s">
        <v>11</v>
      </c>
      <c r="J1" t="s">
        <v>12</v>
      </c>
      <c r="K1" t="s">
        <v>13</v>
      </c>
      <c r="L1" t="s">
        <v>14</v>
      </c>
      <c r="M1" t="s">
        <v>15</v>
      </c>
      <c r="N1" t="s">
        <v>16</v>
      </c>
      <c r="O1" t="s">
        <v>17</v>
      </c>
      <c r="P1" t="s">
        <v>18</v>
      </c>
      <c r="Q1" t="s">
        <v>19</v>
      </c>
      <c r="R1" t="s">
        <v>20</v>
      </c>
      <c r="S1" t="s">
        <v>21</v>
      </c>
      <c r="T1" t="s">
        <v>22</v>
      </c>
      <c r="U1" t="s">
        <v>23</v>
      </c>
      <c r="V1" t="s">
        <v>24</v>
      </c>
      <c r="W1" t="s">
        <v>25</v>
      </c>
      <c r="X1" t="s">
        <v>26</v>
      </c>
      <c r="Y1" t="s">
        <v>27</v>
      </c>
      <c r="Z1" t="s">
        <v>28</v>
      </c>
      <c r="AA1" t="s">
        <v>29</v>
      </c>
      <c r="AB1" t="s">
        <v>30</v>
      </c>
      <c r="AC1" t="s">
        <v>31</v>
      </c>
      <c r="AD1" t="s">
        <v>32</v>
      </c>
      <c r="AE1" t="s">
        <v>644</v>
      </c>
      <c r="AF1" t="s">
        <v>645</v>
      </c>
      <c r="AG1" t="s">
        <v>35</v>
      </c>
      <c r="AH1" t="s">
        <v>647</v>
      </c>
      <c r="AI1" t="s">
        <v>648</v>
      </c>
      <c r="AJ1" t="s">
        <v>649</v>
      </c>
      <c r="AK1" t="s">
        <v>592</v>
      </c>
      <c r="AL1" t="s">
        <v>10</v>
      </c>
      <c r="AM1" t="s">
        <v>845</v>
      </c>
    </row>
    <row r="2" spans="1:39" x14ac:dyDescent="0.25">
      <c r="A2" t="s">
        <v>173</v>
      </c>
      <c r="B2" s="1">
        <v>45660</v>
      </c>
      <c r="C2" s="2">
        <v>0.89583333333333326</v>
      </c>
      <c r="D2" s="1">
        <v>45661</v>
      </c>
      <c r="E2" s="14">
        <v>0.2673611111111111</v>
      </c>
      <c r="F2" s="1">
        <v>45661</v>
      </c>
      <c r="G2" s="14">
        <v>0.45774305555555556</v>
      </c>
      <c r="H2" t="s">
        <v>594</v>
      </c>
      <c r="K2" t="s">
        <v>174</v>
      </c>
      <c r="L2" t="s">
        <v>175</v>
      </c>
      <c r="M2">
        <v>9</v>
      </c>
      <c r="N2" t="s">
        <v>176</v>
      </c>
      <c r="Q2" t="s">
        <v>595</v>
      </c>
      <c r="R2" t="s">
        <v>596</v>
      </c>
      <c r="S2" t="s">
        <v>178</v>
      </c>
      <c r="T2" t="s">
        <v>63</v>
      </c>
      <c r="Y2" t="s">
        <v>597</v>
      </c>
      <c r="Z2" t="s">
        <v>65</v>
      </c>
      <c r="AA2" t="s">
        <v>179</v>
      </c>
      <c r="AB2" t="s">
        <v>171</v>
      </c>
      <c r="AC2" t="s">
        <v>180</v>
      </c>
      <c r="AD2" t="s">
        <v>69</v>
      </c>
      <c r="AE2" t="s">
        <v>181</v>
      </c>
      <c r="AF2">
        <v>9</v>
      </c>
      <c r="AG2" s="1">
        <v>45660</v>
      </c>
      <c r="AH2" s="14">
        <v>0.89583333333333337</v>
      </c>
      <c r="AI2" s="14">
        <v>0.875</v>
      </c>
      <c r="AJ2" t="s">
        <v>764</v>
      </c>
      <c r="AK2" t="s">
        <v>786</v>
      </c>
      <c r="AL2" t="s">
        <v>594</v>
      </c>
      <c r="AM2" t="s">
        <v>326</v>
      </c>
    </row>
    <row r="3" spans="1:39" x14ac:dyDescent="0.25">
      <c r="A3" t="s">
        <v>182</v>
      </c>
      <c r="B3" s="1">
        <v>45672</v>
      </c>
      <c r="C3" s="2">
        <v>0.5398842592592592</v>
      </c>
      <c r="D3" s="1"/>
      <c r="E3" s="14"/>
      <c r="F3" s="1">
        <v>45672</v>
      </c>
      <c r="G3" s="14">
        <v>0.53988425925925931</v>
      </c>
      <c r="H3" t="s">
        <v>594</v>
      </c>
      <c r="K3" t="s">
        <v>183</v>
      </c>
      <c r="L3" t="s">
        <v>74</v>
      </c>
      <c r="M3">
        <v>8</v>
      </c>
      <c r="N3" t="s">
        <v>184</v>
      </c>
      <c r="Q3" t="s">
        <v>185</v>
      </c>
      <c r="R3" t="s">
        <v>596</v>
      </c>
      <c r="S3" t="s">
        <v>186</v>
      </c>
      <c r="T3" t="s">
        <v>63</v>
      </c>
      <c r="Y3" t="s">
        <v>607</v>
      </c>
      <c r="Z3" t="s">
        <v>65</v>
      </c>
      <c r="AA3" t="s">
        <v>187</v>
      </c>
      <c r="AB3" t="s">
        <v>188</v>
      </c>
      <c r="AC3" t="s">
        <v>68</v>
      </c>
      <c r="AD3" t="s">
        <v>69</v>
      </c>
      <c r="AE3" t="s">
        <v>181</v>
      </c>
      <c r="AF3">
        <v>9</v>
      </c>
      <c r="AG3" s="1">
        <v>45672</v>
      </c>
      <c r="AH3" s="14">
        <v>0.53988425925925931</v>
      </c>
      <c r="AI3" s="14">
        <v>0.5</v>
      </c>
      <c r="AJ3" t="s">
        <v>761</v>
      </c>
      <c r="AK3" t="s">
        <v>788</v>
      </c>
      <c r="AL3" t="s">
        <v>594</v>
      </c>
      <c r="AM3" t="s">
        <v>326</v>
      </c>
    </row>
    <row r="4" spans="1:39" x14ac:dyDescent="0.25">
      <c r="A4" t="s">
        <v>189</v>
      </c>
      <c r="B4" s="1">
        <v>45678</v>
      </c>
      <c r="C4" s="2">
        <v>0.79166666666666674</v>
      </c>
      <c r="D4" s="1">
        <v>45679</v>
      </c>
      <c r="E4" s="14">
        <v>0.13125000000000001</v>
      </c>
      <c r="F4" s="1">
        <v>45679</v>
      </c>
      <c r="G4" s="14">
        <v>0.13255787037037037</v>
      </c>
      <c r="H4" t="s">
        <v>594</v>
      </c>
      <c r="K4" t="s">
        <v>190</v>
      </c>
      <c r="L4" t="s">
        <v>159</v>
      </c>
      <c r="M4">
        <v>9</v>
      </c>
      <c r="N4" t="s">
        <v>191</v>
      </c>
      <c r="Q4" t="s">
        <v>192</v>
      </c>
      <c r="R4" t="s">
        <v>61</v>
      </c>
      <c r="S4" t="s">
        <v>193</v>
      </c>
      <c r="T4" t="s">
        <v>63</v>
      </c>
      <c r="Y4" t="s">
        <v>611</v>
      </c>
      <c r="Z4" t="s">
        <v>65</v>
      </c>
      <c r="AA4" t="s">
        <v>195</v>
      </c>
      <c r="AB4" t="s">
        <v>171</v>
      </c>
      <c r="AC4" t="s">
        <v>141</v>
      </c>
      <c r="AD4" t="s">
        <v>69</v>
      </c>
      <c r="AE4" t="s">
        <v>181</v>
      </c>
      <c r="AF4">
        <v>9</v>
      </c>
      <c r="AG4" s="1">
        <v>45678</v>
      </c>
      <c r="AH4" s="14">
        <v>0.79166666666666663</v>
      </c>
      <c r="AI4" s="14">
        <v>0.79166666666666663</v>
      </c>
      <c r="AJ4" t="s">
        <v>765</v>
      </c>
      <c r="AK4" t="s">
        <v>790</v>
      </c>
      <c r="AL4" t="s">
        <v>594</v>
      </c>
      <c r="AM4" t="s">
        <v>326</v>
      </c>
    </row>
    <row r="5" spans="1:39" x14ac:dyDescent="0.25">
      <c r="A5" t="s">
        <v>196</v>
      </c>
      <c r="B5" s="1">
        <v>45679</v>
      </c>
      <c r="C5" s="2">
        <v>0.33333333333333326</v>
      </c>
      <c r="D5" s="1">
        <v>45679</v>
      </c>
      <c r="E5" s="14">
        <v>0.80069444444444449</v>
      </c>
      <c r="F5" s="1">
        <v>45679</v>
      </c>
      <c r="G5" s="14">
        <v>0.80203703703703699</v>
      </c>
      <c r="H5" t="s">
        <v>594</v>
      </c>
      <c r="K5" t="s">
        <v>197</v>
      </c>
      <c r="L5" t="s">
        <v>198</v>
      </c>
      <c r="M5">
        <v>5</v>
      </c>
      <c r="N5" t="s">
        <v>199</v>
      </c>
      <c r="Q5" t="s">
        <v>200</v>
      </c>
      <c r="R5" t="s">
        <v>612</v>
      </c>
      <c r="S5" t="s">
        <v>202</v>
      </c>
      <c r="T5" t="s">
        <v>63</v>
      </c>
      <c r="Y5" t="s">
        <v>607</v>
      </c>
      <c r="Z5" t="s">
        <v>65</v>
      </c>
      <c r="AA5" t="s">
        <v>195</v>
      </c>
      <c r="AB5" t="s">
        <v>171</v>
      </c>
      <c r="AC5" t="s">
        <v>106</v>
      </c>
      <c r="AD5" t="s">
        <v>69</v>
      </c>
      <c r="AE5" t="s">
        <v>181</v>
      </c>
      <c r="AF5">
        <v>9</v>
      </c>
      <c r="AG5" s="1">
        <v>45679</v>
      </c>
      <c r="AH5" s="14">
        <v>0.33333333333333331</v>
      </c>
      <c r="AI5" s="14">
        <v>0.33333333333333331</v>
      </c>
      <c r="AJ5" t="s">
        <v>762</v>
      </c>
      <c r="AK5" t="s">
        <v>792</v>
      </c>
      <c r="AL5" t="s">
        <v>594</v>
      </c>
      <c r="AM5" t="s">
        <v>326</v>
      </c>
    </row>
    <row r="6" spans="1:39" x14ac:dyDescent="0.25">
      <c r="A6" t="s">
        <v>203</v>
      </c>
      <c r="B6" s="1">
        <v>45685</v>
      </c>
      <c r="C6" s="2">
        <v>0.625</v>
      </c>
      <c r="D6" s="1">
        <v>45686</v>
      </c>
      <c r="E6" s="14">
        <v>0.91736111111111107</v>
      </c>
      <c r="F6" s="1">
        <v>45686</v>
      </c>
      <c r="G6" s="14">
        <v>0.91833333333333333</v>
      </c>
      <c r="H6" t="s">
        <v>594</v>
      </c>
      <c r="I6" t="s">
        <v>616</v>
      </c>
      <c r="K6" t="s">
        <v>205</v>
      </c>
      <c r="L6" t="s">
        <v>206</v>
      </c>
      <c r="M6">
        <v>6</v>
      </c>
      <c r="N6" t="s">
        <v>207</v>
      </c>
      <c r="Q6" t="s">
        <v>620</v>
      </c>
      <c r="R6" t="s">
        <v>621</v>
      </c>
      <c r="S6" t="s">
        <v>210</v>
      </c>
      <c r="T6" t="s">
        <v>63</v>
      </c>
      <c r="Y6" t="s">
        <v>622</v>
      </c>
      <c r="Z6" t="s">
        <v>65</v>
      </c>
      <c r="AA6" t="s">
        <v>195</v>
      </c>
      <c r="AB6" t="s">
        <v>171</v>
      </c>
      <c r="AC6" t="s">
        <v>68</v>
      </c>
      <c r="AD6" t="s">
        <v>211</v>
      </c>
      <c r="AE6" t="s">
        <v>181</v>
      </c>
      <c r="AF6">
        <v>9</v>
      </c>
      <c r="AG6" s="1">
        <v>45685</v>
      </c>
      <c r="AH6" s="14">
        <v>0.625</v>
      </c>
      <c r="AI6" s="14">
        <v>0.625</v>
      </c>
      <c r="AJ6" t="s">
        <v>761</v>
      </c>
      <c r="AK6" t="s">
        <v>794</v>
      </c>
      <c r="AL6" t="s">
        <v>767</v>
      </c>
      <c r="AM6" t="s">
        <v>326</v>
      </c>
    </row>
    <row r="7" spans="1:39" x14ac:dyDescent="0.25">
      <c r="A7" t="s">
        <v>212</v>
      </c>
      <c r="B7" s="1">
        <v>45689</v>
      </c>
      <c r="C7" s="2">
        <v>4.1666666666666741E-2</v>
      </c>
      <c r="D7" s="1"/>
      <c r="E7" s="14">
        <v>0.10416666666666667</v>
      </c>
      <c r="F7" s="1">
        <v>45689</v>
      </c>
      <c r="G7" s="14">
        <v>0.11982638888888889</v>
      </c>
      <c r="H7" t="s">
        <v>594</v>
      </c>
      <c r="K7" t="s">
        <v>213</v>
      </c>
      <c r="L7" t="s">
        <v>214</v>
      </c>
      <c r="M7">
        <v>6</v>
      </c>
      <c r="N7" t="s">
        <v>215</v>
      </c>
      <c r="Q7" t="s">
        <v>623</v>
      </c>
      <c r="R7" t="s">
        <v>624</v>
      </c>
      <c r="S7" t="s">
        <v>217</v>
      </c>
      <c r="T7" t="s">
        <v>63</v>
      </c>
      <c r="Y7" t="s">
        <v>607</v>
      </c>
      <c r="Z7" t="s">
        <v>65</v>
      </c>
      <c r="AA7" t="s">
        <v>195</v>
      </c>
      <c r="AB7" t="s">
        <v>171</v>
      </c>
      <c r="AC7" t="s">
        <v>106</v>
      </c>
      <c r="AD7" t="s">
        <v>69</v>
      </c>
      <c r="AE7" t="s">
        <v>181</v>
      </c>
      <c r="AF7">
        <v>9</v>
      </c>
      <c r="AG7" s="1">
        <v>45689</v>
      </c>
      <c r="AH7" s="14">
        <v>4.1666666666666664E-2</v>
      </c>
      <c r="AI7" s="14">
        <v>4.1666666666666664E-2</v>
      </c>
      <c r="AJ7" t="s">
        <v>763</v>
      </c>
      <c r="AK7" t="s">
        <v>796</v>
      </c>
      <c r="AL7" t="s">
        <v>594</v>
      </c>
      <c r="AM7" t="s">
        <v>326</v>
      </c>
    </row>
    <row r="8" spans="1:39" x14ac:dyDescent="0.25">
      <c r="A8" t="s">
        <v>218</v>
      </c>
      <c r="B8" s="1">
        <v>45691</v>
      </c>
      <c r="C8" s="2">
        <v>0.77083333333333326</v>
      </c>
      <c r="D8" s="1">
        <v>45692</v>
      </c>
      <c r="E8" s="14">
        <v>0.79166666666666663</v>
      </c>
      <c r="F8" s="1">
        <v>45692</v>
      </c>
      <c r="G8" s="14">
        <v>0.53023148148148147</v>
      </c>
      <c r="H8" t="s">
        <v>594</v>
      </c>
      <c r="K8" t="s">
        <v>220</v>
      </c>
      <c r="L8" t="s">
        <v>221</v>
      </c>
      <c r="M8">
        <v>8</v>
      </c>
      <c r="N8" t="s">
        <v>222</v>
      </c>
      <c r="Q8" t="s">
        <v>625</v>
      </c>
      <c r="R8" t="s">
        <v>224</v>
      </c>
      <c r="S8" t="s">
        <v>626</v>
      </c>
      <c r="T8" t="s">
        <v>226</v>
      </c>
      <c r="Y8" t="s">
        <v>601</v>
      </c>
      <c r="Z8" t="s">
        <v>65</v>
      </c>
      <c r="AA8" t="s">
        <v>92</v>
      </c>
      <c r="AB8" t="s">
        <v>67</v>
      </c>
      <c r="AC8" t="s">
        <v>68</v>
      </c>
      <c r="AD8" t="s">
        <v>168</v>
      </c>
      <c r="AE8" t="s">
        <v>181</v>
      </c>
      <c r="AF8">
        <v>9</v>
      </c>
      <c r="AG8" s="1">
        <v>45691</v>
      </c>
      <c r="AH8" s="14">
        <v>0.77083333333333337</v>
      </c>
      <c r="AI8" s="14">
        <v>0.75</v>
      </c>
      <c r="AJ8" t="s">
        <v>765</v>
      </c>
      <c r="AK8" t="s">
        <v>219</v>
      </c>
      <c r="AL8" t="s">
        <v>594</v>
      </c>
      <c r="AM8" t="s">
        <v>326</v>
      </c>
    </row>
    <row r="9" spans="1:39" x14ac:dyDescent="0.25">
      <c r="A9" t="s">
        <v>227</v>
      </c>
      <c r="B9" s="1">
        <v>45695</v>
      </c>
      <c r="C9" s="2">
        <v>0.27430555555555558</v>
      </c>
      <c r="D9" s="1">
        <v>45695</v>
      </c>
      <c r="E9" s="14">
        <v>0.28472222222222221</v>
      </c>
      <c r="F9" s="1">
        <v>45695</v>
      </c>
      <c r="G9" s="14">
        <v>0.30738425925925927</v>
      </c>
      <c r="H9" t="s">
        <v>594</v>
      </c>
      <c r="K9" t="s">
        <v>229</v>
      </c>
      <c r="L9" t="s">
        <v>169</v>
      </c>
      <c r="M9">
        <v>5</v>
      </c>
      <c r="N9" t="s">
        <v>230</v>
      </c>
      <c r="Q9" t="s">
        <v>628</v>
      </c>
      <c r="R9" t="s">
        <v>629</v>
      </c>
      <c r="S9" t="s">
        <v>233</v>
      </c>
      <c r="T9" t="s">
        <v>63</v>
      </c>
      <c r="Y9" t="s">
        <v>607</v>
      </c>
      <c r="Z9" t="s">
        <v>65</v>
      </c>
      <c r="AA9" t="s">
        <v>234</v>
      </c>
      <c r="AB9" t="s">
        <v>105</v>
      </c>
      <c r="AC9" t="s">
        <v>161</v>
      </c>
      <c r="AD9" t="s">
        <v>82</v>
      </c>
      <c r="AE9" t="s">
        <v>181</v>
      </c>
      <c r="AF9">
        <v>9</v>
      </c>
      <c r="AG9" s="1">
        <v>45695</v>
      </c>
      <c r="AH9" s="14">
        <v>0.27430555555555558</v>
      </c>
      <c r="AI9" s="14">
        <v>0.25</v>
      </c>
      <c r="AJ9" t="s">
        <v>766</v>
      </c>
      <c r="AK9" t="s">
        <v>799</v>
      </c>
      <c r="AL9" t="s">
        <v>594</v>
      </c>
      <c r="AM9" t="s">
        <v>326</v>
      </c>
    </row>
    <row r="10" spans="1:39" x14ac:dyDescent="0.25">
      <c r="A10" t="s">
        <v>236</v>
      </c>
      <c r="B10" s="1">
        <v>45688</v>
      </c>
      <c r="C10" s="2">
        <v>0.5</v>
      </c>
      <c r="D10" s="1">
        <v>45695</v>
      </c>
      <c r="E10" s="14">
        <v>0.54166666666666663</v>
      </c>
      <c r="F10" s="1">
        <v>45696</v>
      </c>
      <c r="G10" s="14">
        <v>0.3903240740740741</v>
      </c>
      <c r="H10" t="s">
        <v>594</v>
      </c>
      <c r="K10" t="s">
        <v>237</v>
      </c>
      <c r="L10" t="s">
        <v>198</v>
      </c>
      <c r="M10">
        <v>5</v>
      </c>
      <c r="N10" t="s">
        <v>238</v>
      </c>
      <c r="Q10" t="s">
        <v>630</v>
      </c>
      <c r="S10" t="s">
        <v>186</v>
      </c>
      <c r="T10" t="s">
        <v>619</v>
      </c>
      <c r="Y10" t="s">
        <v>607</v>
      </c>
      <c r="Z10" t="s">
        <v>65</v>
      </c>
      <c r="AA10" t="s">
        <v>170</v>
      </c>
      <c r="AB10" t="s">
        <v>171</v>
      </c>
      <c r="AC10" t="s">
        <v>93</v>
      </c>
      <c r="AD10" t="s">
        <v>69</v>
      </c>
      <c r="AE10" t="s">
        <v>181</v>
      </c>
      <c r="AF10">
        <v>9</v>
      </c>
      <c r="AG10" s="1">
        <v>45688</v>
      </c>
      <c r="AH10" s="14">
        <v>0.5</v>
      </c>
      <c r="AI10" s="14">
        <v>0.5</v>
      </c>
      <c r="AJ10" t="s">
        <v>761</v>
      </c>
      <c r="AK10" t="s">
        <v>801</v>
      </c>
      <c r="AL10" t="s">
        <v>594</v>
      </c>
      <c r="AM10" t="s">
        <v>326</v>
      </c>
    </row>
    <row r="11" spans="1:39" x14ac:dyDescent="0.25">
      <c r="A11" t="s">
        <v>240</v>
      </c>
      <c r="B11" s="1">
        <v>45705</v>
      </c>
      <c r="C11" s="2">
        <v>0.34877314814814819</v>
      </c>
      <c r="D11" s="1"/>
      <c r="E11" s="14"/>
      <c r="F11" s="1">
        <v>45705</v>
      </c>
      <c r="G11" s="14">
        <v>0.34877314814814814</v>
      </c>
      <c r="H11" t="s">
        <v>594</v>
      </c>
      <c r="I11" t="s">
        <v>241</v>
      </c>
      <c r="K11" t="s">
        <v>242</v>
      </c>
      <c r="L11" t="s">
        <v>115</v>
      </c>
      <c r="M11">
        <v>7</v>
      </c>
      <c r="N11" t="s">
        <v>243</v>
      </c>
      <c r="Q11" t="s">
        <v>633</v>
      </c>
      <c r="R11" t="s">
        <v>596</v>
      </c>
      <c r="S11" t="s">
        <v>178</v>
      </c>
      <c r="T11" t="s">
        <v>63</v>
      </c>
      <c r="Y11" t="s">
        <v>601</v>
      </c>
      <c r="Z11" t="s">
        <v>65</v>
      </c>
      <c r="AA11" t="s">
        <v>66</v>
      </c>
      <c r="AB11" t="s">
        <v>67</v>
      </c>
      <c r="AC11" t="s">
        <v>106</v>
      </c>
      <c r="AD11" t="s">
        <v>69</v>
      </c>
      <c r="AE11" t="s">
        <v>181</v>
      </c>
      <c r="AF11">
        <v>9</v>
      </c>
      <c r="AG11" s="1">
        <v>45705</v>
      </c>
      <c r="AH11" s="14">
        <v>0.34877314814814814</v>
      </c>
      <c r="AI11" s="14">
        <v>0.33333333333333331</v>
      </c>
      <c r="AJ11" t="s">
        <v>762</v>
      </c>
      <c r="AK11" t="s">
        <v>802</v>
      </c>
      <c r="AL11" t="s">
        <v>768</v>
      </c>
      <c r="AM11" t="s">
        <v>326</v>
      </c>
    </row>
    <row r="12" spans="1:39" x14ac:dyDescent="0.25">
      <c r="A12" t="s">
        <v>245</v>
      </c>
      <c r="B12" s="1">
        <v>45705</v>
      </c>
      <c r="C12" s="2">
        <v>0.39716435185185195</v>
      </c>
      <c r="D12" s="1"/>
      <c r="E12" s="14"/>
      <c r="F12" s="1">
        <v>45705</v>
      </c>
      <c r="G12" s="14">
        <v>0.39716435185185184</v>
      </c>
      <c r="H12" t="s">
        <v>594</v>
      </c>
      <c r="K12" t="s">
        <v>246</v>
      </c>
      <c r="L12" t="s">
        <v>247</v>
      </c>
      <c r="M12">
        <v>7</v>
      </c>
      <c r="N12" t="s">
        <v>248</v>
      </c>
      <c r="Q12" t="s">
        <v>634</v>
      </c>
      <c r="R12" t="s">
        <v>596</v>
      </c>
      <c r="S12" t="s">
        <v>178</v>
      </c>
      <c r="T12" t="s">
        <v>619</v>
      </c>
      <c r="Y12" t="s">
        <v>601</v>
      </c>
      <c r="Z12" t="s">
        <v>65</v>
      </c>
      <c r="AA12" t="s">
        <v>250</v>
      </c>
      <c r="AB12" t="s">
        <v>67</v>
      </c>
      <c r="AC12" t="s">
        <v>106</v>
      </c>
      <c r="AD12" t="s">
        <v>69</v>
      </c>
      <c r="AE12" t="s">
        <v>181</v>
      </c>
      <c r="AF12">
        <v>9</v>
      </c>
      <c r="AG12" s="1">
        <v>45705</v>
      </c>
      <c r="AH12" s="14">
        <v>0.39716435185185184</v>
      </c>
      <c r="AI12" s="14">
        <v>0.375</v>
      </c>
      <c r="AJ12" t="s">
        <v>762</v>
      </c>
      <c r="AK12" t="s">
        <v>803</v>
      </c>
      <c r="AL12" t="s">
        <v>594</v>
      </c>
      <c r="AM12" t="s">
        <v>326</v>
      </c>
    </row>
    <row r="13" spans="1:39" x14ac:dyDescent="0.25">
      <c r="A13" t="s">
        <v>251</v>
      </c>
      <c r="B13" s="1">
        <v>45713</v>
      </c>
      <c r="C13" s="2">
        <v>0.41666666666666674</v>
      </c>
      <c r="D13" s="1">
        <v>45713</v>
      </c>
      <c r="E13" s="14">
        <v>0.95833333333333337</v>
      </c>
      <c r="F13" s="1">
        <v>45712</v>
      </c>
      <c r="G13" s="14">
        <v>0.99136574074074069</v>
      </c>
      <c r="H13" t="s">
        <v>594</v>
      </c>
      <c r="K13" t="s">
        <v>252</v>
      </c>
      <c r="L13" t="s">
        <v>198</v>
      </c>
      <c r="M13">
        <v>5</v>
      </c>
      <c r="N13" t="s">
        <v>253</v>
      </c>
      <c r="Q13" t="s">
        <v>254</v>
      </c>
      <c r="R13" t="s">
        <v>596</v>
      </c>
      <c r="S13" t="s">
        <v>255</v>
      </c>
      <c r="T13" t="s">
        <v>256</v>
      </c>
      <c r="Y13" t="s">
        <v>597</v>
      </c>
      <c r="Z13" t="s">
        <v>65</v>
      </c>
      <c r="AA13" t="s">
        <v>139</v>
      </c>
      <c r="AB13" t="s">
        <v>140</v>
      </c>
      <c r="AC13" t="s">
        <v>141</v>
      </c>
      <c r="AD13" t="s">
        <v>665</v>
      </c>
      <c r="AE13" t="s">
        <v>181</v>
      </c>
      <c r="AF13">
        <v>9</v>
      </c>
      <c r="AG13" s="1">
        <v>45713</v>
      </c>
      <c r="AH13" s="14">
        <v>0.41666666666666669</v>
      </c>
      <c r="AI13" s="14">
        <v>0.41666666666666669</v>
      </c>
      <c r="AJ13" t="s">
        <v>762</v>
      </c>
      <c r="AK13" t="s">
        <v>804</v>
      </c>
      <c r="AL13" t="s">
        <v>594</v>
      </c>
      <c r="AM13" t="s">
        <v>326</v>
      </c>
    </row>
    <row r="14" spans="1:39" x14ac:dyDescent="0.25">
      <c r="A14" t="s">
        <v>393</v>
      </c>
      <c r="B14" s="1">
        <v>45737</v>
      </c>
      <c r="C14" s="2">
        <v>0.32499999999999996</v>
      </c>
      <c r="D14" s="1"/>
      <c r="E14" s="14"/>
      <c r="F14" s="1">
        <v>45737</v>
      </c>
      <c r="G14" s="14">
        <v>0.59714120370370372</v>
      </c>
      <c r="H14" t="s">
        <v>594</v>
      </c>
      <c r="K14" t="s">
        <v>394</v>
      </c>
      <c r="L14" t="s">
        <v>206</v>
      </c>
      <c r="M14">
        <v>6</v>
      </c>
      <c r="N14" t="s">
        <v>395</v>
      </c>
      <c r="Q14" t="s">
        <v>396</v>
      </c>
      <c r="R14" t="s">
        <v>671</v>
      </c>
      <c r="T14" t="s">
        <v>63</v>
      </c>
      <c r="Y14" t="s">
        <v>668</v>
      </c>
      <c r="Z14" t="s">
        <v>65</v>
      </c>
      <c r="AA14" t="s">
        <v>128</v>
      </c>
      <c r="AB14" t="s">
        <v>80</v>
      </c>
      <c r="AC14" t="s">
        <v>152</v>
      </c>
      <c r="AD14" t="s">
        <v>211</v>
      </c>
      <c r="AE14" t="s">
        <v>181</v>
      </c>
      <c r="AF14">
        <v>9</v>
      </c>
      <c r="AG14" s="1">
        <v>45737</v>
      </c>
      <c r="AH14" s="14">
        <v>0.32500000000000001</v>
      </c>
      <c r="AI14" s="14">
        <v>0.29166666666666669</v>
      </c>
      <c r="AJ14" t="s">
        <v>766</v>
      </c>
      <c r="AK14" t="s">
        <v>806</v>
      </c>
      <c r="AL14" t="s">
        <v>594</v>
      </c>
      <c r="AM14" t="s">
        <v>326</v>
      </c>
    </row>
    <row r="15" spans="1:39" x14ac:dyDescent="0.25">
      <c r="A15" t="s">
        <v>455</v>
      </c>
      <c r="B15" s="1">
        <v>45744</v>
      </c>
      <c r="C15" s="2">
        <v>0.85416666666666674</v>
      </c>
      <c r="D15" s="1">
        <v>45745</v>
      </c>
      <c r="E15" s="14">
        <v>0.41666666666666669</v>
      </c>
      <c r="F15" s="1">
        <v>45745</v>
      </c>
      <c r="G15" s="14">
        <v>0.42986111111111114</v>
      </c>
      <c r="H15" t="s">
        <v>594</v>
      </c>
      <c r="K15" t="s">
        <v>456</v>
      </c>
      <c r="L15" t="s">
        <v>306</v>
      </c>
      <c r="M15">
        <v>8</v>
      </c>
      <c r="N15" t="s">
        <v>457</v>
      </c>
      <c r="Q15" t="s">
        <v>458</v>
      </c>
      <c r="R15" t="s">
        <v>679</v>
      </c>
      <c r="S15" t="s">
        <v>460</v>
      </c>
      <c r="T15" t="s">
        <v>63</v>
      </c>
      <c r="Y15" t="s">
        <v>674</v>
      </c>
      <c r="Z15" t="s">
        <v>65</v>
      </c>
      <c r="AA15" t="s">
        <v>461</v>
      </c>
      <c r="AB15" t="s">
        <v>462</v>
      </c>
      <c r="AC15" t="s">
        <v>141</v>
      </c>
      <c r="AD15" t="s">
        <v>69</v>
      </c>
      <c r="AE15" t="s">
        <v>181</v>
      </c>
      <c r="AF15">
        <v>9</v>
      </c>
      <c r="AG15" s="1">
        <v>45744</v>
      </c>
      <c r="AH15" s="14">
        <v>0.85416666666666663</v>
      </c>
      <c r="AI15" s="14">
        <v>0.83333333333333337</v>
      </c>
      <c r="AJ15" t="s">
        <v>764</v>
      </c>
      <c r="AK15" t="s">
        <v>808</v>
      </c>
      <c r="AL15" t="s">
        <v>594</v>
      </c>
      <c r="AM15" t="s">
        <v>326</v>
      </c>
    </row>
    <row r="16" spans="1:39" x14ac:dyDescent="0.25">
      <c r="A16" t="s">
        <v>709</v>
      </c>
      <c r="B16" s="1">
        <v>45772</v>
      </c>
      <c r="C16" s="2">
        <v>0.5</v>
      </c>
      <c r="D16" s="1">
        <v>45775</v>
      </c>
      <c r="E16" s="14">
        <v>0.625</v>
      </c>
      <c r="F16" s="1">
        <v>45775</v>
      </c>
      <c r="G16" s="14">
        <v>0.66496527777777781</v>
      </c>
      <c r="H16" t="s">
        <v>594</v>
      </c>
      <c r="K16" t="s">
        <v>710</v>
      </c>
      <c r="L16" t="s">
        <v>175</v>
      </c>
      <c r="M16">
        <v>9</v>
      </c>
      <c r="N16" t="s">
        <v>748</v>
      </c>
      <c r="Q16" t="s">
        <v>722</v>
      </c>
      <c r="R16" t="s">
        <v>723</v>
      </c>
      <c r="S16" t="s">
        <v>724</v>
      </c>
      <c r="T16" t="s">
        <v>63</v>
      </c>
      <c r="Y16" t="s">
        <v>677</v>
      </c>
      <c r="Z16" t="s">
        <v>65</v>
      </c>
      <c r="AA16" t="s">
        <v>411</v>
      </c>
      <c r="AB16" t="s">
        <v>105</v>
      </c>
      <c r="AC16" t="s">
        <v>161</v>
      </c>
      <c r="AD16" t="s">
        <v>211</v>
      </c>
      <c r="AE16" t="s">
        <v>181</v>
      </c>
      <c r="AF16">
        <v>9</v>
      </c>
      <c r="AG16" s="1">
        <v>45772</v>
      </c>
      <c r="AH16" s="14">
        <v>0.5</v>
      </c>
      <c r="AI16" s="14">
        <v>0.5</v>
      </c>
      <c r="AJ16" t="s">
        <v>761</v>
      </c>
      <c r="AK16" t="s">
        <v>810</v>
      </c>
      <c r="AL16" t="s">
        <v>594</v>
      </c>
      <c r="AM16" t="s">
        <v>326</v>
      </c>
    </row>
    <row r="17" spans="1:39" x14ac:dyDescent="0.25">
      <c r="A17" t="s">
        <v>711</v>
      </c>
      <c r="B17" s="1">
        <v>45776</v>
      </c>
      <c r="C17" s="2">
        <v>0.5625</v>
      </c>
      <c r="D17" s="1"/>
      <c r="E17" s="14"/>
      <c r="F17" s="1">
        <v>45776</v>
      </c>
      <c r="G17" s="14">
        <v>0.61762731481481481</v>
      </c>
      <c r="H17" t="s">
        <v>594</v>
      </c>
      <c r="K17" t="s">
        <v>650</v>
      </c>
      <c r="L17" t="s">
        <v>306</v>
      </c>
      <c r="M17">
        <v>8</v>
      </c>
      <c r="N17" t="s">
        <v>749</v>
      </c>
      <c r="Q17" t="s">
        <v>725</v>
      </c>
      <c r="R17" t="s">
        <v>609</v>
      </c>
      <c r="S17" t="s">
        <v>726</v>
      </c>
      <c r="T17" t="s">
        <v>63</v>
      </c>
      <c r="Y17" t="s">
        <v>699</v>
      </c>
      <c r="Z17" t="s">
        <v>65</v>
      </c>
      <c r="AA17" t="s">
        <v>435</v>
      </c>
      <c r="AB17" t="s">
        <v>171</v>
      </c>
      <c r="AC17" t="s">
        <v>141</v>
      </c>
      <c r="AD17" t="s">
        <v>665</v>
      </c>
      <c r="AE17" t="s">
        <v>181</v>
      </c>
      <c r="AF17">
        <v>9</v>
      </c>
      <c r="AG17" s="1">
        <v>45776</v>
      </c>
      <c r="AH17" s="14">
        <v>0.5625</v>
      </c>
      <c r="AI17" s="14">
        <v>0.54166666666666663</v>
      </c>
      <c r="AJ17" t="s">
        <v>761</v>
      </c>
      <c r="AK17" t="s">
        <v>812</v>
      </c>
      <c r="AL17" t="s">
        <v>594</v>
      </c>
      <c r="AM17" t="s">
        <v>326</v>
      </c>
    </row>
    <row r="18" spans="1:39" x14ac:dyDescent="0.25">
      <c r="A18" t="s">
        <v>718</v>
      </c>
      <c r="B18" s="1">
        <v>45717</v>
      </c>
      <c r="C18" s="2">
        <v>0.25</v>
      </c>
      <c r="D18" s="1">
        <v>45780</v>
      </c>
      <c r="E18" s="14">
        <v>0.49583333333333335</v>
      </c>
      <c r="F18" s="1">
        <v>45780</v>
      </c>
      <c r="G18" s="14">
        <v>0.49972222222222223</v>
      </c>
      <c r="H18" t="s">
        <v>594</v>
      </c>
      <c r="K18" t="s">
        <v>719</v>
      </c>
      <c r="L18" t="s">
        <v>306</v>
      </c>
      <c r="M18">
        <v>8</v>
      </c>
      <c r="N18" t="s">
        <v>753</v>
      </c>
      <c r="Q18" t="s">
        <v>733</v>
      </c>
      <c r="R18" t="s">
        <v>734</v>
      </c>
      <c r="S18" t="s">
        <v>735</v>
      </c>
      <c r="T18" t="s">
        <v>63</v>
      </c>
      <c r="Y18" t="s">
        <v>597</v>
      </c>
      <c r="Z18" t="s">
        <v>65</v>
      </c>
      <c r="AA18" t="s">
        <v>591</v>
      </c>
      <c r="AB18" t="s">
        <v>443</v>
      </c>
      <c r="AC18" t="s">
        <v>93</v>
      </c>
      <c r="AD18" t="s">
        <v>107</v>
      </c>
      <c r="AF18">
        <v>9</v>
      </c>
      <c r="AG18" s="1">
        <v>45717</v>
      </c>
      <c r="AH18" s="14">
        <v>0.25</v>
      </c>
      <c r="AI18" s="14">
        <v>0.25</v>
      </c>
      <c r="AJ18" t="s">
        <v>766</v>
      </c>
      <c r="AK18" t="s">
        <v>814</v>
      </c>
      <c r="AL18" t="s">
        <v>594</v>
      </c>
      <c r="AM18" t="s">
        <v>326</v>
      </c>
    </row>
    <row r="19" spans="1:39" x14ac:dyDescent="0.25">
      <c r="A19" t="s">
        <v>720</v>
      </c>
      <c r="C19" s="2"/>
      <c r="D19" s="1"/>
      <c r="E19" s="14"/>
      <c r="F19" s="1">
        <v>45782</v>
      </c>
      <c r="G19" s="14">
        <v>0.75549768518518523</v>
      </c>
      <c r="H19" t="s">
        <v>594</v>
      </c>
      <c r="K19" t="s">
        <v>721</v>
      </c>
      <c r="L19" t="s">
        <v>588</v>
      </c>
      <c r="M19">
        <v>9</v>
      </c>
      <c r="N19" t="s">
        <v>754</v>
      </c>
      <c r="Q19" t="s">
        <v>736</v>
      </c>
      <c r="R19" t="s">
        <v>606</v>
      </c>
      <c r="S19" t="s">
        <v>737</v>
      </c>
      <c r="T19" t="s">
        <v>619</v>
      </c>
      <c r="Z19" t="s">
        <v>738</v>
      </c>
      <c r="AA19" t="s">
        <v>104</v>
      </c>
      <c r="AB19" t="s">
        <v>105</v>
      </c>
      <c r="AF19">
        <v>9</v>
      </c>
      <c r="AG19" s="1">
        <v>45782</v>
      </c>
      <c r="AH19" s="14">
        <v>0.75549768518518523</v>
      </c>
      <c r="AI19" s="14">
        <v>0.75</v>
      </c>
      <c r="AJ19" t="s">
        <v>765</v>
      </c>
      <c r="AK19" t="s">
        <v>816</v>
      </c>
      <c r="AL19" t="s">
        <v>594</v>
      </c>
      <c r="AM19" t="s">
        <v>326</v>
      </c>
    </row>
    <row r="20" spans="1:39" x14ac:dyDescent="0.25">
      <c r="A20" t="s">
        <v>892</v>
      </c>
      <c r="B20" s="1">
        <v>45782</v>
      </c>
      <c r="C20" s="2">
        <v>0.74097222222222214</v>
      </c>
      <c r="D20" s="1"/>
      <c r="E20" s="14"/>
      <c r="F20" s="1">
        <v>45791</v>
      </c>
      <c r="G20" s="14">
        <v>0.64642361111111113</v>
      </c>
      <c r="H20" t="s">
        <v>594</v>
      </c>
      <c r="I20" t="s">
        <v>157</v>
      </c>
      <c r="K20" t="s">
        <v>893</v>
      </c>
      <c r="L20" t="s">
        <v>159</v>
      </c>
      <c r="M20">
        <v>9</v>
      </c>
      <c r="N20" t="s">
        <v>894</v>
      </c>
      <c r="R20" t="s">
        <v>624</v>
      </c>
      <c r="S20" t="s">
        <v>895</v>
      </c>
      <c r="Y20" t="s">
        <v>597</v>
      </c>
      <c r="Z20" t="s">
        <v>65</v>
      </c>
      <c r="AA20" t="s">
        <v>167</v>
      </c>
      <c r="AB20" t="s">
        <v>140</v>
      </c>
      <c r="AC20" t="s">
        <v>161</v>
      </c>
      <c r="AD20" t="s">
        <v>162</v>
      </c>
      <c r="AF20">
        <v>9</v>
      </c>
      <c r="AG20" s="1">
        <v>45782</v>
      </c>
      <c r="AH20" s="14">
        <v>0.74097222222222225</v>
      </c>
      <c r="AI20" s="14">
        <v>0.70833333333333337</v>
      </c>
      <c r="AJ20" t="s">
        <v>765</v>
      </c>
      <c r="AK20" t="s">
        <v>896</v>
      </c>
      <c r="AL20" t="s">
        <v>897</v>
      </c>
      <c r="AM20" t="s">
        <v>326</v>
      </c>
    </row>
    <row r="21" spans="1:39" x14ac:dyDescent="0.25">
      <c r="A21" t="s">
        <v>898</v>
      </c>
      <c r="B21" s="1">
        <v>45789</v>
      </c>
      <c r="C21" s="2">
        <v>0.8125</v>
      </c>
      <c r="D21" s="1">
        <v>45789</v>
      </c>
      <c r="E21" s="14">
        <v>0.85069444444444442</v>
      </c>
      <c r="F21" s="1">
        <v>45792</v>
      </c>
      <c r="G21" s="14">
        <v>0.34418981481481481</v>
      </c>
      <c r="H21" t="s">
        <v>594</v>
      </c>
      <c r="K21" t="s">
        <v>899</v>
      </c>
      <c r="L21" t="s">
        <v>424</v>
      </c>
      <c r="N21" t="s">
        <v>900</v>
      </c>
      <c r="Q21" t="s">
        <v>901</v>
      </c>
      <c r="R21" t="s">
        <v>902</v>
      </c>
      <c r="S21" t="s">
        <v>903</v>
      </c>
      <c r="T21" t="s">
        <v>63</v>
      </c>
      <c r="Y21" t="s">
        <v>882</v>
      </c>
      <c r="Z21" t="s">
        <v>65</v>
      </c>
      <c r="AA21" t="s">
        <v>467</v>
      </c>
      <c r="AB21" t="s">
        <v>262</v>
      </c>
      <c r="AC21" t="s">
        <v>374</v>
      </c>
      <c r="AD21" t="s">
        <v>107</v>
      </c>
      <c r="AF21">
        <v>9</v>
      </c>
      <c r="AG21" s="1">
        <v>45789</v>
      </c>
      <c r="AH21" s="14">
        <v>0.8125</v>
      </c>
      <c r="AI21" s="14">
        <v>0.79166666666666663</v>
      </c>
      <c r="AJ21" t="s">
        <v>765</v>
      </c>
      <c r="AK21" t="s">
        <v>904</v>
      </c>
      <c r="AL21" t="s">
        <v>594</v>
      </c>
      <c r="AM21" t="s">
        <v>326</v>
      </c>
    </row>
    <row r="22" spans="1:39" x14ac:dyDescent="0.25">
      <c r="A22" t="s">
        <v>909</v>
      </c>
      <c r="B22" s="1">
        <v>45795</v>
      </c>
      <c r="C22" s="2">
        <v>0.8125</v>
      </c>
      <c r="D22" s="1"/>
      <c r="E22" s="14"/>
      <c r="F22" s="1">
        <v>45796</v>
      </c>
      <c r="G22" s="14">
        <v>0.81428240740740743</v>
      </c>
      <c r="H22" t="s">
        <v>594</v>
      </c>
      <c r="K22" t="s">
        <v>910</v>
      </c>
      <c r="L22" t="s">
        <v>159</v>
      </c>
      <c r="M22">
        <v>9</v>
      </c>
      <c r="N22" t="s">
        <v>911</v>
      </c>
      <c r="Q22" t="s">
        <v>912</v>
      </c>
      <c r="R22" t="s">
        <v>624</v>
      </c>
      <c r="S22" t="s">
        <v>913</v>
      </c>
      <c r="T22" t="s">
        <v>63</v>
      </c>
      <c r="Y22" t="s">
        <v>697</v>
      </c>
      <c r="Z22" t="s">
        <v>65</v>
      </c>
      <c r="AA22" t="s">
        <v>117</v>
      </c>
      <c r="AB22" t="s">
        <v>67</v>
      </c>
      <c r="AC22" t="s">
        <v>161</v>
      </c>
      <c r="AD22" t="s">
        <v>162</v>
      </c>
      <c r="AF22">
        <v>9</v>
      </c>
      <c r="AG22" s="1">
        <v>45795</v>
      </c>
      <c r="AH22" s="14">
        <v>0.8125</v>
      </c>
      <c r="AI22" s="14">
        <v>0.79166666666666663</v>
      </c>
      <c r="AJ22" t="s">
        <v>765</v>
      </c>
      <c r="AK22" t="s">
        <v>914</v>
      </c>
      <c r="AL22" t="s">
        <v>594</v>
      </c>
      <c r="AM22" t="s">
        <v>519</v>
      </c>
    </row>
    <row r="23" spans="1:39" x14ac:dyDescent="0.25">
      <c r="A23" t="s">
        <v>1001</v>
      </c>
      <c r="B23" s="1">
        <v>45810</v>
      </c>
      <c r="C23" s="2">
        <v>0.56944444444444442</v>
      </c>
      <c r="D23" s="1">
        <v>45811</v>
      </c>
      <c r="E23" s="14">
        <v>0.25</v>
      </c>
      <c r="F23" s="1">
        <v>45811</v>
      </c>
      <c r="G23" s="14">
        <v>0.25730324074074074</v>
      </c>
      <c r="H23" t="s">
        <v>594</v>
      </c>
      <c r="K23" t="s">
        <v>1002</v>
      </c>
      <c r="L23" t="s">
        <v>1003</v>
      </c>
      <c r="M23">
        <v>9</v>
      </c>
      <c r="N23" t="s">
        <v>1004</v>
      </c>
      <c r="Q23" t="s">
        <v>1005</v>
      </c>
      <c r="R23" t="s">
        <v>624</v>
      </c>
      <c r="S23" t="s">
        <v>1006</v>
      </c>
      <c r="T23" t="s">
        <v>63</v>
      </c>
      <c r="Y23" t="s">
        <v>668</v>
      </c>
      <c r="Z23" t="s">
        <v>65</v>
      </c>
      <c r="AA23" t="s">
        <v>310</v>
      </c>
      <c r="AB23" t="s">
        <v>67</v>
      </c>
      <c r="AC23" t="s">
        <v>1007</v>
      </c>
      <c r="AD23" t="s">
        <v>162</v>
      </c>
      <c r="AF23">
        <v>9</v>
      </c>
      <c r="AG23" s="1">
        <v>45810</v>
      </c>
      <c r="AH23" s="14">
        <v>0.56944444444444442</v>
      </c>
      <c r="AI23" s="14">
        <v>0.54166666666666663</v>
      </c>
      <c r="AJ23" t="s">
        <v>761</v>
      </c>
      <c r="AK23" t="s">
        <v>1008</v>
      </c>
      <c r="AL23" t="s">
        <v>594</v>
      </c>
      <c r="AM23" t="s">
        <v>519</v>
      </c>
    </row>
    <row r="24" spans="1:39" x14ac:dyDescent="0.25">
      <c r="A24" t="s">
        <v>1009</v>
      </c>
      <c r="B24" s="1">
        <v>45811</v>
      </c>
      <c r="C24" s="2">
        <v>0.81298611111111119</v>
      </c>
      <c r="D24" s="1"/>
      <c r="E24" s="14"/>
      <c r="F24" s="1">
        <v>45811</v>
      </c>
      <c r="G24" s="14">
        <v>0.81298611111111108</v>
      </c>
      <c r="H24" t="s">
        <v>594</v>
      </c>
      <c r="K24" t="s">
        <v>1010</v>
      </c>
      <c r="L24" t="s">
        <v>247</v>
      </c>
      <c r="M24">
        <v>7</v>
      </c>
      <c r="N24" t="s">
        <v>1011</v>
      </c>
      <c r="Q24" t="s">
        <v>1012</v>
      </c>
      <c r="R24" t="s">
        <v>1013</v>
      </c>
      <c r="S24" t="s">
        <v>1014</v>
      </c>
      <c r="T24" t="s">
        <v>63</v>
      </c>
      <c r="Y24" t="s">
        <v>674</v>
      </c>
      <c r="Z24" t="s">
        <v>65</v>
      </c>
      <c r="AA24" t="s">
        <v>426</v>
      </c>
      <c r="AB24" t="s">
        <v>80</v>
      </c>
      <c r="AC24" t="s">
        <v>280</v>
      </c>
      <c r="AD24" t="s">
        <v>107</v>
      </c>
      <c r="AE24" t="s">
        <v>181</v>
      </c>
      <c r="AF24">
        <v>9</v>
      </c>
      <c r="AG24" s="1">
        <v>45811</v>
      </c>
      <c r="AH24" s="14">
        <v>0.81298611111111108</v>
      </c>
      <c r="AI24" s="14">
        <v>0.79166666666666663</v>
      </c>
      <c r="AJ24" t="s">
        <v>765</v>
      </c>
      <c r="AK24" t="s">
        <v>827</v>
      </c>
      <c r="AL24" t="s">
        <v>594</v>
      </c>
      <c r="AM24" t="s">
        <v>929</v>
      </c>
    </row>
  </sheetData>
  <phoneticPr fontId="10" type="noConversion"/>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7ECCB-3D99-4AB8-84DA-F400DD1D22B9}">
  <sheetPr codeName="Sheet40">
    <tabColor rgb="FFFFC000"/>
  </sheetPr>
  <dimension ref="A1:BI47"/>
  <sheetViews>
    <sheetView topLeftCell="AJ1" workbookViewId="0">
      <selection activeCell="AL19" sqref="AL19"/>
    </sheetView>
  </sheetViews>
  <sheetFormatPr defaultRowHeight="15" x14ac:dyDescent="0.25"/>
  <cols>
    <col min="1" max="1" width="15.140625" bestFit="1" customWidth="1"/>
    <col min="2" max="2" width="14.7109375"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27.28515625" bestFit="1" customWidth="1"/>
    <col min="9" max="9" width="36.28515625" bestFit="1" customWidth="1"/>
    <col min="10" max="10" width="24.85546875" bestFit="1" customWidth="1"/>
    <col min="11" max="11" width="58.1406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7109375" bestFit="1" customWidth="1"/>
    <col min="19" max="19" width="10.140625" bestFit="1" customWidth="1"/>
    <col min="20" max="20" width="13" bestFit="1" customWidth="1"/>
    <col min="21" max="21" width="15.5703125" bestFit="1" customWidth="1"/>
    <col min="22" max="22" width="13" bestFit="1" customWidth="1"/>
    <col min="23" max="23" width="9.28515625" bestFit="1" customWidth="1"/>
    <col min="24" max="24" width="10.140625" bestFit="1" customWidth="1"/>
    <col min="25" max="25" width="14.7109375" bestFit="1" customWidth="1"/>
    <col min="26" max="26" width="15.7109375" bestFit="1" customWidth="1"/>
    <col min="27" max="27" width="29.42578125" bestFit="1" customWidth="1"/>
    <col min="28" max="28" width="8.7109375" bestFit="1" customWidth="1"/>
    <col min="29" max="29" width="26.85546875" bestFit="1" customWidth="1"/>
    <col min="30" max="30" width="29.140625" bestFit="1" customWidth="1"/>
    <col min="31" max="31" width="45.85546875"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48.140625" bestFit="1" customWidth="1"/>
    <col min="38" max="38" width="63.28515625" bestFit="1" customWidth="1"/>
    <col min="39" max="39" width="9.140625" bestFit="1" customWidth="1"/>
    <col min="40" max="40" width="11.85546875" bestFit="1" customWidth="1"/>
    <col min="41" max="41" width="12" bestFit="1" customWidth="1"/>
    <col min="42" max="42" width="14.42578125" bestFit="1" customWidth="1"/>
    <col min="43" max="43" width="22.7109375" bestFit="1" customWidth="1"/>
    <col min="44" max="44" width="25.7109375" bestFit="1" customWidth="1"/>
    <col min="45" max="45" width="12.28515625" bestFit="1" customWidth="1"/>
    <col min="46" max="46" width="15" bestFit="1" customWidth="1"/>
    <col min="47" max="47" width="7.28515625" bestFit="1" customWidth="1"/>
    <col min="48" max="48" width="15.42578125" bestFit="1" customWidth="1"/>
    <col min="49" max="49" width="17.42578125" bestFit="1" customWidth="1"/>
    <col min="50" max="50" width="6.5703125" bestFit="1" customWidth="1"/>
    <col min="51" max="51" width="13.28515625" bestFit="1" customWidth="1"/>
    <col min="52" max="52" width="48.140625" bestFit="1" customWidth="1"/>
    <col min="53" max="53" width="58.140625" bestFit="1" customWidth="1"/>
    <col min="54" max="54" width="6" bestFit="1" customWidth="1"/>
    <col min="55" max="55" width="8.5703125" bestFit="1" customWidth="1"/>
    <col min="56" max="56" width="15.7109375" bestFit="1" customWidth="1"/>
    <col min="57" max="57" width="10.140625" bestFit="1" customWidth="1"/>
    <col min="58" max="58" width="26.42578125" bestFit="1" customWidth="1"/>
    <col min="59" max="59" width="16.5703125" bestFit="1" customWidth="1"/>
    <col min="60" max="61" width="25.7109375" customWidth="1"/>
    <col min="62" max="62" width="12.28515625" bestFit="1" customWidth="1"/>
    <col min="63" max="63" width="12" bestFit="1" customWidth="1"/>
    <col min="64" max="64" width="13.140625" bestFit="1" customWidth="1"/>
    <col min="65" max="65" width="16.85546875" bestFit="1" customWidth="1"/>
  </cols>
  <sheetData>
    <row r="1" spans="1:61" x14ac:dyDescent="0.25">
      <c r="A1" t="s">
        <v>0</v>
      </c>
      <c r="B1" t="s">
        <v>643</v>
      </c>
      <c r="C1" t="s">
        <v>36</v>
      </c>
      <c r="D1" t="s">
        <v>37</v>
      </c>
      <c r="E1" t="s">
        <v>38</v>
      </c>
      <c r="F1" t="s">
        <v>39</v>
      </c>
      <c r="G1" t="s">
        <v>40</v>
      </c>
      <c r="H1" t="s">
        <v>9</v>
      </c>
      <c r="I1" t="s">
        <v>11</v>
      </c>
      <c r="J1" t="s">
        <v>12</v>
      </c>
      <c r="K1" t="s">
        <v>13</v>
      </c>
      <c r="L1" t="s">
        <v>14</v>
      </c>
      <c r="M1" t="s">
        <v>15</v>
      </c>
      <c r="N1" t="s">
        <v>16</v>
      </c>
      <c r="O1" t="s">
        <v>17</v>
      </c>
      <c r="P1" t="s">
        <v>18</v>
      </c>
      <c r="Q1" t="s">
        <v>19</v>
      </c>
      <c r="R1" t="s">
        <v>20</v>
      </c>
      <c r="S1" t="s">
        <v>21</v>
      </c>
      <c r="T1" t="s">
        <v>22</v>
      </c>
      <c r="U1" t="s">
        <v>23</v>
      </c>
      <c r="V1" t="s">
        <v>24</v>
      </c>
      <c r="W1" t="s">
        <v>25</v>
      </c>
      <c r="X1" t="s">
        <v>26</v>
      </c>
      <c r="Y1" t="s">
        <v>27</v>
      </c>
      <c r="Z1" t="s">
        <v>28</v>
      </c>
      <c r="AA1" t="s">
        <v>29</v>
      </c>
      <c r="AB1" t="s">
        <v>30</v>
      </c>
      <c r="AC1" t="s">
        <v>31</v>
      </c>
      <c r="AD1" t="s">
        <v>32</v>
      </c>
      <c r="AE1" t="s">
        <v>644</v>
      </c>
      <c r="AF1" t="s">
        <v>34</v>
      </c>
      <c r="AG1" t="s">
        <v>35</v>
      </c>
      <c r="AH1" t="s">
        <v>647</v>
      </c>
      <c r="AI1" t="s">
        <v>648</v>
      </c>
      <c r="AJ1" t="s">
        <v>649</v>
      </c>
      <c r="AK1" t="s">
        <v>592</v>
      </c>
      <c r="AL1" t="s">
        <v>10</v>
      </c>
      <c r="AM1" t="s">
        <v>845</v>
      </c>
      <c r="AN1" t="s">
        <v>4</v>
      </c>
      <c r="AO1" t="s">
        <v>1</v>
      </c>
      <c r="AP1" t="s">
        <v>3</v>
      </c>
      <c r="AQ1" t="s">
        <v>46</v>
      </c>
      <c r="AR1" t="s">
        <v>2</v>
      </c>
      <c r="AS1" t="s">
        <v>5</v>
      </c>
      <c r="AT1" t="s">
        <v>6</v>
      </c>
      <c r="AU1" t="s">
        <v>41</v>
      </c>
      <c r="AV1" t="s">
        <v>42</v>
      </c>
      <c r="AW1" t="s">
        <v>43</v>
      </c>
      <c r="AX1" t="s">
        <v>44</v>
      </c>
      <c r="AY1" t="s">
        <v>45</v>
      </c>
      <c r="AZ1" t="s">
        <v>972</v>
      </c>
      <c r="BA1" t="s">
        <v>8</v>
      </c>
      <c r="BB1" t="s">
        <v>47</v>
      </c>
      <c r="BC1" t="s">
        <v>329</v>
      </c>
      <c r="BD1" t="s">
        <v>48</v>
      </c>
      <c r="BE1" t="s">
        <v>49</v>
      </c>
      <c r="BF1" t="s">
        <v>50</v>
      </c>
      <c r="BG1" t="s">
        <v>51</v>
      </c>
      <c r="BH1" t="s">
        <v>52</v>
      </c>
      <c r="BI1" t="s">
        <v>783</v>
      </c>
    </row>
    <row r="2" spans="1:61" x14ac:dyDescent="0.25">
      <c r="A2" t="s">
        <v>173</v>
      </c>
      <c r="B2">
        <v>45660</v>
      </c>
      <c r="C2" s="2">
        <v>0.89583333333333326</v>
      </c>
      <c r="D2" s="1">
        <v>45661</v>
      </c>
      <c r="E2" s="14">
        <v>0.2673611111111111</v>
      </c>
      <c r="F2" s="1">
        <v>45661</v>
      </c>
      <c r="G2" s="14">
        <v>0.45774305555555556</v>
      </c>
      <c r="H2" t="s">
        <v>594</v>
      </c>
      <c r="K2" t="s">
        <v>174</v>
      </c>
      <c r="L2" t="s">
        <v>175</v>
      </c>
      <c r="M2">
        <v>9</v>
      </c>
      <c r="N2" t="s">
        <v>176</v>
      </c>
      <c r="Q2" t="s">
        <v>595</v>
      </c>
      <c r="R2" t="s">
        <v>596</v>
      </c>
      <c r="S2" t="s">
        <v>178</v>
      </c>
      <c r="T2" t="s">
        <v>63</v>
      </c>
      <c r="Y2" t="s">
        <v>597</v>
      </c>
      <c r="Z2" t="s">
        <v>65</v>
      </c>
      <c r="AA2" t="s">
        <v>179</v>
      </c>
      <c r="AB2" t="s">
        <v>171</v>
      </c>
      <c r="AC2" t="s">
        <v>180</v>
      </c>
      <c r="AD2" t="s">
        <v>69</v>
      </c>
      <c r="AE2" t="s">
        <v>181</v>
      </c>
      <c r="AF2">
        <v>9</v>
      </c>
      <c r="AG2" s="1">
        <v>45660</v>
      </c>
      <c r="AH2" s="14">
        <v>0.89583333333333337</v>
      </c>
      <c r="AI2" s="14">
        <v>0.875</v>
      </c>
      <c r="AJ2" t="s">
        <v>764</v>
      </c>
      <c r="AK2" t="s">
        <v>786</v>
      </c>
      <c r="AL2" t="s">
        <v>594</v>
      </c>
      <c r="AM2" t="s">
        <v>326</v>
      </c>
      <c r="AN2" s="14">
        <v>0.89583333333333337</v>
      </c>
      <c r="AO2" s="1">
        <v>45660</v>
      </c>
      <c r="AP2" s="14">
        <v>0.875</v>
      </c>
      <c r="AQ2" s="2"/>
      <c r="AR2" t="s">
        <v>764</v>
      </c>
      <c r="AS2" t="s">
        <v>485</v>
      </c>
      <c r="AT2" t="s">
        <v>55</v>
      </c>
      <c r="AU2">
        <v>2025</v>
      </c>
      <c r="AV2">
        <v>1</v>
      </c>
      <c r="AW2">
        <v>1</v>
      </c>
      <c r="AX2">
        <v>3</v>
      </c>
      <c r="AY2">
        <v>3</v>
      </c>
      <c r="AZ2" t="s">
        <v>786</v>
      </c>
      <c r="BA2" t="s">
        <v>174</v>
      </c>
      <c r="BD2" t="s">
        <v>787</v>
      </c>
      <c r="BG2" t="s">
        <v>947</v>
      </c>
      <c r="BH2" t="s">
        <v>764</v>
      </c>
      <c r="BI2" t="s">
        <v>764</v>
      </c>
    </row>
    <row r="3" spans="1:61" x14ac:dyDescent="0.25">
      <c r="A3" t="s">
        <v>53</v>
      </c>
      <c r="B3">
        <v>45663</v>
      </c>
      <c r="C3" s="2">
        <v>0.64583333333333326</v>
      </c>
      <c r="D3" s="1">
        <v>45667</v>
      </c>
      <c r="E3" s="14"/>
      <c r="F3" s="1">
        <v>45667</v>
      </c>
      <c r="G3" s="14">
        <v>0.82629629629629631</v>
      </c>
      <c r="H3" t="s">
        <v>600</v>
      </c>
      <c r="K3" t="s">
        <v>58</v>
      </c>
      <c r="M3">
        <v>7</v>
      </c>
      <c r="N3" t="s">
        <v>59</v>
      </c>
      <c r="Q3" t="s">
        <v>60</v>
      </c>
      <c r="R3" t="s">
        <v>596</v>
      </c>
      <c r="S3" t="s">
        <v>62</v>
      </c>
      <c r="T3" t="s">
        <v>63</v>
      </c>
      <c r="Y3" t="s">
        <v>601</v>
      </c>
      <c r="Z3" t="s">
        <v>65</v>
      </c>
      <c r="AA3" t="s">
        <v>66</v>
      </c>
      <c r="AB3" t="s">
        <v>67</v>
      </c>
      <c r="AC3" t="s">
        <v>68</v>
      </c>
      <c r="AD3" t="s">
        <v>107</v>
      </c>
      <c r="AE3" t="s">
        <v>70</v>
      </c>
      <c r="AF3">
        <v>9</v>
      </c>
      <c r="AG3" s="1">
        <v>45663</v>
      </c>
      <c r="AH3" s="14">
        <v>0.64583333333333337</v>
      </c>
      <c r="AI3" s="14">
        <v>0.625</v>
      </c>
      <c r="AJ3" t="s">
        <v>761</v>
      </c>
      <c r="AK3" t="s">
        <v>803</v>
      </c>
      <c r="AL3" t="s">
        <v>600</v>
      </c>
      <c r="AM3" t="s">
        <v>326</v>
      </c>
      <c r="AN3" s="14">
        <v>0.64583333333333337</v>
      </c>
      <c r="AO3" s="1">
        <v>45663</v>
      </c>
      <c r="AP3" s="14">
        <v>0.625</v>
      </c>
      <c r="AQ3" s="2"/>
      <c r="AR3" t="s">
        <v>761</v>
      </c>
      <c r="AS3" t="s">
        <v>636</v>
      </c>
      <c r="AT3" t="s">
        <v>55</v>
      </c>
      <c r="AU3">
        <v>2025</v>
      </c>
      <c r="AV3">
        <v>2</v>
      </c>
      <c r="AW3">
        <v>2</v>
      </c>
      <c r="AX3">
        <v>6</v>
      </c>
      <c r="AY3">
        <v>6</v>
      </c>
      <c r="AZ3" t="s">
        <v>803</v>
      </c>
      <c r="BA3" t="s">
        <v>58</v>
      </c>
      <c r="BD3" t="s">
        <v>948</v>
      </c>
      <c r="BG3" t="s">
        <v>949</v>
      </c>
      <c r="BH3" t="s">
        <v>761</v>
      </c>
      <c r="BI3" t="s">
        <v>761</v>
      </c>
    </row>
    <row r="4" spans="1:61" x14ac:dyDescent="0.25">
      <c r="A4" t="s">
        <v>182</v>
      </c>
      <c r="B4">
        <v>45672</v>
      </c>
      <c r="C4" s="2">
        <v>0.5398842592592592</v>
      </c>
      <c r="D4" s="1"/>
      <c r="E4" s="14"/>
      <c r="F4" s="1">
        <v>45672</v>
      </c>
      <c r="G4" s="14">
        <v>0.53988425925925931</v>
      </c>
      <c r="H4" t="s">
        <v>594</v>
      </c>
      <c r="K4" t="s">
        <v>183</v>
      </c>
      <c r="L4" t="s">
        <v>74</v>
      </c>
      <c r="M4">
        <v>8</v>
      </c>
      <c r="N4" t="s">
        <v>184</v>
      </c>
      <c r="Q4" t="s">
        <v>185</v>
      </c>
      <c r="R4" t="s">
        <v>596</v>
      </c>
      <c r="S4" t="s">
        <v>186</v>
      </c>
      <c r="T4" t="s">
        <v>63</v>
      </c>
      <c r="Y4" t="s">
        <v>607</v>
      </c>
      <c r="Z4" t="s">
        <v>65</v>
      </c>
      <c r="AA4" t="s">
        <v>187</v>
      </c>
      <c r="AB4" t="s">
        <v>188</v>
      </c>
      <c r="AC4" t="s">
        <v>68</v>
      </c>
      <c r="AD4" t="s">
        <v>69</v>
      </c>
      <c r="AE4" t="s">
        <v>181</v>
      </c>
      <c r="AF4">
        <v>9</v>
      </c>
      <c r="AG4" s="1">
        <v>45672</v>
      </c>
      <c r="AH4" s="14">
        <v>0.53988425925925931</v>
      </c>
      <c r="AI4" s="14">
        <v>0.5</v>
      </c>
      <c r="AJ4" t="s">
        <v>761</v>
      </c>
      <c r="AK4" t="s">
        <v>788</v>
      </c>
      <c r="AL4" t="s">
        <v>594</v>
      </c>
      <c r="AM4" t="s">
        <v>326</v>
      </c>
      <c r="AN4" s="14">
        <v>0.53988425925925931</v>
      </c>
      <c r="AO4" s="1">
        <v>45672</v>
      </c>
      <c r="AP4" s="14">
        <v>0.5</v>
      </c>
      <c r="AQ4" s="2"/>
      <c r="AR4" t="s">
        <v>761</v>
      </c>
      <c r="AS4" t="s">
        <v>637</v>
      </c>
      <c r="AT4" t="s">
        <v>55</v>
      </c>
      <c r="AU4">
        <v>2025</v>
      </c>
      <c r="AV4">
        <v>3</v>
      </c>
      <c r="AW4">
        <v>3</v>
      </c>
      <c r="AX4">
        <v>15</v>
      </c>
      <c r="AY4">
        <v>15</v>
      </c>
      <c r="AZ4" t="s">
        <v>788</v>
      </c>
      <c r="BA4" t="s">
        <v>183</v>
      </c>
      <c r="BD4" t="s">
        <v>789</v>
      </c>
      <c r="BG4" t="s">
        <v>950</v>
      </c>
      <c r="BH4" t="s">
        <v>761</v>
      </c>
      <c r="BI4" t="s">
        <v>761</v>
      </c>
    </row>
    <row r="5" spans="1:61" x14ac:dyDescent="0.25">
      <c r="A5" t="s">
        <v>189</v>
      </c>
      <c r="B5">
        <v>45678</v>
      </c>
      <c r="C5" s="2">
        <v>0.79166666666666674</v>
      </c>
      <c r="D5" s="1">
        <v>45679</v>
      </c>
      <c r="E5" s="14">
        <v>0.13125000000000001</v>
      </c>
      <c r="F5" s="1">
        <v>45679</v>
      </c>
      <c r="G5" s="14">
        <v>0.13255787037037037</v>
      </c>
      <c r="H5" t="s">
        <v>594</v>
      </c>
      <c r="K5" t="s">
        <v>190</v>
      </c>
      <c r="L5" t="s">
        <v>159</v>
      </c>
      <c r="M5">
        <v>9</v>
      </c>
      <c r="N5" t="s">
        <v>191</v>
      </c>
      <c r="Q5" t="s">
        <v>192</v>
      </c>
      <c r="R5" t="s">
        <v>61</v>
      </c>
      <c r="S5" t="s">
        <v>193</v>
      </c>
      <c r="T5" t="s">
        <v>63</v>
      </c>
      <c r="Y5" t="s">
        <v>611</v>
      </c>
      <c r="Z5" t="s">
        <v>65</v>
      </c>
      <c r="AA5" t="s">
        <v>195</v>
      </c>
      <c r="AB5" t="s">
        <v>171</v>
      </c>
      <c r="AC5" t="s">
        <v>141</v>
      </c>
      <c r="AD5" t="s">
        <v>69</v>
      </c>
      <c r="AE5" t="s">
        <v>181</v>
      </c>
      <c r="AF5">
        <v>9</v>
      </c>
      <c r="AG5" s="1">
        <v>45678</v>
      </c>
      <c r="AH5" s="14">
        <v>0.79166666666666663</v>
      </c>
      <c r="AI5" s="14">
        <v>0.79166666666666663</v>
      </c>
      <c r="AJ5" t="s">
        <v>765</v>
      </c>
      <c r="AK5" t="s">
        <v>790</v>
      </c>
      <c r="AL5" t="s">
        <v>594</v>
      </c>
      <c r="AM5" t="s">
        <v>326</v>
      </c>
      <c r="AN5" s="14">
        <v>0.79166666666666663</v>
      </c>
      <c r="AO5" s="1">
        <v>45678</v>
      </c>
      <c r="AP5" s="14">
        <v>0.79166666666666663</v>
      </c>
      <c r="AQ5" s="2"/>
      <c r="AR5" t="s">
        <v>765</v>
      </c>
      <c r="AS5" t="s">
        <v>635</v>
      </c>
      <c r="AT5" t="s">
        <v>55</v>
      </c>
      <c r="AU5">
        <v>2025</v>
      </c>
      <c r="AV5">
        <v>4</v>
      </c>
      <c r="AW5">
        <v>4</v>
      </c>
      <c r="AX5">
        <v>21</v>
      </c>
      <c r="AY5">
        <v>21</v>
      </c>
      <c r="AZ5" t="s">
        <v>790</v>
      </c>
      <c r="BA5" t="s">
        <v>190</v>
      </c>
      <c r="BD5" t="s">
        <v>791</v>
      </c>
      <c r="BG5" t="s">
        <v>947</v>
      </c>
      <c r="BH5" t="s">
        <v>765</v>
      </c>
      <c r="BI5" t="s">
        <v>765</v>
      </c>
    </row>
    <row r="6" spans="1:61" x14ac:dyDescent="0.25">
      <c r="A6" t="s">
        <v>196</v>
      </c>
      <c r="B6">
        <v>45679</v>
      </c>
      <c r="C6" s="2">
        <v>0.33333333333333326</v>
      </c>
      <c r="D6" s="1">
        <v>45679</v>
      </c>
      <c r="E6" s="14">
        <v>0.80069444444444449</v>
      </c>
      <c r="F6" s="1">
        <v>45679</v>
      </c>
      <c r="G6" s="14">
        <v>0.80203703703703699</v>
      </c>
      <c r="H6" t="s">
        <v>594</v>
      </c>
      <c r="K6" t="s">
        <v>197</v>
      </c>
      <c r="L6" t="s">
        <v>198</v>
      </c>
      <c r="M6">
        <v>5</v>
      </c>
      <c r="N6" t="s">
        <v>199</v>
      </c>
      <c r="Q6" t="s">
        <v>200</v>
      </c>
      <c r="R6" t="s">
        <v>612</v>
      </c>
      <c r="S6" t="s">
        <v>202</v>
      </c>
      <c r="T6" t="s">
        <v>63</v>
      </c>
      <c r="Y6" t="s">
        <v>607</v>
      </c>
      <c r="Z6" t="s">
        <v>65</v>
      </c>
      <c r="AA6" t="s">
        <v>195</v>
      </c>
      <c r="AB6" t="s">
        <v>171</v>
      </c>
      <c r="AC6" t="s">
        <v>106</v>
      </c>
      <c r="AD6" t="s">
        <v>69</v>
      </c>
      <c r="AE6" t="s">
        <v>181</v>
      </c>
      <c r="AF6">
        <v>9</v>
      </c>
      <c r="AG6" s="1">
        <v>45679</v>
      </c>
      <c r="AH6" s="14">
        <v>0.33333333333333331</v>
      </c>
      <c r="AI6" s="14">
        <v>0.33333333333333331</v>
      </c>
      <c r="AJ6" t="s">
        <v>762</v>
      </c>
      <c r="AK6" t="s">
        <v>792</v>
      </c>
      <c r="AL6" t="s">
        <v>594</v>
      </c>
      <c r="AM6" t="s">
        <v>326</v>
      </c>
      <c r="AN6" s="14">
        <v>0.33333333333333331</v>
      </c>
      <c r="AO6" s="1">
        <v>45679</v>
      </c>
      <c r="AP6" s="14">
        <v>0.33333333333333331</v>
      </c>
      <c r="AQ6" s="2"/>
      <c r="AR6" t="s">
        <v>762</v>
      </c>
      <c r="AS6" t="s">
        <v>637</v>
      </c>
      <c r="AT6" t="s">
        <v>55</v>
      </c>
      <c r="AU6">
        <v>2025</v>
      </c>
      <c r="AV6">
        <v>4</v>
      </c>
      <c r="AW6">
        <v>4</v>
      </c>
      <c r="AX6">
        <v>22</v>
      </c>
      <c r="AY6">
        <v>22</v>
      </c>
      <c r="AZ6" t="s">
        <v>792</v>
      </c>
      <c r="BA6" t="s">
        <v>197</v>
      </c>
      <c r="BD6" t="s">
        <v>793</v>
      </c>
      <c r="BG6" t="s">
        <v>950</v>
      </c>
      <c r="BH6" t="s">
        <v>762</v>
      </c>
      <c r="BI6" t="s">
        <v>762</v>
      </c>
    </row>
    <row r="7" spans="1:61" x14ac:dyDescent="0.25">
      <c r="A7" t="s">
        <v>72</v>
      </c>
      <c r="B7">
        <v>45682</v>
      </c>
      <c r="C7" s="2">
        <v>0.76875000000000004</v>
      </c>
      <c r="D7" s="1"/>
      <c r="E7" s="14"/>
      <c r="F7" s="1">
        <v>45683</v>
      </c>
      <c r="G7" s="14">
        <v>0.44056712962962963</v>
      </c>
      <c r="H7" t="s">
        <v>600</v>
      </c>
      <c r="I7" t="s">
        <v>616</v>
      </c>
      <c r="K7" t="s">
        <v>73</v>
      </c>
      <c r="L7" t="s">
        <v>74</v>
      </c>
      <c r="M7">
        <v>8</v>
      </c>
      <c r="N7" t="s">
        <v>75</v>
      </c>
      <c r="Q7" t="s">
        <v>617</v>
      </c>
      <c r="R7" t="s">
        <v>596</v>
      </c>
      <c r="S7" t="s">
        <v>77</v>
      </c>
      <c r="T7" t="s">
        <v>63</v>
      </c>
      <c r="Y7" t="s">
        <v>615</v>
      </c>
      <c r="Z7" t="s">
        <v>65</v>
      </c>
      <c r="AA7" t="s">
        <v>79</v>
      </c>
      <c r="AB7" t="s">
        <v>80</v>
      </c>
      <c r="AC7" t="s">
        <v>81</v>
      </c>
      <c r="AD7" t="s">
        <v>82</v>
      </c>
      <c r="AE7" t="s">
        <v>70</v>
      </c>
      <c r="AF7">
        <v>9</v>
      </c>
      <c r="AG7" s="1">
        <v>45682</v>
      </c>
      <c r="AH7" s="14">
        <v>0.76875000000000004</v>
      </c>
      <c r="AI7" s="14">
        <v>0.75</v>
      </c>
      <c r="AJ7" t="s">
        <v>765</v>
      </c>
      <c r="AK7" t="s">
        <v>847</v>
      </c>
      <c r="AL7" t="s">
        <v>848</v>
      </c>
      <c r="AM7" t="s">
        <v>326</v>
      </c>
      <c r="AN7" s="14">
        <v>0.76875000000000004</v>
      </c>
      <c r="AO7" s="1">
        <v>45682</v>
      </c>
      <c r="AP7" s="14">
        <v>0.75</v>
      </c>
      <c r="AQ7" s="2"/>
      <c r="AR7" t="s">
        <v>765</v>
      </c>
      <c r="AS7" t="s">
        <v>639</v>
      </c>
      <c r="AT7" t="s">
        <v>55</v>
      </c>
      <c r="AU7">
        <v>2025</v>
      </c>
      <c r="AV7">
        <v>4</v>
      </c>
      <c r="AW7">
        <v>4</v>
      </c>
      <c r="AX7">
        <v>25</v>
      </c>
      <c r="AY7">
        <v>25</v>
      </c>
      <c r="AZ7" t="s">
        <v>847</v>
      </c>
      <c r="BA7" t="s">
        <v>73</v>
      </c>
      <c r="BD7" t="s">
        <v>951</v>
      </c>
      <c r="BG7" t="s">
        <v>947</v>
      </c>
      <c r="BH7" t="s">
        <v>765</v>
      </c>
      <c r="BI7" t="s">
        <v>765</v>
      </c>
    </row>
    <row r="8" spans="1:61" x14ac:dyDescent="0.25">
      <c r="A8" t="s">
        <v>84</v>
      </c>
      <c r="B8">
        <v>45683</v>
      </c>
      <c r="C8" s="2">
        <v>0.84027777777777768</v>
      </c>
      <c r="D8" s="1">
        <v>45683</v>
      </c>
      <c r="E8" s="14">
        <v>0.84652777777777777</v>
      </c>
      <c r="F8" s="1">
        <v>45683</v>
      </c>
      <c r="G8" s="14">
        <v>0.85009259259259262</v>
      </c>
      <c r="H8" t="s">
        <v>600</v>
      </c>
      <c r="I8" t="s">
        <v>616</v>
      </c>
      <c r="K8" t="s">
        <v>87</v>
      </c>
      <c r="L8" t="s">
        <v>88</v>
      </c>
      <c r="M8">
        <v>9</v>
      </c>
      <c r="N8" t="s">
        <v>89</v>
      </c>
      <c r="Q8" t="s">
        <v>618</v>
      </c>
      <c r="R8" t="s">
        <v>596</v>
      </c>
      <c r="S8" t="s">
        <v>91</v>
      </c>
      <c r="T8" t="s">
        <v>619</v>
      </c>
      <c r="Y8" t="s">
        <v>601</v>
      </c>
      <c r="Z8" t="s">
        <v>65</v>
      </c>
      <c r="AA8" t="s">
        <v>92</v>
      </c>
      <c r="AB8" t="s">
        <v>67</v>
      </c>
      <c r="AC8" t="s">
        <v>93</v>
      </c>
      <c r="AD8" t="s">
        <v>69</v>
      </c>
      <c r="AE8" t="s">
        <v>70</v>
      </c>
      <c r="AF8">
        <v>9</v>
      </c>
      <c r="AG8" s="1">
        <v>45683</v>
      </c>
      <c r="AH8" s="14">
        <v>0.84027777777777779</v>
      </c>
      <c r="AI8" s="14">
        <v>0.83333333333333337</v>
      </c>
      <c r="AJ8" t="s">
        <v>764</v>
      </c>
      <c r="AK8" t="s">
        <v>821</v>
      </c>
      <c r="AL8" t="s">
        <v>848</v>
      </c>
      <c r="AM8" t="s">
        <v>326</v>
      </c>
      <c r="AN8" s="14">
        <v>0.84027777777777779</v>
      </c>
      <c r="AO8" s="1">
        <v>45683</v>
      </c>
      <c r="AP8" s="14">
        <v>0.83333333333333337</v>
      </c>
      <c r="AQ8" s="2"/>
      <c r="AR8" t="s">
        <v>764</v>
      </c>
      <c r="AS8" t="s">
        <v>640</v>
      </c>
      <c r="AT8" t="s">
        <v>55</v>
      </c>
      <c r="AU8">
        <v>2025</v>
      </c>
      <c r="AV8">
        <v>5</v>
      </c>
      <c r="AW8">
        <v>5</v>
      </c>
      <c r="AX8">
        <v>26</v>
      </c>
      <c r="AY8">
        <v>26</v>
      </c>
      <c r="AZ8" t="s">
        <v>821</v>
      </c>
      <c r="BA8" t="s">
        <v>87</v>
      </c>
      <c r="BD8" t="s">
        <v>952</v>
      </c>
      <c r="BG8" t="s">
        <v>950</v>
      </c>
      <c r="BH8" t="s">
        <v>764</v>
      </c>
      <c r="BI8" t="s">
        <v>764</v>
      </c>
    </row>
    <row r="9" spans="1:61" x14ac:dyDescent="0.25">
      <c r="A9" t="s">
        <v>203</v>
      </c>
      <c r="B9">
        <v>45685</v>
      </c>
      <c r="C9" s="2">
        <v>0.625</v>
      </c>
      <c r="D9" s="1">
        <v>45686</v>
      </c>
      <c r="E9" s="14">
        <v>0.91736111111111107</v>
      </c>
      <c r="F9" s="1">
        <v>45686</v>
      </c>
      <c r="G9" s="14">
        <v>0.91833333333333333</v>
      </c>
      <c r="H9" t="s">
        <v>594</v>
      </c>
      <c r="I9" t="s">
        <v>616</v>
      </c>
      <c r="K9" t="s">
        <v>205</v>
      </c>
      <c r="L9" t="s">
        <v>206</v>
      </c>
      <c r="M9">
        <v>6</v>
      </c>
      <c r="N9" t="s">
        <v>207</v>
      </c>
      <c r="Q9" t="s">
        <v>620</v>
      </c>
      <c r="R9" t="s">
        <v>621</v>
      </c>
      <c r="S9" t="s">
        <v>210</v>
      </c>
      <c r="T9" t="s">
        <v>63</v>
      </c>
      <c r="Y9" t="s">
        <v>622</v>
      </c>
      <c r="Z9" t="s">
        <v>65</v>
      </c>
      <c r="AA9" t="s">
        <v>195</v>
      </c>
      <c r="AB9" t="s">
        <v>171</v>
      </c>
      <c r="AC9" t="s">
        <v>68</v>
      </c>
      <c r="AD9" t="s">
        <v>211</v>
      </c>
      <c r="AE9" t="s">
        <v>181</v>
      </c>
      <c r="AF9">
        <v>9</v>
      </c>
      <c r="AG9" s="1">
        <v>45685</v>
      </c>
      <c r="AH9" s="14">
        <v>0.625</v>
      </c>
      <c r="AI9" s="14">
        <v>0.625</v>
      </c>
      <c r="AJ9" t="s">
        <v>761</v>
      </c>
      <c r="AK9" t="s">
        <v>794</v>
      </c>
      <c r="AL9" t="s">
        <v>767</v>
      </c>
      <c r="AM9" t="s">
        <v>326</v>
      </c>
      <c r="AN9" s="14">
        <v>0.625</v>
      </c>
      <c r="AO9" s="1">
        <v>45685</v>
      </c>
      <c r="AP9" s="14">
        <v>0.625</v>
      </c>
      <c r="AQ9" s="2"/>
      <c r="AR9" t="s">
        <v>761</v>
      </c>
      <c r="AS9" t="s">
        <v>635</v>
      </c>
      <c r="AT9" t="s">
        <v>55</v>
      </c>
      <c r="AU9">
        <v>2025</v>
      </c>
      <c r="AV9">
        <v>5</v>
      </c>
      <c r="AW9">
        <v>5</v>
      </c>
      <c r="AX9">
        <v>28</v>
      </c>
      <c r="AY9">
        <v>28</v>
      </c>
      <c r="AZ9" t="s">
        <v>794</v>
      </c>
      <c r="BA9" t="s">
        <v>205</v>
      </c>
      <c r="BD9" t="s">
        <v>795</v>
      </c>
      <c r="BG9" t="s">
        <v>947</v>
      </c>
      <c r="BH9" t="s">
        <v>761</v>
      </c>
      <c r="BI9" t="s">
        <v>761</v>
      </c>
    </row>
    <row r="10" spans="1:61" x14ac:dyDescent="0.25">
      <c r="A10" t="s">
        <v>212</v>
      </c>
      <c r="B10">
        <v>45689</v>
      </c>
      <c r="C10" s="2">
        <v>4.1666666666666741E-2</v>
      </c>
      <c r="D10" s="1"/>
      <c r="E10" s="14">
        <v>0.10416666666666667</v>
      </c>
      <c r="F10" s="1">
        <v>45689</v>
      </c>
      <c r="G10" s="14">
        <v>0.11982638888888889</v>
      </c>
      <c r="H10" t="s">
        <v>594</v>
      </c>
      <c r="K10" t="s">
        <v>213</v>
      </c>
      <c r="L10" t="s">
        <v>214</v>
      </c>
      <c r="M10">
        <v>6</v>
      </c>
      <c r="N10" t="s">
        <v>215</v>
      </c>
      <c r="Q10" t="s">
        <v>623</v>
      </c>
      <c r="R10" t="s">
        <v>624</v>
      </c>
      <c r="S10" t="s">
        <v>217</v>
      </c>
      <c r="T10" t="s">
        <v>63</v>
      </c>
      <c r="Y10" t="s">
        <v>607</v>
      </c>
      <c r="Z10" t="s">
        <v>65</v>
      </c>
      <c r="AA10" t="s">
        <v>195</v>
      </c>
      <c r="AB10" t="s">
        <v>171</v>
      </c>
      <c r="AC10" t="s">
        <v>106</v>
      </c>
      <c r="AD10" t="s">
        <v>69</v>
      </c>
      <c r="AE10" t="s">
        <v>181</v>
      </c>
      <c r="AF10">
        <v>9</v>
      </c>
      <c r="AG10" s="1">
        <v>45689</v>
      </c>
      <c r="AH10" s="14">
        <v>4.1666666666666664E-2</v>
      </c>
      <c r="AI10" s="14">
        <v>4.1666666666666664E-2</v>
      </c>
      <c r="AJ10" t="s">
        <v>763</v>
      </c>
      <c r="AK10" t="s">
        <v>796</v>
      </c>
      <c r="AL10" t="s">
        <v>594</v>
      </c>
      <c r="AM10" t="s">
        <v>326</v>
      </c>
      <c r="AN10" s="14">
        <v>4.1666666666666664E-2</v>
      </c>
      <c r="AO10" s="1">
        <v>45689</v>
      </c>
      <c r="AP10" s="14">
        <v>4.1666666666666664E-2</v>
      </c>
      <c r="AQ10" s="2"/>
      <c r="AR10" t="s">
        <v>763</v>
      </c>
      <c r="AS10" t="s">
        <v>639</v>
      </c>
      <c r="AT10" t="s">
        <v>96</v>
      </c>
      <c r="AU10">
        <v>2025</v>
      </c>
      <c r="AV10">
        <v>5</v>
      </c>
      <c r="AW10">
        <v>1</v>
      </c>
      <c r="AX10">
        <v>1</v>
      </c>
      <c r="AY10">
        <v>32</v>
      </c>
      <c r="AZ10" t="s">
        <v>796</v>
      </c>
      <c r="BA10" t="s">
        <v>213</v>
      </c>
      <c r="BD10" t="s">
        <v>797</v>
      </c>
      <c r="BG10" t="s">
        <v>950</v>
      </c>
      <c r="BH10" t="s">
        <v>763</v>
      </c>
      <c r="BI10" t="s">
        <v>763</v>
      </c>
    </row>
    <row r="11" spans="1:61" x14ac:dyDescent="0.25">
      <c r="A11" t="s">
        <v>218</v>
      </c>
      <c r="B11">
        <v>45691</v>
      </c>
      <c r="C11" s="2">
        <v>0.77083333333333326</v>
      </c>
      <c r="D11" s="1">
        <v>45692</v>
      </c>
      <c r="E11" s="14">
        <v>0.79166666666666663</v>
      </c>
      <c r="F11" s="1">
        <v>45692</v>
      </c>
      <c r="G11" s="14">
        <v>0.53023148148148147</v>
      </c>
      <c r="H11" t="s">
        <v>594</v>
      </c>
      <c r="K11" t="s">
        <v>220</v>
      </c>
      <c r="L11" t="s">
        <v>221</v>
      </c>
      <c r="M11">
        <v>8</v>
      </c>
      <c r="N11" t="s">
        <v>222</v>
      </c>
      <c r="Q11" t="s">
        <v>625</v>
      </c>
      <c r="R11" t="s">
        <v>224</v>
      </c>
      <c r="S11" t="s">
        <v>626</v>
      </c>
      <c r="T11" t="s">
        <v>226</v>
      </c>
      <c r="Y11" t="s">
        <v>601</v>
      </c>
      <c r="Z11" t="s">
        <v>65</v>
      </c>
      <c r="AA11" t="s">
        <v>92</v>
      </c>
      <c r="AB11" t="s">
        <v>67</v>
      </c>
      <c r="AC11" t="s">
        <v>68</v>
      </c>
      <c r="AD11" t="s">
        <v>168</v>
      </c>
      <c r="AE11" t="s">
        <v>181</v>
      </c>
      <c r="AF11">
        <v>9</v>
      </c>
      <c r="AG11" s="1">
        <v>45691</v>
      </c>
      <c r="AH11" s="14">
        <v>0.77083333333333337</v>
      </c>
      <c r="AI11" s="14">
        <v>0.75</v>
      </c>
      <c r="AJ11" t="s">
        <v>765</v>
      </c>
      <c r="AK11" t="s">
        <v>219</v>
      </c>
      <c r="AL11" t="s">
        <v>594</v>
      </c>
      <c r="AM11" t="s">
        <v>326</v>
      </c>
      <c r="AN11" s="14">
        <v>0.77083333333333337</v>
      </c>
      <c r="AO11" s="1">
        <v>45691</v>
      </c>
      <c r="AP11" s="14">
        <v>0.75</v>
      </c>
      <c r="AQ11" s="2"/>
      <c r="AR11" t="s">
        <v>765</v>
      </c>
      <c r="AS11" t="s">
        <v>636</v>
      </c>
      <c r="AT11" t="s">
        <v>96</v>
      </c>
      <c r="AU11">
        <v>2025</v>
      </c>
      <c r="AV11">
        <v>6</v>
      </c>
      <c r="AW11">
        <v>2</v>
      </c>
      <c r="AX11">
        <v>3</v>
      </c>
      <c r="AY11">
        <v>34</v>
      </c>
      <c r="AZ11" t="s">
        <v>219</v>
      </c>
      <c r="BA11" t="s">
        <v>220</v>
      </c>
      <c r="BD11" t="s">
        <v>798</v>
      </c>
      <c r="BG11" t="s">
        <v>947</v>
      </c>
      <c r="BH11" t="s">
        <v>765</v>
      </c>
      <c r="BI11" t="s">
        <v>765</v>
      </c>
    </row>
    <row r="12" spans="1:61" x14ac:dyDescent="0.25">
      <c r="A12" t="s">
        <v>227</v>
      </c>
      <c r="B12">
        <v>45695</v>
      </c>
      <c r="C12" s="2">
        <v>0.27430555555555558</v>
      </c>
      <c r="D12" s="1">
        <v>45695</v>
      </c>
      <c r="E12" s="14">
        <v>0.28472222222222221</v>
      </c>
      <c r="F12" s="1">
        <v>45695</v>
      </c>
      <c r="G12" s="14">
        <v>0.30738425925925927</v>
      </c>
      <c r="H12" t="s">
        <v>594</v>
      </c>
      <c r="K12" t="s">
        <v>229</v>
      </c>
      <c r="L12" t="s">
        <v>169</v>
      </c>
      <c r="M12">
        <v>5</v>
      </c>
      <c r="N12" t="s">
        <v>230</v>
      </c>
      <c r="Q12" t="s">
        <v>628</v>
      </c>
      <c r="R12" t="s">
        <v>629</v>
      </c>
      <c r="S12" t="s">
        <v>233</v>
      </c>
      <c r="T12" t="s">
        <v>63</v>
      </c>
      <c r="Y12" t="s">
        <v>607</v>
      </c>
      <c r="Z12" t="s">
        <v>65</v>
      </c>
      <c r="AA12" t="s">
        <v>234</v>
      </c>
      <c r="AB12" t="s">
        <v>105</v>
      </c>
      <c r="AC12" t="s">
        <v>161</v>
      </c>
      <c r="AD12" t="s">
        <v>82</v>
      </c>
      <c r="AE12" t="s">
        <v>181</v>
      </c>
      <c r="AF12">
        <v>9</v>
      </c>
      <c r="AG12" s="1">
        <v>45695</v>
      </c>
      <c r="AH12" s="14">
        <v>0.27430555555555558</v>
      </c>
      <c r="AI12" s="14">
        <v>0.25</v>
      </c>
      <c r="AJ12" t="s">
        <v>766</v>
      </c>
      <c r="AK12" t="s">
        <v>799</v>
      </c>
      <c r="AL12" t="s">
        <v>594</v>
      </c>
      <c r="AM12" t="s">
        <v>326</v>
      </c>
      <c r="AN12" s="14">
        <v>0.27430555555555558</v>
      </c>
      <c r="AO12" s="1">
        <v>45695</v>
      </c>
      <c r="AP12" s="14">
        <v>0.25</v>
      </c>
      <c r="AQ12" s="2"/>
      <c r="AR12" t="s">
        <v>766</v>
      </c>
      <c r="AS12" t="s">
        <v>485</v>
      </c>
      <c r="AT12" t="s">
        <v>96</v>
      </c>
      <c r="AU12">
        <v>2025</v>
      </c>
      <c r="AV12">
        <v>6</v>
      </c>
      <c r="AW12">
        <v>2</v>
      </c>
      <c r="AX12">
        <v>7</v>
      </c>
      <c r="AY12">
        <v>38</v>
      </c>
      <c r="AZ12" t="s">
        <v>799</v>
      </c>
      <c r="BA12" t="s">
        <v>229</v>
      </c>
      <c r="BD12" t="s">
        <v>800</v>
      </c>
      <c r="BG12" t="s">
        <v>950</v>
      </c>
      <c r="BH12" t="s">
        <v>766</v>
      </c>
      <c r="BI12" t="s">
        <v>766</v>
      </c>
    </row>
    <row r="13" spans="1:61" x14ac:dyDescent="0.25">
      <c r="A13" t="s">
        <v>236</v>
      </c>
      <c r="B13">
        <v>45688</v>
      </c>
      <c r="C13" s="2">
        <v>0.5</v>
      </c>
      <c r="D13" s="1">
        <v>45695</v>
      </c>
      <c r="E13" s="14">
        <v>0.54166666666666663</v>
      </c>
      <c r="F13" s="1">
        <v>45696</v>
      </c>
      <c r="G13" s="14">
        <v>0.3903240740740741</v>
      </c>
      <c r="H13" t="s">
        <v>594</v>
      </c>
      <c r="K13" t="s">
        <v>237</v>
      </c>
      <c r="L13" t="s">
        <v>198</v>
      </c>
      <c r="M13">
        <v>5</v>
      </c>
      <c r="N13" t="s">
        <v>238</v>
      </c>
      <c r="Q13" t="s">
        <v>630</v>
      </c>
      <c r="S13" t="s">
        <v>186</v>
      </c>
      <c r="T13" t="s">
        <v>619</v>
      </c>
      <c r="Y13" t="s">
        <v>607</v>
      </c>
      <c r="Z13" t="s">
        <v>65</v>
      </c>
      <c r="AA13" t="s">
        <v>170</v>
      </c>
      <c r="AB13" t="s">
        <v>171</v>
      </c>
      <c r="AC13" t="s">
        <v>93</v>
      </c>
      <c r="AD13" t="s">
        <v>69</v>
      </c>
      <c r="AE13" t="s">
        <v>181</v>
      </c>
      <c r="AF13">
        <v>9</v>
      </c>
      <c r="AG13" s="1">
        <v>45688</v>
      </c>
      <c r="AH13" s="14">
        <v>0.5</v>
      </c>
      <c r="AI13" s="14">
        <v>0.5</v>
      </c>
      <c r="AJ13" t="s">
        <v>761</v>
      </c>
      <c r="AK13" t="s">
        <v>801</v>
      </c>
      <c r="AL13" t="s">
        <v>594</v>
      </c>
      <c r="AM13" t="s">
        <v>326</v>
      </c>
      <c r="AN13" s="14">
        <v>0.5</v>
      </c>
      <c r="AO13" s="1">
        <v>45688</v>
      </c>
      <c r="AP13" s="14">
        <v>0.5</v>
      </c>
      <c r="AQ13" s="2"/>
      <c r="AR13" t="s">
        <v>761</v>
      </c>
      <c r="AS13" t="s">
        <v>485</v>
      </c>
      <c r="AT13" t="s">
        <v>55</v>
      </c>
      <c r="AU13">
        <v>2025</v>
      </c>
      <c r="AV13">
        <v>5</v>
      </c>
      <c r="AW13">
        <v>5</v>
      </c>
      <c r="AX13">
        <v>31</v>
      </c>
      <c r="AY13">
        <v>31</v>
      </c>
      <c r="AZ13" t="s">
        <v>801</v>
      </c>
      <c r="BA13" t="s">
        <v>237</v>
      </c>
      <c r="BG13" t="s">
        <v>953</v>
      </c>
      <c r="BH13" t="s">
        <v>761</v>
      </c>
      <c r="BI13" t="s">
        <v>761</v>
      </c>
    </row>
    <row r="14" spans="1:61" x14ac:dyDescent="0.25">
      <c r="A14" t="s">
        <v>95</v>
      </c>
      <c r="B14">
        <v>45701</v>
      </c>
      <c r="C14" s="2">
        <v>0.66666666666666674</v>
      </c>
      <c r="D14" s="1"/>
      <c r="E14" s="14"/>
      <c r="F14" s="1">
        <v>45702</v>
      </c>
      <c r="G14" s="14">
        <v>0.29906250000000001</v>
      </c>
      <c r="H14" t="s">
        <v>600</v>
      </c>
      <c r="K14" t="s">
        <v>97</v>
      </c>
      <c r="L14" t="s">
        <v>98</v>
      </c>
      <c r="M14">
        <v>6</v>
      </c>
      <c r="N14" t="s">
        <v>99</v>
      </c>
      <c r="Q14" t="s">
        <v>100</v>
      </c>
      <c r="R14" t="s">
        <v>624</v>
      </c>
      <c r="S14" t="s">
        <v>102</v>
      </c>
      <c r="T14" t="s">
        <v>63</v>
      </c>
      <c r="Y14" t="s">
        <v>607</v>
      </c>
      <c r="Z14" t="s">
        <v>65</v>
      </c>
      <c r="AA14" t="s">
        <v>104</v>
      </c>
      <c r="AB14" t="s">
        <v>105</v>
      </c>
      <c r="AC14" t="s">
        <v>106</v>
      </c>
      <c r="AD14" t="s">
        <v>69</v>
      </c>
      <c r="AE14" t="s">
        <v>70</v>
      </c>
      <c r="AF14">
        <v>9</v>
      </c>
      <c r="AG14" s="1">
        <v>45701</v>
      </c>
      <c r="AH14" s="14">
        <v>0.66666666666666663</v>
      </c>
      <c r="AI14" s="14">
        <v>0.66666666666666663</v>
      </c>
      <c r="AJ14" t="s">
        <v>765</v>
      </c>
      <c r="AK14" t="s">
        <v>849</v>
      </c>
      <c r="AL14" t="s">
        <v>600</v>
      </c>
      <c r="AM14" t="s">
        <v>326</v>
      </c>
      <c r="AN14" s="14">
        <v>0.66666666666666663</v>
      </c>
      <c r="AO14" s="1">
        <v>45701</v>
      </c>
      <c r="AP14" s="14">
        <v>0.66666666666666663</v>
      </c>
      <c r="AQ14" s="2"/>
      <c r="AR14" t="s">
        <v>765</v>
      </c>
      <c r="AS14" t="s">
        <v>638</v>
      </c>
      <c r="AT14" t="s">
        <v>96</v>
      </c>
      <c r="AU14">
        <v>2025</v>
      </c>
      <c r="AV14">
        <v>7</v>
      </c>
      <c r="AW14">
        <v>3</v>
      </c>
      <c r="AX14">
        <v>13</v>
      </c>
      <c r="AY14">
        <v>44</v>
      </c>
      <c r="AZ14" t="s">
        <v>849</v>
      </c>
      <c r="BA14" t="s">
        <v>97</v>
      </c>
      <c r="BD14" t="s">
        <v>954</v>
      </c>
      <c r="BG14" t="s">
        <v>947</v>
      </c>
      <c r="BH14" t="s">
        <v>765</v>
      </c>
      <c r="BI14" t="s">
        <v>765</v>
      </c>
    </row>
    <row r="15" spans="1:61" x14ac:dyDescent="0.25">
      <c r="A15" t="s">
        <v>240</v>
      </c>
      <c r="B15">
        <v>45705</v>
      </c>
      <c r="C15" s="2">
        <v>0.34877314814814819</v>
      </c>
      <c r="D15" s="1"/>
      <c r="E15" s="14"/>
      <c r="F15" s="1">
        <v>45705</v>
      </c>
      <c r="G15" s="14">
        <v>0.34877314814814814</v>
      </c>
      <c r="H15" t="s">
        <v>594</v>
      </c>
      <c r="I15" t="s">
        <v>241</v>
      </c>
      <c r="K15" t="s">
        <v>242</v>
      </c>
      <c r="L15" t="s">
        <v>115</v>
      </c>
      <c r="M15">
        <v>7</v>
      </c>
      <c r="N15" t="s">
        <v>243</v>
      </c>
      <c r="Q15" t="s">
        <v>633</v>
      </c>
      <c r="R15" t="s">
        <v>596</v>
      </c>
      <c r="S15" t="s">
        <v>178</v>
      </c>
      <c r="T15" t="s">
        <v>63</v>
      </c>
      <c r="Y15" t="s">
        <v>601</v>
      </c>
      <c r="Z15" t="s">
        <v>65</v>
      </c>
      <c r="AA15" t="s">
        <v>66</v>
      </c>
      <c r="AB15" t="s">
        <v>67</v>
      </c>
      <c r="AC15" t="s">
        <v>106</v>
      </c>
      <c r="AD15" t="s">
        <v>69</v>
      </c>
      <c r="AE15" t="s">
        <v>181</v>
      </c>
      <c r="AF15">
        <v>9</v>
      </c>
      <c r="AG15" s="1">
        <v>45705</v>
      </c>
      <c r="AH15" s="14">
        <v>0.34877314814814814</v>
      </c>
      <c r="AI15" s="14">
        <v>0.33333333333333331</v>
      </c>
      <c r="AJ15" t="s">
        <v>762</v>
      </c>
      <c r="AK15" t="s">
        <v>802</v>
      </c>
      <c r="AL15" t="s">
        <v>768</v>
      </c>
      <c r="AM15" t="s">
        <v>326</v>
      </c>
      <c r="AN15" s="14">
        <v>0.34877314814814814</v>
      </c>
      <c r="AO15" s="1">
        <v>45705</v>
      </c>
      <c r="AP15" s="14">
        <v>0.33333333333333331</v>
      </c>
      <c r="AQ15" s="2"/>
      <c r="AR15" t="s">
        <v>762</v>
      </c>
      <c r="AS15" t="s">
        <v>636</v>
      </c>
      <c r="AT15" t="s">
        <v>96</v>
      </c>
      <c r="AU15">
        <v>2025</v>
      </c>
      <c r="AV15">
        <v>8</v>
      </c>
      <c r="AW15">
        <v>4</v>
      </c>
      <c r="AX15">
        <v>17</v>
      </c>
      <c r="AY15">
        <v>48</v>
      </c>
      <c r="AZ15" t="s">
        <v>802</v>
      </c>
      <c r="BA15" t="s">
        <v>242</v>
      </c>
      <c r="BD15" t="s">
        <v>787</v>
      </c>
      <c r="BG15" t="s">
        <v>950</v>
      </c>
      <c r="BH15" t="s">
        <v>762</v>
      </c>
      <c r="BI15" t="s">
        <v>762</v>
      </c>
    </row>
    <row r="16" spans="1:61" x14ac:dyDescent="0.25">
      <c r="A16" t="s">
        <v>245</v>
      </c>
      <c r="B16">
        <v>45705</v>
      </c>
      <c r="C16" s="2">
        <v>0.39716435185185195</v>
      </c>
      <c r="D16" s="1"/>
      <c r="E16" s="14"/>
      <c r="F16" s="1">
        <v>45705</v>
      </c>
      <c r="G16" s="14">
        <v>0.39716435185185184</v>
      </c>
      <c r="H16" t="s">
        <v>594</v>
      </c>
      <c r="K16" t="s">
        <v>246</v>
      </c>
      <c r="L16" t="s">
        <v>247</v>
      </c>
      <c r="M16">
        <v>7</v>
      </c>
      <c r="N16" t="s">
        <v>248</v>
      </c>
      <c r="Q16" t="s">
        <v>634</v>
      </c>
      <c r="R16" t="s">
        <v>596</v>
      </c>
      <c r="S16" t="s">
        <v>178</v>
      </c>
      <c r="T16" t="s">
        <v>619</v>
      </c>
      <c r="Y16" t="s">
        <v>601</v>
      </c>
      <c r="Z16" t="s">
        <v>65</v>
      </c>
      <c r="AA16" t="s">
        <v>250</v>
      </c>
      <c r="AB16" t="s">
        <v>67</v>
      </c>
      <c r="AC16" t="s">
        <v>106</v>
      </c>
      <c r="AD16" t="s">
        <v>69</v>
      </c>
      <c r="AE16" t="s">
        <v>181</v>
      </c>
      <c r="AF16">
        <v>9</v>
      </c>
      <c r="AG16" s="1">
        <v>45705</v>
      </c>
      <c r="AH16" s="14">
        <v>0.39716435185185184</v>
      </c>
      <c r="AI16" s="14">
        <v>0.375</v>
      </c>
      <c r="AJ16" t="s">
        <v>762</v>
      </c>
      <c r="AK16" t="s">
        <v>803</v>
      </c>
      <c r="AL16" t="s">
        <v>594</v>
      </c>
      <c r="AM16" t="s">
        <v>326</v>
      </c>
      <c r="AN16" s="14">
        <v>0.39716435185185184</v>
      </c>
      <c r="AO16" s="1">
        <v>45705</v>
      </c>
      <c r="AP16" s="14">
        <v>0.375</v>
      </c>
      <c r="AQ16" s="2"/>
      <c r="AR16" t="s">
        <v>762</v>
      </c>
      <c r="AS16" t="s">
        <v>636</v>
      </c>
      <c r="AT16" t="s">
        <v>96</v>
      </c>
      <c r="AU16">
        <v>2025</v>
      </c>
      <c r="AV16">
        <v>8</v>
      </c>
      <c r="AW16">
        <v>4</v>
      </c>
      <c r="AX16">
        <v>17</v>
      </c>
      <c r="AY16">
        <v>48</v>
      </c>
      <c r="AZ16" t="s">
        <v>803</v>
      </c>
      <c r="BA16" t="s">
        <v>246</v>
      </c>
      <c r="BD16" t="s">
        <v>787</v>
      </c>
      <c r="BG16" t="s">
        <v>950</v>
      </c>
      <c r="BH16" t="s">
        <v>762</v>
      </c>
      <c r="BI16" t="s">
        <v>762</v>
      </c>
    </row>
    <row r="17" spans="1:61" x14ac:dyDescent="0.25">
      <c r="A17" t="s">
        <v>251</v>
      </c>
      <c r="B17">
        <v>45713</v>
      </c>
      <c r="C17" s="2">
        <v>0.41666666666666674</v>
      </c>
      <c r="D17" s="1">
        <v>45713</v>
      </c>
      <c r="E17" s="14">
        <v>0.95833333333333337</v>
      </c>
      <c r="F17" s="1">
        <v>45712</v>
      </c>
      <c r="G17" s="14">
        <v>0.99136574074074069</v>
      </c>
      <c r="H17" t="s">
        <v>594</v>
      </c>
      <c r="K17" t="s">
        <v>252</v>
      </c>
      <c r="L17" t="s">
        <v>198</v>
      </c>
      <c r="M17">
        <v>5</v>
      </c>
      <c r="N17" t="s">
        <v>253</v>
      </c>
      <c r="Q17" t="s">
        <v>254</v>
      </c>
      <c r="R17" t="s">
        <v>596</v>
      </c>
      <c r="S17" t="s">
        <v>255</v>
      </c>
      <c r="T17" t="s">
        <v>256</v>
      </c>
      <c r="Y17" t="s">
        <v>597</v>
      </c>
      <c r="Z17" t="s">
        <v>65</v>
      </c>
      <c r="AA17" t="s">
        <v>139</v>
      </c>
      <c r="AB17" t="s">
        <v>140</v>
      </c>
      <c r="AC17" t="s">
        <v>141</v>
      </c>
      <c r="AD17" t="s">
        <v>665</v>
      </c>
      <c r="AE17" t="s">
        <v>181</v>
      </c>
      <c r="AF17">
        <v>9</v>
      </c>
      <c r="AG17" s="1">
        <v>45713</v>
      </c>
      <c r="AH17" s="14">
        <v>0.41666666666666669</v>
      </c>
      <c r="AI17" s="14">
        <v>0.41666666666666669</v>
      </c>
      <c r="AJ17" t="s">
        <v>762</v>
      </c>
      <c r="AK17" t="s">
        <v>804</v>
      </c>
      <c r="AL17" t="s">
        <v>594</v>
      </c>
      <c r="AM17" t="s">
        <v>326</v>
      </c>
      <c r="AN17" s="14">
        <v>0.41666666666666669</v>
      </c>
      <c r="AO17" s="1">
        <v>45713</v>
      </c>
      <c r="AP17" s="14">
        <v>0.41666666666666669</v>
      </c>
      <c r="AQ17" s="2"/>
      <c r="AR17" t="s">
        <v>762</v>
      </c>
      <c r="AS17" t="s">
        <v>635</v>
      </c>
      <c r="AT17" t="s">
        <v>96</v>
      </c>
      <c r="AU17">
        <v>2025</v>
      </c>
      <c r="AV17">
        <v>9</v>
      </c>
      <c r="AW17">
        <v>5</v>
      </c>
      <c r="AX17">
        <v>25</v>
      </c>
      <c r="AY17">
        <v>56</v>
      </c>
      <c r="AZ17" t="s">
        <v>804</v>
      </c>
      <c r="BA17" t="s">
        <v>252</v>
      </c>
      <c r="BD17" t="s">
        <v>805</v>
      </c>
      <c r="BG17" t="s">
        <v>949</v>
      </c>
      <c r="BH17" t="s">
        <v>762</v>
      </c>
      <c r="BI17" t="s">
        <v>762</v>
      </c>
    </row>
    <row r="18" spans="1:61" x14ac:dyDescent="0.25">
      <c r="A18" t="s">
        <v>330</v>
      </c>
      <c r="B18">
        <v>45722</v>
      </c>
      <c r="C18" s="2">
        <v>0.94149305555555562</v>
      </c>
      <c r="D18" s="1"/>
      <c r="E18" s="14"/>
      <c r="F18" s="1">
        <v>45722</v>
      </c>
      <c r="G18" s="14">
        <v>0.94149305555555551</v>
      </c>
      <c r="H18" t="s">
        <v>600</v>
      </c>
      <c r="K18" t="s">
        <v>332</v>
      </c>
      <c r="L18" t="s">
        <v>74</v>
      </c>
      <c r="M18">
        <v>8</v>
      </c>
      <c r="N18" t="s">
        <v>333</v>
      </c>
      <c r="Q18" t="s">
        <v>334</v>
      </c>
      <c r="R18" t="s">
        <v>624</v>
      </c>
      <c r="S18" t="s">
        <v>335</v>
      </c>
      <c r="T18" t="s">
        <v>63</v>
      </c>
      <c r="Y18" t="s">
        <v>668</v>
      </c>
      <c r="Z18" t="s">
        <v>65</v>
      </c>
      <c r="AA18" t="s">
        <v>66</v>
      </c>
      <c r="AB18" t="s">
        <v>67</v>
      </c>
      <c r="AC18" t="s">
        <v>141</v>
      </c>
      <c r="AD18" t="s">
        <v>107</v>
      </c>
      <c r="AE18" t="s">
        <v>70</v>
      </c>
      <c r="AF18">
        <v>9</v>
      </c>
      <c r="AG18" s="1">
        <v>45722</v>
      </c>
      <c r="AH18" s="14">
        <v>0.94149305555555551</v>
      </c>
      <c r="AI18" s="14">
        <v>0.91666666666666663</v>
      </c>
      <c r="AJ18" t="s">
        <v>764</v>
      </c>
      <c r="AK18" t="s">
        <v>851</v>
      </c>
      <c r="AL18" t="s">
        <v>600</v>
      </c>
      <c r="AM18" t="s">
        <v>326</v>
      </c>
      <c r="AN18" s="14">
        <v>0.94149305555555551</v>
      </c>
      <c r="AO18" s="1">
        <v>45722</v>
      </c>
      <c r="AP18" s="14">
        <v>0.91666666666666663</v>
      </c>
      <c r="AQ18" s="2"/>
      <c r="AR18" t="s">
        <v>764</v>
      </c>
      <c r="AS18" t="s">
        <v>638</v>
      </c>
      <c r="AT18" t="s">
        <v>331</v>
      </c>
      <c r="AU18">
        <v>2025</v>
      </c>
      <c r="AV18">
        <v>10</v>
      </c>
      <c r="AW18">
        <v>2</v>
      </c>
      <c r="AX18">
        <v>6</v>
      </c>
      <c r="AY18">
        <v>65</v>
      </c>
      <c r="AZ18" t="s">
        <v>851</v>
      </c>
      <c r="BA18" t="s">
        <v>332</v>
      </c>
      <c r="BD18" t="s">
        <v>955</v>
      </c>
      <c r="BG18" t="s">
        <v>950</v>
      </c>
      <c r="BH18" t="s">
        <v>764</v>
      </c>
      <c r="BI18" t="s">
        <v>764</v>
      </c>
    </row>
    <row r="19" spans="1:61" x14ac:dyDescent="0.25">
      <c r="A19" t="s">
        <v>337</v>
      </c>
      <c r="B19">
        <v>45725</v>
      </c>
      <c r="C19" s="2">
        <v>0.8125</v>
      </c>
      <c r="D19" s="1">
        <v>45726</v>
      </c>
      <c r="E19" s="14">
        <v>0.35416666666666669</v>
      </c>
      <c r="F19" s="1">
        <v>45726</v>
      </c>
      <c r="G19" s="14">
        <v>0.37046296296296294</v>
      </c>
      <c r="H19" t="s">
        <v>600</v>
      </c>
      <c r="K19" t="s">
        <v>339</v>
      </c>
      <c r="L19" t="s">
        <v>115</v>
      </c>
      <c r="M19">
        <v>7</v>
      </c>
      <c r="N19" t="s">
        <v>340</v>
      </c>
      <c r="Q19" t="s">
        <v>341</v>
      </c>
      <c r="R19" t="s">
        <v>342</v>
      </c>
      <c r="S19" t="s">
        <v>343</v>
      </c>
      <c r="T19" t="s">
        <v>63</v>
      </c>
      <c r="Y19" t="s">
        <v>597</v>
      </c>
      <c r="Z19" t="s">
        <v>65</v>
      </c>
      <c r="AA19" t="s">
        <v>344</v>
      </c>
      <c r="AB19" t="s">
        <v>262</v>
      </c>
      <c r="AC19" t="s">
        <v>106</v>
      </c>
      <c r="AD19" t="s">
        <v>69</v>
      </c>
      <c r="AE19" t="s">
        <v>70</v>
      </c>
      <c r="AF19">
        <v>9</v>
      </c>
      <c r="AG19" s="1">
        <v>45725</v>
      </c>
      <c r="AH19" s="14">
        <v>0.8125</v>
      </c>
      <c r="AI19" s="14">
        <v>0.79166666666666663</v>
      </c>
      <c r="AJ19" t="s">
        <v>765</v>
      </c>
      <c r="AK19" t="s">
        <v>338</v>
      </c>
      <c r="AL19" t="s">
        <v>600</v>
      </c>
      <c r="AM19" t="s">
        <v>326</v>
      </c>
      <c r="AN19" s="14">
        <v>0.8125</v>
      </c>
      <c r="AO19" s="1">
        <v>45725</v>
      </c>
      <c r="AP19" s="14">
        <v>0.79166666666666663</v>
      </c>
      <c r="AQ19" s="2"/>
      <c r="AR19" t="s">
        <v>765</v>
      </c>
      <c r="AS19" t="s">
        <v>640</v>
      </c>
      <c r="AT19" t="s">
        <v>331</v>
      </c>
      <c r="AU19">
        <v>2025</v>
      </c>
      <c r="AV19">
        <v>11</v>
      </c>
      <c r="AW19">
        <v>3</v>
      </c>
      <c r="AX19">
        <v>9</v>
      </c>
      <c r="AY19">
        <v>68</v>
      </c>
      <c r="AZ19" t="s">
        <v>338</v>
      </c>
      <c r="BA19" t="s">
        <v>339</v>
      </c>
      <c r="BD19" t="s">
        <v>956</v>
      </c>
      <c r="BG19" t="s">
        <v>947</v>
      </c>
      <c r="BH19" t="s">
        <v>765</v>
      </c>
      <c r="BI19" t="s">
        <v>765</v>
      </c>
    </row>
    <row r="20" spans="1:61" x14ac:dyDescent="0.25">
      <c r="A20" t="s">
        <v>368</v>
      </c>
      <c r="B20">
        <v>45727</v>
      </c>
      <c r="C20" s="2">
        <v>0.60416666666666674</v>
      </c>
      <c r="D20" s="1"/>
      <c r="E20" s="14"/>
      <c r="F20" s="1">
        <v>45727</v>
      </c>
      <c r="G20" s="14">
        <v>0.69039351851851849</v>
      </c>
      <c r="H20" t="s">
        <v>600</v>
      </c>
      <c r="K20" t="s">
        <v>369</v>
      </c>
      <c r="L20" t="s">
        <v>74</v>
      </c>
      <c r="M20">
        <v>8</v>
      </c>
      <c r="N20" t="s">
        <v>370</v>
      </c>
      <c r="Q20" t="s">
        <v>371</v>
      </c>
      <c r="R20" t="s">
        <v>670</v>
      </c>
      <c r="S20" t="s">
        <v>373</v>
      </c>
      <c r="T20" t="s">
        <v>63</v>
      </c>
      <c r="Y20" t="s">
        <v>614</v>
      </c>
      <c r="Z20" t="s">
        <v>65</v>
      </c>
      <c r="AA20" t="s">
        <v>139</v>
      </c>
      <c r="AB20" t="s">
        <v>140</v>
      </c>
      <c r="AC20" t="s">
        <v>374</v>
      </c>
      <c r="AD20" t="s">
        <v>69</v>
      </c>
      <c r="AE20" t="s">
        <v>70</v>
      </c>
      <c r="AF20">
        <v>9</v>
      </c>
      <c r="AG20" s="1">
        <v>45727</v>
      </c>
      <c r="AH20" s="14">
        <v>0.60416666666666663</v>
      </c>
      <c r="AI20" s="14">
        <v>0.58333333333333337</v>
      </c>
      <c r="AJ20" t="s">
        <v>761</v>
      </c>
      <c r="AK20" t="s">
        <v>852</v>
      </c>
      <c r="AL20" t="s">
        <v>600</v>
      </c>
      <c r="AM20" t="s">
        <v>326</v>
      </c>
      <c r="AN20" s="14">
        <v>0.60416666666666663</v>
      </c>
      <c r="AO20" s="1">
        <v>45727</v>
      </c>
      <c r="AP20" s="14">
        <v>0.58333333333333337</v>
      </c>
      <c r="AQ20" s="2"/>
      <c r="AR20" t="s">
        <v>761</v>
      </c>
      <c r="AS20" t="s">
        <v>635</v>
      </c>
      <c r="AT20" t="s">
        <v>331</v>
      </c>
      <c r="AU20">
        <v>2025</v>
      </c>
      <c r="AV20">
        <v>11</v>
      </c>
      <c r="AW20">
        <v>3</v>
      </c>
      <c r="AX20">
        <v>11</v>
      </c>
      <c r="AY20">
        <v>70</v>
      </c>
      <c r="AZ20" t="s">
        <v>852</v>
      </c>
      <c r="BA20" t="s">
        <v>369</v>
      </c>
      <c r="BD20" t="s">
        <v>957</v>
      </c>
      <c r="BG20" t="s">
        <v>950</v>
      </c>
      <c r="BH20" t="s">
        <v>761</v>
      </c>
      <c r="BI20" t="s">
        <v>761</v>
      </c>
    </row>
    <row r="21" spans="1:61" x14ac:dyDescent="0.25">
      <c r="A21" t="s">
        <v>393</v>
      </c>
      <c r="B21">
        <v>45737</v>
      </c>
      <c r="C21" s="2">
        <v>0.32499999999999996</v>
      </c>
      <c r="D21" s="1"/>
      <c r="E21" s="14"/>
      <c r="F21" s="1">
        <v>45737</v>
      </c>
      <c r="G21" s="14">
        <v>0.59714120370370372</v>
      </c>
      <c r="H21" t="s">
        <v>594</v>
      </c>
      <c r="K21" t="s">
        <v>394</v>
      </c>
      <c r="L21" t="s">
        <v>206</v>
      </c>
      <c r="M21">
        <v>6</v>
      </c>
      <c r="N21" t="s">
        <v>395</v>
      </c>
      <c r="Q21" t="s">
        <v>396</v>
      </c>
      <c r="R21" t="s">
        <v>671</v>
      </c>
      <c r="T21" t="s">
        <v>63</v>
      </c>
      <c r="Y21" t="s">
        <v>668</v>
      </c>
      <c r="Z21" t="s">
        <v>65</v>
      </c>
      <c r="AA21" t="s">
        <v>128</v>
      </c>
      <c r="AB21" t="s">
        <v>80</v>
      </c>
      <c r="AC21" t="s">
        <v>152</v>
      </c>
      <c r="AD21" t="s">
        <v>211</v>
      </c>
      <c r="AE21" t="s">
        <v>181</v>
      </c>
      <c r="AF21">
        <v>9</v>
      </c>
      <c r="AG21" s="1">
        <v>45737</v>
      </c>
      <c r="AH21" s="14">
        <v>0.32500000000000001</v>
      </c>
      <c r="AI21" s="14">
        <v>0.29166666666666669</v>
      </c>
      <c r="AJ21" t="s">
        <v>766</v>
      </c>
      <c r="AK21" t="s">
        <v>806</v>
      </c>
      <c r="AL21" t="s">
        <v>594</v>
      </c>
      <c r="AM21" t="s">
        <v>326</v>
      </c>
      <c r="AN21" s="14">
        <v>0.32500000000000001</v>
      </c>
      <c r="AO21" s="1">
        <v>45737</v>
      </c>
      <c r="AP21" s="14">
        <v>0.29166666666666669</v>
      </c>
      <c r="AQ21" s="2"/>
      <c r="AR21" t="s">
        <v>766</v>
      </c>
      <c r="AS21" t="s">
        <v>485</v>
      </c>
      <c r="AT21" t="s">
        <v>331</v>
      </c>
      <c r="AU21">
        <v>2025</v>
      </c>
      <c r="AV21">
        <v>12</v>
      </c>
      <c r="AW21">
        <v>4</v>
      </c>
      <c r="AX21">
        <v>21</v>
      </c>
      <c r="AY21">
        <v>80</v>
      </c>
      <c r="AZ21" t="s">
        <v>806</v>
      </c>
      <c r="BA21" t="s">
        <v>394</v>
      </c>
      <c r="BD21" t="s">
        <v>807</v>
      </c>
      <c r="BG21" t="s">
        <v>950</v>
      </c>
      <c r="BH21" t="s">
        <v>766</v>
      </c>
      <c r="BI21" t="s">
        <v>766</v>
      </c>
    </row>
    <row r="22" spans="1:61" x14ac:dyDescent="0.25">
      <c r="A22" t="s">
        <v>398</v>
      </c>
      <c r="B22">
        <v>45739</v>
      </c>
      <c r="C22" s="2">
        <v>0.17361111111111116</v>
      </c>
      <c r="D22" s="1">
        <v>45739</v>
      </c>
      <c r="E22" s="14">
        <v>0.18055555555555555</v>
      </c>
      <c r="F22" s="1">
        <v>45739</v>
      </c>
      <c r="G22" s="14">
        <v>0.20511574074074074</v>
      </c>
      <c r="H22" t="s">
        <v>600</v>
      </c>
      <c r="I22" t="s">
        <v>672</v>
      </c>
      <c r="K22" t="s">
        <v>399</v>
      </c>
      <c r="L22" t="s">
        <v>198</v>
      </c>
      <c r="M22">
        <v>5</v>
      </c>
      <c r="N22" t="s">
        <v>400</v>
      </c>
      <c r="Q22" t="s">
        <v>673</v>
      </c>
      <c r="R22" t="s">
        <v>624</v>
      </c>
      <c r="S22" t="s">
        <v>402</v>
      </c>
      <c r="T22" t="s">
        <v>63</v>
      </c>
      <c r="Y22" t="s">
        <v>674</v>
      </c>
      <c r="Z22" t="s">
        <v>65</v>
      </c>
      <c r="AA22" t="s">
        <v>92</v>
      </c>
      <c r="AB22" t="s">
        <v>67</v>
      </c>
      <c r="AC22" t="s">
        <v>106</v>
      </c>
      <c r="AD22" t="s">
        <v>69</v>
      </c>
      <c r="AE22" t="s">
        <v>70</v>
      </c>
      <c r="AF22">
        <v>9</v>
      </c>
      <c r="AG22" s="1">
        <v>45739</v>
      </c>
      <c r="AH22" s="14">
        <v>0.1736111111111111</v>
      </c>
      <c r="AI22" s="14">
        <v>0.16666666666666666</v>
      </c>
      <c r="AJ22" t="s">
        <v>766</v>
      </c>
      <c r="AK22" t="s">
        <v>853</v>
      </c>
      <c r="AL22" t="s">
        <v>854</v>
      </c>
      <c r="AM22" t="s">
        <v>326</v>
      </c>
      <c r="AN22" s="14">
        <v>0.1736111111111111</v>
      </c>
      <c r="AO22" s="1">
        <v>45739</v>
      </c>
      <c r="AP22" s="14">
        <v>0.16666666666666666</v>
      </c>
      <c r="AQ22" s="2"/>
      <c r="AR22" t="s">
        <v>766</v>
      </c>
      <c r="AS22" t="s">
        <v>640</v>
      </c>
      <c r="AT22" t="s">
        <v>331</v>
      </c>
      <c r="AU22">
        <v>2025</v>
      </c>
      <c r="AV22">
        <v>13</v>
      </c>
      <c r="AW22">
        <v>5</v>
      </c>
      <c r="AX22">
        <v>23</v>
      </c>
      <c r="AY22">
        <v>82</v>
      </c>
      <c r="AZ22" t="s">
        <v>853</v>
      </c>
      <c r="BA22" t="s">
        <v>399</v>
      </c>
      <c r="BD22" t="s">
        <v>958</v>
      </c>
      <c r="BG22" t="s">
        <v>950</v>
      </c>
      <c r="BH22" t="s">
        <v>766</v>
      </c>
      <c r="BI22" t="s">
        <v>766</v>
      </c>
    </row>
    <row r="23" spans="1:61" x14ac:dyDescent="0.25">
      <c r="A23" t="s">
        <v>455</v>
      </c>
      <c r="B23">
        <v>45744</v>
      </c>
      <c r="C23" s="2">
        <v>0.85416666666666674</v>
      </c>
      <c r="D23" s="1">
        <v>45745</v>
      </c>
      <c r="E23" s="14">
        <v>0.41666666666666669</v>
      </c>
      <c r="F23" s="1">
        <v>45745</v>
      </c>
      <c r="G23" s="14">
        <v>0.42986111111111114</v>
      </c>
      <c r="H23" t="s">
        <v>594</v>
      </c>
      <c r="K23" t="s">
        <v>456</v>
      </c>
      <c r="L23" t="s">
        <v>306</v>
      </c>
      <c r="M23">
        <v>8</v>
      </c>
      <c r="N23" t="s">
        <v>457</v>
      </c>
      <c r="Q23" t="s">
        <v>458</v>
      </c>
      <c r="R23" t="s">
        <v>679</v>
      </c>
      <c r="S23" t="s">
        <v>460</v>
      </c>
      <c r="T23" t="s">
        <v>63</v>
      </c>
      <c r="Y23" t="s">
        <v>674</v>
      </c>
      <c r="Z23" t="s">
        <v>65</v>
      </c>
      <c r="AA23" t="s">
        <v>461</v>
      </c>
      <c r="AB23" t="s">
        <v>462</v>
      </c>
      <c r="AC23" t="s">
        <v>141</v>
      </c>
      <c r="AD23" t="s">
        <v>69</v>
      </c>
      <c r="AE23" t="s">
        <v>181</v>
      </c>
      <c r="AF23">
        <v>9</v>
      </c>
      <c r="AG23" s="1">
        <v>45744</v>
      </c>
      <c r="AH23" s="14">
        <v>0.85416666666666663</v>
      </c>
      <c r="AI23" s="14">
        <v>0.83333333333333337</v>
      </c>
      <c r="AJ23" t="s">
        <v>764</v>
      </c>
      <c r="AK23" t="s">
        <v>808</v>
      </c>
      <c r="AL23" t="s">
        <v>594</v>
      </c>
      <c r="AM23" t="s">
        <v>326</v>
      </c>
      <c r="AN23" s="14">
        <v>0.85416666666666663</v>
      </c>
      <c r="AO23" s="1">
        <v>45744</v>
      </c>
      <c r="AP23" s="14">
        <v>0.83333333333333337</v>
      </c>
      <c r="AQ23" s="2"/>
      <c r="AR23" t="s">
        <v>764</v>
      </c>
      <c r="AS23" t="s">
        <v>485</v>
      </c>
      <c r="AT23" t="s">
        <v>331</v>
      </c>
      <c r="AU23">
        <v>2025</v>
      </c>
      <c r="AV23">
        <v>13</v>
      </c>
      <c r="AW23">
        <v>5</v>
      </c>
      <c r="AX23">
        <v>28</v>
      </c>
      <c r="AY23">
        <v>87</v>
      </c>
      <c r="AZ23" t="s">
        <v>808</v>
      </c>
      <c r="BA23" t="s">
        <v>456</v>
      </c>
      <c r="BD23" t="s">
        <v>809</v>
      </c>
      <c r="BG23" t="s">
        <v>947</v>
      </c>
      <c r="BH23" t="s">
        <v>764</v>
      </c>
      <c r="BI23" t="s">
        <v>764</v>
      </c>
    </row>
    <row r="24" spans="1:61" x14ac:dyDescent="0.25">
      <c r="A24" t="s">
        <v>497</v>
      </c>
      <c r="B24">
        <v>45747</v>
      </c>
      <c r="C24" s="2">
        <v>0.77777777777777768</v>
      </c>
      <c r="D24" s="1">
        <v>45747</v>
      </c>
      <c r="E24" s="14">
        <v>0.91666666666666663</v>
      </c>
      <c r="F24" s="1">
        <v>45747</v>
      </c>
      <c r="G24" s="14">
        <v>0.93032407407407403</v>
      </c>
      <c r="H24" t="s">
        <v>600</v>
      </c>
      <c r="I24" t="s">
        <v>616</v>
      </c>
      <c r="J24" t="s">
        <v>680</v>
      </c>
      <c r="K24" t="s">
        <v>498</v>
      </c>
      <c r="L24" t="s">
        <v>115</v>
      </c>
      <c r="M24">
        <v>7</v>
      </c>
      <c r="N24" t="s">
        <v>499</v>
      </c>
      <c r="Q24" t="s">
        <v>500</v>
      </c>
      <c r="R24" t="s">
        <v>681</v>
      </c>
      <c r="S24" t="s">
        <v>502</v>
      </c>
      <c r="T24" t="s">
        <v>63</v>
      </c>
      <c r="Y24" t="s">
        <v>668</v>
      </c>
      <c r="Z24" t="s">
        <v>65</v>
      </c>
      <c r="AA24" t="s">
        <v>503</v>
      </c>
      <c r="AB24" t="s">
        <v>80</v>
      </c>
      <c r="AC24" t="s">
        <v>141</v>
      </c>
      <c r="AD24" t="s">
        <v>69</v>
      </c>
      <c r="AE24" t="s">
        <v>444</v>
      </c>
      <c r="AF24">
        <v>9</v>
      </c>
      <c r="AG24" s="1">
        <v>45747</v>
      </c>
      <c r="AH24" s="14">
        <v>0.77777777777777779</v>
      </c>
      <c r="AI24" s="14">
        <v>0.75</v>
      </c>
      <c r="AJ24" t="s">
        <v>765</v>
      </c>
      <c r="AK24" t="s">
        <v>856</v>
      </c>
      <c r="AL24" t="s">
        <v>857</v>
      </c>
      <c r="AM24" t="s">
        <v>326</v>
      </c>
      <c r="AN24" s="14">
        <v>0.77777777777777779</v>
      </c>
      <c r="AO24" s="1">
        <v>45747</v>
      </c>
      <c r="AP24" s="14">
        <v>0.75</v>
      </c>
      <c r="AQ24" s="2"/>
      <c r="AR24" t="s">
        <v>765</v>
      </c>
      <c r="AS24" t="s">
        <v>636</v>
      </c>
      <c r="AT24" t="s">
        <v>331</v>
      </c>
      <c r="AU24">
        <v>2025</v>
      </c>
      <c r="AV24">
        <v>14</v>
      </c>
      <c r="AW24">
        <v>6</v>
      </c>
      <c r="AX24">
        <v>31</v>
      </c>
      <c r="AY24">
        <v>90</v>
      </c>
      <c r="AZ24" t="s">
        <v>856</v>
      </c>
      <c r="BA24" t="s">
        <v>498</v>
      </c>
      <c r="BD24" t="s">
        <v>959</v>
      </c>
      <c r="BG24" t="s">
        <v>950</v>
      </c>
      <c r="BH24" t="s">
        <v>765</v>
      </c>
      <c r="BI24" t="s">
        <v>765</v>
      </c>
    </row>
    <row r="25" spans="1:61" x14ac:dyDescent="0.25">
      <c r="A25" t="s">
        <v>437</v>
      </c>
      <c r="B25">
        <v>45747</v>
      </c>
      <c r="C25" s="2">
        <v>0.75</v>
      </c>
      <c r="D25" s="1"/>
      <c r="E25" s="14"/>
      <c r="F25" s="1">
        <v>45748</v>
      </c>
      <c r="G25" s="14">
        <v>3.6863425925925924E-2</v>
      </c>
      <c r="H25" t="s">
        <v>600</v>
      </c>
      <c r="K25" t="s">
        <v>438</v>
      </c>
      <c r="L25" t="s">
        <v>175</v>
      </c>
      <c r="N25" t="s">
        <v>439</v>
      </c>
      <c r="O25">
        <v>2</v>
      </c>
      <c r="P25">
        <v>0</v>
      </c>
      <c r="Q25" t="s">
        <v>682</v>
      </c>
      <c r="R25" t="s">
        <v>612</v>
      </c>
      <c r="S25" t="s">
        <v>683</v>
      </c>
      <c r="T25" t="s">
        <v>619</v>
      </c>
      <c r="Y25" t="s">
        <v>668</v>
      </c>
      <c r="Z25" t="s">
        <v>65</v>
      </c>
      <c r="AA25" t="s">
        <v>442</v>
      </c>
      <c r="AB25" t="s">
        <v>443</v>
      </c>
      <c r="AC25" t="s">
        <v>141</v>
      </c>
      <c r="AD25" t="s">
        <v>168</v>
      </c>
      <c r="AE25" t="s">
        <v>444</v>
      </c>
      <c r="AF25">
        <v>9</v>
      </c>
      <c r="AG25" s="1">
        <v>45747</v>
      </c>
      <c r="AH25" s="14">
        <v>0.75</v>
      </c>
      <c r="AI25" s="14">
        <v>0.75</v>
      </c>
      <c r="AJ25" t="s">
        <v>765</v>
      </c>
      <c r="AK25" t="s">
        <v>786</v>
      </c>
      <c r="AL25" t="s">
        <v>600</v>
      </c>
      <c r="AM25" t="s">
        <v>326</v>
      </c>
      <c r="AN25" s="14">
        <v>0.75</v>
      </c>
      <c r="AO25" s="1">
        <v>45747</v>
      </c>
      <c r="AP25" s="14">
        <v>0.75</v>
      </c>
      <c r="AQ25" s="2"/>
      <c r="AR25" t="s">
        <v>765</v>
      </c>
      <c r="AS25" t="s">
        <v>636</v>
      </c>
      <c r="AT25" t="s">
        <v>331</v>
      </c>
      <c r="AU25">
        <v>2025</v>
      </c>
      <c r="AV25">
        <v>14</v>
      </c>
      <c r="AW25">
        <v>6</v>
      </c>
      <c r="AX25">
        <v>31</v>
      </c>
      <c r="AY25">
        <v>90</v>
      </c>
      <c r="AZ25" t="s">
        <v>786</v>
      </c>
      <c r="BA25" t="s">
        <v>438</v>
      </c>
      <c r="BD25" t="s">
        <v>960</v>
      </c>
      <c r="BF25">
        <v>2</v>
      </c>
      <c r="BG25" t="s">
        <v>947</v>
      </c>
      <c r="BH25" t="s">
        <v>765</v>
      </c>
      <c r="BI25" t="s">
        <v>765</v>
      </c>
    </row>
    <row r="26" spans="1:61" x14ac:dyDescent="0.25">
      <c r="A26" t="s">
        <v>445</v>
      </c>
      <c r="B26">
        <v>45747</v>
      </c>
      <c r="C26" s="2">
        <v>0.83333333333333326</v>
      </c>
      <c r="D26" s="1"/>
      <c r="E26" s="14"/>
      <c r="F26" s="1">
        <v>45747</v>
      </c>
      <c r="G26" s="14">
        <v>0.99899305555555551</v>
      </c>
      <c r="H26" t="s">
        <v>600</v>
      </c>
      <c r="K26" t="s">
        <v>438</v>
      </c>
      <c r="L26" t="s">
        <v>175</v>
      </c>
      <c r="M26">
        <v>9</v>
      </c>
      <c r="N26" t="s">
        <v>446</v>
      </c>
      <c r="O26">
        <v>5</v>
      </c>
      <c r="P26">
        <v>0</v>
      </c>
      <c r="Q26" t="s">
        <v>684</v>
      </c>
      <c r="R26" t="s">
        <v>612</v>
      </c>
      <c r="S26" t="s">
        <v>448</v>
      </c>
      <c r="T26" t="s">
        <v>63</v>
      </c>
      <c r="Y26" t="s">
        <v>668</v>
      </c>
      <c r="Z26" t="s">
        <v>65</v>
      </c>
      <c r="AA26" t="s">
        <v>442</v>
      </c>
      <c r="AB26" t="s">
        <v>443</v>
      </c>
      <c r="AC26" t="s">
        <v>141</v>
      </c>
      <c r="AD26" t="s">
        <v>168</v>
      </c>
      <c r="AE26" t="s">
        <v>444</v>
      </c>
      <c r="AF26">
        <v>9</v>
      </c>
      <c r="AG26" s="1">
        <v>45747</v>
      </c>
      <c r="AH26" s="14">
        <v>0.83333333333333337</v>
      </c>
      <c r="AI26" s="14">
        <v>0.83333333333333337</v>
      </c>
      <c r="AJ26" t="s">
        <v>764</v>
      </c>
      <c r="AK26" t="s">
        <v>786</v>
      </c>
      <c r="AL26" t="s">
        <v>600</v>
      </c>
      <c r="AM26" t="s">
        <v>326</v>
      </c>
      <c r="AN26" s="14">
        <v>0.83333333333333337</v>
      </c>
      <c r="AO26" s="1">
        <v>45747</v>
      </c>
      <c r="AP26" s="14">
        <v>0.83333333333333337</v>
      </c>
      <c r="AQ26" s="2"/>
      <c r="AR26" t="s">
        <v>764</v>
      </c>
      <c r="AS26" t="s">
        <v>636</v>
      </c>
      <c r="AT26" t="s">
        <v>331</v>
      </c>
      <c r="AU26">
        <v>2025</v>
      </c>
      <c r="AV26">
        <v>14</v>
      </c>
      <c r="AW26">
        <v>6</v>
      </c>
      <c r="AX26">
        <v>31</v>
      </c>
      <c r="AY26">
        <v>90</v>
      </c>
      <c r="AZ26" t="s">
        <v>786</v>
      </c>
      <c r="BA26" t="s">
        <v>438</v>
      </c>
      <c r="BD26" t="s">
        <v>961</v>
      </c>
      <c r="BF26">
        <v>5</v>
      </c>
      <c r="BG26" t="s">
        <v>950</v>
      </c>
      <c r="BH26" t="s">
        <v>764</v>
      </c>
      <c r="BI26" t="s">
        <v>764</v>
      </c>
    </row>
    <row r="27" spans="1:61" x14ac:dyDescent="0.25">
      <c r="A27" t="s">
        <v>449</v>
      </c>
      <c r="B27">
        <v>45748</v>
      </c>
      <c r="C27" s="2">
        <v>0.85324074074074074</v>
      </c>
      <c r="D27" s="1"/>
      <c r="E27" s="14"/>
      <c r="F27" s="1">
        <v>45748</v>
      </c>
      <c r="G27" s="14">
        <v>0.85324074074074074</v>
      </c>
      <c r="H27" t="s">
        <v>600</v>
      </c>
      <c r="K27" t="s">
        <v>450</v>
      </c>
      <c r="L27" t="s">
        <v>247</v>
      </c>
      <c r="M27">
        <v>7</v>
      </c>
      <c r="N27" t="s">
        <v>451</v>
      </c>
      <c r="Q27" t="s">
        <v>452</v>
      </c>
      <c r="R27" t="s">
        <v>685</v>
      </c>
      <c r="S27" t="s">
        <v>454</v>
      </c>
      <c r="T27" t="s">
        <v>63</v>
      </c>
      <c r="Y27" t="s">
        <v>601</v>
      </c>
      <c r="Z27" t="s">
        <v>65</v>
      </c>
      <c r="AA27" t="s">
        <v>250</v>
      </c>
      <c r="AB27" t="s">
        <v>67</v>
      </c>
      <c r="AC27" t="s">
        <v>141</v>
      </c>
      <c r="AD27" t="s">
        <v>69</v>
      </c>
      <c r="AE27" t="s">
        <v>70</v>
      </c>
      <c r="AF27">
        <v>9</v>
      </c>
      <c r="AG27" s="1">
        <v>45748</v>
      </c>
      <c r="AH27" s="14">
        <v>0.85324074074074074</v>
      </c>
      <c r="AI27" s="14">
        <v>0.83333333333333337</v>
      </c>
      <c r="AJ27" t="s">
        <v>764</v>
      </c>
      <c r="AK27" t="s">
        <v>803</v>
      </c>
      <c r="AL27" t="s">
        <v>600</v>
      </c>
      <c r="AM27" t="s">
        <v>326</v>
      </c>
      <c r="AN27" s="14">
        <v>0.85324074074074074</v>
      </c>
      <c r="AO27" s="1">
        <v>45748</v>
      </c>
      <c r="AP27" s="14">
        <v>0.83333333333333337</v>
      </c>
      <c r="AQ27" s="2"/>
      <c r="AR27" t="s">
        <v>764</v>
      </c>
      <c r="AS27" t="s">
        <v>635</v>
      </c>
      <c r="AT27" t="s">
        <v>430</v>
      </c>
      <c r="AU27">
        <v>2025</v>
      </c>
      <c r="AV27">
        <v>14</v>
      </c>
      <c r="AW27">
        <v>1</v>
      </c>
      <c r="AX27">
        <v>1</v>
      </c>
      <c r="AY27">
        <v>91</v>
      </c>
      <c r="AZ27" t="s">
        <v>803</v>
      </c>
      <c r="BA27" t="s">
        <v>450</v>
      </c>
      <c r="BD27" t="s">
        <v>962</v>
      </c>
      <c r="BG27" t="s">
        <v>950</v>
      </c>
      <c r="BH27" t="s">
        <v>764</v>
      </c>
      <c r="BI27" t="s">
        <v>764</v>
      </c>
    </row>
    <row r="28" spans="1:61" x14ac:dyDescent="0.25">
      <c r="A28" t="s">
        <v>504</v>
      </c>
      <c r="B28">
        <v>45755</v>
      </c>
      <c r="C28" s="2">
        <v>3.2638888888888884E-2</v>
      </c>
      <c r="D28" s="1"/>
      <c r="E28" s="14"/>
      <c r="F28" s="1">
        <v>45755</v>
      </c>
      <c r="G28" s="14">
        <v>3.6493055555555556E-2</v>
      </c>
      <c r="H28" t="s">
        <v>600</v>
      </c>
      <c r="I28" t="s">
        <v>267</v>
      </c>
      <c r="J28" t="s">
        <v>505</v>
      </c>
      <c r="K28" t="s">
        <v>506</v>
      </c>
      <c r="L28" t="s">
        <v>424</v>
      </c>
      <c r="M28">
        <v>7</v>
      </c>
      <c r="N28" t="s">
        <v>507</v>
      </c>
      <c r="Q28" t="s">
        <v>686</v>
      </c>
      <c r="R28" t="s">
        <v>354</v>
      </c>
      <c r="S28" t="s">
        <v>509</v>
      </c>
      <c r="T28" t="s">
        <v>63</v>
      </c>
      <c r="Y28" t="s">
        <v>687</v>
      </c>
      <c r="Z28" t="s">
        <v>65</v>
      </c>
      <c r="AA28" t="s">
        <v>79</v>
      </c>
      <c r="AB28" t="s">
        <v>80</v>
      </c>
      <c r="AC28" t="s">
        <v>93</v>
      </c>
      <c r="AD28" t="s">
        <v>69</v>
      </c>
      <c r="AE28" t="s">
        <v>70</v>
      </c>
      <c r="AF28">
        <v>9</v>
      </c>
      <c r="AG28" s="1">
        <v>45755</v>
      </c>
      <c r="AH28" s="14">
        <v>3.2638888888888891E-2</v>
      </c>
      <c r="AI28" s="14">
        <v>0</v>
      </c>
      <c r="AJ28" t="s">
        <v>763</v>
      </c>
      <c r="AK28" t="s">
        <v>858</v>
      </c>
      <c r="AL28" t="s">
        <v>859</v>
      </c>
      <c r="AM28" t="s">
        <v>326</v>
      </c>
      <c r="AN28" s="14">
        <v>3.2638888888888891E-2</v>
      </c>
      <c r="AO28" s="1">
        <v>45755</v>
      </c>
      <c r="AP28" s="14">
        <v>0</v>
      </c>
      <c r="AQ28" s="2"/>
      <c r="AR28" t="s">
        <v>763</v>
      </c>
      <c r="AS28" t="s">
        <v>635</v>
      </c>
      <c r="AT28" t="s">
        <v>430</v>
      </c>
      <c r="AU28">
        <v>2025</v>
      </c>
      <c r="AV28">
        <v>15</v>
      </c>
      <c r="AW28">
        <v>2</v>
      </c>
      <c r="AX28">
        <v>8</v>
      </c>
      <c r="AY28">
        <v>98</v>
      </c>
      <c r="AZ28" t="s">
        <v>858</v>
      </c>
      <c r="BA28" t="s">
        <v>506</v>
      </c>
      <c r="BD28" t="s">
        <v>963</v>
      </c>
      <c r="BG28" t="s">
        <v>950</v>
      </c>
      <c r="BH28" t="s">
        <v>763</v>
      </c>
      <c r="BI28" t="s">
        <v>763</v>
      </c>
    </row>
    <row r="29" spans="1:61" x14ac:dyDescent="0.25">
      <c r="A29" t="s">
        <v>564</v>
      </c>
      <c r="B29">
        <v>45756</v>
      </c>
      <c r="C29" s="2">
        <v>0.96527777777777768</v>
      </c>
      <c r="D29" s="1">
        <v>45756</v>
      </c>
      <c r="E29" s="14">
        <v>0.96597222222222223</v>
      </c>
      <c r="F29" s="1">
        <v>45757</v>
      </c>
      <c r="G29" s="14">
        <v>0.57611111111111113</v>
      </c>
      <c r="H29" t="s">
        <v>600</v>
      </c>
      <c r="K29" t="s">
        <v>565</v>
      </c>
      <c r="L29" t="s">
        <v>136</v>
      </c>
      <c r="M29">
        <v>8</v>
      </c>
      <c r="N29" t="s">
        <v>566</v>
      </c>
      <c r="Q29" t="s">
        <v>567</v>
      </c>
      <c r="R29" t="s">
        <v>671</v>
      </c>
      <c r="S29" t="s">
        <v>568</v>
      </c>
      <c r="T29" t="s">
        <v>63</v>
      </c>
      <c r="Y29" t="s">
        <v>614</v>
      </c>
      <c r="Z29" t="s">
        <v>65</v>
      </c>
      <c r="AA29" t="s">
        <v>195</v>
      </c>
      <c r="AB29" t="s">
        <v>171</v>
      </c>
      <c r="AC29" t="s">
        <v>374</v>
      </c>
      <c r="AD29" t="s">
        <v>107</v>
      </c>
      <c r="AE29" t="s">
        <v>70</v>
      </c>
      <c r="AF29">
        <v>9</v>
      </c>
      <c r="AG29" s="1">
        <v>45756</v>
      </c>
      <c r="AH29" s="14">
        <v>0.96527777777777779</v>
      </c>
      <c r="AI29" s="14">
        <v>0.95833333333333337</v>
      </c>
      <c r="AJ29" t="s">
        <v>764</v>
      </c>
      <c r="AK29" t="s">
        <v>860</v>
      </c>
      <c r="AL29" t="s">
        <v>600</v>
      </c>
      <c r="AM29" t="s">
        <v>326</v>
      </c>
      <c r="AN29" s="14">
        <v>0.96527777777777779</v>
      </c>
      <c r="AO29" s="1">
        <v>45756</v>
      </c>
      <c r="AP29" s="14">
        <v>0.95833333333333337</v>
      </c>
      <c r="AQ29" s="2"/>
      <c r="AR29" t="s">
        <v>764</v>
      </c>
      <c r="AS29" t="s">
        <v>637</v>
      </c>
      <c r="AT29" t="s">
        <v>430</v>
      </c>
      <c r="AU29">
        <v>2025</v>
      </c>
      <c r="AV29">
        <v>15</v>
      </c>
      <c r="AW29">
        <v>2</v>
      </c>
      <c r="AX29">
        <v>9</v>
      </c>
      <c r="AY29">
        <v>99</v>
      </c>
      <c r="AZ29" t="s">
        <v>860</v>
      </c>
      <c r="BA29" t="s">
        <v>565</v>
      </c>
      <c r="BD29" t="s">
        <v>964</v>
      </c>
      <c r="BG29" t="s">
        <v>947</v>
      </c>
      <c r="BH29" t="s">
        <v>764</v>
      </c>
      <c r="BI29" t="s">
        <v>764</v>
      </c>
    </row>
    <row r="30" spans="1:61" x14ac:dyDescent="0.25">
      <c r="A30" t="s">
        <v>574</v>
      </c>
      <c r="C30" s="2"/>
      <c r="D30" s="1">
        <v>45760</v>
      </c>
      <c r="E30" s="14">
        <v>0.6875</v>
      </c>
      <c r="F30" s="1">
        <v>45760</v>
      </c>
      <c r="G30" s="14">
        <v>0.69084490740740745</v>
      </c>
      <c r="H30" t="s">
        <v>600</v>
      </c>
      <c r="I30" t="s">
        <v>690</v>
      </c>
      <c r="K30" t="s">
        <v>575</v>
      </c>
      <c r="L30" t="s">
        <v>115</v>
      </c>
      <c r="M30">
        <v>7</v>
      </c>
      <c r="N30" t="s">
        <v>576</v>
      </c>
      <c r="Q30" t="s">
        <v>691</v>
      </c>
      <c r="R30" t="s">
        <v>596</v>
      </c>
      <c r="S30" t="s">
        <v>178</v>
      </c>
      <c r="T30" t="s">
        <v>63</v>
      </c>
      <c r="U30" t="s">
        <v>692</v>
      </c>
      <c r="V30" t="s">
        <v>63</v>
      </c>
      <c r="W30" t="s">
        <v>624</v>
      </c>
      <c r="X30" t="s">
        <v>579</v>
      </c>
      <c r="Y30" t="s">
        <v>597</v>
      </c>
      <c r="Z30" t="s">
        <v>65</v>
      </c>
      <c r="AA30" t="s">
        <v>580</v>
      </c>
      <c r="AB30" t="s">
        <v>140</v>
      </c>
      <c r="AC30" t="s">
        <v>141</v>
      </c>
      <c r="AD30" t="s">
        <v>311</v>
      </c>
      <c r="AE30" t="s">
        <v>70</v>
      </c>
      <c r="AF30">
        <v>9</v>
      </c>
      <c r="AG30" s="1">
        <v>45760</v>
      </c>
      <c r="AH30" s="14">
        <v>0.6875</v>
      </c>
      <c r="AI30" s="14">
        <v>0.66666666666666663</v>
      </c>
      <c r="AJ30" t="s">
        <v>765</v>
      </c>
      <c r="AK30" t="s">
        <v>829</v>
      </c>
      <c r="AL30" t="s">
        <v>861</v>
      </c>
      <c r="AM30" t="s">
        <v>326</v>
      </c>
      <c r="AN30" s="14">
        <v>0.6875</v>
      </c>
      <c r="AO30" s="1">
        <v>45760</v>
      </c>
      <c r="AP30" s="14">
        <v>0.66666666666666663</v>
      </c>
      <c r="AQ30" s="2"/>
      <c r="AR30" t="s">
        <v>765</v>
      </c>
      <c r="AS30" t="s">
        <v>640</v>
      </c>
      <c r="AT30" t="s">
        <v>430</v>
      </c>
      <c r="AU30">
        <v>2025</v>
      </c>
      <c r="AV30">
        <v>16</v>
      </c>
      <c r="AW30">
        <v>3</v>
      </c>
      <c r="AX30">
        <v>13</v>
      </c>
      <c r="AY30">
        <v>103</v>
      </c>
      <c r="AZ30" t="s">
        <v>829</v>
      </c>
      <c r="BA30" t="s">
        <v>575</v>
      </c>
      <c r="BD30" t="s">
        <v>787</v>
      </c>
      <c r="BG30" t="s">
        <v>950</v>
      </c>
      <c r="BH30" t="s">
        <v>765</v>
      </c>
      <c r="BI30" t="s">
        <v>765</v>
      </c>
    </row>
    <row r="31" spans="1:61" x14ac:dyDescent="0.25">
      <c r="A31" t="s">
        <v>657</v>
      </c>
      <c r="B31">
        <v>45766</v>
      </c>
      <c r="C31" s="2">
        <v>0.58333333333333326</v>
      </c>
      <c r="D31" s="1">
        <v>45766</v>
      </c>
      <c r="E31" s="14">
        <v>0.625</v>
      </c>
      <c r="F31" s="1">
        <v>45766</v>
      </c>
      <c r="G31" s="14">
        <v>0.63688657407407412</v>
      </c>
      <c r="H31" t="s">
        <v>600</v>
      </c>
      <c r="I31" t="s">
        <v>616</v>
      </c>
      <c r="K31" t="s">
        <v>658</v>
      </c>
      <c r="L31" t="s">
        <v>221</v>
      </c>
      <c r="M31">
        <v>8</v>
      </c>
      <c r="N31" t="s">
        <v>743</v>
      </c>
      <c r="Q31" t="s">
        <v>701</v>
      </c>
      <c r="R31" t="s">
        <v>624</v>
      </c>
      <c r="S31" t="s">
        <v>702</v>
      </c>
      <c r="T31" t="s">
        <v>63</v>
      </c>
      <c r="U31" t="s">
        <v>703</v>
      </c>
      <c r="V31" t="s">
        <v>63</v>
      </c>
      <c r="W31" t="s">
        <v>704</v>
      </c>
      <c r="X31" t="s">
        <v>695</v>
      </c>
      <c r="Y31" t="s">
        <v>699</v>
      </c>
      <c r="Z31" t="s">
        <v>65</v>
      </c>
      <c r="AA31" t="s">
        <v>411</v>
      </c>
      <c r="AB31" t="s">
        <v>105</v>
      </c>
      <c r="AC31" t="s">
        <v>374</v>
      </c>
      <c r="AD31" t="s">
        <v>107</v>
      </c>
      <c r="AE31" t="s">
        <v>70</v>
      </c>
      <c r="AF31">
        <v>9</v>
      </c>
      <c r="AG31" s="1">
        <v>45766</v>
      </c>
      <c r="AH31" s="14">
        <v>0.58333333333333337</v>
      </c>
      <c r="AI31" s="14">
        <v>0.58333333333333337</v>
      </c>
      <c r="AJ31" t="s">
        <v>761</v>
      </c>
      <c r="AK31" t="s">
        <v>862</v>
      </c>
      <c r="AL31" t="s">
        <v>848</v>
      </c>
      <c r="AM31" t="s">
        <v>326</v>
      </c>
      <c r="AN31" s="14">
        <v>0.58333333333333337</v>
      </c>
      <c r="AO31" s="1">
        <v>45766</v>
      </c>
      <c r="AP31" s="14">
        <v>0.58333333333333337</v>
      </c>
      <c r="AQ31" s="2"/>
      <c r="AR31" t="s">
        <v>761</v>
      </c>
      <c r="AS31" t="s">
        <v>639</v>
      </c>
      <c r="AT31" t="s">
        <v>430</v>
      </c>
      <c r="AU31">
        <v>2025</v>
      </c>
      <c r="AV31">
        <v>16</v>
      </c>
      <c r="AW31">
        <v>3</v>
      </c>
      <c r="AX31">
        <v>19</v>
      </c>
      <c r="AY31">
        <v>109</v>
      </c>
      <c r="AZ31" t="s">
        <v>862</v>
      </c>
      <c r="BA31" t="s">
        <v>658</v>
      </c>
      <c r="BD31" t="s">
        <v>965</v>
      </c>
      <c r="BG31" t="s">
        <v>950</v>
      </c>
      <c r="BH31" t="s">
        <v>761</v>
      </c>
      <c r="BI31" t="s">
        <v>761</v>
      </c>
    </row>
    <row r="32" spans="1:61" x14ac:dyDescent="0.25">
      <c r="A32" t="s">
        <v>663</v>
      </c>
      <c r="B32">
        <v>45755</v>
      </c>
      <c r="C32" s="2">
        <v>0.20833333333333326</v>
      </c>
      <c r="D32" s="1">
        <v>45757</v>
      </c>
      <c r="E32" s="14">
        <v>0.375</v>
      </c>
      <c r="F32" s="1">
        <v>45768</v>
      </c>
      <c r="G32" s="14">
        <v>0.53252314814814816</v>
      </c>
      <c r="H32" t="s">
        <v>600</v>
      </c>
      <c r="K32" t="s">
        <v>664</v>
      </c>
      <c r="L32" t="s">
        <v>198</v>
      </c>
      <c r="M32">
        <v>5</v>
      </c>
      <c r="N32" t="s">
        <v>746</v>
      </c>
      <c r="Q32" t="s">
        <v>705</v>
      </c>
      <c r="R32" t="s">
        <v>706</v>
      </c>
      <c r="S32" t="s">
        <v>707</v>
      </c>
      <c r="T32" t="s">
        <v>63</v>
      </c>
      <c r="Y32" t="s">
        <v>697</v>
      </c>
      <c r="Z32" t="s">
        <v>65</v>
      </c>
      <c r="AA32" t="s">
        <v>435</v>
      </c>
      <c r="AB32" t="s">
        <v>171</v>
      </c>
      <c r="AC32" t="s">
        <v>68</v>
      </c>
      <c r="AD32" t="s">
        <v>107</v>
      </c>
      <c r="AF32">
        <v>9</v>
      </c>
      <c r="AG32" s="1">
        <v>45755</v>
      </c>
      <c r="AH32" s="14">
        <v>0.20833333333333334</v>
      </c>
      <c r="AI32" s="14">
        <v>0.20833333333333334</v>
      </c>
      <c r="AJ32" t="s">
        <v>766</v>
      </c>
      <c r="AK32" t="s">
        <v>863</v>
      </c>
      <c r="AL32" t="s">
        <v>600</v>
      </c>
      <c r="AM32" t="s">
        <v>326</v>
      </c>
      <c r="AN32" s="14">
        <v>0.20833333333333334</v>
      </c>
      <c r="AO32" s="1">
        <v>45755</v>
      </c>
      <c r="AP32" s="14">
        <v>0.20833333333333334</v>
      </c>
      <c r="AQ32" s="2"/>
      <c r="AR32" t="s">
        <v>766</v>
      </c>
      <c r="AS32" t="s">
        <v>635</v>
      </c>
      <c r="AT32" t="s">
        <v>430</v>
      </c>
      <c r="AU32">
        <v>2025</v>
      </c>
      <c r="AV32">
        <v>15</v>
      </c>
      <c r="AW32">
        <v>2</v>
      </c>
      <c r="AX32">
        <v>8</v>
      </c>
      <c r="AY32">
        <v>98</v>
      </c>
      <c r="AZ32" t="s">
        <v>863</v>
      </c>
      <c r="BA32" t="s">
        <v>664</v>
      </c>
      <c r="BD32" t="s">
        <v>966</v>
      </c>
      <c r="BG32" t="s">
        <v>953</v>
      </c>
      <c r="BH32" t="s">
        <v>766</v>
      </c>
      <c r="BI32" t="s">
        <v>766</v>
      </c>
    </row>
    <row r="33" spans="1:61" x14ac:dyDescent="0.25">
      <c r="A33" t="s">
        <v>709</v>
      </c>
      <c r="B33">
        <v>45772</v>
      </c>
      <c r="C33" s="2">
        <v>0.5</v>
      </c>
      <c r="D33" s="1">
        <v>45775</v>
      </c>
      <c r="E33" s="14">
        <v>0.625</v>
      </c>
      <c r="F33" s="1">
        <v>45775</v>
      </c>
      <c r="G33" s="14">
        <v>0.66496527777777781</v>
      </c>
      <c r="H33" t="s">
        <v>594</v>
      </c>
      <c r="K33" t="s">
        <v>710</v>
      </c>
      <c r="L33" t="s">
        <v>175</v>
      </c>
      <c r="M33">
        <v>9</v>
      </c>
      <c r="N33" t="s">
        <v>748</v>
      </c>
      <c r="Q33" t="s">
        <v>722</v>
      </c>
      <c r="R33" t="s">
        <v>723</v>
      </c>
      <c r="S33" t="s">
        <v>724</v>
      </c>
      <c r="T33" t="s">
        <v>63</v>
      </c>
      <c r="Y33" t="s">
        <v>677</v>
      </c>
      <c r="Z33" t="s">
        <v>65</v>
      </c>
      <c r="AA33" t="s">
        <v>411</v>
      </c>
      <c r="AB33" t="s">
        <v>105</v>
      </c>
      <c r="AC33" t="s">
        <v>161</v>
      </c>
      <c r="AD33" t="s">
        <v>211</v>
      </c>
      <c r="AE33" t="s">
        <v>181</v>
      </c>
      <c r="AF33">
        <v>9</v>
      </c>
      <c r="AG33" s="1">
        <v>45772</v>
      </c>
      <c r="AH33" s="14">
        <v>0.5</v>
      </c>
      <c r="AI33" s="14">
        <v>0.5</v>
      </c>
      <c r="AJ33" t="s">
        <v>761</v>
      </c>
      <c r="AK33" t="s">
        <v>810</v>
      </c>
      <c r="AL33" t="s">
        <v>594</v>
      </c>
      <c r="AM33" t="s">
        <v>326</v>
      </c>
      <c r="AN33" s="14">
        <v>0.5</v>
      </c>
      <c r="AO33" s="1">
        <v>45772</v>
      </c>
      <c r="AP33" s="14">
        <v>0.5</v>
      </c>
      <c r="AQ33" s="2"/>
      <c r="AR33" t="s">
        <v>761</v>
      </c>
      <c r="AS33" t="s">
        <v>485</v>
      </c>
      <c r="AT33" t="s">
        <v>430</v>
      </c>
      <c r="AU33">
        <v>2025</v>
      </c>
      <c r="AV33">
        <v>17</v>
      </c>
      <c r="AW33">
        <v>4</v>
      </c>
      <c r="AX33">
        <v>25</v>
      </c>
      <c r="AY33">
        <v>115</v>
      </c>
      <c r="AZ33" t="s">
        <v>810</v>
      </c>
      <c r="BA33" t="s">
        <v>710</v>
      </c>
      <c r="BD33" t="s">
        <v>811</v>
      </c>
      <c r="BG33" t="s">
        <v>949</v>
      </c>
      <c r="BH33" t="s">
        <v>761</v>
      </c>
      <c r="BI33" t="s">
        <v>761</v>
      </c>
    </row>
    <row r="34" spans="1:61" x14ac:dyDescent="0.25">
      <c r="A34" t="s">
        <v>711</v>
      </c>
      <c r="B34">
        <v>45776</v>
      </c>
      <c r="C34" s="2">
        <v>0.5625</v>
      </c>
      <c r="D34" s="1"/>
      <c r="E34" s="14"/>
      <c r="F34" s="1">
        <v>45776</v>
      </c>
      <c r="G34" s="14">
        <v>0.61762731481481481</v>
      </c>
      <c r="H34" t="s">
        <v>594</v>
      </c>
      <c r="K34" t="s">
        <v>650</v>
      </c>
      <c r="L34" t="s">
        <v>306</v>
      </c>
      <c r="M34">
        <v>8</v>
      </c>
      <c r="N34" t="s">
        <v>749</v>
      </c>
      <c r="Q34" t="s">
        <v>725</v>
      </c>
      <c r="R34" t="s">
        <v>609</v>
      </c>
      <c r="S34" t="s">
        <v>726</v>
      </c>
      <c r="T34" t="s">
        <v>63</v>
      </c>
      <c r="Y34" t="s">
        <v>699</v>
      </c>
      <c r="Z34" t="s">
        <v>65</v>
      </c>
      <c r="AA34" t="s">
        <v>435</v>
      </c>
      <c r="AB34" t="s">
        <v>171</v>
      </c>
      <c r="AC34" t="s">
        <v>141</v>
      </c>
      <c r="AD34" t="s">
        <v>665</v>
      </c>
      <c r="AE34" t="s">
        <v>181</v>
      </c>
      <c r="AF34">
        <v>9</v>
      </c>
      <c r="AG34" s="1">
        <v>45776</v>
      </c>
      <c r="AH34" s="14">
        <v>0.5625</v>
      </c>
      <c r="AI34" s="14">
        <v>0.54166666666666663</v>
      </c>
      <c r="AJ34" t="s">
        <v>761</v>
      </c>
      <c r="AK34" t="s">
        <v>812</v>
      </c>
      <c r="AL34" t="s">
        <v>594</v>
      </c>
      <c r="AM34" t="s">
        <v>326</v>
      </c>
      <c r="AN34" s="14">
        <v>0.5625</v>
      </c>
      <c r="AO34" s="1">
        <v>45776</v>
      </c>
      <c r="AP34" s="14">
        <v>0.54166666666666663</v>
      </c>
      <c r="AQ34" s="2"/>
      <c r="AR34" t="s">
        <v>761</v>
      </c>
      <c r="AS34" t="s">
        <v>635</v>
      </c>
      <c r="AT34" t="s">
        <v>430</v>
      </c>
      <c r="AU34">
        <v>2025</v>
      </c>
      <c r="AV34">
        <v>18</v>
      </c>
      <c r="AW34">
        <v>5</v>
      </c>
      <c r="AX34">
        <v>29</v>
      </c>
      <c r="AY34">
        <v>119</v>
      </c>
      <c r="AZ34" t="s">
        <v>812</v>
      </c>
      <c r="BA34" t="s">
        <v>650</v>
      </c>
      <c r="BD34" t="s">
        <v>813</v>
      </c>
      <c r="BG34" t="s">
        <v>950</v>
      </c>
      <c r="BH34" t="s">
        <v>761</v>
      </c>
      <c r="BI34" t="s">
        <v>761</v>
      </c>
    </row>
    <row r="35" spans="1:61" x14ac:dyDescent="0.25">
      <c r="A35" t="s">
        <v>718</v>
      </c>
      <c r="B35">
        <v>45717</v>
      </c>
      <c r="C35" s="2">
        <v>0.25</v>
      </c>
      <c r="D35" s="1">
        <v>45780</v>
      </c>
      <c r="E35" s="14">
        <v>0.49583333333333335</v>
      </c>
      <c r="F35" s="1">
        <v>45780</v>
      </c>
      <c r="G35" s="14">
        <v>0.49972222222222223</v>
      </c>
      <c r="H35" t="s">
        <v>594</v>
      </c>
      <c r="K35" t="s">
        <v>719</v>
      </c>
      <c r="L35" t="s">
        <v>306</v>
      </c>
      <c r="M35">
        <v>8</v>
      </c>
      <c r="N35" t="s">
        <v>753</v>
      </c>
      <c r="Q35" t="s">
        <v>733</v>
      </c>
      <c r="R35" t="s">
        <v>734</v>
      </c>
      <c r="S35" t="s">
        <v>735</v>
      </c>
      <c r="T35" t="s">
        <v>63</v>
      </c>
      <c r="Y35" t="s">
        <v>597</v>
      </c>
      <c r="Z35" t="s">
        <v>65</v>
      </c>
      <c r="AA35" t="s">
        <v>591</v>
      </c>
      <c r="AB35" t="s">
        <v>443</v>
      </c>
      <c r="AC35" t="s">
        <v>93</v>
      </c>
      <c r="AD35" t="s">
        <v>107</v>
      </c>
      <c r="AF35">
        <v>9</v>
      </c>
      <c r="AG35" s="1">
        <v>45717</v>
      </c>
      <c r="AH35" s="14">
        <v>0.25</v>
      </c>
      <c r="AI35" s="14">
        <v>0.25</v>
      </c>
      <c r="AJ35" t="s">
        <v>766</v>
      </c>
      <c r="AK35" t="s">
        <v>814</v>
      </c>
      <c r="AL35" t="s">
        <v>594</v>
      </c>
      <c r="AM35" t="s">
        <v>326</v>
      </c>
      <c r="AN35" s="14">
        <v>0.25</v>
      </c>
      <c r="AO35" s="1">
        <v>45717</v>
      </c>
      <c r="AP35" s="14">
        <v>0.25</v>
      </c>
      <c r="AQ35" s="2"/>
      <c r="AR35" t="s">
        <v>766</v>
      </c>
      <c r="AS35" t="s">
        <v>639</v>
      </c>
      <c r="AT35" t="s">
        <v>331</v>
      </c>
      <c r="AU35">
        <v>2025</v>
      </c>
      <c r="AV35">
        <v>9</v>
      </c>
      <c r="AW35">
        <v>1</v>
      </c>
      <c r="AX35">
        <v>1</v>
      </c>
      <c r="AY35">
        <v>60</v>
      </c>
      <c r="AZ35" t="s">
        <v>814</v>
      </c>
      <c r="BA35" t="s">
        <v>719</v>
      </c>
      <c r="BD35" t="s">
        <v>815</v>
      </c>
      <c r="BG35" t="s">
        <v>967</v>
      </c>
      <c r="BH35" t="s">
        <v>766</v>
      </c>
      <c r="BI35" t="s">
        <v>766</v>
      </c>
    </row>
    <row r="36" spans="1:61" x14ac:dyDescent="0.25">
      <c r="A36" t="s">
        <v>720</v>
      </c>
      <c r="C36" s="2"/>
      <c r="D36" s="1"/>
      <c r="E36" s="14"/>
      <c r="F36" s="1">
        <v>45782</v>
      </c>
      <c r="G36" s="14">
        <v>0.75549768518518523</v>
      </c>
      <c r="H36" t="s">
        <v>594</v>
      </c>
      <c r="K36" t="s">
        <v>721</v>
      </c>
      <c r="L36" t="s">
        <v>588</v>
      </c>
      <c r="M36">
        <v>9</v>
      </c>
      <c r="N36" t="s">
        <v>754</v>
      </c>
      <c r="Q36" t="s">
        <v>736</v>
      </c>
      <c r="R36" t="s">
        <v>606</v>
      </c>
      <c r="S36" t="s">
        <v>737</v>
      </c>
      <c r="T36" t="s">
        <v>619</v>
      </c>
      <c r="Z36" t="s">
        <v>738</v>
      </c>
      <c r="AA36" t="s">
        <v>104</v>
      </c>
      <c r="AB36" t="s">
        <v>105</v>
      </c>
      <c r="AF36">
        <v>9</v>
      </c>
      <c r="AG36" s="1">
        <v>45782</v>
      </c>
      <c r="AH36" s="14">
        <v>0.75549768518518523</v>
      </c>
      <c r="AI36" s="14">
        <v>0.75</v>
      </c>
      <c r="AJ36" t="s">
        <v>765</v>
      </c>
      <c r="AK36" t="s">
        <v>816</v>
      </c>
      <c r="AL36" t="s">
        <v>594</v>
      </c>
      <c r="AM36" t="s">
        <v>326</v>
      </c>
      <c r="AN36" s="14">
        <v>0.75549768518518523</v>
      </c>
      <c r="AO36" s="1">
        <v>45782</v>
      </c>
      <c r="AP36" s="14">
        <v>0.75</v>
      </c>
      <c r="AQ36" s="2"/>
      <c r="AR36" t="s">
        <v>765</v>
      </c>
      <c r="AS36" t="s">
        <v>636</v>
      </c>
      <c r="AT36" t="s">
        <v>642</v>
      </c>
      <c r="AU36">
        <v>2025</v>
      </c>
      <c r="AV36">
        <v>19</v>
      </c>
      <c r="AW36">
        <v>2</v>
      </c>
      <c r="AX36">
        <v>5</v>
      </c>
      <c r="AY36">
        <v>125</v>
      </c>
      <c r="AZ36" t="s">
        <v>816</v>
      </c>
      <c r="BA36" t="s">
        <v>721</v>
      </c>
      <c r="BD36" t="s">
        <v>817</v>
      </c>
      <c r="BG36" t="s">
        <v>950</v>
      </c>
      <c r="BH36" t="s">
        <v>765</v>
      </c>
      <c r="BI36" t="s">
        <v>765</v>
      </c>
    </row>
    <row r="37" spans="1:61" x14ac:dyDescent="0.25">
      <c r="A37" t="s">
        <v>871</v>
      </c>
      <c r="B37">
        <v>45788</v>
      </c>
      <c r="C37" s="2">
        <v>79.166666666666671</v>
      </c>
      <c r="D37" s="1">
        <v>45789</v>
      </c>
      <c r="E37" s="14">
        <v>0.13958333333333334</v>
      </c>
      <c r="F37" s="1">
        <v>45789</v>
      </c>
      <c r="G37" s="14">
        <v>0.28483796296296299</v>
      </c>
      <c r="H37" t="s">
        <v>600</v>
      </c>
      <c r="K37" t="s">
        <v>872</v>
      </c>
      <c r="L37" t="s">
        <v>198</v>
      </c>
      <c r="M37">
        <v>5</v>
      </c>
      <c r="N37" t="s">
        <v>873</v>
      </c>
      <c r="Q37" t="s">
        <v>874</v>
      </c>
      <c r="R37" t="s">
        <v>681</v>
      </c>
      <c r="S37" t="s">
        <v>875</v>
      </c>
      <c r="T37" t="s">
        <v>63</v>
      </c>
      <c r="Y37" t="s">
        <v>669</v>
      </c>
      <c r="Z37" t="s">
        <v>65</v>
      </c>
      <c r="AA37" t="s">
        <v>261</v>
      </c>
      <c r="AB37" t="s">
        <v>262</v>
      </c>
      <c r="AC37" t="s">
        <v>141</v>
      </c>
      <c r="AD37" t="s">
        <v>107</v>
      </c>
      <c r="AF37">
        <v>9</v>
      </c>
      <c r="AG37" s="1">
        <v>45788</v>
      </c>
      <c r="AH37" s="14">
        <v>0.16666666666666666</v>
      </c>
      <c r="AI37" s="14">
        <v>0.16666666666666666</v>
      </c>
      <c r="AJ37" t="s">
        <v>766</v>
      </c>
      <c r="AK37" t="s">
        <v>876</v>
      </c>
      <c r="AL37" t="s">
        <v>600</v>
      </c>
      <c r="AM37" t="s">
        <v>326</v>
      </c>
      <c r="AN37" s="14">
        <v>0.16666666666666666</v>
      </c>
      <c r="AO37" s="1">
        <v>45788</v>
      </c>
      <c r="AP37" s="14">
        <v>0.16666666666666666</v>
      </c>
      <c r="AQ37" s="2"/>
      <c r="AR37" t="s">
        <v>766</v>
      </c>
      <c r="AS37" t="s">
        <v>640</v>
      </c>
      <c r="AT37" t="s">
        <v>642</v>
      </c>
      <c r="AU37">
        <v>2025</v>
      </c>
      <c r="AV37">
        <v>20</v>
      </c>
      <c r="AW37">
        <v>3</v>
      </c>
      <c r="AX37">
        <v>11</v>
      </c>
      <c r="AY37">
        <v>131</v>
      </c>
      <c r="AZ37" t="s">
        <v>876</v>
      </c>
      <c r="BA37" t="s">
        <v>872</v>
      </c>
      <c r="BD37" t="s">
        <v>968</v>
      </c>
      <c r="BG37" t="s">
        <v>947</v>
      </c>
      <c r="BH37" t="s">
        <v>766</v>
      </c>
      <c r="BI37" t="s">
        <v>766</v>
      </c>
    </row>
    <row r="38" spans="1:61" x14ac:dyDescent="0.25">
      <c r="A38" t="s">
        <v>892</v>
      </c>
      <c r="B38">
        <v>45782</v>
      </c>
      <c r="C38" s="2">
        <v>0.74097222222222214</v>
      </c>
      <c r="D38" s="1"/>
      <c r="E38" s="14"/>
      <c r="F38" s="1">
        <v>45791</v>
      </c>
      <c r="G38" s="14">
        <v>0.64642361111111113</v>
      </c>
      <c r="H38" t="s">
        <v>594</v>
      </c>
      <c r="I38" t="s">
        <v>157</v>
      </c>
      <c r="K38" t="s">
        <v>893</v>
      </c>
      <c r="L38" t="s">
        <v>159</v>
      </c>
      <c r="M38">
        <v>9</v>
      </c>
      <c r="N38" t="s">
        <v>894</v>
      </c>
      <c r="R38" t="s">
        <v>624</v>
      </c>
      <c r="S38" t="s">
        <v>895</v>
      </c>
      <c r="Y38" t="s">
        <v>597</v>
      </c>
      <c r="Z38" t="s">
        <v>65</v>
      </c>
      <c r="AA38" t="s">
        <v>167</v>
      </c>
      <c r="AB38" t="s">
        <v>140</v>
      </c>
      <c r="AC38" t="s">
        <v>161</v>
      </c>
      <c r="AD38" t="s">
        <v>162</v>
      </c>
      <c r="AF38">
        <v>9</v>
      </c>
      <c r="AG38" s="1">
        <v>45782</v>
      </c>
      <c r="AH38" s="14">
        <v>0.74097222222222225</v>
      </c>
      <c r="AI38" s="14">
        <v>0.70833333333333337</v>
      </c>
      <c r="AJ38" t="s">
        <v>765</v>
      </c>
      <c r="AK38" t="s">
        <v>896</v>
      </c>
      <c r="AL38" t="s">
        <v>897</v>
      </c>
      <c r="AM38" t="s">
        <v>326</v>
      </c>
      <c r="AN38" s="14">
        <v>0.74097222222222225</v>
      </c>
      <c r="AO38" s="1">
        <v>45782</v>
      </c>
      <c r="AP38" s="14">
        <v>0.70833333333333337</v>
      </c>
      <c r="AQ38" s="2"/>
      <c r="AR38" t="s">
        <v>765</v>
      </c>
      <c r="AS38" t="s">
        <v>636</v>
      </c>
      <c r="AT38" t="s">
        <v>642</v>
      </c>
      <c r="AU38">
        <v>2025</v>
      </c>
      <c r="AV38">
        <v>19</v>
      </c>
      <c r="AW38">
        <v>2</v>
      </c>
      <c r="AX38">
        <v>5</v>
      </c>
      <c r="AY38">
        <v>125</v>
      </c>
      <c r="AZ38" t="s">
        <v>896</v>
      </c>
      <c r="BA38" t="s">
        <v>893</v>
      </c>
      <c r="BD38" t="s">
        <v>969</v>
      </c>
      <c r="BG38" t="s">
        <v>953</v>
      </c>
      <c r="BH38" t="s">
        <v>765</v>
      </c>
      <c r="BI38" t="s">
        <v>765</v>
      </c>
    </row>
    <row r="39" spans="1:61" x14ac:dyDescent="0.25">
      <c r="A39" t="s">
        <v>898</v>
      </c>
      <c r="B39">
        <v>45789</v>
      </c>
      <c r="C39" s="2">
        <v>0.8125</v>
      </c>
      <c r="D39" s="1">
        <v>45789</v>
      </c>
      <c r="E39" s="14">
        <v>0.85069444444444442</v>
      </c>
      <c r="F39" s="1">
        <v>45792</v>
      </c>
      <c r="G39" s="14">
        <v>0.34418981481481481</v>
      </c>
      <c r="H39" t="s">
        <v>594</v>
      </c>
      <c r="K39" t="s">
        <v>899</v>
      </c>
      <c r="L39" t="s">
        <v>424</v>
      </c>
      <c r="N39" t="s">
        <v>900</v>
      </c>
      <c r="Q39" t="s">
        <v>901</v>
      </c>
      <c r="R39" t="s">
        <v>902</v>
      </c>
      <c r="S39" t="s">
        <v>903</v>
      </c>
      <c r="T39" t="s">
        <v>63</v>
      </c>
      <c r="Y39" t="s">
        <v>882</v>
      </c>
      <c r="Z39" t="s">
        <v>65</v>
      </c>
      <c r="AA39" t="s">
        <v>467</v>
      </c>
      <c r="AB39" t="s">
        <v>262</v>
      </c>
      <c r="AC39" t="s">
        <v>374</v>
      </c>
      <c r="AD39" t="s">
        <v>107</v>
      </c>
      <c r="AF39">
        <v>9</v>
      </c>
      <c r="AG39" s="1">
        <v>45789</v>
      </c>
      <c r="AH39" s="14">
        <v>0.8125</v>
      </c>
      <c r="AI39" s="14">
        <v>0.79166666666666663</v>
      </c>
      <c r="AJ39" t="s">
        <v>765</v>
      </c>
      <c r="AK39" t="s">
        <v>904</v>
      </c>
      <c r="AL39" t="s">
        <v>594</v>
      </c>
      <c r="AM39" t="s">
        <v>326</v>
      </c>
      <c r="AN39" s="14">
        <v>0.8125</v>
      </c>
      <c r="AO39" s="1">
        <v>45789</v>
      </c>
      <c r="AP39" s="14">
        <v>0.79166666666666663</v>
      </c>
      <c r="AQ39" s="2"/>
      <c r="AR39" t="s">
        <v>765</v>
      </c>
      <c r="AS39" t="s">
        <v>636</v>
      </c>
      <c r="AT39" t="s">
        <v>642</v>
      </c>
      <c r="AU39">
        <v>2025</v>
      </c>
      <c r="AV39">
        <v>20</v>
      </c>
      <c r="AW39">
        <v>3</v>
      </c>
      <c r="AX39">
        <v>12</v>
      </c>
      <c r="AY39">
        <v>132</v>
      </c>
      <c r="AZ39" t="s">
        <v>904</v>
      </c>
      <c r="BA39" t="s">
        <v>899</v>
      </c>
      <c r="BD39" t="s">
        <v>970</v>
      </c>
      <c r="BG39" t="s">
        <v>949</v>
      </c>
      <c r="BH39" t="s">
        <v>765</v>
      </c>
      <c r="BI39" t="s">
        <v>765</v>
      </c>
    </row>
    <row r="40" spans="1:61" x14ac:dyDescent="0.25">
      <c r="A40" t="s">
        <v>909</v>
      </c>
      <c r="B40">
        <v>45795</v>
      </c>
      <c r="C40" s="2">
        <v>0.8125</v>
      </c>
      <c r="D40" s="1"/>
      <c r="E40" s="14"/>
      <c r="F40" s="1">
        <v>45796</v>
      </c>
      <c r="G40" s="14">
        <v>0.81428240740740743</v>
      </c>
      <c r="H40" t="s">
        <v>594</v>
      </c>
      <c r="K40" t="s">
        <v>910</v>
      </c>
      <c r="L40" t="s">
        <v>159</v>
      </c>
      <c r="M40">
        <v>9</v>
      </c>
      <c r="N40" t="s">
        <v>911</v>
      </c>
      <c r="Q40" t="s">
        <v>912</v>
      </c>
      <c r="R40" t="s">
        <v>624</v>
      </c>
      <c r="S40" t="s">
        <v>913</v>
      </c>
      <c r="T40" t="s">
        <v>63</v>
      </c>
      <c r="Y40" t="s">
        <v>697</v>
      </c>
      <c r="Z40" t="s">
        <v>65</v>
      </c>
      <c r="AA40" t="s">
        <v>117</v>
      </c>
      <c r="AB40" t="s">
        <v>67</v>
      </c>
      <c r="AC40" t="s">
        <v>161</v>
      </c>
      <c r="AD40" t="s">
        <v>162</v>
      </c>
      <c r="AF40">
        <v>9</v>
      </c>
      <c r="AG40" s="1">
        <v>45795</v>
      </c>
      <c r="AH40" s="14">
        <v>0.8125</v>
      </c>
      <c r="AI40" s="14">
        <v>0.79166666666666663</v>
      </c>
      <c r="AJ40" t="s">
        <v>765</v>
      </c>
      <c r="AK40" t="s">
        <v>914</v>
      </c>
      <c r="AL40" t="s">
        <v>594</v>
      </c>
      <c r="AM40" t="s">
        <v>519</v>
      </c>
      <c r="AN40" s="14">
        <v>0.8125</v>
      </c>
      <c r="AO40" s="1">
        <v>45795</v>
      </c>
      <c r="AP40" s="14">
        <v>0.79166666666666663</v>
      </c>
      <c r="AQ40" s="2"/>
      <c r="AR40" t="s">
        <v>765</v>
      </c>
      <c r="AS40" t="s">
        <v>640</v>
      </c>
      <c r="AT40" t="s">
        <v>642</v>
      </c>
      <c r="AU40">
        <v>2025</v>
      </c>
      <c r="AV40">
        <v>21</v>
      </c>
      <c r="AW40">
        <v>4</v>
      </c>
      <c r="AX40">
        <v>18</v>
      </c>
      <c r="AY40">
        <v>138</v>
      </c>
      <c r="AZ40" t="s">
        <v>914</v>
      </c>
      <c r="BA40" t="s">
        <v>910</v>
      </c>
      <c r="BD40" t="s">
        <v>971</v>
      </c>
      <c r="BG40" t="s">
        <v>947</v>
      </c>
      <c r="BH40" t="s">
        <v>765</v>
      </c>
      <c r="BI40" t="s">
        <v>765</v>
      </c>
    </row>
    <row r="41" spans="1:61" x14ac:dyDescent="0.25">
      <c r="A41" t="s">
        <v>915</v>
      </c>
      <c r="B41">
        <v>45791</v>
      </c>
      <c r="C41" s="2">
        <v>0.46875</v>
      </c>
      <c r="D41" s="1"/>
      <c r="E41" s="14"/>
      <c r="F41" s="1">
        <v>45797</v>
      </c>
      <c r="G41" s="14">
        <v>0.56267361111111114</v>
      </c>
      <c r="H41" t="s">
        <v>600</v>
      </c>
      <c r="I41" t="s">
        <v>616</v>
      </c>
      <c r="K41" t="s">
        <v>916</v>
      </c>
      <c r="L41" t="s">
        <v>136</v>
      </c>
      <c r="M41">
        <v>8</v>
      </c>
      <c r="N41" t="s">
        <v>917</v>
      </c>
      <c r="Q41" t="s">
        <v>918</v>
      </c>
      <c r="Y41" t="s">
        <v>669</v>
      </c>
      <c r="Z41" t="s">
        <v>65</v>
      </c>
      <c r="AA41" t="s">
        <v>170</v>
      </c>
      <c r="AB41" t="s">
        <v>171</v>
      </c>
      <c r="AC41" t="s">
        <v>93</v>
      </c>
      <c r="AD41" t="s">
        <v>69</v>
      </c>
      <c r="AF41">
        <v>9</v>
      </c>
      <c r="AG41" s="1">
        <v>45791</v>
      </c>
      <c r="AH41" s="14">
        <v>0.46875</v>
      </c>
      <c r="AI41" s="14">
        <v>0.45833333333333331</v>
      </c>
      <c r="AJ41" t="s">
        <v>762</v>
      </c>
      <c r="AK41" t="s">
        <v>820</v>
      </c>
      <c r="AL41" t="s">
        <v>848</v>
      </c>
      <c r="AM41" t="s">
        <v>519</v>
      </c>
      <c r="AN41" s="14">
        <v>0.46875</v>
      </c>
      <c r="AO41" s="1">
        <v>45791</v>
      </c>
      <c r="AP41" s="14">
        <v>0.45833333333333331</v>
      </c>
      <c r="AQ41" s="2"/>
      <c r="AR41" t="s">
        <v>762</v>
      </c>
      <c r="AS41" t="s">
        <v>637</v>
      </c>
      <c r="AT41" t="s">
        <v>642</v>
      </c>
      <c r="AU41">
        <v>2025</v>
      </c>
      <c r="AV41">
        <v>20</v>
      </c>
      <c r="AW41">
        <v>3</v>
      </c>
      <c r="AX41">
        <v>14</v>
      </c>
      <c r="AY41">
        <v>134</v>
      </c>
      <c r="AZ41" t="s">
        <v>820</v>
      </c>
      <c r="BA41" t="s">
        <v>916</v>
      </c>
      <c r="BG41" t="s">
        <v>949</v>
      </c>
      <c r="BH41" t="s">
        <v>762</v>
      </c>
      <c r="BI41" t="s">
        <v>762</v>
      </c>
    </row>
    <row r="42" spans="1:61" x14ac:dyDescent="0.25">
      <c r="A42" t="s">
        <v>1001</v>
      </c>
      <c r="B42">
        <v>45810</v>
      </c>
      <c r="C42" s="2">
        <v>0.56944444444444442</v>
      </c>
      <c r="D42" s="1">
        <v>45811</v>
      </c>
      <c r="E42" s="14">
        <v>0.25</v>
      </c>
      <c r="F42" s="1">
        <v>45811</v>
      </c>
      <c r="G42" s="14">
        <v>0.25730324074074074</v>
      </c>
      <c r="H42" t="s">
        <v>594</v>
      </c>
      <c r="K42" t="s">
        <v>1002</v>
      </c>
      <c r="L42" t="s">
        <v>1003</v>
      </c>
      <c r="M42">
        <v>9</v>
      </c>
      <c r="N42" t="s">
        <v>1004</v>
      </c>
      <c r="Q42" t="s">
        <v>1005</v>
      </c>
      <c r="R42" t="s">
        <v>624</v>
      </c>
      <c r="S42" t="s">
        <v>1006</v>
      </c>
      <c r="T42" t="s">
        <v>63</v>
      </c>
      <c r="Y42" t="s">
        <v>668</v>
      </c>
      <c r="Z42" t="s">
        <v>65</v>
      </c>
      <c r="AA42" t="s">
        <v>310</v>
      </c>
      <c r="AB42" t="s">
        <v>67</v>
      </c>
      <c r="AC42" t="s">
        <v>1007</v>
      </c>
      <c r="AD42" t="s">
        <v>162</v>
      </c>
      <c r="AF42">
        <v>9</v>
      </c>
      <c r="AG42" s="1">
        <v>45810</v>
      </c>
      <c r="AH42" s="14">
        <v>0.56944444444444442</v>
      </c>
      <c r="AI42" s="14">
        <v>0.54166666666666663</v>
      </c>
      <c r="AJ42" t="s">
        <v>761</v>
      </c>
      <c r="AK42" t="s">
        <v>1008</v>
      </c>
      <c r="AL42" t="s">
        <v>594</v>
      </c>
      <c r="AM42" t="s">
        <v>519</v>
      </c>
      <c r="AN42" s="14">
        <v>0.56944444444444442</v>
      </c>
      <c r="AO42" s="1">
        <v>45810</v>
      </c>
      <c r="AP42" s="14">
        <v>0.54166666666666663</v>
      </c>
      <c r="AQ42" s="2"/>
      <c r="AR42" t="s">
        <v>761</v>
      </c>
      <c r="AS42" t="s">
        <v>636</v>
      </c>
      <c r="AT42" t="s">
        <v>641</v>
      </c>
      <c r="AU42">
        <v>2025</v>
      </c>
      <c r="AV42">
        <v>23</v>
      </c>
      <c r="AW42">
        <v>1</v>
      </c>
      <c r="AX42">
        <v>2</v>
      </c>
      <c r="AY42">
        <v>153</v>
      </c>
      <c r="AZ42" t="s">
        <v>1008</v>
      </c>
      <c r="BA42" t="s">
        <v>1002</v>
      </c>
      <c r="BD42" t="s">
        <v>1047</v>
      </c>
      <c r="BG42" t="s">
        <v>947</v>
      </c>
      <c r="BH42" t="s">
        <v>761</v>
      </c>
      <c r="BI42" t="s">
        <v>761</v>
      </c>
    </row>
    <row r="43" spans="1:61" x14ac:dyDescent="0.25">
      <c r="A43" t="s">
        <v>1009</v>
      </c>
      <c r="B43">
        <v>45811</v>
      </c>
      <c r="C43" s="2">
        <v>0.81298611111111119</v>
      </c>
      <c r="D43" s="1"/>
      <c r="E43" s="14"/>
      <c r="F43" s="1">
        <v>45811</v>
      </c>
      <c r="G43" s="14">
        <v>0.81298611111111108</v>
      </c>
      <c r="H43" t="s">
        <v>594</v>
      </c>
      <c r="K43" t="s">
        <v>1010</v>
      </c>
      <c r="L43" t="s">
        <v>247</v>
      </c>
      <c r="M43">
        <v>7</v>
      </c>
      <c r="N43" t="s">
        <v>1011</v>
      </c>
      <c r="Q43" t="s">
        <v>1012</v>
      </c>
      <c r="R43" t="s">
        <v>1013</v>
      </c>
      <c r="S43" t="s">
        <v>1014</v>
      </c>
      <c r="T43" t="s">
        <v>63</v>
      </c>
      <c r="Y43" t="s">
        <v>674</v>
      </c>
      <c r="Z43" t="s">
        <v>65</v>
      </c>
      <c r="AA43" t="s">
        <v>426</v>
      </c>
      <c r="AB43" t="s">
        <v>80</v>
      </c>
      <c r="AC43" t="s">
        <v>280</v>
      </c>
      <c r="AD43" t="s">
        <v>107</v>
      </c>
      <c r="AE43" t="s">
        <v>181</v>
      </c>
      <c r="AF43">
        <v>9</v>
      </c>
      <c r="AG43" s="1">
        <v>45811</v>
      </c>
      <c r="AH43" s="14">
        <v>0.81298611111111108</v>
      </c>
      <c r="AI43" s="14">
        <v>0.79166666666666663</v>
      </c>
      <c r="AJ43" t="s">
        <v>765</v>
      </c>
      <c r="AK43" t="s">
        <v>827</v>
      </c>
      <c r="AL43" t="s">
        <v>594</v>
      </c>
      <c r="AM43" t="s">
        <v>929</v>
      </c>
      <c r="AN43" s="14">
        <v>0.81298611111111108</v>
      </c>
      <c r="AO43" s="1">
        <v>45811</v>
      </c>
      <c r="AP43" s="14">
        <v>0.79166666666666663</v>
      </c>
      <c r="AQ43" s="2"/>
      <c r="AR43" t="s">
        <v>765</v>
      </c>
      <c r="AS43" t="s">
        <v>635</v>
      </c>
      <c r="AT43" t="s">
        <v>641</v>
      </c>
      <c r="AU43">
        <v>2025</v>
      </c>
      <c r="AV43">
        <v>23</v>
      </c>
      <c r="AW43">
        <v>1</v>
      </c>
      <c r="AX43">
        <v>3</v>
      </c>
      <c r="AY43">
        <v>154</v>
      </c>
      <c r="AZ43" t="s">
        <v>827</v>
      </c>
      <c r="BA43" t="s">
        <v>1010</v>
      </c>
      <c r="BD43" t="s">
        <v>1048</v>
      </c>
      <c r="BG43" t="s">
        <v>950</v>
      </c>
      <c r="BH43" t="s">
        <v>765</v>
      </c>
      <c r="BI43" t="s">
        <v>765</v>
      </c>
    </row>
    <row r="44" spans="1:61" x14ac:dyDescent="0.25">
      <c r="A44" t="s">
        <v>1021</v>
      </c>
      <c r="B44">
        <v>45813</v>
      </c>
      <c r="C44" s="2">
        <v>0.28472222222222232</v>
      </c>
      <c r="D44" s="1"/>
      <c r="E44" s="14"/>
      <c r="F44" s="1">
        <v>45813</v>
      </c>
      <c r="G44" s="14">
        <v>0.28687499999999999</v>
      </c>
      <c r="H44" t="s">
        <v>600</v>
      </c>
      <c r="I44" t="s">
        <v>680</v>
      </c>
      <c r="K44" t="s">
        <v>1022</v>
      </c>
      <c r="L44" t="s">
        <v>214</v>
      </c>
      <c r="M44">
        <v>6</v>
      </c>
      <c r="N44" t="s">
        <v>1023</v>
      </c>
      <c r="Q44" t="s">
        <v>1024</v>
      </c>
      <c r="R44" t="s">
        <v>1049</v>
      </c>
      <c r="S44" t="s">
        <v>1026</v>
      </c>
      <c r="T44" t="s">
        <v>63</v>
      </c>
      <c r="Y44" t="s">
        <v>599</v>
      </c>
      <c r="Z44" t="s">
        <v>65</v>
      </c>
      <c r="AA44" t="s">
        <v>104</v>
      </c>
      <c r="AB44" t="s">
        <v>105</v>
      </c>
      <c r="AC44" t="s">
        <v>141</v>
      </c>
      <c r="AD44" t="s">
        <v>107</v>
      </c>
      <c r="AE44" t="s">
        <v>70</v>
      </c>
      <c r="AF44">
        <v>9</v>
      </c>
      <c r="AG44" s="1">
        <v>45813</v>
      </c>
      <c r="AH44" s="14">
        <v>0.28472222222222221</v>
      </c>
      <c r="AI44" s="14">
        <v>0.25</v>
      </c>
      <c r="AJ44" t="s">
        <v>766</v>
      </c>
      <c r="AK44" t="s">
        <v>1028</v>
      </c>
      <c r="AL44" t="s">
        <v>1027</v>
      </c>
      <c r="AM44" t="s">
        <v>929</v>
      </c>
      <c r="AN44" s="14">
        <v>0.28472222222222221</v>
      </c>
      <c r="AO44" s="1">
        <v>45813</v>
      </c>
      <c r="AP44" s="14">
        <v>0.25</v>
      </c>
      <c r="AQ44" s="2"/>
      <c r="AR44" t="s">
        <v>766</v>
      </c>
      <c r="AS44" t="s">
        <v>638</v>
      </c>
      <c r="AT44" t="s">
        <v>641</v>
      </c>
      <c r="AU44">
        <v>2025</v>
      </c>
      <c r="AV44">
        <v>23</v>
      </c>
      <c r="AW44">
        <v>1</v>
      </c>
      <c r="AX44">
        <v>5</v>
      </c>
      <c r="AY44">
        <v>156</v>
      </c>
      <c r="AZ44" t="s">
        <v>1028</v>
      </c>
      <c r="BA44" t="s">
        <v>1022</v>
      </c>
      <c r="BD44" t="s">
        <v>1050</v>
      </c>
      <c r="BG44" t="s">
        <v>950</v>
      </c>
      <c r="BH44" t="s">
        <v>766</v>
      </c>
      <c r="BI44" t="s">
        <v>766</v>
      </c>
    </row>
    <row r="45" spans="1:61" x14ac:dyDescent="0.25">
      <c r="A45" t="s">
        <v>1029</v>
      </c>
      <c r="B45">
        <v>45813</v>
      </c>
      <c r="C45" s="2">
        <v>0.28194444444444455</v>
      </c>
      <c r="D45" s="1"/>
      <c r="E45" s="14"/>
      <c r="F45" s="1">
        <v>45813</v>
      </c>
      <c r="G45" s="14">
        <v>0.28289351851851852</v>
      </c>
      <c r="H45" t="s">
        <v>600</v>
      </c>
      <c r="I45" t="s">
        <v>680</v>
      </c>
      <c r="K45" t="s">
        <v>1030</v>
      </c>
      <c r="L45" t="s">
        <v>424</v>
      </c>
      <c r="M45">
        <v>7</v>
      </c>
      <c r="N45" t="s">
        <v>1031</v>
      </c>
      <c r="Q45" t="s">
        <v>1032</v>
      </c>
      <c r="R45" t="s">
        <v>1049</v>
      </c>
      <c r="S45" t="s">
        <v>1026</v>
      </c>
      <c r="T45" t="s">
        <v>1033</v>
      </c>
      <c r="Y45" t="s">
        <v>599</v>
      </c>
      <c r="Z45" t="s">
        <v>65</v>
      </c>
      <c r="AA45" t="s">
        <v>195</v>
      </c>
      <c r="AB45" t="s">
        <v>171</v>
      </c>
      <c r="AC45" t="s">
        <v>141</v>
      </c>
      <c r="AD45" t="s">
        <v>69</v>
      </c>
      <c r="AE45" t="s">
        <v>181</v>
      </c>
      <c r="AF45">
        <v>9</v>
      </c>
      <c r="AG45" s="1">
        <v>45813</v>
      </c>
      <c r="AH45" s="14">
        <v>0.28194444444444444</v>
      </c>
      <c r="AI45" s="14">
        <v>0.25</v>
      </c>
      <c r="AJ45" t="s">
        <v>766</v>
      </c>
      <c r="AK45" t="s">
        <v>1034</v>
      </c>
      <c r="AL45" t="s">
        <v>1027</v>
      </c>
      <c r="AM45" t="s">
        <v>929</v>
      </c>
      <c r="AN45" s="14">
        <v>0.28194444444444444</v>
      </c>
      <c r="AO45" s="1">
        <v>45813</v>
      </c>
      <c r="AP45" s="14">
        <v>0.25</v>
      </c>
      <c r="AQ45" s="2"/>
      <c r="AR45" t="s">
        <v>766</v>
      </c>
      <c r="AS45" t="s">
        <v>638</v>
      </c>
      <c r="AT45" t="s">
        <v>641</v>
      </c>
      <c r="AU45">
        <v>2025</v>
      </c>
      <c r="AV45">
        <v>23</v>
      </c>
      <c r="AW45">
        <v>1</v>
      </c>
      <c r="AX45">
        <v>5</v>
      </c>
      <c r="AY45">
        <v>156</v>
      </c>
      <c r="AZ45" t="s">
        <v>1034</v>
      </c>
      <c r="BA45" t="s">
        <v>1030</v>
      </c>
      <c r="BD45" t="s">
        <v>1050</v>
      </c>
      <c r="BG45" t="s">
        <v>950</v>
      </c>
      <c r="BH45" t="s">
        <v>766</v>
      </c>
      <c r="BI45" t="s">
        <v>766</v>
      </c>
    </row>
    <row r="46" spans="1:61" x14ac:dyDescent="0.25">
      <c r="A46" t="s">
        <v>1035</v>
      </c>
      <c r="B46">
        <v>45815</v>
      </c>
      <c r="C46" s="2">
        <v>0.35416666666666674</v>
      </c>
      <c r="D46" s="1">
        <v>45815</v>
      </c>
      <c r="E46" s="14">
        <v>0.71458333333333335</v>
      </c>
      <c r="F46" s="1">
        <v>45815</v>
      </c>
      <c r="G46" s="14">
        <v>0.71855324074074078</v>
      </c>
      <c r="H46" t="s">
        <v>600</v>
      </c>
      <c r="I46" t="s">
        <v>680</v>
      </c>
      <c r="K46" t="s">
        <v>385</v>
      </c>
      <c r="L46" t="s">
        <v>269</v>
      </c>
      <c r="M46">
        <v>9</v>
      </c>
      <c r="N46" t="s">
        <v>1036</v>
      </c>
      <c r="Q46" t="s">
        <v>1037</v>
      </c>
      <c r="R46" t="s">
        <v>670</v>
      </c>
      <c r="S46" t="s">
        <v>1038</v>
      </c>
      <c r="T46" t="s">
        <v>63</v>
      </c>
      <c r="Y46" t="s">
        <v>669</v>
      </c>
      <c r="Z46" t="s">
        <v>65</v>
      </c>
      <c r="AA46" t="s">
        <v>1039</v>
      </c>
      <c r="AB46" t="s">
        <v>105</v>
      </c>
      <c r="AC46" t="s">
        <v>93</v>
      </c>
      <c r="AD46" t="s">
        <v>107</v>
      </c>
      <c r="AE46" t="s">
        <v>70</v>
      </c>
      <c r="AF46">
        <v>9</v>
      </c>
      <c r="AG46" s="1">
        <v>45815</v>
      </c>
      <c r="AH46" s="14">
        <v>0.35416666666666669</v>
      </c>
      <c r="AI46" s="14">
        <v>0.33333333333333331</v>
      </c>
      <c r="AJ46" t="s">
        <v>762</v>
      </c>
      <c r="AK46" t="s">
        <v>831</v>
      </c>
      <c r="AL46" t="s">
        <v>1027</v>
      </c>
      <c r="AM46" t="s">
        <v>929</v>
      </c>
      <c r="AN46" s="14">
        <v>0.35416666666666669</v>
      </c>
      <c r="AO46" s="1">
        <v>45815</v>
      </c>
      <c r="AP46" s="14">
        <v>0.33333333333333331</v>
      </c>
      <c r="AQ46" s="2"/>
      <c r="AR46" t="s">
        <v>762</v>
      </c>
      <c r="AS46" t="s">
        <v>639</v>
      </c>
      <c r="AT46" t="s">
        <v>641</v>
      </c>
      <c r="AU46">
        <v>2025</v>
      </c>
      <c r="AV46">
        <v>23</v>
      </c>
      <c r="AW46">
        <v>1</v>
      </c>
      <c r="AX46">
        <v>7</v>
      </c>
      <c r="AY46">
        <v>158</v>
      </c>
      <c r="AZ46" t="s">
        <v>831</v>
      </c>
      <c r="BA46" t="s">
        <v>385</v>
      </c>
      <c r="BD46" t="s">
        <v>1051</v>
      </c>
      <c r="BG46" t="s">
        <v>950</v>
      </c>
      <c r="BH46" t="s">
        <v>762</v>
      </c>
      <c r="BI46" t="s">
        <v>762</v>
      </c>
    </row>
    <row r="47" spans="1:61" x14ac:dyDescent="0.25">
      <c r="A47" t="s">
        <v>1040</v>
      </c>
      <c r="B47">
        <v>45816</v>
      </c>
      <c r="C47" s="2">
        <v>6.25E-2</v>
      </c>
      <c r="D47" s="1"/>
      <c r="E47" s="14"/>
      <c r="F47" s="1">
        <v>45816</v>
      </c>
      <c r="G47" s="14">
        <v>0.42436342592592591</v>
      </c>
      <c r="H47" t="s">
        <v>600</v>
      </c>
      <c r="K47" t="s">
        <v>339</v>
      </c>
      <c r="L47" t="s">
        <v>115</v>
      </c>
      <c r="M47">
        <v>7</v>
      </c>
      <c r="N47" t="s">
        <v>1041</v>
      </c>
      <c r="Q47" t="s">
        <v>1042</v>
      </c>
      <c r="R47" t="s">
        <v>624</v>
      </c>
      <c r="S47" t="s">
        <v>913</v>
      </c>
      <c r="T47" t="s">
        <v>63</v>
      </c>
      <c r="Y47" t="s">
        <v>599</v>
      </c>
      <c r="Z47" t="s">
        <v>65</v>
      </c>
      <c r="AA47" t="s">
        <v>195</v>
      </c>
      <c r="AB47" t="s">
        <v>171</v>
      </c>
      <c r="AC47" t="s">
        <v>161</v>
      </c>
      <c r="AD47" t="s">
        <v>162</v>
      </c>
      <c r="AE47" t="s">
        <v>70</v>
      </c>
      <c r="AF47">
        <v>9</v>
      </c>
      <c r="AG47" s="1">
        <v>45816</v>
      </c>
      <c r="AH47" s="14">
        <v>6.25E-2</v>
      </c>
      <c r="AI47" s="14">
        <v>4.1666666666666664E-2</v>
      </c>
      <c r="AJ47" t="s">
        <v>763</v>
      </c>
      <c r="AK47" t="s">
        <v>338</v>
      </c>
      <c r="AL47" t="s">
        <v>600</v>
      </c>
      <c r="AM47" t="s">
        <v>929</v>
      </c>
      <c r="AN47" s="14">
        <v>6.25E-2</v>
      </c>
      <c r="AO47" s="1">
        <v>45816</v>
      </c>
      <c r="AP47" s="14">
        <v>4.1666666666666664E-2</v>
      </c>
      <c r="AQ47" s="2"/>
      <c r="AR47" t="s">
        <v>763</v>
      </c>
      <c r="AS47" t="s">
        <v>640</v>
      </c>
      <c r="AT47" t="s">
        <v>641</v>
      </c>
      <c r="AU47">
        <v>2025</v>
      </c>
      <c r="AV47">
        <v>24</v>
      </c>
      <c r="AW47">
        <v>2</v>
      </c>
      <c r="AX47">
        <v>8</v>
      </c>
      <c r="AY47">
        <v>159</v>
      </c>
      <c r="AZ47" t="s">
        <v>338</v>
      </c>
      <c r="BA47" t="s">
        <v>339</v>
      </c>
      <c r="BD47" t="s">
        <v>971</v>
      </c>
      <c r="BG47" t="s">
        <v>950</v>
      </c>
      <c r="BH47" t="s">
        <v>763</v>
      </c>
      <c r="BI47" t="s">
        <v>763</v>
      </c>
    </row>
  </sheetData>
  <phoneticPr fontId="10" type="noConversion"/>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956DD-F7A7-4C0C-B7E9-46A60212108B}">
  <sheetPr codeName="Sheet41">
    <tabColor rgb="FFFFC000"/>
  </sheetPr>
  <dimension ref="A1:BI26"/>
  <sheetViews>
    <sheetView workbookViewId="0">
      <selection activeCell="F19" sqref="F19"/>
    </sheetView>
  </sheetViews>
  <sheetFormatPr defaultRowHeight="15" x14ac:dyDescent="0.25"/>
  <cols>
    <col min="1" max="1" width="15.140625" bestFit="1" customWidth="1"/>
    <col min="2" max="2" width="14.7109375" style="1" bestFit="1" customWidth="1"/>
    <col min="3" max="3" width="15.5703125" bestFit="1" customWidth="1"/>
    <col min="4" max="4" width="24.5703125" bestFit="1" customWidth="1"/>
    <col min="5" max="5" width="24.85546875" bestFit="1" customWidth="1"/>
    <col min="6" max="6" width="13.85546875" bestFit="1" customWidth="1"/>
    <col min="7" max="7" width="14.140625" bestFit="1" customWidth="1"/>
    <col min="8" max="8" width="29" bestFit="1" customWidth="1"/>
    <col min="9" max="9" width="31.42578125" bestFit="1" customWidth="1"/>
    <col min="10" max="10" width="31" bestFit="1" customWidth="1"/>
    <col min="11" max="11" width="41.140625" bestFit="1" customWidth="1"/>
    <col min="12" max="12" width="7.140625" bestFit="1" customWidth="1"/>
    <col min="13" max="13" width="7.7109375" bestFit="1" customWidth="1"/>
    <col min="14" max="14" width="81.140625" bestFit="1" customWidth="1"/>
    <col min="15" max="15" width="19.7109375" bestFit="1" customWidth="1"/>
    <col min="16" max="16" width="21.140625" bestFit="1" customWidth="1"/>
    <col min="17" max="17" width="15.5703125" bestFit="1" customWidth="1"/>
    <col min="18" max="18" width="9.28515625" bestFit="1" customWidth="1"/>
    <col min="19" max="19" width="10.140625" bestFit="1" customWidth="1"/>
    <col min="20" max="20" width="13" bestFit="1" customWidth="1"/>
    <col min="21" max="21" width="15.5703125" bestFit="1" customWidth="1"/>
    <col min="22" max="22" width="13" bestFit="1" customWidth="1"/>
    <col min="23" max="23" width="9.28515625" bestFit="1" customWidth="1"/>
    <col min="24" max="24" width="10.140625" bestFit="1" customWidth="1"/>
    <col min="25" max="25" width="14.7109375" bestFit="1" customWidth="1"/>
    <col min="26" max="26" width="15.7109375" bestFit="1" customWidth="1"/>
    <col min="27" max="27" width="27.140625" bestFit="1" customWidth="1"/>
    <col min="28" max="28" width="8.7109375" bestFit="1" customWidth="1"/>
    <col min="29" max="29" width="26.85546875" bestFit="1" customWidth="1"/>
    <col min="30" max="30" width="29.140625" bestFit="1" customWidth="1"/>
    <col min="31" max="31" width="32.140625" bestFit="1" customWidth="1"/>
    <col min="32" max="32" width="25.140625" bestFit="1" customWidth="1"/>
    <col min="33" max="33" width="15.140625" bestFit="1" customWidth="1"/>
    <col min="34" max="34" width="11.5703125" bestFit="1" customWidth="1"/>
    <col min="35" max="35" width="13.85546875" bestFit="1" customWidth="1"/>
    <col min="36" max="36" width="25.7109375" bestFit="1" customWidth="1"/>
    <col min="37" max="37" width="26.140625" bestFit="1" customWidth="1"/>
    <col min="38" max="38" width="81.140625" bestFit="1" customWidth="1"/>
    <col min="39" max="39" width="9.140625" bestFit="1" customWidth="1"/>
    <col min="40" max="40" width="11.85546875" bestFit="1" customWidth="1"/>
    <col min="41" max="41" width="12" bestFit="1" customWidth="1"/>
    <col min="42" max="42" width="14.42578125" bestFit="1" customWidth="1"/>
    <col min="43" max="43" width="22.7109375" bestFit="1" customWidth="1"/>
    <col min="44" max="44" width="25.7109375" bestFit="1" customWidth="1"/>
    <col min="45" max="45" width="12.28515625" bestFit="1" customWidth="1"/>
    <col min="46" max="46" width="15" bestFit="1" customWidth="1"/>
    <col min="47" max="47" width="7.28515625" bestFit="1" customWidth="1"/>
    <col min="48" max="48" width="15.42578125" bestFit="1" customWidth="1"/>
    <col min="49" max="49" width="17.42578125" bestFit="1" customWidth="1"/>
    <col min="50" max="50" width="6.5703125" bestFit="1" customWidth="1"/>
    <col min="51" max="51" width="13.28515625" bestFit="1" customWidth="1"/>
    <col min="52" max="52" width="26.140625" bestFit="1" customWidth="1"/>
    <col min="53" max="53" width="41.140625" bestFit="1" customWidth="1"/>
    <col min="54" max="54" width="6" bestFit="1" customWidth="1"/>
    <col min="55" max="55" width="8.5703125" bestFit="1" customWidth="1"/>
    <col min="56" max="56" width="10.42578125" bestFit="1" customWidth="1"/>
    <col min="57" max="57" width="10.140625" bestFit="1" customWidth="1"/>
    <col min="58" max="58" width="26.42578125" bestFit="1" customWidth="1"/>
    <col min="59" max="59" width="16.5703125" bestFit="1" customWidth="1"/>
    <col min="60" max="62" width="25.7109375" customWidth="1"/>
    <col min="63" max="63" width="81.140625" bestFit="1" customWidth="1"/>
    <col min="64" max="64" width="25.7109375" bestFit="1" customWidth="1"/>
    <col min="65" max="65" width="11.85546875" bestFit="1" customWidth="1"/>
    <col min="66" max="66" width="12" bestFit="1" customWidth="1"/>
    <col min="67" max="67" width="14.42578125" bestFit="1" customWidth="1"/>
    <col min="68" max="68" width="22.7109375" bestFit="1" customWidth="1"/>
    <col min="69" max="69" width="25.7109375" bestFit="1" customWidth="1"/>
    <col min="70" max="70" width="12.28515625" bestFit="1" customWidth="1"/>
    <col min="71" max="71" width="15" bestFit="1" customWidth="1"/>
    <col min="72" max="72" width="7.28515625" bestFit="1" customWidth="1"/>
    <col min="73" max="73" width="15.42578125" bestFit="1" customWidth="1"/>
    <col min="74" max="74" width="17.42578125" bestFit="1" customWidth="1"/>
    <col min="75" max="75" width="6.5703125" bestFit="1" customWidth="1"/>
    <col min="76" max="76" width="13.28515625" bestFit="1" customWidth="1"/>
    <col min="77" max="77" width="12.5703125" bestFit="1" customWidth="1"/>
    <col min="78" max="78" width="41.140625" bestFit="1" customWidth="1"/>
    <col min="79" max="79" width="81.140625" bestFit="1" customWidth="1"/>
    <col min="80" max="80" width="25.140625" bestFit="1" customWidth="1"/>
    <col min="81" max="81" width="6" bestFit="1" customWidth="1"/>
    <col min="82" max="82" width="8.5703125" bestFit="1" customWidth="1"/>
    <col min="83" max="83" width="10.28515625" bestFit="1" customWidth="1"/>
    <col min="84" max="84" width="10.140625" bestFit="1" customWidth="1"/>
    <col min="85" max="85" width="26.42578125" bestFit="1" customWidth="1"/>
    <col min="86" max="86" width="16.5703125" bestFit="1" customWidth="1"/>
    <col min="87" max="87" width="25.7109375" bestFit="1" customWidth="1"/>
  </cols>
  <sheetData>
    <row r="1" spans="1:61" x14ac:dyDescent="0.25">
      <c r="A1" t="s">
        <v>0</v>
      </c>
      <c r="B1" s="1" t="s">
        <v>643</v>
      </c>
      <c r="C1" t="s">
        <v>36</v>
      </c>
      <c r="D1" t="s">
        <v>37</v>
      </c>
      <c r="E1" t="s">
        <v>38</v>
      </c>
      <c r="F1" t="s">
        <v>39</v>
      </c>
      <c r="G1" t="s">
        <v>40</v>
      </c>
      <c r="H1" t="s">
        <v>9</v>
      </c>
      <c r="I1" t="s">
        <v>11</v>
      </c>
      <c r="J1" t="s">
        <v>12</v>
      </c>
      <c r="K1" t="s">
        <v>13</v>
      </c>
      <c r="L1" t="s">
        <v>14</v>
      </c>
      <c r="M1" t="s">
        <v>15</v>
      </c>
      <c r="N1" t="s">
        <v>16</v>
      </c>
      <c r="O1" t="s">
        <v>17</v>
      </c>
      <c r="P1" t="s">
        <v>18</v>
      </c>
      <c r="Q1" t="s">
        <v>19</v>
      </c>
      <c r="R1" t="s">
        <v>20</v>
      </c>
      <c r="S1" t="s">
        <v>21</v>
      </c>
      <c r="T1" t="s">
        <v>22</v>
      </c>
      <c r="U1" t="s">
        <v>23</v>
      </c>
      <c r="V1" t="s">
        <v>24</v>
      </c>
      <c r="W1" t="s">
        <v>25</v>
      </c>
      <c r="X1" t="s">
        <v>26</v>
      </c>
      <c r="Y1" t="s">
        <v>27</v>
      </c>
      <c r="Z1" t="s">
        <v>28</v>
      </c>
      <c r="AA1" t="s">
        <v>29</v>
      </c>
      <c r="AB1" t="s">
        <v>30</v>
      </c>
      <c r="AC1" t="s">
        <v>31</v>
      </c>
      <c r="AD1" t="s">
        <v>32</v>
      </c>
      <c r="AE1" t="s">
        <v>644</v>
      </c>
      <c r="AF1" t="s">
        <v>34</v>
      </c>
      <c r="AG1" t="s">
        <v>35</v>
      </c>
      <c r="AH1" t="s">
        <v>647</v>
      </c>
      <c r="AI1" t="s">
        <v>648</v>
      </c>
      <c r="AJ1" t="s">
        <v>649</v>
      </c>
      <c r="AK1" t="s">
        <v>592</v>
      </c>
      <c r="AL1" t="s">
        <v>10</v>
      </c>
      <c r="AM1" t="s">
        <v>845</v>
      </c>
      <c r="AN1" t="s">
        <v>4</v>
      </c>
      <c r="AO1" t="s">
        <v>1</v>
      </c>
      <c r="AP1" t="s">
        <v>3</v>
      </c>
      <c r="AQ1" t="s">
        <v>46</v>
      </c>
      <c r="AR1" t="s">
        <v>2</v>
      </c>
      <c r="AS1" t="s">
        <v>5</v>
      </c>
      <c r="AT1" t="s">
        <v>6</v>
      </c>
      <c r="AU1" t="s">
        <v>41</v>
      </c>
      <c r="AV1" t="s">
        <v>42</v>
      </c>
      <c r="AW1" t="s">
        <v>43</v>
      </c>
      <c r="AX1" t="s">
        <v>44</v>
      </c>
      <c r="AY1" t="s">
        <v>45</v>
      </c>
      <c r="AZ1" t="s">
        <v>972</v>
      </c>
      <c r="BA1" t="s">
        <v>8</v>
      </c>
      <c r="BB1" t="s">
        <v>47</v>
      </c>
      <c r="BC1" t="s">
        <v>329</v>
      </c>
      <c r="BD1" t="s">
        <v>48</v>
      </c>
      <c r="BE1" t="s">
        <v>49</v>
      </c>
      <c r="BF1" t="s">
        <v>50</v>
      </c>
      <c r="BG1" t="s">
        <v>51</v>
      </c>
      <c r="BH1" t="s">
        <v>52</v>
      </c>
      <c r="BI1" t="s">
        <v>783</v>
      </c>
    </row>
    <row r="2" spans="1:61" x14ac:dyDescent="0.25">
      <c r="A2" t="s">
        <v>110</v>
      </c>
      <c r="B2" s="1">
        <v>45673</v>
      </c>
      <c r="C2" s="2">
        <v>0.5</v>
      </c>
      <c r="D2" s="1">
        <v>45673</v>
      </c>
      <c r="E2" s="14">
        <v>0.75</v>
      </c>
      <c r="F2" s="1">
        <v>45673</v>
      </c>
      <c r="G2" s="14">
        <v>0.81587962962962968</v>
      </c>
      <c r="H2" t="s">
        <v>608</v>
      </c>
      <c r="K2" t="s">
        <v>114</v>
      </c>
      <c r="L2" t="s">
        <v>115</v>
      </c>
      <c r="M2">
        <v>7</v>
      </c>
      <c r="N2" t="s">
        <v>116</v>
      </c>
      <c r="Y2" t="s">
        <v>601</v>
      </c>
      <c r="Z2" t="s">
        <v>65</v>
      </c>
      <c r="AA2" t="s">
        <v>117</v>
      </c>
      <c r="AB2" t="s">
        <v>67</v>
      </c>
      <c r="AC2" t="s">
        <v>68</v>
      </c>
      <c r="AD2" t="s">
        <v>69</v>
      </c>
      <c r="AE2" t="s">
        <v>118</v>
      </c>
      <c r="AF2">
        <v>9</v>
      </c>
      <c r="AG2" s="1">
        <v>45673</v>
      </c>
      <c r="AH2" s="14">
        <v>0.5</v>
      </c>
      <c r="AI2" s="14">
        <v>0.5</v>
      </c>
      <c r="AJ2" t="s">
        <v>761</v>
      </c>
      <c r="AK2" t="s">
        <v>818</v>
      </c>
      <c r="AL2" t="s">
        <v>608</v>
      </c>
      <c r="AM2" t="s">
        <v>326</v>
      </c>
      <c r="AN2" s="14">
        <v>0.5</v>
      </c>
      <c r="AO2" s="1">
        <v>45673</v>
      </c>
      <c r="AP2" s="14">
        <v>0.5</v>
      </c>
      <c r="AQ2" s="2"/>
      <c r="AR2" t="s">
        <v>761</v>
      </c>
      <c r="AS2" t="s">
        <v>638</v>
      </c>
      <c r="AT2" t="s">
        <v>55</v>
      </c>
      <c r="AU2">
        <v>2025</v>
      </c>
      <c r="AV2">
        <v>3</v>
      </c>
      <c r="AW2">
        <v>3</v>
      </c>
      <c r="AX2">
        <v>16</v>
      </c>
      <c r="AY2">
        <v>16</v>
      </c>
      <c r="AZ2" t="s">
        <v>818</v>
      </c>
      <c r="BA2" t="s">
        <v>114</v>
      </c>
      <c r="BH2" t="s">
        <v>761</v>
      </c>
      <c r="BI2" t="s">
        <v>761</v>
      </c>
    </row>
    <row r="3" spans="1:61" x14ac:dyDescent="0.25">
      <c r="A3" t="s">
        <v>121</v>
      </c>
      <c r="B3" s="1">
        <v>45682</v>
      </c>
      <c r="C3" s="2">
        <v>0.45833333333333326</v>
      </c>
      <c r="D3" s="1">
        <v>45682</v>
      </c>
      <c r="E3" s="14">
        <v>0.58333333333333337</v>
      </c>
      <c r="F3" s="1">
        <v>45682</v>
      </c>
      <c r="G3" s="14">
        <v>0.58054398148148145</v>
      </c>
      <c r="H3" t="s">
        <v>608</v>
      </c>
      <c r="K3" t="s">
        <v>125</v>
      </c>
      <c r="L3" t="s">
        <v>126</v>
      </c>
      <c r="M3">
        <v>5</v>
      </c>
      <c r="N3" t="s">
        <v>127</v>
      </c>
      <c r="Y3" t="s">
        <v>615</v>
      </c>
      <c r="Z3" t="s">
        <v>65</v>
      </c>
      <c r="AA3" t="s">
        <v>128</v>
      </c>
      <c r="AB3" t="s">
        <v>80</v>
      </c>
      <c r="AC3" t="s">
        <v>68</v>
      </c>
      <c r="AD3" t="s">
        <v>69</v>
      </c>
      <c r="AE3" t="s">
        <v>118</v>
      </c>
      <c r="AF3">
        <v>9</v>
      </c>
      <c r="AG3" s="1">
        <v>45682</v>
      </c>
      <c r="AH3" s="14">
        <v>0.45833333333333331</v>
      </c>
      <c r="AI3" s="14">
        <v>0.45833333333333331</v>
      </c>
      <c r="AJ3" t="s">
        <v>762</v>
      </c>
      <c r="AK3" t="s">
        <v>819</v>
      </c>
      <c r="AL3" t="s">
        <v>608</v>
      </c>
      <c r="AM3" t="s">
        <v>326</v>
      </c>
      <c r="AN3" s="14">
        <v>0.45833333333333331</v>
      </c>
      <c r="AO3" s="1">
        <v>45682</v>
      </c>
      <c r="AP3" s="14">
        <v>0.45833333333333331</v>
      </c>
      <c r="AQ3" s="2"/>
      <c r="AR3" t="s">
        <v>762</v>
      </c>
      <c r="AS3" t="s">
        <v>639</v>
      </c>
      <c r="AT3" t="s">
        <v>55</v>
      </c>
      <c r="AU3">
        <v>2025</v>
      </c>
      <c r="AV3">
        <v>4</v>
      </c>
      <c r="AW3">
        <v>4</v>
      </c>
      <c r="AX3">
        <v>25</v>
      </c>
      <c r="AY3">
        <v>25</v>
      </c>
      <c r="AZ3" t="s">
        <v>819</v>
      </c>
      <c r="BA3" t="s">
        <v>125</v>
      </c>
      <c r="BH3" t="s">
        <v>762</v>
      </c>
      <c r="BI3" t="s">
        <v>762</v>
      </c>
    </row>
    <row r="4" spans="1:61" x14ac:dyDescent="0.25">
      <c r="A4" t="s">
        <v>132</v>
      </c>
      <c r="B4" s="1">
        <v>45688</v>
      </c>
      <c r="C4" s="2">
        <v>0.49988425925925917</v>
      </c>
      <c r="D4" s="1"/>
      <c r="E4" s="14"/>
      <c r="F4" s="1">
        <v>45688</v>
      </c>
      <c r="G4" s="14">
        <v>0.49988425925925928</v>
      </c>
      <c r="H4" t="s">
        <v>608</v>
      </c>
      <c r="K4" t="s">
        <v>135</v>
      </c>
      <c r="L4" t="s">
        <v>136</v>
      </c>
      <c r="M4">
        <v>8</v>
      </c>
      <c r="N4" t="s">
        <v>137</v>
      </c>
      <c r="Y4" t="s">
        <v>597</v>
      </c>
      <c r="Z4" t="s">
        <v>65</v>
      </c>
      <c r="AA4" t="s">
        <v>139</v>
      </c>
      <c r="AB4" t="s">
        <v>140</v>
      </c>
      <c r="AC4" t="s">
        <v>141</v>
      </c>
      <c r="AD4" t="s">
        <v>69</v>
      </c>
      <c r="AE4" t="s">
        <v>118</v>
      </c>
      <c r="AF4">
        <v>9</v>
      </c>
      <c r="AG4" s="1">
        <v>45688</v>
      </c>
      <c r="AH4" s="14">
        <v>0.49988425925925928</v>
      </c>
      <c r="AI4" s="14">
        <v>0.45833333333333331</v>
      </c>
      <c r="AJ4" t="s">
        <v>762</v>
      </c>
      <c r="AK4" t="s">
        <v>133</v>
      </c>
      <c r="AL4" t="s">
        <v>608</v>
      </c>
      <c r="AM4" t="s">
        <v>326</v>
      </c>
      <c r="AN4" s="14">
        <v>0.49988425925925928</v>
      </c>
      <c r="AO4" s="1">
        <v>45688</v>
      </c>
      <c r="AP4" s="14">
        <v>0.45833333333333331</v>
      </c>
      <c r="AQ4" s="2"/>
      <c r="AR4" t="s">
        <v>762</v>
      </c>
      <c r="AS4" t="s">
        <v>485</v>
      </c>
      <c r="AT4" t="s">
        <v>55</v>
      </c>
      <c r="AU4">
        <v>2025</v>
      </c>
      <c r="AV4">
        <v>5</v>
      </c>
      <c r="AW4">
        <v>5</v>
      </c>
      <c r="AX4">
        <v>31</v>
      </c>
      <c r="AY4">
        <v>31</v>
      </c>
      <c r="AZ4" t="s">
        <v>133</v>
      </c>
      <c r="BA4" t="s">
        <v>135</v>
      </c>
      <c r="BH4" t="s">
        <v>762</v>
      </c>
      <c r="BI4" t="s">
        <v>762</v>
      </c>
    </row>
    <row r="5" spans="1:61" x14ac:dyDescent="0.25">
      <c r="A5" t="s">
        <v>142</v>
      </c>
      <c r="B5" s="1">
        <v>45693</v>
      </c>
      <c r="C5" s="2">
        <v>0.12291666666666656</v>
      </c>
      <c r="D5" s="1"/>
      <c r="E5" s="14"/>
      <c r="F5" s="1">
        <v>45693</v>
      </c>
      <c r="G5" s="14">
        <v>0.1233912037037037</v>
      </c>
      <c r="H5" t="s">
        <v>627</v>
      </c>
      <c r="I5" t="s">
        <v>148</v>
      </c>
      <c r="K5" t="s">
        <v>149</v>
      </c>
      <c r="L5" t="s">
        <v>136</v>
      </c>
      <c r="M5">
        <v>8</v>
      </c>
      <c r="N5" t="s">
        <v>150</v>
      </c>
      <c r="Y5" t="s">
        <v>607</v>
      </c>
      <c r="Z5" t="s">
        <v>65</v>
      </c>
      <c r="AA5" t="s">
        <v>151</v>
      </c>
      <c r="AB5" t="s">
        <v>80</v>
      </c>
      <c r="AC5" t="s">
        <v>152</v>
      </c>
      <c r="AD5" t="s">
        <v>107</v>
      </c>
      <c r="AE5" t="s">
        <v>118</v>
      </c>
      <c r="AF5">
        <v>9</v>
      </c>
      <c r="AG5" s="1">
        <v>45693</v>
      </c>
      <c r="AH5" s="14">
        <v>0.12291666666666666</v>
      </c>
      <c r="AI5" s="14">
        <v>8.3333333333333329E-2</v>
      </c>
      <c r="AJ5" t="s">
        <v>763</v>
      </c>
      <c r="AK5" t="s">
        <v>820</v>
      </c>
      <c r="AL5" t="s">
        <v>755</v>
      </c>
      <c r="AM5" t="s">
        <v>326</v>
      </c>
      <c r="AN5" s="14">
        <v>0.12291666666666666</v>
      </c>
      <c r="AO5" s="1">
        <v>45693</v>
      </c>
      <c r="AP5" s="14">
        <v>8.3333333333333329E-2</v>
      </c>
      <c r="AQ5" s="2"/>
      <c r="AR5" t="s">
        <v>763</v>
      </c>
      <c r="AS5" t="s">
        <v>637</v>
      </c>
      <c r="AT5" t="s">
        <v>96</v>
      </c>
      <c r="AU5">
        <v>2025</v>
      </c>
      <c r="AV5">
        <v>6</v>
      </c>
      <c r="AW5">
        <v>2</v>
      </c>
      <c r="AX5">
        <v>5</v>
      </c>
      <c r="AY5">
        <v>36</v>
      </c>
      <c r="AZ5" t="s">
        <v>820</v>
      </c>
      <c r="BA5" t="s">
        <v>149</v>
      </c>
      <c r="BH5" t="s">
        <v>763</v>
      </c>
      <c r="BI5" t="s">
        <v>763</v>
      </c>
    </row>
    <row r="6" spans="1:61" x14ac:dyDescent="0.25">
      <c r="A6" t="s">
        <v>154</v>
      </c>
      <c r="B6" s="1">
        <v>45705</v>
      </c>
      <c r="C6" s="2">
        <v>0.52497685185185183</v>
      </c>
      <c r="D6" s="1"/>
      <c r="E6" s="14"/>
      <c r="F6" s="1">
        <v>45705</v>
      </c>
      <c r="G6" s="14">
        <v>0.52497685185185183</v>
      </c>
      <c r="H6" t="s">
        <v>627</v>
      </c>
      <c r="I6" t="s">
        <v>157</v>
      </c>
      <c r="K6" t="s">
        <v>158</v>
      </c>
      <c r="L6" t="s">
        <v>159</v>
      </c>
      <c r="M6">
        <v>9</v>
      </c>
      <c r="N6" t="s">
        <v>160</v>
      </c>
      <c r="Y6" t="s">
        <v>601</v>
      </c>
      <c r="Z6" t="s">
        <v>65</v>
      </c>
      <c r="AA6" t="s">
        <v>66</v>
      </c>
      <c r="AB6" t="s">
        <v>67</v>
      </c>
      <c r="AC6" t="s">
        <v>161</v>
      </c>
      <c r="AD6" t="s">
        <v>69</v>
      </c>
      <c r="AE6" t="s">
        <v>118</v>
      </c>
      <c r="AF6">
        <v>9</v>
      </c>
      <c r="AG6" s="1">
        <v>45705</v>
      </c>
      <c r="AH6" s="14">
        <v>0.52497685185185183</v>
      </c>
      <c r="AI6" s="14">
        <v>0.5</v>
      </c>
      <c r="AJ6" t="s">
        <v>761</v>
      </c>
      <c r="AK6" t="s">
        <v>821</v>
      </c>
      <c r="AL6" t="s">
        <v>756</v>
      </c>
      <c r="AM6" t="s">
        <v>326</v>
      </c>
      <c r="AN6" s="14">
        <v>0.52497685185185183</v>
      </c>
      <c r="AO6" s="1">
        <v>45705</v>
      </c>
      <c r="AP6" s="14">
        <v>0.5</v>
      </c>
      <c r="AQ6" s="2"/>
      <c r="AR6" t="s">
        <v>761</v>
      </c>
      <c r="AS6" t="s">
        <v>636</v>
      </c>
      <c r="AT6" t="s">
        <v>96</v>
      </c>
      <c r="AU6">
        <v>2025</v>
      </c>
      <c r="AV6">
        <v>8</v>
      </c>
      <c r="AW6">
        <v>4</v>
      </c>
      <c r="AX6">
        <v>17</v>
      </c>
      <c r="AY6">
        <v>48</v>
      </c>
      <c r="AZ6" t="s">
        <v>821</v>
      </c>
      <c r="BA6" t="s">
        <v>158</v>
      </c>
      <c r="BH6" t="s">
        <v>761</v>
      </c>
      <c r="BI6" t="s">
        <v>761</v>
      </c>
    </row>
    <row r="7" spans="1:61" x14ac:dyDescent="0.25">
      <c r="A7" t="s">
        <v>376</v>
      </c>
      <c r="B7" s="1">
        <v>45726</v>
      </c>
      <c r="C7" s="2">
        <v>4.6527777777777724E-2</v>
      </c>
      <c r="D7" s="1">
        <v>45726</v>
      </c>
      <c r="E7" s="14">
        <v>0.16180555555555556</v>
      </c>
      <c r="F7" s="1">
        <v>45727</v>
      </c>
      <c r="G7" s="14">
        <v>0.44234953703703705</v>
      </c>
      <c r="H7" t="s">
        <v>608</v>
      </c>
      <c r="K7" t="s">
        <v>379</v>
      </c>
      <c r="L7" t="s">
        <v>221</v>
      </c>
      <c r="M7">
        <v>8</v>
      </c>
      <c r="N7" t="s">
        <v>380</v>
      </c>
      <c r="Y7" t="s">
        <v>669</v>
      </c>
      <c r="Z7" t="s">
        <v>65</v>
      </c>
      <c r="AA7" t="s">
        <v>179</v>
      </c>
      <c r="AB7" t="s">
        <v>140</v>
      </c>
      <c r="AC7" t="s">
        <v>93</v>
      </c>
      <c r="AD7" t="s">
        <v>168</v>
      </c>
      <c r="AE7" t="s">
        <v>118</v>
      </c>
      <c r="AF7">
        <v>9</v>
      </c>
      <c r="AG7" s="1">
        <v>45726</v>
      </c>
      <c r="AH7" s="14">
        <v>4.6527777777777779E-2</v>
      </c>
      <c r="AI7" s="14">
        <v>4.1666666666666664E-2</v>
      </c>
      <c r="AJ7" t="s">
        <v>763</v>
      </c>
      <c r="AK7" t="s">
        <v>822</v>
      </c>
      <c r="AL7" t="s">
        <v>608</v>
      </c>
      <c r="AM7" t="s">
        <v>326</v>
      </c>
      <c r="AN7" s="14">
        <v>4.6527777777777779E-2</v>
      </c>
      <c r="AO7" s="1">
        <v>45726</v>
      </c>
      <c r="AP7" s="14">
        <v>4.1666666666666664E-2</v>
      </c>
      <c r="AQ7" s="2"/>
      <c r="AR7" t="s">
        <v>763</v>
      </c>
      <c r="AS7" t="s">
        <v>636</v>
      </c>
      <c r="AT7" t="s">
        <v>331</v>
      </c>
      <c r="AU7">
        <v>2025</v>
      </c>
      <c r="AV7">
        <v>11</v>
      </c>
      <c r="AW7">
        <v>3</v>
      </c>
      <c r="AX7">
        <v>10</v>
      </c>
      <c r="AY7">
        <v>69</v>
      </c>
      <c r="AZ7" t="s">
        <v>822</v>
      </c>
      <c r="BA7" t="s">
        <v>379</v>
      </c>
      <c r="BH7" t="s">
        <v>763</v>
      </c>
      <c r="BI7" t="s">
        <v>763</v>
      </c>
    </row>
    <row r="8" spans="1:61" x14ac:dyDescent="0.25">
      <c r="A8" t="s">
        <v>405</v>
      </c>
      <c r="B8" s="1">
        <v>45743</v>
      </c>
      <c r="C8" s="2">
        <v>0.94666666666666677</v>
      </c>
      <c r="D8" s="1"/>
      <c r="E8" s="14"/>
      <c r="F8" s="1">
        <v>45743</v>
      </c>
      <c r="G8" s="14">
        <v>0.94666666666666666</v>
      </c>
      <c r="H8" t="s">
        <v>627</v>
      </c>
      <c r="I8" t="s">
        <v>676</v>
      </c>
      <c r="J8" t="s">
        <v>604</v>
      </c>
      <c r="K8" t="s">
        <v>409</v>
      </c>
      <c r="L8" t="s">
        <v>206</v>
      </c>
      <c r="M8">
        <v>6</v>
      </c>
      <c r="N8" t="s">
        <v>410</v>
      </c>
      <c r="Y8" t="s">
        <v>614</v>
      </c>
      <c r="Z8" t="s">
        <v>65</v>
      </c>
      <c r="AA8" t="s">
        <v>411</v>
      </c>
      <c r="AB8" t="s">
        <v>105</v>
      </c>
      <c r="AC8" t="s">
        <v>280</v>
      </c>
      <c r="AD8" t="s">
        <v>311</v>
      </c>
      <c r="AE8" t="s">
        <v>118</v>
      </c>
      <c r="AF8">
        <v>9</v>
      </c>
      <c r="AG8" s="1">
        <v>45743</v>
      </c>
      <c r="AH8" s="14">
        <v>0.94666666666666666</v>
      </c>
      <c r="AI8" s="14">
        <v>0.91666666666666663</v>
      </c>
      <c r="AJ8" t="s">
        <v>764</v>
      </c>
      <c r="AK8" t="s">
        <v>823</v>
      </c>
      <c r="AL8" t="s">
        <v>757</v>
      </c>
      <c r="AM8" t="s">
        <v>326</v>
      </c>
      <c r="AN8" s="14">
        <v>0.94666666666666666</v>
      </c>
      <c r="AO8" s="1">
        <v>45743</v>
      </c>
      <c r="AP8" s="14">
        <v>0.91666666666666663</v>
      </c>
      <c r="AQ8" s="2"/>
      <c r="AR8" t="s">
        <v>764</v>
      </c>
      <c r="AS8" t="s">
        <v>638</v>
      </c>
      <c r="AT8" t="s">
        <v>331</v>
      </c>
      <c r="AU8">
        <v>2025</v>
      </c>
      <c r="AV8">
        <v>13</v>
      </c>
      <c r="AW8">
        <v>5</v>
      </c>
      <c r="AX8">
        <v>27</v>
      </c>
      <c r="AY8">
        <v>86</v>
      </c>
      <c r="AZ8" t="s">
        <v>823</v>
      </c>
      <c r="BA8" t="s">
        <v>409</v>
      </c>
      <c r="BH8" t="s">
        <v>764</v>
      </c>
      <c r="BI8" t="s">
        <v>764</v>
      </c>
    </row>
    <row r="9" spans="1:61" x14ac:dyDescent="0.25">
      <c r="A9" t="s">
        <v>414</v>
      </c>
      <c r="B9" s="1">
        <v>45743</v>
      </c>
      <c r="C9" s="2">
        <v>0.97916666666666674</v>
      </c>
      <c r="D9" s="1">
        <v>45744</v>
      </c>
      <c r="E9" s="14">
        <v>2.5000000000000001E-2</v>
      </c>
      <c r="F9" s="1">
        <v>45744</v>
      </c>
      <c r="G9" s="14">
        <v>0.46781250000000002</v>
      </c>
      <c r="H9" t="s">
        <v>608</v>
      </c>
      <c r="K9" t="s">
        <v>416</v>
      </c>
      <c r="L9" t="s">
        <v>221</v>
      </c>
      <c r="M9">
        <v>8</v>
      </c>
      <c r="N9" t="s">
        <v>417</v>
      </c>
      <c r="O9">
        <v>50300</v>
      </c>
      <c r="Y9" t="s">
        <v>677</v>
      </c>
      <c r="Z9" t="s">
        <v>65</v>
      </c>
      <c r="AA9" t="s">
        <v>344</v>
      </c>
      <c r="AB9" t="s">
        <v>262</v>
      </c>
      <c r="AC9" t="s">
        <v>418</v>
      </c>
      <c r="AD9" t="s">
        <v>69</v>
      </c>
      <c r="AE9" t="s">
        <v>118</v>
      </c>
      <c r="AF9">
        <v>9</v>
      </c>
      <c r="AG9" s="1">
        <v>45743</v>
      </c>
      <c r="AH9" s="14">
        <v>0.97916666666666663</v>
      </c>
      <c r="AI9" s="14">
        <v>0.95833333333333337</v>
      </c>
      <c r="AJ9" t="s">
        <v>764</v>
      </c>
      <c r="AK9" t="s">
        <v>822</v>
      </c>
      <c r="AL9" t="s">
        <v>608</v>
      </c>
      <c r="AM9" t="s">
        <v>326</v>
      </c>
      <c r="AN9" s="14">
        <v>0.97916666666666663</v>
      </c>
      <c r="AO9" s="1">
        <v>45743</v>
      </c>
      <c r="AP9" s="14">
        <v>0.95833333333333337</v>
      </c>
      <c r="AQ9" s="2"/>
      <c r="AR9" t="s">
        <v>764</v>
      </c>
      <c r="AS9" t="s">
        <v>638</v>
      </c>
      <c r="AT9" t="s">
        <v>331</v>
      </c>
      <c r="AU9">
        <v>2025</v>
      </c>
      <c r="AV9">
        <v>13</v>
      </c>
      <c r="AW9">
        <v>5</v>
      </c>
      <c r="AX9">
        <v>27</v>
      </c>
      <c r="AY9">
        <v>86</v>
      </c>
      <c r="AZ9" t="s">
        <v>822</v>
      </c>
      <c r="BA9" t="s">
        <v>416</v>
      </c>
      <c r="BF9">
        <v>50300</v>
      </c>
      <c r="BH9" t="s">
        <v>764</v>
      </c>
      <c r="BI9" t="s">
        <v>764</v>
      </c>
    </row>
    <row r="10" spans="1:61" x14ac:dyDescent="0.25">
      <c r="A10" t="s">
        <v>421</v>
      </c>
      <c r="B10" s="1">
        <v>45747</v>
      </c>
      <c r="C10" s="2">
        <v>0.5</v>
      </c>
      <c r="D10" s="1"/>
      <c r="E10" s="14"/>
      <c r="F10" s="1">
        <v>45747</v>
      </c>
      <c r="G10" s="14">
        <v>0.54355324074074074</v>
      </c>
      <c r="H10" t="s">
        <v>608</v>
      </c>
      <c r="K10" t="s">
        <v>423</v>
      </c>
      <c r="L10" t="s">
        <v>424</v>
      </c>
      <c r="M10">
        <v>7</v>
      </c>
      <c r="N10" t="s">
        <v>425</v>
      </c>
      <c r="Y10" t="s">
        <v>674</v>
      </c>
      <c r="Z10" t="s">
        <v>65</v>
      </c>
      <c r="AA10" t="s">
        <v>426</v>
      </c>
      <c r="AB10" t="s">
        <v>80</v>
      </c>
      <c r="AC10" t="s">
        <v>161</v>
      </c>
      <c r="AD10" t="s">
        <v>82</v>
      </c>
      <c r="AE10" t="s">
        <v>118</v>
      </c>
      <c r="AF10">
        <v>9</v>
      </c>
      <c r="AG10" s="1">
        <v>45747</v>
      </c>
      <c r="AH10" s="14">
        <v>0.5</v>
      </c>
      <c r="AI10" s="14">
        <v>0.5</v>
      </c>
      <c r="AJ10" t="s">
        <v>761</v>
      </c>
      <c r="AK10" t="s">
        <v>794</v>
      </c>
      <c r="AL10" t="s">
        <v>608</v>
      </c>
      <c r="AM10" t="s">
        <v>326</v>
      </c>
      <c r="AN10" s="14">
        <v>0.5</v>
      </c>
      <c r="AO10" s="1">
        <v>45747</v>
      </c>
      <c r="AP10" s="14">
        <v>0.5</v>
      </c>
      <c r="AQ10" s="2"/>
      <c r="AR10" t="s">
        <v>761</v>
      </c>
      <c r="AS10" t="s">
        <v>636</v>
      </c>
      <c r="AT10" t="s">
        <v>331</v>
      </c>
      <c r="AU10">
        <v>2025</v>
      </c>
      <c r="AV10">
        <v>14</v>
      </c>
      <c r="AW10">
        <v>6</v>
      </c>
      <c r="AX10">
        <v>31</v>
      </c>
      <c r="AY10">
        <v>90</v>
      </c>
      <c r="AZ10" t="s">
        <v>794</v>
      </c>
      <c r="BA10" t="s">
        <v>423</v>
      </c>
      <c r="BH10" t="s">
        <v>761</v>
      </c>
      <c r="BI10" t="s">
        <v>761</v>
      </c>
    </row>
    <row r="11" spans="1:61" x14ac:dyDescent="0.25">
      <c r="A11" t="s">
        <v>429</v>
      </c>
      <c r="B11" s="1">
        <v>45748</v>
      </c>
      <c r="C11" s="2">
        <v>0.5</v>
      </c>
      <c r="D11" s="1">
        <v>45751</v>
      </c>
      <c r="E11" s="14">
        <v>0.52083333333333337</v>
      </c>
      <c r="F11" s="1">
        <v>45751</v>
      </c>
      <c r="G11" s="14">
        <v>0.54546296296296293</v>
      </c>
      <c r="H11" t="s">
        <v>608</v>
      </c>
      <c r="K11" t="s">
        <v>433</v>
      </c>
      <c r="L11" t="s">
        <v>126</v>
      </c>
      <c r="M11">
        <v>5</v>
      </c>
      <c r="N11" t="s">
        <v>434</v>
      </c>
      <c r="Y11" t="s">
        <v>597</v>
      </c>
      <c r="Z11" t="s">
        <v>65</v>
      </c>
      <c r="AA11" t="s">
        <v>435</v>
      </c>
      <c r="AB11" t="s">
        <v>171</v>
      </c>
      <c r="AC11" t="s">
        <v>374</v>
      </c>
      <c r="AD11" t="s">
        <v>69</v>
      </c>
      <c r="AE11" t="s">
        <v>118</v>
      </c>
      <c r="AF11">
        <v>9</v>
      </c>
      <c r="AG11" s="1">
        <v>45748</v>
      </c>
      <c r="AH11" s="14">
        <v>0.5</v>
      </c>
      <c r="AI11" s="14">
        <v>0.5</v>
      </c>
      <c r="AJ11" t="s">
        <v>761</v>
      </c>
      <c r="AK11" t="s">
        <v>824</v>
      </c>
      <c r="AL11" t="s">
        <v>608</v>
      </c>
      <c r="AM11" t="s">
        <v>326</v>
      </c>
      <c r="AN11" s="14">
        <v>0.5</v>
      </c>
      <c r="AO11" s="1">
        <v>45748</v>
      </c>
      <c r="AP11" s="14">
        <v>0.5</v>
      </c>
      <c r="AQ11" s="2"/>
      <c r="AR11" t="s">
        <v>761</v>
      </c>
      <c r="AS11" t="s">
        <v>635</v>
      </c>
      <c r="AT11" t="s">
        <v>430</v>
      </c>
      <c r="AU11">
        <v>2025</v>
      </c>
      <c r="AV11">
        <v>14</v>
      </c>
      <c r="AW11">
        <v>1</v>
      </c>
      <c r="AX11">
        <v>1</v>
      </c>
      <c r="AY11">
        <v>91</v>
      </c>
      <c r="AZ11" t="s">
        <v>824</v>
      </c>
      <c r="BA11" t="s">
        <v>433</v>
      </c>
      <c r="BH11" t="s">
        <v>761</v>
      </c>
      <c r="BI11" t="s">
        <v>761</v>
      </c>
    </row>
    <row r="12" spans="1:61" x14ac:dyDescent="0.25">
      <c r="A12" t="s">
        <v>570</v>
      </c>
      <c r="B12" s="1">
        <v>45755</v>
      </c>
      <c r="C12" s="2">
        <v>0.5</v>
      </c>
      <c r="D12" s="1">
        <v>45759</v>
      </c>
      <c r="E12" s="14">
        <v>0.5</v>
      </c>
      <c r="F12" s="1">
        <v>45759</v>
      </c>
      <c r="G12" s="14">
        <v>0.5269907407407407</v>
      </c>
      <c r="H12" t="s">
        <v>608</v>
      </c>
      <c r="K12" t="s">
        <v>571</v>
      </c>
      <c r="L12" t="s">
        <v>126</v>
      </c>
      <c r="M12">
        <v>5</v>
      </c>
      <c r="N12" t="s">
        <v>572</v>
      </c>
      <c r="Y12" t="s">
        <v>614</v>
      </c>
      <c r="Z12" t="s">
        <v>65</v>
      </c>
      <c r="AA12" t="s">
        <v>411</v>
      </c>
      <c r="AB12" t="s">
        <v>105</v>
      </c>
      <c r="AC12" t="s">
        <v>93</v>
      </c>
      <c r="AD12" t="s">
        <v>107</v>
      </c>
      <c r="AE12" t="s">
        <v>118</v>
      </c>
      <c r="AF12">
        <v>9</v>
      </c>
      <c r="AG12" s="1">
        <v>45755</v>
      </c>
      <c r="AH12" s="14">
        <v>0.5</v>
      </c>
      <c r="AI12" s="14">
        <v>0.5</v>
      </c>
      <c r="AJ12" t="s">
        <v>761</v>
      </c>
      <c r="AK12" t="s">
        <v>799</v>
      </c>
      <c r="AL12" t="s">
        <v>608</v>
      </c>
      <c r="AM12" t="s">
        <v>326</v>
      </c>
      <c r="AN12" s="14">
        <v>0.5</v>
      </c>
      <c r="AO12" s="1">
        <v>45755</v>
      </c>
      <c r="AP12" s="14">
        <v>0.5</v>
      </c>
      <c r="AQ12" s="2"/>
      <c r="AR12" t="s">
        <v>761</v>
      </c>
      <c r="AS12" t="s">
        <v>635</v>
      </c>
      <c r="AT12" t="s">
        <v>430</v>
      </c>
      <c r="AU12">
        <v>2025</v>
      </c>
      <c r="AV12">
        <v>15</v>
      </c>
      <c r="AW12">
        <v>2</v>
      </c>
      <c r="AX12">
        <v>8</v>
      </c>
      <c r="AY12">
        <v>98</v>
      </c>
      <c r="AZ12" t="s">
        <v>799</v>
      </c>
      <c r="BA12" t="s">
        <v>571</v>
      </c>
      <c r="BH12" t="s">
        <v>761</v>
      </c>
      <c r="BI12" t="s">
        <v>761</v>
      </c>
    </row>
    <row r="13" spans="1:61" x14ac:dyDescent="0.25">
      <c r="A13" t="s">
        <v>581</v>
      </c>
      <c r="B13" s="1">
        <v>45760</v>
      </c>
      <c r="C13" s="2">
        <v>0.78115740740740747</v>
      </c>
      <c r="D13" s="1"/>
      <c r="E13" s="14"/>
      <c r="F13" s="1">
        <v>45760</v>
      </c>
      <c r="G13" s="14">
        <v>0.78115740740740736</v>
      </c>
      <c r="H13" t="s">
        <v>608</v>
      </c>
      <c r="I13" t="s">
        <v>689</v>
      </c>
      <c r="J13" t="s">
        <v>680</v>
      </c>
      <c r="K13" t="s">
        <v>582</v>
      </c>
      <c r="L13" t="s">
        <v>247</v>
      </c>
      <c r="M13">
        <v>7</v>
      </c>
      <c r="N13" t="s">
        <v>583</v>
      </c>
      <c r="Y13" t="s">
        <v>597</v>
      </c>
      <c r="Z13" t="s">
        <v>65</v>
      </c>
      <c r="AA13" t="s">
        <v>128</v>
      </c>
      <c r="AB13" t="s">
        <v>80</v>
      </c>
      <c r="AC13" t="s">
        <v>141</v>
      </c>
      <c r="AD13" t="s">
        <v>311</v>
      </c>
      <c r="AE13" t="s">
        <v>118</v>
      </c>
      <c r="AF13">
        <v>9</v>
      </c>
      <c r="AG13" s="1">
        <v>45760</v>
      </c>
      <c r="AH13" s="14">
        <v>0.78115740740740736</v>
      </c>
      <c r="AI13" s="14">
        <v>0.75</v>
      </c>
      <c r="AJ13" t="s">
        <v>765</v>
      </c>
      <c r="AK13" t="s">
        <v>803</v>
      </c>
      <c r="AL13" t="s">
        <v>758</v>
      </c>
      <c r="AM13" t="s">
        <v>326</v>
      </c>
      <c r="AN13" s="14">
        <v>0.78115740740740736</v>
      </c>
      <c r="AO13" s="1">
        <v>45760</v>
      </c>
      <c r="AP13" s="14">
        <v>0.75</v>
      </c>
      <c r="AQ13" s="2"/>
      <c r="AR13" t="s">
        <v>765</v>
      </c>
      <c r="AS13" t="s">
        <v>640</v>
      </c>
      <c r="AT13" t="s">
        <v>430</v>
      </c>
      <c r="AU13">
        <v>2025</v>
      </c>
      <c r="AV13">
        <v>16</v>
      </c>
      <c r="AW13">
        <v>3</v>
      </c>
      <c r="AX13">
        <v>13</v>
      </c>
      <c r="AY13">
        <v>103</v>
      </c>
      <c r="AZ13" t="s">
        <v>803</v>
      </c>
      <c r="BA13" t="s">
        <v>582</v>
      </c>
      <c r="BH13" t="s">
        <v>765</v>
      </c>
      <c r="BI13" t="s">
        <v>765</v>
      </c>
    </row>
    <row r="14" spans="1:61" x14ac:dyDescent="0.25">
      <c r="A14" t="s">
        <v>651</v>
      </c>
      <c r="B14" s="1">
        <v>45761</v>
      </c>
      <c r="C14" s="2">
        <v>0.95833333333333326</v>
      </c>
      <c r="D14" s="1">
        <v>45762</v>
      </c>
      <c r="E14" s="14">
        <v>0.77083333333333337</v>
      </c>
      <c r="F14" s="1">
        <v>45762</v>
      </c>
      <c r="G14" s="14">
        <v>0.77781250000000002</v>
      </c>
      <c r="H14" t="s">
        <v>608</v>
      </c>
      <c r="I14" t="s">
        <v>616</v>
      </c>
      <c r="J14" t="s">
        <v>680</v>
      </c>
      <c r="K14" t="s">
        <v>652</v>
      </c>
      <c r="L14" t="s">
        <v>88</v>
      </c>
      <c r="M14">
        <v>8</v>
      </c>
      <c r="N14" t="s">
        <v>740</v>
      </c>
      <c r="Y14" t="s">
        <v>687</v>
      </c>
      <c r="Z14" t="s">
        <v>65</v>
      </c>
      <c r="AA14" t="s">
        <v>693</v>
      </c>
      <c r="AB14" t="s">
        <v>462</v>
      </c>
      <c r="AC14" t="s">
        <v>141</v>
      </c>
      <c r="AD14" t="s">
        <v>107</v>
      </c>
      <c r="AE14" t="s">
        <v>118</v>
      </c>
      <c r="AF14">
        <v>9</v>
      </c>
      <c r="AG14" s="1">
        <v>45761</v>
      </c>
      <c r="AH14" s="14">
        <v>0.95833333333333337</v>
      </c>
      <c r="AI14" s="14">
        <v>0.95833333333333337</v>
      </c>
      <c r="AJ14" t="s">
        <v>764</v>
      </c>
      <c r="AK14" t="s">
        <v>825</v>
      </c>
      <c r="AL14" t="s">
        <v>759</v>
      </c>
      <c r="AM14" t="s">
        <v>326</v>
      </c>
      <c r="AN14" s="14">
        <v>0.95833333333333337</v>
      </c>
      <c r="AO14" s="1">
        <v>45761</v>
      </c>
      <c r="AP14" s="14">
        <v>0.95833333333333337</v>
      </c>
      <c r="AQ14" s="2"/>
      <c r="AR14" t="s">
        <v>764</v>
      </c>
      <c r="AS14" t="s">
        <v>636</v>
      </c>
      <c r="AT14" t="s">
        <v>430</v>
      </c>
      <c r="AU14">
        <v>2025</v>
      </c>
      <c r="AV14">
        <v>16</v>
      </c>
      <c r="AW14">
        <v>3</v>
      </c>
      <c r="AX14">
        <v>14</v>
      </c>
      <c r="AY14">
        <v>104</v>
      </c>
      <c r="AZ14" t="s">
        <v>825</v>
      </c>
      <c r="BA14" t="s">
        <v>652</v>
      </c>
      <c r="BH14" t="s">
        <v>764</v>
      </c>
      <c r="BI14" t="s">
        <v>764</v>
      </c>
    </row>
    <row r="15" spans="1:61" x14ac:dyDescent="0.25">
      <c r="A15" t="s">
        <v>653</v>
      </c>
      <c r="B15" s="1">
        <v>45763</v>
      </c>
      <c r="C15" s="2">
        <v>0.25</v>
      </c>
      <c r="D15" s="1">
        <v>45765</v>
      </c>
      <c r="E15" s="14"/>
      <c r="F15" s="1">
        <v>45765</v>
      </c>
      <c r="G15" s="14">
        <v>0.9226388888888889</v>
      </c>
      <c r="H15" t="s">
        <v>608</v>
      </c>
      <c r="K15" t="s">
        <v>654</v>
      </c>
      <c r="L15" t="s">
        <v>247</v>
      </c>
      <c r="M15">
        <v>7</v>
      </c>
      <c r="N15" t="s">
        <v>741</v>
      </c>
      <c r="Y15" t="s">
        <v>669</v>
      </c>
      <c r="Z15" t="s">
        <v>65</v>
      </c>
      <c r="AA15" t="s">
        <v>139</v>
      </c>
      <c r="AB15" t="s">
        <v>140</v>
      </c>
      <c r="AC15" t="s">
        <v>106</v>
      </c>
      <c r="AD15" t="s">
        <v>107</v>
      </c>
      <c r="AE15" t="s">
        <v>118</v>
      </c>
      <c r="AF15">
        <v>9</v>
      </c>
      <c r="AG15" s="1">
        <v>45763</v>
      </c>
      <c r="AH15" s="14">
        <v>0.25</v>
      </c>
      <c r="AI15" s="14">
        <v>0.25</v>
      </c>
      <c r="AJ15" t="s">
        <v>766</v>
      </c>
      <c r="AK15" t="s">
        <v>826</v>
      </c>
      <c r="AL15" t="s">
        <v>608</v>
      </c>
      <c r="AM15" t="s">
        <v>326</v>
      </c>
      <c r="AN15" s="14">
        <v>0.25</v>
      </c>
      <c r="AO15" s="1">
        <v>45763</v>
      </c>
      <c r="AP15" s="14">
        <v>0.25</v>
      </c>
      <c r="AQ15" s="2"/>
      <c r="AR15" t="s">
        <v>766</v>
      </c>
      <c r="AS15" t="s">
        <v>637</v>
      </c>
      <c r="AT15" t="s">
        <v>430</v>
      </c>
      <c r="AU15">
        <v>2025</v>
      </c>
      <c r="AV15">
        <v>16</v>
      </c>
      <c r="AW15">
        <v>3</v>
      </c>
      <c r="AX15">
        <v>16</v>
      </c>
      <c r="AY15">
        <v>106</v>
      </c>
      <c r="AZ15" t="s">
        <v>826</v>
      </c>
      <c r="BA15" t="s">
        <v>654</v>
      </c>
      <c r="BH15" t="s">
        <v>766</v>
      </c>
      <c r="BI15" t="s">
        <v>766</v>
      </c>
    </row>
    <row r="16" spans="1:61" x14ac:dyDescent="0.25">
      <c r="A16" t="s">
        <v>659</v>
      </c>
      <c r="C16" s="2"/>
      <c r="D16" s="1"/>
      <c r="E16" s="14"/>
      <c r="F16" s="1">
        <v>45768</v>
      </c>
      <c r="G16" s="14">
        <v>0.40254629629629629</v>
      </c>
      <c r="H16" t="s">
        <v>608</v>
      </c>
      <c r="K16" t="s">
        <v>660</v>
      </c>
      <c r="L16" t="s">
        <v>247</v>
      </c>
      <c r="M16">
        <v>7</v>
      </c>
      <c r="N16" t="s">
        <v>744</v>
      </c>
      <c r="Y16" t="s">
        <v>697</v>
      </c>
      <c r="Z16" t="s">
        <v>65</v>
      </c>
      <c r="AA16" t="s">
        <v>435</v>
      </c>
      <c r="AB16" t="s">
        <v>171</v>
      </c>
      <c r="AC16" t="s">
        <v>418</v>
      </c>
      <c r="AD16" t="s">
        <v>82</v>
      </c>
      <c r="AF16">
        <v>9</v>
      </c>
      <c r="AG16" s="1">
        <v>45768</v>
      </c>
      <c r="AH16" s="14">
        <v>0.40254629629629629</v>
      </c>
      <c r="AI16" s="14">
        <v>0.375</v>
      </c>
      <c r="AJ16" t="s">
        <v>762</v>
      </c>
      <c r="AK16" t="s">
        <v>827</v>
      </c>
      <c r="AL16" t="s">
        <v>608</v>
      </c>
      <c r="AM16" t="s">
        <v>326</v>
      </c>
      <c r="AN16" s="14">
        <v>0.40254629629629629</v>
      </c>
      <c r="AO16" s="1">
        <v>45768</v>
      </c>
      <c r="AP16" s="14">
        <v>0.375</v>
      </c>
      <c r="AQ16" s="2"/>
      <c r="AR16" t="s">
        <v>762</v>
      </c>
      <c r="AS16" t="s">
        <v>636</v>
      </c>
      <c r="AT16" t="s">
        <v>430</v>
      </c>
      <c r="AU16">
        <v>2025</v>
      </c>
      <c r="AV16">
        <v>17</v>
      </c>
      <c r="AW16">
        <v>4</v>
      </c>
      <c r="AX16">
        <v>21</v>
      </c>
      <c r="AY16">
        <v>111</v>
      </c>
      <c r="AZ16" t="s">
        <v>827</v>
      </c>
      <c r="BA16" t="s">
        <v>660</v>
      </c>
      <c r="BH16" t="s">
        <v>762</v>
      </c>
      <c r="BI16" t="s">
        <v>762</v>
      </c>
    </row>
    <row r="17" spans="1:61" x14ac:dyDescent="0.25">
      <c r="A17" t="s">
        <v>661</v>
      </c>
      <c r="B17" s="1">
        <v>45767</v>
      </c>
      <c r="C17" s="2">
        <v>0.14861111111111103</v>
      </c>
      <c r="D17" s="1">
        <v>45768</v>
      </c>
      <c r="E17" s="14">
        <v>0.33333333333333331</v>
      </c>
      <c r="F17" s="1">
        <v>45768</v>
      </c>
      <c r="G17" s="14">
        <v>0.33649305555555553</v>
      </c>
      <c r="H17" t="s">
        <v>627</v>
      </c>
      <c r="K17" t="s">
        <v>662</v>
      </c>
      <c r="L17" t="s">
        <v>588</v>
      </c>
      <c r="M17">
        <v>9</v>
      </c>
      <c r="N17" t="s">
        <v>745</v>
      </c>
      <c r="Y17" t="s">
        <v>697</v>
      </c>
      <c r="Z17" t="s">
        <v>65</v>
      </c>
      <c r="AA17" t="s">
        <v>411</v>
      </c>
      <c r="AB17" t="s">
        <v>105</v>
      </c>
      <c r="AC17" t="s">
        <v>93</v>
      </c>
      <c r="AD17" t="s">
        <v>107</v>
      </c>
      <c r="AF17">
        <v>9</v>
      </c>
      <c r="AG17" s="1">
        <v>45767</v>
      </c>
      <c r="AH17" s="14">
        <v>0.14861111111111111</v>
      </c>
      <c r="AI17" s="14">
        <v>0.125</v>
      </c>
      <c r="AJ17" t="s">
        <v>763</v>
      </c>
      <c r="AK17" t="s">
        <v>828</v>
      </c>
      <c r="AL17" t="s">
        <v>627</v>
      </c>
      <c r="AM17" t="s">
        <v>326</v>
      </c>
      <c r="AN17" s="14">
        <v>0.14861111111111111</v>
      </c>
      <c r="AO17" s="1">
        <v>45767</v>
      </c>
      <c r="AP17" s="14">
        <v>0.125</v>
      </c>
      <c r="AQ17" s="2"/>
      <c r="AR17" t="s">
        <v>763</v>
      </c>
      <c r="AS17" t="s">
        <v>640</v>
      </c>
      <c r="AT17" t="s">
        <v>430</v>
      </c>
      <c r="AU17">
        <v>2025</v>
      </c>
      <c r="AV17">
        <v>17</v>
      </c>
      <c r="AW17">
        <v>4</v>
      </c>
      <c r="AX17">
        <v>20</v>
      </c>
      <c r="AY17">
        <v>110</v>
      </c>
      <c r="AZ17" t="s">
        <v>828</v>
      </c>
      <c r="BA17" t="s">
        <v>662</v>
      </c>
      <c r="BH17" t="s">
        <v>763</v>
      </c>
      <c r="BI17" t="s">
        <v>763</v>
      </c>
    </row>
    <row r="18" spans="1:61" x14ac:dyDescent="0.25">
      <c r="A18" t="s">
        <v>716</v>
      </c>
      <c r="B18" s="1">
        <v>45778</v>
      </c>
      <c r="C18" s="2">
        <v>0.93593750000000009</v>
      </c>
      <c r="D18" s="1"/>
      <c r="E18" s="14"/>
      <c r="F18" s="1">
        <v>45778</v>
      </c>
      <c r="G18" s="14">
        <v>0.93593749999999998</v>
      </c>
      <c r="H18" t="s">
        <v>608</v>
      </c>
      <c r="I18" t="s">
        <v>616</v>
      </c>
      <c r="J18" t="s">
        <v>696</v>
      </c>
      <c r="K18" t="s">
        <v>717</v>
      </c>
      <c r="L18" t="s">
        <v>115</v>
      </c>
      <c r="M18">
        <v>7</v>
      </c>
      <c r="N18" t="s">
        <v>752</v>
      </c>
      <c r="Y18" t="s">
        <v>615</v>
      </c>
      <c r="Z18" t="s">
        <v>65</v>
      </c>
      <c r="AA18" t="s">
        <v>693</v>
      </c>
      <c r="AB18" t="s">
        <v>80</v>
      </c>
      <c r="AC18" t="s">
        <v>141</v>
      </c>
      <c r="AD18" t="s">
        <v>107</v>
      </c>
      <c r="AF18">
        <v>9</v>
      </c>
      <c r="AG18" s="1">
        <v>45778</v>
      </c>
      <c r="AH18" s="14">
        <v>0.93593749999999998</v>
      </c>
      <c r="AI18" s="14">
        <v>0.91666666666666663</v>
      </c>
      <c r="AJ18" t="s">
        <v>764</v>
      </c>
      <c r="AK18" t="s">
        <v>829</v>
      </c>
      <c r="AL18" t="s">
        <v>760</v>
      </c>
      <c r="AM18" t="s">
        <v>326</v>
      </c>
      <c r="AN18" s="14">
        <v>0.93593749999999998</v>
      </c>
      <c r="AO18" s="1">
        <v>45778</v>
      </c>
      <c r="AP18" s="14">
        <v>0.91666666666666663</v>
      </c>
      <c r="AQ18" s="2"/>
      <c r="AR18" t="s">
        <v>764</v>
      </c>
      <c r="AS18" t="s">
        <v>638</v>
      </c>
      <c r="AT18" t="s">
        <v>642</v>
      </c>
      <c r="AU18">
        <v>2025</v>
      </c>
      <c r="AV18">
        <v>18</v>
      </c>
      <c r="AW18">
        <v>1</v>
      </c>
      <c r="AX18">
        <v>1</v>
      </c>
      <c r="AY18">
        <v>121</v>
      </c>
      <c r="AZ18" t="s">
        <v>829</v>
      </c>
      <c r="BA18" t="s">
        <v>717</v>
      </c>
      <c r="BH18" t="s">
        <v>764</v>
      </c>
      <c r="BI18" t="s">
        <v>764</v>
      </c>
    </row>
    <row r="19" spans="1:61" x14ac:dyDescent="0.25">
      <c r="A19" t="s">
        <v>877</v>
      </c>
      <c r="B19" s="1">
        <v>45789</v>
      </c>
      <c r="C19" s="2">
        <v>0.27222222222222214</v>
      </c>
      <c r="D19" s="1"/>
      <c r="E19" s="14"/>
      <c r="F19" s="1">
        <v>45789</v>
      </c>
      <c r="G19" s="14">
        <v>0.27627314814814813</v>
      </c>
      <c r="H19" t="s">
        <v>608</v>
      </c>
      <c r="I19" t="s">
        <v>631</v>
      </c>
      <c r="J19" t="s">
        <v>878</v>
      </c>
      <c r="K19" t="s">
        <v>879</v>
      </c>
      <c r="L19" t="s">
        <v>165</v>
      </c>
      <c r="M19">
        <v>9</v>
      </c>
      <c r="N19" t="s">
        <v>880</v>
      </c>
      <c r="Q19" t="s">
        <v>881</v>
      </c>
      <c r="R19" t="s">
        <v>596</v>
      </c>
      <c r="S19" t="s">
        <v>62</v>
      </c>
      <c r="T19" t="s">
        <v>63</v>
      </c>
      <c r="Y19" t="s">
        <v>882</v>
      </c>
      <c r="Z19" t="s">
        <v>65</v>
      </c>
      <c r="AA19" t="s">
        <v>179</v>
      </c>
      <c r="AB19" t="s">
        <v>140</v>
      </c>
      <c r="AC19" t="s">
        <v>161</v>
      </c>
      <c r="AD19" t="s">
        <v>168</v>
      </c>
      <c r="AF19">
        <v>9</v>
      </c>
      <c r="AG19" s="1">
        <v>45789</v>
      </c>
      <c r="AH19" s="14">
        <v>0.2722222222222222</v>
      </c>
      <c r="AI19" s="14">
        <v>0.25</v>
      </c>
      <c r="AJ19" t="s">
        <v>766</v>
      </c>
      <c r="AK19" t="s">
        <v>883</v>
      </c>
      <c r="AL19" t="s">
        <v>884</v>
      </c>
      <c r="AM19" t="s">
        <v>326</v>
      </c>
      <c r="AN19" s="14">
        <v>0.2722222222222222</v>
      </c>
      <c r="AO19" s="1">
        <v>45789</v>
      </c>
      <c r="AP19" s="14">
        <v>0.25</v>
      </c>
      <c r="AQ19" s="2"/>
      <c r="AR19" t="s">
        <v>766</v>
      </c>
      <c r="AS19" t="s">
        <v>636</v>
      </c>
      <c r="AT19" t="s">
        <v>642</v>
      </c>
      <c r="AU19">
        <v>2025</v>
      </c>
      <c r="AV19">
        <v>20</v>
      </c>
      <c r="AW19">
        <v>3</v>
      </c>
      <c r="AX19">
        <v>12</v>
      </c>
      <c r="AY19">
        <v>132</v>
      </c>
      <c r="AZ19" t="s">
        <v>883</v>
      </c>
      <c r="BA19" t="s">
        <v>879</v>
      </c>
      <c r="BD19" t="s">
        <v>948</v>
      </c>
      <c r="BH19" t="s">
        <v>766</v>
      </c>
      <c r="BI19" t="s">
        <v>766</v>
      </c>
    </row>
    <row r="20" spans="1:61" x14ac:dyDescent="0.25">
      <c r="A20" t="s">
        <v>885</v>
      </c>
      <c r="B20" s="1">
        <v>45781</v>
      </c>
      <c r="C20" s="2">
        <v>0.54166666666666674</v>
      </c>
      <c r="D20" s="1"/>
      <c r="E20" s="14"/>
      <c r="F20" s="1">
        <v>45789</v>
      </c>
      <c r="G20" s="14">
        <v>0.55585648148148148</v>
      </c>
      <c r="H20" t="s">
        <v>608</v>
      </c>
      <c r="K20" t="s">
        <v>886</v>
      </c>
      <c r="L20" t="s">
        <v>88</v>
      </c>
      <c r="M20">
        <v>8</v>
      </c>
      <c r="N20" t="s">
        <v>887</v>
      </c>
      <c r="Y20" t="s">
        <v>882</v>
      </c>
      <c r="Z20" t="s">
        <v>65</v>
      </c>
      <c r="AA20" t="s">
        <v>344</v>
      </c>
      <c r="AB20" t="s">
        <v>262</v>
      </c>
      <c r="AC20" t="s">
        <v>161</v>
      </c>
      <c r="AD20" t="s">
        <v>82</v>
      </c>
      <c r="AF20">
        <v>9</v>
      </c>
      <c r="AG20" s="1">
        <v>45781</v>
      </c>
      <c r="AH20" s="14">
        <v>0.54166666666666663</v>
      </c>
      <c r="AI20" s="14">
        <v>0.54166666666666663</v>
      </c>
      <c r="AJ20" t="s">
        <v>761</v>
      </c>
      <c r="AK20" t="s">
        <v>888</v>
      </c>
      <c r="AL20" t="s">
        <v>608</v>
      </c>
      <c r="AM20" t="s">
        <v>326</v>
      </c>
      <c r="AN20" s="14">
        <v>0.54166666666666663</v>
      </c>
      <c r="AO20" s="1">
        <v>45781</v>
      </c>
      <c r="AP20" s="14">
        <v>0.54166666666666663</v>
      </c>
      <c r="AQ20" s="2"/>
      <c r="AR20" t="s">
        <v>761</v>
      </c>
      <c r="AS20" t="s">
        <v>640</v>
      </c>
      <c r="AT20" t="s">
        <v>642</v>
      </c>
      <c r="AU20">
        <v>2025</v>
      </c>
      <c r="AV20">
        <v>19</v>
      </c>
      <c r="AW20">
        <v>2</v>
      </c>
      <c r="AX20">
        <v>4</v>
      </c>
      <c r="AY20">
        <v>124</v>
      </c>
      <c r="AZ20" t="s">
        <v>888</v>
      </c>
      <c r="BA20" t="s">
        <v>886</v>
      </c>
      <c r="BH20" t="s">
        <v>761</v>
      </c>
      <c r="BI20" t="s">
        <v>761</v>
      </c>
    </row>
    <row r="21" spans="1:61" x14ac:dyDescent="0.25">
      <c r="A21" t="s">
        <v>905</v>
      </c>
      <c r="B21" s="1">
        <v>45789</v>
      </c>
      <c r="C21" s="2">
        <v>0.33333333333333326</v>
      </c>
      <c r="D21" s="1">
        <v>45793</v>
      </c>
      <c r="E21" s="14"/>
      <c r="F21" s="1">
        <v>45793</v>
      </c>
      <c r="G21" s="14">
        <v>0.55564814814814811</v>
      </c>
      <c r="H21" t="s">
        <v>608</v>
      </c>
      <c r="K21" t="s">
        <v>906</v>
      </c>
      <c r="L21" t="s">
        <v>198</v>
      </c>
      <c r="M21">
        <v>5</v>
      </c>
      <c r="N21" t="s">
        <v>907</v>
      </c>
      <c r="Y21" t="s">
        <v>615</v>
      </c>
      <c r="Z21" t="s">
        <v>65</v>
      </c>
      <c r="AA21" t="s">
        <v>693</v>
      </c>
      <c r="AB21" t="s">
        <v>80</v>
      </c>
      <c r="AC21" t="s">
        <v>161</v>
      </c>
      <c r="AD21" t="s">
        <v>82</v>
      </c>
      <c r="AF21">
        <v>9</v>
      </c>
      <c r="AG21" s="1">
        <v>45789</v>
      </c>
      <c r="AH21" s="14">
        <v>0.33333333333333331</v>
      </c>
      <c r="AI21" s="14">
        <v>0.33333333333333331</v>
      </c>
      <c r="AJ21" t="s">
        <v>762</v>
      </c>
      <c r="AK21" t="s">
        <v>908</v>
      </c>
      <c r="AL21" t="s">
        <v>608</v>
      </c>
      <c r="AM21" t="s">
        <v>326</v>
      </c>
      <c r="AN21" s="14">
        <v>0.33333333333333331</v>
      </c>
      <c r="AO21" s="1">
        <v>45789</v>
      </c>
      <c r="AP21" s="14">
        <v>0.33333333333333331</v>
      </c>
      <c r="AQ21" s="2"/>
      <c r="AR21" t="s">
        <v>762</v>
      </c>
      <c r="AS21" t="s">
        <v>636</v>
      </c>
      <c r="AT21" t="s">
        <v>642</v>
      </c>
      <c r="AU21">
        <v>2025</v>
      </c>
      <c r="AV21">
        <v>20</v>
      </c>
      <c r="AW21">
        <v>3</v>
      </c>
      <c r="AX21">
        <v>12</v>
      </c>
      <c r="AY21">
        <v>132</v>
      </c>
      <c r="AZ21" t="s">
        <v>908</v>
      </c>
      <c r="BA21" t="s">
        <v>906</v>
      </c>
      <c r="BH21" t="s">
        <v>762</v>
      </c>
      <c r="BI21" t="s">
        <v>762</v>
      </c>
    </row>
    <row r="22" spans="1:61" x14ac:dyDescent="0.25">
      <c r="A22" t="s">
        <v>923</v>
      </c>
      <c r="B22" s="1">
        <v>45801</v>
      </c>
      <c r="C22" s="2">
        <v>0.93333333333333335</v>
      </c>
      <c r="D22" s="1"/>
      <c r="E22" s="14"/>
      <c r="F22" s="1">
        <v>45801</v>
      </c>
      <c r="G22" s="14">
        <v>0.94206018518518519</v>
      </c>
      <c r="H22" t="s">
        <v>608</v>
      </c>
      <c r="I22" t="s">
        <v>680</v>
      </c>
      <c r="J22" t="s">
        <v>924</v>
      </c>
      <c r="K22" t="s">
        <v>925</v>
      </c>
      <c r="L22" t="s">
        <v>169</v>
      </c>
      <c r="M22">
        <v>5</v>
      </c>
      <c r="N22" t="s">
        <v>926</v>
      </c>
      <c r="Y22" t="s">
        <v>688</v>
      </c>
      <c r="Z22" t="s">
        <v>65</v>
      </c>
      <c r="AA22" t="s">
        <v>503</v>
      </c>
      <c r="AB22" t="s">
        <v>443</v>
      </c>
      <c r="AC22" t="s">
        <v>141</v>
      </c>
      <c r="AD22" t="s">
        <v>69</v>
      </c>
      <c r="AF22">
        <v>9</v>
      </c>
      <c r="AG22" s="1">
        <v>45801</v>
      </c>
      <c r="AH22" s="14">
        <v>0.93333333333333335</v>
      </c>
      <c r="AI22" s="14">
        <v>0.91666666666666663</v>
      </c>
      <c r="AJ22" t="s">
        <v>764</v>
      </c>
      <c r="AK22" t="s">
        <v>927</v>
      </c>
      <c r="AL22" t="s">
        <v>928</v>
      </c>
      <c r="AM22" t="s">
        <v>519</v>
      </c>
      <c r="AN22" s="14">
        <v>0.93333333333333335</v>
      </c>
      <c r="AO22" s="1">
        <v>45801</v>
      </c>
      <c r="AP22" s="14">
        <v>0.91666666666666663</v>
      </c>
      <c r="AQ22" s="2"/>
      <c r="AR22" t="s">
        <v>764</v>
      </c>
      <c r="AS22" t="s">
        <v>639</v>
      </c>
      <c r="AT22" t="s">
        <v>642</v>
      </c>
      <c r="AU22">
        <v>2025</v>
      </c>
      <c r="AV22">
        <v>21</v>
      </c>
      <c r="AW22">
        <v>4</v>
      </c>
      <c r="AX22">
        <v>24</v>
      </c>
      <c r="AY22">
        <v>144</v>
      </c>
      <c r="AZ22" t="s">
        <v>927</v>
      </c>
      <c r="BA22" t="s">
        <v>925</v>
      </c>
      <c r="BH22" t="s">
        <v>764</v>
      </c>
      <c r="BI22" t="s">
        <v>764</v>
      </c>
    </row>
    <row r="23" spans="1:61" x14ac:dyDescent="0.25">
      <c r="A23" t="s">
        <v>930</v>
      </c>
      <c r="B23" s="1">
        <v>45802</v>
      </c>
      <c r="C23" s="2">
        <v>0.23958333333333326</v>
      </c>
      <c r="D23" s="1"/>
      <c r="E23" s="14">
        <v>0.29166666666666669</v>
      </c>
      <c r="F23" s="1">
        <v>45802</v>
      </c>
      <c r="G23" s="14">
        <v>0.36920138888888887</v>
      </c>
      <c r="H23" t="s">
        <v>627</v>
      </c>
      <c r="K23" t="s">
        <v>931</v>
      </c>
      <c r="L23" t="s">
        <v>247</v>
      </c>
      <c r="M23">
        <v>7</v>
      </c>
      <c r="N23" t="s">
        <v>932</v>
      </c>
      <c r="Y23" t="s">
        <v>687</v>
      </c>
      <c r="Z23" t="s">
        <v>65</v>
      </c>
      <c r="AA23" t="s">
        <v>933</v>
      </c>
      <c r="AB23" t="s">
        <v>462</v>
      </c>
      <c r="AC23" t="s">
        <v>161</v>
      </c>
      <c r="AD23" t="s">
        <v>82</v>
      </c>
      <c r="AF23">
        <v>9</v>
      </c>
      <c r="AG23" s="1">
        <v>45802</v>
      </c>
      <c r="AH23" s="14">
        <v>0.23958333333333334</v>
      </c>
      <c r="AI23" s="14">
        <v>0.20833333333333334</v>
      </c>
      <c r="AJ23" t="s">
        <v>766</v>
      </c>
      <c r="AK23" t="s">
        <v>803</v>
      </c>
      <c r="AL23" t="s">
        <v>627</v>
      </c>
      <c r="AM23" t="s">
        <v>519</v>
      </c>
      <c r="AN23" s="14">
        <v>0.23958333333333334</v>
      </c>
      <c r="AO23" s="1">
        <v>45802</v>
      </c>
      <c r="AP23" s="14">
        <v>0.20833333333333334</v>
      </c>
      <c r="AQ23" s="2"/>
      <c r="AR23" t="s">
        <v>766</v>
      </c>
      <c r="AS23" t="s">
        <v>640</v>
      </c>
      <c r="AT23" t="s">
        <v>642</v>
      </c>
      <c r="AU23">
        <v>2025</v>
      </c>
      <c r="AV23">
        <v>22</v>
      </c>
      <c r="AW23">
        <v>5</v>
      </c>
      <c r="AX23">
        <v>25</v>
      </c>
      <c r="AY23">
        <v>145</v>
      </c>
      <c r="AZ23" t="s">
        <v>803</v>
      </c>
      <c r="BA23" t="s">
        <v>931</v>
      </c>
      <c r="BH23" t="s">
        <v>766</v>
      </c>
      <c r="BI23" t="s">
        <v>766</v>
      </c>
    </row>
    <row r="24" spans="1:61" x14ac:dyDescent="0.25">
      <c r="A24" t="s">
        <v>934</v>
      </c>
      <c r="B24" s="1">
        <v>45802</v>
      </c>
      <c r="C24" s="2">
        <v>0.76041666666666674</v>
      </c>
      <c r="D24" s="1"/>
      <c r="E24" s="14"/>
      <c r="F24" s="1">
        <v>45802</v>
      </c>
      <c r="G24" s="14">
        <v>0.76521990740740742</v>
      </c>
      <c r="H24" t="s">
        <v>608</v>
      </c>
      <c r="I24" t="s">
        <v>267</v>
      </c>
      <c r="J24" t="s">
        <v>157</v>
      </c>
      <c r="K24" t="s">
        <v>935</v>
      </c>
      <c r="L24" t="s">
        <v>169</v>
      </c>
      <c r="M24">
        <v>5</v>
      </c>
      <c r="N24" t="s">
        <v>936</v>
      </c>
      <c r="Y24" t="s">
        <v>688</v>
      </c>
      <c r="Z24" t="s">
        <v>65</v>
      </c>
      <c r="AA24" t="s">
        <v>92</v>
      </c>
      <c r="AB24" t="s">
        <v>443</v>
      </c>
      <c r="AC24" t="s">
        <v>141</v>
      </c>
      <c r="AD24" t="s">
        <v>69</v>
      </c>
      <c r="AF24">
        <v>9</v>
      </c>
      <c r="AG24" s="1">
        <v>45802</v>
      </c>
      <c r="AH24" s="14">
        <v>0.76041666666666663</v>
      </c>
      <c r="AI24" s="14">
        <v>0.75</v>
      </c>
      <c r="AJ24" t="s">
        <v>765</v>
      </c>
      <c r="AK24" t="s">
        <v>937</v>
      </c>
      <c r="AL24" t="s">
        <v>938</v>
      </c>
      <c r="AM24" t="s">
        <v>519</v>
      </c>
      <c r="AN24" s="14">
        <v>0.76041666666666663</v>
      </c>
      <c r="AO24" s="1">
        <v>45802</v>
      </c>
      <c r="AP24" s="14">
        <v>0.75</v>
      </c>
      <c r="AQ24" s="2"/>
      <c r="AR24" t="s">
        <v>765</v>
      </c>
      <c r="AS24" t="s">
        <v>640</v>
      </c>
      <c r="AT24" t="s">
        <v>642</v>
      </c>
      <c r="AU24">
        <v>2025</v>
      </c>
      <c r="AV24">
        <v>22</v>
      </c>
      <c r="AW24">
        <v>5</v>
      </c>
      <c r="AX24">
        <v>25</v>
      </c>
      <c r="AY24">
        <v>145</v>
      </c>
      <c r="AZ24" t="s">
        <v>937</v>
      </c>
      <c r="BA24" t="s">
        <v>935</v>
      </c>
      <c r="BH24" t="s">
        <v>765</v>
      </c>
      <c r="BI24" t="s">
        <v>765</v>
      </c>
    </row>
    <row r="25" spans="1:61" x14ac:dyDescent="0.25">
      <c r="A25" t="s">
        <v>939</v>
      </c>
      <c r="B25" s="1">
        <v>45774</v>
      </c>
      <c r="C25" s="2">
        <v>0.79166666666666674</v>
      </c>
      <c r="D25" s="1">
        <v>45802</v>
      </c>
      <c r="E25" s="14"/>
      <c r="F25" s="1">
        <v>45802</v>
      </c>
      <c r="G25" s="14">
        <v>0.80763888888888891</v>
      </c>
      <c r="H25" t="s">
        <v>608</v>
      </c>
      <c r="K25" t="s">
        <v>125</v>
      </c>
      <c r="L25" t="s">
        <v>126</v>
      </c>
      <c r="M25">
        <v>5</v>
      </c>
      <c r="N25" t="s">
        <v>940</v>
      </c>
      <c r="Y25" t="s">
        <v>688</v>
      </c>
      <c r="Z25" t="s">
        <v>65</v>
      </c>
      <c r="AA25" t="s">
        <v>941</v>
      </c>
      <c r="AB25" t="s">
        <v>262</v>
      </c>
      <c r="AC25" t="s">
        <v>374</v>
      </c>
      <c r="AD25" t="s">
        <v>69</v>
      </c>
      <c r="AF25">
        <v>9</v>
      </c>
      <c r="AG25" s="1">
        <v>45774</v>
      </c>
      <c r="AH25" s="14">
        <v>0.79166666666666663</v>
      </c>
      <c r="AI25" s="14">
        <v>0.79166666666666663</v>
      </c>
      <c r="AJ25" t="s">
        <v>765</v>
      </c>
      <c r="AK25" t="s">
        <v>819</v>
      </c>
      <c r="AL25" t="s">
        <v>608</v>
      </c>
      <c r="AM25" t="s">
        <v>326</v>
      </c>
      <c r="AN25" s="14">
        <v>0.79166666666666663</v>
      </c>
      <c r="AO25" s="1">
        <v>45774</v>
      </c>
      <c r="AP25" s="14">
        <v>0.79166666666666663</v>
      </c>
      <c r="AQ25" s="2"/>
      <c r="AR25" t="s">
        <v>765</v>
      </c>
      <c r="AS25" t="s">
        <v>640</v>
      </c>
      <c r="AT25" t="s">
        <v>430</v>
      </c>
      <c r="AU25">
        <v>2025</v>
      </c>
      <c r="AV25">
        <v>18</v>
      </c>
      <c r="AW25">
        <v>5</v>
      </c>
      <c r="AX25">
        <v>27</v>
      </c>
      <c r="AY25">
        <v>117</v>
      </c>
      <c r="AZ25" t="s">
        <v>819</v>
      </c>
      <c r="BA25" t="s">
        <v>125</v>
      </c>
      <c r="BH25" t="s">
        <v>765</v>
      </c>
      <c r="BI25" t="s">
        <v>765</v>
      </c>
    </row>
    <row r="26" spans="1:61" x14ac:dyDescent="0.25">
      <c r="A26" t="s">
        <v>993</v>
      </c>
      <c r="B26" s="1">
        <v>45800</v>
      </c>
      <c r="C26" s="2">
        <v>0.33333333333333326</v>
      </c>
      <c r="D26" s="1">
        <v>45800</v>
      </c>
      <c r="E26" s="14">
        <v>0.66666666666666663</v>
      </c>
      <c r="F26" s="1">
        <v>45805</v>
      </c>
      <c r="G26" s="14">
        <v>0.70393518518518516</v>
      </c>
      <c r="H26" t="s">
        <v>608</v>
      </c>
      <c r="K26" t="s">
        <v>994</v>
      </c>
      <c r="N26" t="s">
        <v>995</v>
      </c>
      <c r="Y26" t="s">
        <v>669</v>
      </c>
      <c r="Z26" t="s">
        <v>65</v>
      </c>
      <c r="AA26" t="s">
        <v>167</v>
      </c>
      <c r="AB26" t="s">
        <v>140</v>
      </c>
      <c r="AC26" t="s">
        <v>93</v>
      </c>
      <c r="AD26" t="s">
        <v>107</v>
      </c>
      <c r="AF26">
        <v>9</v>
      </c>
      <c r="AG26" s="1">
        <v>45800</v>
      </c>
      <c r="AH26" s="14">
        <v>0.33333333333333331</v>
      </c>
      <c r="AI26" s="14">
        <v>0.33333333333333331</v>
      </c>
      <c r="AJ26" t="s">
        <v>762</v>
      </c>
      <c r="AK26" t="s">
        <v>838</v>
      </c>
      <c r="AL26" t="s">
        <v>608</v>
      </c>
      <c r="AM26" t="s">
        <v>519</v>
      </c>
      <c r="AN26" s="14">
        <v>0.33333333333333331</v>
      </c>
      <c r="AO26" s="1">
        <v>45800</v>
      </c>
      <c r="AP26" s="14">
        <v>0.33333333333333331</v>
      </c>
      <c r="AQ26" s="2"/>
      <c r="AR26" t="s">
        <v>762</v>
      </c>
      <c r="AS26" t="s">
        <v>485</v>
      </c>
      <c r="AT26" t="s">
        <v>642</v>
      </c>
      <c r="AU26">
        <v>2025</v>
      </c>
      <c r="AV26">
        <v>21</v>
      </c>
      <c r="AW26">
        <v>4</v>
      </c>
      <c r="AX26">
        <v>23</v>
      </c>
      <c r="AY26">
        <v>143</v>
      </c>
      <c r="AZ26" t="s">
        <v>838</v>
      </c>
      <c r="BA26" t="s">
        <v>994</v>
      </c>
      <c r="BH26" t="s">
        <v>762</v>
      </c>
      <c r="BI26" t="s">
        <v>762</v>
      </c>
    </row>
  </sheetData>
  <phoneticPr fontId="10" type="noConversion"/>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A086C-B833-40E8-8DE0-053C329D2789}">
  <sheetPr codeName="Sheet4">
    <tabColor rgb="FFFFC000"/>
  </sheetPr>
  <dimension ref="A1:CK35"/>
  <sheetViews>
    <sheetView showGridLines="0" workbookViewId="0">
      <selection activeCell="D28" sqref="D28"/>
    </sheetView>
  </sheetViews>
  <sheetFormatPr defaultColWidth="8.85546875" defaultRowHeight="15" x14ac:dyDescent="0.25"/>
  <cols>
    <col min="1" max="1" width="23.42578125" style="4" bestFit="1" customWidth="1"/>
    <col min="2" max="2" width="17.85546875" style="4" bestFit="1" customWidth="1"/>
    <col min="3" max="3" width="11.5703125" style="4" bestFit="1" customWidth="1"/>
    <col min="4" max="4" width="12.5703125" style="4" bestFit="1" customWidth="1"/>
    <col min="5" max="5" width="16" style="4" bestFit="1" customWidth="1"/>
    <col min="6" max="6" width="11" style="4" bestFit="1" customWidth="1"/>
    <col min="7" max="7" width="11.5703125" style="4" bestFit="1" customWidth="1"/>
    <col min="8" max="8" width="10.28515625" style="4" bestFit="1" customWidth="1"/>
    <col min="9" max="9" width="17.28515625" style="4" bestFit="1" customWidth="1"/>
    <col min="10" max="10" width="14" style="4" bestFit="1" customWidth="1"/>
    <col min="11" max="11" width="4" style="4" bestFit="1" customWidth="1"/>
    <col min="12" max="12" width="3.5703125" style="4" bestFit="1" customWidth="1"/>
    <col min="13" max="13" width="14.42578125" style="4" bestFit="1" customWidth="1"/>
    <col min="14" max="14" width="11.7109375" style="4" bestFit="1" customWidth="1"/>
    <col min="15" max="15" width="22.85546875" style="4" bestFit="1" customWidth="1"/>
    <col min="16" max="16" width="14" style="4" bestFit="1" customWidth="1"/>
    <col min="17" max="17" width="11.5703125" style="4" bestFit="1" customWidth="1"/>
    <col min="18" max="18" width="11.85546875" style="4" bestFit="1" customWidth="1"/>
    <col min="19" max="19" width="14.42578125" style="4" bestFit="1" customWidth="1"/>
    <col min="20" max="20" width="21.85546875" style="4" bestFit="1" customWidth="1"/>
    <col min="21" max="21" width="16.28515625" style="4" bestFit="1" customWidth="1"/>
    <col min="22" max="22" width="60.42578125" style="4" bestFit="1" customWidth="1"/>
    <col min="23" max="23" width="19.28515625" style="4" bestFit="1" customWidth="1"/>
    <col min="24" max="24" width="20.5703125" style="4" bestFit="1" customWidth="1"/>
    <col min="25" max="25" width="20.28515625" style="4" bestFit="1" customWidth="1"/>
    <col min="26" max="26" width="36.140625" style="4" bestFit="1" customWidth="1"/>
    <col min="27" max="27" width="6.7109375" style="4" bestFit="1" customWidth="1"/>
    <col min="28" max="28" width="7.42578125" style="4" bestFit="1" customWidth="1"/>
    <col min="29" max="29" width="80.85546875" style="4" bestFit="1" customWidth="1"/>
    <col min="30" max="30" width="24.42578125" style="4" bestFit="1" customWidth="1"/>
    <col min="31" max="31" width="26.42578125" style="4" bestFit="1" customWidth="1"/>
    <col min="32" max="32" width="20.28515625" style="4" bestFit="1" customWidth="1"/>
    <col min="33" max="33" width="12.42578125" style="4" bestFit="1" customWidth="1"/>
    <col min="34" max="34" width="13.28515625" style="4" bestFit="1" customWidth="1"/>
    <col min="35" max="35" width="17.140625" style="4" bestFit="1" customWidth="1"/>
    <col min="36" max="36" width="20.28515625" style="4" bestFit="1" customWidth="1"/>
    <col min="37" max="37" width="17.140625" style="4" bestFit="1" customWidth="1"/>
    <col min="38" max="38" width="12.42578125" style="4" bestFit="1" customWidth="1"/>
    <col min="39" max="39" width="13.28515625" style="4" bestFit="1" customWidth="1"/>
    <col min="40" max="40" width="18.85546875" style="4" bestFit="1" customWidth="1"/>
    <col min="41" max="41" width="20.85546875" style="4" bestFit="1" customWidth="1"/>
    <col min="42" max="42" width="28.5703125" style="4" bestFit="1" customWidth="1"/>
    <col min="43" max="43" width="12" style="4" bestFit="1" customWidth="1"/>
    <col min="44" max="44" width="27.42578125" style="4" bestFit="1" customWidth="1"/>
    <col min="45" max="45" width="28.5703125" style="4" bestFit="1" customWidth="1"/>
    <col min="46" max="46" width="32" style="4" bestFit="1" customWidth="1"/>
    <col min="47" max="47" width="31.7109375" style="4" bestFit="1" customWidth="1"/>
    <col min="48" max="48" width="19.7109375" style="4" bestFit="1" customWidth="1"/>
    <col min="49" max="49" width="19.85546875" style="4" bestFit="1" customWidth="1"/>
    <col min="50" max="50" width="30.28515625" style="4" bestFit="1" customWidth="1"/>
    <col min="51" max="51" width="30.5703125" style="4" bestFit="1" customWidth="1"/>
    <col min="52" max="52" width="18.140625" style="4" bestFit="1" customWidth="1"/>
    <col min="53" max="53" width="18.28515625" style="4" bestFit="1" customWidth="1"/>
    <col min="54" max="54" width="10.28515625" style="4" bestFit="1" customWidth="1"/>
    <col min="55" max="55" width="19.28515625" style="4" bestFit="1" customWidth="1"/>
    <col min="56" max="56" width="21.28515625" style="4" bestFit="1" customWidth="1"/>
    <col min="57" max="57" width="9.42578125" style="4" bestFit="1" customWidth="1"/>
    <col min="58" max="58" width="17.28515625" style="4" bestFit="1" customWidth="1"/>
    <col min="59" max="59" width="28.140625" style="4" bestFit="1" customWidth="1"/>
    <col min="60" max="60" width="8.7109375" style="4" bestFit="1" customWidth="1"/>
    <col min="61" max="61" width="80.85546875" style="4" bestFit="1" customWidth="1"/>
    <col min="62" max="62" width="14.7109375" style="4" bestFit="1" customWidth="1"/>
    <col min="63" max="64" width="80.85546875" style="4" bestFit="1" customWidth="1"/>
    <col min="65" max="65" width="22.28515625" style="4" bestFit="1" customWidth="1"/>
    <col min="66" max="66" width="25.85546875" style="4" bestFit="1" customWidth="1"/>
    <col min="67" max="16384" width="8.85546875" style="4"/>
  </cols>
  <sheetData>
    <row r="1" spans="1:89" ht="18.75" x14ac:dyDescent="0.3">
      <c r="A1" s="99" t="s">
        <v>1</v>
      </c>
      <c r="B1" s="100" t="s">
        <v>108</v>
      </c>
      <c r="H1" s="21"/>
      <c r="I1"/>
      <c r="J1"/>
      <c r="K1" s="21"/>
      <c r="L1" s="21"/>
      <c r="M1" t="s">
        <v>0</v>
      </c>
      <c r="N1" t="s">
        <v>1</v>
      </c>
      <c r="O1" t="s">
        <v>2</v>
      </c>
      <c r="P1" t="s">
        <v>3</v>
      </c>
      <c r="Q1" t="s">
        <v>4</v>
      </c>
      <c r="R1" t="s">
        <v>5</v>
      </c>
      <c r="S1" t="s">
        <v>6</v>
      </c>
      <c r="T1" t="s">
        <v>7</v>
      </c>
      <c r="U1" t="s">
        <v>8</v>
      </c>
      <c r="V1" t="s">
        <v>10</v>
      </c>
      <c r="W1" t="s">
        <v>9</v>
      </c>
      <c r="X1" t="s">
        <v>11</v>
      </c>
      <c r="Y1" t="s">
        <v>12</v>
      </c>
      <c r="Z1" t="s">
        <v>13</v>
      </c>
      <c r="AA1" t="s">
        <v>14</v>
      </c>
      <c r="AB1" t="s">
        <v>15</v>
      </c>
      <c r="AC1" s="8" t="s">
        <v>16</v>
      </c>
      <c r="AD1" s="8" t="s">
        <v>17</v>
      </c>
      <c r="AE1" s="8" t="s">
        <v>18</v>
      </c>
      <c r="AF1" s="8" t="s">
        <v>19</v>
      </c>
      <c r="AG1" s="8" t="s">
        <v>20</v>
      </c>
      <c r="AH1" s="8" t="s">
        <v>21</v>
      </c>
      <c r="AI1" s="8" t="s">
        <v>22</v>
      </c>
      <c r="AJ1" s="8" t="s">
        <v>23</v>
      </c>
      <c r="AK1" s="8" t="s">
        <v>24</v>
      </c>
      <c r="AL1" s="8" t="s">
        <v>25</v>
      </c>
      <c r="AM1" s="8" t="s">
        <v>26</v>
      </c>
      <c r="AN1" s="8" t="s">
        <v>27</v>
      </c>
      <c r="AO1" s="8" t="s">
        <v>28</v>
      </c>
      <c r="AP1" s="8" t="s">
        <v>29</v>
      </c>
      <c r="AQ1" s="8" t="s">
        <v>30</v>
      </c>
      <c r="AR1" s="8" t="s">
        <v>31</v>
      </c>
      <c r="AS1" s="8" t="s">
        <v>32</v>
      </c>
      <c r="AT1" s="8" t="s">
        <v>33</v>
      </c>
      <c r="AU1" s="8" t="s">
        <v>34</v>
      </c>
      <c r="AV1" s="13" t="s">
        <v>35</v>
      </c>
      <c r="AW1" s="9" t="s">
        <v>36</v>
      </c>
      <c r="AX1" s="13" t="s">
        <v>37</v>
      </c>
      <c r="AY1" s="9" t="s">
        <v>38</v>
      </c>
      <c r="AZ1" s="13" t="s">
        <v>39</v>
      </c>
      <c r="BA1" s="9" t="s">
        <v>40</v>
      </c>
      <c r="BB1" s="8" t="s">
        <v>41</v>
      </c>
      <c r="BC1" s="10" t="s">
        <v>42</v>
      </c>
      <c r="BD1" s="10" t="s">
        <v>43</v>
      </c>
      <c r="BE1" s="10" t="s">
        <v>44</v>
      </c>
      <c r="BF1" s="11" t="s">
        <v>45</v>
      </c>
      <c r="BG1" s="12" t="s">
        <v>46</v>
      </c>
      <c r="BH1" s="8" t="s">
        <v>47</v>
      </c>
      <c r="BI1" t="s">
        <v>329</v>
      </c>
      <c r="BJ1" s="8" t="s">
        <v>48</v>
      </c>
      <c r="BK1" s="8" t="s">
        <v>49</v>
      </c>
      <c r="BL1" s="8" t="s">
        <v>50</v>
      </c>
      <c r="BM1" s="8" t="s">
        <v>51</v>
      </c>
      <c r="BN1" s="8" t="s">
        <v>52</v>
      </c>
      <c r="CJ1" s="36" t="s">
        <v>480</v>
      </c>
      <c r="CK1" s="37" t="s">
        <v>431</v>
      </c>
    </row>
    <row r="2" spans="1:89" ht="18.75" x14ac:dyDescent="0.3">
      <c r="A2" s="99" t="s">
        <v>10</v>
      </c>
      <c r="B2" s="100" t="s">
        <v>108</v>
      </c>
      <c r="H2" s="21"/>
      <c r="I2"/>
      <c r="J2"/>
      <c r="K2" s="21"/>
      <c r="L2" s="21"/>
      <c r="M2" t="s">
        <v>110</v>
      </c>
      <c r="N2" s="1">
        <v>45673</v>
      </c>
      <c r="O2" t="s">
        <v>54</v>
      </c>
      <c r="P2" s="14">
        <v>0.5</v>
      </c>
      <c r="Q2" s="14">
        <v>0.5</v>
      </c>
      <c r="R2" t="s">
        <v>383</v>
      </c>
      <c r="S2" t="s">
        <v>55</v>
      </c>
      <c r="T2" t="s">
        <v>111</v>
      </c>
      <c r="U2" t="s">
        <v>112</v>
      </c>
      <c r="V2" t="s">
        <v>113</v>
      </c>
      <c r="W2" t="s">
        <v>113</v>
      </c>
      <c r="X2" t="s">
        <v>57</v>
      </c>
      <c r="Y2" t="s">
        <v>57</v>
      </c>
      <c r="Z2" t="s">
        <v>114</v>
      </c>
      <c r="AA2" t="s">
        <v>115</v>
      </c>
      <c r="AB2">
        <v>7</v>
      </c>
      <c r="AC2" s="24" t="s">
        <v>116</v>
      </c>
      <c r="AD2" s="22"/>
      <c r="AE2" s="22"/>
      <c r="AF2" s="22"/>
      <c r="AG2" s="22"/>
      <c r="AH2" s="22"/>
      <c r="AI2" s="22"/>
      <c r="AJ2" s="22"/>
      <c r="AK2" s="22"/>
      <c r="AL2" s="22"/>
      <c r="AM2" s="22"/>
      <c r="AN2" s="24" t="s">
        <v>64</v>
      </c>
      <c r="AO2" s="24" t="s">
        <v>65</v>
      </c>
      <c r="AP2" s="24" t="s">
        <v>117</v>
      </c>
      <c r="AQ2" s="22" t="s">
        <v>67</v>
      </c>
      <c r="AR2" s="24" t="s">
        <v>68</v>
      </c>
      <c r="AS2" s="24" t="s">
        <v>69</v>
      </c>
      <c r="AT2" s="24" t="s">
        <v>118</v>
      </c>
      <c r="AU2" s="22">
        <v>9</v>
      </c>
      <c r="AV2" s="23">
        <v>45673</v>
      </c>
      <c r="AW2" s="25">
        <v>0.5</v>
      </c>
      <c r="AX2" s="23">
        <v>45673</v>
      </c>
      <c r="AY2" s="25">
        <v>0.75</v>
      </c>
      <c r="AZ2" s="23">
        <v>45673</v>
      </c>
      <c r="BA2" s="25">
        <v>0.81587962962962968</v>
      </c>
      <c r="BB2" s="22">
        <v>2025</v>
      </c>
      <c r="BC2" s="26">
        <v>3</v>
      </c>
      <c r="BD2" s="26">
        <v>3</v>
      </c>
      <c r="BE2" s="26">
        <v>16</v>
      </c>
      <c r="BF2" s="27">
        <v>16</v>
      </c>
      <c r="BG2" s="28">
        <v>45673.5</v>
      </c>
      <c r="BH2" s="22">
        <v>30</v>
      </c>
      <c r="BI2" t="s">
        <v>116</v>
      </c>
      <c r="BJ2" s="24"/>
      <c r="BK2" s="24" t="s">
        <v>119</v>
      </c>
      <c r="BL2" s="24" t="s">
        <v>120</v>
      </c>
      <c r="BM2" s="22" t="s">
        <v>364</v>
      </c>
      <c r="BN2" s="24" t="s">
        <v>71</v>
      </c>
      <c r="CJ2" s="30" t="s">
        <v>35</v>
      </c>
      <c r="CK2" s="38">
        <v>45748</v>
      </c>
    </row>
    <row r="3" spans="1:89" ht="18.75" x14ac:dyDescent="0.3">
      <c r="H3" s="21"/>
      <c r="I3" s="21"/>
      <c r="J3" s="21"/>
      <c r="K3" s="21"/>
      <c r="L3" s="21"/>
      <c r="M3" t="s">
        <v>121</v>
      </c>
      <c r="N3" s="1">
        <v>45682</v>
      </c>
      <c r="O3" t="s">
        <v>122</v>
      </c>
      <c r="P3" s="14">
        <v>0.45833333333333331</v>
      </c>
      <c r="Q3" s="14">
        <v>0.45833333333333331</v>
      </c>
      <c r="R3" t="s">
        <v>325</v>
      </c>
      <c r="S3" t="s">
        <v>55</v>
      </c>
      <c r="T3" t="s">
        <v>123</v>
      </c>
      <c r="U3" t="s">
        <v>124</v>
      </c>
      <c r="V3" t="s">
        <v>113</v>
      </c>
      <c r="W3" t="s">
        <v>113</v>
      </c>
      <c r="X3" t="s">
        <v>57</v>
      </c>
      <c r="Y3" t="s">
        <v>57</v>
      </c>
      <c r="Z3" t="s">
        <v>125</v>
      </c>
      <c r="AA3" t="s">
        <v>126</v>
      </c>
      <c r="AB3">
        <v>5</v>
      </c>
      <c r="AC3" s="24" t="s">
        <v>127</v>
      </c>
      <c r="AD3" s="22"/>
      <c r="AE3" s="22"/>
      <c r="AF3" s="22"/>
      <c r="AG3" s="22"/>
      <c r="AH3" s="22"/>
      <c r="AI3" s="22"/>
      <c r="AJ3" s="22"/>
      <c r="AK3" s="22"/>
      <c r="AL3" s="22"/>
      <c r="AM3" s="22"/>
      <c r="AN3" s="24" t="s">
        <v>78</v>
      </c>
      <c r="AO3" s="24" t="s">
        <v>65</v>
      </c>
      <c r="AP3" s="24" t="s">
        <v>128</v>
      </c>
      <c r="AQ3" s="22" t="s">
        <v>80</v>
      </c>
      <c r="AR3" s="24" t="s">
        <v>68</v>
      </c>
      <c r="AS3" s="24" t="s">
        <v>107</v>
      </c>
      <c r="AT3" s="24" t="s">
        <v>118</v>
      </c>
      <c r="AU3" s="22">
        <v>9</v>
      </c>
      <c r="AV3" s="23">
        <v>45682</v>
      </c>
      <c r="AW3" s="25">
        <v>0.45833333333333331</v>
      </c>
      <c r="AX3" s="23">
        <v>45682</v>
      </c>
      <c r="AY3" s="25">
        <v>0.58333333333333337</v>
      </c>
      <c r="AZ3" s="23">
        <v>45682</v>
      </c>
      <c r="BA3" s="25">
        <v>0.58054398148148145</v>
      </c>
      <c r="BB3" s="22">
        <v>2025</v>
      </c>
      <c r="BC3" s="26">
        <v>4</v>
      </c>
      <c r="BD3" s="26">
        <v>4</v>
      </c>
      <c r="BE3" s="26">
        <v>25</v>
      </c>
      <c r="BF3" s="27">
        <v>25</v>
      </c>
      <c r="BG3" s="28">
        <v>45682.458333333336</v>
      </c>
      <c r="BH3" s="22">
        <v>60</v>
      </c>
      <c r="BI3" t="s">
        <v>127</v>
      </c>
      <c r="BJ3" s="24"/>
      <c r="BK3" s="24" t="s">
        <v>129</v>
      </c>
      <c r="BL3" s="24" t="s">
        <v>130</v>
      </c>
      <c r="BM3" s="22" t="s">
        <v>363</v>
      </c>
      <c r="BN3" s="24" t="s">
        <v>131</v>
      </c>
      <c r="CJ3" s="39" t="s">
        <v>468</v>
      </c>
      <c r="CK3" s="40" t="s">
        <v>322</v>
      </c>
    </row>
    <row r="4" spans="1:89" ht="18.75" x14ac:dyDescent="0.3">
      <c r="A4" s="101" t="s">
        <v>109</v>
      </c>
      <c r="B4" s="101" t="s">
        <v>5</v>
      </c>
      <c r="C4" s="100"/>
      <c r="D4" s="100"/>
      <c r="E4" s="100"/>
      <c r="F4" s="100"/>
      <c r="G4" s="100"/>
      <c r="H4" s="100"/>
      <c r="I4"/>
      <c r="J4"/>
      <c r="K4"/>
      <c r="L4"/>
      <c r="M4" t="s">
        <v>132</v>
      </c>
      <c r="N4" s="1">
        <v>45688</v>
      </c>
      <c r="O4" t="s">
        <v>122</v>
      </c>
      <c r="P4" s="14">
        <v>0.45833333333333331</v>
      </c>
      <c r="Q4" s="14">
        <v>0.49988425925925928</v>
      </c>
      <c r="R4" t="s">
        <v>324</v>
      </c>
      <c r="S4" t="s">
        <v>55</v>
      </c>
      <c r="T4" t="s">
        <v>133</v>
      </c>
      <c r="U4" t="s">
        <v>134</v>
      </c>
      <c r="V4" t="s">
        <v>113</v>
      </c>
      <c r="W4" t="s">
        <v>113</v>
      </c>
      <c r="X4" t="s">
        <v>57</v>
      </c>
      <c r="Y4" t="s">
        <v>57</v>
      </c>
      <c r="Z4" t="s">
        <v>135</v>
      </c>
      <c r="AA4" t="s">
        <v>136</v>
      </c>
      <c r="AB4">
        <v>8</v>
      </c>
      <c r="AC4" s="24" t="s">
        <v>137</v>
      </c>
      <c r="AD4" s="22"/>
      <c r="AE4" s="22"/>
      <c r="AF4" s="22"/>
      <c r="AG4" s="22"/>
      <c r="AH4" s="22"/>
      <c r="AI4" s="22"/>
      <c r="AJ4" s="22"/>
      <c r="AK4" s="22"/>
      <c r="AL4" s="22"/>
      <c r="AM4" s="22"/>
      <c r="AN4" s="24" t="s">
        <v>138</v>
      </c>
      <c r="AO4" s="24" t="s">
        <v>65</v>
      </c>
      <c r="AP4" s="24" t="s">
        <v>139</v>
      </c>
      <c r="AQ4" s="22" t="s">
        <v>140</v>
      </c>
      <c r="AR4" s="24" t="s">
        <v>141</v>
      </c>
      <c r="AS4" s="24" t="s">
        <v>69</v>
      </c>
      <c r="AT4" s="24" t="s">
        <v>118</v>
      </c>
      <c r="AU4" s="22">
        <v>9</v>
      </c>
      <c r="AV4" s="23">
        <v>45688</v>
      </c>
      <c r="AW4" s="25">
        <v>0.49988425925925928</v>
      </c>
      <c r="AX4" s="23"/>
      <c r="AY4" s="25"/>
      <c r="AZ4" s="23">
        <v>45688</v>
      </c>
      <c r="BA4" s="25">
        <v>0.49988425925925928</v>
      </c>
      <c r="BB4" s="22">
        <v>2025</v>
      </c>
      <c r="BC4" s="26">
        <v>5</v>
      </c>
      <c r="BD4" s="26">
        <v>5</v>
      </c>
      <c r="BE4" s="26">
        <v>31</v>
      </c>
      <c r="BF4" s="27">
        <v>31</v>
      </c>
      <c r="BG4" s="28">
        <v>45688.499305555553</v>
      </c>
      <c r="BH4" s="22">
        <v>292</v>
      </c>
      <c r="BI4" t="s">
        <v>137</v>
      </c>
      <c r="BJ4" s="24"/>
      <c r="BK4" s="24" t="s">
        <v>57</v>
      </c>
      <c r="BL4" s="24" t="s">
        <v>57</v>
      </c>
      <c r="BM4" s="22" t="s">
        <v>362</v>
      </c>
      <c r="BN4" s="24" t="s">
        <v>131</v>
      </c>
      <c r="CJ4" s="30" t="s">
        <v>469</v>
      </c>
      <c r="CK4" s="41" t="s">
        <v>71</v>
      </c>
    </row>
    <row r="5" spans="1:89" ht="18.75" x14ac:dyDescent="0.3">
      <c r="A5" s="102" t="s">
        <v>320</v>
      </c>
      <c r="B5" s="103" t="s">
        <v>638</v>
      </c>
      <c r="C5" s="103" t="s">
        <v>639</v>
      </c>
      <c r="D5" s="103" t="s">
        <v>485</v>
      </c>
      <c r="E5" s="103" t="s">
        <v>637</v>
      </c>
      <c r="F5" s="103" t="s">
        <v>636</v>
      </c>
      <c r="G5" s="103" t="s">
        <v>635</v>
      </c>
      <c r="H5" s="103" t="s">
        <v>640</v>
      </c>
      <c r="I5"/>
      <c r="J5"/>
      <c r="K5"/>
      <c r="L5"/>
      <c r="M5" t="s">
        <v>142</v>
      </c>
      <c r="N5" s="1">
        <v>45693</v>
      </c>
      <c r="O5" t="s">
        <v>143</v>
      </c>
      <c r="P5" s="14">
        <v>8.3333333333333329E-2</v>
      </c>
      <c r="Q5" s="14">
        <v>0.12291666666666666</v>
      </c>
      <c r="R5" t="s">
        <v>323</v>
      </c>
      <c r="S5" t="s">
        <v>96</v>
      </c>
      <c r="T5" t="s">
        <v>144</v>
      </c>
      <c r="U5" t="s">
        <v>145</v>
      </c>
      <c r="V5" t="s">
        <v>147</v>
      </c>
      <c r="W5" t="s">
        <v>146</v>
      </c>
      <c r="X5" t="s">
        <v>148</v>
      </c>
      <c r="Y5" t="s">
        <v>57</v>
      </c>
      <c r="Z5" t="s">
        <v>149</v>
      </c>
      <c r="AA5" t="s">
        <v>136</v>
      </c>
      <c r="AB5">
        <v>8</v>
      </c>
      <c r="AC5" s="24" t="s">
        <v>150</v>
      </c>
      <c r="AD5" s="22"/>
      <c r="AE5" s="22"/>
      <c r="AF5" s="22"/>
      <c r="AG5" s="22"/>
      <c r="AH5" s="22"/>
      <c r="AI5" s="22"/>
      <c r="AJ5" s="22"/>
      <c r="AK5" s="22"/>
      <c r="AL5" s="22"/>
      <c r="AM5" s="22"/>
      <c r="AN5" s="24" t="s">
        <v>103</v>
      </c>
      <c r="AO5" s="24" t="s">
        <v>65</v>
      </c>
      <c r="AP5" s="24" t="s">
        <v>151</v>
      </c>
      <c r="AQ5" s="22" t="s">
        <v>80</v>
      </c>
      <c r="AR5" s="24" t="s">
        <v>152</v>
      </c>
      <c r="AS5" s="24" t="s">
        <v>107</v>
      </c>
      <c r="AT5" s="24" t="s">
        <v>118</v>
      </c>
      <c r="AU5" s="22">
        <v>9</v>
      </c>
      <c r="AV5" s="23">
        <v>45693</v>
      </c>
      <c r="AW5" s="25">
        <v>0.12291666666666666</v>
      </c>
      <c r="AX5" s="23"/>
      <c r="AY5" s="25"/>
      <c r="AZ5" s="23">
        <v>45693</v>
      </c>
      <c r="BA5" s="25">
        <v>0.1233912037037037</v>
      </c>
      <c r="BB5" s="22">
        <v>2025</v>
      </c>
      <c r="BC5" s="26">
        <v>6</v>
      </c>
      <c r="BD5" s="26">
        <v>2</v>
      </c>
      <c r="BE5" s="26">
        <v>5</v>
      </c>
      <c r="BF5" s="27">
        <v>36</v>
      </c>
      <c r="BG5" s="28">
        <v>45693.122916666667</v>
      </c>
      <c r="BH5" s="22">
        <v>441</v>
      </c>
      <c r="BI5" t="s">
        <v>150</v>
      </c>
      <c r="BJ5" s="24"/>
      <c r="BK5" s="24" t="s">
        <v>57</v>
      </c>
      <c r="BL5" s="24" t="s">
        <v>57</v>
      </c>
      <c r="BM5" s="22" t="s">
        <v>361</v>
      </c>
      <c r="BN5" s="24" t="s">
        <v>153</v>
      </c>
      <c r="CJ5" s="39" t="s">
        <v>481</v>
      </c>
      <c r="CK5" s="42" t="s">
        <v>515</v>
      </c>
    </row>
    <row r="6" spans="1:89" ht="18.75" x14ac:dyDescent="0.3">
      <c r="A6" s="100" t="s">
        <v>761</v>
      </c>
      <c r="B6" s="106">
        <v>1</v>
      </c>
      <c r="C6" s="106"/>
      <c r="D6" s="106"/>
      <c r="E6" s="106"/>
      <c r="F6" s="106">
        <v>2</v>
      </c>
      <c r="G6" s="106">
        <v>2</v>
      </c>
      <c r="H6" s="106">
        <v>1</v>
      </c>
      <c r="I6"/>
      <c r="J6"/>
      <c r="K6"/>
      <c r="L6"/>
      <c r="M6" t="s">
        <v>154</v>
      </c>
      <c r="N6" s="1">
        <v>45705</v>
      </c>
      <c r="O6" t="s">
        <v>54</v>
      </c>
      <c r="P6" s="14">
        <v>0.5</v>
      </c>
      <c r="Q6" s="14">
        <v>0.52497685185185183</v>
      </c>
      <c r="R6" t="s">
        <v>321</v>
      </c>
      <c r="S6" t="s">
        <v>96</v>
      </c>
      <c r="T6" t="s">
        <v>86</v>
      </c>
      <c r="U6" t="s">
        <v>155</v>
      </c>
      <c r="V6" t="s">
        <v>156</v>
      </c>
      <c r="W6" t="s">
        <v>146</v>
      </c>
      <c r="X6" t="s">
        <v>157</v>
      </c>
      <c r="Y6" t="s">
        <v>57</v>
      </c>
      <c r="Z6" t="s">
        <v>158</v>
      </c>
      <c r="AA6" t="s">
        <v>159</v>
      </c>
      <c r="AB6">
        <v>9</v>
      </c>
      <c r="AC6" s="24" t="s">
        <v>160</v>
      </c>
      <c r="AD6" s="22"/>
      <c r="AE6" s="22"/>
      <c r="AF6" s="22"/>
      <c r="AG6" s="22"/>
      <c r="AH6" s="22"/>
      <c r="AI6" s="22"/>
      <c r="AJ6" s="22"/>
      <c r="AK6" s="22"/>
      <c r="AL6" s="22"/>
      <c r="AM6" s="22"/>
      <c r="AN6" s="24" t="s">
        <v>64</v>
      </c>
      <c r="AO6" s="24" t="s">
        <v>65</v>
      </c>
      <c r="AP6" s="24" t="s">
        <v>66</v>
      </c>
      <c r="AQ6" s="22" t="s">
        <v>67</v>
      </c>
      <c r="AR6" s="24" t="s">
        <v>161</v>
      </c>
      <c r="AS6" s="24" t="s">
        <v>162</v>
      </c>
      <c r="AT6" s="24" t="s">
        <v>118</v>
      </c>
      <c r="AU6" s="22">
        <v>9</v>
      </c>
      <c r="AV6" s="23">
        <v>45705</v>
      </c>
      <c r="AW6" s="25">
        <v>0.52497685185185183</v>
      </c>
      <c r="AX6" s="23"/>
      <c r="AY6" s="25"/>
      <c r="AZ6" s="23">
        <v>45705</v>
      </c>
      <c r="BA6" s="25">
        <v>0.52497685185185183</v>
      </c>
      <c r="BB6" s="22">
        <v>2025</v>
      </c>
      <c r="BC6" s="26">
        <v>8</v>
      </c>
      <c r="BD6" s="26">
        <v>4</v>
      </c>
      <c r="BE6" s="26">
        <v>17</v>
      </c>
      <c r="BF6" s="27">
        <v>48</v>
      </c>
      <c r="BG6" s="28">
        <v>45705.524305555555</v>
      </c>
      <c r="BH6" s="22">
        <v>35</v>
      </c>
      <c r="BI6" t="s">
        <v>160</v>
      </c>
      <c r="BJ6" s="24"/>
      <c r="BK6" s="24" t="s">
        <v>163</v>
      </c>
      <c r="BL6" s="24" t="s">
        <v>164</v>
      </c>
      <c r="BM6" s="22" t="s">
        <v>360</v>
      </c>
      <c r="BN6" s="24" t="s">
        <v>71</v>
      </c>
      <c r="CJ6" s="30" t="s">
        <v>472</v>
      </c>
      <c r="CK6" s="41" t="s">
        <v>404</v>
      </c>
    </row>
    <row r="7" spans="1:89" ht="18.75" x14ac:dyDescent="0.3">
      <c r="A7" s="100" t="s">
        <v>762</v>
      </c>
      <c r="B7" s="106"/>
      <c r="C7" s="106">
        <v>1</v>
      </c>
      <c r="D7" s="106">
        <v>2</v>
      </c>
      <c r="E7" s="106"/>
      <c r="F7" s="106">
        <v>2</v>
      </c>
      <c r="G7" s="106"/>
      <c r="H7" s="106"/>
      <c r="I7"/>
      <c r="J7"/>
      <c r="K7"/>
      <c r="L7"/>
      <c r="M7" t="s">
        <v>376</v>
      </c>
      <c r="N7" s="1">
        <v>45726</v>
      </c>
      <c r="O7" t="s">
        <v>143</v>
      </c>
      <c r="P7" s="14">
        <v>4.1666666666666664E-2</v>
      </c>
      <c r="Q7" s="14">
        <v>4.6527777777777779E-2</v>
      </c>
      <c r="R7" t="s">
        <v>321</v>
      </c>
      <c r="S7" t="s">
        <v>331</v>
      </c>
      <c r="T7" t="s">
        <v>377</v>
      </c>
      <c r="U7" t="s">
        <v>378</v>
      </c>
      <c r="V7" t="s">
        <v>113</v>
      </c>
      <c r="W7" t="s">
        <v>113</v>
      </c>
      <c r="X7" t="s">
        <v>57</v>
      </c>
      <c r="Y7" t="s">
        <v>57</v>
      </c>
      <c r="Z7" t="s">
        <v>379</v>
      </c>
      <c r="AA7" t="s">
        <v>221</v>
      </c>
      <c r="AB7">
        <v>8</v>
      </c>
      <c r="AC7" s="24" t="s">
        <v>380</v>
      </c>
      <c r="AD7" s="22"/>
      <c r="AE7" s="22"/>
      <c r="AF7" s="22"/>
      <c r="AG7" s="22"/>
      <c r="AH7" s="22"/>
      <c r="AI7" s="22"/>
      <c r="AJ7" s="22"/>
      <c r="AK7" s="22"/>
      <c r="AL7" s="22"/>
      <c r="AM7" s="22"/>
      <c r="AN7" s="24" t="s">
        <v>381</v>
      </c>
      <c r="AO7" s="24" t="s">
        <v>65</v>
      </c>
      <c r="AP7" s="24" t="s">
        <v>179</v>
      </c>
      <c r="AQ7" s="22" t="s">
        <v>140</v>
      </c>
      <c r="AR7" s="24" t="s">
        <v>93</v>
      </c>
      <c r="AS7" s="24" t="s">
        <v>107</v>
      </c>
      <c r="AT7" s="24" t="s">
        <v>118</v>
      </c>
      <c r="AU7" s="22">
        <v>9</v>
      </c>
      <c r="AV7" s="23">
        <v>45726</v>
      </c>
      <c r="AW7" s="25">
        <v>4.6527777777777779E-2</v>
      </c>
      <c r="AX7" s="23">
        <v>45726</v>
      </c>
      <c r="AY7" s="25">
        <v>0.16180555555555556</v>
      </c>
      <c r="AZ7" s="23">
        <v>45727</v>
      </c>
      <c r="BA7" s="25">
        <v>0.44234953703703705</v>
      </c>
      <c r="BB7" s="22">
        <v>2025</v>
      </c>
      <c r="BC7" s="26">
        <v>11</v>
      </c>
      <c r="BD7" s="26">
        <v>3</v>
      </c>
      <c r="BE7" s="26">
        <v>10</v>
      </c>
      <c r="BF7" s="27">
        <v>69</v>
      </c>
      <c r="BG7" s="28">
        <v>45726.046527777777</v>
      </c>
      <c r="BH7" s="22">
        <v>1</v>
      </c>
      <c r="BI7" t="s">
        <v>380</v>
      </c>
      <c r="BJ7" s="24"/>
      <c r="BK7" s="24" t="s">
        <v>382</v>
      </c>
      <c r="BL7" s="24" t="s">
        <v>57</v>
      </c>
      <c r="BM7" s="22" t="s">
        <v>357</v>
      </c>
      <c r="BN7" s="24" t="s">
        <v>153</v>
      </c>
      <c r="CJ7" s="39" t="s">
        <v>482</v>
      </c>
      <c r="CK7" s="42" t="s">
        <v>404</v>
      </c>
    </row>
    <row r="8" spans="1:89" ht="18.75" x14ac:dyDescent="0.3">
      <c r="A8" s="100" t="s">
        <v>763</v>
      </c>
      <c r="B8" s="106"/>
      <c r="C8" s="106"/>
      <c r="D8" s="106"/>
      <c r="E8" s="106">
        <v>1</v>
      </c>
      <c r="F8" s="106">
        <v>1</v>
      </c>
      <c r="G8" s="106"/>
      <c r="H8" s="106">
        <v>1</v>
      </c>
      <c r="I8" s="19"/>
      <c r="J8" s="19"/>
      <c r="K8" s="19"/>
      <c r="L8" s="19"/>
      <c r="M8" t="s">
        <v>405</v>
      </c>
      <c r="N8" s="1">
        <v>45743</v>
      </c>
      <c r="O8" t="s">
        <v>85</v>
      </c>
      <c r="P8" s="14">
        <v>0.91666666666666663</v>
      </c>
      <c r="Q8" s="14">
        <v>0.94666666666666666</v>
      </c>
      <c r="R8" t="s">
        <v>383</v>
      </c>
      <c r="S8" t="s">
        <v>331</v>
      </c>
      <c r="T8" t="s">
        <v>346</v>
      </c>
      <c r="U8" t="s">
        <v>406</v>
      </c>
      <c r="V8" t="s">
        <v>407</v>
      </c>
      <c r="W8" t="s">
        <v>146</v>
      </c>
      <c r="X8" t="s">
        <v>408</v>
      </c>
      <c r="Y8" t="s">
        <v>266</v>
      </c>
      <c r="Z8" t="s">
        <v>409</v>
      </c>
      <c r="AA8" t="s">
        <v>206</v>
      </c>
      <c r="AB8">
        <v>6</v>
      </c>
      <c r="AC8" s="24" t="s">
        <v>410</v>
      </c>
      <c r="AD8" s="22"/>
      <c r="AE8" s="22"/>
      <c r="AF8" s="22"/>
      <c r="AG8" s="22"/>
      <c r="AH8" s="22"/>
      <c r="AI8" s="22"/>
      <c r="AJ8" s="22"/>
      <c r="AK8" s="22"/>
      <c r="AL8" s="22"/>
      <c r="AM8" s="22"/>
      <c r="AN8" s="24" t="s">
        <v>300</v>
      </c>
      <c r="AO8" s="24" t="s">
        <v>65</v>
      </c>
      <c r="AP8" s="24" t="s">
        <v>411</v>
      </c>
      <c r="AQ8" s="22" t="s">
        <v>105</v>
      </c>
      <c r="AR8" s="24" t="s">
        <v>280</v>
      </c>
      <c r="AS8" s="24" t="s">
        <v>107</v>
      </c>
      <c r="AT8" s="24"/>
      <c r="AU8" s="22">
        <v>9</v>
      </c>
      <c r="AV8" s="23">
        <v>45743</v>
      </c>
      <c r="AW8" s="25">
        <v>0.94666666666666666</v>
      </c>
      <c r="AX8" s="23"/>
      <c r="AY8" s="25"/>
      <c r="AZ8" s="23">
        <v>45743</v>
      </c>
      <c r="BA8" s="25">
        <v>0.94666666666666666</v>
      </c>
      <c r="BB8" s="22">
        <v>2025</v>
      </c>
      <c r="BC8" s="26">
        <v>13</v>
      </c>
      <c r="BD8" s="26">
        <v>5</v>
      </c>
      <c r="BE8" s="26">
        <v>27</v>
      </c>
      <c r="BF8" s="27">
        <v>86</v>
      </c>
      <c r="BG8" s="28">
        <v>45743.946527777778</v>
      </c>
      <c r="BH8" s="22">
        <v>211</v>
      </c>
      <c r="BI8" t="s">
        <v>410</v>
      </c>
      <c r="BJ8" s="24"/>
      <c r="BK8" s="24" t="s">
        <v>57</v>
      </c>
      <c r="BL8" s="24" t="s">
        <v>412</v>
      </c>
      <c r="BM8" s="22" t="s">
        <v>413</v>
      </c>
      <c r="BN8" s="24" t="s">
        <v>94</v>
      </c>
      <c r="CJ8" s="30" t="s">
        <v>483</v>
      </c>
      <c r="CK8" s="41" t="s">
        <v>516</v>
      </c>
    </row>
    <row r="9" spans="1:89" ht="18.75" x14ac:dyDescent="0.3">
      <c r="A9" s="100" t="s">
        <v>764</v>
      </c>
      <c r="B9" s="106">
        <v>3</v>
      </c>
      <c r="C9" s="106">
        <v>1</v>
      </c>
      <c r="D9" s="106"/>
      <c r="E9" s="106"/>
      <c r="F9" s="106">
        <v>1</v>
      </c>
      <c r="G9" s="106"/>
      <c r="H9" s="106"/>
      <c r="I9" s="21"/>
      <c r="J9" s="21"/>
      <c r="K9" s="21"/>
      <c r="L9" s="21"/>
      <c r="M9" t="s">
        <v>414</v>
      </c>
      <c r="N9" s="1">
        <v>45743</v>
      </c>
      <c r="O9" t="s">
        <v>85</v>
      </c>
      <c r="P9" s="14">
        <v>0.95833333333333337</v>
      </c>
      <c r="Q9" s="14">
        <v>0.97916666666666663</v>
      </c>
      <c r="R9" t="s">
        <v>383</v>
      </c>
      <c r="S9" t="s">
        <v>331</v>
      </c>
      <c r="T9" t="s">
        <v>377</v>
      </c>
      <c r="U9" t="s">
        <v>415</v>
      </c>
      <c r="V9" t="s">
        <v>113</v>
      </c>
      <c r="W9" t="s">
        <v>113</v>
      </c>
      <c r="X9" t="s">
        <v>57</v>
      </c>
      <c r="Y9" t="s">
        <v>57</v>
      </c>
      <c r="Z9" t="s">
        <v>416</v>
      </c>
      <c r="AA9" t="s">
        <v>221</v>
      </c>
      <c r="AB9">
        <v>8</v>
      </c>
      <c r="AC9" s="24" t="s">
        <v>417</v>
      </c>
      <c r="AD9" s="22">
        <v>50300</v>
      </c>
      <c r="AE9" s="22"/>
      <c r="AF9" s="22"/>
      <c r="AG9" s="22"/>
      <c r="AH9" s="22"/>
      <c r="AI9" s="22"/>
      <c r="AJ9" s="22"/>
      <c r="AK9" s="22"/>
      <c r="AL9" s="22"/>
      <c r="AM9" s="22"/>
      <c r="AN9" s="24" t="s">
        <v>138</v>
      </c>
      <c r="AO9" s="24" t="s">
        <v>65</v>
      </c>
      <c r="AP9" s="24" t="s">
        <v>344</v>
      </c>
      <c r="AQ9" s="22" t="s">
        <v>262</v>
      </c>
      <c r="AR9" s="24" t="s">
        <v>418</v>
      </c>
      <c r="AS9" s="24" t="s">
        <v>107</v>
      </c>
      <c r="AT9" s="24"/>
      <c r="AU9" s="22">
        <v>9</v>
      </c>
      <c r="AV9" s="23">
        <v>45743</v>
      </c>
      <c r="AW9" s="25">
        <v>0.97916666666666663</v>
      </c>
      <c r="AX9" s="23">
        <v>45744</v>
      </c>
      <c r="AY9" s="25">
        <v>2.5000000000000001E-2</v>
      </c>
      <c r="AZ9" s="23">
        <v>45744</v>
      </c>
      <c r="BA9" s="25">
        <v>0.46781250000000002</v>
      </c>
      <c r="BB9" s="22">
        <v>2025</v>
      </c>
      <c r="BC9" s="26">
        <v>13</v>
      </c>
      <c r="BD9" s="26">
        <v>5</v>
      </c>
      <c r="BE9" s="26">
        <v>27</v>
      </c>
      <c r="BF9" s="27">
        <v>86</v>
      </c>
      <c r="BG9" s="28">
        <v>45743.979166666664</v>
      </c>
      <c r="BH9" s="22">
        <v>2</v>
      </c>
      <c r="BI9" t="s">
        <v>417</v>
      </c>
      <c r="BJ9" s="24"/>
      <c r="BK9" s="24" t="s">
        <v>419</v>
      </c>
      <c r="BL9" s="24" t="s">
        <v>420</v>
      </c>
      <c r="BM9" s="22" t="s">
        <v>413</v>
      </c>
      <c r="BN9" s="24" t="s">
        <v>94</v>
      </c>
      <c r="CJ9" s="39" t="s">
        <v>474</v>
      </c>
      <c r="CK9" s="42" t="s">
        <v>404</v>
      </c>
    </row>
    <row r="10" spans="1:89" ht="18.75" x14ac:dyDescent="0.3">
      <c r="A10" s="100" t="s">
        <v>765</v>
      </c>
      <c r="B10" s="106"/>
      <c r="C10" s="106"/>
      <c r="D10" s="106"/>
      <c r="E10" s="106"/>
      <c r="F10" s="106"/>
      <c r="G10" s="106"/>
      <c r="H10" s="106">
        <v>3</v>
      </c>
      <c r="I10" s="21"/>
      <c r="J10" s="21"/>
      <c r="K10" s="21"/>
      <c r="L10" s="21"/>
      <c r="M10" t="s">
        <v>421</v>
      </c>
      <c r="N10" s="1">
        <v>45747</v>
      </c>
      <c r="O10" t="s">
        <v>54</v>
      </c>
      <c r="P10" s="14">
        <v>0.5</v>
      </c>
      <c r="Q10" s="14">
        <v>0.5</v>
      </c>
      <c r="R10" t="s">
        <v>321</v>
      </c>
      <c r="S10" t="s">
        <v>331</v>
      </c>
      <c r="T10" t="s">
        <v>204</v>
      </c>
      <c r="U10" t="s">
        <v>422</v>
      </c>
      <c r="V10" t="s">
        <v>113</v>
      </c>
      <c r="W10" t="s">
        <v>113</v>
      </c>
      <c r="X10" t="s">
        <v>57</v>
      </c>
      <c r="Y10" t="s">
        <v>57</v>
      </c>
      <c r="Z10" t="s">
        <v>423</v>
      </c>
      <c r="AA10" t="s">
        <v>424</v>
      </c>
      <c r="AB10">
        <v>7</v>
      </c>
      <c r="AC10" s="24" t="s">
        <v>425</v>
      </c>
      <c r="AD10" s="22"/>
      <c r="AE10" s="22"/>
      <c r="AF10" s="22"/>
      <c r="AG10" s="22"/>
      <c r="AH10" s="22"/>
      <c r="AI10" s="22"/>
      <c r="AJ10" s="22"/>
      <c r="AK10" s="22"/>
      <c r="AL10" s="22"/>
      <c r="AM10" s="22"/>
      <c r="AN10" s="24" t="s">
        <v>403</v>
      </c>
      <c r="AO10" s="24" t="s">
        <v>65</v>
      </c>
      <c r="AP10" s="24" t="s">
        <v>426</v>
      </c>
      <c r="AQ10" s="22" t="s">
        <v>80</v>
      </c>
      <c r="AR10" s="24"/>
      <c r="AS10" s="24"/>
      <c r="AT10" s="24"/>
      <c r="AU10" s="22">
        <v>9</v>
      </c>
      <c r="AV10" s="23">
        <v>45747</v>
      </c>
      <c r="AW10" s="25">
        <v>0.5</v>
      </c>
      <c r="AX10" s="23"/>
      <c r="AY10" s="25"/>
      <c r="AZ10" s="23">
        <v>45747</v>
      </c>
      <c r="BA10" s="25">
        <v>0.54355324074074074</v>
      </c>
      <c r="BB10" s="22">
        <v>2025</v>
      </c>
      <c r="BC10" s="26">
        <v>14</v>
      </c>
      <c r="BD10" s="26">
        <v>6</v>
      </c>
      <c r="BE10" s="26">
        <v>31</v>
      </c>
      <c r="BF10" s="27">
        <v>90</v>
      </c>
      <c r="BG10" s="28">
        <v>45747.5</v>
      </c>
      <c r="BH10" s="22">
        <v>100</v>
      </c>
      <c r="BI10" t="s">
        <v>425</v>
      </c>
      <c r="BJ10" s="24"/>
      <c r="BK10" s="24" t="s">
        <v>427</v>
      </c>
      <c r="BL10" s="24" t="s">
        <v>428</v>
      </c>
      <c r="BM10" s="22" t="s">
        <v>413</v>
      </c>
      <c r="BN10" s="24" t="s">
        <v>71</v>
      </c>
      <c r="CJ10" s="30" t="s">
        <v>475</v>
      </c>
      <c r="CK10" s="41" t="s">
        <v>404</v>
      </c>
    </row>
    <row r="11" spans="1:89" ht="18.75" x14ac:dyDescent="0.25">
      <c r="A11" s="100" t="s">
        <v>766</v>
      </c>
      <c r="B11" s="106"/>
      <c r="C11" s="106"/>
      <c r="D11" s="106"/>
      <c r="E11" s="106">
        <v>1</v>
      </c>
      <c r="F11" s="106">
        <v>1</v>
      </c>
      <c r="G11" s="106"/>
      <c r="H11" s="106">
        <v>1</v>
      </c>
      <c r="M11" t="s">
        <v>429</v>
      </c>
      <c r="N11" s="1">
        <v>45748</v>
      </c>
      <c r="O11" t="s">
        <v>54</v>
      </c>
      <c r="P11" s="14">
        <v>0.5</v>
      </c>
      <c r="Q11" s="14">
        <v>0.5</v>
      </c>
      <c r="R11" t="s">
        <v>322</v>
      </c>
      <c r="S11" t="s">
        <v>430</v>
      </c>
      <c r="T11" t="s">
        <v>431</v>
      </c>
      <c r="U11" t="s">
        <v>432</v>
      </c>
      <c r="V11" t="s">
        <v>113</v>
      </c>
      <c r="W11" t="s">
        <v>113</v>
      </c>
      <c r="X11" t="s">
        <v>57</v>
      </c>
      <c r="Y11" t="s">
        <v>57</v>
      </c>
      <c r="Z11" t="s">
        <v>433</v>
      </c>
      <c r="AA11" t="s">
        <v>126</v>
      </c>
      <c r="AB11">
        <v>5</v>
      </c>
      <c r="AC11" s="24" t="s">
        <v>434</v>
      </c>
      <c r="AD11" s="22"/>
      <c r="AE11" s="22"/>
      <c r="AF11" s="22"/>
      <c r="AG11" s="22"/>
      <c r="AH11" s="22"/>
      <c r="AI11" s="22"/>
      <c r="AJ11" s="22"/>
      <c r="AK11" s="22"/>
      <c r="AL11" s="22"/>
      <c r="AM11" s="22"/>
      <c r="AN11" s="24" t="s">
        <v>138</v>
      </c>
      <c r="AO11" s="24" t="s">
        <v>65</v>
      </c>
      <c r="AP11" s="24" t="s">
        <v>435</v>
      </c>
      <c r="AQ11" s="22" t="s">
        <v>171</v>
      </c>
      <c r="AR11" s="24" t="s">
        <v>374</v>
      </c>
      <c r="AS11" s="24" t="s">
        <v>107</v>
      </c>
      <c r="AT11" s="24"/>
      <c r="AU11" s="22">
        <v>9</v>
      </c>
      <c r="AV11" s="23">
        <v>45748</v>
      </c>
      <c r="AW11" s="25">
        <v>0.5</v>
      </c>
      <c r="AX11" s="23">
        <v>45751</v>
      </c>
      <c r="AY11" s="25">
        <v>0.52083333333333337</v>
      </c>
      <c r="AZ11" s="23">
        <v>45751</v>
      </c>
      <c r="BA11" s="25">
        <v>0.54546296296296293</v>
      </c>
      <c r="BB11" s="22">
        <v>2025</v>
      </c>
      <c r="BC11" s="26">
        <v>14</v>
      </c>
      <c r="BD11" s="26">
        <v>1</v>
      </c>
      <c r="BE11" s="26">
        <v>1</v>
      </c>
      <c r="BF11" s="27">
        <v>91</v>
      </c>
      <c r="BG11" s="28">
        <v>45748.5</v>
      </c>
      <c r="BH11" s="22">
        <v>75</v>
      </c>
      <c r="BI11" t="s">
        <v>434</v>
      </c>
      <c r="BJ11" s="24"/>
      <c r="BK11" s="24" t="s">
        <v>57</v>
      </c>
      <c r="BL11" s="24" t="s">
        <v>57</v>
      </c>
      <c r="BM11" s="22" t="s">
        <v>436</v>
      </c>
      <c r="BN11" s="24" t="s">
        <v>71</v>
      </c>
      <c r="CJ11" s="43" t="s">
        <v>476</v>
      </c>
      <c r="CK11" s="44" t="s">
        <v>517</v>
      </c>
    </row>
    <row r="12" spans="1:89" s="5" customFormat="1" ht="18.75" x14ac:dyDescent="0.3">
      <c r="A12"/>
      <c r="B12"/>
      <c r="C12"/>
      <c r="D12"/>
      <c r="E12"/>
      <c r="F12"/>
      <c r="G12"/>
      <c r="H12"/>
      <c r="M12" s="4"/>
      <c r="N12" s="4"/>
      <c r="O12" s="4"/>
      <c r="P12" s="24"/>
      <c r="Q12" s="4"/>
      <c r="R12" s="24"/>
      <c r="S12" s="24"/>
      <c r="T12" s="24"/>
      <c r="U12" s="24"/>
      <c r="V12" s="24"/>
      <c r="W12" s="24"/>
      <c r="X12" s="24"/>
      <c r="Y12" s="24"/>
      <c r="Z12" s="24"/>
      <c r="AA12" s="24"/>
      <c r="AB12" s="2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CJ12" s="30" t="s">
        <v>477</v>
      </c>
      <c r="CK12" s="55" t="s">
        <v>404</v>
      </c>
    </row>
    <row r="13" spans="1:89" s="6" customFormat="1" ht="18.75" x14ac:dyDescent="0.3">
      <c r="A13"/>
      <c r="B13"/>
      <c r="C13"/>
      <c r="D13"/>
      <c r="E13"/>
      <c r="F13"/>
      <c r="G13"/>
      <c r="H13"/>
      <c r="M13" s="4"/>
      <c r="N13" s="4"/>
      <c r="O13" s="4"/>
      <c r="P13" s="24"/>
      <c r="Q13" s="4"/>
      <c r="R13" s="24"/>
      <c r="S13" s="24"/>
      <c r="T13" s="24"/>
      <c r="U13" s="24"/>
      <c r="V13" s="24"/>
      <c r="W13" s="24"/>
      <c r="X13" s="24"/>
      <c r="Y13" s="24"/>
      <c r="Z13" s="24"/>
      <c r="AA13" s="24"/>
      <c r="AB13" s="2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CJ13" s="39" t="s">
        <v>479</v>
      </c>
      <c r="CK13" s="42" t="s">
        <v>484</v>
      </c>
    </row>
    <row r="14" spans="1:89" s="6" customFormat="1" ht="24.75" thickBot="1" x14ac:dyDescent="0.45">
      <c r="A14" s="105" t="s">
        <v>326</v>
      </c>
      <c r="B14" s="105"/>
      <c r="C14" s="105"/>
      <c r="D14" s="105"/>
      <c r="E14" s="105"/>
      <c r="F14" s="105"/>
      <c r="G14" s="105"/>
      <c r="H14" s="105"/>
      <c r="M14" s="4"/>
      <c r="N14" s="4"/>
      <c r="O14" s="4"/>
      <c r="P14" s="24"/>
      <c r="Q14" s="4"/>
      <c r="R14" s="24"/>
      <c r="S14" s="24"/>
      <c r="T14" s="24"/>
      <c r="U14" s="24"/>
      <c r="V14" s="24"/>
      <c r="W14" s="24"/>
      <c r="X14" s="24"/>
      <c r="Y14" s="24"/>
      <c r="Z14" s="24"/>
      <c r="AA14" s="24"/>
      <c r="AB14" s="2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CJ14" s="31" t="s">
        <v>329</v>
      </c>
      <c r="CK14" s="71" t="s">
        <v>518</v>
      </c>
    </row>
    <row r="15" spans="1:89" s="6" customFormat="1" ht="18.75" x14ac:dyDescent="0.3">
      <c r="A15" s="57" t="str" cm="1">
        <f t="array" ref="A15:G19">A5:G9</f>
        <v>Time of Day</v>
      </c>
      <c r="B15" s="58" t="str">
        <v>Thursday</v>
      </c>
      <c r="C15" s="58" t="str">
        <v>Saturday</v>
      </c>
      <c r="D15" s="57" t="str">
        <v>Friday</v>
      </c>
      <c r="E15" s="57" t="str">
        <v>Wednesday</v>
      </c>
      <c r="F15" s="57" t="str">
        <v>Monday</v>
      </c>
      <c r="G15" s="57" t="str">
        <v>Tuesday</v>
      </c>
      <c r="M15" s="4"/>
      <c r="N15" s="4"/>
      <c r="O15" s="4"/>
      <c r="P15" s="24"/>
      <c r="Q15" s="4"/>
      <c r="R15" s="24"/>
      <c r="S15" s="24"/>
      <c r="T15" s="24"/>
      <c r="U15" s="24"/>
      <c r="V15" s="24"/>
      <c r="W15" s="24"/>
      <c r="X15" s="24"/>
      <c r="Y15" s="24"/>
      <c r="Z15" s="24"/>
      <c r="AA15" s="24"/>
      <c r="AB15" s="2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row>
    <row r="16" spans="1:89" ht="15.75" x14ac:dyDescent="0.25">
      <c r="A16" s="72" t="str">
        <v>Afternoon (12:00–15:59)</v>
      </c>
      <c r="B16" s="73">
        <v>1</v>
      </c>
      <c r="C16" s="73">
        <v>0</v>
      </c>
      <c r="D16" s="73">
        <v>0</v>
      </c>
      <c r="E16" s="73">
        <v>0</v>
      </c>
      <c r="F16" s="73">
        <v>2</v>
      </c>
      <c r="G16" s="73">
        <v>2</v>
      </c>
      <c r="H16"/>
      <c r="O16" s="6"/>
      <c r="P16" s="6"/>
      <c r="Q16" s="6"/>
      <c r="R16" s="6"/>
      <c r="S16" s="6"/>
      <c r="T16" s="6"/>
      <c r="U16" s="6"/>
      <c r="V16" s="6"/>
      <c r="W16" s="6"/>
      <c r="X16" s="6"/>
      <c r="Y16" s="6"/>
      <c r="Z16" s="6"/>
      <c r="AA16" s="24"/>
      <c r="AB16" s="6"/>
      <c r="AC16" s="6"/>
      <c r="AD16" s="6"/>
      <c r="AE16" s="6"/>
      <c r="AF16" s="6"/>
      <c r="AG16" s="6"/>
      <c r="AH16" s="6"/>
      <c r="AI16" s="6"/>
      <c r="AJ16" s="6"/>
      <c r="AK16" s="6"/>
      <c r="AL16" s="6"/>
      <c r="AM16" s="6"/>
      <c r="AN16" s="6"/>
      <c r="AO16" s="6"/>
      <c r="AP16" s="6"/>
      <c r="AQ16" s="6"/>
      <c r="AR16" s="6"/>
      <c r="AS16" s="6"/>
      <c r="AT16" s="6"/>
      <c r="AU16" s="6"/>
      <c r="AV16" s="6"/>
      <c r="AW16" s="6"/>
      <c r="AX16" s="6"/>
      <c r="AY16" s="6"/>
      <c r="AZ16" s="6"/>
      <c r="BA16" s="6"/>
      <c r="BB16" s="6"/>
      <c r="BC16" s="6"/>
      <c r="BD16" s="6"/>
      <c r="BE16" s="6"/>
      <c r="BF16" s="6"/>
      <c r="BG16" s="6"/>
      <c r="BH16" s="6"/>
      <c r="BI16" s="6"/>
      <c r="BJ16" s="6"/>
      <c r="BK16" s="6"/>
      <c r="BL16" s="6"/>
      <c r="BM16" s="6"/>
      <c r="BN16" s="6"/>
    </row>
    <row r="17" spans="1:8" ht="15.75" x14ac:dyDescent="0.25">
      <c r="A17" s="18" t="str">
        <v>Morning Peak (08:00–11:59)</v>
      </c>
      <c r="B17" s="17">
        <v>0</v>
      </c>
      <c r="C17" s="17">
        <v>1</v>
      </c>
      <c r="D17" s="17">
        <v>2</v>
      </c>
      <c r="E17" s="17">
        <v>0</v>
      </c>
      <c r="F17" s="17">
        <v>2</v>
      </c>
      <c r="G17" s="17">
        <v>0</v>
      </c>
      <c r="H17"/>
    </row>
    <row r="18" spans="1:8" ht="15.75" x14ac:dyDescent="0.25">
      <c r="A18" s="59" t="str">
        <v>Early Morning (00:00–03:59)</v>
      </c>
      <c r="B18" s="60">
        <v>0</v>
      </c>
      <c r="C18" s="60">
        <v>0</v>
      </c>
      <c r="D18" s="60">
        <v>0</v>
      </c>
      <c r="E18" s="60">
        <v>1</v>
      </c>
      <c r="F18" s="60">
        <v>1</v>
      </c>
      <c r="G18" s="60">
        <v>0</v>
      </c>
      <c r="H18"/>
    </row>
    <row r="19" spans="1:8" ht="15.75" x14ac:dyDescent="0.25">
      <c r="A19" s="62" t="str">
        <v>Night (20:00–23:59)</v>
      </c>
      <c r="B19" s="63">
        <v>3</v>
      </c>
      <c r="C19" s="63">
        <v>1</v>
      </c>
      <c r="D19" s="63">
        <v>0</v>
      </c>
      <c r="E19" s="63">
        <v>0</v>
      </c>
      <c r="F19" s="63">
        <v>1</v>
      </c>
      <c r="G19" s="63">
        <v>0</v>
      </c>
    </row>
    <row r="20" spans="1:8" ht="15.75" x14ac:dyDescent="0.25">
      <c r="A20" s="18"/>
      <c r="B20" s="17"/>
      <c r="C20" s="17"/>
      <c r="D20" s="17"/>
      <c r="E20" s="17"/>
      <c r="F20" s="17"/>
      <c r="G20" s="17"/>
    </row>
    <row r="21" spans="1:8" ht="15.75" x14ac:dyDescent="0.25">
      <c r="A21" s="18"/>
      <c r="B21" s="17"/>
      <c r="C21" s="17"/>
      <c r="D21" s="17"/>
      <c r="E21" s="17"/>
      <c r="F21" s="17"/>
      <c r="G21" s="17"/>
    </row>
    <row r="23" spans="1:8" x14ac:dyDescent="0.25">
      <c r="A23" s="99" t="s">
        <v>1</v>
      </c>
      <c r="B23" s="100" t="s">
        <v>172</v>
      </c>
    </row>
    <row r="24" spans="1:8" x14ac:dyDescent="0.25">
      <c r="A24" s="99" t="s">
        <v>10</v>
      </c>
      <c r="B24" s="100" t="s">
        <v>108</v>
      </c>
    </row>
    <row r="26" spans="1:8" x14ac:dyDescent="0.25">
      <c r="A26" s="101" t="s">
        <v>109</v>
      </c>
      <c r="B26" s="101" t="s">
        <v>5</v>
      </c>
      <c r="C26" s="100"/>
      <c r="D26" s="100"/>
      <c r="E26"/>
      <c r="F26"/>
      <c r="G26"/>
    </row>
    <row r="27" spans="1:8" ht="18.75" x14ac:dyDescent="0.3">
      <c r="A27" s="102" t="s">
        <v>320</v>
      </c>
      <c r="B27" s="103" t="s">
        <v>636</v>
      </c>
      <c r="C27" s="103" t="s">
        <v>635</v>
      </c>
      <c r="D27" s="103" t="s">
        <v>638</v>
      </c>
      <c r="E27"/>
      <c r="F27"/>
      <c r="G27"/>
    </row>
    <row r="28" spans="1:8" x14ac:dyDescent="0.25">
      <c r="A28" s="100" t="s">
        <v>761</v>
      </c>
      <c r="B28" s="106">
        <v>1</v>
      </c>
      <c r="C28" s="106">
        <v>1</v>
      </c>
      <c r="D28" s="106"/>
      <c r="E28"/>
      <c r="F28"/>
      <c r="G28"/>
    </row>
    <row r="29" spans="1:8" x14ac:dyDescent="0.25">
      <c r="A29" s="100" t="s">
        <v>764</v>
      </c>
      <c r="B29" s="106"/>
      <c r="C29" s="106"/>
      <c r="D29" s="106">
        <v>2</v>
      </c>
      <c r="E29"/>
      <c r="F29"/>
      <c r="G29"/>
    </row>
    <row r="30" spans="1:8" x14ac:dyDescent="0.25">
      <c r="A30"/>
      <c r="B30"/>
      <c r="C30"/>
      <c r="D30"/>
      <c r="E30"/>
      <c r="F30"/>
      <c r="G30"/>
    </row>
    <row r="31" spans="1:8" x14ac:dyDescent="0.25">
      <c r="A31"/>
      <c r="B31"/>
      <c r="C31"/>
      <c r="D31"/>
      <c r="E31"/>
      <c r="F31"/>
      <c r="G31"/>
    </row>
    <row r="32" spans="1:8" ht="24" x14ac:dyDescent="0.4">
      <c r="A32" s="105" t="s">
        <v>327</v>
      </c>
      <c r="B32" s="105"/>
      <c r="C32" s="105"/>
      <c r="D32" s="105"/>
      <c r="E32" s="7"/>
      <c r="F32" s="7"/>
      <c r="G32" s="7"/>
      <c r="H32" s="7"/>
    </row>
    <row r="33" spans="1:4" ht="18.75" x14ac:dyDescent="0.3">
      <c r="A33" s="57" t="str" cm="1">
        <f t="array" ref="A33:D35">A27:D29</f>
        <v>Time of Day</v>
      </c>
      <c r="B33" s="58" t="str">
        <v>Monday</v>
      </c>
      <c r="C33" s="58" t="str">
        <v>Tuesday</v>
      </c>
      <c r="D33" s="57" t="str">
        <v>Thursday</v>
      </c>
    </row>
    <row r="34" spans="1:4" ht="15.75" x14ac:dyDescent="0.25">
      <c r="A34" s="72" t="str">
        <v>Afternoon (12:00–15:59)</v>
      </c>
      <c r="B34" s="73">
        <v>1</v>
      </c>
      <c r="C34" s="73">
        <v>1</v>
      </c>
      <c r="D34" s="73">
        <v>0</v>
      </c>
    </row>
    <row r="35" spans="1:4" ht="15.75" x14ac:dyDescent="0.25">
      <c r="A35" s="18" t="str">
        <v>Night (20:00–23:59)</v>
      </c>
      <c r="B35" s="17">
        <v>0</v>
      </c>
      <c r="C35" s="17">
        <v>0</v>
      </c>
      <c r="D35" s="17">
        <v>2</v>
      </c>
    </row>
  </sheetData>
  <mergeCells count="2">
    <mergeCell ref="A14:H14"/>
    <mergeCell ref="A32:D32"/>
  </mergeCells>
  <phoneticPr fontId="10" type="noConversion"/>
  <pageMargins left="0.7" right="0.7" top="0.75" bottom="0.75" header="0.3" footer="0.3"/>
  <pageSetup orientation="portrait"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7B9E3C-3CB3-4500-8AA0-26E5D0E1A8C0}">
  <sheetPr codeName="Sheet34"/>
  <dimension ref="A1:G53"/>
  <sheetViews>
    <sheetView workbookViewId="0">
      <selection activeCell="F15" sqref="F15"/>
    </sheetView>
  </sheetViews>
  <sheetFormatPr defaultRowHeight="15" x14ac:dyDescent="0.25"/>
  <cols>
    <col min="1" max="1" width="18.28515625" bestFit="1" customWidth="1"/>
    <col min="2" max="2" width="13.42578125" bestFit="1" customWidth="1"/>
    <col min="3" max="3" width="12.7109375" bestFit="1" customWidth="1"/>
    <col min="4" max="4" width="14.42578125" bestFit="1" customWidth="1"/>
    <col min="5" max="5" width="13.7109375" bestFit="1" customWidth="1"/>
    <col min="6" max="6" width="14.85546875" bestFit="1" customWidth="1"/>
  </cols>
  <sheetData>
    <row r="1" spans="1:7" x14ac:dyDescent="0.25">
      <c r="A1" t="s">
        <v>520</v>
      </c>
      <c r="B1" t="s">
        <v>521</v>
      </c>
      <c r="C1" t="s">
        <v>522</v>
      </c>
      <c r="D1" t="s">
        <v>523</v>
      </c>
      <c r="E1" t="s">
        <v>524</v>
      </c>
      <c r="F1" t="s">
        <v>525</v>
      </c>
      <c r="G1" t="s">
        <v>526</v>
      </c>
    </row>
    <row r="2" spans="1:7" x14ac:dyDescent="0.25">
      <c r="A2" s="1">
        <v>45664</v>
      </c>
      <c r="B2" s="1">
        <v>45657</v>
      </c>
      <c r="C2" s="1">
        <v>45663</v>
      </c>
      <c r="D2" s="1">
        <v>45636</v>
      </c>
      <c r="E2" s="1">
        <v>45663</v>
      </c>
      <c r="F2" t="s">
        <v>366</v>
      </c>
      <c r="G2" t="b">
        <v>0</v>
      </c>
    </row>
    <row r="3" spans="1:7" x14ac:dyDescent="0.25">
      <c r="A3" s="1">
        <v>45671</v>
      </c>
      <c r="B3" s="1">
        <v>45664</v>
      </c>
      <c r="C3" s="1">
        <v>45670</v>
      </c>
      <c r="D3" s="1">
        <v>45643</v>
      </c>
      <c r="E3" s="1">
        <v>45670</v>
      </c>
      <c r="F3" t="s">
        <v>365</v>
      </c>
      <c r="G3" t="b">
        <v>0</v>
      </c>
    </row>
    <row r="4" spans="1:7" x14ac:dyDescent="0.25">
      <c r="A4" s="1">
        <v>45678</v>
      </c>
      <c r="B4" s="1">
        <v>45671</v>
      </c>
      <c r="C4" s="1">
        <v>45677</v>
      </c>
      <c r="D4" s="1">
        <v>45650</v>
      </c>
      <c r="E4" s="1">
        <v>45677</v>
      </c>
      <c r="F4" t="s">
        <v>364</v>
      </c>
      <c r="G4" t="b">
        <v>0</v>
      </c>
    </row>
    <row r="5" spans="1:7" x14ac:dyDescent="0.25">
      <c r="A5" s="1">
        <v>45685</v>
      </c>
      <c r="B5" s="1">
        <v>45678</v>
      </c>
      <c r="C5" s="1">
        <v>45684</v>
      </c>
      <c r="D5" s="1">
        <v>45657</v>
      </c>
      <c r="E5" s="1">
        <v>45684</v>
      </c>
      <c r="F5" t="s">
        <v>363</v>
      </c>
      <c r="G5" t="b">
        <v>0</v>
      </c>
    </row>
    <row r="6" spans="1:7" x14ac:dyDescent="0.25">
      <c r="A6" s="1">
        <v>45692</v>
      </c>
      <c r="B6" s="1">
        <v>45685</v>
      </c>
      <c r="C6" s="1">
        <v>45691</v>
      </c>
      <c r="D6" s="1">
        <v>45664</v>
      </c>
      <c r="E6" s="1">
        <v>45691</v>
      </c>
      <c r="F6" t="s">
        <v>362</v>
      </c>
      <c r="G6" t="b">
        <v>0</v>
      </c>
    </row>
    <row r="7" spans="1:7" x14ac:dyDescent="0.25">
      <c r="A7" s="1">
        <v>45699</v>
      </c>
      <c r="B7" s="1">
        <v>45692</v>
      </c>
      <c r="C7" s="1">
        <v>45698</v>
      </c>
      <c r="D7" s="1">
        <v>45671</v>
      </c>
      <c r="E7" s="1">
        <v>45698</v>
      </c>
      <c r="F7" t="s">
        <v>361</v>
      </c>
      <c r="G7" t="b">
        <v>0</v>
      </c>
    </row>
    <row r="8" spans="1:7" x14ac:dyDescent="0.25">
      <c r="A8" s="1">
        <v>45706</v>
      </c>
      <c r="B8" s="1">
        <v>45699</v>
      </c>
      <c r="C8" s="1">
        <v>45705</v>
      </c>
      <c r="D8" s="1">
        <v>45678</v>
      </c>
      <c r="E8" s="1">
        <v>45705</v>
      </c>
      <c r="F8" t="s">
        <v>360</v>
      </c>
      <c r="G8" t="b">
        <v>0</v>
      </c>
    </row>
    <row r="9" spans="1:7" x14ac:dyDescent="0.25">
      <c r="A9" s="1">
        <v>45713</v>
      </c>
      <c r="B9" s="1">
        <v>45706</v>
      </c>
      <c r="C9" s="1">
        <v>45712</v>
      </c>
      <c r="D9" s="1">
        <v>45685</v>
      </c>
      <c r="E9" s="1">
        <v>45712</v>
      </c>
      <c r="F9" t="s">
        <v>359</v>
      </c>
      <c r="G9" t="b">
        <v>0</v>
      </c>
    </row>
    <row r="10" spans="1:7" x14ac:dyDescent="0.25">
      <c r="A10" s="1">
        <v>45720</v>
      </c>
      <c r="B10" s="1">
        <v>45713</v>
      </c>
      <c r="C10" s="1">
        <v>45719</v>
      </c>
      <c r="D10" s="1">
        <v>45692</v>
      </c>
      <c r="E10" s="1">
        <v>45719</v>
      </c>
      <c r="F10" t="s">
        <v>358</v>
      </c>
      <c r="G10" t="b">
        <v>0</v>
      </c>
    </row>
    <row r="11" spans="1:7" x14ac:dyDescent="0.25">
      <c r="A11" s="1">
        <v>45727</v>
      </c>
      <c r="B11" s="1">
        <v>45720</v>
      </c>
      <c r="C11" s="1">
        <v>45726</v>
      </c>
      <c r="D11" s="1">
        <v>45699</v>
      </c>
      <c r="E11" s="1">
        <v>45726</v>
      </c>
      <c r="F11" t="s">
        <v>357</v>
      </c>
      <c r="G11" t="b">
        <v>0</v>
      </c>
    </row>
    <row r="12" spans="1:7" x14ac:dyDescent="0.25">
      <c r="A12" s="1">
        <v>45734</v>
      </c>
      <c r="B12" s="1">
        <v>45727</v>
      </c>
      <c r="C12" s="1">
        <v>45733</v>
      </c>
      <c r="D12" s="1">
        <v>45706</v>
      </c>
      <c r="E12" s="1">
        <v>45733</v>
      </c>
      <c r="F12" t="s">
        <v>375</v>
      </c>
      <c r="G12" t="b">
        <v>0</v>
      </c>
    </row>
    <row r="13" spans="1:7" x14ac:dyDescent="0.25">
      <c r="A13" s="1">
        <v>45741</v>
      </c>
      <c r="B13" s="1">
        <v>45734</v>
      </c>
      <c r="C13" s="1">
        <v>45740</v>
      </c>
      <c r="D13" s="1">
        <v>45713</v>
      </c>
      <c r="E13" s="1">
        <v>45740</v>
      </c>
      <c r="F13" t="s">
        <v>392</v>
      </c>
      <c r="G13" t="b">
        <v>0</v>
      </c>
    </row>
    <row r="14" spans="1:7" x14ac:dyDescent="0.25">
      <c r="A14" s="1">
        <v>45748</v>
      </c>
      <c r="B14" s="1">
        <v>45741</v>
      </c>
      <c r="C14" s="1">
        <v>45747</v>
      </c>
      <c r="D14" s="1">
        <v>45720</v>
      </c>
      <c r="E14" s="1">
        <v>45747</v>
      </c>
      <c r="F14" t="s">
        <v>413</v>
      </c>
      <c r="G14" t="b">
        <v>0</v>
      </c>
    </row>
    <row r="15" spans="1:7" x14ac:dyDescent="0.25">
      <c r="A15" s="1">
        <v>45755</v>
      </c>
      <c r="B15" s="1">
        <v>45748</v>
      </c>
      <c r="C15" s="1">
        <v>45754</v>
      </c>
      <c r="D15" s="1">
        <v>45727</v>
      </c>
      <c r="E15" s="1">
        <v>45754</v>
      </c>
      <c r="F15" t="s">
        <v>436</v>
      </c>
      <c r="G15" t="b">
        <v>0</v>
      </c>
    </row>
    <row r="16" spans="1:7" x14ac:dyDescent="0.25">
      <c r="A16" s="1">
        <v>45762</v>
      </c>
      <c r="B16" s="1">
        <v>45755</v>
      </c>
      <c r="C16" s="1">
        <v>45761</v>
      </c>
      <c r="D16" s="1">
        <v>45734</v>
      </c>
      <c r="E16" s="1">
        <v>45761</v>
      </c>
      <c r="F16" t="s">
        <v>511</v>
      </c>
      <c r="G16" t="b">
        <v>0</v>
      </c>
    </row>
    <row r="17" spans="1:7" x14ac:dyDescent="0.25">
      <c r="A17" s="1">
        <v>45769</v>
      </c>
      <c r="B17" s="1">
        <v>45762</v>
      </c>
      <c r="C17" s="1">
        <v>45768</v>
      </c>
      <c r="D17" s="1">
        <v>45741</v>
      </c>
      <c r="E17" s="1">
        <v>45768</v>
      </c>
      <c r="F17" t="s">
        <v>527</v>
      </c>
      <c r="G17" t="b">
        <v>1</v>
      </c>
    </row>
    <row r="18" spans="1:7" x14ac:dyDescent="0.25">
      <c r="A18" s="1">
        <v>45776</v>
      </c>
      <c r="B18" s="1">
        <v>45769</v>
      </c>
      <c r="C18" s="1">
        <v>45775</v>
      </c>
      <c r="D18" s="1">
        <v>45748</v>
      </c>
      <c r="E18" s="1">
        <v>45775</v>
      </c>
      <c r="F18" t="s">
        <v>528</v>
      </c>
      <c r="G18" t="b">
        <v>0</v>
      </c>
    </row>
    <row r="19" spans="1:7" x14ac:dyDescent="0.25">
      <c r="A19" s="1">
        <v>45783</v>
      </c>
      <c r="B19" s="1">
        <v>45776</v>
      </c>
      <c r="C19" s="1">
        <v>45782</v>
      </c>
      <c r="D19" s="1">
        <v>45755</v>
      </c>
      <c r="E19" s="1">
        <v>45782</v>
      </c>
      <c r="F19" t="s">
        <v>529</v>
      </c>
      <c r="G19" t="b">
        <v>0</v>
      </c>
    </row>
    <row r="20" spans="1:7" x14ac:dyDescent="0.25">
      <c r="A20" s="1">
        <v>45790</v>
      </c>
      <c r="B20" s="1">
        <v>45783</v>
      </c>
      <c r="C20" s="1">
        <v>45789</v>
      </c>
      <c r="D20" s="1">
        <v>45762</v>
      </c>
      <c r="E20" s="1">
        <v>45789</v>
      </c>
      <c r="F20" t="s">
        <v>530</v>
      </c>
      <c r="G20" t="b">
        <v>0</v>
      </c>
    </row>
    <row r="21" spans="1:7" x14ac:dyDescent="0.25">
      <c r="A21" s="1">
        <v>45797</v>
      </c>
      <c r="B21" s="1">
        <v>45790</v>
      </c>
      <c r="C21" s="1">
        <v>45796</v>
      </c>
      <c r="D21" s="1">
        <v>45769</v>
      </c>
      <c r="E21" s="1">
        <v>45796</v>
      </c>
      <c r="F21" t="s">
        <v>531</v>
      </c>
      <c r="G21" t="b">
        <v>0</v>
      </c>
    </row>
    <row r="22" spans="1:7" x14ac:dyDescent="0.25">
      <c r="A22" s="1">
        <v>45804</v>
      </c>
      <c r="B22" s="1">
        <v>45797</v>
      </c>
      <c r="C22" s="1">
        <v>45803</v>
      </c>
      <c r="D22" s="1">
        <v>45776</v>
      </c>
      <c r="E22" s="1">
        <v>45803</v>
      </c>
      <c r="F22" t="s">
        <v>532</v>
      </c>
      <c r="G22" t="b">
        <v>0</v>
      </c>
    </row>
    <row r="23" spans="1:7" x14ac:dyDescent="0.25">
      <c r="A23" s="1">
        <v>45811</v>
      </c>
      <c r="B23" s="1">
        <v>45804</v>
      </c>
      <c r="C23" s="1">
        <v>45810</v>
      </c>
      <c r="D23" s="1">
        <v>45783</v>
      </c>
      <c r="E23" s="1">
        <v>45810</v>
      </c>
      <c r="F23" t="s">
        <v>533</v>
      </c>
      <c r="G23" t="b">
        <v>0</v>
      </c>
    </row>
    <row r="24" spans="1:7" x14ac:dyDescent="0.25">
      <c r="A24" s="1">
        <v>45818</v>
      </c>
      <c r="B24" s="1">
        <v>45811</v>
      </c>
      <c r="C24" s="1">
        <v>45817</v>
      </c>
      <c r="D24" s="1">
        <v>45790</v>
      </c>
      <c r="E24" s="1">
        <v>45817</v>
      </c>
      <c r="F24" t="s">
        <v>534</v>
      </c>
      <c r="G24" t="b">
        <v>0</v>
      </c>
    </row>
    <row r="25" spans="1:7" x14ac:dyDescent="0.25">
      <c r="A25" s="1">
        <v>45825</v>
      </c>
      <c r="B25" s="1">
        <v>45818</v>
      </c>
      <c r="C25" s="1">
        <v>45824</v>
      </c>
      <c r="D25" s="1">
        <v>45797</v>
      </c>
      <c r="E25" s="1">
        <v>45824</v>
      </c>
      <c r="F25" t="s">
        <v>535</v>
      </c>
      <c r="G25" t="b">
        <v>0</v>
      </c>
    </row>
    <row r="26" spans="1:7" x14ac:dyDescent="0.25">
      <c r="A26" s="1">
        <v>45832</v>
      </c>
      <c r="B26" s="1">
        <v>45825</v>
      </c>
      <c r="C26" s="1">
        <v>45831</v>
      </c>
      <c r="D26" s="1">
        <v>45804</v>
      </c>
      <c r="E26" s="1">
        <v>45831</v>
      </c>
      <c r="F26" t="s">
        <v>536</v>
      </c>
      <c r="G26" t="b">
        <v>0</v>
      </c>
    </row>
    <row r="27" spans="1:7" x14ac:dyDescent="0.25">
      <c r="A27" s="1">
        <v>45839</v>
      </c>
      <c r="B27" s="1">
        <v>45832</v>
      </c>
      <c r="C27" s="1">
        <v>45838</v>
      </c>
      <c r="D27" s="1">
        <v>45811</v>
      </c>
      <c r="E27" s="1">
        <v>45838</v>
      </c>
      <c r="F27" t="s">
        <v>537</v>
      </c>
      <c r="G27" t="b">
        <v>0</v>
      </c>
    </row>
    <row r="28" spans="1:7" x14ac:dyDescent="0.25">
      <c r="A28" s="1">
        <v>45846</v>
      </c>
      <c r="B28" s="1">
        <v>45839</v>
      </c>
      <c r="C28" s="1">
        <v>45845</v>
      </c>
      <c r="D28" s="1">
        <v>45818</v>
      </c>
      <c r="E28" s="1">
        <v>45845</v>
      </c>
      <c r="F28" t="s">
        <v>538</v>
      </c>
      <c r="G28" t="b">
        <v>0</v>
      </c>
    </row>
    <row r="29" spans="1:7" x14ac:dyDescent="0.25">
      <c r="A29" s="1">
        <v>45853</v>
      </c>
      <c r="B29" s="1">
        <v>45846</v>
      </c>
      <c r="C29" s="1">
        <v>45852</v>
      </c>
      <c r="D29" s="1">
        <v>45825</v>
      </c>
      <c r="E29" s="1">
        <v>45852</v>
      </c>
      <c r="F29" t="s">
        <v>539</v>
      </c>
      <c r="G29" t="b">
        <v>0</v>
      </c>
    </row>
    <row r="30" spans="1:7" x14ac:dyDescent="0.25">
      <c r="A30" s="1">
        <v>45860</v>
      </c>
      <c r="B30" s="1">
        <v>45853</v>
      </c>
      <c r="C30" s="1">
        <v>45859</v>
      </c>
      <c r="D30" s="1">
        <v>45832</v>
      </c>
      <c r="E30" s="1">
        <v>45859</v>
      </c>
      <c r="F30" t="s">
        <v>540</v>
      </c>
      <c r="G30" t="b">
        <v>0</v>
      </c>
    </row>
    <row r="31" spans="1:7" x14ac:dyDescent="0.25">
      <c r="A31" s="1">
        <v>45867</v>
      </c>
      <c r="B31" s="1">
        <v>45860</v>
      </c>
      <c r="C31" s="1">
        <v>45866</v>
      </c>
      <c r="D31" s="1">
        <v>45839</v>
      </c>
      <c r="E31" s="1">
        <v>45866</v>
      </c>
      <c r="F31" t="s">
        <v>541</v>
      </c>
      <c r="G31" t="b">
        <v>0</v>
      </c>
    </row>
    <row r="32" spans="1:7" x14ac:dyDescent="0.25">
      <c r="A32" s="1">
        <v>45874</v>
      </c>
      <c r="B32" s="1">
        <v>45867</v>
      </c>
      <c r="C32" s="1">
        <v>45873</v>
      </c>
      <c r="D32" s="1">
        <v>45846</v>
      </c>
      <c r="E32" s="1">
        <v>45873</v>
      </c>
      <c r="F32" t="s">
        <v>542</v>
      </c>
      <c r="G32" t="b">
        <v>0</v>
      </c>
    </row>
    <row r="33" spans="1:7" x14ac:dyDescent="0.25">
      <c r="A33" s="1">
        <v>45881</v>
      </c>
      <c r="B33" s="1">
        <v>45874</v>
      </c>
      <c r="C33" s="1">
        <v>45880</v>
      </c>
      <c r="D33" s="1">
        <v>45853</v>
      </c>
      <c r="E33" s="1">
        <v>45880</v>
      </c>
      <c r="F33" t="s">
        <v>543</v>
      </c>
      <c r="G33" t="b">
        <v>0</v>
      </c>
    </row>
    <row r="34" spans="1:7" x14ac:dyDescent="0.25">
      <c r="A34" s="1">
        <v>45888</v>
      </c>
      <c r="B34" s="1">
        <v>45881</v>
      </c>
      <c r="C34" s="1">
        <v>45887</v>
      </c>
      <c r="D34" s="1">
        <v>45860</v>
      </c>
      <c r="E34" s="1">
        <v>45887</v>
      </c>
      <c r="F34" t="s">
        <v>544</v>
      </c>
      <c r="G34" t="b">
        <v>0</v>
      </c>
    </row>
    <row r="35" spans="1:7" x14ac:dyDescent="0.25">
      <c r="A35" s="1">
        <v>45895</v>
      </c>
      <c r="B35" s="1">
        <v>45888</v>
      </c>
      <c r="C35" s="1">
        <v>45894</v>
      </c>
      <c r="D35" s="1">
        <v>45867</v>
      </c>
      <c r="E35" s="1">
        <v>45894</v>
      </c>
      <c r="F35" t="s">
        <v>545</v>
      </c>
      <c r="G35" t="b">
        <v>0</v>
      </c>
    </row>
    <row r="36" spans="1:7" x14ac:dyDescent="0.25">
      <c r="A36" s="1">
        <v>45902</v>
      </c>
      <c r="B36" s="1">
        <v>45895</v>
      </c>
      <c r="C36" s="1">
        <v>45901</v>
      </c>
      <c r="D36" s="1">
        <v>45874</v>
      </c>
      <c r="E36" s="1">
        <v>45901</v>
      </c>
      <c r="F36" t="s">
        <v>546</v>
      </c>
      <c r="G36" t="b">
        <v>0</v>
      </c>
    </row>
    <row r="37" spans="1:7" x14ac:dyDescent="0.25">
      <c r="A37" s="1">
        <v>45909</v>
      </c>
      <c r="B37" s="1">
        <v>45902</v>
      </c>
      <c r="C37" s="1">
        <v>45908</v>
      </c>
      <c r="D37" s="1">
        <v>45881</v>
      </c>
      <c r="E37" s="1">
        <v>45908</v>
      </c>
      <c r="F37" t="s">
        <v>547</v>
      </c>
      <c r="G37" t="b">
        <v>0</v>
      </c>
    </row>
    <row r="38" spans="1:7" x14ac:dyDescent="0.25">
      <c r="A38" s="1">
        <v>45916</v>
      </c>
      <c r="B38" s="1">
        <v>45909</v>
      </c>
      <c r="C38" s="1">
        <v>45915</v>
      </c>
      <c r="D38" s="1">
        <v>45888</v>
      </c>
      <c r="E38" s="1">
        <v>45915</v>
      </c>
      <c r="F38" t="s">
        <v>548</v>
      </c>
      <c r="G38" t="b">
        <v>0</v>
      </c>
    </row>
    <row r="39" spans="1:7" x14ac:dyDescent="0.25">
      <c r="A39" s="1">
        <v>45923</v>
      </c>
      <c r="B39" s="1">
        <v>45916</v>
      </c>
      <c r="C39" s="1">
        <v>45922</v>
      </c>
      <c r="D39" s="1">
        <v>45895</v>
      </c>
      <c r="E39" s="1">
        <v>45922</v>
      </c>
      <c r="F39" t="s">
        <v>549</v>
      </c>
      <c r="G39" t="b">
        <v>0</v>
      </c>
    </row>
    <row r="40" spans="1:7" x14ac:dyDescent="0.25">
      <c r="A40" s="1">
        <v>45930</v>
      </c>
      <c r="B40" s="1">
        <v>45923</v>
      </c>
      <c r="C40" s="1">
        <v>45929</v>
      </c>
      <c r="D40" s="1">
        <v>45902</v>
      </c>
      <c r="E40" s="1">
        <v>45929</v>
      </c>
      <c r="F40" t="s">
        <v>550</v>
      </c>
      <c r="G40" t="b">
        <v>0</v>
      </c>
    </row>
    <row r="41" spans="1:7" x14ac:dyDescent="0.25">
      <c r="A41" s="1">
        <v>45937</v>
      </c>
      <c r="B41" s="1">
        <v>45930</v>
      </c>
      <c r="C41" s="1">
        <v>45936</v>
      </c>
      <c r="D41" s="1">
        <v>45909</v>
      </c>
      <c r="E41" s="1">
        <v>45936</v>
      </c>
      <c r="F41" t="s">
        <v>551</v>
      </c>
      <c r="G41" t="b">
        <v>0</v>
      </c>
    </row>
    <row r="42" spans="1:7" x14ac:dyDescent="0.25">
      <c r="A42" s="1">
        <v>45944</v>
      </c>
      <c r="B42" s="1">
        <v>45937</v>
      </c>
      <c r="C42" s="1">
        <v>45943</v>
      </c>
      <c r="D42" s="1">
        <v>45916</v>
      </c>
      <c r="E42" s="1">
        <v>45943</v>
      </c>
      <c r="F42" t="s">
        <v>552</v>
      </c>
      <c r="G42" t="b">
        <v>0</v>
      </c>
    </row>
    <row r="43" spans="1:7" x14ac:dyDescent="0.25">
      <c r="A43" s="1">
        <v>45951</v>
      </c>
      <c r="B43" s="1">
        <v>45944</v>
      </c>
      <c r="C43" s="1">
        <v>45950</v>
      </c>
      <c r="D43" s="1">
        <v>45923</v>
      </c>
      <c r="E43" s="1">
        <v>45950</v>
      </c>
      <c r="F43" t="s">
        <v>553</v>
      </c>
      <c r="G43" t="b">
        <v>0</v>
      </c>
    </row>
    <row r="44" spans="1:7" x14ac:dyDescent="0.25">
      <c r="A44" s="1">
        <v>45958</v>
      </c>
      <c r="B44" s="1">
        <v>45951</v>
      </c>
      <c r="C44" s="1">
        <v>45957</v>
      </c>
      <c r="D44" s="1">
        <v>45930</v>
      </c>
      <c r="E44" s="1">
        <v>45957</v>
      </c>
      <c r="F44" t="s">
        <v>554</v>
      </c>
      <c r="G44" t="b">
        <v>0</v>
      </c>
    </row>
    <row r="45" spans="1:7" x14ac:dyDescent="0.25">
      <c r="A45" s="1">
        <v>45965</v>
      </c>
      <c r="B45" s="1">
        <v>45958</v>
      </c>
      <c r="C45" s="1">
        <v>45964</v>
      </c>
      <c r="D45" s="1">
        <v>45937</v>
      </c>
      <c r="E45" s="1">
        <v>45964</v>
      </c>
      <c r="F45" t="s">
        <v>555</v>
      </c>
      <c r="G45" t="b">
        <v>0</v>
      </c>
    </row>
    <row r="46" spans="1:7" x14ac:dyDescent="0.25">
      <c r="A46" s="1">
        <v>45972</v>
      </c>
      <c r="B46" s="1">
        <v>45965</v>
      </c>
      <c r="C46" s="1">
        <v>45971</v>
      </c>
      <c r="D46" s="1">
        <v>45944</v>
      </c>
      <c r="E46" s="1">
        <v>45971</v>
      </c>
      <c r="F46" t="s">
        <v>556</v>
      </c>
      <c r="G46" t="b">
        <v>0</v>
      </c>
    </row>
    <row r="47" spans="1:7" x14ac:dyDescent="0.25">
      <c r="A47" s="1">
        <v>45979</v>
      </c>
      <c r="B47" s="1">
        <v>45972</v>
      </c>
      <c r="C47" s="1">
        <v>45978</v>
      </c>
      <c r="D47" s="1">
        <v>45951</v>
      </c>
      <c r="E47" s="1">
        <v>45978</v>
      </c>
      <c r="F47" t="s">
        <v>557</v>
      </c>
      <c r="G47" t="b">
        <v>0</v>
      </c>
    </row>
    <row r="48" spans="1:7" x14ac:dyDescent="0.25">
      <c r="A48" s="1">
        <v>45986</v>
      </c>
      <c r="B48" s="1">
        <v>45979</v>
      </c>
      <c r="C48" s="1">
        <v>45985</v>
      </c>
      <c r="D48" s="1">
        <v>45958</v>
      </c>
      <c r="E48" s="1">
        <v>45985</v>
      </c>
      <c r="F48" t="s">
        <v>558</v>
      </c>
      <c r="G48" t="b">
        <v>0</v>
      </c>
    </row>
    <row r="49" spans="1:7" x14ac:dyDescent="0.25">
      <c r="A49" s="1">
        <v>45993</v>
      </c>
      <c r="B49" s="1">
        <v>45986</v>
      </c>
      <c r="C49" s="1">
        <v>45992</v>
      </c>
      <c r="D49" s="1">
        <v>45965</v>
      </c>
      <c r="E49" s="1">
        <v>45992</v>
      </c>
      <c r="F49" t="s">
        <v>559</v>
      </c>
      <c r="G49" t="b">
        <v>0</v>
      </c>
    </row>
    <row r="50" spans="1:7" x14ac:dyDescent="0.25">
      <c r="A50" s="1">
        <v>46000</v>
      </c>
      <c r="B50" s="1">
        <v>45993</v>
      </c>
      <c r="C50" s="1">
        <v>45999</v>
      </c>
      <c r="D50" s="1">
        <v>45972</v>
      </c>
      <c r="E50" s="1">
        <v>45999</v>
      </c>
      <c r="F50" t="s">
        <v>560</v>
      </c>
      <c r="G50" t="b">
        <v>0</v>
      </c>
    </row>
    <row r="51" spans="1:7" x14ac:dyDescent="0.25">
      <c r="A51" s="1">
        <v>46007</v>
      </c>
      <c r="B51" s="1">
        <v>46000</v>
      </c>
      <c r="C51" s="1">
        <v>46006</v>
      </c>
      <c r="D51" s="1">
        <v>45979</v>
      </c>
      <c r="E51" s="1">
        <v>46006</v>
      </c>
      <c r="F51" t="s">
        <v>561</v>
      </c>
      <c r="G51" t="b">
        <v>0</v>
      </c>
    </row>
    <row r="52" spans="1:7" x14ac:dyDescent="0.25">
      <c r="A52" s="1">
        <v>46014</v>
      </c>
      <c r="B52" s="1">
        <v>46007</v>
      </c>
      <c r="C52" s="1">
        <v>46013</v>
      </c>
      <c r="D52" s="1">
        <v>45986</v>
      </c>
      <c r="E52" s="1">
        <v>46013</v>
      </c>
      <c r="F52" t="s">
        <v>562</v>
      </c>
      <c r="G52" t="b">
        <v>0</v>
      </c>
    </row>
    <row r="53" spans="1:7" x14ac:dyDescent="0.25">
      <c r="A53" s="1">
        <v>46021</v>
      </c>
      <c r="B53" s="1">
        <v>46014</v>
      </c>
      <c r="C53" s="1">
        <v>46020</v>
      </c>
      <c r="D53" s="1">
        <v>45993</v>
      </c>
      <c r="E53" s="1">
        <v>46020</v>
      </c>
      <c r="F53" t="s">
        <v>563</v>
      </c>
      <c r="G53" t="b">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01B980016700041A859C26B0CBE3010" ma:contentTypeVersion="16" ma:contentTypeDescription="Create a new document." ma:contentTypeScope="" ma:versionID="1209fce709753742879aa2378553e378">
  <xsd:schema xmlns:xsd="http://www.w3.org/2001/XMLSchema" xmlns:xs="http://www.w3.org/2001/XMLSchema" xmlns:p="http://schemas.microsoft.com/office/2006/metadata/properties" xmlns:ns3="b1bf5c3b-6d54-46d3-b945-dfb4607c5fc2" xmlns:ns4="a7c3798e-333d-4d8c-b7f0-61d3254dbad2" targetNamespace="http://schemas.microsoft.com/office/2006/metadata/properties" ma:root="true" ma:fieldsID="5789b25bd9b028519a2563d031c469c4" ns3:_="" ns4:_="">
    <xsd:import namespace="b1bf5c3b-6d54-46d3-b945-dfb4607c5fc2"/>
    <xsd:import namespace="a7c3798e-333d-4d8c-b7f0-61d3254dbad2"/>
    <xsd:element name="properties">
      <xsd:complexType>
        <xsd:sequence>
          <xsd:element name="documentManagement">
            <xsd:complexType>
              <xsd:all>
                <xsd:element ref="ns3:MediaServiceMetadata" minOccurs="0"/>
                <xsd:element ref="ns3:MediaServiceFastMetadata" minOccurs="0"/>
                <xsd:element ref="ns3:_activity" minOccurs="0"/>
                <xsd:element ref="ns4:SharedWithUsers" minOccurs="0"/>
                <xsd:element ref="ns4:SharedWithDetails" minOccurs="0"/>
                <xsd:element ref="ns4:SharingHintHash" minOccurs="0"/>
                <xsd:element ref="ns3:MediaServiceDateTaken" minOccurs="0"/>
                <xsd:element ref="ns3:MediaServiceAutoTags" minOccurs="0"/>
                <xsd:element ref="ns3:MediaLengthInSeconds" minOccurs="0"/>
                <xsd:element ref="ns3:MediaServiceLocation" minOccurs="0"/>
                <xsd:element ref="ns3:MediaServiceGenerationTime" minOccurs="0"/>
                <xsd:element ref="ns3:MediaServiceEventHashCode" minOccurs="0"/>
                <xsd:element ref="ns3:MediaServiceOCR" minOccurs="0"/>
                <xsd:element ref="ns3:MediaServiceObjectDetectorVersions" minOccurs="0"/>
                <xsd:element ref="ns3:MediaServiceSystemTag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1bf5c3b-6d54-46d3-b945-dfb4607c5f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Location" ma:index="17" nillable="true" ma:displayName="Location" ma:indexed="true" ma:internalName="MediaServiceLocatio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7c3798e-333d-4d8c-b7f0-61d3254dbad2"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SharingHintHash" ma:index="13"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b1bf5c3b-6d54-46d3-b945-dfb4607c5fc2" xsi:nil="true"/>
  </documentManagement>
</p:properties>
</file>

<file path=customXml/item4.xml>�� 
</file>

<file path=customXml/itemProps1.xml><?xml version="1.0" encoding="utf-8"?>
<ds:datastoreItem xmlns:ds="http://schemas.openxmlformats.org/officeDocument/2006/customXml" ds:itemID="{21E17DD6-CAB6-420A-A95D-C32957EEB92D}">
  <ds:schemaRefs>
    <ds:schemaRef ds:uri="http://schemas.microsoft.com/office/2006/metadata/contentType"/>
    <ds:schemaRef ds:uri="http://schemas.microsoft.com/office/2006/metadata/properties/metaAttributes"/>
    <ds:schemaRef ds:uri="http://www.w3.org/2000/xmlns/"/>
    <ds:schemaRef ds:uri="http://www.w3.org/2001/XMLSchema"/>
    <ds:schemaRef ds:uri="b1bf5c3b-6d54-46d3-b945-dfb4607c5fc2"/>
    <ds:schemaRef ds:uri="a7c3798e-333d-4d8c-b7f0-61d3254dbad2"/>
    <ds:schemaRef ds:uri="http://schemas.microsoft.com/office/2006/metadata/properties"/>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B7326F4-C310-4BE5-8C1C-0B665131CBE9}">
  <ds:schemaRefs>
    <ds:schemaRef ds:uri="http://schemas.microsoft.com/sharepoint/v3/contenttype/forms"/>
  </ds:schemaRefs>
</ds:datastoreItem>
</file>

<file path=customXml/itemProps3.xml><?xml version="1.0" encoding="utf-8"?>
<ds:datastoreItem xmlns:ds="http://schemas.openxmlformats.org/officeDocument/2006/customXml" ds:itemID="{52810D0D-F7EB-4155-BDDE-E199544D9328}">
  <ds:schemaRefs>
    <ds:schemaRef ds:uri="http://schemas.microsoft.com/office/2006/metadata/properties"/>
    <ds:schemaRef ds:uri="http://www.w3.org/2000/xmlns/"/>
    <ds:schemaRef ds:uri="b1bf5c3b-6d54-46d3-b945-dfb4607c5fc2"/>
    <ds:schemaRef ds:uri="http://www.w3.org/2001/XMLSchema-instance"/>
    <ds:schemaRef ds:uri="http://schemas.microsoft.com/office/infopath/2007/PartnerControls"/>
  </ds:schemaRefs>
</ds:datastoreItem>
</file>

<file path=customXml/itemProps4.xml><?xml version="1.0" encoding="utf-8"?>
<ds:datastoreItem xmlns:ds="http://schemas.openxmlformats.org/officeDocument/2006/customXml" ds:itemID="{A3093440-9B82-429A-AB14-5B94A942AF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BUR_AUTO_PT</vt:lpstr>
      <vt:lpstr>Bur_C_R_28D (2)</vt:lpstr>
      <vt:lpstr>All_Crimes</vt:lpstr>
      <vt:lpstr>Sheet3</vt:lpstr>
      <vt:lpstr>Sexual_Offenses</vt:lpstr>
      <vt:lpstr>robPT</vt:lpstr>
      <vt:lpstr>Robbery</vt:lpstr>
      <vt:lpstr>Motor_Vehicle_Theft</vt:lpstr>
      <vt:lpstr>Auto_Burglary</vt:lpstr>
      <vt:lpstr>Burglary_Commercial_Residential</vt:lpstr>
      <vt:lpstr>BUR_C_R_PT</vt:lpstr>
      <vt:lpstr>_7Day_28Day_250414_ (2)</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Robert Carucci</dc:creator>
  <cp:keywords/>
  <dc:description/>
  <cp:lastModifiedBy>Robert Carucci</cp:lastModifiedBy>
  <cp:revision/>
  <cp:lastPrinted>2025-03-03T00:55:41Z</cp:lastPrinted>
  <dcterms:created xsi:type="dcterms:W3CDTF">2015-06-05T18:17:20Z</dcterms:created>
  <dcterms:modified xsi:type="dcterms:W3CDTF">2025-06-11T01:09:57Z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0x010100601B980016700041A859C26B0CBE3010</vt:lpwstr>
  </property>
</Properties>
</file>