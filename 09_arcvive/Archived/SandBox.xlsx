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0.xml" ContentType="application/vnd.openxmlformats-officedocument.spreadsheetml.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tables/table13.xml" ContentType="application/vnd.openxmlformats-officedocument.spreadsheetml.table+xml"/>
  <Override PartName="/xl/queryTables/queryTable11.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queryTables/queryTable12.xml" ContentType="application/vnd.openxmlformats-officedocument.spreadsheetml.queryTable+xml"/>
  <Override PartName="/xl/tables/table18.xml" ContentType="application/vnd.openxmlformats-officedocument.spreadsheetml.table+xml"/>
  <Override PartName="/xl/queryTables/queryTable13.xml" ContentType="application/vnd.openxmlformats-officedocument.spreadsheetml.queryTable+xml"/>
  <Override PartName="/xl/tables/table19.xml" ContentType="application/vnd.openxmlformats-officedocument.spreadsheetml.table+xml"/>
  <Override PartName="/xl/queryTables/queryTable14.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harts/chart1.xml" ContentType="application/vnd.openxmlformats-officedocument.drawingml.chart+xml"/>
  <Override PartName="/xl/tables/table23.xml" ContentType="application/vnd.openxmlformats-officedocument.spreadsheetml.table+xml"/>
  <Override PartName="/xl/queryTables/queryTable15.xml" ContentType="application/vnd.openxmlformats-officedocument.spreadsheetml.queryTable+xml"/>
  <Override PartName="/xl/tables/table24.xml" ContentType="application/vnd.openxmlformats-officedocument.spreadsheetml.table+xml"/>
  <Override PartName="/xl/queryTables/queryTable16.xml" ContentType="application/vnd.openxmlformats-officedocument.spreadsheetml.queryTable+xml"/>
  <Override PartName="/xl/tables/table25.xml" ContentType="application/vnd.openxmlformats-officedocument.spreadsheetml.table+xml"/>
  <Override PartName="/xl/queryTables/queryTable17.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6.xml" ContentType="application/vnd.openxmlformats-officedocument.spreadsheetml.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tables/table27.xml" ContentType="application/vnd.openxmlformats-officedocument.spreadsheetml.table+xml"/>
  <Override PartName="/xl/queryTables/queryTable20.xml" ContentType="application/vnd.openxmlformats-officedocument.spreadsheetml.query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https://hackensack-my.sharepoint.com/personal/rcarucci_hackensackpd_org/Documents/_25_SCRPA/TIME_Based/"/>
    </mc:Choice>
  </mc:AlternateContent>
  <xr:revisionPtr revIDLastSave="0" documentId="13_ncr:1_{EDBAB88B-B15A-46FC-8182-901FA996543F}" xr6:coauthVersionLast="47" xr6:coauthVersionMax="47" xr10:uidLastSave="{00000000-0000-0000-0000-000000000000}"/>
  <bookViews>
    <workbookView xWindow="-108" yWindow="-108" windowWidth="23256" windowHeight="12456" tabRatio="746" firstSheet="20" activeTab="24" xr2:uid="{00000000-000D-0000-FFFF-FFFF00000000}"/>
  </bookViews>
  <sheets>
    <sheet name="Current_7D" sheetId="25" r:id="rId1"/>
    <sheet name="Current_28D" sheetId="26" r:id="rId2"/>
    <sheet name="Bur_Auto" sheetId="3" r:id="rId3"/>
    <sheet name="Bur_Auto_7D" sheetId="24" r:id="rId4"/>
    <sheet name="BUR_AUTO_PT" sheetId="12" r:id="rId5"/>
    <sheet name="Bur_C_R_28D (2)" sheetId="34" state="hidden" r:id="rId6"/>
    <sheet name="Bur_C_R" sheetId="4" r:id="rId7"/>
    <sheet name="Bur_C_R_7D" sheetId="32" r:id="rId8"/>
    <sheet name="Bur_C_R_28D" sheetId="33" r:id="rId9"/>
    <sheet name="BUR_C_R_PT" sheetId="11" r:id="rId10"/>
    <sheet name="MV_Theft" sheetId="6" r:id="rId11"/>
    <sheet name="_MV_THEFT_7DAY" sheetId="27" r:id="rId12"/>
    <sheet name="MV_THEFT_28D" sheetId="35" r:id="rId13"/>
    <sheet name="MV_THEFT_PT" sheetId="10" r:id="rId14"/>
    <sheet name="Robbery" sheetId="28" r:id="rId15"/>
    <sheet name="Robbery_28D" sheetId="36" r:id="rId16"/>
    <sheet name="_Robbery_7D" sheetId="29" r:id="rId17"/>
    <sheet name="ROB_PT" sheetId="8" r:id="rId18"/>
    <sheet name="Sexual_Offenses" sheetId="7" r:id="rId19"/>
    <sheet name="Sex_Off_7D" sheetId="30" r:id="rId20"/>
    <sheet name="Sex_Off_28D" sheetId="37" r:id="rId21"/>
    <sheet name="SEXUAL_PT" sheetId="9" r:id="rId22"/>
    <sheet name="ESRI_Export" sheetId="39" r:id="rId23"/>
    <sheet name="Invoked Function" sheetId="40" r:id="rId24"/>
    <sheet name="EXPORT_RMS" sheetId="2" r:id="rId25"/>
    <sheet name="_7Day_28Day_250414_ (2)" sheetId="31" state="hidden" r:id="rId26"/>
    <sheet name="_7Day_28Day_250414_" sheetId="22" r:id="rId27"/>
  </sheets>
  <definedNames>
    <definedName name="ExternalData_1" localSheetId="26" hidden="1">'_7Day_28Day_250414_'!$A$1:$F$53</definedName>
    <definedName name="ExternalData_1" localSheetId="25" hidden="1">'_7Day_28Day_250414_ (2)'!$A$1:$G$53</definedName>
    <definedName name="ExternalData_1" localSheetId="11" hidden="1">_MV_THEFT_7DAY!$A$1:$L$2</definedName>
    <definedName name="ExternalData_1" localSheetId="16" hidden="1">'_Robbery_7D'!$A$1:$P$2</definedName>
    <definedName name="ExternalData_1" localSheetId="24" hidden="1">EXPORT_RMS!$A$1:$AK$717</definedName>
    <definedName name="ExternalData_2" localSheetId="2" hidden="1">Bur_Auto!$A$1:$AS$13</definedName>
    <definedName name="ExternalData_2" localSheetId="3" hidden="1">Bur_Auto_7D!#REF!</definedName>
    <definedName name="ExternalData_2" localSheetId="4" hidden="1">BUR_AUTO_PT!#REF!</definedName>
    <definedName name="ExternalData_2" localSheetId="22" hidden="1">ESRI_Export!$A$1:$BA$61</definedName>
    <definedName name="ExternalData_2" localSheetId="23">'Invoked Function'!$A$1</definedName>
    <definedName name="ExternalData_2" localSheetId="14" hidden="1">'Robbery'!$A$1:$AT$10</definedName>
    <definedName name="ExternalData_2" localSheetId="15" hidden="1">'Robbery_28D'!$A$1:$P$2</definedName>
    <definedName name="ExternalData_3" localSheetId="3" hidden="1">Bur_Auto_7D!$A$1:$O$2</definedName>
    <definedName name="ExternalData_3" localSheetId="6" hidden="1">Bur_C_R!$A$1:$BB$13</definedName>
    <definedName name="ExternalData_3" localSheetId="9" hidden="1">BUR_C_R_PT!$M$1:$BN$11</definedName>
    <definedName name="ExternalData_3" localSheetId="20" hidden="1">Sex_Off_28D!$A$1:$O$2</definedName>
    <definedName name="ExternalData_4" localSheetId="7" hidden="1">Bur_C_R_7D!$A$1:$M$3</definedName>
    <definedName name="ExternalData_4" localSheetId="0" hidden="1">'Current_7D'!$A$1:$AV$6</definedName>
    <definedName name="ExternalData_5" localSheetId="8" hidden="1">Bur_C_R_28D!$A$1:$M$7</definedName>
    <definedName name="ExternalData_5" localSheetId="1" hidden="1">Current_28D!$A$1:$AV$22</definedName>
    <definedName name="ExternalData_5" localSheetId="10" hidden="1">MV_Theft!$A$1:$BC$15</definedName>
    <definedName name="ExternalData_5" localSheetId="12" hidden="1">MV_THEFT_28D!$A$1:$L$2</definedName>
    <definedName name="ExternalData_6" localSheetId="5" hidden="1">'Bur_C_R_28D (2)'!$A$1:$H$7</definedName>
    <definedName name="ExternalData_6" localSheetId="18" hidden="1">Sexual_Offenses!$A$1:$BB$7</definedName>
    <definedName name="ExternalData_7" localSheetId="19" hidden="1">Sex_Off_7D!$A$1:$O$2</definedName>
  </definedNames>
  <calcPr calcId="191028"/>
  <pivotCaches>
    <pivotCache cacheId="0" r:id="rId28"/>
    <pivotCache cacheId="1" r:id="rId29"/>
    <pivotCache cacheId="2" r:id="rId30"/>
    <pivotCache cacheId="3" r:id="rId31"/>
    <pivotCache cacheId="4" r:id="rId3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9" l="1" a="1"/>
  <c r="J13" i="9" s="1"/>
  <c r="A13" i="9" a="1"/>
  <c r="A13" i="9" s="1"/>
  <c r="J14" i="8" a="1"/>
  <c r="J14" i="8" s="1"/>
  <c r="A14" i="8" a="1"/>
  <c r="A14" i="8" s="1"/>
  <c r="A33" i="11" a="1"/>
  <c r="A33" i="11" s="1"/>
  <c r="A15" i="11" a="1"/>
  <c r="A15" i="11" s="1"/>
  <c r="A35" i="12" a="1"/>
  <c r="A35" i="12" s="1"/>
  <c r="A17" i="12" a="1"/>
  <c r="A17" i="12" s="1"/>
  <c r="G53" i="22"/>
  <c r="G52" i="22"/>
  <c r="G51" i="22"/>
  <c r="G50" i="22"/>
  <c r="G49" i="22"/>
  <c r="G48" i="22"/>
  <c r="G47"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 i="22"/>
  <c r="G3" i="22"/>
  <c r="G2"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93118B-3E6E-4041-B699-33E7DCE83C0A}" keepAlive="1" name="Query - _7Day_28Day_250414_" description="Connection to the '_7Day_28Day_250414_' query in the workbook." type="5" refreshedVersion="8" background="1" saveData="1">
    <dbPr connection="Provider=Microsoft.Mashup.OleDb.1;Data Source=$Workbook$;Location=_7Day_28Day_250414_;Extended Properties=&quot;&quot;" command="SELECT * FROM [_7Day_28Day_250414_]"/>
  </connection>
  <connection id="2" xr16:uid="{EA0072ED-832C-429A-9FCE-38975CDE78AF}" keepAlive="1" name="Query - Bur_Auto" description="Connection to the 'Bur_Auto' query in the workbook." type="5" refreshedVersion="8" background="1" saveData="1">
    <dbPr connection="Provider=Microsoft.Mashup.OleDb.1;Data Source=$Workbook$;Location=Bur_Auto;Extended Properties=&quot;&quot;" command="SELECT * FROM [Bur_Auto]"/>
  </connection>
  <connection id="3" xr16:uid="{19116F90-9B7A-4FB2-AC84-667F776E503D}" keepAlive="1" name="Query - Bur_Auto_28D" description="Connection to the 'Bur_Auto_28D' query in the workbook." type="5" refreshedVersion="8" background="1" saveData="1">
    <dbPr connection="Provider=Microsoft.Mashup.OleDb.1;Data Source=$Workbook$;Location=Bur_Auto_28D;Extended Properties=&quot;&quot;" command="SELECT * FROM [Bur_Auto_28D]"/>
  </connection>
  <connection id="4" xr16:uid="{CDC0DC32-E900-4F76-B9E6-B6338BB07DE3}" keepAlive="1" name="Query - Bur_Auto_7D" description="Connection to the 'Bur_Auto_7D' query in the workbook." type="5" refreshedVersion="8" background="1" saveData="1">
    <dbPr connection="Provider=Microsoft.Mashup.OleDb.1;Data Source=$Workbook$;Location=Bur_Auto_7D;Extended Properties=&quot;&quot;" command="SELECT * FROM [Bur_Auto_7D]"/>
  </connection>
  <connection id="5" xr16:uid="{E939293C-6DC8-4249-873B-9B7663FA4F30}" keepAlive="1" name="Query - Bur_C_R" description="Connection to the 'Bur_C_R' query in the workbook." type="5" refreshedVersion="8" background="1" saveData="1">
    <dbPr connection="Provider=Microsoft.Mashup.OleDb.1;Data Source=$Workbook$;Location=Bur_C_R;Extended Properties=&quot;&quot;" command="SELECT * FROM [Bur_C_R]"/>
  </connection>
  <connection id="6" xr16:uid="{0252A688-57B5-406C-A661-4CC36F62F4A4}" keepAlive="1" name="Query - Bur_C_R_28D" description="Connection to the 'Bur_C_R_28D' query in the workbook." type="5" refreshedVersion="8" background="1" saveData="1">
    <dbPr connection="Provider=Microsoft.Mashup.OleDb.1;Data Source=$Workbook$;Location=Bur_C_R_28D;Extended Properties=&quot;&quot;" command="SELECT * FROM [Bur_C_R_28D]"/>
  </connection>
  <connection id="7" xr16:uid="{58EF1329-ABC4-43BE-9F06-A4515FD6DA2C}" keepAlive="1" name="Query - Bur_C_R_7D" description="Connection to the 'Bur_C_R_7D' query in the workbook." type="5" refreshedVersion="8" background="1" saveData="1">
    <dbPr connection="Provider=Microsoft.Mashup.OleDb.1;Data Source=$Workbook$;Location=Bur_C_R_7D;Extended Properties=&quot;&quot;" command="SELECT * FROM [Bur_C_R_7D]"/>
  </connection>
  <connection id="8" xr16:uid="{D4DCD111-752A-40C8-A46C-60C534A946D8}" keepAlive="1" name="Query - Current_28D" description="Connection to the 'Current_28D' query in the workbook." type="5" refreshedVersion="8" background="1" saveData="1">
    <dbPr connection="Provider=Microsoft.Mashup.OleDb.1;Data Source=$Workbook$;Location=Current_28D;Extended Properties=&quot;&quot;" command="SELECT * FROM [Current_28D]"/>
  </connection>
  <connection id="9" xr16:uid="{41BA2DA0-A83F-41EC-A867-FFF8B939D9E5}" keepAlive="1" name="Query - Current_7D" description="Connection to the 'Current_7D' query in the workbook." type="5" refreshedVersion="8" background="1" saveData="1">
    <dbPr connection="Provider=Microsoft.Mashup.OleDb.1;Data Source=$Workbook$;Location=Current_7D;Extended Properties=&quot;&quot;" command="SELECT * FROM [Current_7D]"/>
  </connection>
  <connection id="10" xr16:uid="{44A5ED86-19DC-4DA4-AD89-32F759B0F066}" keepAlive="1" name="Query - ESRI_Export" description="Connection to the 'ESRI_Export' query in the workbook." type="5" refreshedVersion="8" background="1" saveData="1">
    <dbPr connection="Provider=Microsoft.Mashup.OleDb.1;Data Source=$Workbook$;Location=ESRI_Export;Extended Properties=&quot;&quot;" command="SELECT * FROM [ESRI_Export]"/>
  </connection>
  <connection id="11" xr16:uid="{03A5906A-4CA8-4C73-AD11-E0976737A902}" keepAlive="1" name="Query - EXPORT_RMS" description="Connection to the 'EXPORT_RMS' query in the workbook." type="5" refreshedVersion="8" background="1" saveData="1">
    <dbPr connection="Provider=Microsoft.Mashup.OleDb.1;Data Source=$Workbook$;Location=EXPORT_RMS;Extended Properties=&quot;&quot;" command="SELECT * FROM [EXPORT_RMS]"/>
  </connection>
  <connection id="12" xr16:uid="{64254351-F874-412F-B5A6-65600380F8EE}" keepAlive="1" name="Query - fnExtractAfterKeyword" description="Connection to the 'fnExtractAfterKeyword' query in the workbook." type="5" refreshedVersion="0" background="1">
    <dbPr connection="Provider=Microsoft.Mashup.OleDb.1;Data Source=$Workbook$;Location=fnExtractAfterKeyword;Extended Properties=&quot;&quot;" command="SELECT * FROM [fnExtractAfterKeyword]"/>
  </connection>
  <connection id="13" xr16:uid="{ACFBC5C6-EB09-400D-A430-C820CB78095A}" keepAlive="1" name="Query - Invoked Function" description="Connection to the 'Invoked Function' query in the workbook." type="5" refreshedVersion="0" background="1" saveData="1">
    <dbPr connection="Provider=Microsoft.Mashup.OleDb.1;Data Source=$Workbook$;Location=&quot;Invoked Function&quot;;Extended Properties=&quot;&quot;" command="SELECT * FROM [Invoked Function]"/>
  </connection>
  <connection id="14" xr16:uid="{9241D73E-215C-4301-A693-1097E89404D9}" keepAlive="1" name="Query - MV_Theft" description="Connection to the 'MV_Theft' query in the workbook." type="5" refreshedVersion="8" background="1" saveData="1">
    <dbPr connection="Provider=Microsoft.Mashup.OleDb.1;Data Source=$Workbook$;Location=MV_Theft;Extended Properties=&quot;&quot;" command="SELECT * FROM [MV_Theft]"/>
  </connection>
  <connection id="15" xr16:uid="{3B76B399-C9F2-4998-8F84-55F8CC74E54E}" keepAlive="1" name="Query - MV_THEFT_28D" description="Connection to the 'MV_THEFT_28D' query in the workbook." type="5" refreshedVersion="8" background="1" saveData="1">
    <dbPr connection="Provider=Microsoft.Mashup.OleDb.1;Data Source=$Workbook$;Location=MV_THEFT_28D;Extended Properties=&quot;&quot;" command="SELECT * FROM [MV_THEFT_28D]"/>
  </connection>
  <connection id="16" xr16:uid="{62E07BCB-FA72-4FB5-9C2E-25CE2CB945DC}" keepAlive="1" name="Query - MV_THEFT_7D" description="Connection to the 'MV_THEFT_7D' query in the workbook." type="5" refreshedVersion="8" background="1" saveData="1">
    <dbPr connection="Provider=Microsoft.Mashup.OleDb.1;Data Source=$Workbook$;Location=MV_THEFT_7D;Extended Properties=&quot;&quot;" command="SELECT * FROM [MV_THEFT_7D]"/>
  </connection>
  <connection id="17" xr16:uid="{12EA993F-6343-4693-B798-EF2B18165E5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8" xr16:uid="{14E7BA4E-99B6-49FF-88CB-09E24D63324C}" keepAlive="1" name="Query - Robbery" description="Connection to the 'Robbery' query in the workbook." type="5" refreshedVersion="8" background="1" saveData="1">
    <dbPr connection="Provider=Microsoft.Mashup.OleDb.1;Data Source=$Workbook$;Location=Robbery;Extended Properties=&quot;&quot;" command="SELECT * FROM [Robbery]"/>
  </connection>
  <connection id="19" xr16:uid="{95C63C6D-1278-47D5-A423-BAD5240B68C8}" keepAlive="1" name="Query - Robbery_28D" description="Connection to the 'Robbery_28D' query in the workbook." type="5" refreshedVersion="8" background="1" saveData="1">
    <dbPr connection="Provider=Microsoft.Mashup.OleDb.1;Data Source=$Workbook$;Location=Robbery_28D;Extended Properties=&quot;&quot;" command="SELECT * FROM [Robbery_28D]"/>
  </connection>
  <connection id="20" xr16:uid="{B02B1BD9-AF3D-4975-AC20-CF5A3EBE20C1}" keepAlive="1" name="Query - Robbery_7D" description="Connection to the 'Robbery_7D' query in the workbook." type="5" refreshedVersion="8" background="1" saveData="1">
    <dbPr connection="Provider=Microsoft.Mashup.OleDb.1;Data Source=$Workbook$;Location=Robbery_7D;Extended Properties=&quot;&quot;" command="SELECT * FROM [Robbery_7D]"/>
  </connection>
  <connection id="21" xr16:uid="{6A029052-2F38-42F3-9FCD-B69A88E9FB8F}"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22" xr16:uid="{62140C14-C134-4FF6-AFA9-FCC945DD5E24}" keepAlive="1" name="Query - Sex_Off_28D" description="Connection to the 'Sex_Off_28D' query in the workbook." type="5" refreshedVersion="8" background="1" saveData="1">
    <dbPr connection="Provider=Microsoft.Mashup.OleDb.1;Data Source=$Workbook$;Location=Sex_Off_28D;Extended Properties=&quot;&quot;" command="SELECT * FROM [Sex_Off_28D]"/>
  </connection>
  <connection id="23" xr16:uid="{6E8245EF-28A7-4BA0-BAF8-0DC8913AAF0D}" keepAlive="1" name="Query - Sex_Off_7D" description="Connection to the 'Sex_Off_7D' query in the workbook." type="5" refreshedVersion="8" background="1" saveData="1">
    <dbPr connection="Provider=Microsoft.Mashup.OleDb.1;Data Source=$Workbook$;Location=Sex_Off_7D;Extended Properties=&quot;&quot;" command="SELECT * FROM [Sex_Off_7D]"/>
  </connection>
  <connection id="24" xr16:uid="{C4BFF245-EC0C-49A9-9868-AE2F36E3C877}" keepAlive="1" name="Query - Sexual_Offenses" description="Connection to the 'Sexual_Offenses' query in the workbook." type="5" refreshedVersion="8" background="1" saveData="1">
    <dbPr connection="Provider=Microsoft.Mashup.OleDb.1;Data Source=$Workbook$;Location=Sexual_Offenses;Extended Properties=&quot;&quot;" command="SELECT * FROM [Sexual_Offenses]"/>
  </connection>
  <connection id="25" xr16:uid="{39F68754-F667-4327-82C8-247F99A03A63}" keepAlive="1" name="Query - TestBur_C_R_28D (2)" description="Connection to the 'TestBur_C_R_28D (2)' query in the workbook." type="5" refreshedVersion="8" background="1" saveData="1">
    <dbPr connection="Provider=Microsoft.Mashup.OleDb.1;Data Source=$Workbook$;Location=&quot;TestBur_C_R_28D (2)&quot;;Extended Properties=&quot;&quot;" command="SELECT * FROM [TestBur_C_R_28D (2)]"/>
  </connection>
  <connection id="26" xr16:uid="{6B0C8447-4982-486A-BB43-7E498D61E2F3}" keepAlive="1" name="Query - Transform_File" description="Connection to the 'Transform_File' query in the workbook." type="5" refreshedVersion="0" background="1">
    <dbPr connection="Provider=Microsoft.Mashup.OleDb.1;Data Source=$Workbook$;Location=Transform_File;Extended Properties=&quot;&quot;" command="SELECT * FROM [Transform_Fi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<sst xmlns="http://schemas.openxmlformats.org/spreadsheetml/2006/main" count="18543" uniqueCount="1035">
  <si>
    <t>Case Number</t>
  </si>
  <si>
    <t>INC_DATE</t>
  </si>
  <si>
    <t>TOD</t>
  </si>
  <si>
    <t>Start of Hour</t>
  </si>
  <si>
    <t>INC_TIME</t>
  </si>
  <si>
    <t>Day Name</t>
  </si>
  <si>
    <t>Month Name</t>
  </si>
  <si>
    <t>BLOCK</t>
  </si>
  <si>
    <t>Location</t>
  </si>
  <si>
    <t>Incident Type_1</t>
  </si>
  <si>
    <t>ALL_INCIDENTS</t>
  </si>
  <si>
    <t>Incident Type_2</t>
  </si>
  <si>
    <t>Incident Type_3</t>
  </si>
  <si>
    <t>FullAddress</t>
  </si>
  <si>
    <t>Grid</t>
  </si>
  <si>
    <t>Zone</t>
  </si>
  <si>
    <t>Narrative</t>
  </si>
  <si>
    <t>Total Value Stolen</t>
  </si>
  <si>
    <t>Total Value Recover</t>
  </si>
  <si>
    <t>Registration 1</t>
  </si>
  <si>
    <t>Make1</t>
  </si>
  <si>
    <t>Model1</t>
  </si>
  <si>
    <t>Reg State 1</t>
  </si>
  <si>
    <t>Registration 2</t>
  </si>
  <si>
    <t>Reg State 2</t>
  </si>
  <si>
    <t>Make2</t>
  </si>
  <si>
    <t>Model2</t>
  </si>
  <si>
    <t>Reviewed By</t>
  </si>
  <si>
    <t>CompleteCalc</t>
  </si>
  <si>
    <t>Officer of Record</t>
  </si>
  <si>
    <t>Squad</t>
  </si>
  <si>
    <t>Det_Assigned</t>
  </si>
  <si>
    <t>Case_Status</t>
  </si>
  <si>
    <t>NIBRS Classification</t>
  </si>
  <si>
    <t>CASE_NUMBER_LENGTH</t>
  </si>
  <si>
    <t>Incident Date</t>
  </si>
  <si>
    <t>Incident Time</t>
  </si>
  <si>
    <t>Incident Date_Between</t>
  </si>
  <si>
    <t>Incident Time_Between</t>
  </si>
  <si>
    <t>Report Date</t>
  </si>
  <si>
    <t>Report Time</t>
  </si>
  <si>
    <t>Year</t>
  </si>
  <si>
    <t>Week of Year</t>
  </si>
  <si>
    <t>Week of Month</t>
  </si>
  <si>
    <t>Day</t>
  </si>
  <si>
    <t>Day of Year</t>
  </si>
  <si>
    <t>INC_DATE_AND_TIME</t>
  </si>
  <si>
    <t>St#</t>
  </si>
  <si>
    <t>VEHICLE</t>
  </si>
  <si>
    <t>Suspect</t>
  </si>
  <si>
    <t>TOTAL_STOLEN_AMOUNT</t>
  </si>
  <si>
    <t>REPORT_CYCLE</t>
  </si>
  <si>
    <t>TIME_OF_DAY</t>
  </si>
  <si>
    <t>25-002635</t>
  </si>
  <si>
    <t>12:00-15:59 Afternoon</t>
  </si>
  <si>
    <t>January</t>
  </si>
  <si>
    <t>Prospect Ave, 0 Block</t>
  </si>
  <si>
    <t>90 Prospect Avenue</t>
  </si>
  <si>
    <t>Burglary - Auto</t>
  </si>
  <si>
    <t/>
  </si>
  <si>
    <t>90 Prospect Avenue, Hackensack, NJ, 07601</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</si>
  <si>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t>
  </si>
  <si>
    <t>XCSW43</t>
  </si>
  <si>
    <t>HONDA</t>
  </si>
  <si>
    <t>PIL</t>
  </si>
  <si>
    <t>NJ</t>
  </si>
  <si>
    <t>Deleon_A</t>
  </si>
  <si>
    <t>Complete</t>
  </si>
  <si>
    <t>P.O. Ruben Almonte 359</t>
  </si>
  <si>
    <t>A3</t>
  </si>
  <si>
    <t>Det. Matthew DeBonis 325</t>
  </si>
  <si>
    <t>Active/Administratively Closed</t>
  </si>
  <si>
    <t>23F = Theft From Motor Vehicle</t>
  </si>
  <si>
    <t>Vehicle 1: NJ-XCSW43 HONDA, PIL</t>
  </si>
  <si>
    <t>suspect(s): unknown suspect may be her husband uri darzi whom she is currently in a civil lawsuit with</t>
  </si>
  <si>
    <t>$5,000.00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t>
  </si>
  <si>
    <t>Afternoon (12:00-15:59)</t>
  </si>
  <si>
    <t>25-007074</t>
  </si>
  <si>
    <t>16:00-19:59 Evening Peak</t>
  </si>
  <si>
    <t>Stanley Pl, 200 Block</t>
  </si>
  <si>
    <t>206 Stanley Place</t>
  </si>
  <si>
    <t>Burglary - Auto, Theft</t>
  </si>
  <si>
    <t>Theft</t>
  </si>
  <si>
    <t>206 Stanley Place, Hackensack, NJ, 07601</t>
  </si>
  <si>
    <t>H3</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</si>
  <si>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t>
  </si>
  <si>
    <t>R36GBB</t>
  </si>
  <si>
    <t>CRV</t>
  </si>
  <si>
    <t>Levis_R</t>
  </si>
  <si>
    <t>P.O. Massimo Gallorini 379</t>
  </si>
  <si>
    <t>A2</t>
  </si>
  <si>
    <t>Sgt. Franklin Bay 162</t>
  </si>
  <si>
    <t>No Investigation</t>
  </si>
  <si>
    <t>Vehicle 1: NJ-R36GBB HONDA, CRV</t>
  </si>
  <si>
    <t>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t>
  </si>
  <si>
    <t>Evening Peak (16:00-19:59)</t>
  </si>
  <si>
    <t>25-007197</t>
  </si>
  <si>
    <t>20:00-23:59 Night</t>
  </si>
  <si>
    <t>Pangborn Pl, 0 Block</t>
  </si>
  <si>
    <t>5 Pangborn Place</t>
  </si>
  <si>
    <t>5 Pangborn Place, Hackensack, NJ, 07601</t>
  </si>
  <si>
    <t>H2</t>
  </si>
  <si>
    <t>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t>
  </si>
  <si>
    <t>R97RYW</t>
  </si>
  <si>
    <t>ODY</t>
  </si>
  <si>
    <t>P.O. Micah Gibson 365</t>
  </si>
  <si>
    <t>Det. Matthew Dogali 338</t>
  </si>
  <si>
    <t>Vehicle 1: NJ-R97RYW HONDA, ODY</t>
  </si>
  <si>
    <t>$200.00.    The vehicle was parked on Conklin Place, 150 feet east of Pangborn Place, facing west</t>
  </si>
  <si>
    <t>Night (20:00-23:59)</t>
  </si>
  <si>
    <t>25-012325</t>
  </si>
  <si>
    <t>February</t>
  </si>
  <si>
    <t>East Pleasantview Avenue &amp; Kipp Street</t>
  </si>
  <si>
    <t>East Pleasantview Avenue &amp; Kipp Street, Hackensack, NJ, 07601</t>
  </si>
  <si>
    <t>F3</t>
  </si>
  <si>
    <t>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t>
  </si>
  <si>
    <t>XGDR55</t>
  </si>
  <si>
    <t>FORD</t>
  </si>
  <si>
    <t>R1Z</t>
  </si>
  <si>
    <t>Swetits_M</t>
  </si>
  <si>
    <t>P.O. Angelo Vicale 370</t>
  </si>
  <si>
    <t>B3</t>
  </si>
  <si>
    <t>Det. Demetrius Carroll 133</t>
  </si>
  <si>
    <t>Active Investigation</t>
  </si>
  <si>
    <t>Vehicle 1: NJ-XGDR55 FORD, R1Z</t>
  </si>
  <si>
    <t>suspect(s) were able to unlock the door from the inside and enter the vehicle</t>
  </si>
  <si>
    <t>$3,000.001-Heath RMLD- Approximately  $8,000.001-Heath gas detector- Approximately  $5,000.00                                            Approximate amount stolen:  $16,000.00    I did not observe any cameras in the area and the PSE&amp;G vehicle is self insured.</t>
  </si>
  <si>
    <t>(All)</t>
  </si>
  <si>
    <t>Count of Case Number</t>
  </si>
  <si>
    <t>25-004478</t>
  </si>
  <si>
    <t>Second St, 0 Block</t>
  </si>
  <si>
    <t>30 Second Street</t>
  </si>
  <si>
    <t>Burglary - Residence</t>
  </si>
  <si>
    <t>30 Second Street, Hackensack, NJ, 07601</t>
  </si>
  <si>
    <t>G3</t>
  </si>
  <si>
    <t>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</si>
  <si>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P.O. Aziah Miller 357</t>
  </si>
  <si>
    <t>220 = Burglary/Breaking &amp; Entering</t>
  </si>
  <si>
    <t>suspects at the time this report was taken</t>
  </si>
  <si>
    <t>$35.00. A Victim Notification was completed and the victim was provided with a copy upon our departure</t>
  </si>
  <si>
    <t>25-006864</t>
  </si>
  <si>
    <t>08:00-11:59 Morning Peak</t>
  </si>
  <si>
    <t>Kansas St, 0 Block</t>
  </si>
  <si>
    <t>60 Kansas Street</t>
  </si>
  <si>
    <t>60 Kansas Street, Hackensack, NJ, 07601</t>
  </si>
  <si>
    <t>E1</t>
  </si>
  <si>
    <t>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t>
  </si>
  <si>
    <t>P.O. Andres Lopez 375</t>
  </si>
  <si>
    <t>suspects inside</t>
  </si>
  <si>
    <t>$2,000 in miscellaneous jewelry. She described the jewelry to be earrings and gold necklaces.The victim reported she had the same incident occur in 2023</t>
  </si>
  <si>
    <t>Morning Peak (08:00-11:59)</t>
  </si>
  <si>
    <t>25-008551</t>
  </si>
  <si>
    <t>The Esplanade, 200 Block</t>
  </si>
  <si>
    <t>292 The Esplanade</t>
  </si>
  <si>
    <t>292 The Esplanade, Hackensack, NJ, 07601</t>
  </si>
  <si>
    <t>H5</t>
  </si>
  <si>
    <t>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t>
  </si>
  <si>
    <t>Klosk_J</t>
  </si>
  <si>
    <t>P.O. Denisse Caero 367</t>
  </si>
  <si>
    <t>B2</t>
  </si>
  <si>
    <t>Det. John Tanucilli 335</t>
  </si>
  <si>
    <t>25-009831</t>
  </si>
  <si>
    <t>00:00-03:59 Early Morning</t>
  </si>
  <si>
    <t>Passaic St, 400 Block</t>
  </si>
  <si>
    <t>441 Passaic Street</t>
  </si>
  <si>
    <t>Burglary - Commercial</t>
  </si>
  <si>
    <t>Burglary - Commercial, Alarm - Burglar</t>
  </si>
  <si>
    <t>Alarm - Burglar</t>
  </si>
  <si>
    <t>441 Passaic Street, Hackensack, NJ, 07601</t>
  </si>
  <si>
    <t>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t>
  </si>
  <si>
    <t>P.O. Benjamin Estrada 350</t>
  </si>
  <si>
    <t>Det. Frank Scarpa 348</t>
  </si>
  <si>
    <t>Early Morning (00:00-03:59)</t>
  </si>
  <si>
    <t>25-013147</t>
  </si>
  <si>
    <t>35 Pangborn Place</t>
  </si>
  <si>
    <t>Burglary - Commercial, Suspicious Incident</t>
  </si>
  <si>
    <t>Suspicious Incident</t>
  </si>
  <si>
    <t>35 Pangborn Place, Hackensack, NJ, 07601</t>
  </si>
  <si>
    <t>I1</t>
  </si>
  <si>
    <t>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t>
  </si>
  <si>
    <t>Sgt. Francesco Tripodi 134</t>
  </si>
  <si>
    <t>Under Supervisor Review</t>
  </si>
  <si>
    <t>suspect(s): unknown     i responded to the listed location, 35 pangborn place - hackensack emergency dental, on a report of a burglary</t>
  </si>
  <si>
    <t>$100.00 USD) and a Keep Connect Router Reporter ( $50.00) had been a taken from the basement. The complainant further stated there did not appear to be any forced entry into the basement $150.00 USD</t>
  </si>
  <si>
    <t>25-003745</t>
  </si>
  <si>
    <t>Main St, 800 Block</t>
  </si>
  <si>
    <t>895 Main Street</t>
  </si>
  <si>
    <t>Burglary - Residence, Harassment, Domestic Violence</t>
  </si>
  <si>
    <t>Harassment</t>
  </si>
  <si>
    <t>Domestic Violence</t>
  </si>
  <si>
    <t>895 Main Street, Hackensack, NJ, 07601</t>
  </si>
  <si>
    <t>I5</t>
  </si>
  <si>
    <t>On Tuesday, 01/14/2025, P.O. Rivera and I responded to 895 Main Street apartment 12A for a Domestic Violence incident report. Mrs. Charmaine Perez (victim) is the mother of Mr. Christopher Pereira (suspect). Mr. Eusebia Perez (witness) is married to the victim and stepfather to the suspect.      The victim reported that the suspect has not lived at the apartment for approximately three (3) months. The suspect does not have key access to the apartment. There is a vestibule, which is kept locked, that leads to a first and second floor apartment. The victim's apartment is on the first floor.       The victim reported that the suspect broke into the apartment uninvited and continued into her bedroom, where she was located. The suspect was irate, confronted her about money that she was awarded from a lawsuit settlement. The suspect stated, " BITCH, DON'T MESS WITH THE GRANDKIDS, DO YOU KNOW WHO THAT NIGGA IS ON THE COUCH, STAY THE FUCK AWAY FROM ME!" The victim reported at the time her granddaughter, Ms. Keka Ornsby, and her boyfriend were seated on the couch when the suspect entered. The victim reported that the suspect did not engage with Ms. Keka Ornsby. It should be noted, Ms. Ornsby's mother has an active temporary restraining order (Docket #FV-02000101-11 against the suspect. Ms. Ornsby is listed as an additional person in the order. The victim reported that Ms. Ornsby began staying with her for approximately three (3) weeks. Due to the statements the victim made, we did not sign a complaint against suspect for 2C:29-9 (Contempt of court).       The victim reported when the suspect exited the bedroom, the granddaughter and her boyfriend left and the witness entered the apartment. The witness reported that he avoided confrontation from the suspect by exiting the apartment. The witness was unaware the suspect was inside and the victim confirmed his reporting. It should be noted, the suspect has a no contact order against the witness (See complaint #W2024-000767-0223). Due to the victim's and witness's statement, we did not sign a complaint against the witness for 2C:29-9 (Contempt of court).      Sgt. Williams arrived to assist. The victim believed the suspect used a credit card to gain entry into the apartment. The vestibule door and apartment door had old damage near the doorknob and strike plate. The victim confirmed our observation. Sgt. Detective Bay was notified. The scene was unable to be processed, but was captured by my body worn camera.      The victim wanted a temporary restraining order and willing to give a recorded statement. She was transported to headquarters, gave a recorded statement to detectives (See their supplement), and Judge Takvorian granted the TRO in report room #2 @1342 hours. Sgt. Feuilly was sent an e-mail to preserve the recording. The victim was given her copy of the TRO. She did not want to speak with a Domestic Violence Response member, but was provided their phone number. A voluntary handwritten form was not completed because she gave a recorded statement. A New Jersey Victim notification form was completed.      Lt. Knapp authored complaint #W-0223-2025-000014 for 2C:33-4C (Harassment), a petty disorderly persons offense, and 2C:18-2A(1) (Burglary), a third degree crime.</t>
  </si>
  <si>
    <t>Knapp_J</t>
  </si>
  <si>
    <t>P.O. Kevin Small 328</t>
  </si>
  <si>
    <t>Complaint Signed</t>
  </si>
  <si>
    <t>suspect) suspect suspect has not lived at the apartment for approximately three (3) months suspect does not have key access to the apartment suspect broke into the apartment uninvited and continued into her bedroom, where she was located suspect was irate, confronted her about money that she was awarded from a lawsuit settlement suspect stated, " bitch, don't mess with the grandkids, do you know who that nigga is on the couch, stay the fuck away from me!" the victim reported at the time her granddaughter, ms suspect entered suspect did not engage with ms suspect suspect for 2c:29-9 (contempt of court) suspect exited the bedroom, the granddaughter and her boyfriend left and the witness entered the apartment suspect by exiting the apartment suspect was inside and the victim confirmed his reporting suspect has a no contact order against the witness (see complaint #w2024-000767-0223) suspect used a credit card to gain entry into the apartment</t>
  </si>
  <si>
    <t>25-004288</t>
  </si>
  <si>
    <t>Bonhomme St, 100 Block</t>
  </si>
  <si>
    <t>152 Bonhomme Street</t>
  </si>
  <si>
    <t>Violation of Court Order</t>
  </si>
  <si>
    <t>Violation of Court Order, Burglary - Residence, Harassment</t>
  </si>
  <si>
    <t>152 Bonhomme Street, Hackensack, NJ, 07601</t>
  </si>
  <si>
    <t>E2</t>
  </si>
  <si>
    <t>The victim and the suspect were prviously in a two year relationship.  The two never resided together and have no children in common.     P.O. McCarthy and I responded to the listed location on a report of a violation of a court order.  Upon arrival, we met with the victim,  Johnathan Arroyo, who reported hearing a loud bang from the basement door.  After hearing the loud bang, he began to hear his ex-girlfriend, Ashley Celdo Rodriguez, start to scream while standing in the basement.  That's when his brother, David Arroyo, and the victim exit their bedrooms and witness the suspect inside of the house.  Both parties grabbed the suspect and escorted her out of the house.  Once outside, the suspect ran toward the backyard fence and climbed over before our arrival on the scene.  While on the scene, I observed the door frame trim to be damaged.  The victim estimated that the cost to fix the door was $200.00.  P.O. Mcarthy and P.O. Lopez-Amaya arrived to assist and conducted a check of the area.     While on the scene, I observed several surveillance cameras on the residence's exterior.  They showed me the footage of the suspect entering the rear yard and walking to the basement door of the house.  I provided the victim with my departmental e-mail address so that the video footage could be sent.        I contacted police headquarters to see if any active restraining orders were in place.  They advised me that three no-contact orders were in place.  I asked if the victim wanted the scene processed, but he did not want it done.  I asked the victim if he wanted to apply for a restraining order at this time, which he denied.  He also wanted to speak with a DVRT member at a later time.  I provided the victim with the telephone number.  I completed the New Jersey victim notification form and domestic violence supplement were completed.   The victim refused to complete a voluntary handwritten statement.  While at police headquarters, P.O. McCarthy, P.O. Vicale, and P.O. Lopez-Amaya located the suspect. See their supplements for further information.       Arrestee was charged with 2C:29-17-3A(1), 2C:33-4A, 2C:18-2A(1), 2C:29-2A(1) and 3 counts of 2C:29-9A(1) on 0223-W-2025-000023</t>
  </si>
  <si>
    <t>P.O. Daniel Francavilla 329</t>
  </si>
  <si>
    <t>B4</t>
  </si>
  <si>
    <t>suspect were prviously in a two year relationship suspect inside of the house suspect and escorted her out of the house suspect ran toward the backyard fence and climbed over before our arrival on the scene suspect entering the rear yard and walking to the basement door of the house suspect</t>
  </si>
  <si>
    <t>$200.00.  P</t>
  </si>
  <si>
    <t>(Multiple Items)</t>
  </si>
  <si>
    <t>25-000813</t>
  </si>
  <si>
    <t>Lookout Ave, 300 Block</t>
  </si>
  <si>
    <t>309 Lookout Avenue</t>
  </si>
  <si>
    <t>Motor Vehicle Theft</t>
  </si>
  <si>
    <t>309 Lookout Avenue, Hackensack, NJ, 07601</t>
  </si>
  <si>
    <t>I2</t>
  </si>
  <si>
    <t>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t>
  </si>
  <si>
    <t>W46ULY</t>
  </si>
  <si>
    <t>ACC</t>
  </si>
  <si>
    <t>P.O. Nicholas Mazzaccaro 377</t>
  </si>
  <si>
    <t>Det. Robert Ghirardi 150</t>
  </si>
  <si>
    <t>240 = Theft of Motor Vehicle</t>
  </si>
  <si>
    <t>Vehicle 1: NJ-W46ULY HONDA, ACC</t>
  </si>
  <si>
    <t>suspect(s) are identified</t>
  </si>
  <si>
    <t>25-004097</t>
  </si>
  <si>
    <t>First St, 200 Block</t>
  </si>
  <si>
    <t>244 First Street</t>
  </si>
  <si>
    <t>244 First Street, Hackensack, NJ, 07601</t>
  </si>
  <si>
    <t>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t>
  </si>
  <si>
    <t>U38ULG</t>
  </si>
  <si>
    <t>CIV</t>
  </si>
  <si>
    <t>P.O. Frank Lorenzo 371</t>
  </si>
  <si>
    <t>b1</t>
  </si>
  <si>
    <t>Vehicle 1: NJ-U38ULG HONDA, CIV</t>
  </si>
  <si>
    <t>suspected to be from his rear passenger side window</t>
  </si>
  <si>
    <t>$50,000.00 as the vehicle was fairly new. He further reported he attempted to track the vehicle as it contains tracking equipment but was unsuccessful as it was not connecting</t>
  </si>
  <si>
    <t>25-005871</t>
  </si>
  <si>
    <t>Ross Ave, 0 Block</t>
  </si>
  <si>
    <t>33 Ross Avenue</t>
  </si>
  <si>
    <t>33 Ross Avenue, Hackensack, NJ, 07601</t>
  </si>
  <si>
    <t>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</si>
  <si>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U22RSV</t>
  </si>
  <si>
    <t>PAS</t>
  </si>
  <si>
    <t>Tovbin_S</t>
  </si>
  <si>
    <t>P.O. Roselys Salas 369</t>
  </si>
  <si>
    <t>Vehicle 1: NJ-U22RSV HONDA, PAS</t>
  </si>
  <si>
    <t>25-006083</t>
  </si>
  <si>
    <t>Hudson St, 400 Block</t>
  </si>
  <si>
    <t>443 Hudson Street</t>
  </si>
  <si>
    <t>443 Hudson Street, Hackensack, NJ, 07601</t>
  </si>
  <si>
    <t>E3</t>
  </si>
  <si>
    <t>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t>
  </si>
  <si>
    <t>Y62SRJ</t>
  </si>
  <si>
    <t>NISSAN</t>
  </si>
  <si>
    <t>PTH</t>
  </si>
  <si>
    <t>Vehicle 1: NJ-Y62SRJ NISSAN, PTH</t>
  </si>
  <si>
    <t>25-008075</t>
  </si>
  <si>
    <t>Essex St, 100 Block</t>
  </si>
  <si>
    <t>119 Essex Street</t>
  </si>
  <si>
    <t>Motor Vehicle Theft, Theft</t>
  </si>
  <si>
    <t>119 Essex Street, Hackensack, NJ, 07601</t>
  </si>
  <si>
    <t>F1</t>
  </si>
  <si>
    <t>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t>
  </si>
  <si>
    <t>K84CXU</t>
  </si>
  <si>
    <t>LEXUS</t>
  </si>
  <si>
    <t>ES</t>
  </si>
  <si>
    <t>Ex-Cleared / Closed</t>
  </si>
  <si>
    <t>Vehicle 1: NJ-K84CXU LEXUS, ES</t>
  </si>
  <si>
    <t>$800.00 USD.</t>
  </si>
  <si>
    <t>25-008777</t>
  </si>
  <si>
    <t>Sutton Ave, 400 Block</t>
  </si>
  <si>
    <t>453 Sutton Avenue</t>
  </si>
  <si>
    <t>453 Sutton Avenue, Hackensack, NJ, 07601</t>
  </si>
  <si>
    <t>F2</t>
  </si>
  <si>
    <t>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t>
  </si>
  <si>
    <t>P77UZJ</t>
  </si>
  <si>
    <t>CRO</t>
  </si>
  <si>
    <t>Vehicle 1: NJ-P77UZJ FORD, CRO</t>
  </si>
  <si>
    <t>$30.00 USD.</t>
  </si>
  <si>
    <t>25-009657</t>
  </si>
  <si>
    <t>Midtown Bridge Approach, 0 Block</t>
  </si>
  <si>
    <t>55 Midtown Bridge Approach</t>
  </si>
  <si>
    <t>55 Midtown Bridge Approach, Hackensack, NJ, 07601</t>
  </si>
  <si>
    <t>H1</t>
  </si>
  <si>
    <t>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t>
  </si>
  <si>
    <t>AM82732</t>
  </si>
  <si>
    <t>RAM</t>
  </si>
  <si>
    <t>PROMASTER</t>
  </si>
  <si>
    <t>AZ</t>
  </si>
  <si>
    <t>Vehicle 1: AZ-AM82732 RAM, PROMASTER</t>
  </si>
  <si>
    <t>suspect, where a brief verbal exchange is had suspect is then seen retrieving keys from a lock box, before entering the van and fleeing the area suspect, who acted as an employee of the business suspect and secured the keys in the lock box himself</t>
  </si>
  <si>
    <t>$45,000.00.            The complainant has video footage of the incident, available upon request</t>
  </si>
  <si>
    <t>25-010474</t>
  </si>
  <si>
    <t>04:00-07:59 Morning</t>
  </si>
  <si>
    <t>Hudson St, 100 Block</t>
  </si>
  <si>
    <t>170 Hudson Street</t>
  </si>
  <si>
    <t>170 Hudson Street, Hackensack, NJ, 07601</t>
  </si>
  <si>
    <t>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t>
  </si>
  <si>
    <t>T12SSE</t>
  </si>
  <si>
    <t>DODGE</t>
  </si>
  <si>
    <t>CAR</t>
  </si>
  <si>
    <t>P.O. Matthew Tedesco 316</t>
  </si>
  <si>
    <t>Vehicle 1: NJ-T12SSE DODGE, CAR</t>
  </si>
  <si>
    <t>$2,000.00 Dollars.</t>
  </si>
  <si>
    <t>Morning (04:00-07:59)</t>
  </si>
  <si>
    <t>25-010788</t>
  </si>
  <si>
    <t>Hudson St, 500 Block</t>
  </si>
  <si>
    <t>535 Hudson Street</t>
  </si>
  <si>
    <t>535 Hudson Street, Hackensack, NJ, 07601</t>
  </si>
  <si>
    <t>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t>
  </si>
  <si>
    <t>S70MPZ</t>
  </si>
  <si>
    <t>Vehicle 1: NJ-S70MPZ</t>
  </si>
  <si>
    <t>$6,000.00.  A victim notification form was completed, and the vehicle was entered into N</t>
  </si>
  <si>
    <t>25-013091</t>
  </si>
  <si>
    <t>Second St, 100 Block</t>
  </si>
  <si>
    <t>100 Second Street</t>
  </si>
  <si>
    <t>Motor Vehicle Theft, Recovered Stolen Vehicle</t>
  </si>
  <si>
    <t>Recovered Stolen Vehicle</t>
  </si>
  <si>
    <t>100 Second Street, Hackensack, NJ, 07601</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</si>
  <si>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t>
  </si>
  <si>
    <t>L17PUM</t>
  </si>
  <si>
    <t>Vehicle 1: NJ-L17PUM HONDA, ACC</t>
  </si>
  <si>
    <t>suspect(s): unknown     the victim, kimberly trujillo, responded to police headquarters on a report of a motor vehicle theft</t>
  </si>
  <si>
    <t>$22,000 USD.  See Rochelle Park Case #2025-002492.</t>
  </si>
  <si>
    <t>25-013106</t>
  </si>
  <si>
    <t>30 Prospect Avenue</t>
  </si>
  <si>
    <t>30 Prospect Avenue, Hackensack, NJ, 07601</t>
  </si>
  <si>
    <t>G4</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</si>
  <si>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t>
  </si>
  <si>
    <t>Z53RVG</t>
  </si>
  <si>
    <t>P.O. Anzour Marza 356</t>
  </si>
  <si>
    <t>Vehicle 1: NJ-Z53RVG HONDA, ACC</t>
  </si>
  <si>
    <t>25-015290</t>
  </si>
  <si>
    <t>Washington Ave, 400 Block</t>
  </si>
  <si>
    <t>430 Washington Avenue</t>
  </si>
  <si>
    <t>430 Washington Avenue, Hackensack, NJ, 07601</t>
  </si>
  <si>
    <t>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t>
  </si>
  <si>
    <t>8FL4661</t>
  </si>
  <si>
    <t>PILOT</t>
  </si>
  <si>
    <t>MD</t>
  </si>
  <si>
    <t>Vehicle 1: MD-8FL4661 HONDA, PILOT</t>
  </si>
  <si>
    <t>25-003362</t>
  </si>
  <si>
    <t>Clay St, 200 Block</t>
  </si>
  <si>
    <t>204 Clay Street</t>
  </si>
  <si>
    <t>Dispute</t>
  </si>
  <si>
    <t>Dispute, Criminal Attempt, Robbery</t>
  </si>
  <si>
    <t>Criminal Attempt</t>
  </si>
  <si>
    <t>Robbery</t>
  </si>
  <si>
    <t>204 Clay Street, Hackensack, NJ, 07601</t>
  </si>
  <si>
    <t>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t>
  </si>
  <si>
    <t>P.O. Forrod Bonsu 353</t>
  </si>
  <si>
    <t>B1</t>
  </si>
  <si>
    <t>Det. Frankie Garrett 323</t>
  </si>
  <si>
    <t>120 = Robbery</t>
  </si>
  <si>
    <t>suspect, described as wearing a grey hoodie and sweatpants, had fled southbound on first street suspect, later identified as d suspect, d suspect asked the victim if he could drop off the stolen moped for a couple of days suspect, d suspect arrived at his residence demanding $400 suspect arrived with three (3) other friends: two hispanic males, unknown names, dates of birth, or addresses, and a hispanic female, blonde hair and blue jacket, operating a toyota rav 4 with an unknown ny tag suspect, and the three (3) witnesses stood by suspect breached the door with physical force and continued to assault the victim while demanding $400 suspect, d suspect and the three (3) witnesses fled the scene after she threatened to call the police</t>
  </si>
  <si>
    <t>$400.00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$400.00 for the red moped electric bike.  I then requested a supervisor, and Sgt</t>
  </si>
  <si>
    <t>25-003813</t>
  </si>
  <si>
    <t>Hackensack Ave, 400 Block</t>
  </si>
  <si>
    <t>450 Hackensack Avenue</t>
  </si>
  <si>
    <t>Robbery, Resisting Arrest/Eluding, Suspicious Person</t>
  </si>
  <si>
    <t>Resisting Arrest/Eluding</t>
  </si>
  <si>
    <t>Suspicious Person</t>
  </si>
  <si>
    <t>450 Hackensack Avenue, Hackensack, NJ, 07601</t>
  </si>
  <si>
    <t>I6</t>
  </si>
  <si>
    <t>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t>
  </si>
  <si>
    <t>Y82VDS</t>
  </si>
  <si>
    <t>VOLKS</t>
  </si>
  <si>
    <t>ATL</t>
  </si>
  <si>
    <t>b2</t>
  </si>
  <si>
    <t>Vehicle 1: NJ-Y82VDS VOLKS, ATL</t>
  </si>
  <si>
    <t>$1,284.00 and placed them in a shopping cart. The arrestee then went past all points of sale and tried to exit the store $189.00Two 20V Atomic BL Combo Kit priced at  $149.00 eachM18 Fuel Jig Saw priced at  $199.00MKE M12 Packout Flood Light priced at  $149.00M18 Fuel 10 Miter Saw priced at  $449.00     Totaling at  $1,284.00.The arrestee was placed in radio car 114 and transported to police headquarters for processing</t>
  </si>
  <si>
    <t>25-004629</t>
  </si>
  <si>
    <t>Main St, 600 Block</t>
  </si>
  <si>
    <t>630 Main Street</t>
  </si>
  <si>
    <t>630 Main Street, Hackensack, NJ, 07601</t>
  </si>
  <si>
    <t>Suspect 1: Hispanic male, approximately early 30' s in age, approximately 5'10" in height, approximately 180 in weight, wearing a tan hooded sweater, brown "NY" Yankees logo hat, black sweatpants and white sneakers.Suspect 2: Hispanic female, approximately mid 20's in age, approximately 5'5"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t>
  </si>
  <si>
    <t>HYUNDAI</t>
  </si>
  <si>
    <t>SONATA</t>
  </si>
  <si>
    <t>Det. John Mora 257</t>
  </si>
  <si>
    <t>Vehicle 1: HYUNDAI, SONATA</t>
  </si>
  <si>
    <t>suspect 1: hispanic male, approximately early 30' s in age, approximately 5'10" in height, approximately 180 in weight, wearing a tan hooded sweater, brown "ny" yankees logo hat, black sweatpants and white sneakers suspect 2: hispanic female, approximately mid 20's in age, approximately 5'5" in height, approximately 140 in weight, wearing a black jacket, grey hooded sweater, tan pants and cream colored shoes suspect vehicle: 4 door silver in color hyundai sonata (unknown registration) suspect 1 and  suspect 2 entered target suspect 1 and 2 passed all points of sale with unpaid merchandise in a shopping cart suspects suspects attempted to steal suspect 1 punched the victim in the head, specifically the top left side, with a closed fist one time suspect later left the area in the  suspect vehicle</t>
  </si>
  <si>
    <t>$452.71. Prior to exiting Target Loss Prevention / the victim confronted both suspects</t>
  </si>
  <si>
    <t>25-009348</t>
  </si>
  <si>
    <t>144 Hudson Street</t>
  </si>
  <si>
    <t>Suspicious Incident, Robbery</t>
  </si>
  <si>
    <t>144 Hudson Street, Hackensack, NJ, 07601</t>
  </si>
  <si>
    <t>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t>
  </si>
  <si>
    <t>suspect descriptions:unknown  suspect 1: tall white male, crew cut, no clothing descriptionunknown  suspects 2-5: 4 males, unknown race, wearing dark colored helmets and dark clothes with padding suspects, with four of them carrying bats suspect #1 threatened him, stating that he would beat him up if he didn't hand over his belongings suspect #1 forcibly retrieved the wallet off his person and removed a debit card and identification card, before throwing the wallet back in his direction suspect's then told him if they saw him again, they would beat him up suspects then fled east on court street, before turning left to head north on river road</t>
  </si>
  <si>
    <t>25-009438</t>
  </si>
  <si>
    <t>400 Hackensack Avenue</t>
  </si>
  <si>
    <t>400 Hackensack Avenue, Hackensack, NJ, 07601</t>
  </si>
  <si>
    <t>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</si>
  <si>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suspects (1 male, 2 females) entered the establishment at approximately 1600 hours suspects reportedly exited and reentered the store multiples time prior to committing the offense, with the last entry being made only by the male  suspect suspect grabbed three small purses from the display shelf before he began to walk toward the exit suspect, who immediately shoved him into a store fixture suspect reportedly proceeded to run out of the store toward the nearest mall exit, where he entered a black vehicle and fled in an unknown direction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</si>
  <si>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$650.00. The store manager (witness) wished to have complaints signed against the suspects if they were able to be identified</t>
  </si>
  <si>
    <t>Column Labels</t>
  </si>
  <si>
    <t>25-002564</t>
  </si>
  <si>
    <t>First St, 100 Block</t>
  </si>
  <si>
    <t>135 First Street</t>
  </si>
  <si>
    <t>Criminal Sexual Contact</t>
  </si>
  <si>
    <t>Criminal Sexual Contact, Juvenile Investigation</t>
  </si>
  <si>
    <t>Juvenile Investigation</t>
  </si>
  <si>
    <t>135 First Street, Hackensack, NJ, 07601</t>
  </si>
  <si>
    <t>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t>
  </si>
  <si>
    <t>Dominguez_L</t>
  </si>
  <si>
    <t>Det. Cristobal Lara-Nunez 341</t>
  </si>
  <si>
    <t>STA</t>
  </si>
  <si>
    <t>Det. Evelyn Reyes 336</t>
  </si>
  <si>
    <t>11D = Fondling</t>
  </si>
  <si>
    <t>suspect who is also student suspect was identified as manuel martinez perez suspect and his cousin esmeralda perez martinez who is a potential witness suspect gave her a hug suspect suspect suspect suspect touch the victim because she was busy doing her class work suspect suspect</t>
  </si>
  <si>
    <t>25-006324</t>
  </si>
  <si>
    <t xml:space="preserve"> Berdan Pl, 100 Block</t>
  </si>
  <si>
    <t>176  Berdan Place</t>
  </si>
  <si>
    <t>Sexual Assault</t>
  </si>
  <si>
    <t>Sexual Assault, Juvenile Investigation</t>
  </si>
  <si>
    <t>176  Berdan Place, Hackensack, NJ, 07601</t>
  </si>
  <si>
    <t>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t>
  </si>
  <si>
    <t>Bay_F</t>
  </si>
  <si>
    <t>DET</t>
  </si>
  <si>
    <t>TOT DCP&amp;P</t>
  </si>
  <si>
    <t>suspect</t>
  </si>
  <si>
    <t>25-013527</t>
  </si>
  <si>
    <t xml:space="preserve"> Prospect Ave, 200 Block</t>
  </si>
  <si>
    <t>240  Prospect Avenue</t>
  </si>
  <si>
    <t>Exceptionally Cleared/Closed</t>
  </si>
  <si>
    <t>Exceptionally Cleared/Closed, Sexual Assault</t>
  </si>
  <si>
    <t>240  Prospect Avenue, Hackensack, NJ, 07601</t>
  </si>
  <si>
    <t>H4</t>
  </si>
  <si>
    <t>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t>
  </si>
  <si>
    <t>suspect akashpreet riar on february 17, 2025 suspect is a teacher's assistant at the new york college of podiatric medicine, where she attends suspect because she was looking for a tutor and he offered to help her suspect picked up the victim in a blue honda (unknown registration) from her residence in new york city at approximately 1930 hours suspect arrived at the  suspect's apartment (240 prospect avenue, unknown apartment) suspect were studying for approximately 1 hours, before both parties started to have a few drinks of alcohol suspect started to approach her and speak in a sexual manner suspect started to grope her breasts, buttocks and thighs while trying to kiss her neck suspect suspect forced his way into the bathroom suspect forced her to pull down her pants and shoved his hand down the front of her pants suspect began to digitally penetrate the victim's vagina suspect to stop but felt like she had no control over the situation suspect inserted his penis into her vagina against her will suspect ejaculated next to the victim suspect called an uber for her and she took the ride share back to nyc</t>
  </si>
  <si>
    <t>25-014007</t>
  </si>
  <si>
    <t>Union St, 300 Block</t>
  </si>
  <si>
    <t>360 Union Street</t>
  </si>
  <si>
    <t>360 Union Street, Hackensack, NJ, 07601</t>
  </si>
  <si>
    <t>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t>
  </si>
  <si>
    <t>P.O. Angie Tabares 363</t>
  </si>
  <si>
    <t>Cleared - Arrest</t>
  </si>
  <si>
    <t>36A = Incest</t>
  </si>
  <si>
    <t>25-012110</t>
  </si>
  <si>
    <t>Christopher Columbus Drive, 100 Block</t>
  </si>
  <si>
    <t>128 Christopher Columbus Drive</t>
  </si>
  <si>
    <t>Assist Other Agency</t>
  </si>
  <si>
    <t>Assist Other Agency, Aggravated Assault, Robbery</t>
  </si>
  <si>
    <t>Aggravated Assault</t>
  </si>
  <si>
    <t>128 Christopher Columbus Drive, Jersey City, NJ 07302, Hackensack, NJ, 07601</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</si>
  <si>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t>
  </si>
  <si>
    <t>Briggs_S</t>
  </si>
  <si>
    <t>TOT Outside Jurisdiction</t>
  </si>
  <si>
    <t>suspect were in a dating relationship for approximately 9 months suspect met with her on the sidewalk suspect wished to get back together, but she refused suspect strangled her, he stole her iphone 14 pro out of her front pocket (approximate value: $1,000 suspect, but he has not been served</t>
  </si>
  <si>
    <t>$1,000.00) then fled the scene.     The victim advised me that she currently has a restraining order against the suspect, but he has not been served</t>
  </si>
  <si>
    <t>Time of Day</t>
  </si>
  <si>
    <t>Mon</t>
  </si>
  <si>
    <t>Tue</t>
  </si>
  <si>
    <t>Wed</t>
  </si>
  <si>
    <t>Thu</t>
  </si>
  <si>
    <t>Fri</t>
  </si>
  <si>
    <t>Sat</t>
  </si>
  <si>
    <t>YTD</t>
  </si>
  <si>
    <t>28-DAY</t>
  </si>
  <si>
    <t>Sun</t>
  </si>
  <si>
    <t>Notes</t>
  </si>
  <si>
    <t>25-018160</t>
  </si>
  <si>
    <t>March</t>
  </si>
  <si>
    <t>Central Ave, 200 Block</t>
  </si>
  <si>
    <t>216 Central Avenue</t>
  </si>
  <si>
    <t>216 Central Avenue, Hackensack, NJ, 07601</t>
  </si>
  <si>
    <t>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"Mike Williams"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t>
  </si>
  <si>
    <t>R64NVW</t>
  </si>
  <si>
    <t>EXP</t>
  </si>
  <si>
    <t>Farhi_B</t>
  </si>
  <si>
    <t>Vehicle 1: NJ-R64NVW FORD, EXP</t>
  </si>
  <si>
    <t>suspect: black male with a beard wearing a gray hooded sweatshirt suspect which was unsuccessful suspect completing a purchase at the listed location suspect was approximately $102</t>
  </si>
  <si>
    <t>$10.00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t>
  </si>
  <si>
    <t>25-019245</t>
  </si>
  <si>
    <t>American Legion Drive, 200 Block</t>
  </si>
  <si>
    <t>282 American Legion Drive</t>
  </si>
  <si>
    <t>282 American Legion Drive, Hackensack, NJ, 07601</t>
  </si>
  <si>
    <t>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t>
  </si>
  <si>
    <t>K46PXJ</t>
  </si>
  <si>
    <t>HYN</t>
  </si>
  <si>
    <t>TIB</t>
  </si>
  <si>
    <t>P.O. Peter Voorhis 380</t>
  </si>
  <si>
    <t>Vehicle 1: NJ-K46PXJ HYN, TIB</t>
  </si>
  <si>
    <t>suspect is identified</t>
  </si>
  <si>
    <t>$250.00 dollars in miscellaneous tools were missing from the vehicle. We did not observe any visible damage or forced entry to the doors' exterior</t>
  </si>
  <si>
    <t>25-017536</t>
  </si>
  <si>
    <t>Essex St, 200 Block</t>
  </si>
  <si>
    <t>216 Essex Street</t>
  </si>
  <si>
    <t>216 Essex Street, Hackensack, NJ, 07601</t>
  </si>
  <si>
    <t>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"No."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t>
  </si>
  <si>
    <t>P.O. Steven Lemanowicz 347</t>
  </si>
  <si>
    <t>suspect description:  bm, 5'5, gray vest, blue hooded sweatshirt, blue jeans, black medium length hair, black purse and a black backpack suspect) had entered his store whom he recognized that had caused a disturbance earlier in the day with his customers suspect to leave or he will call the police suspect then grabbed two 50 ml bottles of patron silver and the employee grabbed his hand suspect then left the store with the bottles, picked up a black backpack he left outside the store and walked north on lehigh street suspect said anything during the theft and he stated the  suspect responded, "if you call the police, i will kill you suspect taking the bottles suspect was put out to patrols and a canvass of the area was negative for the  suspect suspect if he was identified</t>
  </si>
  <si>
    <t>$7.00 each for a total loss of  $14.00.</t>
  </si>
  <si>
    <t>25-017488</t>
  </si>
  <si>
    <t>High St, 100 Block</t>
  </si>
  <si>
    <t>195 High Street</t>
  </si>
  <si>
    <t>Robbery, Unlawful Possess./Weapons, Dispute</t>
  </si>
  <si>
    <t>Unlawful Possess./Weapons</t>
  </si>
  <si>
    <t>195 High Street, Hackensack, NJ, 07601</t>
  </si>
  <si>
    <t>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 I will fuck both of ya up" and began demanding the money Foster owed him.     Hunt reported that, he told the suspect that he was going to call the police. The suspect then stated ' I ain't scared of no police"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t>
  </si>
  <si>
    <t>D78PNR</t>
  </si>
  <si>
    <t>BMW</t>
  </si>
  <si>
    <t>430</t>
  </si>
  <si>
    <t>P.O. Bobby Rivera 361</t>
  </si>
  <si>
    <t>Vehicle 1: NJ-D78PNR BMW, 430</t>
  </si>
  <si>
    <t>suspect because she owed him money suspect exited the bmw and confronted him suspect began asking where foster was and hunt advised him that he believes she was at the listed address suspect then stated " ya keep fucking around with me and i am going to bust a cap in both of your asses' suspect reentered the white bmw and began following him suspect exited the bmw, and followed him up the front porch suspect followed him inside, uninvited suspect removed a short black baseball bat from his waistband and stated " i will fuck both of ya up" and began demanding the money foster owed him suspect that he was going to call the police suspect then stated ' i ain't scared of no police" and attempted to snatch hunts phone from his hands suspect fled suspect was responsible for the broken window, however, neither of them observed it suspect's vehicle of nj -d78pnr suspects name and an address of 26 anderson street, where she believes the mother resides suspect suspect for 2c:15-1a(2), 2c:12-3a, 2c:12-1a3, 2c:39-5d, and 2c:39-4d</t>
  </si>
  <si>
    <t>C03W10</t>
  </si>
  <si>
    <t>C03W09</t>
  </si>
  <si>
    <t>C02W08</t>
  </si>
  <si>
    <t>C02W07</t>
  </si>
  <si>
    <t>C02W06</t>
  </si>
  <si>
    <t>C02W05</t>
  </si>
  <si>
    <t>C01W04</t>
  </si>
  <si>
    <t>C01W03</t>
  </si>
  <si>
    <t>C01W02</t>
  </si>
  <si>
    <t>C01W01</t>
  </si>
  <si>
    <t>N/A</t>
  </si>
  <si>
    <t>25-019756</t>
  </si>
  <si>
    <t>Anderson St, 100 Block</t>
  </si>
  <si>
    <t>123 Anderson Street</t>
  </si>
  <si>
    <t>123 Anderson Street, Hackensack, NJ, 07601</t>
  </si>
  <si>
    <t>***Spanish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t>
  </si>
  <si>
    <t>K87VEF</t>
  </si>
  <si>
    <t>SUBARU</t>
  </si>
  <si>
    <t>TRI</t>
  </si>
  <si>
    <t>Det. Gunther Lara-Nunez 351</t>
  </si>
  <si>
    <t>Vehicle 1: NJ-K87VEF SUBARU, TRI</t>
  </si>
  <si>
    <t>suspects should they be identified</t>
  </si>
  <si>
    <t>$200.00 dollars. He reported that he left his wallet with the  $200.00 in the middle console which was visible to any passerby.        Due to the victim reporting that he contaminated the area/vehicle, he was not offered to have his vehicle to be fingerprinted by BCI</t>
  </si>
  <si>
    <t>C03W11</t>
  </si>
  <si>
    <t>25-019648</t>
  </si>
  <si>
    <t>Park Ave, 0 Block</t>
  </si>
  <si>
    <t>1 Park Avenue</t>
  </si>
  <si>
    <t>1 Park Avenue, Hackensack, NJ, 07601</t>
  </si>
  <si>
    <t>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t>
  </si>
  <si>
    <t>Ghirardi_R</t>
  </si>
  <si>
    <t>suspect #1- black female, long black hair, approximately in the early 30's, approximately 5'10 in height, approximately 170 lbs, wearing a black baseball hat, black jacket, white and black leggings, white socks and white sneakers suspect #2- black female, long black hair, approximately in the early 30's, approximately 5'10 in height, approximately 250 lbs, wearing a white jacket, white and grey leggings,white socks and tan timberlands suspects walked through the front lobby door of 1 park avenue, they proceeded to take the elevator to the 4th floor suspect 1 was seen leaving the entrance of 1 park avenue with two bags potentially from the apartment suspect #1 left with is unknown at this time</t>
  </si>
  <si>
    <t>Thur</t>
  </si>
  <si>
    <t>25-021703</t>
  </si>
  <si>
    <t>414 Hackensack Avenue</t>
  </si>
  <si>
    <t>Assist Other Agency, Burglary - Residence</t>
  </si>
  <si>
    <t>414 Hackensack Avenue, Hackensack, NJ, 07601</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</si>
  <si>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115.Sparta PD's search warrant is docket number JA-SSX-1953A-SW-25, approved by the Honorable Janine Allen.</t>
  </si>
  <si>
    <t>Y52RXA</t>
  </si>
  <si>
    <t>KIA</t>
  </si>
  <si>
    <t>TEL</t>
  </si>
  <si>
    <t>Lt. John Knapp 141</t>
  </si>
  <si>
    <t>HACSOC</t>
  </si>
  <si>
    <t>Vehicle 1: NJ-Y52RXA KIA, TEL</t>
  </si>
  <si>
    <t>C03W12</t>
  </si>
  <si>
    <t>25-022902</t>
  </si>
  <si>
    <t>Kenneth St, 100 Block</t>
  </si>
  <si>
    <t>171 Kenneth Street</t>
  </si>
  <si>
    <t>171 Kenneth Street, Hackensack, NJ, 07601</t>
  </si>
  <si>
    <t>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t>
  </si>
  <si>
    <t>JWG42F</t>
  </si>
  <si>
    <t>CHEVROLET</t>
  </si>
  <si>
    <t>Vehicle 1: NJ-JWG42F</t>
  </si>
  <si>
    <t>suspect enters the van suspect proceeds to sit in the van for a couple of minutes before starting the vehicle south on kenneth st</t>
  </si>
  <si>
    <t>$4,000.00.</t>
  </si>
  <si>
    <t>25-023424</t>
  </si>
  <si>
    <t>Pulaski Pl, 0 Block</t>
  </si>
  <si>
    <t>24 Pulaski Place</t>
  </si>
  <si>
    <t>Burglary - Auto, Criminal Mischief - Vehicle</t>
  </si>
  <si>
    <t>Criminal Mischief - Vehicle</t>
  </si>
  <si>
    <t>24 Pulaski Place, Hackensack, NJ, 07601</t>
  </si>
  <si>
    <t>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t>
  </si>
  <si>
    <t>M88KXU</t>
  </si>
  <si>
    <t>ECO</t>
  </si>
  <si>
    <t>Competiello_Fa</t>
  </si>
  <si>
    <t>Vehicle 1: NJ-M88KXU FORD, ECO</t>
  </si>
  <si>
    <t>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t>
  </si>
  <si>
    <t>$1,000.00.         A New Jersey Victim Notification Form was completed and provided to the victim</t>
  </si>
  <si>
    <t>Unknown</t>
  </si>
  <si>
    <t>25-024952</t>
  </si>
  <si>
    <t>211 Essex Street</t>
  </si>
  <si>
    <t>Burglary - Commercial, Hindering Apprehension, Resisting Arrest/Eluding</t>
  </si>
  <si>
    <t>Hindering Apprehension</t>
  </si>
  <si>
    <t>211 Essex Street, Hackensack, NJ, 07601</t>
  </si>
  <si>
    <t>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"Jorge Williams".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t>
  </si>
  <si>
    <t>P.O. Laura Lopez-Amaya 374</t>
  </si>
  <si>
    <t>$26.99. Melanie Esquiveo then responded to police headquarters to provide a statement to detectives</t>
  </si>
  <si>
    <t>C04W13</t>
  </si>
  <si>
    <t>25-025078</t>
  </si>
  <si>
    <t>2 Park Avenue</t>
  </si>
  <si>
    <t>2 Park Avenue, Hackensack, NJ, 07601</t>
  </si>
  <si>
    <t>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t>
  </si>
  <si>
    <t>Sgt. Patrick Williams 143</t>
  </si>
  <si>
    <t>suspect stated after observing the broken door, he entered his apartment and found drawers, cabinets, and his bedroom door were opened suspects suspect departed his residence suspects appeared to only have gone into a select pair of jeans which contained the rolex watch suspects entered stairwell 3, located across from the victim's apartment at approximately 0030 hours suspects were then viewed leaving the apartment approximately six (6) minutes later at 0036 hours suspects involved, please refer to detective sergeant williams case report suspects if identified</t>
  </si>
  <si>
    <t>$10,000.00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$8,000.00 dollars was stolen. The bracelet was located on the top of the TV stand $8,000.00 dollars was stolen. The necklace was located in the apartment bedroom $4,000.00 dollars.   A Nintendo Switch (Gaming Console) valued at approximately  $300.00 dollars was stolen. The gaming console was located on the living room couch</t>
  </si>
  <si>
    <t>25-025926</t>
  </si>
  <si>
    <t>100 Essex Street</t>
  </si>
  <si>
    <t>100 Essex Street, Hackensack, NJ, 07601</t>
  </si>
  <si>
    <t>G2</t>
  </si>
  <si>
    <t>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"Asaad Martinez-Pollard" may be the suspect. The victim reported being assaulted by the suspect a few weeks prior and seeing him briefly today. See Case #25-010292 for further. A NJ Victim Notification form was completed and a copy was provided to the victim. Detective DeBonis was advised.</t>
  </si>
  <si>
    <t>P.O. Anthony Mattalian 83</t>
  </si>
  <si>
    <t>suspect was inside his apartment, were visible suspect suspect a few weeks prior and seeing him briefly today</t>
  </si>
  <si>
    <t>$50.00 USD inside, attached to four (4) keys and one (1) safety deposit box key. Total loss of  $200.00 USD.     The victim stated in effect that he took a shower at approximately 0500 hours today</t>
  </si>
  <si>
    <t>25-027338</t>
  </si>
  <si>
    <t>April</t>
  </si>
  <si>
    <t>Fair St, 0 Block</t>
  </si>
  <si>
    <t>75 Fair Street</t>
  </si>
  <si>
    <t>75 Fair Street, Hackensack, NJ, 07601</t>
  </si>
  <si>
    <t>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t>
  </si>
  <si>
    <t>P.O. Alexander Reyes 355</t>
  </si>
  <si>
    <t>C04W14</t>
  </si>
  <si>
    <t>25-026113</t>
  </si>
  <si>
    <t>310 Lookout Avenue</t>
  </si>
  <si>
    <t>310 Lookout Avenue, Hackensack, NJ, 07601</t>
  </si>
  <si>
    <t>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t>
  </si>
  <si>
    <t>IMKR57</t>
  </si>
  <si>
    <t>ROGUE</t>
  </si>
  <si>
    <t>P.O. Matthew Antista 135</t>
  </si>
  <si>
    <t>A4</t>
  </si>
  <si>
    <t>290 = Destruction/Damage/Vandalism of Property</t>
  </si>
  <si>
    <t>Vehicle 1: NJ-IMKR57 NISSAN, ROGUE</t>
  </si>
  <si>
    <t>25-026103</t>
  </si>
  <si>
    <t>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t>
  </si>
  <si>
    <t>UTU50W</t>
  </si>
  <si>
    <t>RGE</t>
  </si>
  <si>
    <t>Vehicle 1: NJ-UTU50W NISSAN, RGE</t>
  </si>
  <si>
    <t>25-026357</t>
  </si>
  <si>
    <t>77 Prospect Avenue</t>
  </si>
  <si>
    <t>77 Prospect Avenue, Hackensack, NJ, 07601</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</si>
  <si>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t>
  </si>
  <si>
    <t>U57SNU</t>
  </si>
  <si>
    <t>MAZDA</t>
  </si>
  <si>
    <t>C30</t>
  </si>
  <si>
    <t>Vehicle 1: NJ-U57SNU MAZDA, C30</t>
  </si>
  <si>
    <t>25-025341</t>
  </si>
  <si>
    <t>Berry St, 200 Block</t>
  </si>
  <si>
    <t>296 Berry Street</t>
  </si>
  <si>
    <t>296 Berry Street, Hackensack, NJ, 07601</t>
  </si>
  <si>
    <t>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t>
  </si>
  <si>
    <t>T41VHN</t>
  </si>
  <si>
    <t>ACURA</t>
  </si>
  <si>
    <t>TLX</t>
  </si>
  <si>
    <t>P.O. Wanda Rivera 161</t>
  </si>
  <si>
    <t>A1</t>
  </si>
  <si>
    <t>Vehicle 1: NJ-T41VHN ACURA, TLX</t>
  </si>
  <si>
    <t>$50,000Insurance provider: Geico 100, policy #4587415441</t>
  </si>
  <si>
    <t>25-026716</t>
  </si>
  <si>
    <t>Union St, 200 Block</t>
  </si>
  <si>
    <t>260 Union Street</t>
  </si>
  <si>
    <t>Mental Health Incident, Sexual Assault, Juvenile Investigation</t>
  </si>
  <si>
    <t>Mental Health Incident</t>
  </si>
  <si>
    <t>260 Union Street, Hackensack, NJ, 07601</t>
  </si>
  <si>
    <t>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       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t>
  </si>
  <si>
    <t>P.O. Christian Alvarez 364</t>
  </si>
  <si>
    <t>Month of Incident</t>
  </si>
  <si>
    <t>Day of Week</t>
  </si>
  <si>
    <t>Time of Day Incident Occurred</t>
  </si>
  <si>
    <t>Victim's Vehicle Description</t>
  </si>
  <si>
    <t>Vehicle Was Parked</t>
  </si>
  <si>
    <t>Entry Method</t>
  </si>
  <si>
    <t>Damage to Vehicle</t>
  </si>
  <si>
    <t>Suspect Description</t>
  </si>
  <si>
    <t>Suspect Vehicle Description</t>
  </si>
  <si>
    <t>Items Stolen</t>
  </si>
  <si>
    <t>Value of Stolen Property</t>
  </si>
  <si>
    <t>Keys with Vehicle</t>
  </si>
  <si>
    <t>Offense Completed</t>
  </si>
  <si>
    <t>Block Incident Occurred On</t>
  </si>
  <si>
    <t>Structure Type</t>
  </si>
  <si>
    <t>Point of Entry</t>
  </si>
  <si>
    <t>Signs of Forced Entry</t>
  </si>
  <si>
    <t>Yes</t>
  </si>
  <si>
    <t>Friday</t>
  </si>
  <si>
    <t>NJ-T41VHN ACURA, TLX</t>
  </si>
  <si>
    <t>Driveway</t>
  </si>
  <si>
    <t>No</t>
  </si>
  <si>
    <t>Location Type</t>
  </si>
  <si>
    <t>Type Weapon</t>
  </si>
  <si>
    <t>Type of Victim</t>
  </si>
  <si>
    <t>Type Injury</t>
  </si>
  <si>
    <t>Propert Stolen</t>
  </si>
  <si>
    <t>Property Value</t>
  </si>
  <si>
    <t>Offender Suspected of Using</t>
  </si>
  <si>
    <t>Relationship of Victim to Offender</t>
  </si>
  <si>
    <t>25-024100</t>
  </si>
  <si>
    <t xml:space="preserve"> H/F ≈ 50 years of age and heavy build</t>
  </si>
  <si>
    <t>White Sedan</t>
  </si>
  <si>
    <t>Personal Weapons</t>
  </si>
  <si>
    <t>Individual</t>
  </si>
  <si>
    <t>Minor Injury</t>
  </si>
  <si>
    <t>None</t>
  </si>
  <si>
    <t>Stranger</t>
  </si>
  <si>
    <t>Robbery, Theft, Medical Call</t>
  </si>
  <si>
    <t>Medical Call</t>
  </si>
  <si>
    <t>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t>
  </si>
  <si>
    <t>C73VBN</t>
  </si>
  <si>
    <t>IMP</t>
  </si>
  <si>
    <t>Vehicle 1: NJ-C73VBN SUBARU, IMP</t>
  </si>
  <si>
    <t>suspect: hispanic female approximately 50 years of age and heavy build suspect who put a gold chain around his neck and began to converse with him suspect then began to rip the victim's rolex watch off of his left wrist suspect but was unsuccessful suspect stole the watch and got into the passenger seat of a white sedan, which drove off</t>
  </si>
  <si>
    <t>$15,000.00. Hackensack University Medical Center BLS responded to the scene and evaluated the patient</t>
  </si>
  <si>
    <t>25-025304</t>
  </si>
  <si>
    <t>Parkway, 0 Block</t>
  </si>
  <si>
    <t>15 Parkway</t>
  </si>
  <si>
    <t>Suspicious Incident, Attempted Burglary</t>
  </si>
  <si>
    <t>Attempted Burglary</t>
  </si>
  <si>
    <t>15 Parkway, Hackensack, NJ, 07601</t>
  </si>
  <si>
    <t>Suspect is a tall, slim male dressed in all black. Complainant was unable to identify any further.     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    The vehicles driver door handle was broken, but the vehicle was not entered due to the suspect fleeing upon observing the complainant. The approximate cost to repair the damage is $200.00.   The complainant was unable to get the vehicle owner on the phone so we were unable to get permission to process the vehicle.    A New Jersey Victim Witness Notification Form was completed and the complainant was given a copy.     Vehicle insurance: 4487-16-41-49        Insurance Code: 148</t>
  </si>
  <si>
    <t>Z85SBR</t>
  </si>
  <si>
    <t>Vehicle 1: NJ-Z85SBR ACURA, TLX</t>
  </si>
  <si>
    <t>suspect is a tall, slim male dressed in all black suspect responded "construction work" and took off running suspect vehicle suspect fleeing upon observing the complainant</t>
  </si>
  <si>
    <t>$200.00.   The complainant was unable to get the vehicle owner on the phone so we were unable to get permission to process the vehicle</t>
  </si>
  <si>
    <t>25-026077</t>
  </si>
  <si>
    <t>Second Street &amp; American Legion Drive</t>
  </si>
  <si>
    <t>Burglary - Auto, Theft, Criminal Mischief</t>
  </si>
  <si>
    <t>Criminal Mischief</t>
  </si>
  <si>
    <t>Second Street &amp; American Legion Drive, Hackensack, NJ, 07601</t>
  </si>
  <si>
    <t>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      Sgt. Donnerstag responded and Bergen County BCI was advised of the incident. The vehicle was not processed for evidence. The victim reported missing approximately $5.00 US in mixed coins and a Go Pro camera worth approximately $600.00 US. A victim notification form was completed and the victim received a copy.       Detectives were notified. Insurance: Progressive Policy: 992696988Code: 135</t>
  </si>
  <si>
    <t>J72JJJ</t>
  </si>
  <si>
    <t>TOYOTA</t>
  </si>
  <si>
    <t>SIENNA</t>
  </si>
  <si>
    <t>P.O. Jeffrey Rodriguez 342</t>
  </si>
  <si>
    <t>Vehicle 1: NJ-J72JJJ TOYOTA, SIENNA</t>
  </si>
  <si>
    <t>$5.00 US in mixed coins and a Go Pro camera worth approximately  $600.00 US. A victim notification form was completed and the victim received a copy</t>
  </si>
  <si>
    <t>25-028451</t>
  </si>
  <si>
    <t>Atlantic St, 100 Block</t>
  </si>
  <si>
    <t>120 Atlantic Street</t>
  </si>
  <si>
    <t>Burglary - Auto, Suspicious Person, Property - Found</t>
  </si>
  <si>
    <t>Property - Found</t>
  </si>
  <si>
    <t>120 Atlantic Street, Hackensack, NJ, 07601</t>
  </si>
  <si>
    <t>Suspect description: Slim build, black male, approximately 5'11 in height, wearing all black / dark clothing.     On 4/8/25 at approximately 00:52 hours,  I responded to the area of 120 Atlantic Street on a reported suspicious person. It was reported an unknown male suspect attempted to open a vehicle door and fled the area on foot. P.O. Papanikolaou and Sgt. Butler responded to assist.   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  Upon inspecting vehicle 1, the interior did not appear disturbed. Upon further investigation, the front passenger side door to vehicle 1 was left insecure. The front passenger door to vehicle 1 was unable to be secured. Vehicle 1 also had a dash camera fixed to the front windshield. At this time it was unknown if the dash camera was recording / operable.  Upon responding to the west side of 118 Atlantic Street, I observed a medium size black in color "Jordan" duffle bag containing clothing / property. Upon further checking the area, a tied / knotted mint colored small size towel was also observed. All found property was secured in radio car 104.   A DMV check of vehicle 1 was conducted, which resulted the registered owner, Luis Moreno Colmenares, resided at 107 Atlantic Street. P.O. Papanikolaou later responded to 107 Atlantic Street in attempt to locate / speak with the owner, which resulted negative.  A Hackensack Notification Card was completed and secured on vehicle 1. Additionally a Hackensack Notification Card was completed and secured in the mail box of 107 Atlantic Street.   P.O. Estrada and P.O. Mena checked the area in an attempt to locate the suspect, which resulted negative.   At this time, I was unable to confirm vehicle 1 was burglarized or what proceeds may have been stolen from the vehicle. All evidence / found property was transported to headquarters. At headquarters all property was inventoried.   The medium size black in color "Jordan" duffle bag containing a white in color Adidas hat, a pair of white and blue colored socks, black colored shorts, white colored shirt, clear glass bottle of cologne / perfume and a pair of white and orange colored puma sneakers.  The tied / knotted mint colored small size towel contained a black plastic organizing tray inside. Inside the tray contained the following: - A black  plastic ash tray cup- Juicy J's rolling paper(s)- "OCB" slim premium rolling paper(s) with tip(s)- Three multi color plastic lighters - White in color USB car charger - A backwoods magnet - Two "UFOND" headband lights - White colored paper matches - A silver and black in color "driven" ammunition style key chain- $4.53 in assorted change- A small clear glass bottle with a silver in color metal screw cap. Attached to the screw cap was a small silver in color spoon / scooper. Within the bottle contained an unknown white powdered substance (suspected cocaine).    The mint in color towel containing multiple items was later placed in a brown paper bag. The currency was later placed in currency security bag # 0588856. The small clear glass bottle containing the suspected cocaine was later placed in evidence bag # 7824140. All evidence / found property was later secured in evidence locker 6. See evidence report for further.   The immediate area was checked for any other vehicles possibly burglarized with negative results.</t>
  </si>
  <si>
    <t>T21VBK</t>
  </si>
  <si>
    <t>530</t>
  </si>
  <si>
    <t>Butler_J</t>
  </si>
  <si>
    <t>Vehicle 1: NJ-T21VBK BMW, 530</t>
  </si>
  <si>
    <t>suspect description: slim build, black male, approximately 5'11 in height, wearing all black / dark clothing suspect attempted to open a vehicle door and fled the area on foot suspect inside vehicle 1 (nj t21vbk) suspect fled the area on foot traveling north, last seen jumping the fence of 118 atlantic street suspect fled, he dropped a black duffle bag, which was located on the west side of 118 atlantic street suspect, which resulted negative suspected cocaine) suspected cocaine was later placed in evidence bag # 7824140</t>
  </si>
  <si>
    <t>$4.53 in assorted change- A small clear glass bottle with a silver in color metal screw cap. Attached to the screw cap was a small silver in color spoon / scooper</t>
  </si>
  <si>
    <t>C04W15</t>
  </si>
  <si>
    <t>NJ-U57SNU MAZDA, C30</t>
  </si>
  <si>
    <t>Pritate Lot</t>
  </si>
  <si>
    <t>Not stated in Report</t>
  </si>
  <si>
    <t>Residential - Home</t>
  </si>
  <si>
    <t>None reported</t>
  </si>
  <si>
    <t>Electronics</t>
  </si>
  <si>
    <t>A neighbor reported the incident while the homeowner was hospitalized for an extended stay at New Bridge Medical Center.</t>
  </si>
  <si>
    <t>28-Day</t>
  </si>
  <si>
    <t>Suggested Fields:</t>
  </si>
  <si>
    <t>• Type of Assault (rape, sodomy, fondling, object penetration)</t>
  </si>
  <si>
    <t>• Victim Incapacitated? (yes/no)</t>
  </si>
  <si>
    <t>• Force or Threat Used? (yes/no)</t>
  </si>
  <si>
    <t>• Location Type</t>
  </si>
  <si>
    <t>• Known vs. Stranger Offender</t>
  </si>
  <si>
    <t>• Number of Offenders</t>
  </si>
  <si>
    <t xml:space="preserve">Type of Assault </t>
  </si>
  <si>
    <t>Victim Incapacitated</t>
  </si>
  <si>
    <t>Force or Threat Used</t>
  </si>
  <si>
    <t xml:space="preserve"> Location Type</t>
  </si>
  <si>
    <t>Known vs. Stranger Offender</t>
  </si>
  <si>
    <t>Number of Offenders</t>
  </si>
  <si>
    <t>Statutory</t>
  </si>
  <si>
    <t>Residential Mental Health Rehabilitation</t>
  </si>
  <si>
    <t>Victim declined to elaborate further</t>
  </si>
  <si>
    <t>Report_Due_Date</t>
  </si>
  <si>
    <t>7_Day_Start</t>
  </si>
  <si>
    <t>7_Day_End</t>
  </si>
  <si>
    <t>28_Day_Start</t>
  </si>
  <si>
    <t>28_Day_End</t>
  </si>
  <si>
    <t>Report_Name</t>
  </si>
  <si>
    <t>Is_Due</t>
  </si>
  <si>
    <t>C04W16</t>
  </si>
  <si>
    <t>C05W17</t>
  </si>
  <si>
    <t>C05W18</t>
  </si>
  <si>
    <t>C05W19</t>
  </si>
  <si>
    <t>C05W20</t>
  </si>
  <si>
    <t>C06W21</t>
  </si>
  <si>
    <t>C06W22</t>
  </si>
  <si>
    <t>C06W23</t>
  </si>
  <si>
    <t>C06W24</t>
  </si>
  <si>
    <t>C07W25</t>
  </si>
  <si>
    <t>C07W26</t>
  </si>
  <si>
    <t>C07W27</t>
  </si>
  <si>
    <t>C07W28</t>
  </si>
  <si>
    <t>C08W29</t>
  </si>
  <si>
    <t>C08W30</t>
  </si>
  <si>
    <t>C08W31</t>
  </si>
  <si>
    <t>C08W32</t>
  </si>
  <si>
    <t>C09W33</t>
  </si>
  <si>
    <t>C09W34</t>
  </si>
  <si>
    <t>C09W35</t>
  </si>
  <si>
    <t>C09W36</t>
  </si>
  <si>
    <t>C10W37</t>
  </si>
  <si>
    <t>C10W38</t>
  </si>
  <si>
    <t>C10W39</t>
  </si>
  <si>
    <t>C10W40</t>
  </si>
  <si>
    <t>C11W41</t>
  </si>
  <si>
    <t>C11W42</t>
  </si>
  <si>
    <t>C11W43</t>
  </si>
  <si>
    <t>C11W44</t>
  </si>
  <si>
    <t>C12W45</t>
  </si>
  <si>
    <t>C12W46</t>
  </si>
  <si>
    <t>C12W47</t>
  </si>
  <si>
    <t>C12W48</t>
  </si>
  <si>
    <t>C13W49</t>
  </si>
  <si>
    <t>C13W50</t>
  </si>
  <si>
    <t>C13W51</t>
  </si>
  <si>
    <t>C13W52</t>
  </si>
  <si>
    <t>25-029155</t>
  </si>
  <si>
    <t>Summit Ave, 200 Block</t>
  </si>
  <si>
    <t>283 Summit Avenue</t>
  </si>
  <si>
    <t>283 Summit Avenue, Hackensack, NJ, 07601</t>
  </si>
  <si>
    <t>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t>
  </si>
  <si>
    <t>Z73VFP</t>
  </si>
  <si>
    <t>SUB</t>
  </si>
  <si>
    <t>Vehicle 1: NJ-Z73VFP CHEVROLET, SUB</t>
  </si>
  <si>
    <t>suspect is observed on a black scooter riding down into the victim's driveway at 2310 hours and ride back out at 2311 hours</t>
  </si>
  <si>
    <t>$395.00 dollars. Sgt</t>
  </si>
  <si>
    <t>Robbery YTD</t>
  </si>
  <si>
    <t>Property Stolen</t>
  </si>
  <si>
    <t>Type of Offense</t>
  </si>
  <si>
    <t>Vehicle Involved</t>
  </si>
  <si>
    <t>Victim-Offender Relationship</t>
  </si>
  <si>
    <t>Method of Coercion</t>
  </si>
  <si>
    <t>Multiple Offenders vs. Single Offender</t>
  </si>
  <si>
    <t>Repeat Offender or Known Suspect</t>
  </si>
  <si>
    <t>Use of Technology</t>
  </si>
  <si>
    <t>Victim Demographics</t>
  </si>
  <si>
    <t>25-029829</t>
  </si>
  <si>
    <t>140 Hudson Street</t>
  </si>
  <si>
    <t>140 Hudson Street, Hackensack, NJ, 07601</t>
  </si>
  <si>
    <t>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$50.00.Tomas stated he believes the total loss is $700.00.     There was also no sign of forced entry.     The victims stated that prior to contacting the police they touched several items in the apartment thus contaminating the scene.</t>
  </si>
  <si>
    <t>$26.00 Manuel stated he believes the total loss is  $400.00.    Tomas Lopez stated he was missing:          3 Dewalt drill sets          A necklace          A watch           2 Samsung Tablets           $50.00.Tomas stated he believes the total loss is  $700.00.     There was also no sign of forced entry</t>
  </si>
  <si>
    <t>25-030198</t>
  </si>
  <si>
    <t>Central Ave, 100 Block</t>
  </si>
  <si>
    <t>157 Central Avenue</t>
  </si>
  <si>
    <t>Burglary - Auto, Weapons - Unlawful Purposes</t>
  </si>
  <si>
    <t>Weapons - Unlawful Purposes</t>
  </si>
  <si>
    <t>157 Central Avenue, Hackensack, NJ, 07601</t>
  </si>
  <si>
    <t>On April 13, 2025, at approximately 1634 hours, P.O. McCarthy and I were dispatched to 157 Central Ave for a parking complaint. Upon our arrival, arrestee 1, Melanie Curry,  arrestee 2, Tyrone Miles, victim 1, Edwin Vasquez, and victim 2, Mirelis Lopez, were standing in the rear parking lot of 157 Central Ave arguing.  I spoke with arrestee 1, Melanie Curry, who stated that the victim, Edwin Lopez, has been parking in her parking spot, which has been an ongoing problem. Arrestee 1 also stated that she went into the rear seat of the Ford Explorer and took victim 2's pocketbook. She further stated the reason she took the pocketbook was so they would move their vehicle. I spoke with Victim 1, who stated that he was arguing with arrestee 1 and arrestee 2 over parking. Arrestee 2 walked over to the victim's 2005 Honda Accord, silver in color, New Jersey Registration N51UXW, and punctured both front tires with a knife.  I spoke with victim 2, who stated that arrestee 2 walked over to her 2019 Ford Explorer, black in color, New Jersey Registration D478UTT, which was also parked in the parking lot. The arrestee opened the rear door without permission and took out her Michael Kors black pocketbook from the back seat, and brought it into her apartment. See below for a detailed list of the contents of the purse. Victim 2 showed us a video of arrestee 2 puncturing the front tires of victim 1's vehicle. The video shows a black male wearing different clothing than what arrestee 2 was wearing, but you could see that arrestee 2 had the same wedding ring and blue bracelet that he had on his left wrist. Victim 2 further stated that arrestee 2 went into his residence and changed his clothes and sneakers.  Sgt. Briggs and P.O. Marble arrived on the scene to assist. Sgt. Brigg advised me that while he was speaking with arrestee 2, the arrestee admitted that he did puncture the two front tires with a knife. Sgt. Briggs went with the arrestee and retrieved the knife, described at a 10" kitchen knife with a blue handle and five inch blade which he turned over to me to be secured and transported to headquarters.   Both arrestees were placed in handcuffs, arrestee 1 was placed in the rear of patrol vehicle 108, and arrestee 2 was placed in the rear of patrol vehicle 107, Both vehicles were checked before and after for contraband. Both arrestees were searched at the scene and back at headquarters with negative results for additional contraband.  Victim notification forms were filled out and provided to both victims. A Handle with Care form was completed and turned into the front desk.  The knife was placed in an evidence knife box, tagged and placed into evidence locker 1  I contacted DCPP and spoke with Alisha #1357 and informed her of the situation. She advised me that they would not be responding but would be documenting the incident at this time.  Vehicle 1: cost of two tires $300.00 eachGeico Insurance 6168591045 The following items were taken from Vehicle 2 Black Michael Kors pocketbook $300.00wallet                                          $50.00Cash                                           $70.00 Diapers                                       $50.00Medicationa single blank check for the victim's checking account which was loose in the purse. Detective Tanucilli was notified and responded to headquarters to take recorded statements. See his report for further.  Both suspects were processed without incident and Lt. Klosk authored complaints S2025-000176, S2025-000177 on my behalf. The suspects were then released from custody.</t>
  </si>
  <si>
    <t>N51UXW</t>
  </si>
  <si>
    <t>D48UTT</t>
  </si>
  <si>
    <t>XPL</t>
  </si>
  <si>
    <t>P.O. Michael Scangarella 349</t>
  </si>
  <si>
    <t>Vehicle 1: NJ-N51UXW HONDA, ACC | Vehicle 2: NJ-D48UTT FORD, XPL</t>
  </si>
  <si>
    <t>suspects were processed without incident and lt suspects were then released from custody</t>
  </si>
  <si>
    <t>$300.00 eachGeico Insurance 6168591045 The following items were taken from Vehicle 2 Black Michael Kors pocketbook  $300.00wallet                                           $50.00Cash                                            $70.00 Diapers                                        $50.00Medicationa single blank check for the victim's checking account which was loose in the purse. Detective Tanucilli was notified and responded to headquarters to take recorded statements</t>
  </si>
  <si>
    <t>25-030220</t>
  </si>
  <si>
    <t>64 Prospect Avenue</t>
  </si>
  <si>
    <t>Burglary - Residence, Terroristic Threats, Criminal Mischief</t>
  </si>
  <si>
    <t>Terroristic Threats</t>
  </si>
  <si>
    <t>64 Prospect Avenue, Hackensack, NJ, 07601</t>
  </si>
  <si>
    <t>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made his way to the front door to investigate the sound. The victim reported as he approached the door, it swung open violently. The victim reported he then saw Michael Dearmas (arrestee hereafter) standing on the outside. It should be noted that Dearmas matched the description of the person who fled upon my arrival to the building. The victim reported the arrestee then ran into the apartment and grabbed him by the shirt striking him in the head in the process. The victim reported he then attempted to back up to call 911 to which the arrestee then yelled " I am going to kill you ". The victim reported the arrestee then ran out of the apartment.      The victim reported damage to the front door which would cost approximately $50.00 to repair. The victim also reported a broken mirror which cost him approximately $150.00.     The victim reported he has never had issues with the arrestee until the divorce proceeding with his daughter was initiated. Sgt. Ghirardi arrived on scene. Sgt. Ghirardi notified Det. Tanucilli. Det. Tanucilli arrived on scene.  I asked the victim if he wished to have the scene processed to which he accepted. A Hackensack Police Consent to Search form was completed and turned over to Det. Tanucilli upon his arrival on scene. BCSO Det. S. Delacruz #1955 arrived on scene. Det. Delacruz photographed and processed the scene. See BCSO case number #2025-0233 for more.       While on scene, Sgt. Ghirardi was speaking to the victims daughter on the phone when she received a call from the arrestee. The victims daughter placed the call on 3-way where he disclosed he was standing in front of a liquor store on Lehigh St. Communications was able to confirm the arrestees location via security cameras. P.O. Vicale, SPO Abueg, P.O. Voorhis, P.O. Caero, and P.O. Alvarez made their way to the arrestees location. Upon arrival, the arrestee again fled on an electric bicycle heading south into the NJ Transit Station Lot on Essex St. P.O. Vicale activated his exterior emergency warning lights in attempted to stop the arrestee.     Upon reaching the back of the parking lot the arrestee jumped off the bicycle and ran onto the train tracks. The arrestee then jumped into a small creek but surrendered to P.O. Vicale shortly after. The arrestee was pulled out of the creek by P.O. Vicale and handcuffed behind his back. The arrestee then requested an ambulance for leg pain. The arrestee was transported to Hackensack Hospital. The arrestee was searched before and after the transported which yielded negative results for contraband. P.O. Voorhis rode in the ambulance with the arrestee while P.O. Vicale followed.     At approximately 21:00 the victim contacted the Hackensack Police Headquarters advising he had located the arrestees phone inside the apartment. I responded to the apartment to secure the phone as evidence. The phone was tagged and secured in evidence locker #2.      Communication confirmed the arrestee had active warrant #W-2025-000167 out of this jurisdiction.        The arrestee also had warrant # W-2025-000078 and 1604-W-2025-000080 from Hawthrone PD.     The victims daughter, Toya Campbell-Dearmas, had active FRO #FV-14-001021-25 against the arrestee. The victims address is listed on the FRO.      The bicycle the arrestee was on was logged into property and secured in bulk storage in the old police garage.       A New Jersey Victim Notification form was filled out and a copy was provided to the victim.      Lt. Klosk authored complainant #W 2025 000178 0223 on my behalf for the charges of 2C:18-2, 2C:12-3, 2C12-1a, 2C:17-3, 2C:25-31.</t>
  </si>
  <si>
    <t>$50.00 to repair. The victim also reported a broken mirror which cost him approximately  $150.00.     The victim reported he has never had issues with the arrestee until the divorce proceeding with his daughter was initiated</t>
  </si>
  <si>
    <t>25-030391</t>
  </si>
  <si>
    <t>Kinderkamack Road, 0 Block</t>
  </si>
  <si>
    <t>2 Kinderkamack Road</t>
  </si>
  <si>
    <t>2 Kinderkamack Road, Hackensack, NJ, 07601</t>
  </si>
  <si>
    <t>I4</t>
  </si>
  <si>
    <t>Suspect: White Hispanic male, approximately 30-40 years old, facial hair, named "Jean"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"when was the last time you kissed someone and/or had sex?" The victim stated "about a year and a half ago or more". The suspect pulled over near Jefferson Street. The suspect then stated "kiss me ,come to the front seat and kiss me". The victim then entered the front seat. The suspect then grabbed the victim's face and kissed her for approximately 10 seconds. While kissing the victim, the suspect groped the victim's chest from outer clothing, then down to her hips, to her vagina. The suspect then rubbed the victim's vagina over her clothing. The victim stated she was "frozen" and unable to react to the suspects action. The suspect then stopped and asked to kiss her again. The victim stated the second kiss lasted 2-3 seconds. The victim stated to the suspect she had bad experiences in the past and did not feel comfortable continuing. The suspect then stopped; however, kept his right hand on her thighs.     Over the course of the ride, the suspect attempted to pull over again but this time on Prospect Avenue and Atlantic Street. The victim's friend called her during this time,  questioning her about her location due to the time that she had left from home. Upon arrival to her destination, as the victim exited the vehicle, the suspect stated "You can call me if you want to get a better experience."     A New Jersey Victim Notification Form was completed. A copy was given and explained to the victim. The Detective Bureau was notified and Det. Carroll responded to speak with the victim.  Reference initial reported taken by River Edge Police on 4/12/2025: Case # 2025-03824</t>
  </si>
  <si>
    <t>Gretkowski_J</t>
  </si>
  <si>
    <t>P.O. Juda DeOliveira 376</t>
  </si>
  <si>
    <t>suspect: white hispanic male, approximately 30-40 years old, facial hair, named "jean"     on 04/14/25, i responded to police headquarters for a walk-in that reported being sexually assaulted on 03/23/2025 suspect offered to return to retrieve her cellphone suspect for returning to her home suspect who then accepted the cash suspect was asking her personal questions such as: "when was the last time you kissed someone and/or had sex?" the victim stated "about a year and a half ago or more" suspect pulled over near jefferson street suspect then stated "kiss me ,come to the front seat and kiss me" suspect then grabbed the victim's face and kissed her for approximately 10 seconds suspect groped the victim's chest from outer clothing, then down to her hips, to her vagina suspect then rubbed the victim's vagina over her clothing suspects action suspect then stopped and asked to kiss her again suspect she had bad experiences in the past and did not feel comfortable continuing suspect then stopped; however, kept his right hand on her thighs suspect attempted to pull over again but this time on prospect avenue and atlantic street suspect stated "you can call me if you want to get a better experience</t>
  </si>
  <si>
    <t>$40.00 in cash to the suspect who then accepted the cash.      During the course of the transportation, the victim reported the suspect was asking her personal questions such as: "when was the last time you kissed someone and/or had sex?" The victim stated "about a year and a half ago or more"</t>
  </si>
  <si>
    <t>Case Number - Copy</t>
  </si>
  <si>
    <t>Block</t>
  </si>
  <si>
    <t>Involved Vehicle</t>
  </si>
  <si>
    <t>Method of Entry</t>
  </si>
  <si>
    <t>Point of Exit</t>
  </si>
  <si>
    <t>Type of Structure</t>
  </si>
  <si>
    <t>Security Measures Present</t>
  </si>
  <si>
    <t>CaseID</t>
  </si>
  <si>
    <t>Name</t>
  </si>
  <si>
    <t>Extension</t>
  </si>
  <si>
    <t>Date accessed</t>
  </si>
  <si>
    <t>Date modified</t>
  </si>
  <si>
    <t>Date created</t>
  </si>
  <si>
    <t>Folder Path</t>
  </si>
  <si>
    <t>2025_02_24_16_46_37_ALL_CRIMES - Copy.xlsx</t>
  </si>
  <si>
    <t>.xlsx</t>
  </si>
  <si>
    <t>C:\Users\carucci_r\OneDrive - City of Hackensack\_LawSoft_EXPORT\RMS\EXPORT_RMS\</t>
  </si>
  <si>
    <t>2025_02_24_16_46_37_ALL_CRIMES.xlsx</t>
  </si>
  <si>
    <t>2025_02_25_06_41_38_ALL_RMS.xlsx</t>
  </si>
  <si>
    <t>2025_03_02_17_13_48_ALL_RMS.xlsx</t>
  </si>
  <si>
    <t>2025_03_03_20_13_40_ALL_RMS.xlsx</t>
  </si>
  <si>
    <t>2025_03_10_20_30_25_ALL_RMS.xlsx</t>
  </si>
  <si>
    <t>2025_03_11_13_03_49_ALL_RMS.xlsx</t>
  </si>
  <si>
    <t>2025_03_14_16_11_51_ALL_RMS.xlsx</t>
  </si>
  <si>
    <t>2025_03_17_10_47_13_ALL_RMS.xlsx</t>
  </si>
  <si>
    <t>2025_03_24_10_35_26_ALL_RMS.xlsx</t>
  </si>
  <si>
    <t>2025_03_30_11_50_10_ALL_RMS.xlsx</t>
  </si>
  <si>
    <t>2025_04_01_00_11_19_ALL_RMS.xlsx</t>
  </si>
  <si>
    <t>2025_04_04_18_17_19_ALL_RMS.xlsx</t>
  </si>
  <si>
    <t>2025_04_06_02_29_49_ALL_RMS.xlsx</t>
  </si>
  <si>
    <t>2025_04_08_12_25_26_ALL_RMS.xlsx</t>
  </si>
  <si>
    <t>2025_04_09_17_48_19_ALL_RMS.xlsx</t>
  </si>
  <si>
    <t>2025_04_11_19_19_50_ALL_RMS_.xlsx</t>
  </si>
  <si>
    <t>2025_04_14_14_35_55_ALL_CRIMES_to_0414.xlsx</t>
  </si>
  <si>
    <t>2025_04_17_15_38_51_ALL_RMS.xlsx</t>
  </si>
  <si>
    <t>HPD_RMS_Export.xlsx</t>
  </si>
  <si>
    <t>ExternalData_2</t>
  </si>
  <si>
    <t>Motor Vehicle Theft - 2C:20-3</t>
  </si>
  <si>
    <t>9</t>
  </si>
  <si>
    <t xml:space="preserve">    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t>
  </si>
  <si>
    <t>W46uly</t>
  </si>
  <si>
    <t>Honda</t>
  </si>
  <si>
    <t>klosk_j</t>
  </si>
  <si>
    <t>Criminal Sexual Contact - 2C:14-3a</t>
  </si>
  <si>
    <t>7</t>
  </si>
  <si>
    <t xml:space="preserve">     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t>
  </si>
  <si>
    <t>Dominguez_l</t>
  </si>
  <si>
    <t>Burglary - Auto - 2C:18-2</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</si>
  <si>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
2 Boroscope - $5,000.00 USD
8 Redundant Locks - $2,000.00 USD
5 Drills - $5,000.00 USD
1 large box of drill bits - $1,200.00 USD
1 tool bag with several tools - $2,000.00 USD
6 Electronic locks - $1,320.00 USD
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
A victim notification form was completed and a copy was given to the victim.</t>
  </si>
  <si>
    <t>deleon_a</t>
  </si>
  <si>
    <t>Criminal Attempt - 2C:5-1</t>
  </si>
  <si>
    <t>Robbery - 2C:15-1</t>
  </si>
  <si>
    <t>8</t>
  </si>
  <si>
    <t xml:space="preserve">     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
It should be noted that the victim, A.R., reported that he had dropped out of school as of today; therefore, a handle with care was not completed. See Detectives report for additional information. 
</t>
  </si>
  <si>
    <t>Resisting Arrest/Eluding - 2C:29-2</t>
  </si>
  <si>
    <t xml:space="preserve">     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
Two 20V Atomic BL Combo Kit priced at $149.00 each
M18 Fuel Jig Saw priced at $199.00
MKE M12 Packout Flood Light priced at $149.00
M18 Fuel 10 Miter Saw priced at $449.00
     Totaling at $1,284.00.
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
The arrestee was remanded to the Bergen County Jail.</t>
  </si>
  <si>
    <t>y82vds</t>
  </si>
  <si>
    <t>Volks</t>
  </si>
  <si>
    <t>swetits_m</t>
  </si>
  <si>
    <t xml:space="preserve">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
240 First Street has cameras in the general direction of where the vehicle was parked. It is unknown at this time if they captured the incident occur.
Insurance Information: 
Company: Geico (369)
Policy Number: 6183163036
The driver was provided with a completed New Jersey Victim Notification Form.
The driver wished to have the vehicle processed if located and a Hackensack Police Consent to Search from was completed.
The vehicle was entered into NCIC as stolen by Communications.
The vehicle was entered into ATTF as stolen.
</t>
  </si>
  <si>
    <t>Burglary - Residence - 2C:18-2</t>
  </si>
  <si>
    <t xml:space="preserve">     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</si>
  <si>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 xml:space="preserve">Suspect 1: Hispanic male, approximately early 30' s in age, approximately 5'10" in height, approximately 180 in weight, wearing a tan hooded sweater, brown "NY" Yankees logo hat, black sweatpants and white sneakers.
Suspect 2: Hispanic female, approximately mid 20's in age, approximately 5'5" in height, approximately 140 in weight, wearing a black jacket, grey hooded sweater, tan pants and cream colored shoes. 
Suspect Vehicle: 4 door Silver in color Hyundai Sonata (unknown registration).
On 1/17/25 P.O. Papanikolaou and I responded to 630 Main Street, Target on a reported shoplifting. While   speaking with Target Loss Prevention they wanted to report an additional incident, which occurred in the past.
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
A receipt of the unpaid merchandise was provided by Target Loss Prevention. The receipt was later secured in the Detective Bureau Mailbox.
</t>
  </si>
  <si>
    <t>Hyundai</t>
  </si>
  <si>
    <t>Sonata</t>
  </si>
  <si>
    <t xml:space="preserve"> 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</si>
  <si>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tovbin_s</t>
  </si>
  <si>
    <t>5</t>
  </si>
  <si>
    <t xml:space="preserve">        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t>
  </si>
  <si>
    <t>Nissan</t>
  </si>
  <si>
    <t>Sexual Assault - 2C:14-2b</t>
  </si>
  <si>
    <t xml:space="preserve">  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t>
  </si>
  <si>
    <t>bay_f</t>
  </si>
  <si>
    <t xml:space="preserve">          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
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
Sgt. Competiello contacted detectives. Detective DeBonis arrived on scene.
The victim requested for the apartment to be processed. Sgt. Competiello contacted Bergen County Sheriff's Office. Detective LaSala #1866 arrived on scene. See BCSO case #2025-0052 for more .
I observed no signs of forced entry. The New Jersey victim notification form was filled out and a copy was provided to the victim for her records.
The crime scene was secured at 14:15 hours.
Crime Scene Log:
14:31: Det. LaSala Enters
14:38: Det. LaSala Exits
14:48: Det. Lasala Enters
14:49: Det. Debonis Enters
15:01: Det. LaSala Exits.
15:04: Det. LaSala Enters.
Crime Scene Terminated: 15:08
</t>
  </si>
  <si>
    <t>levis_r</t>
  </si>
  <si>
    <t>Theft - 2C:20-3</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</si>
  <si>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t>
  </si>
  <si>
    <t>r36gbb</t>
  </si>
  <si>
    <t xml:space="preserve">           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
Vehicle Insurance: Geico
Code :365
Policy Number: 6164-87-88-42</t>
  </si>
  <si>
    <t>r97ryw</t>
  </si>
  <si>
    <t>nj</t>
  </si>
  <si>
    <t>6</t>
  </si>
  <si>
    <t xml:space="preserve">         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t>
  </si>
  <si>
    <t>k84cxu</t>
  </si>
  <si>
    <t>Lexus</t>
  </si>
  <si>
    <t>Swetits_m</t>
  </si>
  <si>
    <t xml:space="preserve">      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t>
  </si>
  <si>
    <t xml:space="preserve">     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t>
  </si>
  <si>
    <t>p77uzj</t>
  </si>
  <si>
    <t>Ford</t>
  </si>
  <si>
    <t>Unknown Suspect Descriptions:
Unknown Suspect 1: Tall white male, crew cut, no clothing description
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t>
  </si>
  <si>
    <t xml:space="preserve">     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</si>
  <si>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 xml:space="preserve">            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
Insurance Info: Self-Insured
Certificate #:S012
Exp: 06/30/2025</t>
  </si>
  <si>
    <t>am82732</t>
  </si>
  <si>
    <t>Promaster</t>
  </si>
  <si>
    <t>Burglary - Commercial - 2C:18-2</t>
  </si>
  <si>
    <t xml:space="preserve">   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
-0448 hours, Det. N. LaSala (BCSD-CSU) arrived to process the scene, BCSD case # 2025-0088.
-0528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t>
  </si>
  <si>
    <t xml:space="preserve">  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
A victim notification form was completed and a copy was given to the victim. The victim requested to have the vehicle process if located. 
The estimated value of the stolen auto is $2,000.00 Dollars.</t>
  </si>
  <si>
    <t>T12sse</t>
  </si>
  <si>
    <t>Dodge</t>
  </si>
  <si>
    <t xml:space="preserve">                       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t>
  </si>
  <si>
    <t>s70mpz</t>
  </si>
  <si>
    <t>Aggravated Assault - 2C:12-1b</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</si>
  <si>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
A recorded statement was taken by Detective Mora. 
BREATHE services were offered but the victim refused. 
A New Jersey Victim Notification Form was completed.
DVRT Form was completed.
Voluntary Handwritten Statement was completed.
ODARA Form was completed. 
Jersey City Police Department Detective Soto was advised of the incident.
All paperwork was forwarded to him for complaints to be signed.</t>
  </si>
  <si>
    <t>briggs_s</t>
  </si>
  <si>
    <t xml:space="preserve">    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
1-Metro Tech 810 Mark out scope- approximately $3,000.00
1-Heath RMLD- Approximately $8,000.00
1-Heath gas detector- Approximately $5,000.00
                                            Approximate amount stolen: $16,000.00
    I did not observe any cameras in the area and the PSE&amp;G vehicle is self insured. </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</si>
  <si>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
The vehicle registration was given to dispatch and was entered into NCIC. 
A stolen vehicle entry was made into the Auto Theft Task Force website.
The vehicle's estimated value is approximately $22,000 USD.  
See Rochelle Park Case #2025-002492.</t>
  </si>
  <si>
    <t>l17pum</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</si>
  <si>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t>
  </si>
  <si>
    <t>z53rvg</t>
  </si>
  <si>
    <t xml:space="preserve">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
Sgt. Farhi was notified. Detectives were notified by Sgt. Farhi. 
Total value of items taken - $150.00 USD
</t>
  </si>
  <si>
    <t xml:space="preserve">  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t>
  </si>
  <si>
    <t xml:space="preserve">          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
Det. Reyes was advised all investigation turned over to Dete</t>
  </si>
  <si>
    <t>Harassment - 2C:33-4</t>
  </si>
  <si>
    <t>Domestic Violence - 2C:25-21</t>
  </si>
  <si>
    <t xml:space="preserve">     On Tuesday, 01/14/2025, P.O. Rivera and I responded to 895 Main Street apartment 12A for a Domestic Violence incident report. Mrs. Charmaine Perez (victim) is the mother of Mr. Christopher Pereira (suspect). Mr. Eusebia Perez (witness) is married to the victim and stepfather to the suspect. 
     The victim reported that the suspect has not lived at the apartment for approximately three (3) months. The suspect does not have key access to the apartment. There is a vestibule, which is kept locked, that leads to a first and second floor apartment. The victim's apartment is on the first floor.  
     The victim reported that the suspect broke into the apartment uninvited and continued into her bedroom, where she was located. The suspect was irate, confronted her about money that she was awarded from a lawsuit settlement. The suspect stated, " BITCH, DON'T MESS WITH THE GRANDKIDS, DO YOU KNOW WHO THAT NIGGA IS ON THE COUCH, STAY THE FUCK AWAY FROM ME!" The victim reported at the time her granddaughter, Ms. Keka Ornsby, and her boyfriend were seated on the couch when the suspect entered. The victim reported that the suspect did not engage with Ms. Keka Ornsby. It should be noted, Ms. Ornsby's mother has an active temporary restraining order (Docket #FV-02000101-11 against the suspect. Ms. Ornsby is listed as an additional person in the order. The victim reported that Ms. Ornsby began staying with her for approximately three (3) weeks. Due to the statements the victim made, we did not sign a complaint against suspect for 2C:29-9 (Contempt of court).  
     The victim reported when the suspect exited the bedroom, the granddaughter and her boyfriend left and the witness entered the apartment. The witness reported that he avoided confrontation from the suspect by exiting the apartment. The witness was unaware the suspect was inside and the victim confirmed his reporting. It should be noted, the suspect has a no contact order against the witness (See complaint #W2024-000767-0223). Due to the victim's and witness's statement, we did not sign a complaint against the witness for 2C:29-9 (Contempt of court). 
     Sgt. Williams arrived to assist. The victim believed the suspect used a credit card to gain entry into the apartment. The vestibule door and apartment door had old damage near the doorknob and strike plate. The victim confirmed our observation. Sgt. Detective Bay was notified. The scene was unable to be processed, but was captured by my body worn camera. 
     The victim wanted a temporary restraining order and willing to give a recorded statement. She was transported to headquarters, gave a recorded statement to detectives (See their supplement), and Judge Takvorian granted the TRO in report room #2 @1342 hours. Sgt. Feuilly was sent an e-mail to preserve the recording. The victim was given her copy of the TRO. She did not want to speak with a Domestic Violence Response member, but was provided their phone number. A voluntary handwritten form was not completed because she gave a recorded statement. A New Jersey Victim notification form was completed. 
     Lt. Knapp authored complaint #W-0223-2025-000014 for 2C:33-4C (Harassment), a petty disorderly persons offense, and 2C:18-2A(1) (Burglary), a third degree crime.   
</t>
  </si>
  <si>
    <t>knapp_j</t>
  </si>
  <si>
    <t xml:space="preserve">     The victim and the suspect were prviously in a two year relationship.  The two never resided together and have no children in common.
     P.O. McCarthy and I responded to the listed location on a report of a violation of a court order.  Upon arrival, we met with the victim,  Johnathan Arroyo, who reported hearing a loud bang from the basement door.  After hearing the loud bang, he began to hear his ex-girlfriend, Ashley Celdo Rodriguez, start to scream while standing in the basement.  That's when his brother, David Arroyo, and the victim exit their bedrooms and witness the suspect inside of the house.  Both parties grabbed the suspect and escorted her out of the house.  Once outside, the suspect ran toward the backyard fence and climbed over before our arrival on the scene.  While on the scene, I observed the door frame trim to be damaged.  The victim estimated that the cost to fix the door was $200.00.  P.O. Mcarthy and P.O. Lopez-Amaya arrived to assist and conducted a check of the area.
     While on the scene, I observed several surveillance cameras on the residence's exterior.  They showed me the footage of the suspect entering the rear yard and walking to the basement door of the house.  I provided the victim with my departmental e-mail address so that the video footage could be sent.  
      I contacted police headquarters to see if any active restraining orders were in place.  They advised me that three no-contact orders were in place.  I asked if the victim wanted the scene processed, but he did not want it done.  I asked the victim if he wanted to apply for a restraining order at this time, which he denied.  He also wanted to speak with a DVRT member at a later time.  I provided the victim with the telephone number.  I completed the New Jersey victim notification form and domestic violence supplement were completed.   The victim refused to complete a voluntary handwritten statement.  While at police headquarters, P.O. McCarthy, P.O. Vicale, and P.O. Lopez-Amaya located the suspect. See their supplements for further information.  
     Arrestee was charged with 2C:29-17-3A(1), 2C:33-4A, 2C:18-2A(1), 2C:29-2A(1) and 3 counts of 2C:29-9A(1) on 0223-W-2025-000023
 </t>
  </si>
  <si>
    <t xml:space="preserve">      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t>
  </si>
  <si>
    <t xml:space="preserve">          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
Det. Reyes was advised all investigation turned over to Detectives.</t>
  </si>
  <si>
    <t>Unfounded / Closed</t>
  </si>
  <si>
    <t>Unlawful Possess./Weapons - 2C:39-5</t>
  </si>
  <si>
    <t xml:space="preserve">     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 I will fuck both of ya up" and began demanding the money Foster owed him. 
    Hunt reported that, he told the suspect that he was going to call the police. The suspect then stated ' I ain't scared of no police"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t>
  </si>
  <si>
    <t>BAY_F</t>
  </si>
  <si>
    <t xml:space="preserve">     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"No."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t>
  </si>
  <si>
    <t>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"Mike Williams"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
The vehicle was unable to be processed due to the complainant entering and moving his vehicle. A victim notification form was completed and a copy was given to the victim.</t>
  </si>
  <si>
    <t>farhi_b</t>
  </si>
  <si>
    <t xml:space="preserve">     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t>
  </si>
  <si>
    <t xml:space="preserve">      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t>
  </si>
  <si>
    <t>ghirardi_r</t>
  </si>
  <si>
    <t xml:space="preserve">***Spanish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t>
  </si>
  <si>
    <t>Subaru</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</si>
  <si>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
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
Sparta PD's search warrant is docket number JA-SSX-1953A-SW-25, approved by the Honorable Janine Allen.</t>
  </si>
  <si>
    <t>y52rxa</t>
  </si>
  <si>
    <t xml:space="preserve">     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t>
  </si>
  <si>
    <t>Chevrolet</t>
  </si>
  <si>
    <t>Criminal Mischief - Vehicle - 2C:17-3</t>
  </si>
  <si>
    <t>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
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
Insurance Info: 908340839
Company Code: 135</t>
  </si>
  <si>
    <t>m88kxu</t>
  </si>
  <si>
    <t>competiello_fa</t>
  </si>
  <si>
    <t xml:space="preserve">    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t>
  </si>
  <si>
    <t>klosk_J</t>
  </si>
  <si>
    <t>Hindering Apprehension - 2C:29-3</t>
  </si>
  <si>
    <t xml:space="preserve">    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"Jorge Williams".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t>
  </si>
  <si>
    <t xml:space="preserve">     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t>
  </si>
  <si>
    <t>KLOSK_J</t>
  </si>
  <si>
    <t>Attempted Burglary - 2C:18-2</t>
  </si>
  <si>
    <t xml:space="preserve">   Suspect is a tall, slim male dressed in all black. Complainant was unable to identify any further. 
    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 
   The vehicles driver door handle was broken, but the vehicle was not entered due to the suspect fleeing upon observing the complainant. The approximate cost to repair the damage is $200.00.
   The complainant was unable to get the vehicle owner on the phone so we were unable to get permission to process the vehicle. 
   A New Jersey Victim Witness Notification Form was completed and the complainant was given a copy. 
Vehicle insurance: 4487-16-41-49    
    Insurance Code: 148</t>
  </si>
  <si>
    <t>Acura</t>
  </si>
  <si>
    <t xml:space="preserve">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
We observed the vehicle door key lock on the dirt patch adjacent to the driveway. 
Victim was provided with a NJ Victim Notification form.
Estimated cost of the vehicle is $50,000
Insurance provider: Geico 100, policy #4587415441
</t>
  </si>
  <si>
    <t xml:space="preserve">     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"Asaad Martinez-Pollard" may be the suspect. The victim reported being assaulted by the suspect a few weeks prior and seeing him briefly today. See Case #25-010292 for further. A NJ Victim Notification form was completed and a copy was provided to the victim. Detective DeBonis was advised. 
 </t>
  </si>
  <si>
    <t>Criminal Mischief - 2C:17-3</t>
  </si>
  <si>
    <t xml:space="preserve">      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 
     Sgt. Donnerstag responded and Bergen County BCI was advised of the incident. The vehicle was not processed for evidence. The victim reported missing approximately $5.00 US in mixed coins and a Go Pro camera worth approximately $600.00 US. A victim notification form was completed and the victim received a copy. 
      Detectives were notified. 
Insurance: Progressive 
Policy: 992696988
Code: 135</t>
  </si>
  <si>
    <t>Toyota</t>
  </si>
  <si>
    <t xml:space="preserve">    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t>
  </si>
  <si>
    <t>imkr57</t>
  </si>
  <si>
    <t>Rogue</t>
  </si>
  <si>
    <t xml:space="preserve">     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t>
  </si>
  <si>
    <t>utu50w</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</si>
  <si>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
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
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t>
  </si>
  <si>
    <t>Mazda</t>
  </si>
  <si>
    <t xml:space="preserve">       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
       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t>
  </si>
  <si>
    <t xml:space="preserve">      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t>
  </si>
  <si>
    <t xml:space="preserve"> Suspect description: Slim build, black male, approximately 5'11 in height, wearing all black / dark clothing. 
  On 4/8/25 at approximately 00:52 hours,  I responded to the area of 120 Atlantic Street on a reported suspicious person. It was reported an unknown male suspect attempted to open a vehicle door and fled the area on foot. P.O. Papanikolaou and Sgt. Butler responded to assist. 
  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 
 Upon inspecting vehicle 1, the interior did not appear disturbed. Upon further investigation, the front passenger side door to vehicle 1 was left insecure. The front passenger door to vehicle 1 was unable to be secured. Vehicle 1 also had a dash camera fixed to the front windshield. At this time it was unknown if the dash camera was recording / operable.
  Upon responding to the west side of 118 Atlantic Street, I observed a medium size black in color "Jordan" duffle bag containing clothing / property. Upon further checking the area, a tied / knotted mint colored small size towel was also observed. All found property was secured in radio car 104. 
  A DMV check of vehicle 1 was conducted, which resulted the registered owner, Luis Moreno Colmenares, resided at 107 Atlantic Street. P.O. Papanikolaou later responded to 107 Atlantic Street in attempt to locate / speak with the owner, which resulted negative.
  A Hackensack Notification Card was completed and secured on vehicle 1. Additionally a Hackensack Notification Card was completed and secured in the mail box of 107 Atlantic Street. 
  P.O. Estrada and P.O. Mena checked the area in an attempt to locate the suspect, which resulted negative. 
  At this time, I was unable to confirm vehicle 1 was burglarized or what proceeds may have been stolen from the vehicle. All evidence / found property was transported to headquarters. At headquarters all property was inventoried. 
  The medium size black in color "Jordan" duffle bag containing a white in color Adidas hat, a pair of white and blue colored socks, black colored shorts, white colored shirt, clear glass bottle of cologne / perfume and a pair of white and orange colored puma sneakers.
  The tied / knotted mint colored small size towel contained a black plastic organizing tray inside. Inside the tray contained the following: 
- A black  plastic ash tray cup
- Juicy J's rolling paper(s)
- "OCB" slim premium rolling paper(s) with tip(s)
- Three multi color plastic lighters 
- White in color USB car charger 
- A backwoods magnet 
- Two "UFOND" headband lights 
- White colored paper matches 
- A silver and black in color "driven" ammunition style key chain
- $4.53 in assorted change
- A small clear glass bottle with a silver in color metal screw cap. Attached to the screw cap was a small silver in color spoon / scooper. Within the bottle contained an unknown white powdered substance (suspected cocaine).  
  The mint in color towel containing multiple items was later placed in a brown paper bag. The currency was later placed in currency security bag # 0588856. The small clear glass bottle containing the suspected cocaine was later placed in evidence bag # 7824140. All evidence / found property was later secured in evidence locker 6. See evidence report for further. 
  The immediate area was checked for any other vehicles possibly burglarized with negative results.
</t>
  </si>
  <si>
    <t>t21vbk</t>
  </si>
  <si>
    <t>butler_j</t>
  </si>
  <si>
    <t xml:space="preserve">      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t>
  </si>
  <si>
    <t xml:space="preserve">     Suspect: White Hispanic male, approximately 30-40 years old, facial hair, named "Jean"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"when was the last time you kissed someone and/or had sex?" The victim stated "about a year and a half ago or more". The suspect pulled over near Jefferson Street. The suspect then stated "kiss me ,come to the front seat and kiss me". The victim then entered the front seat. The suspect then grabbed the victim's face and kissed her for approximately 10 seconds. While kissing the victim, the suspect groped the victim's chest from outer clothing, then down to her hips, to her vagina. The suspect then rubbed the victim's vagina over her clothing. The victim stated she was "frozen" and unable to react to the suspects action. The suspect then stopped and asked to kiss her again. The victim stated the second kiss lasted 2-3 seconds. The victim stated to the suspect she had bad experiences in the past and did not feel comfortable continuing. The suspect then stopped; however, kept his right hand on her thighs.
     Over the course of the ride, the suspect attempted to pull over again but this time on Prospect Avenue and Atlantic Street. The victim's friend called her during this time,  questioning her about her location due to the time that she had left from home. Upon arrival to her destination, as the victim exited the vehicle, the suspect stated "You can call me if you want to get a better experience."
     A New Jersey Victim Notification Form was completed. A copy was given and explained to the victim. The Detective Bureau was notified and Det. Carroll responded to speak with the victim.  
Reference initial reported taken by River Edge Police on 4/12/2025: Case # 2025-03824
     </t>
  </si>
  <si>
    <t>gretkowski_j</t>
  </si>
  <si>
    <t xml:space="preserve">    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
Tomas stated he believes the total loss is $700.00.
     There was also no sign of forced entry.
     The victims stated that prior to contacting the police they touched several items in the apartment thus contaminating the scene.  
 </t>
  </si>
  <si>
    <t>Terroristic Threats - 2C:12-3</t>
  </si>
  <si>
    <t xml:space="preserve">     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made his way to the front door to investigate the sound. The victim reported as he approached the door, it swung open violently. The victim reported he then saw Michael Dearmas (arrestee hereafter) standing on the outside. It should be noted that Dearmas matched the description of the person who fled upon my arrival to the building. The victim reported the arrestee then ran into the apartment and grabbed him by the shirt striking him in the head in the process. The victim reported he then attempted to back up to call 911 to which the arrestee then yelled " I am going to kill you ". The victim reported the arrestee then ran out of the apartment. 
     The victim reported damage to the front door which would cost approximately $50.00 to repair. The victim also reported a broken mirror which cost him approximately $150.00.
     The victim reported he has never had issues with the arrestee until the divorce proceeding with his daughter was initiated. Sgt. Ghirardi arrived on scene. Sgt. Ghirardi notified Det. Tanucilli. Det. Tanucilli arrived on scene.  I asked the victim if he wished to have the scene processed to which he accepted. A Hackensack Police Consent to Search form was completed and turned over to Det. Tanucilli upon his arrival on scene. BCSO Det. S. Delacruz #1955 arrived on scene. Det. Delacruz photographed and processed the scene. See BCSO case number #2025-0233 for more.
       While on scene, Sgt. Ghirardi was speaking to the victims daughter on the phone when she received a call from the arrestee. The victims daughter placed the call on 3-way where he disclosed he was standing in front of a liquor store on Lehigh St. Communications was able to confirm the arrestees location via security cameras. P.O. Vicale, SPO Abueg, P.O. Voorhis, P.O. Caero, and P.O. Alvarez made their way to the arrestees location. Upon arrival, the arrestee again fled on an electric bicycle heading south into the NJ Transit Station Lot on Essex St. P.O. Vicale activated his exterior emergency warning lights in attempted to stop the arrestee. 
    Upon reaching the back of the parking lot the arrestee jumped off the bicycle and ran onto the train tracks. The arrestee then jumped into a small creek but surrendered to P.O. Vicale shortly after. The arrestee was pulled out of the creek by P.O. Vicale and handcuffed behind his back. The arrestee then requested an ambulance for leg pain. The arrestee was transported to Hackensack Hospital. The arrestee was searched before and after the transported which yielded negative results for contraband. P.O. Voorhis rode in the ambulance with the arrestee while P.O. Vicale followed.
     At approximately 21:00 the victim contacted the Hackensack Police Headquarters advising he had located the arrestees phone inside the apartment. I responded to the apartment to secure the phone as evidence. The phone was tagged and secured in evidence locker #2.
      Communication confirmed the arrestee had active warrant #W-2025-000167 out of this jurisdiction.        The arrestee also had warrant # W-2025-000078 and 1604-W-2025-000080 from Hawthrone PD.
     The victims daughter, Toya Campbell-Dearmas, had active FRO #FV-14-001021-25 against the arrestee. The victims address is listed on the FRO. 
     The bicycle the arrestee was on was logged into property and secured in bulk storage in the old police garage. 
      A New Jersey Victim Notification form was filled out and a copy was provided to the victim.
      Lt. Klosk authored complainant #W 2025 000178 0223 on my behalf for the charges of 2C:18-2, 2C:12-3, 2C12-1a, 2C:17-3, 2C:25-31.</t>
  </si>
  <si>
    <t>Weapons - Unlawful Purposes - 2C:39-4</t>
  </si>
  <si>
    <t xml:space="preserve"> On April 13, 2025, at approximately 1634 hours, P.O. McCarthy and I were dispatched to 157 Central Ave for a parking complaint. Upon our arrival, arrestee 1, Melanie Curry,  arrestee 2, Tyrone Miles, victim 1, Edwin Vasquez, and victim 2, Mirelis Lopez, were standing in the rear parking lot of 157 Central Ave arguing.  I spoke with arrestee 1, Melanie Curry, who stated that the victim, Edwin Lopez, has been parking in her parking spot, which has been an ongoing problem. Arrestee 1 also stated that she went into the rear seat of the Ford Explorer and took victim 2's pocketbook. She further stated the reason she took the pocketbook was so they would move their vehicle.
 I spoke with Victim 1, who stated that he was arguing with arrestee 1 and arrestee 2 over parking. Arrestee 2 walked over to the victim's 2005 Honda Accord, silver in color, New Jersey Registration N51UXW, and punctured both front tires with a knife. 
 I spoke with victim 2, who stated that arrestee 2 walked over to her 2019 Ford Explorer, black in color, New Jersey Registration D478UTT, which was also parked in the parking lot. The arrestee opened the rear door without permission and took out her Michael Kors black pocketbook from the back seat, and brought it into her apartment. See below for a detailed list of the contents of the purse. Victim 2 showed us a video of arrestee 2 puncturing the front tires of victim 1's vehicle. The video shows a black male wearing different clothing than what arrestee 2 was wearing, but you could see that arrestee 2 had the same wedding ring and blue bracelet that he had on his left wrist. Victim 2 further stated that arrestee 2 went into his residence and changed his clothes and sneakers. 
 Sgt. Briggs and P.O. Marble arrived on the scene to assist.
 Sgt. Brigg advised me that while he was speaking with arrestee 2, the arrestee admitted that he did puncture the two front tires with a knife. Sgt. Briggs went with the arrestee and retrieved the knife, described at a 10" kitchen knife with a blue handle and five inch blade which he turned over to me to be secured and transported to headquarters.  
 Both arrestees were placed in handcuffs, arrestee 1 was placed in the rear of patrol vehicle 108, and arrestee 2 was placed in the rear of patrol vehicle 107, Both vehicles were checked before and after for contraband. Both arrestees were searched at the scene and back at headquarters with negative results for additional contraband. 
 Victim notification forms were filled out and provided to both victims. A Handle with Care form was completed and turned into the front desk. 
 The knife was placed in an evidence knife box, tagged and placed into evidence locker 1 
 I contacted DCPP and spoke with Alisha #1357 and informed her of the situation. She advised me that they would not be responding but would be documenting the incident at this time. 
 Vehicle 1: cost of two tires $300.00 each
Geico Insurance 6168591045
 The following items were taken from Vehicle 2
 Black Michael Kors pocketbook $300.00
wallet                                          $50.00
Cash                                           $70.00 
Diapers                                       $50.00
Medication
a single blank check for the victim's checking account which was loose in the purse. 
Detective Tanucilli was notified and responded to headquarters to take recorded statements. See his report for further. 
 Both suspects were processed without incident and Lt. Klosk authored complaints S2025-000176, S2025-000177 on my behalf. The suspects were then released from custody. 
</t>
  </si>
  <si>
    <t>n51uxw</t>
  </si>
  <si>
    <t>d48utt</t>
  </si>
  <si>
    <t>25-030780</t>
  </si>
  <si>
    <t>325 Union Street, Hackensack, NJ, 07601</t>
  </si>
  <si>
    <t xml:space="preserve">      P.O. Mattalian and I responded to the listed location on a report of a burglary that took place in the past.  The victim's residence is occupied as a rooming house with multiple tenants. Upon arrival, we made contact with the victim, Gerard White.  The victim stated that he left his residence yesterday 4/14/2025 at approximately 2300 hours. The victim had slept in a hotel due to him and his girlfriend (Erica Best) getting into a verbal altercation. The victim stated Best was not in the room when he left to the hotel.  The victim returned back to his home today 4/15/2025 at approximately 1830 hours and was unable to open his door due to unknown object blocking his room door. The victim walked to the back of the structure to look through his window. The victim discovered his room window was ajar which appeared suspicious. The victim further discovered his apartment in complete disarray, with furniture flipped upside down, and tomato sauce smeared all over his walls.  The victim then discovered his pillow and some personal belongings in the garbage can that was across the driveway in the rear of the home.  Sgt. Competiello arrived on scene.
     An anonymous neighbor from room # 5 advised us that at approximately 0400 hours on 4/15/2025 he observed the silhouette of a women dressed like a "ninja" coming from the rear of the listed location with unknown items. The female then entered into an unknown SUV.  The victim stated that he was missing a pair of suede "Jordan" shoes with an approximate cost of $300.00.  He also had damage to his dresser and bed that had an approximate cost of $550.00.  P.O. Mattalian was able to pry the bedroom door open and I observed tomato sauce and food smeared all over the walls of the room.  
Det./Sgt. Williams and Det. Tanucilli arrived on scene.  The victim gave us verbal and written consent to have the room processed.  Det. Brielle Colon # 1952 from BCI arrived on scene to photograph and fingerprint the scene.  The victim was given a copy of the victim notification form and advised that detectives would follow up with him.  
 ****See Detective Tanucilli's supplement***</t>
  </si>
  <si>
    <t>P.O. Paula Lopez 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</si>
</sst>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164" formatCode="h:mm;@"/>
    <numFmt numFmtId="165" formatCode="mm/dd/yy;@"/>
    <numFmt numFmtId="166" formatCode="ddd"/>
    <numFmt numFmtId="167" formatCode="mm/dd/yy"/>
    <numFmt numFmtId="168" formatCode="hh:mm"/>
    <numFmt numFmtId="169" formatCode="00"/>
    <numFmt numFmtId="170" formatCode="000"/>
    <numFmt numFmtId="171" formatCode="mm/dd/yy\ hh:mm"/>
    <numFmt numFmtId="172" formatCode="[$-F400]h:mm:ss\ AM/PM"/>
  </numFmts>
  <fonts count="24" x14ac:knownFonts="1">
    <font>
      <sz val="11"/>
      <color theme="1"/>
      <name val="Calibri"/>
      <family val="2"/>
      <scheme val="minor"/>
    </font>
    <font>
      <sz val="12"/>
      <color theme="1"/>
      <name val="Aptos Narrow"/>
      <family val="2"/>
    </font>
    <font>
      <sz val="12"/>
      <color theme="1"/>
      <name val="Aptos Narrow"/>
      <family val="2"/>
    </font>
    <font>
      <sz val="12"/>
      <color theme="1"/>
      <name val="Aptos"/>
      <family val="2"/>
    </font>
    <font>
      <sz val="12"/>
      <color theme="1"/>
      <name val="Aptos Narrow"/>
      <family val="2"/>
    </font>
    <font>
      <sz val="14"/>
      <color theme="1"/>
      <name val="Aptos Narrow"/>
      <family val="2"/>
    </font>
    <font>
      <sz val="12"/>
      <color theme="1"/>
      <name val="Aptos Narrow"/>
      <family val="2"/>
    </font>
    <font>
      <sz val="11"/>
      <color theme="1"/>
      <name val="Aptos"/>
      <family val="2"/>
    </font>
    <font>
      <sz val="14"/>
      <color theme="1"/>
      <name val="Aptos"/>
      <family val="2"/>
    </font>
    <font>
      <sz val="12"/>
      <color theme="1"/>
      <name val="Aptos"/>
      <family val="2"/>
    </font>
    <font>
      <b/>
      <sz val="18"/>
      <color theme="1"/>
      <name val="Aptos"/>
      <family val="2"/>
    </font>
    <font>
      <b/>
      <sz val="14"/>
      <color theme="1"/>
      <name val="Aptos Narrow"/>
      <family val="2"/>
    </font>
    <font>
      <sz val="8"/>
      <name val="Calibri"/>
      <family val="2"/>
      <scheme val="minor"/>
    </font>
    <font>
      <sz val="8"/>
      <color theme="1"/>
      <name val="Calibri"/>
      <family val="2"/>
      <scheme val="minor"/>
    </font>
    <font>
      <sz val="8"/>
      <color theme="1"/>
      <name val="Aptos"/>
      <family val="2"/>
    </font>
    <font>
      <sz val="9"/>
      <color theme="1"/>
      <name val="Aptos"/>
      <family val="2"/>
    </font>
    <font>
      <sz val="9"/>
      <color theme="1"/>
      <name val="Calibri"/>
      <family val="2"/>
      <scheme val="minor"/>
    </font>
    <font>
      <sz val="11"/>
      <color theme="1"/>
      <name val="Calibri"/>
      <family val="2"/>
      <scheme val="minor"/>
    </font>
    <font>
      <sz val="12"/>
      <color rgb="FF000000"/>
      <name val="Aptos Narrow"/>
      <family val="2"/>
    </font>
    <font>
      <sz val="8"/>
      <color theme="0" tint="-0.14999847407452621"/>
      <name val="Aptos"/>
      <family val="2"/>
    </font>
    <font>
      <sz val="5"/>
      <color theme="0" tint="-0.14999847407452621"/>
      <name val="Aptos"/>
      <family val="2"/>
    </font>
    <font>
      <b/>
      <sz val="14"/>
      <color theme="1"/>
      <name val="Aptos"/>
      <family val="2"/>
    </font>
    <font>
      <sz val="12"/>
      <color theme="1"/>
      <name val="Calibri"/>
      <family val="2"/>
      <scheme val="minor"/>
    </font>
    <font>
      <b/>
      <sz val="16"/>
      <color theme="1"/>
      <name val="Aptos Narrow"/>
      <family val="2"/>
    </font>
  </fonts>
  <fills count="5">
    <fill>
      <patternFill patternType="none"/>
    </fill>
    <fill>
      <patternFill patternType="gray125"/>
    </fill>
    <fill>
      <patternFill patternType="solid">
        <fgColor theme="6" tint="0.79998168889431442"/>
        <bgColor theme="6" tint="0.79998168889431442"/>
      </patternFill>
    </fill>
    <fill>
      <patternFill patternType="solid">
        <fgColor theme="0" tint="-0.14999847407452621"/>
        <bgColor theme="0" tint="-0.14999847407452621"/>
      </patternFill>
    </fill>
    <fill>
      <patternFill patternType="solid">
        <fgColor theme="0" tint="-0.14996795556505021"/>
        <bgColor theme="6" tint="0.79992065187536243"/>
      </patternFill>
    </fill>
  </fills>
  <borders count="34">
    <border>
      <left/>
      <right/>
      <top/>
      <bottom/>
      <diagonal/>
    </border>
    <border>
      <left style="medium">
        <color indexed="64"/>
      </left>
      <right style="medium">
        <color indexed="64"/>
      </right>
      <top style="medium">
        <color indexed="64"/>
      </top>
      <bottom style="thin">
        <color rgb="FF513E80"/>
      </bottom>
      <diagonal/>
    </border>
    <border>
      <left style="medium">
        <color indexed="64"/>
      </left>
      <right style="medium">
        <color indexed="64"/>
      </right>
      <top style="thin">
        <color rgb="FF513E80"/>
      </top>
      <bottom style="thin">
        <color rgb="FF513E80"/>
      </bottom>
      <diagonal/>
    </border>
    <border>
      <left style="medium">
        <color indexed="64"/>
      </left>
      <right style="medium">
        <color indexed="64"/>
      </right>
      <top style="thin">
        <color rgb="FF513E80"/>
      </top>
      <bottom style="medium">
        <color indexed="64"/>
      </bottom>
      <diagonal/>
    </border>
    <border>
      <left style="medium">
        <color indexed="64"/>
      </left>
      <right style="medium">
        <color indexed="64"/>
      </right>
      <top style="medium">
        <color indexed="64"/>
      </top>
      <bottom style="thin">
        <color theme="1"/>
      </bottom>
      <diagonal/>
    </border>
    <border>
      <left style="medium">
        <color indexed="64"/>
      </left>
      <right style="medium">
        <color indexed="64"/>
      </right>
      <top style="thin">
        <color theme="1"/>
      </top>
      <bottom style="thin">
        <color theme="1"/>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theme="1"/>
      </bottom>
      <diagonal/>
    </border>
    <border>
      <left/>
      <right style="medium">
        <color indexed="64"/>
      </right>
      <top style="thin">
        <color theme="1"/>
      </top>
      <bottom style="thin">
        <color theme="1"/>
      </bottom>
      <diagonal/>
    </border>
    <border>
      <left style="medium">
        <color indexed="64"/>
      </left>
      <right style="medium">
        <color indexed="64"/>
      </right>
      <top style="thin">
        <color theme="1"/>
      </top>
      <bottom style="medium">
        <color indexed="64"/>
      </bottom>
      <diagonal/>
    </border>
    <border>
      <left/>
      <right style="medium">
        <color indexed="64"/>
      </right>
      <top style="thin">
        <color theme="1"/>
      </top>
      <bottom style="medium">
        <color indexed="64"/>
      </bottom>
      <diagonal/>
    </border>
    <border>
      <left style="medium">
        <color indexed="64"/>
      </left>
      <right style="medium">
        <color indexed="64"/>
      </right>
      <top style="thin">
        <color theme="1"/>
      </top>
      <bottom style="thin">
        <color indexed="64"/>
      </bottom>
      <diagonal/>
    </border>
    <border>
      <left/>
      <right style="medium">
        <color indexed="64"/>
      </right>
      <top style="thin">
        <color theme="1"/>
      </top>
      <bottom style="thin">
        <color indexed="64"/>
      </bottom>
      <diagonal/>
    </border>
    <border>
      <left/>
      <right/>
      <top/>
      <bottom style="medium">
        <color theme="6"/>
      </bottom>
      <diagonal/>
    </border>
    <border>
      <left style="thin">
        <color theme="6"/>
      </left>
      <right style="thin">
        <color theme="6"/>
      </right>
      <top style="thin">
        <color theme="6"/>
      </top>
      <bottom style="thin">
        <color theme="6"/>
      </bottom>
      <diagonal/>
    </border>
    <border>
      <left style="medium">
        <color indexed="64"/>
      </left>
      <right style="thin">
        <color theme="6"/>
      </right>
      <top style="medium">
        <color indexed="64"/>
      </top>
      <bottom style="thin">
        <color theme="6"/>
      </bottom>
      <diagonal/>
    </border>
    <border>
      <left style="thin">
        <color theme="6"/>
      </left>
      <right style="thin">
        <color theme="6"/>
      </right>
      <top style="medium">
        <color indexed="64"/>
      </top>
      <bottom style="thin">
        <color theme="6"/>
      </bottom>
      <diagonal/>
    </border>
    <border>
      <left style="medium">
        <color indexed="64"/>
      </left>
      <right style="thin">
        <color theme="6"/>
      </right>
      <top style="thin">
        <color theme="6"/>
      </top>
      <bottom style="thin">
        <color theme="6"/>
      </bottom>
      <diagonal/>
    </border>
    <border>
      <left/>
      <right/>
      <top style="thin">
        <color theme="1"/>
      </top>
      <bottom style="thin">
        <color theme="1"/>
      </bottom>
      <diagonal/>
    </border>
    <border>
      <left/>
      <right/>
      <top/>
      <bottom style="thin">
        <color theme="1"/>
      </bottom>
      <diagonal/>
    </border>
    <border>
      <left/>
      <right/>
      <top style="thin">
        <color theme="1"/>
      </top>
      <bottom/>
      <diagonal/>
    </border>
  </borders>
  <cellStyleXfs count="2">
    <xf numFmtId="0" fontId="0" fillId="0" borderId="0"/>
    <xf numFmtId="44" fontId="17" fillId="0" borderId="0" applyFont="0" applyFill="0" applyBorder="0" applyAlignment="0" applyProtection="0"/>
  </cellStyleXfs>
  <cellXfs count="199">
    <xf numFmtId="0" fontId="0" fillId="0" borderId="0" xfId="0"/>
    <xf numFmtId="14" fontId="0" fillId="0" borderId="0" xfId="0" applyNumberFormat="1"/>
    <xf numFmtId="22" fontId="0" fillId="0" borderId="0" xfId="0" applyNumberFormat="1"/>
    <xf numFmtId="0" fontId="4" fillId="0" borderId="0" xfId="0" applyFont="1"/>
    <xf numFmtId="0" fontId="5" fillId="0" borderId="0" xfId="0" applyFont="1"/>
    <xf numFmtId="0" fontId="0" fillId="0" borderId="0" xfId="0" pivotButton="1"/>
    <xf numFmtId="0" fontId="7" fillId="0" borderId="0" xfId="0" applyFont="1"/>
    <xf numFmtId="0" fontId="8" fillId="0" borderId="0" xfId="0" applyFont="1" applyAlignment="1">
      <alignment horizontal="center"/>
    </xf>
    <xf numFmtId="0" fontId="9" fillId="0" borderId="0" xfId="0" applyFont="1"/>
    <xf numFmtId="166" fontId="8" fillId="0" borderId="0" xfId="0" applyNumberFormat="1" applyFont="1" applyAlignment="1">
      <alignment horizontal="center"/>
    </xf>
    <xf numFmtId="0" fontId="8" fillId="0" borderId="0" xfId="0" applyFont="1"/>
    <xf numFmtId="0" fontId="10" fillId="0" borderId="0" xfId="0" applyFont="1"/>
    <xf numFmtId="0" fontId="9" fillId="0" borderId="0" xfId="0" applyFont="1" applyAlignment="1">
      <alignment wrapText="1"/>
    </xf>
    <xf numFmtId="0" fontId="8" fillId="0" borderId="0" xfId="0" applyFont="1" applyAlignment="1">
      <alignment horizontal="center" wrapText="1"/>
    </xf>
    <xf numFmtId="0" fontId="4" fillId="0" borderId="0" xfId="0" applyFont="1" applyAlignment="1">
      <alignment horizontal="center"/>
    </xf>
    <xf numFmtId="164" fontId="4" fillId="0" borderId="0" xfId="0" applyNumberFormat="1" applyFont="1"/>
    <xf numFmtId="164" fontId="4" fillId="0" borderId="0" xfId="0"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165" fontId="5" fillId="0" borderId="0" xfId="0" applyNumberFormat="1" applyFont="1" applyAlignment="1">
      <alignment horizontal="center"/>
    </xf>
    <xf numFmtId="165" fontId="4" fillId="0" borderId="0" xfId="0" applyNumberFormat="1" applyFont="1" applyAlignment="1">
      <alignment horizontal="center"/>
    </xf>
    <xf numFmtId="168" fontId="5" fillId="0" borderId="0" xfId="0" applyNumberFormat="1" applyFont="1" applyAlignment="1">
      <alignment horizontal="center"/>
    </xf>
    <xf numFmtId="168" fontId="4" fillId="0" borderId="0" xfId="0" applyNumberFormat="1" applyFont="1"/>
    <xf numFmtId="168" fontId="4" fillId="0" borderId="0" xfId="0" applyNumberFormat="1" applyFont="1" applyAlignment="1">
      <alignment horizontal="center"/>
    </xf>
    <xf numFmtId="169" fontId="5" fillId="0" borderId="0" xfId="0" applyNumberFormat="1" applyFont="1" applyAlignment="1">
      <alignment horizontal="center"/>
    </xf>
    <xf numFmtId="169" fontId="4" fillId="0" borderId="0" xfId="0" applyNumberFormat="1" applyFont="1" applyAlignment="1">
      <alignment horizontal="center"/>
    </xf>
    <xf numFmtId="170" fontId="5" fillId="0" borderId="0" xfId="0" applyNumberFormat="1" applyFont="1" applyAlignment="1">
      <alignment horizontal="center"/>
    </xf>
    <xf numFmtId="170" fontId="4" fillId="0" borderId="0" xfId="0" applyNumberFormat="1" applyFont="1" applyAlignment="1">
      <alignment horizontal="center"/>
    </xf>
    <xf numFmtId="171" fontId="5" fillId="0" borderId="0" xfId="0" applyNumberFormat="1" applyFont="1" applyAlignment="1">
      <alignment horizontal="center"/>
    </xf>
    <xf numFmtId="171" fontId="4" fillId="0" borderId="0" xfId="0" applyNumberFormat="1" applyFont="1" applyAlignment="1">
      <alignment horizontal="center"/>
    </xf>
    <xf numFmtId="167" fontId="5" fillId="0" borderId="0" xfId="0" applyNumberFormat="1" applyFont="1" applyAlignment="1">
      <alignment horizontal="center"/>
    </xf>
    <xf numFmtId="167" fontId="4" fillId="0" borderId="0" xfId="0" applyNumberFormat="1" applyFont="1" applyAlignment="1">
      <alignment horizontal="center"/>
    </xf>
    <xf numFmtId="0" fontId="0" fillId="0" borderId="0" xfId="0" applyAlignment="1">
      <alignment horizontal="center"/>
    </xf>
    <xf numFmtId="172" fontId="0" fillId="0" borderId="0" xfId="0" applyNumberFormat="1"/>
    <xf numFmtId="0" fontId="0" fillId="0" borderId="0" xfId="0" applyAlignment="1">
      <alignment wrapText="1"/>
    </xf>
    <xf numFmtId="0" fontId="0" fillId="0" borderId="0" xfId="0" applyAlignment="1">
      <alignment horizontal="left"/>
    </xf>
    <xf numFmtId="0" fontId="3" fillId="0" borderId="0" xfId="0" applyFont="1"/>
    <xf numFmtId="14" fontId="0" fillId="0" borderId="0" xfId="0" applyNumberFormat="1" applyAlignment="1">
      <alignment horizontal="left"/>
    </xf>
    <xf numFmtId="0" fontId="3" fillId="0" borderId="0" xfId="0" applyFont="1" applyAlignment="1">
      <alignment horizontal="right"/>
    </xf>
    <xf numFmtId="0" fontId="13" fillId="0" borderId="0" xfId="0" applyFont="1"/>
    <xf numFmtId="0" fontId="4" fillId="0" borderId="0" xfId="0" applyFont="1" applyAlignment="1">
      <alignment wrapText="1"/>
    </xf>
    <xf numFmtId="0" fontId="5" fillId="0" borderId="0" xfId="0" applyFont="1" applyAlignment="1">
      <alignment horizontal="center" wrapText="1"/>
    </xf>
    <xf numFmtId="0" fontId="14" fillId="0" borderId="0" xfId="0" applyFont="1"/>
    <xf numFmtId="0" fontId="15" fillId="0" borderId="0" xfId="0" pivotButton="1" applyFont="1"/>
    <xf numFmtId="0" fontId="15" fillId="0" borderId="0" xfId="0" applyFont="1"/>
    <xf numFmtId="0" fontId="16" fillId="0" borderId="0" xfId="0" applyFont="1"/>
    <xf numFmtId="0" fontId="15" fillId="0" borderId="0" xfId="0" applyFont="1" applyAlignment="1">
      <alignment wrapText="1"/>
    </xf>
    <xf numFmtId="0" fontId="16" fillId="0" borderId="0" xfId="0" applyFont="1" applyAlignment="1">
      <alignment wrapText="1"/>
    </xf>
    <xf numFmtId="0" fontId="1" fillId="0" borderId="0" xfId="0" applyFont="1" applyAlignment="1">
      <alignment horizontal="center"/>
    </xf>
    <xf numFmtId="167" fontId="1" fillId="0" borderId="0" xfId="0" applyNumberFormat="1" applyFont="1" applyAlignment="1">
      <alignment horizontal="center"/>
    </xf>
    <xf numFmtId="0" fontId="1" fillId="0" borderId="0" xfId="0" applyFont="1"/>
    <xf numFmtId="168" fontId="1" fillId="0" borderId="0" xfId="0" applyNumberFormat="1" applyFont="1" applyAlignment="1">
      <alignment horizontal="center"/>
    </xf>
    <xf numFmtId="172" fontId="1" fillId="0" borderId="0" xfId="0" applyNumberFormat="1" applyFont="1" applyAlignment="1">
      <alignment horizontal="center"/>
    </xf>
    <xf numFmtId="169" fontId="1" fillId="0" borderId="0" xfId="0" applyNumberFormat="1" applyFont="1" applyAlignment="1">
      <alignment horizontal="center"/>
    </xf>
    <xf numFmtId="170" fontId="1" fillId="0" borderId="0" xfId="0" applyNumberFormat="1" applyFont="1" applyAlignment="1">
      <alignment horizontal="center"/>
    </xf>
    <xf numFmtId="171" fontId="1" fillId="0" borderId="0" xfId="0" applyNumberFormat="1" applyFont="1" applyAlignment="1">
      <alignment horizontal="center"/>
    </xf>
    <xf numFmtId="165" fontId="1" fillId="0" borderId="0" xfId="0" applyNumberFormat="1" applyFont="1" applyAlignment="1">
      <alignment horizontal="center"/>
    </xf>
    <xf numFmtId="164" fontId="1" fillId="0" borderId="0" xfId="0" applyNumberFormat="1" applyFont="1" applyAlignment="1">
      <alignment horizontal="center"/>
    </xf>
    <xf numFmtId="14" fontId="1" fillId="0" borderId="0" xfId="0" applyNumberFormat="1" applyFont="1"/>
    <xf numFmtId="22" fontId="1" fillId="0" borderId="0" xfId="0" applyNumberFormat="1" applyFont="1"/>
    <xf numFmtId="0" fontId="1" fillId="0" borderId="0" xfId="0" applyFont="1" applyAlignment="1">
      <alignment wrapText="1"/>
    </xf>
    <xf numFmtId="0" fontId="11" fillId="0" borderId="0" xfId="0" applyFont="1" applyAlignment="1">
      <alignment horizontal="center"/>
    </xf>
    <xf numFmtId="0" fontId="11" fillId="0" borderId="2" xfId="0" applyFont="1" applyBorder="1" applyAlignment="1">
      <alignment horizontal="right"/>
    </xf>
    <xf numFmtId="0" fontId="11" fillId="0" borderId="3" xfId="0" applyFont="1" applyBorder="1" applyAlignment="1">
      <alignment horizontal="right"/>
    </xf>
    <xf numFmtId="0" fontId="11" fillId="2" borderId="4" xfId="0" applyFont="1" applyFill="1" applyBorder="1" applyAlignment="1">
      <alignment horizontal="right"/>
    </xf>
    <xf numFmtId="0" fontId="18" fillId="0" borderId="0" xfId="0" applyFont="1"/>
    <xf numFmtId="0" fontId="11" fillId="0" borderId="5" xfId="0" applyFont="1" applyBorder="1" applyAlignment="1">
      <alignment horizontal="right"/>
    </xf>
    <xf numFmtId="0" fontId="11" fillId="2" borderId="5" xfId="0" applyFont="1" applyFill="1" applyBorder="1" applyAlignment="1">
      <alignment horizontal="right"/>
    </xf>
    <xf numFmtId="0" fontId="11" fillId="2" borderId="5" xfId="0" applyFont="1" applyFill="1" applyBorder="1" applyAlignment="1">
      <alignment horizontal="right" vertical="center"/>
    </xf>
    <xf numFmtId="0" fontId="11" fillId="2" borderId="6" xfId="0" applyFont="1" applyFill="1" applyBorder="1" applyAlignment="1">
      <alignment horizontal="right"/>
    </xf>
    <xf numFmtId="0" fontId="1" fillId="2" borderId="7" xfId="0" applyFont="1" applyFill="1" applyBorder="1" applyAlignment="1">
      <alignment horizontal="left"/>
    </xf>
    <xf numFmtId="0" fontId="11" fillId="0" borderId="8" xfId="0" applyFont="1" applyBorder="1" applyAlignment="1">
      <alignment horizontal="right"/>
    </xf>
    <xf numFmtId="0" fontId="1" fillId="0" borderId="9" xfId="0" applyFont="1" applyBorder="1" applyAlignment="1">
      <alignment horizontal="left"/>
    </xf>
    <xf numFmtId="0" fontId="11" fillId="2" borderId="8" xfId="0" applyFont="1" applyFill="1" applyBorder="1" applyAlignment="1">
      <alignment horizontal="right"/>
    </xf>
    <xf numFmtId="167" fontId="1" fillId="2" borderId="9" xfId="0" applyNumberFormat="1" applyFont="1" applyFill="1" applyBorder="1" applyAlignment="1">
      <alignment horizontal="left"/>
    </xf>
    <xf numFmtId="0" fontId="1" fillId="2" borderId="9" xfId="0" applyFont="1" applyFill="1" applyBorder="1" applyAlignment="1">
      <alignment horizontal="left"/>
    </xf>
    <xf numFmtId="0" fontId="11" fillId="2" borderId="8" xfId="0" applyFont="1" applyFill="1" applyBorder="1" applyAlignment="1">
      <alignment horizontal="right" vertical="center"/>
    </xf>
    <xf numFmtId="0" fontId="1" fillId="2" borderId="9" xfId="0" applyFont="1" applyFill="1" applyBorder="1" applyAlignment="1">
      <alignment horizontal="left" vertical="center"/>
    </xf>
    <xf numFmtId="44" fontId="1" fillId="0" borderId="9" xfId="1" applyFont="1" applyBorder="1" applyAlignment="1">
      <alignment horizontal="left"/>
    </xf>
    <xf numFmtId="0" fontId="11" fillId="0" borderId="10" xfId="0" applyFont="1" applyBorder="1" applyAlignment="1">
      <alignment horizontal="right"/>
    </xf>
    <xf numFmtId="0" fontId="1" fillId="0" borderId="11" xfId="0" applyFont="1" applyBorder="1" applyAlignment="1">
      <alignment horizontal="left"/>
    </xf>
    <xf numFmtId="0" fontId="0" fillId="0" borderId="13" xfId="0" applyBorder="1"/>
    <xf numFmtId="0" fontId="15" fillId="0" borderId="0" xfId="0" pivotButton="1" applyFont="1" applyAlignment="1">
      <alignment wrapText="1"/>
    </xf>
    <xf numFmtId="0" fontId="8" fillId="0" borderId="0" xfId="0" pivotButton="1" applyFont="1" applyAlignment="1">
      <alignment horizontal="center"/>
    </xf>
    <xf numFmtId="0" fontId="11" fillId="2" borderId="1" xfId="0" applyFont="1" applyFill="1" applyBorder="1" applyAlignment="1">
      <alignment horizontal="right"/>
    </xf>
    <xf numFmtId="0" fontId="1" fillId="2" borderId="1" xfId="0" applyFont="1" applyFill="1" applyBorder="1" applyAlignment="1">
      <alignment horizontal="center"/>
    </xf>
    <xf numFmtId="167" fontId="1" fillId="0" borderId="2" xfId="0" applyNumberFormat="1" applyFont="1" applyBorder="1" applyAlignment="1">
      <alignment horizontal="center"/>
    </xf>
    <xf numFmtId="0" fontId="11" fillId="2" borderId="2" xfId="0" applyFont="1" applyFill="1" applyBorder="1" applyAlignment="1">
      <alignment horizontal="right"/>
    </xf>
    <xf numFmtId="167" fontId="1" fillId="2" borderId="2" xfId="0" applyNumberFormat="1" applyFont="1" applyFill="1" applyBorder="1" applyAlignment="1">
      <alignment horizontal="center"/>
    </xf>
    <xf numFmtId="0" fontId="1" fillId="0" borderId="2" xfId="0" applyFont="1" applyBorder="1" applyAlignment="1">
      <alignment horizontal="center"/>
    </xf>
    <xf numFmtId="0" fontId="1" fillId="2" borderId="2" xfId="0" applyFont="1" applyFill="1" applyBorder="1" applyAlignment="1">
      <alignment horizontal="center"/>
    </xf>
    <xf numFmtId="0" fontId="11" fillId="2" borderId="2" xfId="0" applyFont="1" applyFill="1" applyBorder="1" applyAlignment="1">
      <alignment horizontal="right" vertical="center"/>
    </xf>
    <xf numFmtId="0" fontId="1" fillId="2" borderId="2" xfId="0" applyFont="1" applyFill="1" applyBorder="1" applyAlignment="1">
      <alignment horizontal="center" vertical="center"/>
    </xf>
    <xf numFmtId="0" fontId="11" fillId="2" borderId="22" xfId="0" applyFont="1" applyFill="1" applyBorder="1" applyAlignment="1">
      <alignment horizontal="right"/>
    </xf>
    <xf numFmtId="0" fontId="1" fillId="2" borderId="20" xfId="0" applyFont="1" applyFill="1" applyBorder="1" applyAlignment="1">
      <alignment horizontal="center"/>
    </xf>
    <xf numFmtId="0" fontId="1" fillId="0" borderId="21" xfId="0" applyFont="1" applyBorder="1" applyAlignment="1">
      <alignment horizontal="center"/>
    </xf>
    <xf numFmtId="167" fontId="1" fillId="2" borderId="21" xfId="0" applyNumberFormat="1" applyFont="1" applyFill="1" applyBorder="1" applyAlignment="1">
      <alignment horizontal="center"/>
    </xf>
    <xf numFmtId="0" fontId="1" fillId="2" borderId="21" xfId="0" applyFont="1" applyFill="1" applyBorder="1" applyAlignment="1">
      <alignment horizontal="center"/>
    </xf>
    <xf numFmtId="0" fontId="1" fillId="2" borderId="21" xfId="0" applyFont="1" applyFill="1" applyBorder="1" applyAlignment="1">
      <alignment horizontal="center" vertical="center"/>
    </xf>
    <xf numFmtId="44" fontId="1" fillId="0" borderId="21" xfId="1" applyFont="1" applyBorder="1" applyAlignment="1">
      <alignment horizontal="center"/>
    </xf>
    <xf numFmtId="0" fontId="1" fillId="2" borderId="23" xfId="0" applyFont="1" applyFill="1" applyBorder="1" applyAlignment="1">
      <alignment horizontal="center"/>
    </xf>
    <xf numFmtId="0" fontId="11" fillId="2" borderId="24" xfId="0" applyFont="1" applyFill="1" applyBorder="1" applyAlignment="1">
      <alignment horizontal="right"/>
    </xf>
    <xf numFmtId="0" fontId="1" fillId="2" borderId="25" xfId="0" applyFont="1" applyFill="1" applyBorder="1" applyAlignment="1">
      <alignment horizontal="center"/>
    </xf>
    <xf numFmtId="0" fontId="11" fillId="2" borderId="10" xfId="0" applyFont="1" applyFill="1" applyBorder="1" applyAlignment="1">
      <alignment horizontal="right"/>
    </xf>
    <xf numFmtId="0" fontId="1" fillId="2" borderId="11" xfId="0" applyFont="1" applyFill="1" applyBorder="1" applyAlignment="1">
      <alignment horizontal="center"/>
    </xf>
    <xf numFmtId="0" fontId="7" fillId="0" borderId="0" xfId="0" pivotButton="1" applyFont="1"/>
    <xf numFmtId="0" fontId="7" fillId="0" borderId="0" xfId="0" applyFont="1" applyAlignment="1">
      <alignment wrapText="1"/>
    </xf>
    <xf numFmtId="0" fontId="20" fillId="0" borderId="0" xfId="0" pivotButton="1" applyFont="1"/>
    <xf numFmtId="44" fontId="1" fillId="0" borderId="2" xfId="1" applyFont="1" applyBorder="1" applyAlignment="1">
      <alignment horizontal="center"/>
    </xf>
    <xf numFmtId="0" fontId="3" fillId="0" borderId="12" xfId="0" applyFont="1" applyBorder="1" applyAlignment="1">
      <alignment horizontal="right"/>
    </xf>
    <xf numFmtId="0" fontId="3" fillId="0" borderId="13" xfId="0" applyFont="1" applyBorder="1"/>
    <xf numFmtId="0" fontId="3" fillId="0" borderId="14" xfId="0" applyFont="1" applyBorder="1"/>
    <xf numFmtId="0" fontId="3" fillId="0" borderId="15" xfId="0" applyFont="1" applyBorder="1" applyAlignment="1">
      <alignment horizontal="right"/>
    </xf>
    <xf numFmtId="0" fontId="3" fillId="0" borderId="16" xfId="0" applyFont="1" applyBorder="1"/>
    <xf numFmtId="0" fontId="3" fillId="0" borderId="17" xfId="0" applyFont="1" applyBorder="1" applyAlignment="1">
      <alignment horizontal="right"/>
    </xf>
    <xf numFmtId="0" fontId="3" fillId="0" borderId="18" xfId="0" applyFont="1" applyBorder="1"/>
    <xf numFmtId="0" fontId="9" fillId="0" borderId="18" xfId="0" applyFont="1" applyBorder="1"/>
    <xf numFmtId="0" fontId="3" fillId="0" borderId="19" xfId="0" applyFont="1" applyBorder="1"/>
    <xf numFmtId="0" fontId="1" fillId="0" borderId="0" xfId="0" pivotButton="1" applyFont="1" applyAlignment="1">
      <alignment wrapText="1"/>
    </xf>
    <xf numFmtId="0" fontId="6" fillId="0" borderId="0" xfId="0" applyFont="1" applyAlignment="1">
      <alignment wrapText="1"/>
    </xf>
    <xf numFmtId="167" fontId="8" fillId="0" borderId="0" xfId="0" applyNumberFormat="1" applyFont="1" applyAlignment="1">
      <alignment horizontal="center"/>
    </xf>
    <xf numFmtId="167" fontId="3" fillId="0" borderId="0" xfId="0" applyNumberFormat="1" applyFont="1" applyAlignment="1">
      <alignment horizontal="center"/>
    </xf>
    <xf numFmtId="0" fontId="3" fillId="0" borderId="0" xfId="0" applyFont="1" applyAlignment="1">
      <alignment horizontal="center"/>
    </xf>
    <xf numFmtId="0" fontId="0" fillId="4" borderId="27" xfId="0" applyFill="1" applyBorder="1"/>
    <xf numFmtId="0" fontId="0" fillId="0" borderId="27" xfId="0" applyBorder="1"/>
    <xf numFmtId="0" fontId="0" fillId="0" borderId="32" xfId="0" applyBorder="1"/>
    <xf numFmtId="0" fontId="7" fillId="0" borderId="0" xfId="0" applyFont="1" applyAlignment="1">
      <alignment horizontal="center"/>
    </xf>
    <xf numFmtId="0" fontId="21" fillId="0" borderId="31" xfId="0" applyFont="1" applyBorder="1" applyAlignment="1">
      <alignment horizontal="center"/>
    </xf>
    <xf numFmtId="166" fontId="21" fillId="0" borderId="31" xfId="0" applyNumberFormat="1" applyFont="1" applyBorder="1" applyAlignment="1">
      <alignment horizontal="center"/>
    </xf>
    <xf numFmtId="0" fontId="3" fillId="3" borderId="0" xfId="0" applyFont="1" applyFill="1" applyAlignment="1">
      <alignment horizontal="right"/>
    </xf>
    <xf numFmtId="0" fontId="3" fillId="3" borderId="0" xfId="0" applyFont="1" applyFill="1"/>
    <xf numFmtId="0" fontId="0" fillId="3" borderId="0" xfId="0" applyFill="1"/>
    <xf numFmtId="0" fontId="3" fillId="0" borderId="32" xfId="0" applyFont="1" applyBorder="1" applyAlignment="1">
      <alignment horizontal="right"/>
    </xf>
    <xf numFmtId="0" fontId="3" fillId="0" borderId="32" xfId="0" applyFont="1" applyBorder="1"/>
    <xf numFmtId="0" fontId="2" fillId="0" borderId="0" xfId="0" applyFont="1"/>
    <xf numFmtId="0" fontId="2" fillId="0" borderId="0" xfId="0" applyFont="1" applyAlignment="1">
      <alignment horizontal="center"/>
    </xf>
    <xf numFmtId="167" fontId="2" fillId="0" borderId="0" xfId="0" applyNumberFormat="1" applyFont="1" applyAlignment="1">
      <alignment horizontal="center"/>
    </xf>
    <xf numFmtId="167" fontId="0" fillId="0" borderId="0" xfId="0" applyNumberFormat="1" applyAlignment="1">
      <alignment horizontal="center" wrapText="1"/>
    </xf>
    <xf numFmtId="167" fontId="13" fillId="0" borderId="0" xfId="0" applyNumberFormat="1" applyFont="1" applyAlignment="1">
      <alignment horizontal="center"/>
    </xf>
    <xf numFmtId="167" fontId="0" fillId="0" borderId="0" xfId="0" applyNumberFormat="1" applyAlignment="1">
      <alignment horizontal="center"/>
    </xf>
    <xf numFmtId="0" fontId="13" fillId="0" borderId="0" xfId="0" applyFont="1" applyAlignment="1">
      <alignment wrapText="1"/>
    </xf>
    <xf numFmtId="0" fontId="22" fillId="0" borderId="0" xfId="0" applyFont="1"/>
    <xf numFmtId="167" fontId="22" fillId="0" borderId="0" xfId="0" applyNumberFormat="1" applyFont="1" applyAlignment="1">
      <alignment horizontal="center"/>
    </xf>
    <xf numFmtId="0" fontId="22" fillId="0" borderId="0" xfId="0" applyFont="1" applyAlignment="1">
      <alignment horizontal="center"/>
    </xf>
    <xf numFmtId="44" fontId="1" fillId="0" borderId="3" xfId="1" applyFont="1" applyBorder="1" applyAlignment="1">
      <alignment horizontal="center"/>
    </xf>
    <xf numFmtId="0" fontId="3" fillId="3" borderId="33" xfId="0" applyFont="1" applyFill="1" applyBorder="1" applyAlignment="1">
      <alignment horizontal="right"/>
    </xf>
    <xf numFmtId="0" fontId="3" fillId="3" borderId="33" xfId="0" applyFont="1" applyFill="1" applyBorder="1"/>
    <xf numFmtId="14" fontId="3" fillId="0" borderId="0" xfId="0" applyNumberFormat="1" applyFont="1" applyAlignment="1">
      <alignment horizontal="center"/>
    </xf>
    <xf numFmtId="172" fontId="3" fillId="0" borderId="0" xfId="0" applyNumberFormat="1" applyFont="1" applyAlignment="1">
      <alignment horizontal="center"/>
    </xf>
    <xf numFmtId="22" fontId="3" fillId="0" borderId="0" xfId="0" applyNumberFormat="1" applyFont="1" applyAlignment="1">
      <alignment horizontal="center"/>
    </xf>
    <xf numFmtId="0" fontId="13" fillId="0" borderId="0" xfId="0" pivotButton="1" applyFont="1" applyAlignment="1">
      <alignment wrapText="1"/>
    </xf>
    <xf numFmtId="0" fontId="0" fillId="0" borderId="0" xfId="0" pivotButton="1" applyAlignment="1">
      <alignment horizontal="center"/>
    </xf>
    <xf numFmtId="0" fontId="21" fillId="0" borderId="26" xfId="0" applyFont="1" applyBorder="1" applyAlignment="1">
      <alignment horizontal="center"/>
    </xf>
    <xf numFmtId="166" fontId="21" fillId="0" borderId="26" xfId="0" applyNumberFormat="1" applyFont="1" applyBorder="1" applyAlignment="1">
      <alignment horizontal="center"/>
    </xf>
    <xf numFmtId="0" fontId="3" fillId="4" borderId="28" xfId="0" applyFont="1" applyFill="1" applyBorder="1" applyAlignment="1">
      <alignment horizontal="right"/>
    </xf>
    <xf numFmtId="0" fontId="3" fillId="4" borderId="29" xfId="0" applyFont="1" applyFill="1" applyBorder="1"/>
    <xf numFmtId="0" fontId="0" fillId="4" borderId="29" xfId="0" applyFill="1" applyBorder="1"/>
    <xf numFmtId="0" fontId="3" fillId="0" borderId="30" xfId="0" applyFont="1" applyBorder="1" applyAlignment="1">
      <alignment horizontal="right"/>
    </xf>
    <xf numFmtId="0" fontId="3" fillId="0" borderId="27" xfId="0" applyFont="1" applyBorder="1"/>
    <xf numFmtId="0" fontId="3" fillId="4" borderId="30" xfId="0" applyFont="1" applyFill="1" applyBorder="1" applyAlignment="1">
      <alignment horizontal="right"/>
    </xf>
    <xf numFmtId="0" fontId="3" fillId="4" borderId="27" xfId="0" applyFont="1" applyFill="1" applyBorder="1"/>
    <xf numFmtId="14" fontId="1" fillId="0" borderId="0" xfId="0" applyNumberFormat="1" applyFont="1" applyAlignment="1">
      <alignment horizontal="left" wrapText="1"/>
    </xf>
    <xf numFmtId="0" fontId="21" fillId="0" borderId="26" xfId="0" applyFont="1" applyBorder="1" applyAlignment="1">
      <alignment horizontal="center" wrapText="1"/>
    </xf>
    <xf numFmtId="166" fontId="21" fillId="0" borderId="26" xfId="0" applyNumberFormat="1" applyFont="1" applyBorder="1" applyAlignment="1">
      <alignment horizontal="center" wrapText="1"/>
    </xf>
    <xf numFmtId="0" fontId="3" fillId="4" borderId="28" xfId="0" applyFont="1" applyFill="1" applyBorder="1" applyAlignment="1">
      <alignment horizontal="right" wrapText="1"/>
    </xf>
    <xf numFmtId="0" fontId="3" fillId="4" borderId="29" xfId="0" applyFont="1" applyFill="1" applyBorder="1" applyAlignment="1">
      <alignment wrapText="1"/>
    </xf>
    <xf numFmtId="0" fontId="0" fillId="4" borderId="29" xfId="0" applyFill="1" applyBorder="1" applyAlignment="1">
      <alignment wrapText="1"/>
    </xf>
    <xf numFmtId="0" fontId="3" fillId="0" borderId="30" xfId="0" applyFont="1" applyBorder="1" applyAlignment="1">
      <alignment horizontal="right" wrapText="1"/>
    </xf>
    <xf numFmtId="0" fontId="3" fillId="0" borderId="27" xfId="0" applyFont="1" applyBorder="1" applyAlignment="1">
      <alignment wrapText="1"/>
    </xf>
    <xf numFmtId="0" fontId="0" fillId="0" borderId="27" xfId="0" applyBorder="1" applyAlignment="1">
      <alignment wrapText="1"/>
    </xf>
    <xf numFmtId="0" fontId="6" fillId="0" borderId="0" xfId="0" applyFont="1" applyAlignment="1">
      <alignment horizontal="right" wrapText="1"/>
    </xf>
    <xf numFmtId="0" fontId="11" fillId="2" borderId="6" xfId="0" applyFont="1" applyFill="1" applyBorder="1" applyAlignment="1">
      <alignment horizontal="right" wrapText="1"/>
    </xf>
    <xf numFmtId="0" fontId="1" fillId="2" borderId="7" xfId="0" applyFont="1" applyFill="1" applyBorder="1" applyAlignment="1">
      <alignment horizontal="center" wrapText="1"/>
    </xf>
    <xf numFmtId="0" fontId="11" fillId="0" borderId="8" xfId="0" applyFont="1" applyBorder="1" applyAlignment="1">
      <alignment horizontal="right" wrapText="1"/>
    </xf>
    <xf numFmtId="0" fontId="1" fillId="0" borderId="9" xfId="0" applyFont="1" applyBorder="1" applyAlignment="1">
      <alignment horizontal="center" wrapText="1"/>
    </xf>
    <xf numFmtId="0" fontId="11" fillId="2" borderId="8" xfId="0" applyFont="1" applyFill="1" applyBorder="1" applyAlignment="1">
      <alignment horizontal="right" wrapText="1"/>
    </xf>
    <xf numFmtId="167" fontId="1" fillId="2" borderId="9" xfId="0" applyNumberFormat="1" applyFont="1" applyFill="1" applyBorder="1" applyAlignment="1">
      <alignment horizontal="center" wrapText="1"/>
    </xf>
    <xf numFmtId="0" fontId="1" fillId="2" borderId="9" xfId="0" applyFont="1" applyFill="1" applyBorder="1" applyAlignment="1">
      <alignment horizontal="center" wrapText="1"/>
    </xf>
    <xf numFmtId="0" fontId="11" fillId="2" borderId="8" xfId="0" applyFont="1" applyFill="1" applyBorder="1" applyAlignment="1">
      <alignment horizontal="right" vertical="center" wrapText="1"/>
    </xf>
    <xf numFmtId="0" fontId="1" fillId="2" borderId="9" xfId="0" applyFont="1" applyFill="1" applyBorder="1" applyAlignment="1">
      <alignment horizontal="center" vertical="center" wrapText="1"/>
    </xf>
    <xf numFmtId="0" fontId="11" fillId="0" borderId="10" xfId="0" applyFont="1" applyBorder="1" applyAlignment="1">
      <alignment horizontal="right" wrapText="1"/>
    </xf>
    <xf numFmtId="0" fontId="1" fillId="0" borderId="11" xfId="0" applyFont="1" applyBorder="1" applyAlignment="1">
      <alignment horizontal="center" wrapText="1"/>
    </xf>
    <xf numFmtId="0" fontId="19" fillId="0" borderId="0" xfId="0" applyFont="1"/>
    <xf numFmtId="0" fontId="21" fillId="0" borderId="0" xfId="0" applyFont="1" applyAlignment="1">
      <alignment horizontal="center" wrapText="1"/>
    </xf>
    <xf numFmtId="0" fontId="21" fillId="0" borderId="0" xfId="0" pivotButton="1" applyFont="1" applyAlignment="1">
      <alignment horizontal="center" wrapText="1"/>
    </xf>
    <xf numFmtId="0" fontId="3" fillId="0" borderId="0" xfId="0" applyFont="1" applyAlignment="1">
      <alignment horizontal="center" wrapText="1"/>
    </xf>
    <xf numFmtId="0" fontId="3" fillId="0" borderId="0" xfId="0" applyFont="1" applyAlignment="1">
      <alignment wrapText="1"/>
    </xf>
    <xf numFmtId="0" fontId="22" fillId="0" borderId="0" xfId="0" applyFont="1" applyAlignment="1">
      <alignment wrapText="1"/>
    </xf>
    <xf numFmtId="14" fontId="3" fillId="0" borderId="0" xfId="0" applyNumberFormat="1" applyFont="1"/>
    <xf numFmtId="167" fontId="3" fillId="0" borderId="0" xfId="0" applyNumberFormat="1" applyFont="1" applyAlignment="1">
      <alignment horizontal="center" wrapText="1"/>
    </xf>
    <xf numFmtId="172" fontId="3" fillId="0" borderId="0" xfId="0" applyNumberFormat="1" applyFont="1"/>
    <xf numFmtId="22" fontId="3" fillId="0" borderId="0" xfId="0" applyNumberFormat="1" applyFont="1"/>
    <xf numFmtId="164" fontId="3" fillId="0" borderId="0" xfId="0" applyNumberFormat="1" applyFont="1" applyAlignment="1">
      <alignment horizontal="center"/>
    </xf>
    <xf numFmtId="164" fontId="3" fillId="0" borderId="0" xfId="0" applyNumberFormat="1" applyFont="1"/>
    <xf numFmtId="0" fontId="10" fillId="0" borderId="32" xfId="0" applyFont="1" applyBorder="1" applyAlignment="1">
      <alignment horizontal="center"/>
    </xf>
    <xf numFmtId="0" fontId="10" fillId="0" borderId="0" xfId="0" applyFont="1" applyAlignment="1">
      <alignment horizontal="center"/>
    </xf>
    <xf numFmtId="0" fontId="23" fillId="0" borderId="0" xfId="0" applyFont="1" applyAlignment="1">
      <alignment horizontal="center"/>
    </xf>
    <xf numFmtId="0" fontId="10" fillId="0" borderId="0" xfId="0" applyFont="1" applyAlignment="1">
      <alignment horizontal="center" wrapText="1"/>
    </xf>
    <xf numFmtId="0" fontId="1" fillId="0" borderId="0" xfId="0" applyFont="1" applyAlignment="1">
      <alignment horizontal="center" wrapText="1"/>
    </xf>
  </cellXfs>
  <cellStyles count="2">
    <cellStyle name="Currency" xfId="1" builtinId="4"/>
    <cellStyle name="Normal" xfId="0" builtinId="0"/>
  </cellStyles>
  <dxfs count="903">
    <dxf>
      <fill>
        <patternFill>
          <bgColor rgb="FFFFFF66"/>
        </patternFill>
      </fill>
    </dxf>
    <dxf>
      <font>
        <color rgb="FF9C0006"/>
      </font>
      <fill>
        <patternFill>
          <bgColor rgb="FFFFC7CE"/>
        </patternFill>
      </fill>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dxf>
    <dxf>
      <numFmt numFmtId="0" formatCode="General"/>
    </dxf>
    <dxf>
      <numFmt numFmtId="19" formatCode="m/d/yyyy"/>
    </dxf>
    <dxf>
      <numFmt numFmtId="19" formatCode="m/d/yyyy"/>
    </dxf>
    <dxf>
      <numFmt numFmtId="19" formatCode="m/d/yyyy"/>
    </dxf>
    <dxf>
      <numFmt numFmtId="19" formatCode="m/d/yyyy"/>
    </dxf>
    <dxf>
      <numFmt numFmtId="19" formatCode="m/d/yyyy"/>
    </dxf>
    <dxf>
      <numFmt numFmtId="0" formatCode="General"/>
    </dxf>
    <dxf>
      <numFmt numFmtId="27" formatCode="m/d/yyyy\ h:mm"/>
    </dxf>
    <dxf>
      <numFmt numFmtId="27" formatCode="m/d/yyyy\ h:mm"/>
    </dxf>
    <dxf>
      <numFmt numFmtId="27" formatCode="m/d/yyyy\ h:mm"/>
    </dxf>
    <dxf>
      <numFmt numFmtId="0" formatCode="General"/>
    </dxf>
    <dxf>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alignment horizontal="center" vertical="bottom" textRotation="0" wrapText="0" indent="0" justifyLastLine="0" shrinkToFit="0" readingOrder="0"/>
    </dxf>
    <dxf>
      <numFmt numFmtId="27" formatCode="m/d/yyyy\ h:mm"/>
    </dxf>
    <dxf>
      <numFmt numFmtId="172" formatCode="[$-F400]h:mm:ss\ AM/PM"/>
    </dxf>
    <dxf>
      <numFmt numFmtId="172" formatCode="[$-F400]h:mm:ss\ AM/PM"/>
    </dxf>
    <dxf>
      <numFmt numFmtId="19" formatCode="m/d/yyyy"/>
    </dxf>
    <dxf>
      <numFmt numFmtId="27" formatCode="m/d/yyyy\ h:mm"/>
    </dxf>
    <dxf>
      <numFmt numFmtId="19" formatCode="m/d/yyyy"/>
    </dxf>
    <dxf>
      <numFmt numFmtId="27" formatCode="m/d/yyyy\ h:mm"/>
    </dxf>
    <dxf>
      <numFmt numFmtId="19" formatCode="m/d/yyyy"/>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4"/>
        <name val="Aptos"/>
      </font>
      <alignment horizontal="center"/>
    </dxf>
    <dxf>
      <font>
        <b/>
        <sz val="14"/>
        <name val="Aptos"/>
      </font>
      <alignment horizontal="center"/>
    </dxf>
    <dxf>
      <font>
        <b/>
        <sz val="14"/>
        <name val="Aptos"/>
      </font>
      <alignment horizontal="center"/>
    </dxf>
    <dxf>
      <font>
        <b/>
        <sz val="14"/>
        <name val="Aptos"/>
      </font>
      <alignment horizontal="center"/>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font>
        <sz val="12"/>
      </font>
    </dxf>
    <dxf>
      <font>
        <sz val="12"/>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font>
        <sz val="12"/>
      </font>
    </dxf>
    <dxf>
      <font>
        <sz val="12"/>
      </font>
    </dxf>
    <dxf>
      <font>
        <sz val="12"/>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numFmt numFmtId="0" formatCode="General"/>
    </dxf>
    <dxf>
      <numFmt numFmtId="0" formatCode="General"/>
    </dxf>
    <dxf>
      <numFmt numFmtId="0" formatCode="General"/>
    </dxf>
    <dxf>
      <numFmt numFmtId="0" formatCode="General"/>
    </dxf>
    <dxf>
      <numFmt numFmtId="27" formatCode="m/d/yyyy\ h:mm"/>
    </dxf>
    <dxf>
      <numFmt numFmtId="0" formatCode="General"/>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numFmt numFmtId="19" formatCode="m/d/yyyy"/>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numFmt numFmtId="19" formatCode="m/d/yyyy"/>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numFmt numFmtId="19" formatCode="m/d/yyyy"/>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right"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right"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alignment horizontal="center"/>
    </dxf>
    <dxf>
      <alignment horizontal="center"/>
    </dxf>
    <dxf>
      <alignment wrapText="1"/>
    </dxf>
    <dxf>
      <alignment wrapText="1"/>
    </dxf>
    <dxf>
      <font>
        <sz val="8"/>
      </font>
    </dxf>
    <dxf>
      <font>
        <sz val="8"/>
      </font>
    </dxf>
    <dxf>
      <alignment horizontal="center"/>
    </dxf>
    <dxf>
      <alignment horizontal="center"/>
    </dxf>
    <dxf>
      <alignment wrapText="1"/>
    </dxf>
    <dxf>
      <alignment wrapText="1"/>
    </dxf>
    <dxf>
      <font>
        <sz val="8"/>
      </font>
    </dxf>
    <dxf>
      <font>
        <sz val="8"/>
      </font>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numFmt numFmtId="19" formatCode="m/d/yyyy"/>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27" formatCode="m/d/yyyy\ h:m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9" formatCode="m/d/yy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border diagonalUp="0" diagonalDown="0">
        <left/>
        <right style="medium">
          <color indexed="64"/>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4"/>
        <color theme="1"/>
        <name val="Aptos"/>
        <family val="2"/>
        <scheme val="none"/>
      </font>
      <numFmt numFmtId="166" formatCode="ddd"/>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border diagonalUp="0" diagonalDown="0">
        <left/>
        <right style="medium">
          <color indexed="64"/>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4"/>
        <color theme="1"/>
        <name val="Aptos"/>
        <family val="2"/>
        <scheme val="none"/>
      </font>
      <numFmt numFmtId="166" formatCode="ddd"/>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i val="0"/>
        <strike val="0"/>
        <condense val="0"/>
        <extend val="0"/>
        <outline val="0"/>
        <shadow val="0"/>
        <u val="none"/>
        <vertAlign val="baseline"/>
        <sz val="14"/>
        <color theme="1"/>
        <name val="Aptos Narrow"/>
        <family val="2"/>
        <scheme val="none"/>
      </font>
      <alignment horizontal="center" vertical="bottom" textRotation="0" wrapText="0" indent="0" justifyLastLine="0" shrinkToFit="0" readingOrder="0"/>
    </dxf>
    <dxf>
      <alignment wrapText="1"/>
    </dxf>
    <dxf>
      <font>
        <sz val="9"/>
      </font>
    </dxf>
    <dxf>
      <font>
        <sz val="9"/>
      </font>
    </dxf>
    <dxf>
      <font>
        <sz val="9"/>
      </font>
    </dxf>
    <dxf>
      <font>
        <sz val="9"/>
      </font>
    </dxf>
    <dxf>
      <font>
        <sz val="9"/>
      </font>
    </dxf>
    <dxf>
      <font>
        <sz val="9"/>
      </font>
    </dxf>
    <dxf>
      <font>
        <sz val="9"/>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alignment wrapText="1"/>
    </dxf>
    <dxf>
      <font>
        <sz val="9"/>
      </font>
    </dxf>
    <dxf>
      <font>
        <sz val="9"/>
      </font>
    </dxf>
    <dxf>
      <font>
        <sz val="9"/>
      </font>
    </dxf>
    <dxf>
      <font>
        <sz val="9"/>
      </font>
    </dxf>
    <dxf>
      <font>
        <sz val="9"/>
      </font>
    </dxf>
    <dxf>
      <font>
        <sz val="9"/>
      </font>
    </dxf>
    <dxf>
      <font>
        <sz val="9"/>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172" formatCode="[$-F400]h:mm:ss\ AM/PM"/>
    </dxf>
    <dxf>
      <numFmt numFmtId="172" formatCode="[$-F400]h:mm:ss\ AM/PM"/>
    </dxf>
    <dxf>
      <numFmt numFmtId="19" formatCode="m/d/yyyy"/>
    </dxf>
    <dxf>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z val="14"/>
      </font>
    </dxf>
    <dxf>
      <font>
        <sz val="14"/>
      </font>
    </dxf>
    <dxf>
      <font>
        <sz val="5"/>
      </font>
    </dxf>
    <dxf>
      <font>
        <sz val="5"/>
      </font>
    </dxf>
    <dxf>
      <font>
        <color theme="0" tint="-0.14999847407452621"/>
      </font>
    </dxf>
    <dxf>
      <font>
        <color theme="0" tint="-0.14999847407452621"/>
      </font>
    </dxf>
    <dxf>
      <alignment horizontal="center"/>
    </dxf>
    <dxf>
      <alignment horizontal="center"/>
    </dxf>
    <dxf>
      <alignment horizontal="center"/>
    </dxf>
    <dxf>
      <font>
        <color theme="1"/>
      </font>
    </dxf>
    <dxf>
      <font>
        <color theme="1"/>
      </font>
    </dxf>
    <dxf>
      <font>
        <sz val="11"/>
      </font>
    </dxf>
    <dxf>
      <font>
        <sz val="11"/>
      </font>
    </dxf>
    <dxf>
      <font>
        <sz val="11"/>
      </font>
    </dxf>
    <dxf>
      <font>
        <sz val="11"/>
      </font>
    </dxf>
    <dxf>
      <font>
        <sz val="11"/>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4"/>
      </font>
    </dxf>
    <dxf>
      <font>
        <sz val="14"/>
      </font>
    </dxf>
    <dxf>
      <font>
        <sz val="5"/>
      </font>
    </dxf>
    <dxf>
      <font>
        <sz val="5"/>
      </font>
    </dxf>
    <dxf>
      <font>
        <color theme="0" tint="-0.14999847407452621"/>
      </font>
    </dxf>
    <dxf>
      <font>
        <color theme="0" tint="-0.14999847407452621"/>
      </font>
    </dxf>
    <dxf>
      <alignment horizontal="center"/>
    </dxf>
    <dxf>
      <alignment horizontal="center"/>
    </dxf>
    <dxf>
      <alignment horizontal="center"/>
    </dxf>
    <dxf>
      <font>
        <color theme="1"/>
      </font>
    </dxf>
    <dxf>
      <font>
        <color theme="1"/>
      </font>
    </dxf>
    <dxf>
      <font>
        <sz val="11"/>
      </font>
    </dxf>
    <dxf>
      <font>
        <sz val="11"/>
      </font>
    </dxf>
    <dxf>
      <font>
        <sz val="11"/>
      </font>
    </dxf>
    <dxf>
      <font>
        <sz val="11"/>
      </font>
    </dxf>
    <dxf>
      <font>
        <sz val="11"/>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1"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1"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strike val="0"/>
        <outline val="0"/>
        <shadow val="0"/>
        <u val="none"/>
        <vertAlign val="baseline"/>
        <sz val="12"/>
        <color theme="1"/>
        <name val="Aptos Narrow"/>
        <family val="2"/>
        <scheme val="none"/>
      </font>
      <alignment horizontal="general" vertical="bottom" textRotation="0" wrapText="1"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alignment wrapText="1"/>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8"/>
      </font>
    </dxf>
    <dxf>
      <font>
        <sz val="8"/>
      </font>
    </dxf>
    <dxf>
      <font>
        <sz val="8"/>
      </font>
    </dxf>
    <dxf>
      <font>
        <sz val="14"/>
        <name val="Aptos"/>
        <scheme val="none"/>
      </font>
      <alignment horizontal="center"/>
    </dxf>
    <dxf>
      <alignment horizontal="right"/>
    </dxf>
    <dxf>
      <font>
        <sz val="12"/>
        <name val="Aptos"/>
        <scheme val="none"/>
      </font>
      <alignment horizontal="general" vertical="bottom" textRotation="0" wrapText="0" indent="0" justifyLastLine="0" shrinkToFit="0" readingOrder="0"/>
    </dxf>
    <dxf>
      <font>
        <sz val="12"/>
      </font>
    </dxf>
    <dxf>
      <alignment wrapText="0"/>
    </dxf>
    <dxf>
      <alignment wrapText="0"/>
    </dxf>
    <dxf>
      <alignment wrapText="0"/>
    </dxf>
    <dxf>
      <font>
        <color theme="0" tint="-0.14999847407452621"/>
      </font>
    </dxf>
    <dxf>
      <font>
        <color theme="0" tint="-0.14999847407452621"/>
      </font>
    </dxf>
    <dxf>
      <fill>
        <patternFill>
          <bgColor auto="1"/>
        </patternFill>
      </fill>
    </dxf>
    <dxf>
      <fill>
        <patternFill>
          <bgColor auto="1"/>
        </patternFill>
      </fill>
    </dxf>
    <dxf>
      <fill>
        <patternFill>
          <bgColor auto="1"/>
        </patternFill>
      </fill>
    </dxf>
    <dxf>
      <alignment horizontal="center"/>
    </dxf>
    <dxf>
      <alignment wrapText="1"/>
    </dxf>
    <dxf>
      <alignment wrapText="1"/>
    </dxf>
    <dxf>
      <alignment wrapText="1"/>
    </dxf>
    <dxf>
      <font>
        <sz val="14"/>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8"/>
      </font>
    </dxf>
    <dxf>
      <font>
        <sz val="8"/>
      </font>
    </dxf>
    <dxf>
      <font>
        <sz val="8"/>
      </font>
    </dxf>
    <dxf>
      <font>
        <sz val="14"/>
        <name val="Aptos"/>
        <scheme val="none"/>
      </font>
      <alignment horizontal="center"/>
    </dxf>
    <dxf>
      <alignment horizontal="right"/>
    </dxf>
    <dxf>
      <font>
        <sz val="12"/>
        <name val="Aptos"/>
        <scheme val="none"/>
      </font>
      <alignment horizontal="general" vertical="bottom" textRotation="0" wrapText="0" indent="0" justifyLastLine="0" shrinkToFit="0" readingOrder="0"/>
    </dxf>
    <dxf>
      <font>
        <sz val="12"/>
      </font>
    </dxf>
    <dxf>
      <alignment wrapText="0"/>
    </dxf>
    <dxf>
      <alignment wrapText="0"/>
    </dxf>
    <dxf>
      <alignment wrapText="0"/>
    </dxf>
    <dxf>
      <font>
        <color theme="0" tint="-0.14999847407452621"/>
      </font>
    </dxf>
    <dxf>
      <font>
        <color theme="0" tint="-0.14999847407452621"/>
      </font>
    </dxf>
    <dxf>
      <fill>
        <patternFill>
          <bgColor auto="1"/>
        </patternFill>
      </fill>
    </dxf>
    <dxf>
      <fill>
        <patternFill>
          <bgColor auto="1"/>
        </patternFill>
      </fill>
    </dxf>
    <dxf>
      <fill>
        <patternFill>
          <bgColor auto="1"/>
        </patternFill>
      </fill>
    </dxf>
    <dxf>
      <alignment horizontal="center"/>
    </dxf>
    <dxf>
      <alignment wrapText="1"/>
    </dxf>
    <dxf>
      <alignment wrapText="1"/>
    </dxf>
    <dxf>
      <alignment wrapText="1"/>
    </dxf>
    <dxf>
      <font>
        <sz val="14"/>
      </font>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27" formatCode="m/d/yyyy\ h:m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alignment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9" formatCode="m/d/yy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27" formatCode="m/d/yyyy\ h:m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2" formatCode="[$-F400]h:mm:ss\ AM/PM"/>
    </dxf>
    <dxf>
      <font>
        <strike val="0"/>
        <outline val="0"/>
        <shadow val="0"/>
        <u val="none"/>
        <vertAlign val="baseline"/>
        <sz val="12"/>
        <color theme="1"/>
        <name val="Aptos"/>
        <family val="2"/>
        <scheme val="none"/>
      </font>
      <numFmt numFmtId="172" formatCode="[$-F400]h:mm:ss\ AM/P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9" formatCode="m/d/yyyy"/>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27" formatCode="m/d/yyyy\ h:m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2" formatCode="[$-F400]h:mm:ss\ AM/PM"/>
    </dxf>
    <dxf>
      <font>
        <strike val="0"/>
        <outline val="0"/>
        <shadow val="0"/>
        <u val="none"/>
        <vertAlign val="baseline"/>
        <sz val="12"/>
        <color theme="1"/>
        <name val="Aptos"/>
        <family val="2"/>
        <scheme val="none"/>
      </font>
      <numFmt numFmtId="172" formatCode="[$-F400]h:mm:ss\ AM/P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9" formatCode="m/d/yyyy"/>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ill>
        <patternFill patternType="solid">
          <fgColor theme="7" tint="0.79998168889431442"/>
          <bgColor theme="7" tint="0.79998168889431442"/>
        </patternFill>
      </fill>
    </dxf>
    <dxf>
      <fill>
        <patternFill patternType="solid">
          <fgColor theme="7" tint="0.79998168889431442"/>
          <bgColor theme="7" tint="0.79998168889431442"/>
        </patternFill>
      </fill>
    </dxf>
    <dxf>
      <font>
        <b/>
        <color theme="1"/>
      </font>
    </dxf>
    <dxf>
      <font>
        <b/>
        <color theme="1"/>
      </font>
    </dxf>
    <dxf>
      <font>
        <b/>
        <color theme="1"/>
      </font>
      <border>
        <top style="double">
          <color theme="7"/>
        </top>
      </border>
    </dxf>
    <dxf>
      <font>
        <b/>
        <i val="0"/>
        <color theme="1"/>
      </font>
      <border diagonalUp="0" diagonalDown="0">
        <left/>
        <right/>
        <top/>
        <bottom style="medium">
          <color theme="7"/>
        </bottom>
        <vertical/>
        <horizontal/>
      </border>
    </dxf>
    <dxf>
      <font>
        <color theme="1"/>
      </font>
      <border>
        <left style="medium">
          <color theme="7"/>
        </left>
        <right style="medium">
          <color theme="7"/>
        </right>
        <top style="medium">
          <color theme="7"/>
        </top>
        <bottom style="medium">
          <color theme="7"/>
        </bottom>
        <vertical style="thin">
          <color theme="7"/>
        </vertical>
        <horizontal style="thin">
          <color theme="7"/>
        </horizontal>
      </border>
    </dxf>
    <dxf>
      <fill>
        <patternFill patternType="solid">
          <fgColor theme="6" tint="0.79998168889431442"/>
          <bgColor theme="6" tint="0.79998168889431442"/>
        </patternFill>
      </fill>
    </dxf>
    <dxf>
      <fill>
        <patternFill patternType="solid">
          <fgColor theme="6" tint="0.79992065187536243"/>
          <bgColor theme="0" tint="-0.14996795556505021"/>
        </patternFill>
      </fill>
    </dxf>
    <dxf>
      <font>
        <b/>
        <color theme="1"/>
      </font>
    </dxf>
    <dxf>
      <font>
        <b/>
        <color theme="1"/>
      </font>
    </dxf>
    <dxf>
      <font>
        <b/>
        <color theme="1"/>
      </font>
      <border>
        <top style="double">
          <color theme="6"/>
        </top>
      </border>
    </dxf>
    <dxf>
      <font>
        <b/>
        <i val="0"/>
        <color theme="1"/>
      </font>
      <border diagonalUp="0" diagonalDown="1">
        <left/>
        <right/>
        <top/>
        <bottom style="medium">
          <color theme="6"/>
        </bottom>
        <diagonal style="medium">
          <color theme="6"/>
        </diagonal>
        <vertical/>
        <horizontal/>
      </border>
    </dxf>
    <dxf>
      <font>
        <color theme="1"/>
      </font>
      <border>
        <left style="medium">
          <color theme="1"/>
        </left>
        <right style="medium">
          <color theme="1"/>
        </right>
        <top style="medium">
          <color theme="1"/>
        </top>
        <bottom style="medium">
          <color theme="1"/>
        </bottom>
        <vertical style="thin">
          <color theme="6"/>
        </vertical>
        <horizontal style="thin">
          <color theme="6"/>
        </horizontal>
      </border>
    </dxf>
    <dxf>
      <fill>
        <patternFill patternType="solid">
          <fgColor theme="6" tint="0.79998168889431442"/>
          <bgColor theme="6" tint="0.79998168889431442"/>
        </patternFill>
      </fill>
    </dxf>
    <dxf>
      <fill>
        <patternFill patternType="solid">
          <fgColor theme="6" tint="0.79998168889431442"/>
          <bgColor theme="6" tint="0.79998168889431442"/>
        </patternFill>
      </fill>
    </dxf>
    <dxf>
      <font>
        <b/>
        <color theme="1"/>
      </font>
    </dxf>
    <dxf>
      <font>
        <b/>
        <color theme="1"/>
      </font>
    </dxf>
    <dxf>
      <font>
        <b/>
        <color theme="1"/>
      </font>
      <border>
        <top style="double">
          <color theme="6"/>
        </top>
      </border>
    </dxf>
    <dxf>
      <font>
        <b/>
        <i val="0"/>
        <color theme="1"/>
      </font>
      <border diagonalUp="0" diagonalDown="1">
        <left/>
        <right/>
        <top/>
        <bottom style="medium">
          <color theme="6"/>
        </bottom>
        <diagonal style="medium">
          <color theme="6"/>
        </diagonal>
        <vertical/>
        <horizontal/>
      </border>
    </dxf>
    <dxf>
      <font>
        <color theme="1"/>
      </font>
      <border>
        <left style="medium">
          <color theme="6"/>
        </left>
        <right style="medium">
          <color theme="6"/>
        </right>
        <top style="medium">
          <color theme="6"/>
        </top>
        <bottom style="medium">
          <color theme="6"/>
        </bottom>
        <vertical style="thin">
          <color theme="6"/>
        </vertical>
        <horizontal style="thin">
          <color theme="6"/>
        </horizontal>
      </border>
    </dxf>
    <dxf>
      <fill>
        <patternFill patternType="solid">
          <fgColor theme="6" tint="0.79992065187536243"/>
          <bgColor rgb="FFD3B5E9"/>
        </patternFill>
      </fill>
    </dxf>
    <dxf>
      <fill>
        <patternFill patternType="solid">
          <fgColor theme="6" tint="0.79995117038483843"/>
          <bgColor rgb="FFD3B5E9"/>
        </patternFill>
      </fill>
    </dxf>
    <dxf>
      <font>
        <b/>
        <color theme="1"/>
      </font>
    </dxf>
    <dxf>
      <font>
        <b/>
        <color theme="1"/>
      </font>
    </dxf>
    <dxf>
      <font>
        <b/>
        <color theme="1"/>
      </font>
      <border diagonalUp="0" diagonalDown="0">
        <left/>
        <right/>
        <top style="thick">
          <color rgb="FF513E80"/>
        </top>
        <bottom/>
        <vertical/>
        <horizontal/>
      </border>
    </dxf>
    <dxf>
      <font>
        <b/>
        <color theme="1"/>
      </font>
      <border diagonalUp="0" diagonalDown="0">
        <left/>
        <right/>
        <top/>
        <bottom style="medium">
          <color rgb="FF513E80"/>
        </bottom>
        <vertical/>
        <horizontal/>
      </border>
    </dxf>
    <dxf>
      <font>
        <color theme="1"/>
      </font>
      <border>
        <left style="medium">
          <color rgb="FF513E80"/>
        </left>
        <right style="medium">
          <color rgb="FF513E80"/>
        </right>
        <top style="medium">
          <color rgb="FF513E80"/>
        </top>
        <bottom style="medium">
          <color rgb="FF513E80"/>
        </bottom>
        <vertical style="thin">
          <color rgb="FF513E80"/>
        </vertical>
        <horizontal style="thin">
          <color rgb="FF513E80"/>
        </horizontal>
      </border>
    </dxf>
    <dxf>
      <fill>
        <patternFill patternType="solid">
          <fgColor theme="5" tint="0.79998168889431442"/>
          <bgColor theme="5" tint="0.79998168889431442"/>
        </patternFill>
      </fill>
    </dxf>
    <dxf>
      <fill>
        <patternFill patternType="solid">
          <fgColor theme="5" tint="0.79998168889431442"/>
          <bgColor theme="5" tint="0.79998168889431442"/>
        </patternFill>
      </fill>
    </dxf>
    <dxf>
      <font>
        <b/>
        <color theme="1"/>
      </font>
    </dxf>
    <dxf>
      <font>
        <b/>
        <color theme="1"/>
      </font>
    </dxf>
    <dxf>
      <font>
        <b/>
        <color theme="1"/>
      </font>
      <border>
        <top style="double">
          <color theme="5"/>
        </top>
      </border>
    </dxf>
    <dxf>
      <font>
        <b/>
        <i val="0"/>
        <color theme="1"/>
      </font>
      <border diagonalUp="0" diagonalDown="0">
        <left/>
        <right/>
        <top/>
        <bottom style="medium">
          <color theme="5"/>
        </bottom>
        <vertical/>
        <horizontal/>
      </border>
    </dxf>
    <dxf>
      <font>
        <color theme="1"/>
      </font>
      <border>
        <left style="medium">
          <color theme="5"/>
        </left>
        <right style="medium">
          <color theme="5"/>
        </right>
        <top style="medium">
          <color theme="5"/>
        </top>
        <bottom style="medium">
          <color theme="5"/>
        </bottom>
        <vertical style="thin">
          <color theme="5"/>
        </vertical>
        <horizontal style="thin">
          <color theme="5"/>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i val="0"/>
        <color theme="1"/>
      </font>
      <border diagonalUp="0" diagonalDown="0">
        <left/>
        <right/>
        <top/>
        <bottom style="medium">
          <color theme="4"/>
        </bottom>
        <vertical/>
        <horizontal/>
      </border>
    </dxf>
    <dxf>
      <font>
        <color theme="1"/>
      </font>
      <border>
        <left style="medium">
          <color theme="4"/>
        </left>
        <right style="medium">
          <color theme="4"/>
        </right>
        <top style="medium">
          <color theme="4"/>
        </top>
        <bottom style="medium">
          <color theme="4"/>
        </bottom>
        <vertical style="thin">
          <color theme="4"/>
        </vertical>
        <horizontal style="thin">
          <color theme="4"/>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1"/>
      </font>
    </dxf>
    <dxf>
      <font>
        <b/>
        <color theme="1"/>
      </font>
    </dxf>
    <dxf>
      <font>
        <b/>
        <color theme="1"/>
      </font>
      <border>
        <top style="double">
          <color theme="1"/>
        </top>
      </border>
    </dxf>
    <dxf>
      <font>
        <b/>
        <i val="0"/>
        <color theme="1"/>
      </font>
      <border diagonalUp="0" diagonalDown="0">
        <left/>
        <right/>
        <top/>
        <bottom style="medium">
          <color theme="1"/>
        </bottom>
        <vertical/>
        <horizontal/>
      </border>
    </dxf>
    <dxf>
      <font>
        <color theme="1"/>
      </font>
      <border>
        <left style="medium">
          <color theme="1"/>
        </left>
        <right style="medium">
          <color theme="1"/>
        </right>
        <top style="medium">
          <color theme="1"/>
        </top>
        <bottom style="medium">
          <color theme="1"/>
        </bottom>
        <vertical style="thin">
          <color theme="1"/>
        </vertical>
        <horizontal style="thin">
          <color theme="1"/>
        </horizontal>
      </border>
    </dxf>
  </dxfs>
  <tableStyles count="8" defaultTableStyle="TableStyleMedium2" defaultPivotStyle="PivotStyleLight16">
    <tableStyle name="Invisible" pivot="0" table="0" count="0" xr9:uid="{ED64E85C-CF3E-41CC-8B05-D20723E14618}"/>
    <tableStyle name="TableStyleLight15 2" pivot="0" count="7" xr9:uid="{6E068814-5BB5-4BA1-ACB0-253459FA954C}">
      <tableStyleElement type="wholeTable" dxfId="902"/>
      <tableStyleElement type="headerRow" dxfId="901"/>
      <tableStyleElement type="totalRow" dxfId="900"/>
      <tableStyleElement type="firstColumn" dxfId="899"/>
      <tableStyleElement type="lastColumn" dxfId="898"/>
      <tableStyleElement type="firstRowStripe" dxfId="897"/>
      <tableStyleElement type="firstColumnStripe" dxfId="896"/>
    </tableStyle>
    <tableStyle name="TableStyleLight16 2" pivot="0" count="7" xr9:uid="{D69CDBB7-032E-49BC-AC54-A31420CE7655}">
      <tableStyleElement type="wholeTable" dxfId="895"/>
      <tableStyleElement type="headerRow" dxfId="894"/>
      <tableStyleElement type="totalRow" dxfId="893"/>
      <tableStyleElement type="firstColumn" dxfId="892"/>
      <tableStyleElement type="lastColumn" dxfId="891"/>
      <tableStyleElement type="firstRowStripe" dxfId="890"/>
      <tableStyleElement type="firstColumnStripe" dxfId="889"/>
    </tableStyle>
    <tableStyle name="TableStyleLight17 2" pivot="0" count="7" xr9:uid="{F0E5CF34-A936-4E2B-86EA-DA714855B9FB}">
      <tableStyleElement type="wholeTable" dxfId="888"/>
      <tableStyleElement type="headerRow" dxfId="887"/>
      <tableStyleElement type="totalRow" dxfId="886"/>
      <tableStyleElement type="firstColumn" dxfId="885"/>
      <tableStyleElement type="lastColumn" dxfId="884"/>
      <tableStyleElement type="firstRowStripe" dxfId="883"/>
      <tableStyleElement type="firstColumnStripe" dxfId="882"/>
    </tableStyle>
    <tableStyle name="TableStyleLight18 2" pivot="0" count="7" xr9:uid="{FCE9A81E-B697-440C-9031-FD78FF52ED88}">
      <tableStyleElement type="wholeTable" dxfId="881"/>
      <tableStyleElement type="headerRow" dxfId="880"/>
      <tableStyleElement type="totalRow" dxfId="879"/>
      <tableStyleElement type="firstColumn" dxfId="878"/>
      <tableStyleElement type="lastColumn" dxfId="877"/>
      <tableStyleElement type="firstRowStripe" dxfId="876"/>
      <tableStyleElement type="firstColumnStripe" dxfId="875"/>
    </tableStyle>
    <tableStyle name="TableStyleLight18 3" pivot="0" count="7" xr9:uid="{AE81560E-A0A1-4B8F-8608-83C1F78B608A}">
      <tableStyleElement type="wholeTable" dxfId="874"/>
      <tableStyleElement type="headerRow" dxfId="873"/>
      <tableStyleElement type="totalRow" dxfId="872"/>
      <tableStyleElement type="firstColumn" dxfId="871"/>
      <tableStyleElement type="lastColumn" dxfId="870"/>
      <tableStyleElement type="firstRowStripe" dxfId="869"/>
      <tableStyleElement type="firstColumnStripe" dxfId="868"/>
    </tableStyle>
    <tableStyle name="TableStyleLight18 3 2" pivot="0" count="7" xr9:uid="{4C6F2DC0-9EE9-4779-9307-175D1C00B7C0}">
      <tableStyleElement type="wholeTable" dxfId="867"/>
      <tableStyleElement type="headerRow" dxfId="866"/>
      <tableStyleElement type="totalRow" dxfId="865"/>
      <tableStyleElement type="firstColumn" dxfId="864"/>
      <tableStyleElement type="lastColumn" dxfId="863"/>
      <tableStyleElement type="firstRowStripe" dxfId="862"/>
      <tableStyleElement type="firstColumnStripe" dxfId="861"/>
    </tableStyle>
    <tableStyle name="TableStyleLight19 2" pivot="0" count="7" xr9:uid="{A6B5A85E-1A32-4277-8575-40D0AE2BF488}">
      <tableStyleElement type="wholeTable" dxfId="860"/>
      <tableStyleElement type="headerRow" dxfId="859"/>
      <tableStyleElement type="totalRow" dxfId="858"/>
      <tableStyleElement type="firstColumn" dxfId="857"/>
      <tableStyleElement type="lastColumn" dxfId="856"/>
      <tableStyleElement type="firstRowStripe" dxfId="855"/>
      <tableStyleElement type="firstColumnStripe" dxfId="854"/>
    </tableStyle>
  </tableStyles>
  <colors>
    <mruColors>
      <color rgb="FFE0B3FF"/>
      <color rgb="FFD3B5E9"/>
      <color rgb="FFFFFF66"/>
      <color rgb="FFFF0000"/>
      <color rgb="FF513E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connections" Target="connections.xml"/><Relationship Id="rId42"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5.xml"/><Relationship Id="rId37" Type="http://schemas.openxmlformats.org/officeDocument/2006/relationships/sheetMetadata" Target="metadata.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latin typeface="Aptos Narrow" panose="020B0004020202020204" pitchFamily="34" charset="0"/>
              </a:rPr>
              <a:t>YTD</a:t>
            </a:r>
          </a:p>
        </c:rich>
      </c:tx>
      <c:layout>
        <c:manualLayout>
          <c:xMode val="edge"/>
          <c:yMode val="edge"/>
          <c:x val="0.45241002626136423"/>
          <c:y val="1.148187626515359E-2"/>
        </c:manualLayout>
      </c:layout>
      <c:overlay val="0"/>
      <c:spPr>
        <a:noFill/>
        <a:ln w="12700">
          <a:noFill/>
        </a:ln>
        <a:effectLst/>
      </c:spPr>
    </c:title>
    <c:autoTitleDeleted val="0"/>
    <c:pivotFmts>
      <c:pivotFmt>
        <c:idx val="0"/>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403686479"/>
        <c:axId val="489988959"/>
      </c:barChart>
      <c:catAx>
        <c:axId val="403686479"/>
        <c:scaling>
          <c:orientation val="minMax"/>
        </c:scaling>
        <c:delete val="0"/>
        <c:axPos val="b"/>
        <c:numFmt formatCode="General" sourceLinked="1"/>
        <c:majorTickMark val="none"/>
        <c:minorTickMark val="none"/>
        <c:tickLblPos val="nextTo"/>
        <c:spPr>
          <a:noFill/>
          <a:ln w="12700" cap="flat" cmpd="sng" algn="ctr">
            <a:solidFill>
              <a:schemeClr val="bg2">
                <a:lumMod val="75000"/>
                <a:alpha val="91000"/>
              </a:schemeClr>
            </a:solidFill>
            <a:round/>
          </a:ln>
          <a:effectLst/>
        </c:spPr>
        <c:txPr>
          <a:bodyPr rot="-60000000" spcFirstLastPara="1" vertOverflow="ellipsis" vert="horz" wrap="square" anchor="ctr" anchorCtr="1"/>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crossAx val="489988959"/>
        <c:crosses val="autoZero"/>
        <c:auto val="1"/>
        <c:lblAlgn val="ctr"/>
        <c:lblOffset val="100"/>
        <c:noMultiLvlLbl val="0"/>
      </c:catAx>
      <c:valAx>
        <c:axId val="489988959"/>
        <c:scaling>
          <c:orientation val="minMax"/>
        </c:scaling>
        <c:delete val="1"/>
        <c:axPos val="l"/>
        <c:numFmt formatCode="General" sourceLinked="1"/>
        <c:majorTickMark val="none"/>
        <c:minorTickMark val="none"/>
        <c:tickLblPos val="nextTo"/>
        <c:crossAx val="403686479"/>
        <c:crosses val="autoZero"/>
        <c:crossBetween val="between"/>
      </c:valAx>
      <c:spPr>
        <a:noFill/>
        <a:ln>
          <a:noFill/>
        </a:ln>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0</xdr:rowOff>
    </xdr:from>
    <xdr:to>
      <xdr:col>16</xdr:col>
      <xdr:colOff>38100</xdr:colOff>
      <xdr:row>54</xdr:row>
      <xdr:rowOff>152400</xdr:rowOff>
    </xdr:to>
    <xdr:graphicFrame macro="">
      <xdr:nvGraphicFramePr>
        <xdr:cNvPr id="2" name="Chart 1">
          <a:extLst>
            <a:ext uri="{FF2B5EF4-FFF2-40B4-BE49-F238E27FC236}">
              <a16:creationId xmlns:a16="http://schemas.microsoft.com/office/drawing/2014/main" id="{A085C64A-F22A-4952-A9B8-E39A3732B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3211053241" createdVersion="8" refreshedVersion="8" minRefreshableVersion="3" recordCount="9" xr:uid="{96E75BDE-3230-42EB-B217-2DEC5E125C21}">
  <cacheSource type="worksheet">
    <worksheetSource name="Robbery"/>
  </cacheSource>
  <cacheFields count="46">
    <cacheField name="Case Number" numFmtId="0">
      <sharedItems/>
    </cacheField>
    <cacheField name="INC_DATE" numFmtId="14">
      <sharedItems containsSemiMixedTypes="0" containsNonDate="0" containsDate="1" containsString="0" minDate="2025-01-13T00:00:00" maxDate="2025-03-26T00:00:00" count="8">
        <d v="2025-01-13T00:00:00"/>
        <d v="2025-01-14T00:00:00"/>
        <d v="2025-01-16T00:00:00"/>
        <d v="2025-02-02T00:00:00"/>
        <d v="2025-02-03T00:00:00"/>
        <d v="2025-02-13T00:00:00"/>
        <d v="2025-03-04T00:00:00"/>
        <d v="2025-03-25T00:00:00"/>
      </sharedItems>
    </cacheField>
    <cacheField name="TIME_OF_DAY" numFmtId="0">
      <sharedItems count="5">
        <s v="Afternoon (12:00-15:59)"/>
        <s v="Night (20:00-23:59)"/>
        <s v="Evening Peak (16:00-19:59)"/>
        <s v="Early Morning (00:00-03:59)"/>
        <s v="Morning Peak (08:00-11:59)"/>
      </sharedItems>
    </cacheField>
    <cacheField name="Start of Hour" numFmtId="172">
      <sharedItems containsSemiMixedTypes="0" containsNonDate="0" containsDate="1" containsString="0" minDate="1899-12-30T02:00:00" maxDate="1899-12-30T21:00:00"/>
    </cacheField>
    <cacheField name="INC_TIME" numFmtId="172">
      <sharedItems containsSemiMixedTypes="0" containsNonDate="0" containsDate="1" containsString="0" minDate="1899-12-30T02:00:00" maxDate="1899-12-30T21:03:00"/>
    </cacheField>
    <cacheField name="Day Name" numFmtId="0">
      <sharedItems count="4">
        <s v="Mon"/>
        <s v="Tue"/>
        <s v="Thur"/>
        <s v="Sun"/>
      </sharedItems>
    </cacheField>
    <cacheField name="Month Name" numFmtId="0">
      <sharedItems/>
    </cacheField>
    <cacheField name="BLOCK" numFmtId="0">
      <sharedItems/>
    </cacheField>
    <cacheField name="Location" numFmtId="0">
      <sharedItems/>
    </cacheField>
    <cacheField name="ALL_INCIDENTS" numFmtId="0">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ontainsBlank="1"/>
    </cacheField>
    <cacheField name="Make1" numFmtId="0">
      <sharedItems containsBlank="1"/>
    </cacheField>
    <cacheField name="Model1" numFmtId="0">
      <sharedItems containsBlank="1"/>
    </cacheField>
    <cacheField name="Reg State 1" numFmtId="0">
      <sharedItems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acheField>
    <cacheField name="Case_Status" numFmtId="0">
      <sharedItems/>
    </cacheField>
    <cacheField name="NIBRS Classification" numFmtId="0">
      <sharedItems containsBlank="1"/>
    </cacheField>
    <cacheField name="Year" numFmtId="0">
      <sharedItems containsSemiMixedTypes="0" containsString="0" containsNumber="1" containsInteger="1" minValue="2025" maxValue="2025"/>
    </cacheField>
    <cacheField name="Week of Year" numFmtId="0">
      <sharedItems containsSemiMixedTypes="0" containsString="0" containsNumber="1" containsInteger="1" minValue="3" maxValue="13"/>
    </cacheField>
    <cacheField name="Week of Month" numFmtId="0">
      <sharedItems containsSemiMixedTypes="0" containsString="0" containsNumber="1" containsInteger="1" minValue="2" maxValue="5"/>
    </cacheField>
    <cacheField name="Day" numFmtId="0">
      <sharedItems containsSemiMixedTypes="0" containsString="0" containsNumber="1" containsInteger="1" minValue="2" maxValue="25"/>
    </cacheField>
    <cacheField name="Day of Year" numFmtId="0">
      <sharedItems containsSemiMixedTypes="0" containsString="0" containsNumber="1" containsInteger="1" minValue="13" maxValue="84"/>
    </cacheField>
    <cacheField name="INC_DATE_AND_TIME" numFmtId="22">
      <sharedItems containsSemiMixedTypes="0" containsNonDate="0" containsDate="1" containsString="0" minDate="2025-01-13T12:05:00" maxDate="2025-03-25T11:37:00"/>
    </cacheField>
    <cacheField name="St#" numFmtId="0">
      <sharedItems containsSemiMixedTypes="0" containsString="0" containsNumber="1" containsInteger="1" minValue="128" maxValue="630"/>
    </cacheField>
    <cacheField name="Notes" numFmtId="0">
      <sharedItems longText="1"/>
    </cacheField>
    <cacheField name="VEHICLE" numFmtId="0">
      <sharedItems containsBlank="1"/>
    </cacheField>
    <cacheField name="Suspect" numFmtId="0">
      <sharedItems longText="1"/>
    </cacheField>
    <cacheField name="TOTAL_STOLEN_AMOUNT" numFmtId="0">
      <sharedItems longText="1"/>
    </cacheField>
    <cacheField name="REPORT_CYCL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32111226849" createdVersion="8" refreshedVersion="8" minRefreshableVersion="3" recordCount="10" xr:uid="{05B18EBB-7F97-446B-AFED-A4B1032FFB74}">
  <cacheSource type="worksheet">
    <worksheetSource name="Bur_C_R"/>
  </cacheSource>
  <cacheFields count="54">
    <cacheField name="Case Number" numFmtId="0">
      <sharedItems/>
    </cacheField>
    <cacheField name="INC_DATE" numFmtId="167">
      <sharedItems containsSemiMixedTypes="0" containsNonDate="0" containsDate="1" containsString="0" minDate="2025-01-14T00:00:00" maxDate="2025-04-02T00:00:00" count="11">
        <d v="2025-01-16T00:00:00"/>
        <d v="2025-01-25T00:00:00"/>
        <d v="2025-01-31T00:00:00"/>
        <d v="2025-02-05T00:00:00"/>
        <d v="2025-02-17T00:00:00"/>
        <d v="2025-03-10T00:00:00"/>
        <d v="2025-03-27T00:00:00"/>
        <d v="2025-03-31T00:00:00"/>
        <d v="2025-04-01T00:00:00"/>
        <d v="2025-01-14T00:00:00" u="1"/>
        <d v="2025-03-18T00:00:00" u="1"/>
      </sharedItems>
    </cacheField>
    <cacheField name="TOD" numFmtId="0">
      <sharedItems count="5">
        <s v="12:00-15:59 Afternoon"/>
        <s v="08:00-11:59 Morning Peak"/>
        <s v="00:00-03:59 Early Morning"/>
        <s v="20:00-23:59 Night"/>
        <s v="04:00-07:59 Morning" u="1"/>
      </sharedItems>
    </cacheField>
    <cacheField name="Start of Hour" numFmtId="168">
      <sharedItems containsSemiMixedTypes="0" containsNonDate="0" containsDate="1" containsString="0" minDate="1899-12-30T01:00:00" maxDate="1899-12-30T23:00:00"/>
    </cacheField>
    <cacheField name="INC_TIME" numFmtId="168">
      <sharedItems containsSemiMixedTypes="0" containsNonDate="0" containsDate="1" containsString="0" minDate="1899-12-30T01:07:00" maxDate="1899-12-30T23:30:00"/>
    </cacheField>
    <cacheField name="Day Name" numFmtId="0">
      <sharedItems count="12">
        <s v="Thur"/>
        <s v="Sat"/>
        <s v="Fri"/>
        <s v="Wed"/>
        <s v="Mon"/>
        <s v="Tue"/>
        <s v="Thursday" u="1"/>
        <s v="Saturday" u="1"/>
        <s v="Friday" u="1"/>
        <s v="Wednesday" u="1"/>
        <s v="Monday" u="1"/>
        <s v="Tuesday" u="1"/>
      </sharedItems>
    </cacheField>
    <cacheField name="Month Name" numFmtId="0">
      <sharedItems/>
    </cacheField>
    <cacheField name="BLOCK" numFmtId="0">
      <sharedItems/>
    </cacheField>
    <cacheField name="Location" numFmtId="0">
      <sharedItems/>
    </cacheField>
    <cacheField name="ALL_INCIDENTS" numFmtId="0">
      <sharedItems count="7">
        <s v="Burglary - Residence"/>
        <s v="Burglary - Commercial, Alarm - Burglar"/>
        <s v="Burglary - Commercial, Suspicious Incident"/>
        <s v="Burglary - Commercial, Hindering Apprehension, Resisting Arrest/Eluding"/>
        <s v="Burglary - Residence, Harassment, Domestic Violence" u="1"/>
        <s v="Violation of Court Order, Burglary - Residence, Harassment" u="1"/>
        <s v="Assist Other Agency, Burglary - Residence" u="1"/>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String="0" containsBlank="1" containsNumber="1" containsInteger="1" minValue="50300" maxValue="50300"/>
    </cacheField>
    <cacheField name="Total Value Recover" numFmtId="0">
      <sharedItems containsNonDate="0" containsString="0" containsBlank="1"/>
    </cacheField>
    <cacheField name="Registration 1" numFmtId="0">
      <sharedItems containsNonDate="0" containsString="0" containsBlank="1"/>
    </cacheField>
    <cacheField name="Make1" numFmtId="0">
      <sharedItems containsNonDate="0" containsString="0" containsBlank="1"/>
    </cacheField>
    <cacheField name="Model1" numFmtId="0">
      <sharedItems containsNonDate="0" containsString="0" containsBlank="1"/>
    </cacheField>
    <cacheField name="Reg State 1" numFmtId="0">
      <sharedItems containsNonDate="0" containsString="0"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67">
      <sharedItems containsSemiMixedTypes="0" containsNonDate="0" containsDate="1" containsString="0" minDate="2025-01-16T00:00:00" maxDate="2025-04-02T00:00:00"/>
    </cacheField>
    <cacheField name="Incident Time" numFmtId="172">
      <sharedItems containsSemiMixedTypes="0" containsNonDate="0" containsDate="1" containsString="0" minDate="1899-12-30T01:07:00" maxDate="1899-12-30T23:30:00"/>
    </cacheField>
    <cacheField name="Incident Date_Between" numFmtId="167">
      <sharedItems containsNonDate="0" containsDate="1" containsString="0" containsBlank="1" minDate="2025-01-16T00:00:00" maxDate="2025-04-05T00:00:00"/>
    </cacheField>
    <cacheField name="Incident Time_Between" numFmtId="172">
      <sharedItems containsNonDate="0" containsDate="1" containsString="0" containsBlank="1" minDate="1899-12-30T00:36:00" maxDate="1899-12-30T18:00:00"/>
    </cacheField>
    <cacheField name="Report Date" numFmtId="167">
      <sharedItems containsSemiMixedTypes="0" containsNonDate="0" containsDate="1" containsString="0" minDate="2025-01-16T00:00:00" maxDate="2025-04-05T00:00:00"/>
    </cacheField>
    <cacheField name="Report Time" numFmtId="172">
      <sharedItems containsSemiMixedTypes="0" containsNonDate="0" containsDate="1" containsString="0" minDate="1899-12-30T02:57:41" maxDate="1899-12-30T22:43:12"/>
    </cacheField>
    <cacheField name="Year" numFmtId="0">
      <sharedItems containsSemiMixedTypes="0" containsString="0" containsNumber="1" containsInteger="1" minValue="2025" maxValue="2025"/>
    </cacheField>
    <cacheField name="Week of Year" numFmtId="169">
      <sharedItems containsSemiMixedTypes="0" containsString="0" containsNumber="1" containsInteger="1" minValue="3" maxValue="14"/>
    </cacheField>
    <cacheField name="Week of Month" numFmtId="169">
      <sharedItems containsSemiMixedTypes="0" containsString="0" containsNumber="1" containsInteger="1" minValue="1" maxValue="6"/>
    </cacheField>
    <cacheField name="Day" numFmtId="169">
      <sharedItems containsSemiMixedTypes="0" containsString="0" containsNumber="1" containsInteger="1" minValue="1" maxValue="31"/>
    </cacheField>
    <cacheField name="Day of Year" numFmtId="170">
      <sharedItems containsSemiMixedTypes="0" containsString="0" containsNumber="1" containsInteger="1" minValue="16" maxValue="91"/>
    </cacheField>
    <cacheField name="INC_DATE_AND_TIME" numFmtId="171">
      <sharedItems containsSemiMixedTypes="0" containsNonDate="0" containsDate="1" containsString="0" minDate="2025-01-16T12:00:00" maxDate="2025-04-01T12:00:00"/>
    </cacheField>
    <cacheField name="St#" numFmtId="0">
      <sharedItems containsSemiMixedTypes="0" containsString="0" containsNumber="1" containsInteger="1" minValue="1" maxValue="441"/>
    </cacheField>
    <cacheField name="Notes" numFmtId="0">
      <sharedItems longText="1"/>
    </cacheField>
    <cacheField name="VEHICLE" numFmtId="0">
      <sharedItems containsNonDate="0" containsString="0" containsBlank="1"/>
    </cacheField>
    <cacheField name="Suspect" numFmtId="0">
      <sharedItems longText="1"/>
    </cacheField>
    <cacheField name="TOTAL_STOLEN_AMOUNT" numFmtId="0">
      <sharedItems longText="1"/>
    </cacheField>
    <cacheField name="REPORT_CYCLE" numFmtId="0">
      <sharedItems/>
    </cacheField>
    <cacheField name="TIME_OF_DAY" numFmtId="0">
      <sharedItems count="4">
        <s v="Afternoon (12:00-15:59)"/>
        <s v="Morning Peak (08:00-11:59)"/>
        <s v="Early Morning (00:00-03:59)"/>
        <s v="Night (20:00-23:59)"/>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32112500003" createdVersion="8" refreshedVersion="8" minRefreshableVersion="3" recordCount="14" xr:uid="{4BE8C8D1-8039-4776-833C-6B78CED6F772}">
  <cacheSource type="worksheet">
    <worksheetSource name="MV_Theft"/>
  </cacheSource>
  <cacheFields count="54">
    <cacheField name="Case Number" numFmtId="0">
      <sharedItems/>
    </cacheField>
    <cacheField name="INC_DATE" numFmtId="165">
      <sharedItems containsSemiMixedTypes="0" containsNonDate="0" containsDate="1" containsString="0" minDate="2025-01-03T00:00:00" maxDate="2025-03-29T00:00:00" count="13">
        <d v="2025-01-03T00:00:00"/>
        <d v="2025-01-15T00:00:00"/>
        <d v="2025-01-21T00:00:00"/>
        <d v="2025-01-22T00:00:00"/>
        <d v="2025-01-28T00:00:00"/>
        <d v="2025-01-31T00:00:00"/>
        <d v="2025-02-01T00:00:00"/>
        <d v="2025-02-03T00:00:00"/>
        <d v="2025-02-07T00:00:00"/>
        <d v="2025-02-17T00:00:00"/>
        <d v="2025-02-25T00:00:00"/>
        <d v="2025-03-21T00:00:00"/>
        <d v="2025-03-28T00:00:00"/>
      </sharedItems>
    </cacheField>
    <cacheField name="TOD" numFmtId="0">
      <sharedItems count="6">
        <s v="20:00-23:59 Night"/>
        <s v="12:00-15:59 Afternoon"/>
        <s v="16:00-19:59 Evening Peak"/>
        <s v="08:00-11:59 Morning Peak"/>
        <s v="00:00-03:59 Early Morning"/>
        <s v="04:00-07:59 Morning"/>
      </sharedItems>
    </cacheField>
    <cacheField name="Start of Hour" numFmtId="164">
      <sharedItems containsSemiMixedTypes="0" containsNonDate="0" containsDate="1" containsString="0" minDate="1899-12-30T01:00:00" maxDate="1899-12-30T21:00:00"/>
    </cacheField>
    <cacheField name="INC_TIME" numFmtId="164">
      <sharedItems containsSemiMixedTypes="0" containsNonDate="0" containsDate="1" containsString="0" minDate="1899-12-30T01:00:00" maxDate="1899-12-30T21:30:00"/>
    </cacheField>
    <cacheField name="Day Name" numFmtId="0">
      <sharedItems count="10">
        <s v="Fri"/>
        <s v="Wed"/>
        <s v="Tue"/>
        <s v="Sat"/>
        <s v="Mon"/>
        <s v="Friday" u="1"/>
        <s v="Wednesday" u="1"/>
        <s v="Tuesday" u="1"/>
        <s v="Saturday" u="1"/>
        <s v="Monday" u="1"/>
      </sharedItems>
    </cacheField>
    <cacheField name="Month Name" numFmtId="0">
      <sharedItems/>
    </cacheField>
    <cacheField name="BLOCK" numFmtId="0">
      <sharedItems/>
    </cacheField>
    <cacheField name="Location" numFmtId="0">
      <sharedItems/>
    </cacheField>
    <cacheField name="ALL_INCIDENTS" numFmtId="0">
      <sharedItems count="3">
        <s v="Motor Vehicle Theft"/>
        <s v="Motor Vehicle Theft, Theft"/>
        <s v="Motor Vehicle Theft, Recovered Stolen Vehicle"/>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acheField>
    <cacheField name="Make1" numFmtId="0">
      <sharedItems containsBlank="1"/>
    </cacheField>
    <cacheField name="Model1" numFmtId="0">
      <sharedItems containsBlank="1"/>
    </cacheField>
    <cacheField name="Reg State 1" numFmtId="0">
      <sharedItems/>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65">
      <sharedItems containsSemiMixedTypes="0" containsNonDate="0" containsDate="1" containsString="0" minDate="2025-01-03T00:00:00" maxDate="2025-03-29T00:00:00"/>
    </cacheField>
    <cacheField name="Incident Time" numFmtId="168">
      <sharedItems containsSemiMixedTypes="0" containsNonDate="0" containsDate="1" containsString="0" minDate="1899-12-30T01:00:00" maxDate="1899-12-30T21:30:00"/>
    </cacheField>
    <cacheField name="Incident Date_Between" numFmtId="165">
      <sharedItems containsNonDate="0" containsDate="1" containsString="0" containsBlank="1" minDate="2025-01-04T00:00:00" maxDate="2025-03-30T00:00:00"/>
    </cacheField>
    <cacheField name="Incident Time_Between" numFmtId="168">
      <sharedItems containsNonDate="0" containsDate="1" containsString="0" containsBlank="1" minDate="1899-12-30T02:30:00" maxDate="1899-12-30T23:00:00"/>
    </cacheField>
    <cacheField name="Report Date" numFmtId="165">
      <sharedItems containsSemiMixedTypes="0" containsNonDate="0" containsDate="1" containsString="0" minDate="2025-01-04T00:00:00" maxDate="2025-03-30T00:00:00"/>
    </cacheField>
    <cacheField name="Report Time" numFmtId="168">
      <sharedItems containsSemiMixedTypes="0" containsNonDate="0" containsDate="1" containsString="0" minDate="1899-12-30T02:52:33" maxDate="1899-12-30T23:47:34"/>
    </cacheField>
    <cacheField name="Year" numFmtId="0">
      <sharedItems containsSemiMixedTypes="0" containsString="0" containsNumber="1" containsInteger="1" minValue="2025" maxValue="2025"/>
    </cacheField>
    <cacheField name="Week of Year" numFmtId="169">
      <sharedItems containsSemiMixedTypes="0" containsString="0" containsNumber="1" containsInteger="1" minValue="1" maxValue="13"/>
    </cacheField>
    <cacheField name="Week of Month" numFmtId="169">
      <sharedItems containsSemiMixedTypes="0" containsString="0" containsNumber="1" containsInteger="1" minValue="1" maxValue="5"/>
    </cacheField>
    <cacheField name="Day" numFmtId="169">
      <sharedItems containsSemiMixedTypes="0" containsString="0" containsNumber="1" containsInteger="1" minValue="1" maxValue="31"/>
    </cacheField>
    <cacheField name="Day of Year" numFmtId="170">
      <sharedItems containsSemiMixedTypes="0" containsString="0" containsNumber="1" containsInteger="1" minValue="3" maxValue="87"/>
    </cacheField>
    <cacheField name="INC_DATE_AND_TIME" numFmtId="171">
      <sharedItems containsSemiMixedTypes="0" containsNonDate="0" containsDate="1" containsString="0" minDate="2025-01-03T21:30:00" maxDate="2025-03-28T20:30:00"/>
    </cacheField>
    <cacheField name="St#" numFmtId="0">
      <sharedItems containsSemiMixedTypes="0" containsString="0" containsNumber="1" containsInteger="1" minValue="30" maxValue="535"/>
    </cacheField>
    <cacheField name="Notes" numFmtId="0">
      <sharedItems longText="1"/>
    </cacheField>
    <cacheField name="VEHICLE" numFmtId="0">
      <sharedItems/>
    </cacheField>
    <cacheField name="Suspect" numFmtId="0">
      <sharedItems/>
    </cacheField>
    <cacheField name="TOTAL_STOLEN_AMOUNT" numFmtId="0">
      <sharedItems/>
    </cacheField>
    <cacheField name="REPORT_CYCLE" numFmtId="0">
      <sharedItems/>
    </cacheField>
    <cacheField name="TIME_OF_DAY" numFmtId="0">
      <sharedItems count="6">
        <s v="Night (20:00-23:59)"/>
        <s v="Afternoon (12:00-15:59)"/>
        <s v="Evening Peak (16:00-19:59)"/>
        <s v="Morning Peak (08:00-11:59)"/>
        <s v="Early Morning (00:00-03:59)"/>
        <s v="Morning (04:00-07:59)"/>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32112847219" createdVersion="8" refreshedVersion="8" minRefreshableVersion="3" recordCount="5" xr:uid="{0FC43992-25F7-498F-9BDC-F3BFC4307200}">
  <cacheSource type="worksheet">
    <worksheetSource name="Sexual_Offenses"/>
  </cacheSource>
  <cacheFields count="54">
    <cacheField name="Case Number" numFmtId="0">
      <sharedItems/>
    </cacheField>
    <cacheField name="INC_DATE" numFmtId="167">
      <sharedItems containsSemiMixedTypes="0" containsNonDate="0" containsDate="1" containsString="0" minDate="2025-01-07T00:00:00" maxDate="2025-04-03T00:00:00" count="5">
        <d v="2025-01-07T00:00:00"/>
        <d v="2025-01-23T00:00:00"/>
        <d v="2025-02-17T00:00:00"/>
        <d v="2025-02-20T00:00:00"/>
        <d v="2025-04-02T00:00:00"/>
      </sharedItems>
    </cacheField>
    <cacheField name="TOD" numFmtId="0">
      <sharedItems/>
    </cacheField>
    <cacheField name="Start of Hour" numFmtId="164">
      <sharedItems containsSemiMixedTypes="0" containsNonDate="0" containsDate="1" containsString="0" minDate="1899-12-30T12:00:00" maxDate="1899-12-30T21:00:00" count="5">
        <d v="1899-12-30T14:00:00"/>
        <d v="1899-12-30T15:00:00"/>
        <d v="1899-12-30T20:00:00"/>
        <d v="1899-12-30T12:00:00"/>
        <d v="1899-12-30T21:00:00"/>
      </sharedItems>
    </cacheField>
    <cacheField name="INC_TIME" numFmtId="164">
      <sharedItems containsSemiMixedTypes="0" containsNonDate="0" containsDate="1" containsString="0" minDate="1899-12-30T12:52:04" maxDate="1899-12-30T21:35:00"/>
    </cacheField>
    <cacheField name="Day Name" numFmtId="0">
      <sharedItems count="7">
        <s v="Tue"/>
        <s v="Thur"/>
        <s v="Mon"/>
        <s v="Wed"/>
        <s v="Tuesday" u="1"/>
        <s v="Thursday" u="1"/>
        <s v="Monday" u="1"/>
      </sharedItems>
    </cacheField>
    <cacheField name="Month Name" numFmtId="0">
      <sharedItems/>
    </cacheField>
    <cacheField name="BLOCK" numFmtId="0">
      <sharedItems/>
    </cacheField>
    <cacheField name="Location" numFmtId="0">
      <sharedItems/>
    </cacheField>
    <cacheField name="ALL_INCIDENTS" numFmtId="0">
      <sharedItems count="5">
        <s v="Criminal Sexual Contact, Juvenile Investigation"/>
        <s v="Sexual Assault, Juvenile Investigation"/>
        <s v="Exceptionally Cleared/Closed, Sexual Assault"/>
        <s v="Sexual Assault"/>
        <s v="Mental Health Incident, Sexual Assault, Juvenile Investigation"/>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7" maxValue="8"/>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ontainsNonDate="0" containsString="0" containsBlank="1"/>
    </cacheField>
    <cacheField name="Make1" numFmtId="0">
      <sharedItems containsNonDate="0" containsString="0" containsBlank="1"/>
    </cacheField>
    <cacheField name="Model1" numFmtId="0">
      <sharedItems containsNonDate="0" containsString="0" containsBlank="1"/>
    </cacheField>
    <cacheField name="Reg State 1" numFmtId="0">
      <sharedItems containsNonDate="0" containsString="0"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acheField>
    <cacheField name="Case_Status" numFmtId="0">
      <sharedItems/>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4">
      <sharedItems containsSemiMixedTypes="0" containsNonDate="0" containsDate="1" containsString="0" minDate="2017-06-20T00:00:00" maxDate="2025-04-03T00:00:00"/>
    </cacheField>
    <cacheField name="Incident Time" numFmtId="22">
      <sharedItems containsSemiMixedTypes="0" containsNonDate="0" containsDate="1" containsString="0" minDate="1899-12-30T12:52:04" maxDate="1899-12-30T21:35:00"/>
    </cacheField>
    <cacheField name="Incident Date_Between" numFmtId="14">
      <sharedItems containsNonDate="0" containsDate="1" containsString="0" containsBlank="1" minDate="2024-09-20T00:00:00" maxDate="2025-02-18T00:00:00"/>
    </cacheField>
    <cacheField name="Incident Time_Between" numFmtId="22">
      <sharedItems containsNonDate="0" containsDate="1" containsString="0" containsBlank="1" minDate="1899-12-30T23:45:00" maxDate="1899-12-30T23:45:00"/>
    </cacheField>
    <cacheField name="Report Date" numFmtId="14">
      <sharedItems containsSemiMixedTypes="0" containsNonDate="0" containsDate="1" containsString="0" minDate="2025-01-10T00:00:00" maxDate="2025-04-03T00:00:00"/>
    </cacheField>
    <cacheField name="Report Time" numFmtId="22">
      <sharedItems containsSemiMixedTypes="0" containsNonDate="0" containsDate="1" containsString="0" minDate="1899-12-30T12:52:04" maxDate="1899-12-30T21:40:41"/>
    </cacheField>
    <cacheField name="Year" numFmtId="0">
      <sharedItems containsSemiMixedTypes="0" containsString="0" containsNumber="1" containsInteger="1" minValue="2017" maxValue="2025"/>
    </cacheField>
    <cacheField name="Week of Year" numFmtId="0">
      <sharedItems containsSemiMixedTypes="0" containsString="0" containsNumber="1" containsInteger="1" minValue="2" maxValue="25"/>
    </cacheField>
    <cacheField name="Week of Month" numFmtId="0">
      <sharedItems containsSemiMixedTypes="0" containsString="0" containsNumber="1" containsInteger="1" minValue="1" maxValue="4"/>
    </cacheField>
    <cacheField name="Day" numFmtId="0">
      <sharedItems containsSemiMixedTypes="0" containsString="0" containsNumber="1" containsInteger="1" minValue="2" maxValue="23"/>
    </cacheField>
    <cacheField name="Day of Year" numFmtId="0">
      <sharedItems containsSemiMixedTypes="0" containsString="0" containsNumber="1" containsInteger="1" minValue="7" maxValue="171"/>
    </cacheField>
    <cacheField name="INC_DATE_AND_TIME" numFmtId="22">
      <sharedItems containsSemiMixedTypes="0" containsNonDate="0" containsDate="1" containsString="0" minDate="2017-06-20T12:52:00" maxDate="2025-04-02T21:35:00"/>
    </cacheField>
    <cacheField name="St#" numFmtId="0">
      <sharedItems containsSemiMixedTypes="0" containsString="0" containsNumber="1" containsInteger="1" minValue="135" maxValue="360"/>
    </cacheField>
    <cacheField name="Notes" numFmtId="0">
      <sharedItems longText="1"/>
    </cacheField>
    <cacheField name="VEHICLE" numFmtId="0">
      <sharedItems containsNonDate="0" containsString="0" containsBlank="1"/>
    </cacheField>
    <cacheField name="Suspect" numFmtId="0">
      <sharedItems longText="1"/>
    </cacheField>
    <cacheField name="TOTAL_STOLEN_AMOUNT" numFmtId="0">
      <sharedItems/>
    </cacheField>
    <cacheField name="REPORT_CYCLE" numFmtId="0">
      <sharedItems/>
    </cacheField>
    <cacheField name="TIME_OF_DAY" numFmtId="0">
      <sharedItems count="2">
        <s v="Afternoon (12:00-15:59)"/>
        <s v="Night (20:00-23:59)"/>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5893020833" createdVersion="8" refreshedVersion="8" minRefreshableVersion="3" recordCount="133" xr:uid="{6C01DEB0-BC56-480A-B46A-337ED657C799}">
  <cacheSource type="worksheet">
    <worksheetSource name="Bur_Auto"/>
  </cacheSource>
  <cacheFields count="45">
    <cacheField name="Case Number" numFmtId="0">
      <sharedItems/>
    </cacheField>
    <cacheField name="INC_DATE" numFmtId="14">
      <sharedItems containsSemiMixedTypes="0" containsNonDate="0" containsDate="1" containsString="0" minDate="2025-01-06T00:00:00" maxDate="2025-04-10T00:00:00" count="11">
        <d v="2025-01-06T00:00:00"/>
        <d v="2025-01-25T00:00:00"/>
        <d v="2025-01-26T00:00:00"/>
        <d v="2025-02-13T00:00:00"/>
        <d v="2025-03-06T00:00:00"/>
        <d v="2025-03-09T00:00:00"/>
        <d v="2025-03-11T00:00:00"/>
        <d v="2025-03-23T00:00:00"/>
        <d v="2025-03-31T00:00:00"/>
        <d v="2025-04-01T00:00:00"/>
        <d v="2025-04-09T00:00:00"/>
      </sharedItems>
    </cacheField>
    <cacheField name="TIME_OF_DAY" numFmtId="0">
      <sharedItems count="4">
        <s v="Afternoon (12:00-15:59)"/>
        <s v="Evening Peak (16:00-19:59)"/>
        <s v="Night (20:00-23:59)"/>
        <s v="Morning (04:00-07:59)"/>
      </sharedItems>
    </cacheField>
    <cacheField name="Start of Hour" numFmtId="164">
      <sharedItems containsSemiMixedTypes="0" containsNonDate="0" containsDate="1" containsString="0" minDate="1899-12-30T04:00:00" maxDate="1899-12-30T23:00:00"/>
    </cacheField>
    <cacheField name="INC_TIME" numFmtId="164">
      <sharedItems containsSemiMixedTypes="0" containsNonDate="0" containsDate="1" containsString="0" minDate="1899-12-30T04:10:00" maxDate="1899-12-30T23:10:00"/>
    </cacheField>
    <cacheField name="Day Name" numFmtId="0">
      <sharedItems count="11">
        <s v="Mon"/>
        <s v="Sat"/>
        <s v="Sun"/>
        <s v="Thur"/>
        <s v="Tue"/>
        <s v="Wed"/>
        <s v="Monday" u="1"/>
        <s v="Saturday" u="1"/>
        <s v="Sunday" u="1"/>
        <s v="Thursday" u="1"/>
        <s v="Tuesday" u="1"/>
      </sharedItems>
    </cacheField>
    <cacheField name="Month Name" numFmtId="0">
      <sharedItems/>
    </cacheField>
    <cacheField name="BLOCK" numFmtId="0">
      <sharedItems/>
    </cacheField>
    <cacheField name="Location" numFmtId="0">
      <sharedItems/>
    </cacheField>
    <cacheField name="ALL_INCIDENTS" numFmtId="0">
      <sharedItems count="3">
        <s v="Burglary - Auto"/>
        <s v="Burglary - Auto, Theft"/>
        <s v="Burglary - Auto, Criminal Mischief - Vehicle"/>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ontainsBlank="1"/>
    </cacheField>
    <cacheField name="Zone" numFmtId="0">
      <sharedItems containsString="0" containsBlank="1" containsNumber="1" containsInteger="1" minValue="5" maxValue="9"/>
    </cacheField>
    <cacheField name="Narrative" numFmtId="0">
      <sharedItems longText="1"/>
    </cacheField>
    <cacheField name="Total Value Stolen" numFmtId="0">
      <sharedItems containsString="0" containsBlank="1" containsNumber="1" containsInteger="1" minValue="2" maxValue="5"/>
    </cacheField>
    <cacheField name="Total Value Recover" numFmtId="0">
      <sharedItems containsString="0" containsBlank="1" containsNumber="1" containsInteger="1" minValue="0" maxValue="0"/>
    </cacheField>
    <cacheField name="Registration 1" numFmtId="0">
      <sharedItems/>
    </cacheField>
    <cacheField name="Make1" numFmtId="0">
      <sharedItems/>
    </cacheField>
    <cacheField name="Model1" numFmtId="0">
      <sharedItems/>
    </cacheField>
    <cacheField name="Reg State 1" numFmtId="0">
      <sharedItems/>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Year" numFmtId="0">
      <sharedItems containsSemiMixedTypes="0" containsString="0" containsNumber="1" containsInteger="1" minValue="2025" maxValue="2025"/>
    </cacheField>
    <cacheField name="Week of Year" numFmtId="0">
      <sharedItems containsSemiMixedTypes="0" containsString="0" containsNumber="1" containsInteger="1" minValue="2" maxValue="15"/>
    </cacheField>
    <cacheField name="Week of Month" numFmtId="0">
      <sharedItems containsSemiMixedTypes="0" containsString="0" containsNumber="1" containsInteger="1" minValue="1" maxValue="6"/>
    </cacheField>
    <cacheField name="Day" numFmtId="0">
      <sharedItems containsSemiMixedTypes="0" containsString="0" containsNumber="1" containsInteger="1" minValue="1" maxValue="31"/>
    </cacheField>
    <cacheField name="Day of Year" numFmtId="0">
      <sharedItems containsSemiMixedTypes="0" containsString="0" containsNumber="1" containsInteger="1" minValue="6" maxValue="99"/>
    </cacheField>
    <cacheField name="INC_DATE_AND_TIME" numFmtId="22">
      <sharedItems containsSemiMixedTypes="0" containsNonDate="0" containsDate="1" containsString="0" minDate="2025-01-06T15:30:00" maxDate="2025-04-09T23:10:00"/>
    </cacheField>
    <cacheField name="St#" numFmtId="0">
      <sharedItems containsString="0" containsBlank="1" containsNumber="1" containsInteger="1" minValue="5" maxValue="310"/>
    </cacheField>
    <cacheField name="Notes" numFmtId="0">
      <sharedItems longText="1"/>
    </cacheField>
    <cacheField name="VEHICLE" numFmtId="0">
      <sharedItems/>
    </cacheField>
    <cacheField name="Suspect" numFmtId="0">
      <sharedItems longText="1"/>
    </cacheField>
    <cacheField name="TOTAL_STOLEN_AMOUNT" numFmtId="0">
      <sharedItems longText="1"/>
    </cacheField>
    <cacheField name="REPORT_CYCL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25-003362"/>
    <x v="0"/>
    <x v="0"/>
    <d v="1899-12-30T12:00:00"/>
    <d v="1899-12-30T12:05:00"/>
    <x v="0"/>
    <s v="January"/>
    <s v="Clay St, 200 Block"/>
    <s v="204 Clay Street"/>
    <s v="Dispute, Criminal Attempt, Robbery"/>
    <s v="Dispute"/>
    <s v="Criminal Attempt"/>
    <s v="Robbery"/>
    <s v="204 Clay Street, Hackensack, NJ, 07601"/>
    <s v="H3"/>
    <n v="8"/>
    <s v="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
    <m/>
    <m/>
    <m/>
    <m/>
    <m/>
    <m/>
    <m/>
    <m/>
    <m/>
    <m/>
    <s v="Klosk_J"/>
    <s v="Complete"/>
    <s v="P.O. Forrod Bonsu 353"/>
    <s v="B1"/>
    <s v="Det. Frankie Garrett 323"/>
    <s v="Active Investigation"/>
    <s v="120 = Robbery"/>
    <n v="2025"/>
    <n v="3"/>
    <n v="3"/>
    <n v="13"/>
    <n v="13"/>
    <d v="2025-01-13T12:05:00"/>
    <n v="204"/>
    <s v="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
    <m/>
    <s v="suspect, described as wearing a grey hoodie and sweatpants, had fled southbound on first street suspect, later identified as d suspect, d suspect asked the victim if he could drop off the stolen moped for a couple of days suspect, d suspect arrived at his residence demanding $400 suspect arrived with three (3) other friends: two hispanic males, unknown names, dates of birth, or addresses, and a hispanic female, blonde hair and blue jacket, operating a toyota rav 4 with an unknown ny tag suspect, and the three (3) witnesses stood by suspect breached the door with physical force and continued to assault the victim while demanding $400 suspect, d suspect and the three (3) witnesses fled the scene after she threatened to call the police"/>
    <s v="$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400.00 for the red moped electric bike.  I then requested a supervisor, and Sgt"/>
    <s v="C01W02"/>
  </r>
  <r>
    <s v="25-003813"/>
    <x v="1"/>
    <x v="0"/>
    <d v="1899-12-30T15:00:00"/>
    <d v="1899-12-30T15:22:34"/>
    <x v="1"/>
    <s v="January"/>
    <s v="Hackensack Ave, 400 Block"/>
    <s v="450 Hackensack Avenue"/>
    <s v="Robbery, Resisting Arrest/Eluding, Suspicious Person"/>
    <s v="Robbery"/>
    <s v="Resisting Arrest/Eluding"/>
    <s v="Suspicious Person"/>
    <s v="450 Hackensack Avenue, Hackensack, NJ, 07601"/>
    <s v="I6"/>
    <n v="9"/>
    <s v="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
    <m/>
    <m/>
    <s v="Y82VDS"/>
    <s v="VOLKS"/>
    <s v="ATL"/>
    <s v="NJ"/>
    <m/>
    <m/>
    <m/>
    <m/>
    <s v="Swetits_M"/>
    <s v="Complete"/>
    <s v="P.O. Nicholas Mazzaccaro 377"/>
    <s v="B2"/>
    <s v="Det. John Tanucilli 335"/>
    <s v="Active Investigation"/>
    <s v="120 = Robbery"/>
    <n v="2025"/>
    <n v="3"/>
    <n v="3"/>
    <n v="14"/>
    <n v="14"/>
    <d v="2025-01-14T15:22:00"/>
    <n v="450"/>
    <s v="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
    <s v="Vehicle 1: NJ-Y82VDS VOLKS, ATL"/>
    <s v=""/>
    <s v="$1,284.00 and placed them in a shopping cart. The arrestee then went past all points of sale and tried to exit the store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s v="C01W03"/>
  </r>
  <r>
    <s v="25-004629"/>
    <x v="2"/>
    <x v="1"/>
    <d v="1899-12-30T21:00:00"/>
    <d v="1899-12-30T21:03:00"/>
    <x v="2"/>
    <s v="January"/>
    <s v="Main St, 600 Block"/>
    <s v="630 Main Street"/>
    <s v="Robbery"/>
    <s v="Robbery"/>
    <s v=""/>
    <s v=""/>
    <s v="630 Main Street, Hackensack, NJ, 07601"/>
    <s v="I1"/>
    <n v="9"/>
    <s v="Suspect 1: Hispanic male, approximately early 30' s in age, approximately 5'10&quot; in height, approximately 180 in weight, wearing a tan hooded sweater, brown &quot;NY&quot; Yankees logo hat, black sweatpants and white sneakers.Suspect 2: Hispanic female, approximately mid 20's in age, approximately 5'5&quot;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
    <m/>
    <m/>
    <m/>
    <s v="HYUNDAI"/>
    <s v="SONATA"/>
    <m/>
    <m/>
    <m/>
    <m/>
    <m/>
    <s v="Deleon_A"/>
    <s v="Complete"/>
    <s v="P.O. Massimo Gallorini 379"/>
    <s v="A2"/>
    <s v="Det. John Mora 257"/>
    <s v="Complaint Signed"/>
    <s v="120 = Robbery"/>
    <n v="2025"/>
    <n v="3"/>
    <n v="3"/>
    <n v="16"/>
    <n v="16"/>
    <d v="2025-01-16T21:03:00"/>
    <n v="630"/>
    <s v="Suspect 1: Hispanic male, approximately early 30' s in age, approximately 5'10&quot; in height, approximately 180 in weight, wearing a tan hooded sweater, brown &quot;NY&quot; Yankees logo hat, black sweatpants and white sneakers.Suspect 2: Hispanic female, approximately mid 20's in age, approximately 5'5&quot;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
    <s v="Vehicle 1: HYUNDAI, SONATA"/>
    <s v="suspect 1: hispanic male, approximately early 30' s in age, approximately 5'10&quot; in height, approximately 180 in weight, wearing a tan hooded sweater, brown &quot;ny&quot; yankees logo hat, black sweatpants and white sneakers suspect 2: hispanic female, approximately mid 20's in age, approximately 5'5&quot; in height, approximately 140 in weight, wearing a black jacket, grey hooded sweater, tan pants and cream colored shoes suspect vehicle: 4 door silver in color hyundai sonata (unknown registration) suspect 1 and  suspect 2 entered target suspect 1 and 2 passed all points of sale with unpaid merchandise in a shopping cart suspects suspects attempted to steal suspect 1 punched the victim in the head, specifically the top left side, with a closed fist one time suspect later left the area in the  suspect vehicle"/>
    <s v="$452.71. Prior to exiting Target Loss Prevention / the victim confronted both suspects"/>
    <s v="C01W03"/>
  </r>
  <r>
    <s v="25-009348"/>
    <x v="3"/>
    <x v="2"/>
    <d v="1899-12-30T17:00:00"/>
    <d v="1899-12-30T17:25:00"/>
    <x v="3"/>
    <s v="February"/>
    <s v="Hudson St, 100 Block"/>
    <s v="144 Hudson Street"/>
    <s v="Suspicious Incident, Robbery"/>
    <s v="Suspicious Incident"/>
    <s v="Robbery"/>
    <s v=""/>
    <s v="144 Hudson Street, Hackensack, NJ, 07601"/>
    <s v="E1"/>
    <n v="5"/>
    <s v="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
    <m/>
    <m/>
    <m/>
    <m/>
    <m/>
    <m/>
    <m/>
    <m/>
    <m/>
    <m/>
    <s v="Deleon_A"/>
    <s v="Complete"/>
    <s v="P.O. Micah Gibson 365"/>
    <s v="A3"/>
    <s v="Sgt. Francesco Tripodi 134"/>
    <s v="No Investigation"/>
    <m/>
    <n v="2025"/>
    <n v="6"/>
    <n v="2"/>
    <n v="2"/>
    <n v="33"/>
    <d v="2025-02-02T17:25:00"/>
    <n v="144"/>
    <s v="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
    <m/>
    <s v="suspect descriptions:unknown  suspect 1: tall white male, crew cut, no clothing descriptionunknown  suspects 2-5: 4 males, unknown race, wearing dark colored helmets and dark clothes with padding suspects, with four of them carrying bats suspect #1 threatened him, stating that he would beat him up if he didn't hand over his belongings suspect #1 forcibly retrieved the wallet off his person and removed a debit card and identification card, before throwing the wallet back in his direction suspect's then told him if they saw him again, they would beat him up suspects then fled east on court street, before turning left to head north on river road"/>
    <s v=""/>
    <s v="C02W05"/>
  </r>
  <r>
    <s v="25-009438"/>
    <x v="4"/>
    <x v="2"/>
    <d v="1899-12-30T16:00:00"/>
    <d v="1899-12-30T16:40:35"/>
    <x v="0"/>
    <s v="February"/>
    <s v="Hackensack Ave, 400 Block"/>
    <s v="400 Hackensack Avenue"/>
    <s v="Robbery"/>
    <s v="Robbery"/>
    <s v=""/>
    <s v=""/>
    <s v="400 Hackensack Avenue, Hackensack, NJ, 07601"/>
    <s v="I6"/>
    <n v="9"/>
    <s v="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m/>
    <m/>
    <m/>
    <m/>
    <m/>
    <m/>
    <m/>
    <m/>
    <m/>
    <m/>
    <s v="Levis_R"/>
    <s v="Complete"/>
    <s v="P.O. Aziah Miller 357"/>
    <s v="A3"/>
    <s v="Det. Matthew Dogali 338"/>
    <s v="Active/Administratively Closed"/>
    <s v="120 = Robbery"/>
    <n v="2025"/>
    <n v="6"/>
    <n v="2"/>
    <n v="3"/>
    <n v="34"/>
    <d v="2025-02-03T16:40:00"/>
    <n v="400"/>
    <s v="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m/>
    <s v="suspects (1 male, 2 females) entered the establishment at approximately 1600 hours suspects reportedly exited and reentered the store multiples time prior to committing the offense, with the last entry being made only by the male  suspect suspect grabbed three small purses from the display shelf before he began to walk toward the exit suspect, who immediately shoved him into a store fixture suspect reportedly proceeded to run out of the store toward the nearest mall exit, where he entered a black vehicle and fled in an unknown direction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s v="$650.00. The store manager (witness) wished to have complaints signed against the suspects if they were able to be identified"/>
    <s v="C02W05"/>
  </r>
  <r>
    <s v="25-012110"/>
    <x v="5"/>
    <x v="3"/>
    <d v="1899-12-30T02:00:00"/>
    <d v="1899-12-30T02:00:00"/>
    <x v="2"/>
    <s v="February"/>
    <s v="Christopher Columbus Drive, 100 Block"/>
    <s v="128 Christopher Columbus Drive"/>
    <s v="Assist Other Agency, Aggravated Assault, Robbery"/>
    <s v="Assist Other Agency"/>
    <s v="Aggravated Assault"/>
    <s v="Robbery"/>
    <s v="128 Christopher Columbus Drive, Jersey City, NJ 07302, Hackensack, NJ, 07601"/>
    <s v="I5"/>
    <n v="9"/>
    <s v="Victim and suspect were in a dating relationship for approximately 9 months.    I responded to Police Headquarters on a report of Domestic Violence. Upon arrival I met with the Victim who stated on 02/13/2025 at approximately 0200 hours she was at a bar called &quot;Six26&quot;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
    <m/>
    <m/>
    <m/>
    <m/>
    <m/>
    <m/>
    <m/>
    <m/>
    <m/>
    <m/>
    <s v="Briggs_S"/>
    <s v="Complete"/>
    <s v="P.O. Angelo Vicale 370"/>
    <s v="B3"/>
    <s v="Det. John Mora 257"/>
    <s v="TOT Outside Jurisdiction"/>
    <m/>
    <n v="2025"/>
    <n v="7"/>
    <n v="3"/>
    <n v="13"/>
    <n v="44"/>
    <d v="2025-02-13T02:00:00"/>
    <n v="128"/>
    <s v="Victim and suspect were in a dating relationship for approximately 9 months.    I responded to Police Headquarters on a report of Domestic Violence. Upon arrival I met with the Victim who stated on 02/13/2025 at approximately 0200 hours she was at a bar called &quot;Six26&quot;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
    <m/>
    <s v="suspect were in a dating relationship for approximately 9 months suspect met with her on the sidewalk suspect wished to get back together, but she refused suspect strangled her, he stole her iphone 14 pro out of her front pocket (approximate value: $1,000 suspect, but he has not been served"/>
    <s v="$1,000.00) then fled the scene.     The victim advised me that she currently has a restraining order against the suspect, but he has not been served"/>
    <s v="C02W07"/>
  </r>
  <r>
    <s v="25-017536"/>
    <x v="6"/>
    <x v="2"/>
    <d v="1899-12-30T18:00:00"/>
    <d v="1899-12-30T18:59:25"/>
    <x v="1"/>
    <s v="March"/>
    <s v="Essex St, 200 Block"/>
    <s v="216 Essex Street"/>
    <s v="Robbery"/>
    <s v="Robbery"/>
    <s v=""/>
    <s v=""/>
    <s v="216 Essex Street, Hackensack, NJ, 07601"/>
    <s v="F1"/>
    <n v="6"/>
    <s v="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quot;If you call the police, I will kill you.&quot;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quot;No.&quot;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
    <m/>
    <m/>
    <m/>
    <m/>
    <m/>
    <m/>
    <m/>
    <m/>
    <m/>
    <m/>
    <s v="Bay_F"/>
    <s v="Complete"/>
    <s v="P.O. Steven Lemanowicz 347"/>
    <s v="B4"/>
    <s v="Det. Matthew DeBonis 325"/>
    <s v="Active Investigation"/>
    <s v="120 = Robbery"/>
    <n v="2025"/>
    <n v="10"/>
    <n v="2"/>
    <n v="4"/>
    <n v="63"/>
    <d v="2025-03-04T18:59:00"/>
    <n v="216"/>
    <s v="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quot;If you call the police, I will kill you.&quot;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quot;No.&quot;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
    <m/>
    <s v="suspect description:  bm, 5'5, gray vest, blue hooded sweatshirt, blue jeans, black medium length hair, black purse and a black backpack suspect) had entered his store whom he recognized that had caused a disturbance earlier in the day with his customers suspect to leave or he will call the police suspect then grabbed two 50 ml bottles of patron silver and the employee grabbed his hand suspect then left the store with the bottles, picked up a black backpack he left outside the store and walked north on lehigh street suspect said anything during the theft and he stated the  suspect responded, &quot;if you call the police, i will kill you suspect taking the bottles suspect was put out to patrols and a canvass of the area was negative for the  suspect suspect if he was identified"/>
    <s v="$7.00 each for a total loss of  $14.00."/>
    <s v="C03W10"/>
  </r>
  <r>
    <s v="25-017488"/>
    <x v="6"/>
    <x v="0"/>
    <d v="1899-12-30T15:00:00"/>
    <d v="1899-12-30T15:23:00"/>
    <x v="1"/>
    <s v="March"/>
    <s v="High St, 100 Block"/>
    <s v="195 High Street"/>
    <s v="Robbery, Unlawful Possess./Weapons, Dispute"/>
    <s v="Robbery"/>
    <s v="Unlawful Possess./Weapons"/>
    <s v="Dispute"/>
    <s v="195 High Street, Hackensack, NJ, 07601"/>
    <s v="H3"/>
    <n v="8"/>
    <s v="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quot;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quot; I will fuck both of ya up&quot; and began demanding the money Foster owed him.     Hunt reported that, he told the suspect that he was going to call the police. The suspect then stated ' I ain't scared of no police&quot;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m/>
    <m/>
    <s v="D78PNR"/>
    <s v="BMW"/>
    <s v="430"/>
    <s v="NJ"/>
    <m/>
    <m/>
    <m/>
    <m/>
    <s v="Bay_F"/>
    <s v="Complete"/>
    <s v="P.O. Bobby Rivera 361"/>
    <s v="B2"/>
    <s v="Det. John Mora 257"/>
    <s v="Complaint Signed"/>
    <s v="120 = Robbery"/>
    <n v="2025"/>
    <n v="10"/>
    <n v="2"/>
    <n v="4"/>
    <n v="63"/>
    <d v="2025-03-04T15:23:00"/>
    <n v="195"/>
    <s v="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quot;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quot; I will fuck both of ya up&quot; and began demanding the money Foster owed him.     Hunt reported that, he told the suspect that he was going to call the police. The suspect then stated ' I ain't scared of no police&quot;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s v="Vehicle 1: NJ-D78PNR BMW, 430"/>
    <s v="suspect because she owed him money suspect exited the bmw and confronted him suspect began asking where foster was and hunt advised him that he believes she was at the listed address suspect then stated &quot; ya keep fucking around with me and i am going to bust a cap in both of your asses' suspect reentered the white bmw and began following him suspect exited the bmw, and followed him up the front porch suspect followed him inside, uninvited suspect removed a short black baseball bat from his waistband and stated &quot; i will fuck both of ya up&quot; and began demanding the money foster owed him suspect that he was going to call the police suspect then stated ' i ain't scared of no police&quot; and attempted to snatch hunts phone from his hands suspect fled suspect was responsible for the broken window, however, neither of them observed it suspect's vehicle of nj -d78pnr suspects name and an address of 26 anderson street, where she believes the mother resides suspect suspect for 2c:15-1a(2), 2c:12-3a, 2c:12-1a3, 2c:39-5d, and 2c:39-4d"/>
    <s v=""/>
    <s v="C03W10"/>
  </r>
  <r>
    <s v="25-024100"/>
    <x v="7"/>
    <x v="4"/>
    <d v="1899-12-30T11:00:00"/>
    <d v="1899-12-30T11:37:00"/>
    <x v="1"/>
    <s v="March"/>
    <s v="Hackensack Ave, 400 Block"/>
    <s v="450 Hackensack Avenue"/>
    <s v="Robbery, Theft, Medical Call"/>
    <s v="Robbery"/>
    <s v="Theft"/>
    <s v="Medical Call"/>
    <s v="450 Hackensack Avenue, Hackensack, NJ, 07601"/>
    <s v="I6"/>
    <n v="9"/>
    <s v="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m/>
    <m/>
    <s v="C73VBN"/>
    <s v="SUBARU"/>
    <s v="IMP"/>
    <s v="NJ"/>
    <m/>
    <m/>
    <m/>
    <m/>
    <s v="Klosk_J"/>
    <s v="Complete"/>
    <s v="P.O. Christian Alvarez 364"/>
    <s v="B1"/>
    <s v="Det. John Tanucilli 335"/>
    <s v="Active Investigation"/>
    <m/>
    <n v="2025"/>
    <n v="13"/>
    <n v="5"/>
    <n v="25"/>
    <n v="84"/>
    <d v="2025-03-25T11:37:00"/>
    <n v="450"/>
    <s v="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s v="Vehicle 1: NJ-C73VBN SUBARU, IMP"/>
    <s v="suspect: hispanic female approximately 50 years of age and heavy build suspect who put a gold chain around his neck and began to converse with him suspect then began to rip the victim's rolex watch off of his left wrist suspect but was unsuccessful suspect stole the watch and got into the passenger seat of a white sedan, which drove off"/>
    <s v="$15,000.00. Hackensack University Medical Center BLS responded to the scene and evaluated the patient"/>
    <s v="C04W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25-004478"/>
    <x v="0"/>
    <x v="0"/>
    <d v="1899-12-30T12:00:00"/>
    <d v="1899-12-30T12:00:00"/>
    <x v="0"/>
    <s v="January"/>
    <s v="Second St, 0 Block"/>
    <s v="30 Second Street"/>
    <x v="0"/>
    <s v="Burglary - Residence"/>
    <s v=""/>
    <s v=""/>
    <s v="30 Second Street, Hackensack, NJ, 07601"/>
    <s v="G3"/>
    <n v="7"/>
    <s v="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
    <m/>
    <m/>
    <m/>
    <m/>
    <m/>
    <m/>
    <m/>
    <m/>
    <m/>
    <m/>
    <s v="Deleon_A"/>
    <s v="Complete"/>
    <s v="P.O. Aziah Miller 357"/>
    <s v="A3"/>
    <s v="Det. Matthew DeBonis 325"/>
    <s v="Active/Administratively Closed"/>
    <s v="220 = Burglary/Breaking &amp; Entering"/>
    <n v="9"/>
    <d v="2025-01-16T00:00:00"/>
    <d v="1899-12-30T12:00:00"/>
    <d v="2025-01-16T00:00:00"/>
    <d v="1899-12-30T18:00:00"/>
    <d v="2025-01-16T00:00:00"/>
    <d v="1899-12-30T19:34:52"/>
    <n v="2025"/>
    <n v="3"/>
    <n v="3"/>
    <n v="16"/>
    <n v="16"/>
    <d v="2025-01-16T12:00:00"/>
    <n v="30"/>
    <s v="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
    <m/>
    <s v="suspects at the time this report was taken"/>
    <s v="$35.00. A Victim Notification was completed and the victim was provided with a copy upon our departure"/>
    <s v="C01W03"/>
    <x v="0"/>
  </r>
  <r>
    <s v="25-006864"/>
    <x v="1"/>
    <x v="1"/>
    <d v="1899-12-30T11:00:00"/>
    <d v="1899-12-30T11:00:00"/>
    <x v="1"/>
    <s v="January"/>
    <s v="Kansas St, 0 Block"/>
    <s v="60 Kansas Street"/>
    <x v="0"/>
    <s v="Burglary - Residence"/>
    <s v=""/>
    <s v=""/>
    <s v="60 Kansas Street, Hackensack, NJ, 07601"/>
    <s v="E1"/>
    <n v="5"/>
    <s v="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
    <m/>
    <m/>
    <m/>
    <m/>
    <m/>
    <m/>
    <m/>
    <m/>
    <m/>
    <m/>
    <s v="Levis_R"/>
    <s v="Complete"/>
    <s v="P.O. Andres Lopez 375"/>
    <s v="A2"/>
    <s v="Det. Matthew DeBonis 325"/>
    <s v="Active Investigation"/>
    <s v="220 = Burglary/Breaking &amp; Entering"/>
    <n v="9"/>
    <d v="2025-01-25T00:00:00"/>
    <d v="1899-12-30T11:00:00"/>
    <d v="2025-01-25T00:00:00"/>
    <d v="1899-12-30T14:00:00"/>
    <d v="2025-01-25T00:00:00"/>
    <d v="1899-12-30T13:55:59"/>
    <n v="2025"/>
    <n v="4"/>
    <n v="4"/>
    <n v="25"/>
    <n v="25"/>
    <d v="2025-01-25T11:00:00"/>
    <n v="60"/>
    <s v="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
    <m/>
    <s v="suspects inside"/>
    <s v="$2,000 in miscellaneous jewelry. She described the jewelry to be earrings and gold necklaces.The victim reported she had the same incident occur in 2023"/>
    <s v="C01W04"/>
    <x v="1"/>
  </r>
  <r>
    <s v="25-008551"/>
    <x v="2"/>
    <x v="1"/>
    <d v="1899-12-30T11:00:00"/>
    <d v="1899-12-30T11:59:50"/>
    <x v="2"/>
    <s v="January"/>
    <s v="The Esplanade, 200 Block"/>
    <s v="292 The Esplanade"/>
    <x v="0"/>
    <s v="Burglary - Residence"/>
    <s v=""/>
    <s v=""/>
    <s v="292 The Esplanade, Hackensack, NJ, 07601"/>
    <s v="H5"/>
    <n v="8"/>
    <s v="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m/>
    <m/>
    <m/>
    <m/>
    <m/>
    <m/>
    <m/>
    <m/>
    <m/>
    <m/>
    <s v="Klosk_J"/>
    <s v="Complete"/>
    <s v="P.O. Denisse Caero 367"/>
    <s v="B2"/>
    <s v="Det. John Tanucilli 335"/>
    <s v="Active/Administratively Closed"/>
    <s v="220 = Burglary/Breaking &amp; Entering"/>
    <n v="9"/>
    <d v="2025-01-31T00:00:00"/>
    <d v="1899-12-30T11:59:50"/>
    <m/>
    <m/>
    <d v="2025-01-31T00:00:00"/>
    <d v="1899-12-30T11:59:50"/>
    <n v="2025"/>
    <n v="5"/>
    <n v="5"/>
    <n v="31"/>
    <n v="31"/>
    <d v="2025-01-31T11:59:00"/>
    <n v="292"/>
    <s v="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m/>
    <s v=""/>
    <s v=""/>
    <s v="C02W05"/>
    <x v="1"/>
  </r>
  <r>
    <s v="25-009831"/>
    <x v="3"/>
    <x v="2"/>
    <d v="1899-12-30T02:00:00"/>
    <d v="1899-12-30T02:57:00"/>
    <x v="3"/>
    <s v="February"/>
    <s v="Passaic St, 400 Block"/>
    <s v="441 Passaic Street"/>
    <x v="1"/>
    <s v="Burglary - Commercial"/>
    <s v="Alarm - Burglar"/>
    <s v=""/>
    <s v="441 Passaic Street, Hackensack, NJ, 07601"/>
    <s v="H5"/>
    <n v="8"/>
    <s v="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
    <m/>
    <m/>
    <m/>
    <m/>
    <m/>
    <m/>
    <m/>
    <m/>
    <m/>
    <m/>
    <s v="Swetits_M"/>
    <s v="Complete"/>
    <s v="P.O. Benjamin Estrada 350"/>
    <s v="A2"/>
    <s v="Det. Frank Scarpa 348"/>
    <s v="Active Investigation"/>
    <s v="220 = Burglary/Breaking &amp; Entering"/>
    <n v="9"/>
    <d v="2025-02-05T00:00:00"/>
    <d v="1899-12-30T02:57:00"/>
    <m/>
    <m/>
    <d v="2025-02-05T00:00:00"/>
    <d v="1899-12-30T02:57:41"/>
    <n v="2025"/>
    <n v="6"/>
    <n v="2"/>
    <n v="5"/>
    <n v="36"/>
    <d v="2025-02-05T02:57:00"/>
    <n v="441"/>
    <s v="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
    <m/>
    <s v=""/>
    <s v=""/>
    <s v="C02W06"/>
    <x v="2"/>
  </r>
  <r>
    <s v="25-013147"/>
    <x v="4"/>
    <x v="0"/>
    <d v="1899-12-30T12:00:00"/>
    <d v="1899-12-30T12:35:58"/>
    <x v="4"/>
    <s v="February"/>
    <s v="Pangborn Pl, 0 Block"/>
    <s v="35 Pangborn Place"/>
    <x v="2"/>
    <s v="Burglary - Commercial"/>
    <s v="Suspicious Incident"/>
    <s v=""/>
    <s v="35 Pangborn Place, Hackensack, NJ, 07601"/>
    <s v="I1"/>
    <n v="9"/>
    <s v="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
    <m/>
    <m/>
    <m/>
    <m/>
    <m/>
    <m/>
    <m/>
    <m/>
    <m/>
    <m/>
    <s v="Deleon_A"/>
    <s v="Complete"/>
    <s v="P.O. Ruben Almonte 359"/>
    <s v="A3"/>
    <s v="Sgt. Francesco Tripodi 134"/>
    <s v="Under Supervisor Review"/>
    <s v="220 = Burglary/Breaking &amp; Entering"/>
    <n v="9"/>
    <d v="2025-02-17T00:00:00"/>
    <d v="1899-12-30T12:35:58"/>
    <m/>
    <m/>
    <d v="2025-02-17T00:00:00"/>
    <d v="1899-12-30T12:35:58"/>
    <n v="2025"/>
    <n v="8"/>
    <n v="4"/>
    <n v="17"/>
    <n v="48"/>
    <d v="2025-02-17T12:35:00"/>
    <n v="35"/>
    <s v="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
    <m/>
    <s v="suspect(s): unknown     i responded to the listed location, 35 pangborn place - hackensack emergency dental, on a report of a burglary"/>
    <s v="$100.00 USD) and a Keep Connect Router Reporter ( $50.00) had been a taken from the basement. The complainant further stated there did not appear to be any forced entry into the basement $150.00 USD"/>
    <s v="C02W07"/>
    <x v="0"/>
  </r>
  <r>
    <s v="25-019648"/>
    <x v="5"/>
    <x v="2"/>
    <d v="1899-12-30T01:00:00"/>
    <d v="1899-12-30T01:07:00"/>
    <x v="4"/>
    <s v="March"/>
    <s v="Park Ave, 0 Block"/>
    <s v="1 Park Avenue"/>
    <x v="0"/>
    <s v="Burglary - Residence"/>
    <s v=""/>
    <s v=""/>
    <s v="1 Park Avenue, Hackensack, NJ, 07601"/>
    <s v="H1"/>
    <n v="8"/>
    <s v="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m/>
    <m/>
    <m/>
    <m/>
    <m/>
    <m/>
    <m/>
    <m/>
    <m/>
    <m/>
    <s v="Ghirardi_R"/>
    <s v="Complete"/>
    <s v="P.O. Nicholas Mazzaccaro 377"/>
    <s v="B2"/>
    <s v="Det. Matthew Dogali 338"/>
    <s v="Active Investigation"/>
    <s v="220 = Burglary/Breaking &amp; Entering"/>
    <n v="9"/>
    <d v="2025-03-10T00:00:00"/>
    <d v="1899-12-30T01:07:00"/>
    <d v="2025-03-10T00:00:00"/>
    <d v="1899-12-30T03:53:00"/>
    <d v="2025-03-11T00:00:00"/>
    <d v="1899-12-30T10:36:59"/>
    <n v="2025"/>
    <n v="11"/>
    <n v="3"/>
    <n v="10"/>
    <n v="69"/>
    <d v="2025-03-10T01:07:00"/>
    <n v="1"/>
    <s v="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m/>
    <s v="suspect #1- black female, long black hair, approximately in the early 30's, approximately 5'10 in height, approximately 170 lbs, wearing a black baseball hat, black jacket, white and black leggings, white socks and white sneakers suspect #2- black female, long black hair, approximately in the early 30's, approximately 5'10 in height, approximately 250 lbs, wearing a white jacket, white and grey leggings,white socks and tan timberlands suspects walked through the front lobby door of 1 park avenue, they proceeded to take the elevator to the 4th floor suspect 1 was seen leaving the entrance of 1 park avenue with two bags potentially from the apartment suspect #1 left with is unknown at this time"/>
    <s v=""/>
    <s v="C03W10"/>
    <x v="2"/>
  </r>
  <r>
    <s v="25-024952"/>
    <x v="6"/>
    <x v="3"/>
    <d v="1899-12-30T22:00:00"/>
    <d v="1899-12-30T22:43:12"/>
    <x v="0"/>
    <s v="March"/>
    <s v="Essex St, 200 Block"/>
    <s v="211 Essex Street"/>
    <x v="3"/>
    <s v="Burglary - Commercial"/>
    <s v="Hindering Apprehension"/>
    <s v="Resisting Arrest/Eluding"/>
    <s v="211 Essex Street, Hackensack, NJ, 07601"/>
    <s v="F1"/>
    <n v="6"/>
    <s v="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quot;Jorge Williams&quot;.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m/>
    <m/>
    <m/>
    <m/>
    <m/>
    <m/>
    <m/>
    <m/>
    <m/>
    <m/>
    <s v="Bay_F"/>
    <s v="Complete"/>
    <s v="P.O. Laura Lopez-Amaya 374"/>
    <s v="B3"/>
    <s v="Det. John Mora 257"/>
    <s v="Active Investigation"/>
    <m/>
    <n v="9"/>
    <d v="2025-03-27T00:00:00"/>
    <d v="1899-12-30T22:43:12"/>
    <m/>
    <m/>
    <d v="2025-03-27T00:00:00"/>
    <d v="1899-12-30T22:43:12"/>
    <n v="2025"/>
    <n v="13"/>
    <n v="5"/>
    <n v="27"/>
    <n v="86"/>
    <d v="2025-03-27T22:43:00"/>
    <n v="211"/>
    <s v="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quot;Jorge Williams&quot;.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m/>
    <s v=""/>
    <s v="$26.99. Melanie Esquiveo then responded to police headquarters to provide a statement to detectives"/>
    <s v="C04W13"/>
    <x v="3"/>
  </r>
  <r>
    <s v="25-025078"/>
    <x v="6"/>
    <x v="3"/>
    <d v="1899-12-30T23:00:00"/>
    <d v="1899-12-30T23:30:00"/>
    <x v="0"/>
    <s v="March"/>
    <s v="Park Ave, 0 Block"/>
    <s v="2 Park Avenue"/>
    <x v="0"/>
    <s v="Burglary - Residence"/>
    <s v=""/>
    <s v=""/>
    <s v="2 Park Avenue, Hackensack, NJ, 07601"/>
    <s v="H1"/>
    <n v="8"/>
    <s v="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n v="50300"/>
    <m/>
    <m/>
    <m/>
    <m/>
    <m/>
    <m/>
    <m/>
    <m/>
    <m/>
    <s v="Klosk_J"/>
    <s v="Complete"/>
    <s v="P.O. Peter Voorhis 380"/>
    <s v="B1"/>
    <s v="Sgt. Patrick Williams 143"/>
    <s v="Active Investigation"/>
    <m/>
    <n v="9"/>
    <d v="2025-03-27T00:00:00"/>
    <d v="1899-12-30T23:30:00"/>
    <d v="2025-03-28T00:00:00"/>
    <d v="1899-12-30T00:36:00"/>
    <d v="2025-03-28T00:00:00"/>
    <d v="1899-12-30T11:13:39"/>
    <n v="2025"/>
    <n v="13"/>
    <n v="5"/>
    <n v="27"/>
    <n v="86"/>
    <d v="2025-03-27T23:30:00"/>
    <n v="2"/>
    <s v="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m/>
    <s v="suspect stated after observing the broken door, he entered his apartment and found drawers, cabinets, and his bedroom door were opened suspects suspect departed his residence suspects appeared to only have gone into a select pair of jeans which contained the rolex watch suspects entered stairwell 3, located across from the victim's apartment at approximately 0030 hours suspects were then viewed leaving the apartment approximately six (6) minutes later at 0036 hours suspects involved, please refer to detective sergeant williams case report suspects if identified"/>
    <s v="$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8,000.00 dollars was stolen. The bracelet was located on the top of the TV stand $8,000.00 dollars was stolen. The necklace was located in the apartment bedroom $4,000.00 dollars.   A Nintendo Switch (Gaming Console) valued at approximately  $300.00 dollars was stolen. The gaming console was located on the living room couch"/>
    <s v="C04W13"/>
    <x v="3"/>
  </r>
  <r>
    <s v="25-025926"/>
    <x v="7"/>
    <x v="0"/>
    <d v="1899-12-30T12:00:00"/>
    <d v="1899-12-30T12:00:00"/>
    <x v="4"/>
    <s v="March"/>
    <s v="Essex St, 100 Block"/>
    <s v="100 Essex Street"/>
    <x v="0"/>
    <s v="Burglary - Residence"/>
    <s v=""/>
    <s v=""/>
    <s v="100 Essex Street, Hackensack, NJ, 07601"/>
    <s v="G2"/>
    <n v="7"/>
    <s v="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quot;Asaad Martinez-Pollard&quot; may be the suspect. The victim reported being assaulted by the suspect a few weeks prior and seeing him briefly today. See Case #25-010292 for further. A NJ Victim Notification form was completed and a copy was provided to the victim. Detective DeBonis was advised."/>
    <m/>
    <m/>
    <m/>
    <m/>
    <m/>
    <m/>
    <m/>
    <m/>
    <m/>
    <m/>
    <s v="Competiello_Fa"/>
    <s v="Complete"/>
    <s v="P.O. Anthony Mattalian 83"/>
    <s v="A2"/>
    <m/>
    <m/>
    <m/>
    <n v="9"/>
    <d v="2025-03-31T00:00:00"/>
    <d v="1899-12-30T12:00:00"/>
    <m/>
    <m/>
    <d v="2025-03-31T00:00:00"/>
    <d v="1899-12-30T13:02:43"/>
    <n v="2025"/>
    <n v="14"/>
    <n v="6"/>
    <n v="31"/>
    <n v="90"/>
    <d v="2025-03-31T12:00:00"/>
    <n v="100"/>
    <s v="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quot;Asaad Martinez-Pollard&quot; may be the suspect. The victim reported being assaulted by the suspect a few weeks prior and seeing him briefly today. See Case #25-010292 for further. A NJ Victim Notification form was completed and a copy was provided to the victim. Detective DeBonis was advised."/>
    <m/>
    <s v="suspect was inside his apartment, were visible suspect suspect a few weeks prior and seeing him briefly today"/>
    <s v="$50.00 USD inside, attached to four (4) keys and one (1) safety deposit box key. Total loss of  $200.00 USD.     The victim stated in effect that he took a shower at approximately 0500 hours today"/>
    <s v="C04W13"/>
    <x v="0"/>
  </r>
  <r>
    <s v="25-027338"/>
    <x v="8"/>
    <x v="0"/>
    <d v="1899-12-30T12:00:00"/>
    <d v="1899-12-30T12:00:00"/>
    <x v="5"/>
    <s v="April"/>
    <s v="Fair St, 0 Block"/>
    <s v="75 Fair Street"/>
    <x v="0"/>
    <s v="Burglary - Residence"/>
    <s v=""/>
    <s v=""/>
    <s v="75 Fair Street, Hackensack, NJ, 07601"/>
    <s v="E1"/>
    <n v="5"/>
    <s v="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m/>
    <m/>
    <m/>
    <m/>
    <m/>
    <m/>
    <m/>
    <m/>
    <m/>
    <m/>
    <s v="Klosk_J"/>
    <s v="Complete"/>
    <s v="P.O. Alexander Reyes 355"/>
    <s v="B4"/>
    <s v="Det. Gunther Lara-Nunez 351"/>
    <s v="Active Investigation"/>
    <m/>
    <n v="9"/>
    <d v="2025-04-01T00:00:00"/>
    <d v="1899-12-30T12:00:00"/>
    <d v="2025-04-04T00:00:00"/>
    <d v="1899-12-30T12:30:00"/>
    <d v="2025-04-04T00:00:00"/>
    <d v="1899-12-30T13:05:28"/>
    <n v="2025"/>
    <n v="14"/>
    <n v="1"/>
    <n v="1"/>
    <n v="91"/>
    <d v="2025-04-01T12:00:00"/>
    <n v="75"/>
    <s v="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m/>
    <s v=""/>
    <s v=""/>
    <s v="C04W14"/>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25-000813"/>
    <x v="0"/>
    <x v="0"/>
    <d v="1899-12-30T21:00:00"/>
    <d v="1899-12-30T21:30:00"/>
    <x v="0"/>
    <s v="January"/>
    <s v="Lookout Ave, 300 Block"/>
    <s v="309 Lookout Avenue"/>
    <x v="0"/>
    <s v="Motor Vehicle Theft"/>
    <s v=""/>
    <s v=""/>
    <s v="309 Lookout Avenue, Hackensack, NJ, 07601"/>
    <s v="I2"/>
    <n v="9"/>
    <s v="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m/>
    <m/>
    <s v="W46ULY"/>
    <s v="HONDA"/>
    <s v="ACC"/>
    <s v="NJ"/>
    <m/>
    <m/>
    <m/>
    <m/>
    <s v="Klosk_J"/>
    <s v="Complete"/>
    <s v="P.O. Nicholas Mazzaccaro 377"/>
    <s v="B4"/>
    <s v="Det. Robert Ghirardi 150"/>
    <s v="Active/Administratively Closed"/>
    <s v="240 = Theft of Motor Vehicle"/>
    <n v="9"/>
    <d v="2025-01-03T00:00:00"/>
    <d v="1899-12-30T21:30:00"/>
    <d v="2025-01-04T00:00:00"/>
    <d v="1899-12-30T06:25:00"/>
    <d v="2025-01-04T00:00:00"/>
    <d v="1899-12-30T10:59:09"/>
    <n v="2025"/>
    <n v="1"/>
    <n v="1"/>
    <n v="3"/>
    <n v="3"/>
    <d v="2025-01-03T21:30:00"/>
    <n v="309"/>
    <s v="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s v="Vehicle 1: NJ-W46ULY HONDA, ACC"/>
    <s v="suspect(s) are identified"/>
    <s v=""/>
    <s v="C01W01"/>
    <x v="0"/>
  </r>
  <r>
    <s v="25-004097"/>
    <x v="1"/>
    <x v="1"/>
    <d v="1899-12-30T12:00:00"/>
    <d v="1899-12-30T12:57:26"/>
    <x v="1"/>
    <s v="January"/>
    <s v="First St, 200 Block"/>
    <s v="244 First Street"/>
    <x v="0"/>
    <s v="Motor Vehicle Theft"/>
    <s v=""/>
    <s v=""/>
    <s v="244 First Street, Hackensack, NJ, 07601"/>
    <s v="H3"/>
    <n v="8"/>
    <s v="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
    <m/>
    <m/>
    <s v="U38ULG"/>
    <s v="HONDA"/>
    <s v="CIV"/>
    <s v="NJ"/>
    <m/>
    <m/>
    <m/>
    <m/>
    <s v="Swetits_M"/>
    <s v="Complete"/>
    <s v="P.O. Frank Lorenzo 371"/>
    <s v="b1"/>
    <s v="Det. Matthew DeBonis 325"/>
    <s v="Active/Administratively Closed"/>
    <s v="240 = Theft of Motor Vehicle"/>
    <n v="9"/>
    <d v="2025-01-15T00:00:00"/>
    <d v="1899-12-30T12:57:26"/>
    <m/>
    <m/>
    <d v="2025-01-15T00:00:00"/>
    <d v="1899-12-30T12:57:26"/>
    <n v="2025"/>
    <n v="3"/>
    <n v="3"/>
    <n v="15"/>
    <n v="15"/>
    <d v="2025-01-15T12:57:00"/>
    <n v="244"/>
    <s v="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
    <s v="Vehicle 1: NJ-U38ULG HONDA, CIV"/>
    <s v="suspected to be from his rear passenger side window"/>
    <s v="$50,000.00 as the vehicle was fairly new. He further reported he attempted to track the vehicle as it contains tracking equipment but was unsuccessful as it was not connecting"/>
    <s v="C01W03"/>
    <x v="1"/>
  </r>
  <r>
    <s v="25-005871"/>
    <x v="2"/>
    <x v="2"/>
    <d v="1899-12-30T19:00:00"/>
    <d v="1899-12-30T19:00:00"/>
    <x v="2"/>
    <s v="January"/>
    <s v="Ross Ave, 0 Block"/>
    <s v="33 Ross Avenue"/>
    <x v="0"/>
    <s v="Motor Vehicle Theft"/>
    <s v=""/>
    <s v=""/>
    <s v="33 Ross Avenue, Hackensack, NJ, 07601"/>
    <s v="I1"/>
    <n v="9"/>
    <s v="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
    <m/>
    <m/>
    <s v="U22RSV"/>
    <s v="HONDA"/>
    <s v="PAS"/>
    <s v="NJ"/>
    <m/>
    <m/>
    <m/>
    <m/>
    <s v="Tovbin_S"/>
    <s v="Complete"/>
    <s v="P.O. Roselys Salas 369"/>
    <s v="B4"/>
    <s v="Det. John Tanucilli 335"/>
    <s v="Active/Administratively Closed"/>
    <s v="240 = Theft of Motor Vehicle"/>
    <n v="9"/>
    <d v="2025-01-21T00:00:00"/>
    <d v="1899-12-30T19:00:00"/>
    <d v="2025-01-22T00:00:00"/>
    <d v="1899-12-30T03:09:00"/>
    <d v="2025-01-22T00:00:00"/>
    <d v="1899-12-30T03:10:53"/>
    <n v="2025"/>
    <n v="4"/>
    <n v="4"/>
    <n v="21"/>
    <n v="21"/>
    <d v="2025-01-21T19:00:00"/>
    <n v="33"/>
    <s v="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
    <s v="Vehicle 1: NJ-U22RSV HONDA, PAS"/>
    <s v=""/>
    <s v=""/>
    <s v="C01W04"/>
    <x v="2"/>
  </r>
  <r>
    <s v="25-006083"/>
    <x v="3"/>
    <x v="3"/>
    <d v="1899-12-30T08:00:00"/>
    <d v="1899-12-30T08:00:00"/>
    <x v="1"/>
    <s v="January"/>
    <s v="Hudson St, 400 Block"/>
    <s v="443 Hudson Street"/>
    <x v="0"/>
    <s v="Motor Vehicle Theft"/>
    <s v=""/>
    <s v=""/>
    <s v="443 Hudson Street, Hackensack, NJ, 07601"/>
    <s v="E3"/>
    <n v="5"/>
    <s v="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quot;the vehicle was towed off the property early morning and he got some money for it.&quo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m/>
    <m/>
    <s v="Y62SRJ"/>
    <s v="NISSAN"/>
    <s v="PTH"/>
    <s v="NJ"/>
    <m/>
    <m/>
    <m/>
    <m/>
    <s v="Swetits_M"/>
    <s v="Complete"/>
    <s v="P.O. Roselys Salas 369"/>
    <s v="B4"/>
    <s v="Det. Demetrius Carroll 133"/>
    <s v="Active/Administratively Closed"/>
    <s v="240 = Theft of Motor Vehicle"/>
    <n v="9"/>
    <d v="2025-01-22T00:00:00"/>
    <d v="1899-12-30T08:00:00"/>
    <d v="2025-01-22T00:00:00"/>
    <d v="1899-12-30T19:13:00"/>
    <d v="2025-01-22T00:00:00"/>
    <d v="1899-12-30T19:14:56"/>
    <n v="2025"/>
    <n v="4"/>
    <n v="4"/>
    <n v="22"/>
    <n v="22"/>
    <d v="2025-01-22T08:00:00"/>
    <n v="443"/>
    <s v="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quot;the vehicle was towed off the property early morning and he got some money for it.&quo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s v="Vehicle 1: NJ-Y62SRJ NISSAN, PTH"/>
    <s v=""/>
    <s v=""/>
    <s v="C01W04"/>
    <x v="3"/>
  </r>
  <r>
    <s v="25-008075"/>
    <x v="4"/>
    <x v="1"/>
    <d v="1899-12-30T15:00:00"/>
    <d v="1899-12-30T15:00:00"/>
    <x v="2"/>
    <s v="January"/>
    <s v="Essex St, 100 Block"/>
    <s v="119 Essex Street"/>
    <x v="1"/>
    <s v="Motor Vehicle Theft"/>
    <s v="Theft"/>
    <s v=""/>
    <s v="119 Essex Street, Hackensack, NJ, 07601"/>
    <s v="F1"/>
    <n v="6"/>
    <s v="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
    <m/>
    <m/>
    <s v="K84CXU"/>
    <s v="LEXUS"/>
    <s v="ES"/>
    <s v="NJ"/>
    <m/>
    <m/>
    <m/>
    <m/>
    <s v="Swetits_M"/>
    <s v="Complete"/>
    <s v="P.O. Roselys Salas 369"/>
    <s v="B4"/>
    <s v="Det. Matthew DeBonis 325"/>
    <s v="Ex-Cleared / Closed"/>
    <s v="240 = Theft of Motor Vehicle"/>
    <n v="9"/>
    <d v="2025-01-28T00:00:00"/>
    <d v="1899-12-30T15:00:00"/>
    <d v="2025-01-29T00:00:00"/>
    <d v="1899-12-30T22:01:00"/>
    <d v="2025-01-29T00:00:00"/>
    <d v="1899-12-30T22:02:24"/>
    <n v="2025"/>
    <n v="5"/>
    <n v="5"/>
    <n v="28"/>
    <n v="28"/>
    <d v="2025-01-28T15:00:00"/>
    <n v="119"/>
    <s v="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
    <s v="Vehicle 1: NJ-K84CXU LEXUS, ES"/>
    <s v=""/>
    <s v="$800.00 USD."/>
    <s v="C02W05"/>
    <x v="1"/>
  </r>
  <r>
    <s v="25-010788"/>
    <x v="5"/>
    <x v="1"/>
    <d v="1899-12-30T12:00:00"/>
    <d v="1899-12-30T12:00:00"/>
    <x v="0"/>
    <s v="January"/>
    <s v="Hudson St, 500 Block"/>
    <s v="535 Hudson Street"/>
    <x v="0"/>
    <s v="Motor Vehicle Theft"/>
    <s v=""/>
    <s v=""/>
    <s v="535 Hudson Street, Hackensack, NJ, 07601"/>
    <s v="E3"/>
    <n v="5"/>
    <s v="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m/>
    <m/>
    <s v="S70MPZ"/>
    <m/>
    <s v="CIV"/>
    <s v="NJ"/>
    <m/>
    <m/>
    <m/>
    <m/>
    <s v="Swetits_M"/>
    <s v="Complete"/>
    <s v="P.O. Daniel Francavilla 329"/>
    <s v="B4"/>
    <s v="Det. Matthew Dogali 338"/>
    <s v="Active/Administratively Closed"/>
    <s v="240 = Theft of Motor Vehicle"/>
    <n v="9"/>
    <d v="2025-01-31T00:00:00"/>
    <d v="1899-12-30T12:00:00"/>
    <d v="2025-02-07T00:00:00"/>
    <d v="1899-12-30T13:00:00"/>
    <d v="2025-02-08T00:00:00"/>
    <d v="1899-12-30T09:22:04"/>
    <n v="2025"/>
    <n v="5"/>
    <n v="5"/>
    <n v="31"/>
    <n v="31"/>
    <d v="2025-01-31T12:00:00"/>
    <n v="535"/>
    <s v="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s v="Vehicle 1: NJ-S70MPZ"/>
    <s v=""/>
    <s v="$6,000.00.  A victim notification form was completed, and the vehicle was entered into N"/>
    <s v="C02W05"/>
    <x v="1"/>
  </r>
  <r>
    <s v="25-008777"/>
    <x v="6"/>
    <x v="4"/>
    <d v="1899-12-30T01:00:00"/>
    <d v="1899-12-30T01:00:00"/>
    <x v="3"/>
    <s v="February"/>
    <s v="Sutton Ave, 400 Block"/>
    <s v="453 Sutton Avenue"/>
    <x v="0"/>
    <s v="Motor Vehicle Theft"/>
    <s v=""/>
    <s v=""/>
    <s v="453 Sutton Avenue, Hackensack, NJ, 07601"/>
    <s v="F2"/>
    <n v="6"/>
    <s v="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
    <m/>
    <m/>
    <s v="P77UZJ"/>
    <s v="FORD"/>
    <s v="CRO"/>
    <s v="NJ"/>
    <m/>
    <m/>
    <m/>
    <m/>
    <s v="Swetits_M"/>
    <s v="Complete"/>
    <s v="P.O. Roselys Salas 369"/>
    <s v="B4"/>
    <s v="Det. Demetrius Carroll 133"/>
    <s v="Active/Administratively Closed"/>
    <s v="240 = Theft of Motor Vehicle"/>
    <n v="9"/>
    <d v="2025-02-01T00:00:00"/>
    <d v="1899-12-30T01:00:00"/>
    <m/>
    <d v="1899-12-30T02:30:00"/>
    <d v="2025-02-01T00:00:00"/>
    <d v="1899-12-30T02:52:33"/>
    <n v="2025"/>
    <n v="5"/>
    <n v="1"/>
    <n v="1"/>
    <n v="32"/>
    <d v="2025-02-01T01:00:00"/>
    <n v="453"/>
    <s v="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
    <s v="Vehicle 1: NJ-P77UZJ FORD, CRO"/>
    <s v=""/>
    <s v="$30.00 USD."/>
    <s v="C02W05"/>
    <x v="4"/>
  </r>
  <r>
    <s v="25-009657"/>
    <x v="7"/>
    <x v="2"/>
    <d v="1899-12-30T18:00:00"/>
    <d v="1899-12-30T18:30:00"/>
    <x v="4"/>
    <s v="February"/>
    <s v="Midtown Bridge Approach, 0 Block"/>
    <s v="55 Midtown Bridge Approach"/>
    <x v="0"/>
    <s v="Motor Vehicle Theft"/>
    <s v=""/>
    <s v=""/>
    <s v="55 Midtown Bridge Approach, Hackensack, NJ, 07601"/>
    <s v="H1"/>
    <n v="8"/>
    <s v="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
    <m/>
    <m/>
    <s v="AM82732"/>
    <s v="RAM"/>
    <s v="PROMASTER"/>
    <s v="AZ"/>
    <m/>
    <m/>
    <m/>
    <m/>
    <s v="Deleon_A"/>
    <s v="Complete"/>
    <s v="P.O. Micah Gibson 365"/>
    <s v="A3"/>
    <s v="Det. Matthew DeBonis 325"/>
    <s v="Complaint Signed"/>
    <s v="240 = Theft of Motor Vehicle"/>
    <n v="9"/>
    <d v="2025-02-03T00:00:00"/>
    <d v="1899-12-30T18:30:00"/>
    <d v="2025-02-04T00:00:00"/>
    <d v="1899-12-30T19:00:00"/>
    <d v="2025-02-04T00:00:00"/>
    <d v="1899-12-30T12:43:32"/>
    <n v="2025"/>
    <n v="6"/>
    <n v="2"/>
    <n v="3"/>
    <n v="34"/>
    <d v="2025-02-03T18:30:00"/>
    <n v="55"/>
    <s v="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
    <s v="Vehicle 1: AZ-AM82732 RAM, PROMASTER"/>
    <s v="suspect, where a brief verbal exchange is had suspect is then seen retrieving keys from a lock box, before entering the van and fleeing the area suspect, who acted as an employee of the business suspect and secured the keys in the lock box himself"/>
    <s v="$45,000.00.            The complainant has video footage of the incident, available upon request"/>
    <s v="C02W05"/>
    <x v="2"/>
  </r>
  <r>
    <s v="25-010474"/>
    <x v="8"/>
    <x v="5"/>
    <d v="1899-12-30T06:00:00"/>
    <d v="1899-12-30T06:35:00"/>
    <x v="0"/>
    <s v="February"/>
    <s v="Hudson St, 100 Block"/>
    <s v="170 Hudson Street"/>
    <x v="0"/>
    <s v="Motor Vehicle Theft"/>
    <s v=""/>
    <s v=""/>
    <s v="170 Hudson Street, Hackensack, NJ, 07601"/>
    <s v="E2"/>
    <n v="5"/>
    <s v="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
    <m/>
    <m/>
    <s v="T12SSE"/>
    <s v="DODGE"/>
    <s v="CAR"/>
    <s v="NJ"/>
    <m/>
    <m/>
    <m/>
    <m/>
    <s v="Swetits_M"/>
    <s v="Complete"/>
    <s v="P.O. Matthew Tedesco 316"/>
    <s v="B3"/>
    <s v="Sgt. Francesco Tripodi 134"/>
    <s v="No Investigation"/>
    <s v="240 = Theft of Motor Vehicle"/>
    <n v="9"/>
    <d v="2025-02-07T00:00:00"/>
    <d v="1899-12-30T06:35:00"/>
    <d v="2025-02-07T00:00:00"/>
    <d v="1899-12-30T06:50:00"/>
    <d v="2025-02-07T00:00:00"/>
    <d v="1899-12-30T07:22:38"/>
    <n v="2025"/>
    <n v="6"/>
    <n v="2"/>
    <n v="7"/>
    <n v="38"/>
    <d v="2025-02-07T06:35:00"/>
    <n v="170"/>
    <s v="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
    <s v="Vehicle 1: NJ-T12SSE DODGE, CAR"/>
    <s v=""/>
    <s v="$2,000.00 Dollars."/>
    <s v="C02W06"/>
    <x v="5"/>
  </r>
  <r>
    <s v="25-013091"/>
    <x v="9"/>
    <x v="3"/>
    <d v="1899-12-30T08:00:00"/>
    <d v="1899-12-30T08:22:14"/>
    <x v="4"/>
    <s v="February"/>
    <s v="Second St, 100 Block"/>
    <s v="100 Second Street"/>
    <x v="2"/>
    <s v="Motor Vehicle Theft"/>
    <s v="Recovered Stolen Vehicle"/>
    <s v=""/>
    <s v="100 Second Street, Hackensack, NJ, 07601"/>
    <s v="G3"/>
    <n v="7"/>
    <s v="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
    <m/>
    <m/>
    <s v="L17PUM"/>
    <s v="HONDA"/>
    <s v="ACC"/>
    <s v="NJ"/>
    <m/>
    <m/>
    <m/>
    <m/>
    <s v="Deleon_A"/>
    <s v="Complete"/>
    <s v="P.O. Ruben Almonte 359"/>
    <s v="A3"/>
    <s v="Det. Demetrius Carroll 133"/>
    <s v="Active Investigation"/>
    <s v="240 = Theft of Motor Vehicle"/>
    <n v="9"/>
    <d v="2025-02-17T00:00:00"/>
    <d v="1899-12-30T08:22:14"/>
    <m/>
    <m/>
    <d v="2025-02-17T00:00:00"/>
    <d v="1899-12-30T08:22:14"/>
    <n v="2025"/>
    <n v="8"/>
    <n v="4"/>
    <n v="17"/>
    <n v="48"/>
    <d v="2025-02-17T08:22:00"/>
    <n v="100"/>
    <s v="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
    <s v="Vehicle 1: NJ-L17PUM HONDA, ACC"/>
    <s v="suspect(s): unknown     the victim, kimberly trujillo, responded to police headquarters on a report of a motor vehicle theft"/>
    <s v="$22,000 USD.  See Rochelle Park Case #2025-002492."/>
    <s v="C02W07"/>
    <x v="3"/>
  </r>
  <r>
    <s v="25-013106"/>
    <x v="9"/>
    <x v="3"/>
    <d v="1899-12-30T09:00:00"/>
    <d v="1899-12-30T09:31:55"/>
    <x v="4"/>
    <s v="February"/>
    <s v="Prospect Ave, 0 Block"/>
    <s v="30 Prospect Avenue"/>
    <x v="0"/>
    <s v="Motor Vehicle Theft"/>
    <s v=""/>
    <s v=""/>
    <s v="30 Prospect Avenue, Hackensack, NJ, 07601"/>
    <s v="G4"/>
    <n v="7"/>
    <s v="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
    <m/>
    <m/>
    <s v="Z53RVG"/>
    <s v="HONDA"/>
    <s v="ACC"/>
    <s v="NJ"/>
    <m/>
    <m/>
    <m/>
    <m/>
    <s v="Deleon_A"/>
    <s v="Complete"/>
    <s v="P.O. Anzour Marza 356"/>
    <s v="A3"/>
    <s v="Det. Demetrius Carroll 133"/>
    <s v="Active/Administratively Closed"/>
    <s v="240 = Theft of Motor Vehicle"/>
    <n v="9"/>
    <d v="2025-02-17T00:00:00"/>
    <d v="1899-12-30T09:31:55"/>
    <m/>
    <m/>
    <d v="2025-02-17T00:00:00"/>
    <d v="1899-12-30T09:31:55"/>
    <n v="2025"/>
    <n v="8"/>
    <n v="4"/>
    <n v="17"/>
    <n v="48"/>
    <d v="2025-02-17T09:31:00"/>
    <n v="30"/>
    <s v="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
    <s v="Vehicle 1: NJ-Z53RVG HONDA, ACC"/>
    <s v=""/>
    <s v=""/>
    <s v="C02W07"/>
    <x v="3"/>
  </r>
  <r>
    <s v="25-015290"/>
    <x v="10"/>
    <x v="3"/>
    <d v="1899-12-30T10:00:00"/>
    <d v="1899-12-30T10:00:00"/>
    <x v="2"/>
    <s v="February"/>
    <s v="Washington Ave, 400 Block"/>
    <s v="430 Washington Avenue"/>
    <x v="0"/>
    <s v="Motor Vehicle Theft"/>
    <s v=""/>
    <s v=""/>
    <s v="430 Washington Avenue, Hackensack, NJ, 07601"/>
    <s v="E3"/>
    <n v="5"/>
    <s v="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m/>
    <m/>
    <s v="8FL4661"/>
    <s v="HONDA"/>
    <s v="PILOT"/>
    <s v="MD"/>
    <m/>
    <m/>
    <m/>
    <m/>
    <s v="Klosk_J"/>
    <s v="Complete"/>
    <s v="P.O. Denisse Caero 367"/>
    <s v="B2"/>
    <m/>
    <m/>
    <m/>
    <n v="9"/>
    <d v="2025-02-25T00:00:00"/>
    <d v="1899-12-30T10:00:00"/>
    <d v="2025-02-25T00:00:00"/>
    <d v="1899-12-30T23:00:00"/>
    <d v="2025-02-24T00:00:00"/>
    <d v="1899-12-30T23:47:34"/>
    <n v="2025"/>
    <n v="9"/>
    <n v="5"/>
    <n v="25"/>
    <n v="56"/>
    <d v="2025-02-25T10:00:00"/>
    <n v="430"/>
    <s v="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s v="Vehicle 1: MD-8FL4661 HONDA, PILOT"/>
    <s v=""/>
    <s v=""/>
    <s v="C03W09"/>
    <x v="3"/>
  </r>
  <r>
    <s v="25-022902"/>
    <x v="11"/>
    <x v="5"/>
    <d v="1899-12-30T07:00:00"/>
    <d v="1899-12-30T07:48:00"/>
    <x v="0"/>
    <s v="March"/>
    <s v="Kenneth St, 100 Block"/>
    <s v="171 Kenneth Street"/>
    <x v="0"/>
    <s v="Motor Vehicle Theft"/>
    <s v=""/>
    <s v=""/>
    <s v="171 Kenneth Street, Hackensack, NJ, 07601"/>
    <s v="F1"/>
    <n v="6"/>
    <s v="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m/>
    <m/>
    <s v="JWG42F"/>
    <s v="CHEVROLET"/>
    <m/>
    <s v="NJ"/>
    <m/>
    <m/>
    <m/>
    <m/>
    <s v="Farhi_B"/>
    <s v="Complete"/>
    <s v="P.O. Andres Lopez 375"/>
    <s v="A2"/>
    <s v="Sgt. Francesco Tripodi 134"/>
    <s v="Under Supervisor Review"/>
    <m/>
    <n v="9"/>
    <d v="2025-03-21T00:00:00"/>
    <d v="1899-12-30T07:48:00"/>
    <m/>
    <m/>
    <d v="2025-03-21T00:00:00"/>
    <d v="1899-12-30T14:19:53"/>
    <n v="2025"/>
    <n v="12"/>
    <n v="4"/>
    <n v="21"/>
    <n v="80"/>
    <d v="2025-03-21T07:48:00"/>
    <n v="171"/>
    <s v="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s v="Vehicle 1: NJ-JWG42F"/>
    <s v="suspect enters the van suspect proceeds to sit in the van for a couple of minutes before starting the vehicle south on kenneth st"/>
    <s v="$4,000.00."/>
    <s v="C03W12"/>
    <x v="5"/>
  </r>
  <r>
    <s v="25-025341"/>
    <x v="12"/>
    <x v="0"/>
    <d v="1899-12-30T20:00:00"/>
    <d v="1899-12-30T20:30:00"/>
    <x v="0"/>
    <s v="March"/>
    <s v="Berry St, 200 Block"/>
    <s v="296 Berry Street"/>
    <x v="0"/>
    <s v="Motor Vehicle Theft"/>
    <s v=""/>
    <s v=""/>
    <s v="296 Berry Street, Hackensack, NJ, 07601"/>
    <s v="H4"/>
    <n v="8"/>
    <s v="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
    <m/>
    <m/>
    <s v="T41VHN"/>
    <s v="ACURA"/>
    <s v="TLX"/>
    <s v="NJ"/>
    <m/>
    <m/>
    <m/>
    <m/>
    <s v="Competiello_Fa"/>
    <s v="Complete"/>
    <s v="P.O. Wanda Rivera 161"/>
    <s v="A1"/>
    <m/>
    <m/>
    <m/>
    <n v="9"/>
    <d v="2025-03-28T00:00:00"/>
    <d v="1899-12-30T20:30:00"/>
    <d v="2025-03-29T00:00:00"/>
    <d v="1899-12-30T10:00:00"/>
    <d v="2025-03-29T00:00:00"/>
    <d v="1899-12-30T10:19:00"/>
    <n v="2025"/>
    <n v="13"/>
    <n v="5"/>
    <n v="28"/>
    <n v="87"/>
    <d v="2025-03-28T20:30:00"/>
    <n v="296"/>
    <s v="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
    <s v="Vehicle 1: NJ-T41VHN ACURA, TLX"/>
    <s v=""/>
    <s v="$50,000Insurance provider: Geico 100, policy #4587415441"/>
    <s v="C04W13"/>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25-002564"/>
    <x v="0"/>
    <s v="12:00-15:59 Afternoon"/>
    <x v="0"/>
    <d v="1899-12-30T14:00:00"/>
    <x v="0"/>
    <s v="January"/>
    <s v="First St, 100 Block"/>
    <s v="135 First Street"/>
    <x v="0"/>
    <s v="Criminal Sexual Contact"/>
    <s v="Juvenile Investigation"/>
    <s v=""/>
    <s v="135 First Street, Hackensack, NJ, 07601"/>
    <s v="G3"/>
    <n v="7"/>
    <s v="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
    <m/>
    <m/>
    <m/>
    <m/>
    <m/>
    <m/>
    <m/>
    <m/>
    <m/>
    <m/>
    <s v="Dominguez_L"/>
    <s v="Complete"/>
    <s v="Det. Cristobal Lara-Nunez 341"/>
    <s v="STA"/>
    <s v="Det. Evelyn Reyes 336"/>
    <s v="Active/Administratively Closed"/>
    <s v="11D = Fondling"/>
    <n v="9"/>
    <d v="2025-01-07T00:00:00"/>
    <d v="1899-12-30T14:00:00"/>
    <m/>
    <m/>
    <d v="2025-01-10T00:00:00"/>
    <d v="1899-12-30T14:20:51"/>
    <n v="2025"/>
    <n v="2"/>
    <n v="2"/>
    <n v="7"/>
    <n v="7"/>
    <d v="2025-01-07T14:00:00"/>
    <n v="135"/>
    <s v="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
    <m/>
    <s v="suspect who is also student suspect was identified as manuel martinez perez suspect and his cousin esmeralda perez martinez who is a potential witness suspect gave her a hug suspect suspect suspect suspect touch the victim because she was busy doing her class work suspect suspect"/>
    <s v=""/>
    <s v="C01W02"/>
    <x v="0"/>
  </r>
  <r>
    <s v="25-006324"/>
    <x v="1"/>
    <s v="12:00-15:59 Afternoon"/>
    <x v="1"/>
    <d v="1899-12-30T15:00:00"/>
    <x v="1"/>
    <s v="January"/>
    <s v=" Berdan Pl, 100 Block"/>
    <s v="176  Berdan Place"/>
    <x v="1"/>
    <s v="Sexual Assault"/>
    <s v="Juvenile Investigation"/>
    <s v=""/>
    <s v="176  Berdan Place, Hackensack, NJ, 07601"/>
    <s v="H3"/>
    <n v="8"/>
    <s v="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m/>
    <m/>
    <m/>
    <m/>
    <m/>
    <m/>
    <m/>
    <m/>
    <m/>
    <m/>
    <s v="Bay_F"/>
    <s v="Complete"/>
    <s v="Det. Frankie Garrett 323"/>
    <s v="DET"/>
    <s v="Det. Evelyn Reyes 336"/>
    <s v="TOT DCP&amp;P"/>
    <m/>
    <n v="9"/>
    <d v="2025-01-23T00:00:00"/>
    <d v="1899-12-30T15:00:00"/>
    <m/>
    <m/>
    <d v="2025-01-23T00:00:00"/>
    <d v="1899-12-30T15:58:15"/>
    <n v="2025"/>
    <n v="4"/>
    <n v="4"/>
    <n v="23"/>
    <n v="23"/>
    <d v="2025-01-23T15:00:00"/>
    <n v="176"/>
    <s v="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m/>
    <s v="suspect"/>
    <s v=""/>
    <s v="C01W04"/>
    <x v="0"/>
  </r>
  <r>
    <s v="25-013527"/>
    <x v="2"/>
    <s v="20:00-23:59 Night"/>
    <x v="2"/>
    <d v="1899-12-30T20:00:00"/>
    <x v="2"/>
    <s v="February"/>
    <s v=" Prospect Ave, 200 Block"/>
    <s v="240  Prospect Avenue"/>
    <x v="2"/>
    <s v="Exceptionally Cleared/Closed"/>
    <s v="Sexual Assault"/>
    <s v=""/>
    <s v="240  Prospect Avenue, Hackensack, NJ, 07601"/>
    <s v="H4"/>
    <n v="8"/>
    <s v="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
    <m/>
    <m/>
    <m/>
    <m/>
    <m/>
    <m/>
    <m/>
    <m/>
    <m/>
    <m/>
    <s v="Bay_F"/>
    <s v="Complete"/>
    <s v="Det. Matthew Dogali 338"/>
    <s v="DET"/>
    <s v="Det. Matthew Dogali 338"/>
    <s v="Ex-Cleared / Closed"/>
    <m/>
    <n v="9"/>
    <d v="2025-02-17T00:00:00"/>
    <d v="1899-12-30T20:00:00"/>
    <d v="2025-02-17T00:00:00"/>
    <d v="1899-12-30T23:45:00"/>
    <d v="2025-02-18T00:00:00"/>
    <d v="1899-12-30T17:39:20"/>
    <n v="2025"/>
    <n v="8"/>
    <n v="4"/>
    <n v="17"/>
    <n v="48"/>
    <d v="2025-02-17T20:00:00"/>
    <n v="240"/>
    <s v="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
    <m/>
    <s v="suspect akashpreet riar on february 17, 2025 suspect is a teacher's assistant at the new york college of podiatric medicine, where she attends suspect because she was looking for a tutor and he offered to help her suspect picked up the victim in a blue honda (unknown registration) from her residence in new york city at approximately 1930 hours suspect arrived at the  suspect's apartment (240 prospect avenue, unknown apartment) suspect were studying for approximately 1 hours, before both parties started to have a few drinks of alcohol suspect started to approach her and speak in a sexual manner suspect started to grope her breasts, buttocks and thighs while trying to kiss her neck suspect suspect forced his way into the bathroom suspect forced her to pull down her pants and shoved his hand down the front of her pants suspect began to digitally penetrate the victim's vagina suspect to stop but felt like she had no control over the situation suspect inserted his penis into her vagina against her will suspect ejaculated next to the victim suspect called an uber for her and she took the ride share back to nyc"/>
    <s v=""/>
    <s v="C02W07"/>
    <x v="1"/>
  </r>
  <r>
    <s v="25-014007"/>
    <x v="3"/>
    <s v="12:00-15:59 Afternoon"/>
    <x v="3"/>
    <d v="1899-12-30T12:52:04"/>
    <x v="0"/>
    <s v="February"/>
    <s v="Union St, 300 Block"/>
    <s v="360 Union Street"/>
    <x v="3"/>
    <s v="Sexual Assault"/>
    <s v=""/>
    <s v=""/>
    <s v="360 Union Street, Hackensack, NJ, 07601"/>
    <s v="H2"/>
    <n v="8"/>
    <s v="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
    <m/>
    <m/>
    <m/>
    <m/>
    <m/>
    <m/>
    <m/>
    <m/>
    <m/>
    <m/>
    <s v="Deleon_A"/>
    <s v="Complete"/>
    <s v="P.O. Angie Tabares 363"/>
    <s v="A3"/>
    <s v="Det. Frankie Garrett 323"/>
    <s v="Cleared - Arrest"/>
    <s v="36A = Incest"/>
    <n v="9"/>
    <d v="2017-06-20T00:00:00"/>
    <d v="1899-12-30T12:52:04"/>
    <d v="2024-09-20T00:00:00"/>
    <m/>
    <d v="2025-02-20T00:00:00"/>
    <d v="1899-12-30T12:52:04"/>
    <n v="2017"/>
    <n v="25"/>
    <n v="4"/>
    <n v="20"/>
    <n v="171"/>
    <d v="2017-06-20T12:52:00"/>
    <n v="360"/>
    <s v="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
    <m/>
    <s v=""/>
    <s v=""/>
    <s v="C02W08"/>
    <x v="0"/>
  </r>
  <r>
    <s v="25-026716"/>
    <x v="4"/>
    <s v="20:00-23:59 Night"/>
    <x v="4"/>
    <d v="1899-12-30T21:35:00"/>
    <x v="3"/>
    <s v="April"/>
    <s v="Union St, 200 Block"/>
    <s v="260 Union Street"/>
    <x v="4"/>
    <s v="Mental Health Incident"/>
    <s v="Sexual Assault"/>
    <s v="Juvenile Investigation"/>
    <s v="260 Union Street, Hackensack, NJ, 07601"/>
    <s v="H2"/>
    <n v="8"/>
    <s v="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quot;You dumb bitch's I ain't telling yall that yall but I going my gang to shoot this place up.&quot; Janice Reid further reported that that A.M.C. kept threatening to get a gang to shoot up the Holly Center.       While on scene, A.M.C. made statements that she wanted &quot;to go down for attempted murder&quot;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
    <m/>
    <m/>
    <m/>
    <m/>
    <m/>
    <m/>
    <m/>
    <m/>
    <m/>
    <m/>
    <s v="Klosk_J"/>
    <s v="Complete"/>
    <s v="P.O. Christian Alvarez 364"/>
    <s v="B1"/>
    <s v="Det. Frankie Garrett 323"/>
    <s v="TOT DCP&amp;P"/>
    <m/>
    <n v="9"/>
    <d v="2025-04-02T00:00:00"/>
    <d v="1899-12-30T21:35:00"/>
    <m/>
    <m/>
    <d v="2025-04-02T00:00:00"/>
    <d v="1899-12-30T21:40:41"/>
    <n v="2025"/>
    <n v="14"/>
    <n v="1"/>
    <n v="2"/>
    <n v="92"/>
    <d v="2025-04-02T21:35:00"/>
    <n v="260"/>
    <s v="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quot;You dumb bitch's I ain't telling yall that yall but I going my gang to shoot this place up.&quot; Janice Reid further reported that that A.M.C. kept threatening to get a gang to shoot up the Holly Center.       While on scene, A.M.C. made statements that she wanted &quot;to go down for attempted murder&quot;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
    <m/>
    <s v=""/>
    <s v=""/>
    <s v="C04W14"/>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 Investigation"/>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 Investigation"/>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 Investigation"/>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m/>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m/>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m/>
    <m/>
    <m/>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 Investigation"/>
    <m/>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 Investigation"/>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 Investigation"/>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 Investigation"/>
    <m/>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Active Investigation"/>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Active Investigation"/>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Active Investigation"/>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Active Investigation"/>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m/>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m/>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9155"/>
    <x v="10"/>
    <x v="2"/>
    <d v="1899-12-30T23:00:00"/>
    <d v="1899-12-30T23:10:00"/>
    <x v="5"/>
    <s v="April"/>
    <s v="Summit Ave, 200 Block"/>
    <s v="283 Summit Avenue"/>
    <x v="0"/>
    <s v="Burglary - Auto"/>
    <s v=""/>
    <s v=""/>
    <s v="283 Summit Avenue, Hackensack, NJ, 07601"/>
    <s v="H5"/>
    <n v="8"/>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m/>
    <m/>
    <s v="Z73VFP"/>
    <s v="CHEVROLET"/>
    <s v="SUB"/>
    <s v="NJ"/>
    <m/>
    <m/>
    <m/>
    <m/>
    <s v="Bay_F"/>
    <s v="P.O. Roselys Salas 369"/>
    <s v="B4"/>
    <s v="Det. Gunther Lara-Nunez 351"/>
    <s v="Active Investigation"/>
    <m/>
    <n v="2025"/>
    <n v="15"/>
    <n v="2"/>
    <n v="9"/>
    <n v="99"/>
    <d v="2025-04-09T23:10:00"/>
    <n v="283"/>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s v="Vehicle 1: NJ-Z73VFP CHEVROLET, SUB"/>
    <s v="suspect is observed on a black scooter riding down into the victim's driveway at 2310 hours and ride back out at 2311 hours"/>
    <s v="$395.00 dollars. Sgt"/>
    <s v="C04W15"/>
  </r>
  <r>
    <s v="25-029155"/>
    <x v="10"/>
    <x v="2"/>
    <d v="1899-12-30T23:00:00"/>
    <d v="1899-12-30T23:10:00"/>
    <x v="5"/>
    <s v="April"/>
    <s v="Summit Ave, 200 Block"/>
    <s v="283 Summit Avenue"/>
    <x v="0"/>
    <s v="Burglary - Auto"/>
    <s v=""/>
    <s v=""/>
    <s v="283 Summit Avenue, Hackensack, NJ, 07601"/>
    <s v="H5"/>
    <n v="8"/>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m/>
    <m/>
    <s v="Z73VFP"/>
    <s v="CHEVROLET"/>
    <s v="SUB"/>
    <s v="NJ"/>
    <m/>
    <m/>
    <m/>
    <m/>
    <s v="Bay_F"/>
    <s v="P.O. Roselys Salas 369"/>
    <s v="B4"/>
    <s v="Det. Gunther Lara-Nunez 351"/>
    <s v="Active Investigation"/>
    <s v="23F = Theft From Motor Vehicle"/>
    <n v="2025"/>
    <n v="15"/>
    <n v="2"/>
    <n v="9"/>
    <n v="99"/>
    <d v="2025-04-09T23:10:00"/>
    <n v="283"/>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s v="Vehicle 1: NJ-Z73VFP CHEVROLET, SUB"/>
    <s v="suspect is observed on a black scooter riding down into the victim's driveway at 2310 hours and ride back out at 2311 hours"/>
    <s v="$395.00 dollars. Sgt"/>
    <s v="C04W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5A78C4-3C6E-4DC8-8FB5-16CBF0864303}" name="PT_BUR_AUTO_28D"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7:E31" firstHeaderRow="1" firstDataRow="2" firstDataCol="1" rowPageCount="2" colPageCount="1"/>
  <pivotFields count="45">
    <pivotField dataField="1" compact="0" outline="0" showAll="0"/>
    <pivotField axis="axisPage" compact="0" numFmtId="14" outline="0" multipleItemSelectionAllowed="1" showAll="0">
      <items count="12">
        <item h="1" x="0"/>
        <item h="1" x="1"/>
        <item h="1" x="2"/>
        <item h="1" x="3"/>
        <item h="1" x="4"/>
        <item h="1" x="5"/>
        <item h="1" x="6"/>
        <item x="7"/>
        <item x="8"/>
        <item x="9"/>
        <item x="10"/>
        <item t="default"/>
      </items>
    </pivotField>
    <pivotField name="Time of Day" axis="axisRow" compact="0" outline="0" showAll="0">
      <items count="5">
        <item x="0"/>
        <item x="1"/>
        <item x="3"/>
        <item x="2"/>
        <item t="default"/>
      </items>
    </pivotField>
    <pivotField compact="0" numFmtId="164" outline="0" showAll="0"/>
    <pivotField compact="0" numFmtId="164" outline="0" showAll="0"/>
    <pivotField axis="axisCol" compact="0" outline="0" showAll="0" nonAutoSortDefault="1">
      <items count="12">
        <item m="1" x="8"/>
        <item m="1" x="6"/>
        <item m="1" x="10"/>
        <item m="1" x="9"/>
        <item m="1" x="7"/>
        <item x="2"/>
        <item x="0"/>
        <item x="4"/>
        <item x="3"/>
        <item x="1"/>
        <item x="5"/>
        <item t="default"/>
      </items>
    </pivotField>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v="1"/>
    </i>
    <i>
      <x v="2"/>
    </i>
    <i>
      <x v="3"/>
    </i>
  </rowItems>
  <colFields count="1">
    <field x="5"/>
  </colFields>
  <colItems count="4">
    <i>
      <x v="5"/>
    </i>
    <i>
      <x v="6"/>
    </i>
    <i>
      <x v="7"/>
    </i>
    <i>
      <x v="10"/>
    </i>
  </colItems>
  <pageFields count="2">
    <pageField fld="1" hier="-1"/>
    <pageField fld="9" hier="-1"/>
  </pageFields>
  <dataFields count="1">
    <dataField name="Count of Case Number" fld="0" subtotal="count" baseField="0" baseItem="0"/>
  </dataFields>
  <formats count="29">
    <format dxfId="661">
      <pivotArea dataOnly="0" labelOnly="1" outline="0" fieldPosition="0">
        <references count="1">
          <reference field="5" count="0"/>
        </references>
      </pivotArea>
    </format>
    <format dxfId="660">
      <pivotArea type="origin" dataOnly="0" labelOnly="1" outline="0" fieldPosition="0"/>
    </format>
    <format dxfId="659">
      <pivotArea field="5" type="button" dataOnly="0" labelOnly="1" outline="0" axis="axisCol" fieldPosition="0"/>
    </format>
    <format dxfId="658">
      <pivotArea type="topRight" dataOnly="0" labelOnly="1" outline="0" fieldPosition="0"/>
    </format>
    <format dxfId="657">
      <pivotArea dataOnly="0" labelOnly="1" outline="0" fieldPosition="0">
        <references count="1">
          <reference field="5" count="0"/>
        </references>
      </pivotArea>
    </format>
    <format dxfId="656">
      <pivotArea type="origin" dataOnly="0" labelOnly="1" outline="0" fieldPosition="0"/>
    </format>
    <format dxfId="655">
      <pivotArea field="5" type="button" dataOnly="0" labelOnly="1" outline="0" axis="axisCol" fieldPosition="0"/>
    </format>
    <format dxfId="654">
      <pivotArea type="topRight" dataOnly="0" labelOnly="1" outline="0" fieldPosition="0"/>
    </format>
    <format dxfId="653">
      <pivotArea type="origin" dataOnly="0" labelOnly="1" outline="0" fieldPosition="0"/>
    </format>
    <format dxfId="652">
      <pivotArea field="5" type="button" dataOnly="0" labelOnly="1" outline="0" axis="axisCol" fieldPosition="0"/>
    </format>
    <format dxfId="651">
      <pivotArea type="origin" dataOnly="0" labelOnly="1" outline="0" fieldPosition="0"/>
    </format>
    <format dxfId="650">
      <pivotArea field="5" type="button" dataOnly="0" labelOnly="1" outline="0" axis="axisCol" fieldPosition="0"/>
    </format>
    <format dxfId="649">
      <pivotArea type="topRight" dataOnly="0" labelOnly="1" outline="0" fieldPosition="0"/>
    </format>
    <format dxfId="648">
      <pivotArea outline="0" collapsedLevelsAreSubtotals="1" fieldPosition="0"/>
    </format>
    <format dxfId="647">
      <pivotArea dataOnly="0" labelOnly="1" outline="0" fieldPosition="0">
        <references count="1">
          <reference field="2" count="0"/>
        </references>
      </pivotArea>
    </format>
    <format dxfId="646">
      <pivotArea dataOnly="0" labelOnly="1" outline="0" fieldPosition="0">
        <references count="1">
          <reference field="2" count="0"/>
        </references>
      </pivotArea>
    </format>
    <format dxfId="645">
      <pivotArea field="2" type="button" dataOnly="0" labelOnly="1" outline="0" axis="axisRow" fieldPosition="0"/>
    </format>
    <format dxfId="644">
      <pivotArea type="origin" dataOnly="0" labelOnly="1" outline="0" fieldPosition="0"/>
    </format>
    <format dxfId="643">
      <pivotArea field="5" type="button" dataOnly="0" labelOnly="1" outline="0" axis="axisCol" fieldPosition="0"/>
    </format>
    <format dxfId="642">
      <pivotArea type="topRight" dataOnly="0" labelOnly="1" outline="0" fieldPosition="0"/>
    </format>
    <format dxfId="641">
      <pivotArea type="all" dataOnly="0" outline="0" fieldPosition="0"/>
    </format>
    <format dxfId="640">
      <pivotArea outline="0" collapsedLevelsAreSubtotals="1" fieldPosition="0"/>
    </format>
    <format dxfId="639">
      <pivotArea type="origin" dataOnly="0" labelOnly="1" outline="0" fieldPosition="0"/>
    </format>
    <format dxfId="638">
      <pivotArea field="5" type="button" dataOnly="0" labelOnly="1" outline="0" axis="axisCol" fieldPosition="0"/>
    </format>
    <format dxfId="637">
      <pivotArea type="topRight" dataOnly="0" labelOnly="1" outline="0" fieldPosition="0"/>
    </format>
    <format dxfId="636">
      <pivotArea field="2" type="button" dataOnly="0" labelOnly="1" outline="0" axis="axisRow" fieldPosition="0"/>
    </format>
    <format dxfId="635">
      <pivotArea dataOnly="0" labelOnly="1" outline="0" fieldPosition="0">
        <references count="1">
          <reference field="2" count="0"/>
        </references>
      </pivotArea>
    </format>
    <format dxfId="634">
      <pivotArea dataOnly="0" labelOnly="1" outline="0" fieldPosition="0">
        <references count="1">
          <reference field="5" count="0"/>
        </references>
      </pivotArea>
    </format>
    <format dxfId="633">
      <pivotArea dataOnly="0" labelOnly="1" outline="0" fieldPosition="0">
        <references count="1">
          <reference field="1"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EF82DD-A285-4FF9-B154-8B7841EA0D6E}" name="PT_BUR_AUTO_YTD"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G9" firstHeaderRow="1" firstDataRow="2" firstDataCol="1" rowPageCount="2" colPageCount="1"/>
  <pivotFields count="45">
    <pivotField dataField="1" compact="0" outline="0" showAll="0"/>
    <pivotField axis="axisPage" compact="0" numFmtId="14" outline="0" multipleItemSelectionAllowed="1" showAll="0">
      <items count="12">
        <item x="0"/>
        <item x="1"/>
        <item x="2"/>
        <item x="3"/>
        <item x="4"/>
        <item x="5"/>
        <item x="6"/>
        <item x="7"/>
        <item x="8"/>
        <item x="9"/>
        <item x="10"/>
        <item t="default"/>
      </items>
    </pivotField>
    <pivotField name="Time of Day" axis="axisRow" compact="0" outline="0" showAll="0">
      <items count="5">
        <item x="0"/>
        <item x="1"/>
        <item x="3"/>
        <item x="2"/>
        <item t="default"/>
      </items>
    </pivotField>
    <pivotField compact="0" numFmtId="164" outline="0" showAll="0"/>
    <pivotField compact="0" numFmtId="164" outline="0" showAll="0"/>
    <pivotField axis="axisCol" compact="0" outline="0" showAll="0" nonAutoSortDefault="1">
      <items count="12">
        <item m="1" x="8"/>
        <item m="1" x="6"/>
        <item m="1" x="10"/>
        <item m="1" x="9"/>
        <item m="1" x="7"/>
        <item x="2"/>
        <item x="0"/>
        <item x="4"/>
        <item x="5"/>
        <item x="3"/>
        <item x="1"/>
        <item t="default"/>
      </items>
    </pivotField>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x v="3"/>
    </i>
  </rowItems>
  <colFields count="1">
    <field x="5"/>
  </colFields>
  <colItems count="6">
    <i>
      <x v="5"/>
    </i>
    <i>
      <x v="6"/>
    </i>
    <i>
      <x v="7"/>
    </i>
    <i>
      <x v="8"/>
    </i>
    <i>
      <x v="9"/>
    </i>
    <i>
      <x v="10"/>
    </i>
  </colItems>
  <pageFields count="2">
    <pageField fld="1" hier="-1"/>
    <pageField fld="9" hier="-1"/>
  </pageFields>
  <dataFields count="1">
    <dataField name="Count of Case Number" fld="0" subtotal="count" baseField="0" baseItem="0"/>
  </dataFields>
  <formats count="28">
    <format dxfId="689">
      <pivotArea dataOnly="0" labelOnly="1" outline="0" fieldPosition="0">
        <references count="1">
          <reference field="5" count="0"/>
        </references>
      </pivotArea>
    </format>
    <format dxfId="688">
      <pivotArea type="origin" dataOnly="0" labelOnly="1" outline="0" fieldPosition="0"/>
    </format>
    <format dxfId="687">
      <pivotArea field="5" type="button" dataOnly="0" labelOnly="1" outline="0" axis="axisCol" fieldPosition="0"/>
    </format>
    <format dxfId="686">
      <pivotArea type="topRight" dataOnly="0" labelOnly="1" outline="0" fieldPosition="0"/>
    </format>
    <format dxfId="685">
      <pivotArea dataOnly="0" labelOnly="1" outline="0" fieldPosition="0">
        <references count="1">
          <reference field="5" count="0"/>
        </references>
      </pivotArea>
    </format>
    <format dxfId="684">
      <pivotArea type="origin" dataOnly="0" labelOnly="1" outline="0" fieldPosition="0"/>
    </format>
    <format dxfId="683">
      <pivotArea field="5" type="button" dataOnly="0" labelOnly="1" outline="0" axis="axisCol" fieldPosition="0"/>
    </format>
    <format dxfId="682">
      <pivotArea type="topRight" dataOnly="0" labelOnly="1" outline="0" fieldPosition="0"/>
    </format>
    <format dxfId="681">
      <pivotArea type="origin" dataOnly="0" labelOnly="1" outline="0" fieldPosition="0"/>
    </format>
    <format dxfId="680">
      <pivotArea field="5" type="button" dataOnly="0" labelOnly="1" outline="0" axis="axisCol" fieldPosition="0"/>
    </format>
    <format dxfId="679">
      <pivotArea type="origin" dataOnly="0" labelOnly="1" outline="0" fieldPosition="0"/>
    </format>
    <format dxfId="678">
      <pivotArea field="5" type="button" dataOnly="0" labelOnly="1" outline="0" axis="axisCol" fieldPosition="0"/>
    </format>
    <format dxfId="677">
      <pivotArea type="topRight" dataOnly="0" labelOnly="1" outline="0" fieldPosition="0"/>
    </format>
    <format dxfId="676">
      <pivotArea outline="0" collapsedLevelsAreSubtotals="1" fieldPosition="0"/>
    </format>
    <format dxfId="675">
      <pivotArea dataOnly="0" labelOnly="1" outline="0" fieldPosition="0">
        <references count="1">
          <reference field="2" count="0"/>
        </references>
      </pivotArea>
    </format>
    <format dxfId="674">
      <pivotArea dataOnly="0" labelOnly="1" outline="0" fieldPosition="0">
        <references count="1">
          <reference field="2" count="0"/>
        </references>
      </pivotArea>
    </format>
    <format dxfId="673">
      <pivotArea field="2" type="button" dataOnly="0" labelOnly="1" outline="0" axis="axisRow" fieldPosition="0"/>
    </format>
    <format dxfId="672">
      <pivotArea type="origin" dataOnly="0" labelOnly="1" outline="0" fieldPosition="0"/>
    </format>
    <format dxfId="671">
      <pivotArea field="5" type="button" dataOnly="0" labelOnly="1" outline="0" axis="axisCol" fieldPosition="0"/>
    </format>
    <format dxfId="670">
      <pivotArea type="topRight" dataOnly="0" labelOnly="1" outline="0" fieldPosition="0"/>
    </format>
    <format dxfId="669">
      <pivotArea type="all" dataOnly="0" outline="0" fieldPosition="0"/>
    </format>
    <format dxfId="668">
      <pivotArea outline="0" collapsedLevelsAreSubtotals="1" fieldPosition="0"/>
    </format>
    <format dxfId="667">
      <pivotArea type="origin" dataOnly="0" labelOnly="1" outline="0" fieldPosition="0"/>
    </format>
    <format dxfId="666">
      <pivotArea field="5" type="button" dataOnly="0" labelOnly="1" outline="0" axis="axisCol" fieldPosition="0"/>
    </format>
    <format dxfId="665">
      <pivotArea type="topRight" dataOnly="0" labelOnly="1" outline="0" fieldPosition="0"/>
    </format>
    <format dxfId="664">
      <pivotArea field="2" type="button" dataOnly="0" labelOnly="1" outline="0" axis="axisRow" fieldPosition="0"/>
    </format>
    <format dxfId="663">
      <pivotArea dataOnly="0" labelOnly="1" outline="0" fieldPosition="0">
        <references count="1">
          <reference field="2" count="0"/>
        </references>
      </pivotArea>
    </format>
    <format dxfId="662">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75AD3E-0796-491C-90E9-FFF3729F2E6D}"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6:D29" firstHeaderRow="1" firstDataRow="2" firstDataCol="1" rowPageCount="2" colPageCount="1"/>
  <pivotFields count="54">
    <pivotField dataField="1" compact="0" outline="0" showAll="0"/>
    <pivotField axis="axisPage" compact="0" numFmtId="14" outline="0" multipleItemSelectionAllowed="1" showAll="0">
      <items count="12">
        <item m="1" x="9"/>
        <item h="1" x="0"/>
        <item h="1" x="1"/>
        <item h="1" x="2"/>
        <item h="1" x="3"/>
        <item h="1" x="4"/>
        <item h="1" x="5"/>
        <item m="1" x="10"/>
        <item x="6"/>
        <item x="7"/>
        <item x="8"/>
        <item t="default"/>
      </items>
    </pivotField>
    <pivotField compact="0" outline="0" showAll="0">
      <items count="6">
        <item x="2"/>
        <item x="1"/>
        <item x="0"/>
        <item x="3"/>
        <item m="1" x="4"/>
        <item t="default"/>
      </items>
    </pivotField>
    <pivotField compact="0" numFmtId="164" outline="0" showAll="0"/>
    <pivotField compact="0" numFmtId="164" outline="0" showAll="0"/>
    <pivotField axis="axisCol" compact="0" outline="0" showAll="0">
      <items count="13">
        <item m="1" x="10"/>
        <item m="1" x="11"/>
        <item m="1" x="9"/>
        <item m="1" x="6"/>
        <item m="1" x="8"/>
        <item m="1" x="7"/>
        <item x="4"/>
        <item x="5"/>
        <item x="3"/>
        <item x="0"/>
        <item x="2"/>
        <item x="1"/>
        <item t="default"/>
      </items>
    </pivotField>
    <pivotField compact="0" outline="0" showAll="0"/>
    <pivotField compact="0" outline="0" showAll="0"/>
    <pivotField compact="0" outline="0" showAll="0"/>
    <pivotField axis="axisPage" compact="0" outline="0" showAll="0">
      <items count="8">
        <item x="1"/>
        <item x="2"/>
        <item x="0"/>
        <item m="1" x="4"/>
        <item m="1" x="5"/>
        <item m="1" x="6"/>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name="Time of Day" axis="axisRow" compact="0" outline="0" showAll="0">
      <items count="5">
        <item x="0"/>
        <item x="2"/>
        <item x="1"/>
        <item x="3"/>
        <item t="default"/>
      </items>
    </pivotField>
  </pivotFields>
  <rowFields count="1">
    <field x="53"/>
  </rowFields>
  <rowItems count="2">
    <i>
      <x/>
    </i>
    <i>
      <x v="3"/>
    </i>
  </rowItems>
  <colFields count="1">
    <field x="5"/>
  </colFields>
  <colItems count="3">
    <i>
      <x v="6"/>
    </i>
    <i>
      <x v="7"/>
    </i>
    <i>
      <x v="9"/>
    </i>
  </colItems>
  <pageFields count="2">
    <pageField fld="1" hier="-1"/>
    <pageField fld="9" hier="-1"/>
  </pageFields>
  <dataFields count="1">
    <dataField name="Count of Case Number" fld="0" subtotal="count" baseField="0" baseItem="0"/>
  </dataFields>
  <formats count="23">
    <format dxfId="500">
      <pivotArea type="all" dataOnly="0" outline="0" fieldPosition="0"/>
    </format>
    <format dxfId="499">
      <pivotArea outline="0" collapsedLevelsAreSubtotals="1" fieldPosition="0"/>
    </format>
    <format dxfId="498">
      <pivotArea type="origin" dataOnly="0" labelOnly="1" outline="0" fieldPosition="0"/>
    </format>
    <format dxfId="497">
      <pivotArea field="5" type="button" dataOnly="0" labelOnly="1" outline="0" axis="axisCol" fieldPosition="0"/>
    </format>
    <format dxfId="496">
      <pivotArea type="topRight" dataOnly="0" labelOnly="1" outline="0" fieldPosition="0"/>
    </format>
    <format dxfId="495">
      <pivotArea field="2" type="button" dataOnly="0" labelOnly="1" outline="0"/>
    </format>
    <format dxfId="494">
      <pivotArea dataOnly="0" labelOnly="1" outline="0" fieldPosition="0">
        <references count="1">
          <reference field="5" count="0"/>
        </references>
      </pivotArea>
    </format>
    <format dxfId="493">
      <pivotArea type="all" dataOnly="0" outline="0" fieldPosition="0"/>
    </format>
    <format dxfId="492">
      <pivotArea outline="0" collapsedLevelsAreSubtotals="1" fieldPosition="0"/>
    </format>
    <format dxfId="491">
      <pivotArea type="topRight" dataOnly="0" labelOnly="1" outline="0" fieldPosition="0"/>
    </format>
    <format dxfId="490">
      <pivotArea field="2" type="button" dataOnly="0" labelOnly="1" outline="0"/>
    </format>
    <format dxfId="489">
      <pivotArea dataOnly="0" labelOnly="1" outline="0" fieldPosition="0">
        <references count="1">
          <reference field="5" count="0"/>
        </references>
      </pivotArea>
    </format>
    <format dxfId="488">
      <pivotArea field="2" type="button" dataOnly="0" labelOnly="1" outline="0"/>
    </format>
    <format dxfId="487">
      <pivotArea dataOnly="0" labelOnly="1" outline="0" fieldPosition="0">
        <references count="1">
          <reference field="5" count="1">
            <x v="6"/>
          </reference>
        </references>
      </pivotArea>
    </format>
    <format dxfId="486">
      <pivotArea field="2" type="button" dataOnly="0" labelOnly="1" outline="0"/>
    </format>
    <format dxfId="485">
      <pivotArea dataOnly="0" labelOnly="1" outline="0" fieldPosition="0">
        <references count="1">
          <reference field="5" count="1">
            <x v="6"/>
          </reference>
        </references>
      </pivotArea>
    </format>
    <format dxfId="484">
      <pivotArea field="53" type="button" dataOnly="0" labelOnly="1" outline="0" axis="axisRow" fieldPosition="0"/>
    </format>
    <format dxfId="483">
      <pivotArea type="origin" dataOnly="0" labelOnly="1" outline="0" fieldPosition="0"/>
    </format>
    <format dxfId="482">
      <pivotArea field="5" type="button" dataOnly="0" labelOnly="1" outline="0" axis="axisCol" fieldPosition="0"/>
    </format>
    <format dxfId="481">
      <pivotArea type="origin" dataOnly="0" labelOnly="1" outline="0" fieldPosition="0"/>
    </format>
    <format dxfId="480">
      <pivotArea field="5" type="button" dataOnly="0" labelOnly="1" outline="0" axis="axisCol" fieldPosition="0"/>
    </format>
    <format dxfId="479">
      <pivotArea field="53" type="button" dataOnly="0" labelOnly="1" outline="0" axis="axisRow" fieldPosition="0"/>
    </format>
    <format dxfId="478">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B1221F7-7AFD-4EBB-8253-1C3F30C98535}"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G9" firstHeaderRow="1" firstDataRow="2" firstDataCol="1" rowPageCount="2" colPageCount="1"/>
  <pivotFields count="54">
    <pivotField dataField="1" compact="0" outline="0" showAll="0"/>
    <pivotField axis="axisPage" compact="0" numFmtId="14" outline="0" showAll="0">
      <items count="12">
        <item m="1" x="9"/>
        <item x="0"/>
        <item x="1"/>
        <item x="2"/>
        <item x="3"/>
        <item x="4"/>
        <item x="5"/>
        <item m="1" x="10"/>
        <item x="6"/>
        <item x="7"/>
        <item x="8"/>
        <item t="default"/>
      </items>
    </pivotField>
    <pivotField compact="0" outline="0" showAll="0">
      <items count="6">
        <item x="2"/>
        <item x="1"/>
        <item x="0"/>
        <item x="3"/>
        <item m="1" x="4"/>
        <item t="default"/>
      </items>
    </pivotField>
    <pivotField compact="0" numFmtId="164" outline="0" showAll="0"/>
    <pivotField compact="0" numFmtId="164" outline="0" showAll="0"/>
    <pivotField axis="axisCol" compact="0" outline="0" showAll="0">
      <items count="13">
        <item m="1" x="10"/>
        <item m="1" x="11"/>
        <item m="1" x="9"/>
        <item m="1" x="6"/>
        <item m="1" x="8"/>
        <item m="1" x="7"/>
        <item x="4"/>
        <item x="5"/>
        <item x="3"/>
        <item x="0"/>
        <item x="2"/>
        <item x="1"/>
        <item t="default"/>
      </items>
    </pivotField>
    <pivotField compact="0" outline="0" showAll="0"/>
    <pivotField compact="0" outline="0" showAll="0"/>
    <pivotField compact="0" outline="0" showAll="0"/>
    <pivotField axis="axisPage" compact="0" outline="0" showAll="0">
      <items count="8">
        <item x="1"/>
        <item x="2"/>
        <item x="0"/>
        <item m="1" x="4"/>
        <item m="1" x="5"/>
        <item m="1" x="6"/>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name="Time of Day" axis="axisRow" compact="0" outline="0" showAll="0">
      <items count="5">
        <item x="0"/>
        <item x="2"/>
        <item x="1"/>
        <item x="3"/>
        <item t="default"/>
      </items>
    </pivotField>
  </pivotFields>
  <rowFields count="1">
    <field x="53"/>
  </rowFields>
  <rowItems count="4">
    <i>
      <x/>
    </i>
    <i>
      <x v="1"/>
    </i>
    <i>
      <x v="2"/>
    </i>
    <i>
      <x v="3"/>
    </i>
  </rowItems>
  <colFields count="1">
    <field x="5"/>
  </colFields>
  <colItems count="6">
    <i>
      <x v="6"/>
    </i>
    <i>
      <x v="7"/>
    </i>
    <i>
      <x v="8"/>
    </i>
    <i>
      <x v="9"/>
    </i>
    <i>
      <x v="10"/>
    </i>
    <i>
      <x v="11"/>
    </i>
  </colItems>
  <pageFields count="2">
    <pageField fld="1" hier="-1"/>
    <pageField fld="9" hier="-1"/>
  </pageFields>
  <dataFields count="1">
    <dataField name="Count of Case Number" fld="0" subtotal="count" baseField="0" baseItem="0"/>
  </dataFields>
  <formats count="23">
    <format dxfId="523">
      <pivotArea type="all" dataOnly="0" outline="0" fieldPosition="0"/>
    </format>
    <format dxfId="522">
      <pivotArea outline="0" collapsedLevelsAreSubtotals="1" fieldPosition="0"/>
    </format>
    <format dxfId="521">
      <pivotArea type="origin" dataOnly="0" labelOnly="1" outline="0" fieldPosition="0"/>
    </format>
    <format dxfId="520">
      <pivotArea field="5" type="button" dataOnly="0" labelOnly="1" outline="0" axis="axisCol" fieldPosition="0"/>
    </format>
    <format dxfId="519">
      <pivotArea type="topRight" dataOnly="0" labelOnly="1" outline="0" fieldPosition="0"/>
    </format>
    <format dxfId="518">
      <pivotArea field="2" type="button" dataOnly="0" labelOnly="1" outline="0"/>
    </format>
    <format dxfId="517">
      <pivotArea dataOnly="0" labelOnly="1" outline="0" fieldPosition="0">
        <references count="1">
          <reference field="5" count="0"/>
        </references>
      </pivotArea>
    </format>
    <format dxfId="516">
      <pivotArea type="all" dataOnly="0" outline="0" fieldPosition="0"/>
    </format>
    <format dxfId="515">
      <pivotArea outline="0" collapsedLevelsAreSubtotals="1" fieldPosition="0"/>
    </format>
    <format dxfId="514">
      <pivotArea type="topRight" dataOnly="0" labelOnly="1" outline="0" fieldPosition="0"/>
    </format>
    <format dxfId="513">
      <pivotArea field="2" type="button" dataOnly="0" labelOnly="1" outline="0"/>
    </format>
    <format dxfId="512">
      <pivotArea dataOnly="0" labelOnly="1" outline="0" fieldPosition="0">
        <references count="1">
          <reference field="5" count="0"/>
        </references>
      </pivotArea>
    </format>
    <format dxfId="511">
      <pivotArea field="2" type="button" dataOnly="0" labelOnly="1" outline="0"/>
    </format>
    <format dxfId="510">
      <pivotArea dataOnly="0" labelOnly="1" outline="0" fieldPosition="0">
        <references count="1">
          <reference field="5" count="1">
            <x v="6"/>
          </reference>
        </references>
      </pivotArea>
    </format>
    <format dxfId="509">
      <pivotArea field="2" type="button" dataOnly="0" labelOnly="1" outline="0"/>
    </format>
    <format dxfId="508">
      <pivotArea dataOnly="0" labelOnly="1" outline="0" fieldPosition="0">
        <references count="1">
          <reference field="5" count="1">
            <x v="6"/>
          </reference>
        </references>
      </pivotArea>
    </format>
    <format dxfId="507">
      <pivotArea field="53" type="button" dataOnly="0" labelOnly="1" outline="0" axis="axisRow" fieldPosition="0"/>
    </format>
    <format dxfId="506">
      <pivotArea type="origin" dataOnly="0" labelOnly="1" outline="0" fieldPosition="0"/>
    </format>
    <format dxfId="505">
      <pivotArea field="5" type="button" dataOnly="0" labelOnly="1" outline="0" axis="axisCol" fieldPosition="0"/>
    </format>
    <format dxfId="504">
      <pivotArea type="origin" dataOnly="0" labelOnly="1" outline="0" fieldPosition="0"/>
    </format>
    <format dxfId="503">
      <pivotArea field="5" type="button" dataOnly="0" labelOnly="1" outline="0" axis="axisCol" fieldPosition="0"/>
    </format>
    <format dxfId="502">
      <pivotArea field="53" type="button" dataOnly="0" labelOnly="1" outline="0" axis="axisRow" fieldPosition="0"/>
    </format>
    <format dxfId="501">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817224-8BFD-4766-B599-43771F6EB7FF}"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6:B39" firstHeaderRow="1" firstDataRow="2" firstDataCol="1" rowPageCount="2" colPageCount="1"/>
  <pivotFields count="54">
    <pivotField dataField="1" compact="0" outline="0" showAll="0"/>
    <pivotField axis="axisPage" compact="0" numFmtId="14" outline="0" multipleItemSelectionAllowed="1" showAll="0">
      <items count="14">
        <item h="1" x="0"/>
        <item h="1" x="1"/>
        <item h="1" x="2"/>
        <item h="1" x="3"/>
        <item h="1" x="4"/>
        <item h="1" x="5"/>
        <item h="1" x="6"/>
        <item h="1" x="7"/>
        <item h="1" x="8"/>
        <item h="1" x="9"/>
        <item h="1" x="10"/>
        <item x="11"/>
        <item x="12"/>
        <item t="default"/>
      </items>
    </pivotField>
    <pivotField compact="0" outline="0" showAll="0">
      <items count="7">
        <item x="4"/>
        <item x="5"/>
        <item x="3"/>
        <item x="1"/>
        <item x="2"/>
        <item x="0"/>
        <item t="default"/>
      </items>
    </pivotField>
    <pivotField compact="0" numFmtId="164" outline="0" showAll="0"/>
    <pivotField compact="0" numFmtId="164" outline="0" showAll="0"/>
    <pivotField axis="axisCol" compact="0" outline="0" showAll="0">
      <items count="11">
        <item m="1" x="9"/>
        <item m="1" x="7"/>
        <item m="1" x="6"/>
        <item m="1" x="5"/>
        <item m="1" x="8"/>
        <item x="4"/>
        <item x="2"/>
        <item x="1"/>
        <item x="0"/>
        <item x="3"/>
        <item t="default"/>
      </items>
    </pivotField>
    <pivotField compact="0" outline="0" showAll="0"/>
    <pivotField compact="0" outline="0" showAll="0"/>
    <pivotField compact="0" outline="0" showAll="0"/>
    <pivotField axis="axisPage"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4"/>
        <item x="2"/>
        <item x="5"/>
        <item x="3"/>
        <item x="0"/>
        <item t="default"/>
      </items>
    </pivotField>
  </pivotFields>
  <rowFields count="1">
    <field x="53"/>
  </rowFields>
  <rowItems count="2">
    <i>
      <x v="3"/>
    </i>
    <i>
      <x v="5"/>
    </i>
  </rowItems>
  <colFields count="1">
    <field x="5"/>
  </colFields>
  <colItems count="1">
    <i>
      <x v="8"/>
    </i>
  </colItems>
  <pageFields count="2">
    <pageField fld="1" hier="-1"/>
    <pageField fld="9" hier="-1"/>
  </pageFields>
  <dataFields count="1">
    <dataField name="Count of Case Number" fld="0" subtotal="count" baseField="0" baseItem="0"/>
  </dataFields>
  <formats count="15">
    <format dxfId="350">
      <pivotArea type="all" dataOnly="0" outline="0" fieldPosition="0"/>
    </format>
    <format dxfId="349">
      <pivotArea outline="0" collapsedLevelsAreSubtotals="1" fieldPosition="0"/>
    </format>
    <format dxfId="348">
      <pivotArea type="origin" dataOnly="0" labelOnly="1" outline="0" fieldPosition="0"/>
    </format>
    <format dxfId="347">
      <pivotArea field="5" type="button" dataOnly="0" labelOnly="1" outline="0" axis="axisCol" fieldPosition="0"/>
    </format>
    <format dxfId="346">
      <pivotArea type="topRight" dataOnly="0" labelOnly="1" outline="0" fieldPosition="0"/>
    </format>
    <format dxfId="345">
      <pivotArea field="2" type="button" dataOnly="0" labelOnly="1" outline="0"/>
    </format>
    <format dxfId="344">
      <pivotArea dataOnly="0" labelOnly="1" outline="0" fieldPosition="0">
        <references count="1">
          <reference field="5" count="0"/>
        </references>
      </pivotArea>
    </format>
    <format dxfId="343">
      <pivotArea type="all" dataOnly="0" outline="0" fieldPosition="0"/>
    </format>
    <format dxfId="342">
      <pivotArea outline="0" collapsedLevelsAreSubtotals="1" fieldPosition="0"/>
    </format>
    <format dxfId="341">
      <pivotArea type="origin" dataOnly="0" labelOnly="1" outline="0" fieldPosition="0"/>
    </format>
    <format dxfId="340">
      <pivotArea field="5" type="button" dataOnly="0" labelOnly="1" outline="0" axis="axisCol" fieldPosition="0"/>
    </format>
    <format dxfId="339">
      <pivotArea type="topRight" dataOnly="0" labelOnly="1" outline="0" fieldPosition="0"/>
    </format>
    <format dxfId="338">
      <pivotArea field="2" type="button" dataOnly="0" labelOnly="1" outline="0"/>
    </format>
    <format dxfId="337">
      <pivotArea dataOnly="0" labelOnly="1" outline="0" fieldPosition="0">
        <references count="1">
          <reference field="5" count="0"/>
        </references>
      </pivotArea>
    </format>
    <format dxfId="336">
      <pivotArea field="5" type="button" dataOnly="0" labelOnly="1" outline="0" axis="axisCol"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C1DB5B-DD5C-48A5-ABA1-E9DF7B78C36B}"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F11" firstHeaderRow="1" firstDataRow="2" firstDataCol="1" rowPageCount="2" colPageCount="1"/>
  <pivotFields count="54">
    <pivotField dataField="1" compact="0" outline="0" showAll="0"/>
    <pivotField axis="axisPage" compact="0" numFmtId="14" outline="0" showAll="0">
      <items count="14">
        <item x="0"/>
        <item x="1"/>
        <item x="2"/>
        <item x="3"/>
        <item x="4"/>
        <item x="5"/>
        <item x="6"/>
        <item x="7"/>
        <item x="8"/>
        <item x="9"/>
        <item x="10"/>
        <item x="11"/>
        <item x="12"/>
        <item t="default"/>
      </items>
    </pivotField>
    <pivotField compact="0" outline="0" showAll="0">
      <items count="7">
        <item x="4"/>
        <item x="5"/>
        <item x="3"/>
        <item x="1"/>
        <item x="2"/>
        <item x="0"/>
        <item t="default"/>
      </items>
    </pivotField>
    <pivotField compact="0" numFmtId="164" outline="0" showAll="0"/>
    <pivotField compact="0" numFmtId="164" outline="0" showAll="0"/>
    <pivotField axis="axisCol" compact="0" outline="0" showAll="0">
      <items count="11">
        <item m="1" x="9"/>
        <item m="1" x="7"/>
        <item m="1" x="6"/>
        <item m="1" x="5"/>
        <item m="1" x="8"/>
        <item x="4"/>
        <item x="2"/>
        <item x="1"/>
        <item x="0"/>
        <item x="3"/>
        <item t="default"/>
      </items>
    </pivotField>
    <pivotField compact="0" outline="0" showAll="0"/>
    <pivotField compact="0" outline="0" showAll="0"/>
    <pivotField compact="0" outline="0" showAll="0"/>
    <pivotField axis="axisPage"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4"/>
        <item x="2"/>
        <item x="5"/>
        <item x="3"/>
        <item x="0"/>
        <item t="default"/>
      </items>
    </pivotField>
  </pivotFields>
  <rowFields count="1">
    <field x="53"/>
  </rowFields>
  <rowItems count="6">
    <i>
      <x/>
    </i>
    <i>
      <x v="1"/>
    </i>
    <i>
      <x v="2"/>
    </i>
    <i>
      <x v="3"/>
    </i>
    <i>
      <x v="4"/>
    </i>
    <i>
      <x v="5"/>
    </i>
  </rowItems>
  <colFields count="1">
    <field x="5"/>
  </colFields>
  <colItems count="5">
    <i>
      <x v="5"/>
    </i>
    <i>
      <x v="6"/>
    </i>
    <i>
      <x v="7"/>
    </i>
    <i>
      <x v="8"/>
    </i>
    <i>
      <x v="9"/>
    </i>
  </colItems>
  <pageFields count="2">
    <pageField fld="1" hier="-1"/>
    <pageField fld="9" hier="-1"/>
  </pageFields>
  <dataFields count="1">
    <dataField name="Count of Case Number" fld="0" subtotal="count" baseField="0" baseItem="0"/>
  </dataFields>
  <formats count="15">
    <format dxfId="365">
      <pivotArea type="all" dataOnly="0" outline="0" fieldPosition="0"/>
    </format>
    <format dxfId="364">
      <pivotArea outline="0" collapsedLevelsAreSubtotals="1" fieldPosition="0"/>
    </format>
    <format dxfId="363">
      <pivotArea type="origin" dataOnly="0" labelOnly="1" outline="0" fieldPosition="0"/>
    </format>
    <format dxfId="362">
      <pivotArea field="5" type="button" dataOnly="0" labelOnly="1" outline="0" axis="axisCol" fieldPosition="0"/>
    </format>
    <format dxfId="361">
      <pivotArea type="topRight" dataOnly="0" labelOnly="1" outline="0" fieldPosition="0"/>
    </format>
    <format dxfId="360">
      <pivotArea field="2" type="button" dataOnly="0" labelOnly="1" outline="0"/>
    </format>
    <format dxfId="359">
      <pivotArea dataOnly="0" labelOnly="1" outline="0" fieldPosition="0">
        <references count="1">
          <reference field="5" count="0"/>
        </references>
      </pivotArea>
    </format>
    <format dxfId="358">
      <pivotArea type="all" dataOnly="0" outline="0" fieldPosition="0"/>
    </format>
    <format dxfId="357">
      <pivotArea outline="0" collapsedLevelsAreSubtotals="1" fieldPosition="0"/>
    </format>
    <format dxfId="356">
      <pivotArea type="origin" dataOnly="0" labelOnly="1" outline="0" fieldPosition="0"/>
    </format>
    <format dxfId="355">
      <pivotArea field="5" type="button" dataOnly="0" labelOnly="1" outline="0" axis="axisCol" fieldPosition="0"/>
    </format>
    <format dxfId="354">
      <pivotArea type="topRight" dataOnly="0" labelOnly="1" outline="0" fieldPosition="0"/>
    </format>
    <format dxfId="353">
      <pivotArea field="2" type="button" dataOnly="0" labelOnly="1" outline="0"/>
    </format>
    <format dxfId="352">
      <pivotArea dataOnly="0" labelOnly="1" outline="0" fieldPosition="0">
        <references count="1">
          <reference field="5" count="0"/>
        </references>
      </pivotArea>
    </format>
    <format dxfId="351">
      <pivotArea field="5" type="button" dataOnly="0" labelOnly="1" outline="0" axis="axisCol"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30614A-783E-48F4-9FB6-079B38B3E8B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ime of Day">
  <location ref="J4:N10" firstHeaderRow="1" firstDataRow="2" firstDataCol="1" rowPageCount="1" colPageCount="1"/>
  <pivotFields count="46">
    <pivotField dataField="1" showAll="0" defaultSubtotal="0"/>
    <pivotField axis="axisPage" numFmtId="14" showAll="0" defaultSubtotal="0">
      <items count="8">
        <item x="0"/>
        <item x="1"/>
        <item x="2"/>
        <item x="3"/>
        <item x="4"/>
        <item x="5"/>
        <item x="6"/>
        <item x="7"/>
      </items>
    </pivotField>
    <pivotField axis="axisRow" showAll="0" defaultSubtotal="0">
      <items count="5">
        <item x="0"/>
        <item x="3"/>
        <item x="2"/>
        <item x="4"/>
        <item x="1"/>
      </items>
    </pivotField>
    <pivotField numFmtId="172" showAll="0" defaultSubtotal="0"/>
    <pivotField numFmtId="172" showAll="0" defaultSubtotal="0"/>
    <pivotField axis="axisCol" showAll="0" defaultSubtotal="0">
      <items count="4">
        <item x="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2"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5">
    <i>
      <x/>
    </i>
    <i>
      <x v="1"/>
    </i>
    <i>
      <x v="2"/>
    </i>
    <i>
      <x v="3"/>
    </i>
    <i>
      <x v="4"/>
    </i>
  </rowItems>
  <colFields count="1">
    <field x="5"/>
  </colFields>
  <colItems count="4">
    <i>
      <x/>
    </i>
    <i>
      <x v="1"/>
    </i>
    <i>
      <x v="2"/>
    </i>
    <i>
      <x v="3"/>
    </i>
  </colItems>
  <pageFields count="1">
    <pageField fld="1" hier="-1"/>
  </pageFields>
  <dataFields count="1">
    <dataField name="Count of Case Number" fld="0" subtotal="count" baseField="0" baseItem="0"/>
  </dataFields>
  <formats count="6">
    <format dxfId="229">
      <pivotArea type="origin" dataOnly="0" labelOnly="1" outline="0" fieldPosition="0"/>
    </format>
    <format dxfId="228">
      <pivotArea field="5" type="button" dataOnly="0" labelOnly="1" outline="0" axis="axisCol" fieldPosition="0"/>
    </format>
    <format dxfId="227">
      <pivotArea type="origin" dataOnly="0" labelOnly="1" outline="0" fieldPosition="0"/>
    </format>
    <format dxfId="226">
      <pivotArea field="5" type="button" dataOnly="0" labelOnly="1" outline="0" axis="axisCol" fieldPosition="0"/>
    </format>
    <format dxfId="225">
      <pivotArea field="2" type="button" dataOnly="0" labelOnly="1" outline="0" axis="axisRow" fieldPosition="0"/>
    </format>
    <format dxfId="224">
      <pivotArea dataOnly="0" labelOnly="1" fieldPosition="0">
        <references count="1">
          <reference field="5" count="0"/>
        </references>
      </pivotArea>
    </format>
  </formats>
  <pivotTableStyleInfo name="PivotStyleLight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41D53D-B595-42CD-841E-6A1C6A8C003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ime of Day">
  <location ref="A4:B6" firstHeaderRow="1" firstDataRow="2" firstDataCol="1" rowPageCount="1" colPageCount="1"/>
  <pivotFields count="46">
    <pivotField dataField="1" showAll="0" defaultSubtotal="0"/>
    <pivotField axis="axisPage" numFmtId="14" multipleItemSelectionAllowed="1" showAll="0" defaultSubtotal="0">
      <items count="8">
        <item h="1" x="0"/>
        <item h="1" x="1"/>
        <item h="1" x="2"/>
        <item h="1" x="3"/>
        <item h="1" x="4"/>
        <item h="1" x="5"/>
        <item h="1" x="6"/>
        <item x="7"/>
      </items>
    </pivotField>
    <pivotField axis="axisRow" showAll="0" defaultSubtotal="0">
      <items count="5">
        <item x="0"/>
        <item x="3"/>
        <item x="2"/>
        <item x="4"/>
        <item x="1"/>
      </items>
    </pivotField>
    <pivotField numFmtId="172" showAll="0" defaultSubtotal="0"/>
    <pivotField numFmtId="172" showAll="0" defaultSubtotal="0"/>
    <pivotField axis="axisCol" showAll="0" defaultSubtotal="0">
      <items count="4">
        <item x="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2"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1">
    <i>
      <x v="3"/>
    </i>
  </rowItems>
  <colFields count="1">
    <field x="5"/>
  </colFields>
  <colItems count="1">
    <i>
      <x v="2"/>
    </i>
  </colItems>
  <pageFields count="1">
    <pageField fld="1" hier="-1"/>
  </pageFields>
  <dataFields count="1">
    <dataField name="Count of Case Number" fld="0" subtotal="count" baseField="0" baseItem="0"/>
  </dataFields>
  <formats count="6">
    <format dxfId="235">
      <pivotArea type="origin" dataOnly="0" labelOnly="1" outline="0" fieldPosition="0"/>
    </format>
    <format dxfId="234">
      <pivotArea field="5" type="button" dataOnly="0" labelOnly="1" outline="0" axis="axisCol" fieldPosition="0"/>
    </format>
    <format dxfId="233">
      <pivotArea type="origin" dataOnly="0" labelOnly="1" outline="0" fieldPosition="0"/>
    </format>
    <format dxfId="232">
      <pivotArea field="5" type="button" dataOnly="0" labelOnly="1" outline="0" axis="axisCol" fieldPosition="0"/>
    </format>
    <format dxfId="231">
      <pivotArea field="2" type="button" dataOnly="0" labelOnly="1" outline="0" axis="axisRow" fieldPosition="0"/>
    </format>
    <format dxfId="230">
      <pivotArea dataOnly="0" labelOnly="1" fieldPosition="0">
        <references count="1">
          <reference field="5" count="0"/>
        </references>
      </pivotArea>
    </format>
  </formats>
  <pivotTableStyleInfo name="PivotStyleLight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37213E-1F1E-45A7-9C6A-40C01C74092A}" name="PivotTable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4:K6" firstHeaderRow="1" firstDataRow="2" firstDataCol="1" rowPageCount="2" colPageCount="1"/>
  <pivotFields count="54">
    <pivotField dataField="1" compact="0" outline="0" showAll="0" defaultSubtotal="0"/>
    <pivotField axis="axisPage" compact="0" numFmtId="14" outline="0" multipleItemSelectionAllowed="1" showAll="0" defaultSubtotal="0">
      <items count="5">
        <item h="1" x="0"/>
        <item h="1" x="1"/>
        <item h="1" x="2"/>
        <item h="1" x="3"/>
        <item x="4"/>
      </items>
    </pivotField>
    <pivotField compact="0" outline="0" showAll="0" defaultSubtotal="0"/>
    <pivotField compact="0" numFmtId="164" outline="0" showAll="0" defaultSubtotal="0">
      <items count="5">
        <item x="3"/>
        <item x="0"/>
        <item x="1"/>
        <item x="2"/>
        <item x="4"/>
      </items>
    </pivotField>
    <pivotField compact="0" numFmtId="164" outline="0" showAll="0" defaultSubtotal="0"/>
    <pivotField axis="axisCol" compact="0" outline="0" showAll="0" defaultSubtotal="0">
      <items count="7">
        <item m="1" x="6"/>
        <item m="1" x="4"/>
        <item m="1" x="5"/>
        <item x="2"/>
        <item x="0"/>
        <item x="3"/>
        <item x="1"/>
      </items>
    </pivotField>
    <pivotField compact="0" outline="0" showAll="0" defaultSubtotal="0"/>
    <pivotField compact="0" outline="0" showAll="0" defaultSubtotal="0"/>
    <pivotField compact="0" outline="0" showAll="0" defaultSubtotal="0"/>
    <pivotField axis="axisPage" compact="0" outline="0" showAll="0" defaultSubtotal="0">
      <items count="5">
        <item x="0"/>
        <item x="2"/>
        <item x="3"/>
        <item x="1"/>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Time of Day" axis="axisRow" compact="0" outline="0" showAll="0" defaultSubtotal="0">
      <items count="2">
        <item x="0"/>
        <item x="1"/>
      </items>
    </pivotField>
  </pivotFields>
  <rowFields count="1">
    <field x="53"/>
  </rowFields>
  <rowItems count="1">
    <i>
      <x v="1"/>
    </i>
  </rowItems>
  <colFields count="1">
    <field x="5"/>
  </colFields>
  <colItems count="1">
    <i>
      <x v="5"/>
    </i>
  </colItems>
  <pageFields count="2">
    <pageField fld="1" hier="-1"/>
    <pageField fld="9" hier="-1"/>
  </pageFields>
  <dataFields count="1">
    <dataField name="Count of Case Number" fld="0" subtotal="count" baseField="0" baseItem="0"/>
  </dataFields>
  <formats count="27">
    <format dxfId="80">
      <pivotArea type="all" dataOnly="0" outline="0" fieldPosition="0"/>
    </format>
    <format dxfId="79">
      <pivotArea type="origin" dataOnly="0" labelOnly="1" outline="0" fieldPosition="0"/>
    </format>
    <format dxfId="78">
      <pivotArea field="5" type="button" dataOnly="0" labelOnly="1" outline="0" axis="axisCol" fieldPosition="0"/>
    </format>
    <format dxfId="77">
      <pivotArea type="topRight" dataOnly="0" labelOnly="1" outline="0" fieldPosition="0"/>
    </format>
    <format dxfId="76">
      <pivotArea field="3" type="button" dataOnly="0" labelOnly="1" outline="0"/>
    </format>
    <format dxfId="75">
      <pivotArea dataOnly="0" labelOnly="1" grandRow="1" outline="0" fieldPosition="0"/>
    </format>
    <format dxfId="74">
      <pivotArea dataOnly="0" labelOnly="1" outline="0" fieldPosition="0">
        <references count="1">
          <reference field="5" count="0"/>
        </references>
      </pivotArea>
    </format>
    <format dxfId="73">
      <pivotArea dataOnly="0" labelOnly="1" grandCol="1" outline="0" fieldPosition="0"/>
    </format>
    <format dxfId="72">
      <pivotArea type="all" dataOnly="0" outline="0" fieldPosition="0"/>
    </format>
    <format dxfId="71">
      <pivotArea type="origin" dataOnly="0" labelOnly="1" outline="0" fieldPosition="0"/>
    </format>
    <format dxfId="70">
      <pivotArea field="5" type="button" dataOnly="0" labelOnly="1" outline="0" axis="axisCol" fieldPosition="0"/>
    </format>
    <format dxfId="69">
      <pivotArea type="topRight" dataOnly="0" labelOnly="1" outline="0" fieldPosition="0"/>
    </format>
    <format dxfId="68">
      <pivotArea field="3" type="button" dataOnly="0" labelOnly="1" outline="0"/>
    </format>
    <format dxfId="67">
      <pivotArea dataOnly="0" labelOnly="1" grandRow="1" outline="0" fieldPosition="0"/>
    </format>
    <format dxfId="66">
      <pivotArea dataOnly="0" labelOnly="1" outline="0" fieldPosition="0">
        <references count="1">
          <reference field="5" count="0"/>
        </references>
      </pivotArea>
    </format>
    <format dxfId="65">
      <pivotArea dataOnly="0" labelOnly="1" grandCol="1" outline="0" fieldPosition="0"/>
    </format>
    <format dxfId="64">
      <pivotArea type="all" dataOnly="0" outline="0" fieldPosition="0"/>
    </format>
    <format dxfId="63">
      <pivotArea outline="0" collapsedLevelsAreSubtotals="1" fieldPosition="0"/>
    </format>
    <format dxfId="62">
      <pivotArea type="origin" dataOnly="0" labelOnly="1" outline="0" fieldPosition="0"/>
    </format>
    <format dxfId="61">
      <pivotArea field="5" type="button" dataOnly="0" labelOnly="1" outline="0" axis="axisCol" fieldPosition="0"/>
    </format>
    <format dxfId="60">
      <pivotArea field="53" type="button" dataOnly="0" labelOnly="1" outline="0" axis="axisRow" fieldPosition="0"/>
    </format>
    <format dxfId="59">
      <pivotArea dataOnly="0" labelOnly="1" outline="0" fieldPosition="0">
        <references count="1">
          <reference field="53" count="1">
            <x v="1"/>
          </reference>
        </references>
      </pivotArea>
    </format>
    <format dxfId="58">
      <pivotArea dataOnly="0" labelOnly="1" outline="0" fieldPosition="0">
        <references count="1">
          <reference field="5" count="1">
            <x v="5"/>
          </reference>
        </references>
      </pivotArea>
    </format>
    <format dxfId="57">
      <pivotArea outline="0" collapsedLevelsAreSubtotals="1" fieldPosition="0"/>
    </format>
    <format dxfId="56">
      <pivotArea field="53" type="button" dataOnly="0" labelOnly="1" outline="0" axis="axisRow" fieldPosition="0"/>
    </format>
    <format dxfId="55">
      <pivotArea dataOnly="0" labelOnly="1" outline="0" fieldPosition="0">
        <references count="1">
          <reference field="53" count="1">
            <x v="1"/>
          </reference>
        </references>
      </pivotArea>
    </format>
    <format dxfId="54">
      <pivotArea dataOnly="0" labelOnly="1" outline="0" fieldPosition="0">
        <references count="1">
          <reference field="5" count="1">
            <x v="5"/>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C299E4-67B0-4755-A415-8C78441B315A}" name="PivotTable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E7" firstHeaderRow="1" firstDataRow="2" firstDataCol="1" rowPageCount="2" colPageCount="1"/>
  <pivotFields count="54">
    <pivotField dataField="1" compact="0" outline="0" showAll="0" defaultSubtotal="0"/>
    <pivotField axis="axisPage" compact="0" numFmtId="14" outline="0" showAll="0" defaultSubtotal="0">
      <items count="5">
        <item x="0"/>
        <item x="1"/>
        <item x="2"/>
        <item x="3"/>
        <item x="4"/>
      </items>
    </pivotField>
    <pivotField compact="0" outline="0" showAll="0" defaultSubtotal="0"/>
    <pivotField compact="0" numFmtId="164" outline="0" showAll="0" defaultSubtotal="0">
      <items count="5">
        <item x="3"/>
        <item x="0"/>
        <item x="1"/>
        <item x="2"/>
        <item x="4"/>
      </items>
    </pivotField>
    <pivotField compact="0" numFmtId="164" outline="0" showAll="0" defaultSubtotal="0"/>
    <pivotField axis="axisCol" compact="0" outline="0" showAll="0" defaultSubtotal="0">
      <items count="7">
        <item m="1" x="6"/>
        <item m="1" x="4"/>
        <item m="1" x="5"/>
        <item x="2"/>
        <item x="0"/>
        <item x="3"/>
        <item x="1"/>
      </items>
    </pivotField>
    <pivotField compact="0" outline="0" showAll="0" defaultSubtotal="0"/>
    <pivotField compact="0" outline="0" showAll="0" defaultSubtotal="0"/>
    <pivotField compact="0" outline="0" showAll="0" defaultSubtotal="0"/>
    <pivotField axis="axisPage" compact="0" outline="0" showAll="0" defaultSubtotal="0">
      <items count="5">
        <item x="0"/>
        <item x="2"/>
        <item x="3"/>
        <item x="1"/>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Time of Day" axis="axisRow" compact="0" outline="0" showAll="0" defaultSubtotal="0">
      <items count="2">
        <item x="0"/>
        <item x="1"/>
      </items>
    </pivotField>
  </pivotFields>
  <rowFields count="1">
    <field x="53"/>
  </rowFields>
  <rowItems count="2">
    <i>
      <x/>
    </i>
    <i>
      <x v="1"/>
    </i>
  </rowItems>
  <colFields count="1">
    <field x="5"/>
  </colFields>
  <colItems count="4">
    <i>
      <x v="3"/>
    </i>
    <i>
      <x v="4"/>
    </i>
    <i>
      <x v="5"/>
    </i>
    <i>
      <x v="6"/>
    </i>
  </colItems>
  <pageFields count="2">
    <pageField fld="1" hier="-1"/>
    <pageField fld="9" hier="-1"/>
  </pageFields>
  <dataFields count="1">
    <dataField name="Count of Case Number" fld="0" subtotal="count" baseField="0" baseItem="0"/>
  </dataFields>
  <formats count="26">
    <format dxfId="106">
      <pivotArea type="all" dataOnly="0" outline="0" fieldPosition="0"/>
    </format>
    <format dxfId="105">
      <pivotArea outline="0" collapsedLevelsAreSubtotals="1" fieldPosition="0"/>
    </format>
    <format dxfId="104">
      <pivotArea type="origin" dataOnly="0" labelOnly="1" outline="0" fieldPosition="0"/>
    </format>
    <format dxfId="103">
      <pivotArea field="5" type="button" dataOnly="0" labelOnly="1" outline="0" axis="axisCol" fieldPosition="0"/>
    </format>
    <format dxfId="102">
      <pivotArea type="topRight" dataOnly="0" labelOnly="1" outline="0" fieldPosition="0"/>
    </format>
    <format dxfId="101">
      <pivotArea field="3" type="button" dataOnly="0" labelOnly="1" outline="0"/>
    </format>
    <format dxfId="100">
      <pivotArea dataOnly="0" labelOnly="1" grandRow="1" outline="0" fieldPosition="0"/>
    </format>
    <format dxfId="99">
      <pivotArea dataOnly="0" labelOnly="1" outline="0" fieldPosition="0">
        <references count="1">
          <reference field="5" count="0"/>
        </references>
      </pivotArea>
    </format>
    <format dxfId="98">
      <pivotArea dataOnly="0" labelOnly="1" grandCol="1" outline="0" fieldPosition="0"/>
    </format>
    <format dxfId="97">
      <pivotArea type="all" dataOnly="0" outline="0" fieldPosition="0"/>
    </format>
    <format dxfId="96">
      <pivotArea outline="0" collapsedLevelsAreSubtotals="1" fieldPosition="0"/>
    </format>
    <format dxfId="95">
      <pivotArea type="origin" dataOnly="0" labelOnly="1" outline="0" fieldPosition="0"/>
    </format>
    <format dxfId="94">
      <pivotArea field="5" type="button" dataOnly="0" labelOnly="1" outline="0" axis="axisCol" fieldPosition="0"/>
    </format>
    <format dxfId="93">
      <pivotArea type="topRight" dataOnly="0" labelOnly="1" outline="0" fieldPosition="0"/>
    </format>
    <format dxfId="92">
      <pivotArea field="3" type="button" dataOnly="0" labelOnly="1" outline="0"/>
    </format>
    <format dxfId="91">
      <pivotArea dataOnly="0" labelOnly="1" grandRow="1" outline="0" fieldPosition="0"/>
    </format>
    <format dxfId="90">
      <pivotArea dataOnly="0" labelOnly="1" outline="0" fieldPosition="0">
        <references count="1">
          <reference field="5" count="0"/>
        </references>
      </pivotArea>
    </format>
    <format dxfId="89">
      <pivotArea dataOnly="0" labelOnly="1" grandCol="1" outline="0" fieldPosition="0"/>
    </format>
    <format dxfId="88">
      <pivotArea type="all" dataOnly="0" outline="0" fieldPosition="0"/>
    </format>
    <format dxfId="87">
      <pivotArea outline="0" collapsedLevelsAreSubtotals="1" fieldPosition="0"/>
    </format>
    <format dxfId="86">
      <pivotArea type="origin" dataOnly="0" labelOnly="1" outline="0" fieldPosition="0"/>
    </format>
    <format dxfId="85">
      <pivotArea field="5" type="button" dataOnly="0" labelOnly="1" outline="0" axis="axisCol" fieldPosition="0"/>
    </format>
    <format dxfId="84">
      <pivotArea type="topRight" dataOnly="0" labelOnly="1" outline="0" fieldPosition="0"/>
    </format>
    <format dxfId="83">
      <pivotArea field="53" type="button" dataOnly="0" labelOnly="1" outline="0" axis="axisRow" fieldPosition="0"/>
    </format>
    <format dxfId="82">
      <pivotArea dataOnly="0" labelOnly="1" outline="0" fieldPosition="0">
        <references count="1">
          <reference field="53" count="0"/>
        </references>
      </pivotArea>
    </format>
    <format dxfId="81">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9" xr16:uid="{348EA3C6-B88C-43C7-92D6-D64F0BA658AC}" autoFormatId="16" applyNumberFormats="0" applyBorderFormats="0" applyFontFormats="0" applyPatternFormats="0" applyAlignmentFormats="0" applyWidthHeightFormats="0">
  <queryTableRefresh nextId="49">
    <queryTableFields count="48">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Year" tableColumnId="31"/>
      <queryTableField id="32" name="St#" tableColumnId="32"/>
      <queryTableField id="33" name="Notes" tableColumnId="33"/>
      <queryTableField id="34" name="VEHICLE" tableColumnId="34"/>
      <queryTableField id="35" name="Suspect" tableColumnId="35"/>
      <queryTableField id="36" name="TOTAL_STOLEN_AMOUNT" tableColumnId="36"/>
      <queryTableField id="37" name="INC_DATE" tableColumnId="37"/>
      <queryTableField id="38" name="TOD" tableColumnId="38"/>
      <queryTableField id="39" name="Start of Hour" tableColumnId="39"/>
      <queryTableField id="40" name="INC_TIME" tableColumnId="40"/>
      <queryTableField id="41" name="Day Name" tableColumnId="41"/>
      <queryTableField id="42" name="Month Name" tableColumnId="42"/>
      <queryTableField id="43" name="Week of Year" tableColumnId="43"/>
      <queryTableField id="44" name="Week of Month" tableColumnId="44"/>
      <queryTableField id="45" name="Day" tableColumnId="45"/>
      <queryTableField id="46" name="Day of Year" tableColumnId="46"/>
      <queryTableField id="47" name="INC_DATE_AND_TIME" tableColumnId="47"/>
      <queryTableField id="48" name="REPORT_CYCLE" tableColumnId="4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8" xr16:uid="{36E45637-61F3-468B-84FF-021DC345956C}" autoFormatId="16" applyNumberFormats="0" applyBorderFormats="0" applyFontFormats="0" applyPatternFormats="0" applyAlignmentFormats="0" applyWidthHeightFormats="0">
  <queryTableRefresh nextId="49">
    <queryTableFields count="48">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Year" tableColumnId="31"/>
      <queryTableField id="32" name="St#" tableColumnId="32"/>
      <queryTableField id="33" name="Notes" tableColumnId="33"/>
      <queryTableField id="34" name="VEHICLE" tableColumnId="34"/>
      <queryTableField id="35" name="Suspect" tableColumnId="35"/>
      <queryTableField id="36" name="TOTAL_STOLEN_AMOUNT" tableColumnId="36"/>
      <queryTableField id="37" name="INC_DATE" tableColumnId="37"/>
      <queryTableField id="38" name="TOD" tableColumnId="38"/>
      <queryTableField id="39" name="Start of Hour" tableColumnId="39"/>
      <queryTableField id="40" name="INC_TIME" tableColumnId="40"/>
      <queryTableField id="41" name="Day Name" tableColumnId="41"/>
      <queryTableField id="42" name="Month Name" tableColumnId="42"/>
      <queryTableField id="43" name="Week of Year" tableColumnId="43"/>
      <queryTableField id="44" name="Week of Month" tableColumnId="44"/>
      <queryTableField id="45" name="Day" tableColumnId="45"/>
      <queryTableField id="46" name="Day of Year" tableColumnId="46"/>
      <queryTableField id="47" name="INC_DATE_AND_TIME" tableColumnId="47"/>
      <queryTableField id="48" name="REPORT_CYCLE" tableColumnId="4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36C3D5E-A89C-4A83-BA0C-7A59259D7EBF}" autoFormatId="16" applyNumberFormats="0" applyBorderFormats="0" applyFontFormats="0" applyPatternFormats="0" applyAlignmentFormats="0" applyWidthHeightFormats="0">
  <queryTableRefresh nextId="112">
    <queryTableFields count="45">
      <queryTableField id="1" name="Case Number" tableColumnId="1"/>
      <queryTableField id="6" name="INC_DATE" tableColumnId="6"/>
      <queryTableField id="48" name="TIME_OF_DAY" tableColumnId="48"/>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44A96AE3-E9A4-4E0B-BDFD-5B9DD009DACE}" autoFormatId="16" applyNumberFormats="0" applyBorderFormats="0" applyFontFormats="0" applyPatternFormats="0" applyAlignmentFormats="0" applyWidthHeightFormats="0">
  <queryTableRefresh nextId="25">
    <queryTableFields count="15">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7" name="Vehicle Was Parked" tableColumnId="7"/>
      <queryTableField id="8" name="Entry Method" tableColumnId="8"/>
      <queryTableField id="9" name="Damage to Vehicle" tableColumnId="9"/>
      <queryTableField id="10" name="Suspect Description" tableColumnId="10"/>
      <queryTableField id="11" name="Suspect Vehicle Description" tableColumnId="11"/>
      <queryTableField id="12" name="Items Stolen" tableColumnId="12"/>
      <queryTableField id="13" name="Value of Stolen Property" tableColumnId="13"/>
      <queryTableField id="14" name="Keys with Vehicle" tableColumnId="14"/>
      <queryTableField id="15" name="Offense Completed" tableColumnId="15"/>
      <queryTableField id="6" name="Notes"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25" xr16:uid="{091701AC-7440-44EC-8CBC-F15969D18E45}" autoFormatId="16" applyNumberFormats="0" applyBorderFormats="0" applyFontFormats="0" applyPatternFormats="0" applyAlignmentFormats="0" applyWidthHeightFormats="0">
  <queryTableRefresh nextId="16">
    <queryTableFields count="8">
      <queryTableField id="14" name="CaseID" tableColumnId="14"/>
      <queryTableField id="1" name="Block" tableColumnId="1"/>
      <queryTableField id="2" name="Incident Date" tableColumnId="2"/>
      <queryTableField id="3" name="Day of Week" tableColumnId="3"/>
      <queryTableField id="4" name="Time of Day" tableColumnId="4"/>
      <queryTableField id="5" name="Suspect" tableColumnId="5"/>
      <queryTableField id="11" name="Property Stolen" tableColumnId="11"/>
      <queryTableField id="13" name="Notes"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5" xr16:uid="{1535C284-9D16-4C61-940C-BE409E77425D}" autoFormatId="16" applyNumberFormats="0" applyBorderFormats="0" applyFontFormats="0" applyPatternFormats="0" applyAlignmentFormats="0" applyWidthHeightFormats="0">
  <queryTableRefresh nextId="111">
    <queryTableFields count="54">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7" xr16:uid="{68333D4D-65F4-437C-BF11-B026542F3F85}" autoFormatId="16" applyNumberFormats="0" applyBorderFormats="0" applyFontFormats="0" applyPatternFormats="0" applyAlignmentFormats="0" applyWidthHeightFormats="0">
  <queryTableRefresh nextId="14">
    <queryTableFields count="13">
      <queryTableField id="1" name="Block" tableColumnId="1"/>
      <queryTableField id="2" name="Incident Date" tableColumnId="2"/>
      <queryTableField id="3" name="Day of Week" tableColumnId="3"/>
      <queryTableField id="4" name="Time of Day" tableColumnId="4"/>
      <queryTableField id="5" name="Suspect" tableColumnId="5"/>
      <queryTableField id="6" name="Involved Vehicle" tableColumnId="6"/>
      <queryTableField id="7" name="Method of Entry" tableColumnId="7"/>
      <queryTableField id="8" name="Point of Entry" tableColumnId="8"/>
      <queryTableField id="9" name="Point of Exit" tableColumnId="9"/>
      <queryTableField id="10" name="Type of Structure" tableColumnId="10"/>
      <queryTableField id="11" name="Property Stolen" tableColumnId="11"/>
      <queryTableField id="12" name="Security Measures Present" tableColumnId="12"/>
      <queryTableField id="13" name="Notes"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6" xr16:uid="{AF88F29F-E89A-4C1D-9908-70747B7EE1D4}" autoFormatId="16" applyNumberFormats="0" applyBorderFormats="0" applyFontFormats="0" applyPatternFormats="0" applyAlignmentFormats="0" applyWidthHeightFormats="0">
  <queryTableRefresh nextId="14">
    <queryTableFields count="13">
      <queryTableField id="1" name="Block" tableColumnId="1"/>
      <queryTableField id="2" name="Incident Date" tableColumnId="2"/>
      <queryTableField id="3" name="Day of Week" tableColumnId="3"/>
      <queryTableField id="4" name="Time of Day" tableColumnId="4"/>
      <queryTableField id="5" name="Suspect" tableColumnId="5"/>
      <queryTableField id="6" name="Involved Vehicle" tableColumnId="6"/>
      <queryTableField id="7" name="Method of Entry" tableColumnId="7"/>
      <queryTableField id="8" name="Point of Entry" tableColumnId="8"/>
      <queryTableField id="9" name="Point of Exit" tableColumnId="9"/>
      <queryTableField id="10" name="Type of Structure" tableColumnId="10"/>
      <queryTableField id="11" name="Property Stolen" tableColumnId="11"/>
      <queryTableField id="12" name="Security Measures Present" tableColumnId="12"/>
      <queryTableField id="13" name="Notes" tableColumnId="1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5" connectionId="14" xr16:uid="{0677BE91-4D61-4337-BBBD-82298BA30184}" autoFormatId="16" applyNumberFormats="0" applyBorderFormats="0" applyFontFormats="0" applyPatternFormats="0" applyAlignmentFormats="0" applyWidthHeightFormats="0">
  <queryTableRefresh nextId="112">
    <queryTableFields count="55">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 id="111" name="Case Number - Copy" tableColumnId="5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6" xr16:uid="{0F394113-ABCD-450D-B34F-C5DD1AC43206}" autoFormatId="16" applyNumberFormats="0" applyBorderFormats="0" applyFontFormats="0" applyPatternFormats="0" applyAlignmentFormats="0" applyWidthHeightFormats="0">
  <queryTableRefresh nextId="13">
    <queryTableFields count="12">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6" name="Notes" tableColumnId="6"/>
      <queryTableField id="7" name="Vehicle Was Parked" tableColumnId="7"/>
      <queryTableField id="8" name="Entry Method" tableColumnId="8"/>
      <queryTableField id="9" name="Suspect Description" tableColumnId="9"/>
      <queryTableField id="10" name="Suspect Vehicle Description" tableColumnId="10"/>
      <queryTableField id="11" name="Keys with Vehicle" tableColumnId="11"/>
      <queryTableField id="12" name="Offense Completed" tableColumnId="1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5" connectionId="15" xr16:uid="{8C86DA6E-FF41-4DB9-8446-9CC7D3354652}" autoFormatId="16" applyNumberFormats="0" applyBorderFormats="0" applyFontFormats="0" applyPatternFormats="0" applyAlignmentFormats="0" applyWidthHeightFormats="0">
  <queryTableRefresh nextId="13">
    <queryTableFields count="12">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6" name="Notes" tableColumnId="6"/>
      <queryTableField id="7" name="Vehicle Was Parked" tableColumnId="7"/>
      <queryTableField id="8" name="Entry Method" tableColumnId="8"/>
      <queryTableField id="9" name="Suspect Description" tableColumnId="9"/>
      <queryTableField id="10" name="Suspect Vehicle Description" tableColumnId="10"/>
      <queryTableField id="11" name="Keys with Vehicle" tableColumnId="11"/>
      <queryTableField id="12" name="Offense Completed" tableColumnId="1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18" xr16:uid="{63423EAB-6A24-4E1D-826D-906302979DD4}" autoFormatId="16" applyNumberFormats="0" applyBorderFormats="0" applyFontFormats="0" applyPatternFormats="0" applyAlignmentFormats="0" applyWidthHeightFormats="0">
  <queryTableRefresh nextId="47">
    <queryTableFields count="46">
      <queryTableField id="1" name="Case Number" tableColumnId="1"/>
      <queryTableField id="2" name="INC_DATE" tableColumnId="2"/>
      <queryTableField id="3" name="TIME_OF_DAY" tableColumnId="3"/>
      <queryTableField id="4" name="Start of Hour" tableColumnId="4"/>
      <queryTableField id="5" name="INC_TIME" tableColumnId="5"/>
      <queryTableField id="6" name="Day Name" tableColumnId="6"/>
      <queryTableField id="7" name="Month Name" tableColumnId="7"/>
      <queryTableField id="8" name="BLOCK" tableColumnId="8"/>
      <queryTableField id="9" name="Location" tableColumnId="9"/>
      <queryTableField id="10" name="ALL_INCIDENTS" tableColumnId="10"/>
      <queryTableField id="11" name="Incident Type_1" tableColumnId="11"/>
      <queryTableField id="12" name="Incident Type_2" tableColumnId="12"/>
      <queryTableField id="13" name="Incident Type_3" tableColumnId="13"/>
      <queryTableField id="14" name="FullAddress" tableColumnId="14"/>
      <queryTableField id="15" name="Grid" tableColumnId="15"/>
      <queryTableField id="16" name="Zone" tableColumnId="16"/>
      <queryTableField id="17" name="Narrative" tableColumnId="17"/>
      <queryTableField id="18" name="Total Value Stolen" tableColumnId="18"/>
      <queryTableField id="19" name="Total Value Recover" tableColumnId="19"/>
      <queryTableField id="20" name="Registration 1" tableColumnId="20"/>
      <queryTableField id="21" name="Make1" tableColumnId="21"/>
      <queryTableField id="22" name="Model1" tableColumnId="22"/>
      <queryTableField id="23" name="Reg State 1" tableColumnId="23"/>
      <queryTableField id="24" name="Registration 2" tableColumnId="24"/>
      <queryTableField id="25" name="Reg State 2" tableColumnId="25"/>
      <queryTableField id="26" name="Make2" tableColumnId="26"/>
      <queryTableField id="27" name="Model2" tableColumnId="27"/>
      <queryTableField id="28" name="Reviewed By" tableColumnId="28"/>
      <queryTableField id="29" name="CompleteCalc" tableColumnId="29"/>
      <queryTableField id="30" name="Officer of Record" tableColumnId="30"/>
      <queryTableField id="31" name="Squad" tableColumnId="31"/>
      <queryTableField id="32" name="Det_Assigned" tableColumnId="32"/>
      <queryTableField id="33" name="Case_Status" tableColumnId="33"/>
      <queryTableField id="34" name="NIBRS Classification" tableColumnId="34"/>
      <queryTableField id="35" name="Year" tableColumnId="35"/>
      <queryTableField id="36" name="Week of Year" tableColumnId="36"/>
      <queryTableField id="37" name="Week of Month" tableColumnId="37"/>
      <queryTableField id="38" name="Day" tableColumnId="38"/>
      <queryTableField id="39" name="Day of Year" tableColumnId="39"/>
      <queryTableField id="40" name="INC_DATE_AND_TIME" tableColumnId="40"/>
      <queryTableField id="41" name="St#" tableColumnId="41"/>
      <queryTableField id="42" name="Notes" tableColumnId="42"/>
      <queryTableField id="43" name="VEHICLE" tableColumnId="43"/>
      <queryTableField id="44" name="Suspect" tableColumnId="44"/>
      <queryTableField id="45" name="TOTAL_STOLEN_AMOUNT" tableColumnId="45"/>
      <queryTableField id="46" name="REPORT_CYCLE" tableColumnId="46"/>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 connectionId="19" xr16:uid="{DE7A5609-A24D-4851-9C51-CEEE9D9712F8}" autoFormatId="16" applyNumberFormats="0" applyBorderFormats="0" applyFontFormats="0" applyPatternFormats="0" applyAlignmentFormats="0" applyWidthHeightFormats="0">
  <queryTableRefresh nextId="17">
    <queryTableFields count="16">
      <queryTableField id="1" name="BLOCK" tableColumnId="1"/>
      <queryTableField id="2" name="INC_DATE" tableColumnId="2"/>
      <queryTableField id="3" name="Day Name" tableColumnId="3"/>
      <queryTableField id="4" name="TIME_OF_DAY" tableColumnId="4"/>
      <queryTableField id="5" name="Suspect" tableColumnId="5"/>
      <queryTableField id="6" name="VEHICLE" tableColumnId="6"/>
      <queryTableField id="7" name="TOTAL_STOLEN_AMOUNT" tableColumnId="7"/>
      <queryTableField id="8" name="Narrative" tableColumnId="8"/>
      <queryTableField id="9" name="Location Type" tableColumnId="9"/>
      <queryTableField id="10" name="Type Weapon" tableColumnId="10"/>
      <queryTableField id="11" name="Type of Victim" tableColumnId="11"/>
      <queryTableField id="12" name="Type Injury" tableColumnId="12"/>
      <queryTableField id="13" name="Property Stolen" tableColumnId="13"/>
      <queryTableField id="14" name="Offender Suspected of Using" tableColumnId="14"/>
      <queryTableField id="15" name="Relationship of Victim to Offender" tableColumnId="15"/>
      <queryTableField id="16" name="Offense Completed" tableColumnId="16"/>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20" xr16:uid="{88D66F49-C0FC-498C-87A4-24936885D602}" autoFormatId="16" applyNumberFormats="0" applyBorderFormats="0" applyFontFormats="0" applyPatternFormats="0" applyAlignmentFormats="0" applyWidthHeightFormats="0">
  <queryTableRefresh nextId="36">
    <queryTableFields count="16">
      <queryTableField id="18" name="BLOCK" tableColumnId="18"/>
      <queryTableField id="19" name="INC_DATE" tableColumnId="19"/>
      <queryTableField id="20" name="Day Name" tableColumnId="20"/>
      <queryTableField id="21" name="TIME_OF_DAY" tableColumnId="21"/>
      <queryTableField id="22" name="Suspect" tableColumnId="22"/>
      <queryTableField id="23" name="VEHICLE" tableColumnId="23"/>
      <queryTableField id="24" name="TOTAL_STOLEN_AMOUNT" tableColumnId="24"/>
      <queryTableField id="25" name="Narrative" tableColumnId="25"/>
      <queryTableField id="6" name="Location Type" tableColumnId="6"/>
      <queryTableField id="9" name="Type Weapon" tableColumnId="9"/>
      <queryTableField id="10" name="Type of Victim" tableColumnId="10"/>
      <queryTableField id="11" name="Type Injury" tableColumnId="11"/>
      <queryTableField id="26" name="Property Stolen" tableColumnId="26"/>
      <queryTableField id="14" name="Offender Suspected of Using" tableColumnId="14"/>
      <queryTableField id="15" name="Relationship of Victim to Offender" tableColumnId="15"/>
      <queryTableField id="16" name="Offense Completed" tableColumnId="16"/>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6" connectionId="24" xr16:uid="{308AC9F4-3E59-47A9-8B79-AD02AC86BC3C}" autoFormatId="16" applyNumberFormats="0" applyBorderFormats="0" applyFontFormats="0" applyPatternFormats="0" applyAlignmentFormats="0" applyWidthHeightFormats="0">
  <queryTableRefresh nextId="111">
    <queryTableFields count="54">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7" connectionId="23" xr16:uid="{89DFD8F8-3F94-41D9-968D-26CB67D9B130}" autoFormatId="16" applyNumberFormats="0" applyBorderFormats="0" applyFontFormats="0" applyPatternFormats="0" applyAlignmentFormats="0" applyWidthHeightFormats="0">
  <queryTableRefresh nextId="16">
    <queryTableFields count="15">
      <queryTableField id="1" name="BLOCK" tableColumnId="1"/>
      <queryTableField id="2" name="INC_DATE" tableColumnId="2"/>
      <queryTableField id="3" name="Day Name" tableColumnId="3"/>
      <queryTableField id="4" name="TIME_OF_DAY" tableColumnId="4"/>
      <queryTableField id="5" name="Suspect" tableColumnId="5"/>
      <queryTableField id="6" name="Vehicle Involved" tableColumnId="6"/>
      <queryTableField id="7" name="Type of Offense" tableColumnId="7"/>
      <queryTableField id="8" name="Victim-Offender Relationship" tableColumnId="8"/>
      <queryTableField id="9" name="Location Type" tableColumnId="9"/>
      <queryTableField id="10" name="Method of Coercion" tableColumnId="10"/>
      <queryTableField id="11" name="Multiple Offenders vs. Single Offender" tableColumnId="11"/>
      <queryTableField id="12" name="Repeat Offender or Known Suspect" tableColumnId="12"/>
      <queryTableField id="13" name="Use of Technology" tableColumnId="13"/>
      <queryTableField id="14" name="Victim Demographics" tableColumnId="14"/>
      <queryTableField id="15" name="Narrative" tableColumnId="15"/>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3" connectionId="22" xr16:uid="{D2567F86-ACAE-431A-AE18-3280B2A49207}" autoFormatId="16" applyNumberFormats="0" applyBorderFormats="0" applyFontFormats="0" applyPatternFormats="0" applyAlignmentFormats="0" applyWidthHeightFormats="0">
  <queryTableRefresh nextId="16">
    <queryTableFields count="15">
      <queryTableField id="1" name="BLOCK" tableColumnId="1"/>
      <queryTableField id="2" name="INC_DATE" tableColumnId="2"/>
      <queryTableField id="3" name="Day Name" tableColumnId="3"/>
      <queryTableField id="4" name="TIME_OF_DAY" tableColumnId="4"/>
      <queryTableField id="5" name="Suspect" tableColumnId="5"/>
      <queryTableField id="6" name="Vehicle Involved" tableColumnId="6"/>
      <queryTableField id="7" name="Type of Offense" tableColumnId="7"/>
      <queryTableField id="8" name="Victim-Offender Relationship" tableColumnId="8"/>
      <queryTableField id="9" name="Location Type" tableColumnId="9"/>
      <queryTableField id="10" name="Method of Coercion" tableColumnId="10"/>
      <queryTableField id="11" name="Multiple Offenders vs. Single Offender" tableColumnId="11"/>
      <queryTableField id="12" name="Repeat Offender or Known Suspect" tableColumnId="12"/>
      <queryTableField id="13" name="Use of Technology" tableColumnId="13"/>
      <queryTableField id="14" name="Victim Demographics" tableColumnId="14"/>
      <queryTableField id="15" name="Narrative" tableColumnId="15"/>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2" connectionId="10" xr16:uid="{8EC7E6AF-D1F4-4A7C-8E6A-3D38BF7726A3}" autoFormatId="16" applyNumberFormats="0" applyBorderFormats="0" applyFontFormats="0" applyPatternFormats="0" applyAlignmentFormats="0" applyWidthHeightFormats="0">
  <queryTableRefresh nextId="54">
    <queryTableFields count="53">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Incident Date" tableColumnId="31"/>
      <queryTableField id="32" name="Incident Time" tableColumnId="32"/>
      <queryTableField id="33" name="Incident Date_Between" tableColumnId="33"/>
      <queryTableField id="34" name="Incident Time_Between" tableColumnId="34"/>
      <queryTableField id="35" name="Report Date" tableColumnId="35"/>
      <queryTableField id="36" name="Report Time" tableColumnId="36"/>
      <queryTableField id="37" name="Year" tableColumnId="37"/>
      <queryTableField id="38" name="St#" tableColumnId="38"/>
      <queryTableField id="39" name="Notes" tableColumnId="39"/>
      <queryTableField id="40" name="VEHICLE" tableColumnId="40"/>
      <queryTableField id="41" name="Suspect" tableColumnId="41"/>
      <queryTableField id="42" name="TOTAL_STOLEN_AMOUNT" tableColumnId="42"/>
      <queryTableField id="43" name="INC_DATE" tableColumnId="43"/>
      <queryTableField id="44" name="Start of Hour" tableColumnId="44"/>
      <queryTableField id="45" name="INC_TIME" tableColumnId="45"/>
      <queryTableField id="46" name="Day Name" tableColumnId="46"/>
      <queryTableField id="47" name="Month Name" tableColumnId="47"/>
      <queryTableField id="48" name="Week of Year" tableColumnId="48"/>
      <queryTableField id="49" name="Week of Month" tableColumnId="49"/>
      <queryTableField id="50" name="Day" tableColumnId="50"/>
      <queryTableField id="51" name="Day of Year" tableColumnId="51"/>
      <queryTableField id="52" name="INC_DATE_AND_TIME" tableColumnId="52"/>
      <queryTableField id="53" name="REPORT_CYCLE" tableColumnId="53"/>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2" firstBackgroundRefresh="1" connectionId="13" xr16:uid="{8C63A8C7-5FFF-45FB-867A-FE26937F7E97}" autoFormatId="16" applyNumberFormats="0" applyBorderFormats="0" applyFontFormats="0" applyPatternFormats="0" applyAlignmentFormats="0" applyWidthHeightFormats="0">
  <queryTableRefresh>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 connectionId="11" xr16:uid="{9791A67D-24EB-43A4-8B5A-327AF9B69B51}" autoFormatId="16" applyNumberFormats="0" applyBorderFormats="0" applyFontFormats="0" applyPatternFormats="0" applyAlignmentFormats="0" applyWidthHeightFormats="0">
  <queryTableRefresh nextId="157">
    <queryTableFields count="37">
      <queryTableField id="112" name="Name" tableColumnId="1"/>
      <queryTableField id="113" name="Extension" tableColumnId="2"/>
      <queryTableField id="114" name="Date accessed" tableColumnId="3"/>
      <queryTableField id="115" name="Date modified" tableColumnId="4"/>
      <queryTableField id="116" name="Date created" tableColumnId="5"/>
      <queryTableField id="117" name="Folder Path" tableColumnId="6"/>
      <queryTableField id="125" name="Case Number" tableColumnId="9"/>
      <queryTableField id="126" name="Incident Date" tableColumnId="10"/>
      <queryTableField id="127" name="Incident Time" tableColumnId="11"/>
      <queryTableField id="128" name="Incident Date_Between" tableColumnId="12"/>
      <queryTableField id="129" name="Incident Time_Between" tableColumnId="13"/>
      <queryTableField id="130" name="Report Date" tableColumnId="14"/>
      <queryTableField id="131" name="Report Time" tableColumnId="15"/>
      <queryTableField id="132" name="Incident Type_1" tableColumnId="16"/>
      <queryTableField id="133" name="Incident Type_2" tableColumnId="17"/>
      <queryTableField id="134" name="Incident Type_3" tableColumnId="18"/>
      <queryTableField id="135" name="FullAddress" tableColumnId="19"/>
      <queryTableField id="136" name="Grid" tableColumnId="20"/>
      <queryTableField id="137" name="Zone" tableColumnId="21"/>
      <queryTableField id="138" name="Narrative" tableColumnId="22"/>
      <queryTableField id="139" name="Total Value Stolen" tableColumnId="23"/>
      <queryTableField id="140" name="Total Value Recover" tableColumnId="24"/>
      <queryTableField id="141" name="Registration 1" tableColumnId="25"/>
      <queryTableField id="142" name="Make1" tableColumnId="26"/>
      <queryTableField id="143" name="Model1" tableColumnId="27"/>
      <queryTableField id="144" name="Reg State 1" tableColumnId="28"/>
      <queryTableField id="145" name="Registration 2" tableColumnId="29"/>
      <queryTableField id="146" name="Reg State 2" tableColumnId="30"/>
      <queryTableField id="147" name="Make2" tableColumnId="31"/>
      <queryTableField id="148" name="Model2" tableColumnId="32"/>
      <queryTableField id="149" name="Reviewed By" tableColumnId="33"/>
      <queryTableField id="150" name="CompleteCalc" tableColumnId="34"/>
      <queryTableField id="151" name="Officer of Record" tableColumnId="35"/>
      <queryTableField id="152" name="Squad" tableColumnId="36"/>
      <queryTableField id="153" name="Det_Assigned" tableColumnId="37"/>
      <queryTableField id="154" name="Case_Status" tableColumnId="38"/>
      <queryTableField id="155" name="NIBRS Classification" tableColumnId="3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E606ADA-6299-4695-9D6A-C33CF80F9CFC}" name="Current_7D" displayName="Current_7D" ref="A1:AV6" tableType="queryTable" totalsRowShown="0" headerRowDxfId="853" dataDxfId="852">
  <autoFilter ref="A1:AV6" xr:uid="{DE606ADA-6299-4695-9D6A-C33CF80F9CFC}"/>
  <tableColumns count="48">
    <tableColumn id="1" xr3:uid="{60CED06B-EAC4-453F-820E-7CA9ED432754}" uniqueName="1" name="Case Number" queryTableFieldId="1" dataDxfId="851"/>
    <tableColumn id="2" xr3:uid="{4A6EF9B4-8709-4062-9FA5-81A5EA0582E6}" uniqueName="2" name="BLOCK" queryTableFieldId="2" dataDxfId="850"/>
    <tableColumn id="3" xr3:uid="{8AB4D782-E02A-4E1F-87B8-94D56E08BB9A}" uniqueName="3" name="TIME_OF_DAY" queryTableFieldId="3" dataDxfId="849"/>
    <tableColumn id="4" xr3:uid="{C6AB6839-8ACE-40EF-887E-9A542F7DFA21}" uniqueName="4" name="Location" queryTableFieldId="4" dataDxfId="848"/>
    <tableColumn id="5" xr3:uid="{73FB37A2-477D-4D0A-9ABE-D88600CCEE11}" uniqueName="5" name="ALL_INCIDENTS" queryTableFieldId="5" dataDxfId="847"/>
    <tableColumn id="6" xr3:uid="{18A06E04-04FF-4520-9E17-50D675E80D4A}" uniqueName="6" name="Incident Type_1" queryTableFieldId="6" dataDxfId="846"/>
    <tableColumn id="7" xr3:uid="{747A192D-232C-40BE-A8D7-6DABD3EF7A45}" uniqueName="7" name="Incident Type_2" queryTableFieldId="7" dataDxfId="845"/>
    <tableColumn id="8" xr3:uid="{65E7D6D6-16E1-4E01-A29B-D46C146A83A4}" uniqueName="8" name="Incident Type_3" queryTableFieldId="8" dataDxfId="844"/>
    <tableColumn id="9" xr3:uid="{8CF95D40-C3A6-4FBA-839C-57BF1651619D}" uniqueName="9" name="FullAddress" queryTableFieldId="9" dataDxfId="843"/>
    <tableColumn id="10" xr3:uid="{957CC518-1B10-4D77-8977-76FB67447B1B}" uniqueName="10" name="Grid" queryTableFieldId="10" dataDxfId="842"/>
    <tableColumn id="11" xr3:uid="{6D10092B-3E78-4E6E-A0F2-1F20E3CF4BC6}" uniqueName="11" name="Zone" queryTableFieldId="11" dataDxfId="841"/>
    <tableColumn id="12" xr3:uid="{C4A2E204-6D16-4D7D-ACBA-A4DCD91E10F7}" uniqueName="12" name="Narrative" queryTableFieldId="12" dataDxfId="840"/>
    <tableColumn id="13" xr3:uid="{F8B730E8-3A8B-4FEA-8721-1BA92D4954F4}" uniqueName="13" name="Total Value Stolen" queryTableFieldId="13" dataDxfId="839"/>
    <tableColumn id="14" xr3:uid="{01F801C0-89F0-4BAE-B1A0-520E908E2D23}" uniqueName="14" name="Total Value Recover" queryTableFieldId="14" dataDxfId="838"/>
    <tableColumn id="15" xr3:uid="{41E0D133-91C1-4926-8A55-11FC0C54F042}" uniqueName="15" name="Registration 1" queryTableFieldId="15" dataDxfId="837"/>
    <tableColumn id="16" xr3:uid="{B89EFFE5-44CB-47C7-B367-EA422715C0E0}" uniqueName="16" name="Make1" queryTableFieldId="16" dataDxfId="836"/>
    <tableColumn id="17" xr3:uid="{893BB1F4-36A8-4C69-AD4F-D0F2A15E48B2}" uniqueName="17" name="Model1" queryTableFieldId="17" dataDxfId="835"/>
    <tableColumn id="18" xr3:uid="{4AA2DFCA-5FF9-4758-95BF-6A6A63D90797}" uniqueName="18" name="Reg State 1" queryTableFieldId="18" dataDxfId="834"/>
    <tableColumn id="19" xr3:uid="{2C91B01B-F39F-4935-A498-5BEBED4FA7D8}" uniqueName="19" name="Registration 2" queryTableFieldId="19" dataDxfId="833"/>
    <tableColumn id="20" xr3:uid="{D686F9D0-0C90-41D6-B561-297F499346D1}" uniqueName="20" name="Reg State 2" queryTableFieldId="20" dataDxfId="832"/>
    <tableColumn id="21" xr3:uid="{E7149AD4-B8B0-4ED7-B186-8726AEF2D052}" uniqueName="21" name="Make2" queryTableFieldId="21" dataDxfId="831"/>
    <tableColumn id="22" xr3:uid="{1E0B721C-2120-4382-8B6B-8F37D3CB16D4}" uniqueName="22" name="Model2" queryTableFieldId="22" dataDxfId="830"/>
    <tableColumn id="23" xr3:uid="{00EAC8B9-F5FF-4444-99E6-2026BEF61D4C}" uniqueName="23" name="Reviewed By" queryTableFieldId="23" dataDxfId="829"/>
    <tableColumn id="24" xr3:uid="{8BFC5CAB-93ED-4B44-BBDF-EBCA8106A523}" uniqueName="24" name="CompleteCalc" queryTableFieldId="24" dataDxfId="828"/>
    <tableColumn id="25" xr3:uid="{D0EC5703-E18E-44C5-AFAB-FA69F5DC8FA2}" uniqueName="25" name="Officer of Record" queryTableFieldId="25" dataDxfId="827"/>
    <tableColumn id="26" xr3:uid="{8406E036-6EBA-462F-A13A-6AE15C30B03F}" uniqueName="26" name="Squad" queryTableFieldId="26" dataDxfId="826"/>
    <tableColumn id="27" xr3:uid="{6751C271-A9FB-4654-A382-82C840BAE76E}" uniqueName="27" name="Det_Assigned" queryTableFieldId="27" dataDxfId="825"/>
    <tableColumn id="28" xr3:uid="{C938C524-C3E5-4336-8E12-8273E6E4C539}" uniqueName="28" name="Case_Status" queryTableFieldId="28" dataDxfId="824"/>
    <tableColumn id="29" xr3:uid="{8A1A58C8-64D7-4C77-B769-42ED4BAB1A15}" uniqueName="29" name="NIBRS Classification" queryTableFieldId="29" dataDxfId="823"/>
    <tableColumn id="30" xr3:uid="{17268280-2CE1-4FC4-9A31-ED3B5D4C73F9}" uniqueName="30" name="CASE_NUMBER_LENGTH" queryTableFieldId="30" dataDxfId="822"/>
    <tableColumn id="31" xr3:uid="{83A125B5-F47D-41E7-A85D-706277E5B831}" uniqueName="31" name="Year" queryTableFieldId="31" dataDxfId="821"/>
    <tableColumn id="32" xr3:uid="{A9D65CA5-C5CF-498D-895F-33E825A9FEA1}" uniqueName="32" name="St#" queryTableFieldId="32" dataDxfId="820"/>
    <tableColumn id="33" xr3:uid="{26645767-735A-45FA-B8C0-3D262E25B362}" uniqueName="33" name="Notes" queryTableFieldId="33" dataDxfId="819"/>
    <tableColumn id="34" xr3:uid="{0D48BF07-16EA-4060-803D-A61FE83A9380}" uniqueName="34" name="VEHICLE" queryTableFieldId="34" dataDxfId="818"/>
    <tableColumn id="35" xr3:uid="{641CCC95-C742-4C86-8CC7-C031DDC22E68}" uniqueName="35" name="Suspect" queryTableFieldId="35" dataDxfId="817"/>
    <tableColumn id="36" xr3:uid="{F3971CDA-B57D-459A-B67C-C52EF4680960}" uniqueName="36" name="TOTAL_STOLEN_AMOUNT" queryTableFieldId="36" dataDxfId="816"/>
    <tableColumn id="37" xr3:uid="{FEF5916A-675B-4213-AE98-ADED49AC7AAA}" uniqueName="37" name="INC_DATE" queryTableFieldId="37" dataDxfId="815"/>
    <tableColumn id="38" xr3:uid="{C8A4AB81-9780-4F26-907F-3F1551D76FF4}" uniqueName="38" name="TOD" queryTableFieldId="38" dataDxfId="814"/>
    <tableColumn id="39" xr3:uid="{C719D596-9EF7-492B-87D3-678D7F897B4E}" uniqueName="39" name="Start of Hour" queryTableFieldId="39" dataDxfId="813"/>
    <tableColumn id="40" xr3:uid="{42C37F77-9E3A-4F37-9438-8110F204241B}" uniqueName="40" name="INC_TIME" queryTableFieldId="40" dataDxfId="812"/>
    <tableColumn id="41" xr3:uid="{603E6717-A7D7-4FA5-BA3F-39464B4E022D}" uniqueName="41" name="Day Name" queryTableFieldId="41" dataDxfId="811"/>
    <tableColumn id="42" xr3:uid="{FDF41397-7361-4149-A231-4AC35EC5042F}" uniqueName="42" name="Month Name" queryTableFieldId="42" dataDxfId="810"/>
    <tableColumn id="43" xr3:uid="{AD81A433-A776-4A1B-B368-CC0C612EB77D}" uniqueName="43" name="Week of Year" queryTableFieldId="43" dataDxfId="809"/>
    <tableColumn id="44" xr3:uid="{9A2E7EC3-E260-4155-B278-7639BCE0680A}" uniqueName="44" name="Week of Month" queryTableFieldId="44" dataDxfId="808"/>
    <tableColumn id="45" xr3:uid="{21FD9CD2-ED04-41B2-90BE-D535FAFF4235}" uniqueName="45" name="Day" queryTableFieldId="45" dataDxfId="807"/>
    <tableColumn id="46" xr3:uid="{DB63FB98-A952-4872-A3FA-B6550A607474}" uniqueName="46" name="Day of Year" queryTableFieldId="46" dataDxfId="806"/>
    <tableColumn id="47" xr3:uid="{1552530B-FA53-45F0-B956-838DDC12130F}" uniqueName="47" name="INC_DATE_AND_TIME" queryTableFieldId="47" dataDxfId="805"/>
    <tableColumn id="48" xr3:uid="{ACD2E2FB-3A32-4056-83E6-718C7601269F}" uniqueName="48" name="REPORT_CYCLE" queryTableFieldId="48" dataDxfId="804"/>
  </tableColumns>
  <tableStyleInfo name="TableStyleLight15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445029C-EA82-4077-BDF0-09FA4CF318CC}" name="Current_28D_" displayName="Current_28D_" ref="A1:AV22" tableType="queryTable" totalsRowShown="0" headerRowDxfId="803" dataDxfId="802">
  <autoFilter ref="A1:AV22" xr:uid="{0445029C-EA82-4077-BDF0-09FA4CF318CC}"/>
  <tableColumns count="48">
    <tableColumn id="1" xr3:uid="{69A69A35-977E-4556-9A97-9732A9D1F31F}" uniqueName="1" name="Case Number" queryTableFieldId="1" dataDxfId="801"/>
    <tableColumn id="2" xr3:uid="{08C0369C-8E42-46D3-9DDE-92E92F88406A}" uniqueName="2" name="BLOCK" queryTableFieldId="2" dataDxfId="800"/>
    <tableColumn id="3" xr3:uid="{4B4016E7-5E86-40D0-8D3F-1889FEE381FF}" uniqueName="3" name="TIME_OF_DAY" queryTableFieldId="3" dataDxfId="799"/>
    <tableColumn id="4" xr3:uid="{593A6D4A-B6AC-4BC6-9BCE-BD12A3E2EE73}" uniqueName="4" name="Location" queryTableFieldId="4" dataDxfId="798"/>
    <tableColumn id="5" xr3:uid="{C732D735-2E23-4051-A0FA-021EC8B1C067}" uniqueName="5" name="ALL_INCIDENTS" queryTableFieldId="5" dataDxfId="797"/>
    <tableColumn id="6" xr3:uid="{9FC1250D-5038-4CC3-AEC5-25E120DFD744}" uniqueName="6" name="Incident Type_1" queryTableFieldId="6" dataDxfId="796"/>
    <tableColumn id="7" xr3:uid="{FDD19ECA-0AF6-4863-AF03-D81C521DB9FD}" uniqueName="7" name="Incident Type_2" queryTableFieldId="7" dataDxfId="795"/>
    <tableColumn id="8" xr3:uid="{683377A7-D6A0-419E-81E0-9BB9A90512E8}" uniqueName="8" name="Incident Type_3" queryTableFieldId="8" dataDxfId="794"/>
    <tableColumn id="9" xr3:uid="{786BB945-6093-45DD-A18C-1A1EFEBC246C}" uniqueName="9" name="FullAddress" queryTableFieldId="9" dataDxfId="793"/>
    <tableColumn id="10" xr3:uid="{56C21E25-0A3D-4F4E-9800-6D728D4195FC}" uniqueName="10" name="Grid" queryTableFieldId="10" dataDxfId="792"/>
    <tableColumn id="11" xr3:uid="{82D32DA7-E683-4BE9-8F1D-EACE321B3EF4}" uniqueName="11" name="Zone" queryTableFieldId="11" dataDxfId="791"/>
    <tableColumn id="12" xr3:uid="{71AC7C65-8727-4711-A9B5-95298FA0DA44}" uniqueName="12" name="Narrative" queryTableFieldId="12" dataDxfId="790"/>
    <tableColumn id="13" xr3:uid="{8184DE8D-5A0E-47A2-A705-C9E463572DE6}" uniqueName="13" name="Total Value Stolen" queryTableFieldId="13" dataDxfId="789"/>
    <tableColumn id="14" xr3:uid="{E981516E-B0B1-4162-867D-036F57723E25}" uniqueName="14" name="Total Value Recover" queryTableFieldId="14" dataDxfId="788"/>
    <tableColumn id="15" xr3:uid="{CA30F125-69F3-488F-B8F3-65063FC06FAE}" uniqueName="15" name="Registration 1" queryTableFieldId="15" dataDxfId="787"/>
    <tableColumn id="16" xr3:uid="{21C1A2F7-E4DD-42AE-BE2F-0AED205CF0C4}" uniqueName="16" name="Make1" queryTableFieldId="16" dataDxfId="786"/>
    <tableColumn id="17" xr3:uid="{1CD79772-EC83-4710-9D61-6F44872569B4}" uniqueName="17" name="Model1" queryTableFieldId="17" dataDxfId="785"/>
    <tableColumn id="18" xr3:uid="{05BE9081-D11F-4C13-A94A-AC1849A91FAA}" uniqueName="18" name="Reg State 1" queryTableFieldId="18" dataDxfId="784"/>
    <tableColumn id="19" xr3:uid="{81B4FEA3-2F82-4B36-A653-460E1E51B504}" uniqueName="19" name="Registration 2" queryTableFieldId="19" dataDxfId="783"/>
    <tableColumn id="20" xr3:uid="{9315AFC3-BDED-4993-8D37-203AD9AFFEDC}" uniqueName="20" name="Reg State 2" queryTableFieldId="20" dataDxfId="782"/>
    <tableColumn id="21" xr3:uid="{45EE1543-53AD-44DA-BAFB-B6689DEDBBC1}" uniqueName="21" name="Make2" queryTableFieldId="21" dataDxfId="781"/>
    <tableColumn id="22" xr3:uid="{650FA678-50CA-40C4-A2DE-D119A4F0A9C1}" uniqueName="22" name="Model2" queryTableFieldId="22" dataDxfId="780"/>
    <tableColumn id="23" xr3:uid="{C900389B-6449-4A46-9675-EA03FFABE2C6}" uniqueName="23" name="Reviewed By" queryTableFieldId="23" dataDxfId="779"/>
    <tableColumn id="24" xr3:uid="{2047E768-5579-4D6A-9B97-DD4BDDC90961}" uniqueName="24" name="CompleteCalc" queryTableFieldId="24" dataDxfId="778"/>
    <tableColumn id="25" xr3:uid="{530230D2-2CAC-41D1-9E7D-83DD567F148B}" uniqueName="25" name="Officer of Record" queryTableFieldId="25" dataDxfId="777"/>
    <tableColumn id="26" xr3:uid="{47C7097F-CD39-4932-960E-99091EEC7546}" uniqueName="26" name="Squad" queryTableFieldId="26" dataDxfId="776"/>
    <tableColumn id="27" xr3:uid="{FB20B121-2AFD-46DA-93E5-26943B7C26FE}" uniqueName="27" name="Det_Assigned" queryTableFieldId="27" dataDxfId="775"/>
    <tableColumn id="28" xr3:uid="{3040DCD6-CED1-49D2-8FF0-FAAFFB750050}" uniqueName="28" name="Case_Status" queryTableFieldId="28" dataDxfId="774"/>
    <tableColumn id="29" xr3:uid="{41638542-1B18-401B-8540-30D1D3DCDFFC}" uniqueName="29" name="NIBRS Classification" queryTableFieldId="29" dataDxfId="773"/>
    <tableColumn id="30" xr3:uid="{94AFE940-3A78-4168-9DC8-FD3B3753EA6A}" uniqueName="30" name="CASE_NUMBER_LENGTH" queryTableFieldId="30" dataDxfId="772"/>
    <tableColumn id="31" xr3:uid="{6B8895A1-C8B5-4976-B301-ED2B3994FCDB}" uniqueName="31" name="Year" queryTableFieldId="31" dataDxfId="771"/>
    <tableColumn id="32" xr3:uid="{EFDF7214-FEB8-44E6-8605-DE089C47F1D6}" uniqueName="32" name="St#" queryTableFieldId="32" dataDxfId="770"/>
    <tableColumn id="33" xr3:uid="{9DD49F18-CE0C-4185-BEE2-B8A6C20252C5}" uniqueName="33" name="Notes" queryTableFieldId="33" dataDxfId="769"/>
    <tableColumn id="34" xr3:uid="{31E932FE-12E7-4FE3-BFDC-26F368CAFA99}" uniqueName="34" name="VEHICLE" queryTableFieldId="34" dataDxfId="768"/>
    <tableColumn id="35" xr3:uid="{D1396A49-7D0F-4E76-8062-694D30422685}" uniqueName="35" name="Suspect" queryTableFieldId="35" dataDxfId="767"/>
    <tableColumn id="36" xr3:uid="{32E790B7-CEFE-4DA6-ADC1-CF8C2FE7C8F7}" uniqueName="36" name="TOTAL_STOLEN_AMOUNT" queryTableFieldId="36" dataDxfId="766"/>
    <tableColumn id="37" xr3:uid="{D4FED1B1-77AD-453E-9A1E-F70D5E59ED55}" uniqueName="37" name="INC_DATE" queryTableFieldId="37" dataDxfId="765"/>
    <tableColumn id="38" xr3:uid="{6D4759BE-E979-4F8A-B071-DBF8A0F3BE44}" uniqueName="38" name="TOD" queryTableFieldId="38" dataDxfId="764"/>
    <tableColumn id="39" xr3:uid="{D8288FFB-DE54-472D-84F0-2057B7E6865F}" uniqueName="39" name="Start of Hour" queryTableFieldId="39" dataDxfId="763"/>
    <tableColumn id="40" xr3:uid="{54A3C7B3-74EB-4323-88D7-DE17966B70F5}" uniqueName="40" name="INC_TIME" queryTableFieldId="40" dataDxfId="762"/>
    <tableColumn id="41" xr3:uid="{FF7D7883-8014-4499-8AFE-FC0FE9600282}" uniqueName="41" name="Day Name" queryTableFieldId="41" dataDxfId="761"/>
    <tableColumn id="42" xr3:uid="{7043B1BC-307D-4E18-8775-93A424E77AB3}" uniqueName="42" name="Month Name" queryTableFieldId="42" dataDxfId="760"/>
    <tableColumn id="43" xr3:uid="{4F9C232B-CC94-4F06-A080-9B395359CF86}" uniqueName="43" name="Week of Year" queryTableFieldId="43" dataDxfId="759"/>
    <tableColumn id="44" xr3:uid="{755C089D-1754-4EA7-8ABE-709D80F9B30A}" uniqueName="44" name="Week of Month" queryTableFieldId="44" dataDxfId="758"/>
    <tableColumn id="45" xr3:uid="{A88E11C3-5EC5-4E76-B68B-D928189CF8FB}" uniqueName="45" name="Day" queryTableFieldId="45" dataDxfId="757"/>
    <tableColumn id="46" xr3:uid="{3DD6859D-53EC-4796-AB04-033150BCE3BD}" uniqueName="46" name="Day of Year" queryTableFieldId="46" dataDxfId="756"/>
    <tableColumn id="47" xr3:uid="{77574ACE-20F6-4EAD-A6C1-9A4E9FCE2EE7}" uniqueName="47" name="INC_DATE_AND_TIME" queryTableFieldId="47" dataDxfId="755"/>
    <tableColumn id="48" xr3:uid="{CA323C1B-DB0B-4C23-93CB-E33449AD4995}" uniqueName="48" name="REPORT_CYCLE" queryTableFieldId="48" dataDxfId="754"/>
  </tableColumns>
  <tableStyleInfo name="TableStyleLight15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3B4D5E-C410-487A-BBAF-F19B83C60366}" name="Bur_Auto" displayName="Bur_Auto" ref="A1:AS13" tableType="queryTable" totalsRowShown="0" headerRowDxfId="753" dataDxfId="752">
  <autoFilter ref="A1:AS13" xr:uid="{053B4D5E-C410-487A-BBAF-F19B83C60366}"/>
  <tableColumns count="45">
    <tableColumn id="1" xr3:uid="{FACFC861-1620-40BD-950E-E20853CEDE8D}" uniqueName="1" name="Case Number" queryTableFieldId="1" dataDxfId="751"/>
    <tableColumn id="6" xr3:uid="{FDAC213A-693D-47F2-A727-78E05BADFCE5}" uniqueName="6" name="INC_DATE" queryTableFieldId="6" dataDxfId="750"/>
    <tableColumn id="48" xr3:uid="{63862322-9A57-414B-82BE-92A0375CE84B}" uniqueName="48" name="TIME_OF_DAY" queryTableFieldId="48" dataDxfId="749"/>
    <tableColumn id="2" xr3:uid="{9742BAFE-0E5B-4B5E-869A-22E19C40F353}" uniqueName="2" name="Start of Hour" queryTableFieldId="2" dataDxfId="748"/>
    <tableColumn id="3" xr3:uid="{63AAD30B-832D-4367-B05E-FBE90CBF7432}" uniqueName="3" name="INC_TIME" queryTableFieldId="3" dataDxfId="747"/>
    <tableColumn id="4" xr3:uid="{437D069E-5E44-4D48-8713-FEB12322B831}" uniqueName="4" name="Day Name" queryTableFieldId="4" dataDxfId="746"/>
    <tableColumn id="5" xr3:uid="{F22A587A-1AC0-4ED2-BB61-A25EA201651D}" uniqueName="5" name="Month Name" queryTableFieldId="5" dataDxfId="745"/>
    <tableColumn id="47" xr3:uid="{D2F99258-E6F4-45DE-8665-8F54BCC909AB}" uniqueName="47" name="BLOCK" queryTableFieldId="47" dataDxfId="744"/>
    <tableColumn id="7" xr3:uid="{23412795-3C5C-4E2A-9919-B98C62A75D08}" uniqueName="7" name="Location" queryTableFieldId="7" dataDxfId="743"/>
    <tableColumn id="9" xr3:uid="{C0F0C169-D837-4C9E-AB09-8C1D99D91596}" uniqueName="9" name="ALL_INCIDENTS" queryTableFieldId="9" dataDxfId="742"/>
    <tableColumn id="8" xr3:uid="{887AEAD5-2EE6-4CE8-B63E-F34A4013598D}" uniqueName="8" name="Incident Type_1" queryTableFieldId="8" dataDxfId="741"/>
    <tableColumn id="10" xr3:uid="{7C706C07-C6A9-4B55-B12B-B1EC640BB510}" uniqueName="10" name="Incident Type_2" queryTableFieldId="10" dataDxfId="740"/>
    <tableColumn id="11" xr3:uid="{F3806DE8-88F3-43EF-B3ED-0B00EA0C5B06}" uniqueName="11" name="Incident Type_3" queryTableFieldId="11" dataDxfId="739"/>
    <tableColumn id="12" xr3:uid="{2D137194-07CE-44BF-B991-4DC064083B2F}" uniqueName="12" name="FullAddress" queryTableFieldId="12" dataDxfId="738"/>
    <tableColumn id="13" xr3:uid="{8A7A3242-2964-4403-A82F-2C0BBD0A6E23}" uniqueName="13" name="Grid" queryTableFieldId="13" dataDxfId="737"/>
    <tableColumn id="14" xr3:uid="{A362B5CB-0CC8-4CB4-BBC1-73B64D5C13F7}" uniqueName="14" name="Zone" queryTableFieldId="14" dataDxfId="736"/>
    <tableColumn id="15" xr3:uid="{E1F30827-C2EA-441F-BD35-CB496B001448}" uniqueName="15" name="Narrative" queryTableFieldId="15" dataDxfId="735"/>
    <tableColumn id="16" xr3:uid="{975068BA-A059-498B-AF9A-9041339A5EB4}" uniqueName="16" name="Total Value Stolen" queryTableFieldId="16" dataDxfId="734"/>
    <tableColumn id="17" xr3:uid="{F655ADE8-2EC8-4201-AF47-04D14250510D}" uniqueName="17" name="Total Value Recover" queryTableFieldId="17" dataDxfId="733"/>
    <tableColumn id="18" xr3:uid="{C8696408-8459-49C0-A2B1-C77A7E8802CB}" uniqueName="18" name="Registration 1" queryTableFieldId="18" dataDxfId="732"/>
    <tableColumn id="19" xr3:uid="{2CF01599-CADC-43A5-9982-F679A114208D}" uniqueName="19" name="Make1" queryTableFieldId="19" dataDxfId="731"/>
    <tableColumn id="20" xr3:uid="{8BEE1F97-52E1-49A0-822D-71406A448AD5}" uniqueName="20" name="Model1" queryTableFieldId="20" dataDxfId="730"/>
    <tableColumn id="21" xr3:uid="{991E9F53-0B16-43C7-BC83-8C933A9EAF48}" uniqueName="21" name="Reg State 1" queryTableFieldId="21" dataDxfId="729"/>
    <tableColumn id="22" xr3:uid="{196A4EFA-8AE5-4359-A05A-E5856FD86ED3}" uniqueName="22" name="Registration 2" queryTableFieldId="22" dataDxfId="728"/>
    <tableColumn id="23" xr3:uid="{09BFE387-258E-4028-912E-F42848FC1FB8}" uniqueName="23" name="Reg State 2" queryTableFieldId="23" dataDxfId="727"/>
    <tableColumn id="24" xr3:uid="{999E3F07-7593-49A2-B8BA-CE172835F480}" uniqueName="24" name="Make2" queryTableFieldId="24" dataDxfId="726"/>
    <tableColumn id="25" xr3:uid="{EC6C6216-F333-4EE1-8A1C-34E8C49FD1BF}" uniqueName="25" name="Model2" queryTableFieldId="25" dataDxfId="725"/>
    <tableColumn id="26" xr3:uid="{E69827BB-9FFF-4842-AACE-96129A23C8F0}" uniqueName="26" name="Reviewed By" queryTableFieldId="26" dataDxfId="724"/>
    <tableColumn id="28" xr3:uid="{0A0186FF-651D-489A-A310-98C2FD6D65A1}" uniqueName="28" name="Officer of Record" queryTableFieldId="28" dataDxfId="723"/>
    <tableColumn id="29" xr3:uid="{96757894-775B-442E-809C-6B97BD573DC0}" uniqueName="29" name="Squad" queryTableFieldId="29" dataDxfId="722"/>
    <tableColumn id="30" xr3:uid="{6318B82C-473C-44D6-9464-C32015D30AF6}" uniqueName="30" name="Det_Assigned" queryTableFieldId="30" dataDxfId="721"/>
    <tableColumn id="31" xr3:uid="{254BA949-002B-4681-BF1C-D67BB17DCD44}" uniqueName="31" name="Case_Status" queryTableFieldId="31" dataDxfId="720"/>
    <tableColumn id="32" xr3:uid="{B2F06823-4098-42B9-947E-DB3B89C54414}" uniqueName="32" name="NIBRS Classification" queryTableFieldId="32" dataDxfId="719"/>
    <tableColumn id="40" xr3:uid="{680BBDF2-B758-4577-BD0C-C162EFF9409E}" uniqueName="40" name="Year" queryTableFieldId="40" dataDxfId="718"/>
    <tableColumn id="41" xr3:uid="{A837D56A-5CBE-499C-A4F2-CC38DA30A593}" uniqueName="41" name="Week of Year" queryTableFieldId="41" dataDxfId="717"/>
    <tableColumn id="42" xr3:uid="{4D75D3C2-8786-40BF-B97B-D0EE0432B82D}" uniqueName="42" name="Week of Month" queryTableFieldId="42" dataDxfId="716"/>
    <tableColumn id="43" xr3:uid="{1D4F9BBB-5892-474F-BE57-70EA5EEF1794}" uniqueName="43" name="Day" queryTableFieldId="43" dataDxfId="715"/>
    <tableColumn id="44" xr3:uid="{90001A85-63F5-42C1-A0AA-B5EF7CEAC611}" uniqueName="44" name="Day of Year" queryTableFieldId="44" dataDxfId="714"/>
    <tableColumn id="45" xr3:uid="{11B2CB0E-C8BB-41E3-8BD8-DB730FB6DFEB}" uniqueName="45" name="INC_DATE_AND_TIME" queryTableFieldId="45" dataDxfId="713"/>
    <tableColumn id="46" xr3:uid="{B8E6382D-A067-404B-86B9-4993AE799355}" uniqueName="46" name="St#" queryTableFieldId="46" dataDxfId="712"/>
    <tableColumn id="49" xr3:uid="{48D4137F-198F-4529-92F8-BDA08563A6B7}" uniqueName="49" name="Notes" queryTableFieldId="108" dataDxfId="711"/>
    <tableColumn id="50" xr3:uid="{3049FA7E-2B3D-4825-BA0A-8C9537F88D77}" uniqueName="50" name="VEHICLE" queryTableFieldId="50" dataDxfId="710"/>
    <tableColumn id="51" xr3:uid="{1227B6EC-3B2B-400B-B915-A91EFE2CC2D2}" uniqueName="51" name="Suspect" queryTableFieldId="51" dataDxfId="709"/>
    <tableColumn id="52" xr3:uid="{883FCCCA-106B-4935-ACD4-2CDDB39CF55E}" uniqueName="52" name="TOTAL_STOLEN_AMOUNT" queryTableFieldId="52" dataDxfId="708"/>
    <tableColumn id="53" xr3:uid="{6456B8EA-5D36-4659-A4F9-64A6114BF6EE}" uniqueName="53" name="REPORT_CYCLE" queryTableFieldId="53" dataDxfId="707"/>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53909-38FC-4AC5-97EA-B21B88C6642E}" name="Bur_Auto_7D" displayName="Bur_Auto_7D" ref="A1:O2" tableType="queryTable" totalsRowShown="0" headerRowDxfId="706" dataDxfId="705">
  <autoFilter ref="A1:O2" xr:uid="{B6A53909-38FC-4AC5-97EA-B21B88C6642E}"/>
  <tableColumns count="15">
    <tableColumn id="1" xr3:uid="{ECDF7BB0-09B2-43DE-A354-9058D18A589E}" uniqueName="1" name="Block Incident Occurred On" queryTableFieldId="1" dataDxfId="704"/>
    <tableColumn id="2" xr3:uid="{AA58CE8E-C4E4-4DD6-837B-96CD8EBA533A}" uniqueName="2" name="Incident Date" queryTableFieldId="2" dataDxfId="703"/>
    <tableColumn id="3" xr3:uid="{00E52B2C-07F5-4860-AB91-71438153626E}" uniqueName="3" name="Day of Week" queryTableFieldId="3" dataDxfId="702"/>
    <tableColumn id="4" xr3:uid="{FC4A00AF-FC7A-4CDC-9B1E-D81AAE2B9126}" uniqueName="4" name="Time of Day Incident Occurred" queryTableFieldId="4" dataDxfId="701"/>
    <tableColumn id="5" xr3:uid="{459A1D10-4C01-43D7-B77A-7E35028C8BA8}" uniqueName="5" name="Victim's Vehicle Description" queryTableFieldId="5" dataDxfId="700"/>
    <tableColumn id="7" xr3:uid="{3BB8ED52-7655-4E6E-9C04-133EBEBF3B4C}" uniqueName="7" name="Vehicle Was Parked" queryTableFieldId="7" dataDxfId="699"/>
    <tableColumn id="8" xr3:uid="{43FE979C-0792-4382-9C5E-FB1F7BEC09D9}" uniqueName="8" name="Entry Method" queryTableFieldId="8" dataDxfId="698"/>
    <tableColumn id="9" xr3:uid="{89DA9597-B3CE-467B-912D-D787FDC46A6E}" uniqueName="9" name="Damage to Vehicle" queryTableFieldId="9" dataDxfId="697"/>
    <tableColumn id="10" xr3:uid="{9AB34402-D56D-49EF-B71E-D68E20A02258}" uniqueName="10" name="Suspect Description" queryTableFieldId="10" dataDxfId="696"/>
    <tableColumn id="11" xr3:uid="{61668263-7DF6-40CD-BACF-63E2EBA91BD6}" uniqueName="11" name="Suspect Vehicle Description" queryTableFieldId="11" dataDxfId="695"/>
    <tableColumn id="12" xr3:uid="{1A026041-CE9A-46BA-8320-0654CA55D35A}" uniqueName="12" name="Items Stolen" queryTableFieldId="12" dataDxfId="694"/>
    <tableColumn id="13" xr3:uid="{0D828EDD-5E41-45B5-A44A-312378F6B0D1}" uniqueName="13" name="Value of Stolen Property" queryTableFieldId="13" dataDxfId="693"/>
    <tableColumn id="14" xr3:uid="{401F2D1B-E41B-4821-A7FB-77BE5D239A52}" uniqueName="14" name="Keys with Vehicle" queryTableFieldId="14" dataDxfId="692"/>
    <tableColumn id="15" xr3:uid="{66187DCB-EA89-469F-92CE-D883B72ABFFD}" uniqueName="15" name="Offense Completed" queryTableFieldId="15" dataDxfId="691"/>
    <tableColumn id="6" xr3:uid="{173FEAC5-1FEA-454C-B199-9DD15DD04C5F}" uniqueName="6" name="Notes" queryTableFieldId="6" dataDxfId="690"/>
  </tableColumns>
  <tableStyleInfo name="TableStyleLight18 3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5124254-843D-4925-808B-81581425B9C5}" name="REPORT_BUR_AUTO_7DAY" displayName="REPORT_BUR_AUTO_7DAY" ref="N1:AB2" totalsRowShown="0" headerRowDxfId="632" dataDxfId="631">
  <autoFilter ref="N1:AB2" xr:uid="{85124254-843D-4925-808B-81581425B9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EF7505E7-9D87-4C36-971A-B41530B0B7F6}" name="Block Incident Occurred On" dataDxfId="630"/>
    <tableColumn id="2" xr3:uid="{8922ED49-8F2E-4BF3-8E78-C8046E91BC0E}" name="Incident Date" dataDxfId="629"/>
    <tableColumn id="7" xr3:uid="{BBCF45BD-A2C3-4288-AA29-9D030301F35D}" name="Day of Week" dataDxfId="628"/>
    <tableColumn id="8" xr3:uid="{5FAD7BA0-72E7-4C32-B18F-39817BA1FE2E}" name="Time of Day Incident Occurred" dataDxfId="627"/>
    <tableColumn id="4" xr3:uid="{6D689E85-5A34-4E9C-A668-00E0889BCCAB}" name="Victim's Vehicle Description" dataDxfId="626"/>
    <tableColumn id="6" xr3:uid="{F42BEC7C-6526-44A8-AB91-17FC20818C34}" name="Vehicle Was Parked" dataDxfId="625"/>
    <tableColumn id="5" xr3:uid="{CFC7FF41-F7FC-4CDE-BD79-0667900FCBCC}" name="Entry Method" dataDxfId="624"/>
    <tableColumn id="9" xr3:uid="{00D11AA5-84CE-42B3-864B-635554C068C5}" name="Damage to Vehicle" dataDxfId="623"/>
    <tableColumn id="10" xr3:uid="{5D4117CA-0AB2-45E2-9046-55BF9807163B}" name="Suspect Description" dataDxfId="622"/>
    <tableColumn id="11" xr3:uid="{3BE4B175-BF08-4118-9ACC-49D200953A0D}" name="Suspect Vehicle Description" dataDxfId="621"/>
    <tableColumn id="12" xr3:uid="{5FF668F4-962D-48B3-B268-88F2E0A6108E}" name="Items Stolen" dataDxfId="620"/>
    <tableColumn id="13" xr3:uid="{E6B22A5D-DEB2-441A-ACEF-AF7F2AFE02F2}" name="Value of Stolen Property" dataDxfId="619"/>
    <tableColumn id="14" xr3:uid="{27E2A757-9324-4E40-BDAC-429A19FFE2BC}" name="Keys with Vehicle" dataDxfId="618"/>
    <tableColumn id="15" xr3:uid="{92696B52-EA75-4B05-AD99-65A1C7C77B9E}" name="Offense Completed" dataDxfId="617"/>
    <tableColumn id="16" xr3:uid="{9430299B-427C-4895-A43A-823B06AB5121}" name="Notes" dataDxfId="616"/>
  </tableColumns>
  <tableStyleInfo name="TableStyleLight18 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21EBBB8-BD36-40C6-9B91-F4B334BD2AE7}" name="TestBur_C_R_28D__2" displayName="TestBur_C_R_28D__2" ref="A1:H7" tableType="queryTable" totalsRowShown="0">
  <autoFilter ref="A1:H7" xr:uid="{A21EBBB8-BD36-40C6-9B91-F4B334BD2AE7}"/>
  <tableColumns count="8">
    <tableColumn id="14" xr3:uid="{E1944B9C-0E6C-4687-9CE3-92F6FEA904CE}" uniqueName="14" name="CaseID" queryTableFieldId="14"/>
    <tableColumn id="1" xr3:uid="{7A5C1ED7-7682-4D19-A9AD-401BB706D6F5}" uniqueName="1" name="Block" queryTableFieldId="1" dataDxfId="615"/>
    <tableColumn id="2" xr3:uid="{33438211-9C07-48A5-A5B5-2D472E44C10D}" uniqueName="2" name="Incident Date" queryTableFieldId="2" dataDxfId="614"/>
    <tableColumn id="3" xr3:uid="{9472C38C-6062-4C14-9F67-AB426096063A}" uniqueName="3" name="Day of Week" queryTableFieldId="3" dataDxfId="613"/>
    <tableColumn id="4" xr3:uid="{4749A001-7F85-446F-98CB-E2C0EEB5EB8B}" uniqueName="4" name="Time of Day" queryTableFieldId="4" dataDxfId="612"/>
    <tableColumn id="5" xr3:uid="{6A651A7F-F4B3-4533-8D92-C101A177B15D}" uniqueName="5" name="Suspect" queryTableFieldId="5" dataDxfId="611"/>
    <tableColumn id="11" xr3:uid="{B916FEE6-672C-47CC-A522-12B086DACD4C}" uniqueName="11" name="Property Stolen" queryTableFieldId="11" dataDxfId="610"/>
    <tableColumn id="13" xr3:uid="{F8B0CCE6-B7B9-4690-97CF-3F15E4080B6C}" uniqueName="13" name="Notes" queryTableFieldId="13" dataDxfId="609"/>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8FF4D6-6BA4-492D-A0B0-0BB53664764A}" name="Bur_C_R" displayName="Bur_C_R" ref="A1:BB13" tableType="queryTable" totalsRowShown="0" headerRowDxfId="608" dataDxfId="607">
  <autoFilter ref="A1:BB13" xr:uid="{EC8FF4D6-6BA4-492D-A0B0-0BB53664764A}"/>
  <tableColumns count="54">
    <tableColumn id="1" xr3:uid="{16E625DC-0955-49F1-AB69-650CF5856D1B}" uniqueName="1" name="Case Number" queryTableFieldId="1" dataDxfId="606"/>
    <tableColumn id="6" xr3:uid="{CF98D3C0-01E0-4FF8-A8D9-DCED1069D0B4}" uniqueName="6" name="INC_DATE" queryTableFieldId="6" dataDxfId="605"/>
    <tableColumn id="54" xr3:uid="{68D4522E-642C-4F9C-8B19-E8B91DB669E4}" uniqueName="54" name="TOD" queryTableFieldId="57" dataDxfId="604"/>
    <tableColumn id="2" xr3:uid="{8D9E0F70-1346-4113-8977-93A5E30EFC2D}" uniqueName="2" name="Start of Hour" queryTableFieldId="2" dataDxfId="603"/>
    <tableColumn id="3" xr3:uid="{B3FAB0AF-3E56-4961-AB13-7525264E4D7D}" uniqueName="3" name="INC_TIME" queryTableFieldId="3" dataDxfId="602"/>
    <tableColumn id="4" xr3:uid="{CA148942-3F6E-469F-B3BD-0A6F747BAC1B}" uniqueName="4" name="Day Name" queryTableFieldId="4" dataDxfId="601"/>
    <tableColumn id="5" xr3:uid="{E4EA3C2D-621C-447E-BAB8-2423CABD3B94}" uniqueName="5" name="Month Name" queryTableFieldId="5" dataDxfId="600"/>
    <tableColumn id="47" xr3:uid="{814D4605-8093-45F5-8D78-E60996FC14ED}" uniqueName="47" name="BLOCK" queryTableFieldId="47" dataDxfId="599"/>
    <tableColumn id="7" xr3:uid="{D09BB27C-B738-4903-A27E-68F458EB8E59}" uniqueName="7" name="Location" queryTableFieldId="7" dataDxfId="598"/>
    <tableColumn id="9" xr3:uid="{A17D7FA9-684E-426F-A7D0-8A0E15608037}" uniqueName="9" name="ALL_INCIDENTS" queryTableFieldId="9" dataDxfId="597"/>
    <tableColumn id="8" xr3:uid="{0BFC020F-BAFC-4DC0-9872-417BCDE3B939}" uniqueName="8" name="Incident Type_1" queryTableFieldId="8" dataDxfId="596"/>
    <tableColumn id="10" xr3:uid="{71C7C73E-8083-4B03-B225-95C21866A4ED}" uniqueName="10" name="Incident Type_2" queryTableFieldId="10" dataDxfId="595"/>
    <tableColumn id="11" xr3:uid="{21630D2C-C346-434C-AE15-2EEF69DBE8E0}" uniqueName="11" name="Incident Type_3" queryTableFieldId="11" dataDxfId="594"/>
    <tableColumn id="12" xr3:uid="{1949663D-3FB0-4810-98E3-CDDF6EE60B42}" uniqueName="12" name="FullAddress" queryTableFieldId="12" dataDxfId="593"/>
    <tableColumn id="13" xr3:uid="{1D46F593-A691-4E30-91FF-4D7F956CF5E9}" uniqueName="13" name="Grid" queryTableFieldId="13" dataDxfId="592"/>
    <tableColumn id="14" xr3:uid="{75B23C7E-D288-409D-B298-6C2AC71254A5}" uniqueName="14" name="Zone" queryTableFieldId="14" dataDxfId="591"/>
    <tableColumn id="15" xr3:uid="{7844AE2F-8BA2-4DAF-BA9F-0B962A4C2BC2}" uniqueName="15" name="Narrative" queryTableFieldId="15" dataDxfId="590"/>
    <tableColumn id="16" xr3:uid="{13DA8775-BB2E-4C3D-B04B-698ABCFD00E0}" uniqueName="16" name="Total Value Stolen" queryTableFieldId="16" dataDxfId="589"/>
    <tableColumn id="17" xr3:uid="{93A79F59-2887-4486-A6E7-A993B9B7BDCA}" uniqueName="17" name="Total Value Recover" queryTableFieldId="17" dataDxfId="588"/>
    <tableColumn id="18" xr3:uid="{0682A0B6-6670-4C4D-B552-6DCC6C617B20}" uniqueName="18" name="Registration 1" queryTableFieldId="18" dataDxfId="587"/>
    <tableColumn id="19" xr3:uid="{8AF4413B-2839-4D89-A31D-7483171CDAD4}" uniqueName="19" name="Make1" queryTableFieldId="19" dataDxfId="586"/>
    <tableColumn id="20" xr3:uid="{8AE8FAD6-2206-43F7-B5E7-CF64B91959B5}" uniqueName="20" name="Model1" queryTableFieldId="20" dataDxfId="585"/>
    <tableColumn id="21" xr3:uid="{74E1142C-03CF-4680-ADA7-D3F87741B5BA}" uniqueName="21" name="Reg State 1" queryTableFieldId="21" dataDxfId="584"/>
    <tableColumn id="22" xr3:uid="{AAF1BE72-2E81-428C-8F4C-E6BE6AA4C83E}" uniqueName="22" name="Registration 2" queryTableFieldId="22" dataDxfId="583"/>
    <tableColumn id="23" xr3:uid="{F9F84BC3-99EF-4096-9D38-212AC49B9CC1}" uniqueName="23" name="Reg State 2" queryTableFieldId="23" dataDxfId="582"/>
    <tableColumn id="24" xr3:uid="{F7A40287-2B8C-4DF2-9323-2985D8B34071}" uniqueName="24" name="Make2" queryTableFieldId="24" dataDxfId="581"/>
    <tableColumn id="25" xr3:uid="{1E6E5D55-3AF3-49D6-B6A9-2F70E9DE0CFC}" uniqueName="25" name="Model2" queryTableFieldId="25" dataDxfId="580"/>
    <tableColumn id="26" xr3:uid="{97DDD738-D060-4060-91A5-AB2F9782D22B}" uniqueName="26" name="Reviewed By" queryTableFieldId="26" dataDxfId="579"/>
    <tableColumn id="27" xr3:uid="{CE36F7A5-0CC2-4F6A-A48F-A026D612D269}" uniqueName="27" name="CompleteCalc" queryTableFieldId="27" dataDxfId="578"/>
    <tableColumn id="28" xr3:uid="{CC2AB227-D340-4144-908C-1A00C81596B4}" uniqueName="28" name="Officer of Record" queryTableFieldId="28" dataDxfId="577"/>
    <tableColumn id="29" xr3:uid="{469570DE-F497-4275-BD15-101564149F63}" uniqueName="29" name="Squad" queryTableFieldId="29" dataDxfId="576"/>
    <tableColumn id="30" xr3:uid="{AC035AE3-9F3F-4F92-98F2-B999DA9BB775}" uniqueName="30" name="Det_Assigned" queryTableFieldId="30" dataDxfId="575"/>
    <tableColumn id="31" xr3:uid="{8A8B2799-2A38-4C2B-BE09-B73546C116E2}" uniqueName="31" name="Case_Status" queryTableFieldId="31" dataDxfId="574"/>
    <tableColumn id="32" xr3:uid="{3AE7FA64-DB16-4A13-A58D-58EAE6C0FF79}" uniqueName="32" name="NIBRS Classification" queryTableFieldId="32" dataDxfId="573"/>
    <tableColumn id="33" xr3:uid="{D0AD3108-1B2A-44F3-BBB8-81B49ADFFABD}" uniqueName="33" name="CASE_NUMBER_LENGTH" queryTableFieldId="33" dataDxfId="572"/>
    <tableColumn id="34" xr3:uid="{513A4BBD-0CD1-463A-83F4-3E4C26270225}" uniqueName="34" name="Incident Date" queryTableFieldId="34" dataDxfId="571"/>
    <tableColumn id="35" xr3:uid="{4D282A22-8AE9-442D-A050-5E938438CE02}" uniqueName="35" name="Incident Time" queryTableFieldId="35" dataDxfId="570"/>
    <tableColumn id="36" xr3:uid="{6726503D-DAAF-497D-AB7F-7FAE89FC6086}" uniqueName="36" name="Incident Date_Between" queryTableFieldId="36" dataDxfId="569"/>
    <tableColumn id="37" xr3:uid="{130F4AB9-5B66-4C12-BECF-8247DFA16561}" uniqueName="37" name="Incident Time_Between" queryTableFieldId="37" dataDxfId="568"/>
    <tableColumn id="38" xr3:uid="{1FB19AB5-9847-4FAB-B848-DF0DAEF4711E}" uniqueName="38" name="Report Date" queryTableFieldId="38" dataDxfId="567"/>
    <tableColumn id="39" xr3:uid="{69D79C85-395C-40A6-A279-011931533C6B}" uniqueName="39" name="Report Time" queryTableFieldId="39" dataDxfId="566"/>
    <tableColumn id="40" xr3:uid="{BAD12639-B39C-4117-8AC2-4E14F7FD07C0}" uniqueName="40" name="Year" queryTableFieldId="40" dataDxfId="565"/>
    <tableColumn id="41" xr3:uid="{06AAF14B-6C83-4C19-A01F-EBD46C53E3B3}" uniqueName="41" name="Week of Year" queryTableFieldId="41" dataDxfId="564"/>
    <tableColumn id="42" xr3:uid="{B02DCF2B-6EC4-441D-86C6-567ACF4F1A4F}" uniqueName="42" name="Week of Month" queryTableFieldId="42" dataDxfId="563"/>
    <tableColumn id="43" xr3:uid="{37A6B7A3-6E86-478B-9F92-E62203FE1710}" uniqueName="43" name="Day" queryTableFieldId="43" dataDxfId="562"/>
    <tableColumn id="44" xr3:uid="{69F3F87E-5D9B-4D96-88A6-E2E1534540F9}" uniqueName="44" name="Day of Year" queryTableFieldId="44" dataDxfId="561"/>
    <tableColumn id="45" xr3:uid="{80523FFF-C072-4CA6-A30B-D040784BC180}" uniqueName="45" name="INC_DATE_AND_TIME" queryTableFieldId="45" dataDxfId="560"/>
    <tableColumn id="46" xr3:uid="{2D3BDBE5-8CDC-4CA8-B03F-C336A45AE83E}" uniqueName="46" name="St#" queryTableFieldId="46" dataDxfId="559"/>
    <tableColumn id="49" xr3:uid="{9EDA1613-3E7B-481B-A13B-6E018838065F}" uniqueName="49" name="Notes" queryTableFieldId="108"/>
    <tableColumn id="50" xr3:uid="{B68FDF78-77F7-4606-B378-226C255935B1}" uniqueName="50" name="VEHICLE" queryTableFieldId="50" dataDxfId="558"/>
    <tableColumn id="51" xr3:uid="{76F7FDF4-841B-4146-ACB6-029031989A1A}" uniqueName="51" name="Suspect" queryTableFieldId="51" dataDxfId="557"/>
    <tableColumn id="52" xr3:uid="{526549FB-A153-46C6-9BFA-2D93C7D20A48}" uniqueName="52" name="TOTAL_STOLEN_AMOUNT" queryTableFieldId="52" dataDxfId="556"/>
    <tableColumn id="53" xr3:uid="{D30FDD77-F23D-4CE7-A940-AAE90C28AAC3}" uniqueName="53" name="REPORT_CYCLE" queryTableFieldId="53" dataDxfId="555"/>
    <tableColumn id="48" xr3:uid="{98A2612F-0368-4891-BD1A-2BAB58A23118}" uniqueName="48" name="TIME_OF_DAY" queryTableFieldId="48" dataDxfId="554"/>
  </tableColumns>
  <tableStyleInfo name="TableStyleLight19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57BBC7A-280E-4099-AA6F-27F719BF1A08}" name="Bur_C_R_7D" displayName="Bur_C_R_7D" ref="A1:M3" tableType="queryTable" totalsRowShown="0" headerRowDxfId="553" dataDxfId="552">
  <autoFilter ref="A1:M3" xr:uid="{D57BBC7A-280E-4099-AA6F-27F719BF1A08}"/>
  <tableColumns count="13">
    <tableColumn id="1" xr3:uid="{35BCBE54-4ACB-42C2-BB07-2BE6AA66764A}" uniqueName="1" name="Block" queryTableFieldId="1" dataDxfId="551"/>
    <tableColumn id="2" xr3:uid="{1B98F914-98A9-4FC3-B5AF-6501EEA206AC}" uniqueName="2" name="Incident Date" queryTableFieldId="2" dataDxfId="550"/>
    <tableColumn id="3" xr3:uid="{DDE70FF3-CB2E-4831-AC12-F73DD7EA6611}" uniqueName="3" name="Day of Week" queryTableFieldId="3" dataDxfId="549"/>
    <tableColumn id="4" xr3:uid="{F9A0C0C4-08A2-46AF-9114-3B19651E7BCF}" uniqueName="4" name="Time of Day" queryTableFieldId="4" dataDxfId="548"/>
    <tableColumn id="5" xr3:uid="{3CB12032-84FA-4501-A1AC-88CD0CEA1CDD}" uniqueName="5" name="Suspect" queryTableFieldId="5" dataDxfId="547"/>
    <tableColumn id="6" xr3:uid="{730606B2-AEA3-4B44-8901-D23E9933459D}" uniqueName="6" name="Involved Vehicle" queryTableFieldId="6" dataDxfId="546"/>
    <tableColumn id="7" xr3:uid="{C5AC1087-99BD-4372-AF51-B5FE3D1A7696}" uniqueName="7" name="Method of Entry" queryTableFieldId="7" dataDxfId="545"/>
    <tableColumn id="8" xr3:uid="{84649AEA-B3EE-4D0B-AB77-32BD4810C3C0}" uniqueName="8" name="Point of Entry" queryTableFieldId="8" dataDxfId="544"/>
    <tableColumn id="9" xr3:uid="{6D74D020-5A87-44B2-A0E2-2B1E8B954F1B}" uniqueName="9" name="Point of Exit" queryTableFieldId="9" dataDxfId="543"/>
    <tableColumn id="10" xr3:uid="{4317A96E-B6F7-42FF-B5AC-7A918DD3EBD6}" uniqueName="10" name="Type of Structure" queryTableFieldId="10" dataDxfId="542"/>
    <tableColumn id="11" xr3:uid="{23C60155-B048-4CC3-B3D6-821E667CE0AE}" uniqueName="11" name="Property Stolen" queryTableFieldId="11" dataDxfId="541"/>
    <tableColumn id="12" xr3:uid="{59902CBA-A200-46FD-86A6-7FCD25540E0D}" uniqueName="12" name="Security Measures Present" queryTableFieldId="12" dataDxfId="540"/>
    <tableColumn id="13" xr3:uid="{EBC8130C-1FC4-42B9-AA46-E3CACF90D451}" uniqueName="13" name="Notes" queryTableFieldId="13" dataDxfId="539"/>
  </tableColumns>
  <tableStyleInfo name="TableStyleLight15 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C1F8F90-81B4-474B-A780-E87CE39EE8F6}" name="Bur_C_R_28D" displayName="Bur_C_R_28D" ref="A1:M7" tableType="queryTable" totalsRowShown="0" headerRowDxfId="538" dataDxfId="537">
  <autoFilter ref="A1:M7" xr:uid="{9C1F8F90-81B4-474B-A780-E87CE39EE8F6}"/>
  <tableColumns count="13">
    <tableColumn id="1" xr3:uid="{353914BB-DE81-481F-A99D-70829510932D}" uniqueName="1" name="Block" queryTableFieldId="1" dataDxfId="536"/>
    <tableColumn id="2" xr3:uid="{B3CEBE3C-CFB7-4A4C-AF49-31DEDF05AF7A}" uniqueName="2" name="Incident Date" queryTableFieldId="2" dataDxfId="535"/>
    <tableColumn id="3" xr3:uid="{12CDC25E-7BDA-4920-B44E-6094ACBCC32B}" uniqueName="3" name="Day of Week" queryTableFieldId="3" dataDxfId="534"/>
    <tableColumn id="4" xr3:uid="{D444BC2F-9E02-4605-8ED6-6FF6F7507AB1}" uniqueName="4" name="Time of Day" queryTableFieldId="4" dataDxfId="533"/>
    <tableColumn id="5" xr3:uid="{B821814E-9FF0-4341-996D-B1D01C7D8C60}" uniqueName="5" name="Suspect" queryTableFieldId="5" dataDxfId="532"/>
    <tableColumn id="6" xr3:uid="{54368473-9BD1-4957-8A80-14BE0B5E0C36}" uniqueName="6" name="Involved Vehicle" queryTableFieldId="6" dataDxfId="531"/>
    <tableColumn id="7" xr3:uid="{B7C80BAD-00E5-4867-BCE9-7FF96E220317}" uniqueName="7" name="Method of Entry" queryTableFieldId="7" dataDxfId="530"/>
    <tableColumn id="8" xr3:uid="{5C4EA840-6E3F-4ADF-A60E-61AB3361D172}" uniqueName="8" name="Point of Entry" queryTableFieldId="8" dataDxfId="529"/>
    <tableColumn id="9" xr3:uid="{32922EF1-051C-4D76-805B-0DBF76571F7D}" uniqueName="9" name="Point of Exit" queryTableFieldId="9" dataDxfId="528"/>
    <tableColumn id="10" xr3:uid="{1E50403E-9209-43CC-8998-4449287D8A16}" uniqueName="10" name="Type of Structure" queryTableFieldId="10" dataDxfId="527"/>
    <tableColumn id="11" xr3:uid="{C021A4E7-2521-411A-8180-1D987B086929}" uniqueName="11" name="Property Stolen" queryTableFieldId="11" dataDxfId="526"/>
    <tableColumn id="12" xr3:uid="{83AF1D75-C6B2-44FF-810C-3203BFB23BD5}" uniqueName="12" name="Security Measures Present" queryTableFieldId="12" dataDxfId="525"/>
    <tableColumn id="13" xr3:uid="{9ED1A2FC-E217-438C-8AAF-D85D0D2BDE6D}" uniqueName="13" name="Notes" queryTableFieldId="13" dataDxfId="524"/>
  </tableColumns>
  <tableStyleInfo name="TableStyleLight15 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CD1384B-A78D-4D22-BF57-57527D4538F7}" name="Bur_C_R50" displayName="Bur_C_R50" ref="M1:BN11" totalsRowShown="0" headerRowDxfId="477" dataDxfId="476">
  <autoFilter ref="M1:BN11" xr:uid="{0CD1384B-A78D-4D22-BF57-57527D4538F7}"/>
  <tableColumns count="54">
    <tableColumn id="1" xr3:uid="{8DBFF80D-CDA3-4C7D-AFE4-25A7FA949C0B}" name="Case Number" dataDxfId="475"/>
    <tableColumn id="2" xr3:uid="{4B32C307-04B2-4E06-879B-1C47990EA447}" name="INC_DATE" dataDxfId="474"/>
    <tableColumn id="3" xr3:uid="{CCF5552A-3101-409C-A2CC-C594719C0C08}" name="TOD"/>
    <tableColumn id="4" xr3:uid="{52CEF72F-8DCC-4716-B0D5-FD829FE089F0}" name="Start of Hour" dataDxfId="473"/>
    <tableColumn id="5" xr3:uid="{B5BBE312-A7A7-4128-A0FF-7C93D3392031}" name="INC_TIME" dataDxfId="472"/>
    <tableColumn id="6" xr3:uid="{8FDC614B-9734-4F3C-BDEE-32628643507F}" name="Day Name"/>
    <tableColumn id="7" xr3:uid="{8DD8AAA6-626D-4F8A-BFE4-1F82FD5910B0}" name="Month Name"/>
    <tableColumn id="8" xr3:uid="{CDD352D5-7E11-43C1-845D-17992AD9660D}" name="BLOCK"/>
    <tableColumn id="9" xr3:uid="{A02FD012-D329-4E11-BFBA-1A87102F8B0F}" name="Location"/>
    <tableColumn id="10" xr3:uid="{01DB759B-82E5-4732-A377-079EB612A673}" name="ALL_INCIDENTS"/>
    <tableColumn id="11" xr3:uid="{F7F1E8E6-7715-433A-96FA-F6F739EEE905}" name="Incident Type_1" dataDxfId="471"/>
    <tableColumn id="12" xr3:uid="{1E716A9F-A0A5-460A-B0DF-1B111A11665F}" name="Incident Type_2" dataDxfId="470"/>
    <tableColumn id="13" xr3:uid="{313D146B-E0C1-4017-BB83-19CC998A33D9}" name="Incident Type_3" dataDxfId="469"/>
    <tableColumn id="14" xr3:uid="{2DC8E3D3-788F-43B8-AE69-2ACA178F2A0F}" name="FullAddress" dataDxfId="468"/>
    <tableColumn id="47" xr3:uid="{68B5AC45-3887-4434-A52D-46D8A7638E59}" name="Grid" dataDxfId="467"/>
    <tableColumn id="54" xr3:uid="{EF527E54-F354-46AE-8575-50C41228F173}" name="Zone"/>
    <tableColumn id="15" xr3:uid="{ABD40984-83CE-4CB0-A5D8-EB6ACB59F210}" name="Narrative" dataDxfId="466"/>
    <tableColumn id="16" xr3:uid="{38AE268A-E478-4035-998A-80465ACA29B7}" name="Total Value Stolen" dataDxfId="465"/>
    <tableColumn id="17" xr3:uid="{9AA31042-4C8A-417A-8BCC-B20C2AC6E42C}" name="Total Value Recover" dataDxfId="464"/>
    <tableColumn id="18" xr3:uid="{5C70B1F7-2EC4-4E4C-8740-3E96795DF8B1}" name="Registration 1" dataDxfId="463"/>
    <tableColumn id="19" xr3:uid="{06376A9B-1CF9-430C-A35F-AA069A6AA6C1}" name="Make1" dataDxfId="462"/>
    <tableColumn id="20" xr3:uid="{99421096-9242-4098-8FCD-C26C9FD574CD}" name="Model1" dataDxfId="461"/>
    <tableColumn id="21" xr3:uid="{331137EF-4C13-4DDC-B80D-D98644B30E12}" name="Reg State 1" dataDxfId="460"/>
    <tableColumn id="22" xr3:uid="{2BC76BE6-D952-4844-9566-C8F8CA75A344}" name="Registration 2" dataDxfId="459"/>
    <tableColumn id="23" xr3:uid="{BC00D1E6-5798-4D3C-B256-1EC44782A776}" name="Reg State 2" dataDxfId="458"/>
    <tableColumn id="24" xr3:uid="{8336147A-DCE5-4596-A1FF-FD55C43DC5FD}" name="Make2" dataDxfId="457"/>
    <tableColumn id="25" xr3:uid="{8B591E20-AFE1-4590-A3DD-8861C4C76BBA}" name="Model2" dataDxfId="456"/>
    <tableColumn id="26" xr3:uid="{917BD22A-1A91-40C1-9350-139744ECF24E}" name="Reviewed By" dataDxfId="455"/>
    <tableColumn id="27" xr3:uid="{8943FF1F-0B49-4252-AC6A-30B17CAF51E8}" name="CompleteCalc" dataDxfId="454"/>
    <tableColumn id="28" xr3:uid="{FCB4ABCF-9B7F-494A-A132-87CD59849845}" name="Officer of Record" dataDxfId="453"/>
    <tableColumn id="29" xr3:uid="{51679C79-217D-43C7-8E77-A252FA0185F3}" name="Squad" dataDxfId="452"/>
    <tableColumn id="30" xr3:uid="{5387C2E1-5463-4E1C-9742-15D9035EC8ED}" name="Det_Assigned" dataDxfId="451"/>
    <tableColumn id="31" xr3:uid="{E7153E2D-F428-4051-9826-59761DC427AA}" name="Case_Status" dataDxfId="450"/>
    <tableColumn id="32" xr3:uid="{CD2BAF2F-1A1B-49DC-8BC9-87C1FEDF9130}" name="NIBRS Classification" dataDxfId="449"/>
    <tableColumn id="33" xr3:uid="{1E1CA433-54D2-4A4F-A7D7-6AC1E3B21E32}" name="CASE_NUMBER_LENGTH" dataDxfId="448"/>
    <tableColumn id="34" xr3:uid="{8CC3CDA9-58F3-4615-B536-288F40633174}" name="Incident Date" dataDxfId="447"/>
    <tableColumn id="35" xr3:uid="{FD2B7F2D-B418-4E3B-A557-CA5398F4AC12}" name="Incident Time" dataDxfId="446"/>
    <tableColumn id="36" xr3:uid="{BF36C18E-15FE-4A62-8C3E-CCF246CFCD10}" name="Incident Date_Between" dataDxfId="445"/>
    <tableColumn id="37" xr3:uid="{6EE80A5B-99D0-44C0-829A-9534D2520FC9}" name="Incident Time_Between" dataDxfId="444"/>
    <tableColumn id="38" xr3:uid="{D64E25F8-19E5-4E37-87C2-05A9A8469D28}" name="Report Date" dataDxfId="443"/>
    <tableColumn id="39" xr3:uid="{A179B8AD-FD56-4C02-A308-C2332AD2778E}" name="Report Time" dataDxfId="442"/>
    <tableColumn id="40" xr3:uid="{DDB04E3D-06C9-440D-89ED-D617DF343DF3}" name="Year" dataDxfId="441"/>
    <tableColumn id="41" xr3:uid="{AC5909CE-A646-441A-BBC3-BF6792B94BA5}" name="Week of Year" dataDxfId="440"/>
    <tableColumn id="42" xr3:uid="{EDD8C9F0-0663-4A97-BD40-C66FB4F4088D}" name="Week of Month" dataDxfId="439"/>
    <tableColumn id="43" xr3:uid="{CD74AE42-0764-4E41-A6A6-13F76DD8434A}" name="Day" dataDxfId="438"/>
    <tableColumn id="44" xr3:uid="{484AE78D-1C83-4F29-BAC9-5CB3211FAF60}" name="Day of Year" dataDxfId="437"/>
    <tableColumn id="45" xr3:uid="{65FB300B-DB45-4A1C-BD01-4C93BBC4CC5E}" name="INC_DATE_AND_TIME" dataDxfId="436"/>
    <tableColumn id="46" xr3:uid="{07CB8E68-106E-4105-91A7-1DF1FBCEECF0}" name="St#" dataDxfId="435"/>
    <tableColumn id="49" xr3:uid="{3CCCD671-FD9B-4A69-952F-3CD5F70038EF}" name="Notes"/>
    <tableColumn id="50" xr3:uid="{9CD9617D-EAB7-4438-980F-EE64B74254B7}" name="VEHICLE" dataDxfId="434"/>
    <tableColumn id="51" xr3:uid="{3F2DD14E-E4E0-48BD-AAFC-5C72983BF6E9}" name="Suspect" dataDxfId="433"/>
    <tableColumn id="52" xr3:uid="{F63BDAC3-68F7-4E8C-8C72-8298FD2096C2}" name="TOTAL_STOLEN_AMOUNT" dataDxfId="432"/>
    <tableColumn id="53" xr3:uid="{D7C6EC5E-2C28-409D-BBB5-BF00DE5841CE}" name="REPORT_CYCLE" dataDxfId="431"/>
    <tableColumn id="48" xr3:uid="{956E24E5-8802-4C79-8C12-49C651855486}" name="TIME_OF_DAY" dataDxfId="430"/>
  </tableColumns>
  <tableStyleInfo name="TableStyleLight19 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8F869A-197A-4B64-9E4D-EC0C13C5F163}" name="MV_Theft" displayName="MV_Theft" ref="A1:BC15" tableType="queryTable" totalsRowShown="0" headerRowDxfId="429" dataDxfId="428">
  <autoFilter ref="A1:BC15" xr:uid="{718F869A-197A-4B64-9E4D-EC0C13C5F163}"/>
  <tableColumns count="55">
    <tableColumn id="1" xr3:uid="{68F19ACD-8591-43B8-86C4-C1750AC92E5A}" uniqueName="1" name="Case Number" queryTableFieldId="1" dataDxfId="427"/>
    <tableColumn id="6" xr3:uid="{B9D07CAD-BB49-4E7F-BD6E-14F2BAC25C7A}" uniqueName="6" name="INC_DATE" queryTableFieldId="6" dataDxfId="426"/>
    <tableColumn id="54" xr3:uid="{FE985AB7-8798-4C12-93F6-ACAADF5DC6DE}" uniqueName="54" name="TOD" queryTableFieldId="57" dataDxfId="425"/>
    <tableColumn id="2" xr3:uid="{4E87DBA6-F157-42EC-A3AB-D5803DFFAF0A}" uniqueName="2" name="Start of Hour" queryTableFieldId="2" dataDxfId="424"/>
    <tableColumn id="3" xr3:uid="{36CE75EC-25A1-44E7-BF97-7FA63DF913C1}" uniqueName="3" name="INC_TIME" queryTableFieldId="3" dataDxfId="423"/>
    <tableColumn id="4" xr3:uid="{1AE878EB-84B7-464F-A299-399796BB92B6}" uniqueName="4" name="Day Name" queryTableFieldId="4" dataDxfId="422"/>
    <tableColumn id="5" xr3:uid="{AC360330-DB55-4C2C-8A52-06AC5226E556}" uniqueName="5" name="Month Name" queryTableFieldId="5" dataDxfId="421"/>
    <tableColumn id="47" xr3:uid="{750965E7-EEE6-484A-B193-C12F5C896E71}" uniqueName="47" name="BLOCK" queryTableFieldId="47" dataDxfId="420"/>
    <tableColumn id="7" xr3:uid="{83CE3D3B-BAA3-4FD3-BE57-E096F383789B}" uniqueName="7" name="Location" queryTableFieldId="7" dataDxfId="419"/>
    <tableColumn id="9" xr3:uid="{340C6EAD-61C5-4A24-A4A5-44F546EAF403}" uniqueName="9" name="ALL_INCIDENTS" queryTableFieldId="9" dataDxfId="418"/>
    <tableColumn id="8" xr3:uid="{472008AF-A9FA-4AFD-A871-771A10F623A4}" uniqueName="8" name="Incident Type_1" queryTableFieldId="8" dataDxfId="417"/>
    <tableColumn id="10" xr3:uid="{8063488B-57CB-4D58-A6E8-CBA2329E2355}" uniqueName="10" name="Incident Type_2" queryTableFieldId="10" dataDxfId="416"/>
    <tableColumn id="11" xr3:uid="{AD5A3834-6D79-4810-BFAD-6E1C0B607325}" uniqueName="11" name="Incident Type_3" queryTableFieldId="11" dataDxfId="415"/>
    <tableColumn id="12" xr3:uid="{04B9C486-97BA-4C82-BE3C-F807D2EEE0BE}" uniqueName="12" name="FullAddress" queryTableFieldId="12" dataDxfId="414"/>
    <tableColumn id="13" xr3:uid="{AF817964-DC6E-4957-9ADB-3E8AA9A64BE0}" uniqueName="13" name="Grid" queryTableFieldId="13" dataDxfId="413"/>
    <tableColumn id="14" xr3:uid="{73B897D9-09D6-4BE7-9A05-68DFFAB3014E}" uniqueName="14" name="Zone" queryTableFieldId="14" dataDxfId="412"/>
    <tableColumn id="15" xr3:uid="{A034AA57-73FD-41D9-AF57-F9DA1FF1F62D}" uniqueName="15" name="Narrative" queryTableFieldId="15" dataDxfId="411"/>
    <tableColumn id="16" xr3:uid="{4C296E01-9404-4292-A2CB-C49F13A59B78}" uniqueName="16" name="Total Value Stolen" queryTableFieldId="16" dataDxfId="410"/>
    <tableColumn id="17" xr3:uid="{CC394FAC-5582-4117-8693-95A9DFC01E81}" uniqueName="17" name="Total Value Recover" queryTableFieldId="17" dataDxfId="409"/>
    <tableColumn id="18" xr3:uid="{3BEEFE52-969B-4DEE-A9EB-62D22EBA6DB5}" uniqueName="18" name="Registration 1" queryTableFieldId="18" dataDxfId="408"/>
    <tableColumn id="19" xr3:uid="{E1508B58-E538-444B-BC20-487BC015CDA1}" uniqueName="19" name="Make1" queryTableFieldId="19" dataDxfId="407"/>
    <tableColumn id="20" xr3:uid="{524F554A-4C46-4EC6-A378-C497D5DF1A0A}" uniqueName="20" name="Model1" queryTableFieldId="20" dataDxfId="406"/>
    <tableColumn id="21" xr3:uid="{67F5E8BB-0319-4DA3-BE91-03A6FF527DB8}" uniqueName="21" name="Reg State 1" queryTableFieldId="21" dataDxfId="405"/>
    <tableColumn id="22" xr3:uid="{C22FCF13-98DC-4083-B129-4BCCE99EAD0A}" uniqueName="22" name="Registration 2" queryTableFieldId="22" dataDxfId="404"/>
    <tableColumn id="23" xr3:uid="{17277D70-AA2B-4F33-8877-A0553AC64313}" uniqueName="23" name="Reg State 2" queryTableFieldId="23" dataDxfId="403"/>
    <tableColumn id="24" xr3:uid="{650C50C8-D50E-44A3-BA85-FCC5C0E35C00}" uniqueName="24" name="Make2" queryTableFieldId="24" dataDxfId="402"/>
    <tableColumn id="25" xr3:uid="{67C3106F-1DFC-418F-A9FE-42564160C77D}" uniqueName="25" name="Model2" queryTableFieldId="25" dataDxfId="401"/>
    <tableColumn id="26" xr3:uid="{D3A075A8-F186-447E-8D7C-DFA109CA0D85}" uniqueName="26" name="Reviewed By" queryTableFieldId="26" dataDxfId="400"/>
    <tableColumn id="27" xr3:uid="{CCB6BE88-E62B-4428-ADDD-66C5BC7CC24B}" uniqueName="27" name="CompleteCalc" queryTableFieldId="27" dataDxfId="399"/>
    <tableColumn id="28" xr3:uid="{BD3D2995-8E9D-451B-BD84-99C30739F762}" uniqueName="28" name="Officer of Record" queryTableFieldId="28" dataDxfId="398"/>
    <tableColumn id="29" xr3:uid="{9134B2C3-FD73-4162-9487-543B92E8F94F}" uniqueName="29" name="Squad" queryTableFieldId="29" dataDxfId="397"/>
    <tableColumn id="30" xr3:uid="{9FC5793D-EA56-44D6-B1DE-A5CF4968D1FD}" uniqueName="30" name="Det_Assigned" queryTableFieldId="30" dataDxfId="396"/>
    <tableColumn id="31" xr3:uid="{320921C8-E54A-4532-A87C-CA0FE97DFC90}" uniqueName="31" name="Case_Status" queryTableFieldId="31" dataDxfId="395"/>
    <tableColumn id="32" xr3:uid="{FF8304FE-D456-4BCB-B892-252480C4B481}" uniqueName="32" name="NIBRS Classification" queryTableFieldId="32" dataDxfId="394"/>
    <tableColumn id="33" xr3:uid="{9FE9CE43-995A-44E0-98C0-9A2FA9ECCE09}" uniqueName="33" name="CASE_NUMBER_LENGTH" queryTableFieldId="33" dataDxfId="393"/>
    <tableColumn id="34" xr3:uid="{AC087898-A5D3-43DD-99FC-61DB4A4C4766}" uniqueName="34" name="Incident Date" queryTableFieldId="34" dataDxfId="392"/>
    <tableColumn id="35" xr3:uid="{25D7DA37-36B5-45DB-98ED-D6221AECFD26}" uniqueName="35" name="Incident Time" queryTableFieldId="35" dataDxfId="391"/>
    <tableColumn id="36" xr3:uid="{5840A410-83F8-4C54-A3DB-F7E50A1070C8}" uniqueName="36" name="Incident Date_Between" queryTableFieldId="36" dataDxfId="390"/>
    <tableColumn id="37" xr3:uid="{3BF704D2-B8FE-4E85-AA94-86239A9A9DCA}" uniqueName="37" name="Incident Time_Between" queryTableFieldId="37" dataDxfId="389"/>
    <tableColumn id="38" xr3:uid="{A8B124E7-D790-4422-87C8-CAA317EEEF5A}" uniqueName="38" name="Report Date" queryTableFieldId="38" dataDxfId="388"/>
    <tableColumn id="39" xr3:uid="{83D241A6-1759-44B4-AED7-FA87465B64B5}" uniqueName="39" name="Report Time" queryTableFieldId="39" dataDxfId="387"/>
    <tableColumn id="40" xr3:uid="{7766AE60-B84F-4DE4-BEC1-D8637C007F5A}" uniqueName="40" name="Year" queryTableFieldId="40" dataDxfId="386"/>
    <tableColumn id="41" xr3:uid="{399A1633-B3B8-4FD1-AF20-1D38A651864F}" uniqueName="41" name="Week of Year" queryTableFieldId="41" dataDxfId="385"/>
    <tableColumn id="42" xr3:uid="{AF887992-8877-4C34-ABFC-FB2FE5A12E6B}" uniqueName="42" name="Week of Month" queryTableFieldId="42" dataDxfId="384"/>
    <tableColumn id="43" xr3:uid="{DCFF5E3A-0776-4CDC-8D35-BE33A6AF7AA3}" uniqueName="43" name="Day" queryTableFieldId="43" dataDxfId="383"/>
    <tableColumn id="44" xr3:uid="{2E9ACF79-0F39-4034-B5BA-3EAD0BFC537A}" uniqueName="44" name="Day of Year" queryTableFieldId="44" dataDxfId="382"/>
    <tableColumn id="45" xr3:uid="{CF35EBCC-36DD-45D2-8462-19321498EA10}" uniqueName="45" name="INC_DATE_AND_TIME" queryTableFieldId="45" dataDxfId="381"/>
    <tableColumn id="46" xr3:uid="{21081BB2-5062-42B7-8CE5-FC135BC51223}" uniqueName="46" name="St#" queryTableFieldId="46" dataDxfId="380"/>
    <tableColumn id="49" xr3:uid="{BE854BD7-B465-4C48-859A-9BB58B3628BE}" uniqueName="49" name="Notes" queryTableFieldId="108"/>
    <tableColumn id="50" xr3:uid="{8EC3E711-DAFA-4CD0-B294-4AB79A7BD385}" uniqueName="50" name="VEHICLE" queryTableFieldId="50" dataDxfId="379"/>
    <tableColumn id="51" xr3:uid="{9ED69E8A-3CD0-4B04-8B9A-403A579EB338}" uniqueName="51" name="Suspect" queryTableFieldId="51" dataDxfId="378"/>
    <tableColumn id="52" xr3:uid="{F8D0F7BD-F6D5-4D67-A017-A9103EE66490}" uniqueName="52" name="TOTAL_STOLEN_AMOUNT" queryTableFieldId="52" dataDxfId="377"/>
    <tableColumn id="53" xr3:uid="{0B6D52A5-9862-451D-AB3C-0D9E6CDB24F5}" uniqueName="53" name="REPORT_CYCLE" queryTableFieldId="53" dataDxfId="376"/>
    <tableColumn id="48" xr3:uid="{AEA630BB-6CF2-4C1D-9E61-781260C5B6F3}" uniqueName="48" name="TIME_OF_DAY" queryTableFieldId="48" dataDxfId="375"/>
    <tableColumn id="55" xr3:uid="{E636599F-BF93-4D30-94D3-414B3DA8D88A}" uniqueName="55" name="Case Number - Copy" queryTableFieldId="111" dataDxfId="374"/>
  </tableColumns>
  <tableStyleInfo name="TableStyleLight16 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05361F7-3D31-4430-9A99-F6F9C2F5E732}" name="MV_THEFT_7D" displayName="MV_THEFT_7D" ref="A1:L2" tableType="queryTable" insertRow="1" totalsRowShown="0">
  <autoFilter ref="A1:L2" xr:uid="{705361F7-3D31-4430-9A99-F6F9C2F5E732}"/>
  <tableColumns count="12">
    <tableColumn id="1" xr3:uid="{A58ABFB6-7A84-49CA-9685-21B3443EB889}" uniqueName="1" name="Block Incident Occurred On" queryTableFieldId="1"/>
    <tableColumn id="2" xr3:uid="{61377378-4794-46A0-92A5-425F47634183}" uniqueName="2" name="Incident Date" queryTableFieldId="2" dataDxfId="373"/>
    <tableColumn id="3" xr3:uid="{19813640-2ED6-4740-BCCE-2F4AF0911D67}" uniqueName="3" name="Day of Week" queryTableFieldId="3"/>
    <tableColumn id="4" xr3:uid="{328DC77C-9DF3-4CCF-A836-C83BF9263F1A}" uniqueName="4" name="Time of Day Incident Occurred" queryTableFieldId="4"/>
    <tableColumn id="5" xr3:uid="{4DB94B46-666B-4973-82E4-ADC1CEA5022A}" uniqueName="5" name="Victim's Vehicle Description" queryTableFieldId="5"/>
    <tableColumn id="6" xr3:uid="{86C56CA5-045D-46F0-B143-D5725E15E1AC}" uniqueName="6" name="Notes" queryTableFieldId="6"/>
    <tableColumn id="7" xr3:uid="{0838E640-9249-4CFF-9F85-74E60D6D2431}" uniqueName="7" name="Vehicle Was Parked" queryTableFieldId="7"/>
    <tableColumn id="8" xr3:uid="{8178DC66-4917-4372-A50C-F0FAB8D6DF66}" uniqueName="8" name="Entry Method" queryTableFieldId="8"/>
    <tableColumn id="9" xr3:uid="{29A3732B-CF01-43E5-8C55-CD9F6DA13DA6}" uniqueName="9" name="Suspect Description" queryTableFieldId="9"/>
    <tableColumn id="10" xr3:uid="{3B3C8BC5-7800-4EDE-889C-649E69C2AD79}" uniqueName="10" name="Suspect Vehicle Description" queryTableFieldId="10"/>
    <tableColumn id="11" xr3:uid="{28D51C0F-9BF9-4E92-853B-18D8F98603E3}" uniqueName="11" name="Keys with Vehicle" queryTableFieldId="11"/>
    <tableColumn id="12" xr3:uid="{C0F4315D-27E2-4947-B9D4-BF05B5BEDE2D}" uniqueName="12" name="Offense Completed" queryTableFieldId="1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A9153EC-4A32-4D88-B985-B166C68288B9}" name="MV_THEFT_28D" displayName="MV_THEFT_28D" ref="A1:L2" tableType="queryTable" totalsRowShown="0">
  <autoFilter ref="A1:L2" xr:uid="{0A9153EC-4A32-4D88-B985-B166C68288B9}"/>
  <tableColumns count="12">
    <tableColumn id="1" xr3:uid="{66DB8253-7BC2-4EC3-B0F0-7F320BF47016}" uniqueName="1" name="Block Incident Occurred On" queryTableFieldId="1"/>
    <tableColumn id="2" xr3:uid="{6C87132E-22D0-44B0-90F7-94D73FF09887}" uniqueName="2" name="Incident Date" queryTableFieldId="2" dataDxfId="372"/>
    <tableColumn id="3" xr3:uid="{D3B6E5EB-BF02-4964-8550-49B83F9D54FD}" uniqueName="3" name="Day of Week" queryTableFieldId="3"/>
    <tableColumn id="4" xr3:uid="{5BBAC9AB-59EA-4F15-B6FF-5D88DBC950F8}" uniqueName="4" name="Time of Day Incident Occurred" queryTableFieldId="4"/>
    <tableColumn id="5" xr3:uid="{53ECB38B-4A6C-4DC2-94F1-DB78C87AED31}" uniqueName="5" name="Victim's Vehicle Description" queryTableFieldId="5"/>
    <tableColumn id="6" xr3:uid="{E8989E99-1747-490F-AC56-6F2621731130}" uniqueName="6" name="Notes" queryTableFieldId="6"/>
    <tableColumn id="7" xr3:uid="{ACB36F80-FD8A-444A-B4D8-41BD09BC9343}" uniqueName="7" name="Vehicle Was Parked" queryTableFieldId="7" dataDxfId="371"/>
    <tableColumn id="8" xr3:uid="{8DC36048-C0D1-4512-AD57-1B4B2122EDBE}" uniqueName="8" name="Entry Method" queryTableFieldId="8" dataDxfId="370"/>
    <tableColumn id="9" xr3:uid="{19349211-4929-4389-A685-30472982E4AD}" uniqueName="9" name="Suspect Description" queryTableFieldId="9" dataDxfId="369"/>
    <tableColumn id="10" xr3:uid="{3E68DEAC-81A6-4536-94E0-1D8B2919B4DB}" uniqueName="10" name="Suspect Vehicle Description" queryTableFieldId="10" dataDxfId="368"/>
    <tableColumn id="11" xr3:uid="{19CDD132-68CE-4FA7-A10B-1AF652F797F3}" uniqueName="11" name="Keys with Vehicle" queryTableFieldId="11" dataDxfId="367"/>
    <tableColumn id="12" xr3:uid="{63122123-9E16-48F4-B1C9-2AB875925F9C}" uniqueName="12" name="Offense Completed" queryTableFieldId="12" dataDxfId="366"/>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8836C0E-E0E7-43BF-B8C0-549158AC5B64}" name="REPORT_MV_THEFT_7DAY" displayName="REPORT_MV_THEFT_7DAY" ref="N1:Y2" totalsRowShown="0" headerRowDxfId="335" dataDxfId="334">
  <autoFilter ref="N1:Y2" xr:uid="{28836C0E-E0E7-43BF-B8C0-549158AC5B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F8C724B5-ABCC-4544-B1D2-314C0DCC6173}" name="Block Incident Occurred On" dataDxfId="333"/>
    <tableColumn id="2" xr3:uid="{FCBD60E4-FDA1-4C22-8114-B3A4638A5053}" name="Incident Date" dataDxfId="332"/>
    <tableColumn id="4" xr3:uid="{83072423-3F56-437A-8B53-A0B62F7E5CEC}" name="Day of Week" dataDxfId="331"/>
    <tableColumn id="5" xr3:uid="{991BB020-FA7B-4F57-8C59-E64F9D441DD8}" name="Time of Day Incident Occurred" dataDxfId="330"/>
    <tableColumn id="6" xr3:uid="{A966EB65-EBE2-40AD-9716-557EE330186F}" name="Victim's Vehicle Description" dataDxfId="329"/>
    <tableColumn id="7" xr3:uid="{55C176C1-15FC-4193-B73E-3EB2C43EED65}" name="Vehicle Was Parked" dataDxfId="328"/>
    <tableColumn id="8" xr3:uid="{5718917F-5577-44D8-B871-4977052C0FEE}" name="Entry Method" dataDxfId="327"/>
    <tableColumn id="9" xr3:uid="{2171FBD8-F516-4833-A23F-42FD1447DC26}" name="Suspect Description" dataDxfId="326"/>
    <tableColumn id="10" xr3:uid="{306C62DF-3060-438A-AF9F-40FD97CD6344}" name="Suspect Vehicle Description" dataDxfId="325"/>
    <tableColumn id="11" xr3:uid="{2A55305B-6FB2-488B-B7B6-B85B837DA4EE}" name="Keys with Vehicle" dataDxfId="324"/>
    <tableColumn id="12" xr3:uid="{F8D8D813-D137-4128-A4A9-B50224598331}" name="Offense Completed" dataDxfId="323"/>
    <tableColumn id="13" xr3:uid="{FA18570B-CFE5-48F5-B71F-AFF5D35F1106}" name="Notes" dataDxfId="322"/>
  </tableColumns>
  <tableStyleInfo name="TableStyleLight18 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3D55BF0-7D09-488D-A7E3-2CBDFD9B249C}" name="Table50" displayName="Table50" ref="A18:H24" totalsRowShown="0" headerRowDxfId="321" dataDxfId="320">
  <autoFilter ref="A18:H24" xr:uid="{73D55BF0-7D09-488D-A7E3-2CBDFD9B249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627771F-08B7-4FC1-9BA8-2BF5CA54BE8E}" name="Time of Day" dataDxfId="319"/>
    <tableColumn id="2" xr3:uid="{12B1A7C0-0F91-43C4-BFA4-18A7CF621CA3}" name="Sun" dataDxfId="318"/>
    <tableColumn id="3" xr3:uid="{D372D0A5-4EB5-4D56-9F51-0B9CF67B2AE3}" name="Mon" dataDxfId="317"/>
    <tableColumn id="4" xr3:uid="{060A74ED-1E99-48E1-828B-CF6BF4715640}" name="Tue" dataDxfId="316"/>
    <tableColumn id="5" xr3:uid="{2AEB883B-2268-4D60-9244-7F3A74F75B60}" name="Wed"/>
    <tableColumn id="6" xr3:uid="{2B5A110A-6BCC-4B02-B586-E78B75EACCA1}" name="Thu" dataDxfId="315"/>
    <tableColumn id="7" xr3:uid="{3B397982-882E-422B-B343-300DA9985A6B}" name="Fri" dataDxfId="314"/>
    <tableColumn id="8" xr3:uid="{70243F55-CFBF-4715-B115-95F2A7FAF72B}" name="Sat" dataDxfId="313"/>
  </tableColumns>
  <tableStyleInfo name="TableStyleLight18 3 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78CC723-6D94-4B51-8E0D-2F60222512A6}" name="Table5052" displayName="Table5052" ref="A45:H47" totalsRowShown="0" headerRowDxfId="312" dataDxfId="311">
  <autoFilter ref="A45:H47" xr:uid="{378CC723-6D94-4B51-8E0D-2F60222512A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F71DE92-5364-4020-91ED-D67258075F1E}" name="Time of Day" dataDxfId="310"/>
    <tableColumn id="2" xr3:uid="{83B1D184-D64E-4CCC-9953-E1A94CFCE6DF}" name="Sun" dataDxfId="309"/>
    <tableColumn id="3" xr3:uid="{1F7E15D6-2743-4CD3-BD8C-5A818074698E}" name="Mon" dataDxfId="308"/>
    <tableColumn id="4" xr3:uid="{47E1E444-BF65-4070-BA44-BB907240AE89}" name="Tue" dataDxfId="307"/>
    <tableColumn id="5" xr3:uid="{B76591E8-7184-43A0-B060-DDFBC11BFEAA}" name="Wed"/>
    <tableColumn id="6" xr3:uid="{D63E857D-390D-4FA4-9635-64859A277F04}" name="Thu" dataDxfId="306"/>
    <tableColumn id="7" xr3:uid="{A25FE166-5356-4932-AE56-52A197D96748}" name="Fri" dataDxfId="305"/>
    <tableColumn id="8" xr3:uid="{9C26DFAD-EC17-47BA-88E1-07B4AB560432}" name="Sat" dataDxfId="304"/>
  </tableColumns>
  <tableStyleInfo name="TableStyleLight18 3 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B279AC-52B2-442E-BBFC-63D5AB146188}" name="Robbery" displayName="Robbery" ref="A1:AT10" tableType="queryTable" totalsRowShown="0" headerRowDxfId="303" dataDxfId="302">
  <autoFilter ref="A1:AT10" xr:uid="{8BB279AC-52B2-442E-BBFC-63D5AB146188}"/>
  <tableColumns count="46">
    <tableColumn id="1" xr3:uid="{90C22703-56E5-4A18-B1EE-31761338E647}" uniqueName="1" name="Case Number" queryTableFieldId="1" dataDxfId="301"/>
    <tableColumn id="2" xr3:uid="{9734790C-B06C-46F7-AD42-AA303AB7E86B}" uniqueName="2" name="INC_DATE" queryTableFieldId="2" dataDxfId="300"/>
    <tableColumn id="3" xr3:uid="{7D2A8B3E-9CB6-40E3-A26E-D15834B8A86A}" uniqueName="3" name="TIME_OF_DAY" queryTableFieldId="3" dataDxfId="299"/>
    <tableColumn id="4" xr3:uid="{7A544C83-81F9-497A-9F8C-97A7DE5DB46C}" uniqueName="4" name="Start of Hour" queryTableFieldId="4" dataDxfId="298"/>
    <tableColumn id="5" xr3:uid="{B7FA88C9-C0F7-4E12-9254-D7642E16014F}" uniqueName="5" name="INC_TIME" queryTableFieldId="5" dataDxfId="297"/>
    <tableColumn id="6" xr3:uid="{0EB4B2B0-951D-46BE-B712-1BB55D8D5E78}" uniqueName="6" name="Day Name" queryTableFieldId="6" dataDxfId="296"/>
    <tableColumn id="7" xr3:uid="{54485369-7F83-4DAC-95F9-89EA41E1DBBC}" uniqueName="7" name="Month Name" queryTableFieldId="7" dataDxfId="295"/>
    <tableColumn id="8" xr3:uid="{3FEFF2DB-FC8C-49B9-ADDC-632C1D59C63B}" uniqueName="8" name="BLOCK" queryTableFieldId="8" dataDxfId="294"/>
    <tableColumn id="9" xr3:uid="{55978BDC-7B33-48A6-A0B9-850D486E9843}" uniqueName="9" name="Location" queryTableFieldId="9" dataDxfId="293"/>
    <tableColumn id="10" xr3:uid="{BA423D0B-AAA5-4235-AF3F-3BBF372E4FA1}" uniqueName="10" name="ALL_INCIDENTS" queryTableFieldId="10" dataDxfId="292"/>
    <tableColumn id="11" xr3:uid="{61410127-1230-4DD7-8461-90C5AE1FA82A}" uniqueName="11" name="Incident Type_1" queryTableFieldId="11" dataDxfId="291"/>
    <tableColumn id="12" xr3:uid="{EF948221-58D9-46E8-9501-191F23283477}" uniqueName="12" name="Incident Type_2" queryTableFieldId="12" dataDxfId="290"/>
    <tableColumn id="13" xr3:uid="{F1E37141-9AF9-4F05-ACE2-9E2FBE824DF0}" uniqueName="13" name="Incident Type_3" queryTableFieldId="13" dataDxfId="289"/>
    <tableColumn id="14" xr3:uid="{02C5E70C-BF91-4EAB-9264-15F78ACF50F2}" uniqueName="14" name="FullAddress" queryTableFieldId="14" dataDxfId="288"/>
    <tableColumn id="15" xr3:uid="{8D9489E5-0D5C-4878-8913-E6C37E558C4E}" uniqueName="15" name="Grid" queryTableFieldId="15" dataDxfId="287"/>
    <tableColumn id="16" xr3:uid="{29C3F894-40C7-4E01-B99C-6990C947EA7B}" uniqueName="16" name="Zone" queryTableFieldId="16" dataDxfId="286"/>
    <tableColumn id="17" xr3:uid="{7DC25ED0-1355-4C0B-99C0-95A30DDE697F}" uniqueName="17" name="Narrative" queryTableFieldId="17" dataDxfId="285"/>
    <tableColumn id="18" xr3:uid="{31EAA628-75A0-454A-923D-7C96849E8F3D}" uniqueName="18" name="Total Value Stolen" queryTableFieldId="18" dataDxfId="284"/>
    <tableColumn id="19" xr3:uid="{A3557077-A5B9-4525-BAFF-C1807AC1B6DA}" uniqueName="19" name="Total Value Recover" queryTableFieldId="19" dataDxfId="283"/>
    <tableColumn id="20" xr3:uid="{DA539379-489B-4502-865C-5FF334130B23}" uniqueName="20" name="Registration 1" queryTableFieldId="20" dataDxfId="282"/>
    <tableColumn id="21" xr3:uid="{4B69E808-0DCA-4340-959E-584AAE4C5865}" uniqueName="21" name="Make1" queryTableFieldId="21" dataDxfId="281"/>
    <tableColumn id="22" xr3:uid="{52A56F6E-C7F7-4FB5-8AC9-305A293D9D2D}" uniqueName="22" name="Model1" queryTableFieldId="22" dataDxfId="280"/>
    <tableColumn id="23" xr3:uid="{6F5ACAFA-C92A-45FA-84E3-D1C59629F78B}" uniqueName="23" name="Reg State 1" queryTableFieldId="23" dataDxfId="279"/>
    <tableColumn id="24" xr3:uid="{B1C71CF7-2A69-48BE-8EB4-758B5EE9E3F4}" uniqueName="24" name="Registration 2" queryTableFieldId="24" dataDxfId="278"/>
    <tableColumn id="25" xr3:uid="{C7F914D5-EAF7-4C38-ACD8-D0AC0B36911D}" uniqueName="25" name="Reg State 2" queryTableFieldId="25" dataDxfId="277"/>
    <tableColumn id="26" xr3:uid="{9711BFC9-D736-49A0-BE3C-ECE9E81A9FBC}" uniqueName="26" name="Make2" queryTableFieldId="26" dataDxfId="276"/>
    <tableColumn id="27" xr3:uid="{E22A9642-5806-4242-AECE-4A259BAE9211}" uniqueName="27" name="Model2" queryTableFieldId="27" dataDxfId="275"/>
    <tableColumn id="28" xr3:uid="{32422197-D539-4565-97F1-8DA97C038477}" uniqueName="28" name="Reviewed By" queryTableFieldId="28" dataDxfId="274"/>
    <tableColumn id="29" xr3:uid="{7019F959-4654-4767-BE6F-5529A18F754F}" uniqueName="29" name="CompleteCalc" queryTableFieldId="29" dataDxfId="273"/>
    <tableColumn id="30" xr3:uid="{EAFA4B53-593D-46DD-897E-D2CE77124CD7}" uniqueName="30" name="Officer of Record" queryTableFieldId="30" dataDxfId="272"/>
    <tableColumn id="31" xr3:uid="{DB00A108-983C-48DB-84D8-87D52D581A1C}" uniqueName="31" name="Squad" queryTableFieldId="31" dataDxfId="271"/>
    <tableColumn id="32" xr3:uid="{CA1C9772-41B6-414E-A1F0-2CF88C5188B1}" uniqueName="32" name="Det_Assigned" queryTableFieldId="32" dataDxfId="270"/>
    <tableColumn id="33" xr3:uid="{5D909967-38E5-4271-8328-37FF1F8EF2A8}" uniqueName="33" name="Case_Status" queryTableFieldId="33" dataDxfId="269"/>
    <tableColumn id="34" xr3:uid="{98D6E0F5-8C41-474C-B0E5-EFD4FB54DC05}" uniqueName="34" name="NIBRS Classification" queryTableFieldId="34" dataDxfId="268"/>
    <tableColumn id="35" xr3:uid="{CADADFE5-AF38-416E-B8BC-E3B289115E1D}" uniqueName="35" name="Year" queryTableFieldId="35" dataDxfId="267"/>
    <tableColumn id="36" xr3:uid="{1E1EB327-0487-45BF-9CC7-0EBA80F163EF}" uniqueName="36" name="Week of Year" queryTableFieldId="36" dataDxfId="266"/>
    <tableColumn id="37" xr3:uid="{B0B162E6-DAC6-4407-9EAA-8A4DC5397C68}" uniqueName="37" name="Week of Month" queryTableFieldId="37" dataDxfId="265"/>
    <tableColumn id="38" xr3:uid="{66CEA174-74CC-4A6B-8D06-3511F4C9744A}" uniqueName="38" name="Day" queryTableFieldId="38" dataDxfId="264"/>
    <tableColumn id="39" xr3:uid="{8AE5D97E-65D5-46F1-A02D-90B1EAFF9DB5}" uniqueName="39" name="Day of Year" queryTableFieldId="39" dataDxfId="263"/>
    <tableColumn id="40" xr3:uid="{79A3BB33-3965-4296-A5C5-5AC1898C7744}" uniqueName="40" name="INC_DATE_AND_TIME" queryTableFieldId="40" dataDxfId="262"/>
    <tableColumn id="41" xr3:uid="{7B997C5E-DDEC-455C-9C4D-D76CDEED5A20}" uniqueName="41" name="St#" queryTableFieldId="41" dataDxfId="261"/>
    <tableColumn id="42" xr3:uid="{254452D3-0A8B-4BB2-8BFC-1C267ED9B4B4}" uniqueName="42" name="Notes" queryTableFieldId="42" dataDxfId="260"/>
    <tableColumn id="43" xr3:uid="{E6DE252F-B189-45B2-A5E4-525D35050313}" uniqueName="43" name="VEHICLE" queryTableFieldId="43" dataDxfId="259"/>
    <tableColumn id="44" xr3:uid="{8D3E2E15-34F9-420C-9712-6EEA7DE38327}" uniqueName="44" name="Suspect" queryTableFieldId="44" dataDxfId="258"/>
    <tableColumn id="45" xr3:uid="{BBF1774D-5998-40A3-9F6C-5044DE56192F}" uniqueName="45" name="TOTAL_STOLEN_AMOUNT" queryTableFieldId="45" dataDxfId="257"/>
    <tableColumn id="46" xr3:uid="{C5FB11B2-3064-4A1E-B330-913271C1BBAC}" uniqueName="46" name="REPORT_CYCLE" queryTableFieldId="46" dataDxfId="256"/>
  </tableColumns>
  <tableStyleInfo name="TableStyleLight17 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BF347C0-EF05-428D-86B5-2888BB0B69E4}" name="Robbery_28D" displayName="Robbery_28D" ref="A1:P2" tableType="queryTable" totalsRowShown="0">
  <autoFilter ref="A1:P2" xr:uid="{EBF347C0-EF05-428D-86B5-2888BB0B69E4}"/>
  <tableColumns count="16">
    <tableColumn id="1" xr3:uid="{25F35C73-7573-488B-B850-F6929E1082C6}" uniqueName="1" name="BLOCK" queryTableFieldId="1"/>
    <tableColumn id="2" xr3:uid="{BBAF0F84-C1B1-4470-8127-9A5267784CD8}" uniqueName="2" name="INC_DATE" queryTableFieldId="2" dataDxfId="255"/>
    <tableColumn id="3" xr3:uid="{3A650C85-781E-4E63-B844-034EB4F96D2E}" uniqueName="3" name="Day Name" queryTableFieldId="3"/>
    <tableColumn id="4" xr3:uid="{5F54220E-D654-483B-AFEE-F65C3C109133}" uniqueName="4" name="TIME_OF_DAY" queryTableFieldId="4"/>
    <tableColumn id="5" xr3:uid="{4CAC3426-3EC1-44EC-AEB6-5B12C49CAC34}" uniqueName="5" name="Suspect" queryTableFieldId="5"/>
    <tableColumn id="6" xr3:uid="{5C73609A-D71F-4FF1-9D8E-267F330C9551}" uniqueName="6" name="VEHICLE" queryTableFieldId="6"/>
    <tableColumn id="7" xr3:uid="{4A68BE89-FA9E-457E-B715-AB740252B4B8}" uniqueName="7" name="TOTAL_STOLEN_AMOUNT" queryTableFieldId="7"/>
    <tableColumn id="8" xr3:uid="{E35F0BA7-89B5-4D1A-A950-D32F8963ACAB}" uniqueName="8" name="Narrative" queryTableFieldId="8" dataDxfId="254"/>
    <tableColumn id="9" xr3:uid="{327ACD89-BEE9-4679-893E-21E1CEA1F2C2}" uniqueName="9" name="Location Type" queryTableFieldId="9" dataDxfId="253"/>
    <tableColumn id="10" xr3:uid="{BA071943-8360-4A79-B8C1-0AFF63B9209B}" uniqueName="10" name="Type Weapon" queryTableFieldId="10" dataDxfId="252"/>
    <tableColumn id="11" xr3:uid="{AF246168-73D8-47FE-9DFB-8174C6AE8340}" uniqueName="11" name="Type of Victim" queryTableFieldId="11" dataDxfId="251"/>
    <tableColumn id="12" xr3:uid="{CF49CAC6-6419-4D3D-82A3-CBC5E6048BD9}" uniqueName="12" name="Type Injury" queryTableFieldId="12" dataDxfId="250"/>
    <tableColumn id="13" xr3:uid="{7E430213-EEBF-4CD3-B070-2EBE2589431B}" uniqueName="13" name="Property Stolen" queryTableFieldId="13" dataDxfId="249"/>
    <tableColumn id="14" xr3:uid="{9401E649-A794-4AF0-9844-4622C7D2988C}" uniqueName="14" name="Offender Suspected of Using" queryTableFieldId="14" dataDxfId="248"/>
    <tableColumn id="15" xr3:uid="{33CE9EBC-9E98-43BF-90FE-2577BC7617B8}" uniqueName="15" name="Relationship of Victim to Offender" queryTableFieldId="15" dataDxfId="247"/>
    <tableColumn id="16" xr3:uid="{AFB6AB6E-7B89-4B76-89B1-771D63476A8B}" uniqueName="16" name="Offense Completed" queryTableFieldId="16" dataDxfId="246"/>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3244D1-A2B2-43AC-A125-ACABE9F40B9A}" name="Robbery_7D" displayName="Robbery_7D" ref="A1:P2" tableType="queryTable" insertRow="1" totalsRowShown="0" headerRowDxfId="245" dataDxfId="244">
  <autoFilter ref="A1:P2" xr:uid="{353244D1-A2B2-43AC-A125-ACABE9F40B9A}">
    <filterColumn colId="8" hiddenButton="1"/>
    <filterColumn colId="9" hiddenButton="1"/>
    <filterColumn colId="10" hiddenButton="1"/>
    <filterColumn colId="11" hiddenButton="1"/>
    <filterColumn colId="13" hiddenButton="1"/>
    <filterColumn colId="14" hiddenButton="1"/>
    <filterColumn colId="15" hiddenButton="1"/>
  </autoFilter>
  <tableColumns count="16">
    <tableColumn id="18" xr3:uid="{745DC68E-7DBD-4152-84D0-BCCE6CEF6590}" uniqueName="18" name="BLOCK" queryTableFieldId="18"/>
    <tableColumn id="19" xr3:uid="{1B859F54-34C0-4D11-BFE5-83B83B99A73E}" uniqueName="19" name="INC_DATE" queryTableFieldId="19" dataDxfId="243"/>
    <tableColumn id="20" xr3:uid="{9EAEDAFE-0B7D-4156-B2A9-93E56CD60158}" uniqueName="20" name="Day Name" queryTableFieldId="20"/>
    <tableColumn id="21" xr3:uid="{CA8353A1-E446-43A9-912E-BCD95A4B46C5}" uniqueName="21" name="TIME_OF_DAY" queryTableFieldId="21"/>
    <tableColumn id="22" xr3:uid="{196FA59C-E137-43F6-8403-2A45B8AE1122}" uniqueName="22" name="Suspect" queryTableFieldId="22"/>
    <tableColumn id="23" xr3:uid="{62BF206F-6DF9-4A83-A8B7-8B01443E9765}" uniqueName="23" name="VEHICLE" queryTableFieldId="23"/>
    <tableColumn id="24" xr3:uid="{7335EB9E-1AE2-4DC2-B2C9-7738420B75D2}" uniqueName="24" name="TOTAL_STOLEN_AMOUNT" queryTableFieldId="24"/>
    <tableColumn id="25" xr3:uid="{42812E09-484C-49DE-91AE-B46A9E5C9804}" uniqueName="25" name="Narrative" queryTableFieldId="25"/>
    <tableColumn id="6" xr3:uid="{13DC53FF-C424-4054-8590-38B4923127C9}" uniqueName="6" name="Location Type" queryTableFieldId="6" dataDxfId="242"/>
    <tableColumn id="9" xr3:uid="{9D5CA3FB-CDA7-4036-9535-4EBF9B72884F}" uniqueName="9" name="Type Weapon" queryTableFieldId="9" dataDxfId="241"/>
    <tableColumn id="10" xr3:uid="{4ADB6FBA-8F23-4815-A39D-63D408E3535E}" uniqueName="10" name="Type of Victim" queryTableFieldId="10" dataDxfId="240"/>
    <tableColumn id="11" xr3:uid="{244B99DE-7C6D-448C-A79A-B7EAD2714759}" uniqueName="11" name="Type Injury" queryTableFieldId="11" dataDxfId="239"/>
    <tableColumn id="26" xr3:uid="{E9F141AC-571E-442E-A523-3CF256021B61}" uniqueName="26" name="Property Stolen" queryTableFieldId="26"/>
    <tableColumn id="14" xr3:uid="{951D91C0-A35F-4496-91A1-40C331C5C42F}" uniqueName="14" name="Offender Suspected of Using" queryTableFieldId="14" dataDxfId="238"/>
    <tableColumn id="15" xr3:uid="{E0EF63CE-6B48-4F72-A836-E8F0187C6F3E}" uniqueName="15" name="Relationship of Victim to Offender" queryTableFieldId="15" dataDxfId="237"/>
    <tableColumn id="16" xr3:uid="{94EDA250-56AE-43C3-8C02-B1D2939B0C4C}" uniqueName="16" name="Offense Completed" queryTableFieldId="16" dataDxfId="236"/>
  </tableColumns>
  <tableStyleInfo name="TableStyleLight17 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BDD3E61-701F-4993-8BC5-4D3982743002}" name="_Robbery_7D" displayName="_Robbery_7D" ref="Y2:AO3" insertRow="1" totalsRowShown="0" headerRowDxfId="223" dataDxfId="222">
  <autoFilter ref="Y2:AO3" xr:uid="{2BDD3E61-701F-4993-8BC5-4D39827430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DEFAC9D-A928-4EAF-B85D-3845F9139F6A}" name="Case Number" dataDxfId="221"/>
    <tableColumn id="2" xr3:uid="{A844315F-CEB5-4C81-AF8B-410180135367}" name="Block Incident Occurred On" dataDxfId="220"/>
    <tableColumn id="3" xr3:uid="{306A22F8-5244-4619-9370-9DB8D064C265}" name="Incident Date" dataDxfId="219"/>
    <tableColumn id="4" xr3:uid="{32F522D5-CD8D-4956-99F9-72B3BC1A7B19}" name="Day of Week" dataDxfId="218"/>
    <tableColumn id="5" xr3:uid="{F7836F69-5ABB-4A3A-8160-7253758030C8}" name="Time of Day Incident Occurred" dataDxfId="217"/>
    <tableColumn id="6" xr3:uid="{B0ADFEA7-75D5-4127-B7B6-2DACF9810B5A}" name="Location Type" dataDxfId="216"/>
    <tableColumn id="7" xr3:uid="{43A251DD-0473-4D0E-BEF0-308BBDED5842}" name="Suspect Description" dataDxfId="215"/>
    <tableColumn id="8" xr3:uid="{7F00E3FF-F12E-49E3-B6A9-AD673AB8020C}" name="Suspect Vehicle Description" dataDxfId="214"/>
    <tableColumn id="9" xr3:uid="{EB6D08CF-51CD-4A94-9533-F08CE71BFC7F}" name="Type Weapon" dataDxfId="213"/>
    <tableColumn id="10" xr3:uid="{EDE99988-0E3C-4D20-AD40-CEC726ECBCC4}" name="Type of Victim" dataDxfId="212"/>
    <tableColumn id="11" xr3:uid="{A2A0B8A9-E5AE-4756-88F1-A50B17F5B3BB}" name="Type Injury" dataDxfId="211"/>
    <tableColumn id="12" xr3:uid="{1BB22354-EAF9-43E6-9643-9D911F73B081}" name="Propert Stolen" dataDxfId="210"/>
    <tableColumn id="13" xr3:uid="{37292318-D281-4BAF-970A-7AA2BA212B4E}" name="Property Value" dataDxfId="209"/>
    <tableColumn id="14" xr3:uid="{841BEF18-F30A-4B3A-A108-7BAEEDEE9673}" name="Offender Suspected of Using" dataDxfId="208"/>
    <tableColumn id="15" xr3:uid="{2BAC3C02-AEA2-4149-9855-3A7427D1B8C7}" name="Relationship of Victim to Offender" dataDxfId="207"/>
    <tableColumn id="16" xr3:uid="{25E549F1-259B-4147-893F-0FB15C98CA90}" name="Offense Completed" dataDxfId="206"/>
    <tableColumn id="17" xr3:uid="{EF188BD4-2BF4-4B58-93D3-825EF5DF9D51}" name="Notes" dataDxfId="205"/>
  </tableColumns>
  <tableStyleInfo name="TableStyleLight18 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ACCBD09-7F8A-4474-9551-0C592C13B595}" name="Table710121754" displayName="Table710121754" ref="AH21:AO26" totalsRowShown="0" headerRowDxfId="204" dataDxfId="203">
  <autoFilter ref="AH21:AO26" xr:uid="{6ACCBD09-7F8A-4474-9551-0C592C13B59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976B3F7-9772-44F7-A0BE-31D9306904D5}" name="Time of Day" dataDxfId="202"/>
    <tableColumn id="2" xr3:uid="{838FEC1C-111A-4FB3-A030-7EA9FC412B79}" name="Sun" dataDxfId="201"/>
    <tableColumn id="3" xr3:uid="{AC2068D6-A156-4C86-BAF6-27D86A828FE6}" name="Mon" dataDxfId="200"/>
    <tableColumn id="4" xr3:uid="{DB4DC03B-FA2F-4E64-B97A-63AA72A3F072}" name="Tue" dataDxfId="199"/>
    <tableColumn id="7" xr3:uid="{A6062050-8743-4CC4-9D10-5D21C62CF4B0}" name="Wed" dataDxfId="198"/>
    <tableColumn id="8" xr3:uid="{935F9016-0DDA-473B-BB3C-727BEAE4797D}" name="Thu" dataDxfId="197"/>
    <tableColumn id="6" xr3:uid="{6D05B401-E30B-4E07-92FB-91E8CD455166}" name="Fri" dataDxfId="196"/>
    <tableColumn id="5" xr3:uid="{7DBBA2D7-BE50-4277-B1C7-3CA3801B21AC}" name="Sat" dataDxfId="195"/>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F711E4CF-174E-4A7B-9809-C405A94A14D2}" name="Table71012171855" displayName="Table71012171855" ref="AH32:AO35" totalsRowShown="0" headerRowDxfId="194" dataDxfId="193">
  <autoFilter ref="AH32:AO35" xr:uid="{F711E4CF-174E-4A7B-9809-C405A94A14D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C366358-AB3F-431F-84A8-B52490B1EDC6}" name="Time of Day" dataDxfId="192"/>
    <tableColumn id="2" xr3:uid="{1BD7A548-3902-472B-9248-FCC252C57859}" name="Sun" dataDxfId="191"/>
    <tableColumn id="3" xr3:uid="{46850428-56AB-4AE8-B35C-EB6F928A357E}" name="Mon" dataDxfId="190"/>
    <tableColumn id="4" xr3:uid="{657AA1E2-2425-40A7-8BB2-793A9CF9A5D1}" name="Tue" dataDxfId="189"/>
    <tableColumn id="5" xr3:uid="{F31C300E-CDD7-4408-A263-2D8B34FB99A2}" name="Wed" dataDxfId="188"/>
    <tableColumn id="6" xr3:uid="{143B97B1-1ED9-4275-AD5E-BC1660467509}" name="Thu" dataDxfId="187"/>
    <tableColumn id="7" xr3:uid="{0BB5AE1E-D776-4AA7-9EAE-A3CBEAACA1EB}" name="Fri" dataDxfId="186"/>
    <tableColumn id="8" xr3:uid="{75EE53E8-F9EC-43E6-A907-6579EE7E3CB5}" name="Sat" dataDxfId="18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BAD972-EAE6-4813-87B6-022CC258E60F}" name="Sexual_Offenses" displayName="Sexual_Offenses" ref="A1:BB7" tableType="queryTable" totalsRowShown="0" headerRowDxfId="184" dataDxfId="183">
  <autoFilter ref="A1:BB7" xr:uid="{BABAD972-EAE6-4813-87B6-022CC258E60F}"/>
  <tableColumns count="54">
    <tableColumn id="1" xr3:uid="{828FAC3C-454B-4867-A3DC-1E5C6BF35DD9}" uniqueName="1" name="Case Number" queryTableFieldId="1" dataDxfId="182"/>
    <tableColumn id="6" xr3:uid="{2F8B2D60-678E-43F4-85F7-9B08B61CAE27}" uniqueName="6" name="INC_DATE" queryTableFieldId="6" dataDxfId="181"/>
    <tableColumn id="54" xr3:uid="{E23542B4-CBDC-4026-B47E-91C729080A11}" uniqueName="54" name="TOD" queryTableFieldId="57" dataDxfId="180"/>
    <tableColumn id="2" xr3:uid="{CE7E25EA-1D84-47E8-962F-BE2F98D97F97}" uniqueName="2" name="Start of Hour" queryTableFieldId="2" dataDxfId="179"/>
    <tableColumn id="3" xr3:uid="{DCC58FEF-5E40-4878-9C3E-DE18A2ED1806}" uniqueName="3" name="INC_TIME" queryTableFieldId="3" dataDxfId="178"/>
    <tableColumn id="4" xr3:uid="{9696AF7A-C11C-4348-92E1-E03FF1241885}" uniqueName="4" name="Day Name" queryTableFieldId="4" dataDxfId="177"/>
    <tableColumn id="5" xr3:uid="{3198D833-F74E-4382-9604-B5249BF999AF}" uniqueName="5" name="Month Name" queryTableFieldId="5" dataDxfId="176"/>
    <tableColumn id="47" xr3:uid="{C7BA5A82-71EE-40D3-A7DC-9F5CBA2C0F33}" uniqueName="47" name="BLOCK" queryTableFieldId="47" dataDxfId="175"/>
    <tableColumn id="7" xr3:uid="{55C00C56-5396-48D1-BA8B-6A965BA44FDD}" uniqueName="7" name="Location" queryTableFieldId="7" dataDxfId="174"/>
    <tableColumn id="9" xr3:uid="{57E3FA00-A958-4D1F-B440-DC70C06D2C5D}" uniqueName="9" name="ALL_INCIDENTS" queryTableFieldId="9" dataDxfId="173"/>
    <tableColumn id="8" xr3:uid="{214928D9-1F12-4F32-8874-12E118212AD6}" uniqueName="8" name="Incident Type_1" queryTableFieldId="8" dataDxfId="172"/>
    <tableColumn id="10" xr3:uid="{60988C8F-123F-47FC-99C3-EFEE1A8B5E0A}" uniqueName="10" name="Incident Type_2" queryTableFieldId="10" dataDxfId="171"/>
    <tableColumn id="11" xr3:uid="{E9156A06-4CFE-4E19-828E-53E171F20AA0}" uniqueName="11" name="Incident Type_3" queryTableFieldId="11" dataDxfId="170"/>
    <tableColumn id="12" xr3:uid="{EEAD8174-D5EA-4D73-8D1C-59506B25461D}" uniqueName="12" name="FullAddress" queryTableFieldId="12" dataDxfId="169"/>
    <tableColumn id="13" xr3:uid="{7BCB2E40-7BB9-4A81-80CF-4E6876375E02}" uniqueName="13" name="Grid" queryTableFieldId="13" dataDxfId="168"/>
    <tableColumn id="14" xr3:uid="{1614033D-473A-463A-9CBE-D0C482696EFC}" uniqueName="14" name="Zone" queryTableFieldId="14" dataDxfId="167"/>
    <tableColumn id="15" xr3:uid="{5093BFA3-1273-4460-BEAD-0A440985D8B5}" uniqueName="15" name="Narrative" queryTableFieldId="15" dataDxfId="166"/>
    <tableColumn id="16" xr3:uid="{CD5D9C7C-5AD5-4EB6-A4AD-AA3AE8CE123C}" uniqueName="16" name="Total Value Stolen" queryTableFieldId="16" dataDxfId="165"/>
    <tableColumn id="17" xr3:uid="{92C09011-0119-4667-BAB7-DC35C84323F3}" uniqueName="17" name="Total Value Recover" queryTableFieldId="17" dataDxfId="164"/>
    <tableColumn id="18" xr3:uid="{37314363-1B92-4D9C-8EC8-F3B54905DA76}" uniqueName="18" name="Registration 1" queryTableFieldId="18" dataDxfId="163"/>
    <tableColumn id="19" xr3:uid="{ADFAEB2E-F032-4451-9985-80BDDB2387AF}" uniqueName="19" name="Make1" queryTableFieldId="19" dataDxfId="162"/>
    <tableColumn id="20" xr3:uid="{BBE1358C-9650-4BA2-816F-A0F485D12B5D}" uniqueName="20" name="Model1" queryTableFieldId="20" dataDxfId="161"/>
    <tableColumn id="21" xr3:uid="{B8EA1582-4544-44F0-ACC0-C3A4254E1187}" uniqueName="21" name="Reg State 1" queryTableFieldId="21" dataDxfId="160"/>
    <tableColumn id="22" xr3:uid="{60626B22-84B3-4581-A1E6-328A47C238C0}" uniqueName="22" name="Registration 2" queryTableFieldId="22" dataDxfId="159"/>
    <tableColumn id="23" xr3:uid="{50F54256-BC58-4084-8B74-A37BBB1ABFAC}" uniqueName="23" name="Reg State 2" queryTableFieldId="23" dataDxfId="158"/>
    <tableColumn id="24" xr3:uid="{CC671173-D7D6-468E-879A-67743CEB308C}" uniqueName="24" name="Make2" queryTableFieldId="24" dataDxfId="157"/>
    <tableColumn id="25" xr3:uid="{CB50913C-1698-4040-AB96-4AB67C5D506B}" uniqueName="25" name="Model2" queryTableFieldId="25" dataDxfId="156"/>
    <tableColumn id="26" xr3:uid="{D5B8F8B7-6C5A-4FCA-94CA-BB79942B43FA}" uniqueName="26" name="Reviewed By" queryTableFieldId="26" dataDxfId="155"/>
    <tableColumn id="27" xr3:uid="{397DFC85-E7D9-4AC3-A392-470EBD59ADDC}" uniqueName="27" name="CompleteCalc" queryTableFieldId="27" dataDxfId="154"/>
    <tableColumn id="28" xr3:uid="{6398B9BA-D786-4D37-8456-4989F08FFE13}" uniqueName="28" name="Officer of Record" queryTableFieldId="28" dataDxfId="153"/>
    <tableColumn id="29" xr3:uid="{C79915D4-CAC4-4428-9459-333C333CC7CC}" uniqueName="29" name="Squad" queryTableFieldId="29" dataDxfId="152"/>
    <tableColumn id="30" xr3:uid="{7D335CF8-A65B-47E1-8C2B-09B23E3EBB26}" uniqueName="30" name="Det_Assigned" queryTableFieldId="30" dataDxfId="151"/>
    <tableColumn id="31" xr3:uid="{138A5348-A97B-4075-89AA-DE75446ED7B0}" uniqueName="31" name="Case_Status" queryTableFieldId="31" dataDxfId="150"/>
    <tableColumn id="32" xr3:uid="{ED4BC83F-2C6C-471C-BD42-820A47F5DB38}" uniqueName="32" name="NIBRS Classification" queryTableFieldId="32" dataDxfId="149"/>
    <tableColumn id="33" xr3:uid="{1A7B8231-5DE9-4B60-AE2E-E5DD1A93ACFB}" uniqueName="33" name="CASE_NUMBER_LENGTH" queryTableFieldId="33" dataDxfId="148"/>
    <tableColumn id="34" xr3:uid="{1E951FEA-8A03-416D-991A-739972E90E50}" uniqueName="34" name="Incident Date" queryTableFieldId="34" dataDxfId="147"/>
    <tableColumn id="35" xr3:uid="{F5D6FE3C-855B-4968-A6D8-530D0099E6A7}" uniqueName="35" name="Incident Time" queryTableFieldId="35" dataDxfId="146"/>
    <tableColumn id="36" xr3:uid="{422F4B77-C6E4-4AF6-B230-60BAFCA168F6}" uniqueName="36" name="Incident Date_Between" queryTableFieldId="36" dataDxfId="145"/>
    <tableColumn id="37" xr3:uid="{A269ABB3-EA8B-4246-8CA1-5739789AEA4A}" uniqueName="37" name="Incident Time_Between" queryTableFieldId="37" dataDxfId="144"/>
    <tableColumn id="38" xr3:uid="{ED7D542B-9121-461C-8C4C-37BC34622310}" uniqueName="38" name="Report Date" queryTableFieldId="38" dataDxfId="143"/>
    <tableColumn id="39" xr3:uid="{9411CF40-5E43-4C0A-B407-1CA08CA231FC}" uniqueName="39" name="Report Time" queryTableFieldId="39" dataDxfId="142"/>
    <tableColumn id="40" xr3:uid="{6908A8E6-DABE-47C0-BF2B-7E554846CBFA}" uniqueName="40" name="Year" queryTableFieldId="40" dataDxfId="141"/>
    <tableColumn id="41" xr3:uid="{7FFEA673-85EB-4487-8263-9FED808FD47B}" uniqueName="41" name="Week of Year" queryTableFieldId="41" dataDxfId="140"/>
    <tableColumn id="42" xr3:uid="{2B455EAA-349B-46EF-8BA1-1159A0E3B466}" uniqueName="42" name="Week of Month" queryTableFieldId="42" dataDxfId="139"/>
    <tableColumn id="43" xr3:uid="{4A0161CA-AAD8-49D0-B710-16322512E0E0}" uniqueName="43" name="Day" queryTableFieldId="43" dataDxfId="138"/>
    <tableColumn id="44" xr3:uid="{861F7B9B-2B79-44E6-A0D9-EC4BF3C2FBB0}" uniqueName="44" name="Day of Year" queryTableFieldId="44" dataDxfId="137"/>
    <tableColumn id="45" xr3:uid="{354C645C-DC94-4AFE-8030-5BB7261A3CE4}" uniqueName="45" name="INC_DATE_AND_TIME" queryTableFieldId="45" dataDxfId="136"/>
    <tableColumn id="46" xr3:uid="{BA40A361-8E8B-45B2-929F-BB81575255CC}" uniqueName="46" name="St#" queryTableFieldId="46" dataDxfId="135"/>
    <tableColumn id="49" xr3:uid="{C2F27E9D-41B0-4B90-B3A5-BF64896F104C}" uniqueName="49" name="Notes" queryTableFieldId="108"/>
    <tableColumn id="50" xr3:uid="{54F414B7-4DF3-4A76-98E5-DC7ABF2A3219}" uniqueName="50" name="VEHICLE" queryTableFieldId="50" dataDxfId="134"/>
    <tableColumn id="51" xr3:uid="{2F66C72F-E323-47C1-8F19-E0EA8E48568E}" uniqueName="51" name="Suspect" queryTableFieldId="51" dataDxfId="133"/>
    <tableColumn id="52" xr3:uid="{441B4C60-5216-44D7-9024-94C0C88854FE}" uniqueName="52" name="TOTAL_STOLEN_AMOUNT" queryTableFieldId="52" dataDxfId="132"/>
    <tableColumn id="53" xr3:uid="{16930ECB-AF0C-4A03-8BD5-C1D7464E3E4E}" uniqueName="53" name="REPORT_CYCLE" queryTableFieldId="53" dataDxfId="131"/>
    <tableColumn id="48" xr3:uid="{2CE119B8-6F22-4E73-BE49-BA6E7E271EE8}" uniqueName="48" name="TIME_OF_DAY" queryTableFieldId="48" dataDxfId="130"/>
  </tableColumns>
  <tableStyleInfo name="TableStyleLight18 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DF54B57-68F8-4564-A385-4EE252F6D53D}" name="Sex_Off_7D_1" displayName="Sex_Off_7D_1" ref="A1:O2" tableType="queryTable" insertRow="1" totalsRowShown="0" headerRowDxfId="129" dataDxfId="128">
  <autoFilter ref="A1:O2" xr:uid="{5DF54B57-68F8-4564-A385-4EE252F6D5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287D0217-4903-49B3-A4F0-16FEAA5CD77E}" uniqueName="1" name="BLOCK" queryTableFieldId="1" dataDxfId="127"/>
    <tableColumn id="2" xr3:uid="{62DDED00-CB1A-4B86-A5D8-3E8F5280B54B}" uniqueName="2" name="INC_DATE" queryTableFieldId="2" dataDxfId="126"/>
    <tableColumn id="3" xr3:uid="{B027949E-736D-4594-8856-8E306A45B9F6}" uniqueName="3" name="Day Name" queryTableFieldId="3" dataDxfId="125"/>
    <tableColumn id="4" xr3:uid="{A441ADF8-C3A7-4618-BC57-35111A1237C1}" uniqueName="4" name="TIME_OF_DAY" queryTableFieldId="4" dataDxfId="124"/>
    <tableColumn id="5" xr3:uid="{31DAB1C8-4B00-4237-A579-6A4E95043230}" uniqueName="5" name="Suspect" queryTableFieldId="5" dataDxfId="123"/>
    <tableColumn id="6" xr3:uid="{555586C9-9DFB-4E1A-9E15-EF4AFC09E94E}" uniqueName="6" name="Vehicle Involved" queryTableFieldId="6" dataDxfId="122"/>
    <tableColumn id="7" xr3:uid="{209B663B-3F30-46E6-99E3-F90A3DEDA1FD}" uniqueName="7" name="Type of Offense" queryTableFieldId="7" dataDxfId="121"/>
    <tableColumn id="8" xr3:uid="{98D1E15F-18C3-4E5C-91EE-9F770FAE415E}" uniqueName="8" name="Victim-Offender Relationship" queryTableFieldId="8" dataDxfId="120"/>
    <tableColumn id="9" xr3:uid="{123DBFC7-D70D-4E56-A8C0-8E380ABE88E1}" uniqueName="9" name="Location Type" queryTableFieldId="9" dataDxfId="119"/>
    <tableColumn id="10" xr3:uid="{CA50429D-1600-47EA-8D94-1486C692AEB6}" uniqueName="10" name="Method of Coercion" queryTableFieldId="10" dataDxfId="118"/>
    <tableColumn id="11" xr3:uid="{E3EBA9C4-C641-46FA-A10A-B156F31D6524}" uniqueName="11" name="Multiple Offenders vs. Single Offender" queryTableFieldId="11" dataDxfId="117"/>
    <tableColumn id="12" xr3:uid="{BE3A6A66-85C5-4640-9A62-8FF04C4A99C7}" uniqueName="12" name="Repeat Offender or Known Suspect" queryTableFieldId="12" dataDxfId="116"/>
    <tableColumn id="13" xr3:uid="{2077C0F8-546B-4884-A172-5D82E70F7FCE}" uniqueName="13" name="Use of Technology" queryTableFieldId="13" dataDxfId="115"/>
    <tableColumn id="14" xr3:uid="{FA663CFA-09BA-47F0-9FA0-6C02EB9BCDCB}" uniqueName="14" name="Victim Demographics" queryTableFieldId="14" dataDxfId="114"/>
    <tableColumn id="15" xr3:uid="{0FABAC51-9926-48BA-BB25-12654F76B43E}" uniqueName="15" name="Narrative" queryTableFieldId="15" dataDxfId="113"/>
  </tableColumns>
  <tableStyleInfo name="TableStyleLight18 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D588453-06D7-47AF-B4ED-49F18FAA6947}" name="Sex_Off_28D" displayName="Sex_Off_28D" ref="A1:O2" tableType="queryTable" totalsRowShown="0">
  <autoFilter ref="A1:O2" xr:uid="{6D588453-06D7-47AF-B4ED-49F18FAA6947}"/>
  <tableColumns count="15">
    <tableColumn id="1" xr3:uid="{54D8B04F-1855-4CB6-80FB-55A4182F537B}" uniqueName="1" name="BLOCK" queryTableFieldId="1" dataDxfId="112"/>
    <tableColumn id="2" xr3:uid="{270B4649-DDDB-42B4-A769-D60E221EE02A}" uniqueName="2" name="INC_DATE" queryTableFieldId="2" dataDxfId="111"/>
    <tableColumn id="3" xr3:uid="{5805A5CB-79C0-4FFF-968D-1B1F7CA44A75}" uniqueName="3" name="Day Name" queryTableFieldId="3" dataDxfId="110"/>
    <tableColumn id="4" xr3:uid="{D7AF301E-994F-4C21-AFE4-5D17D8FE9EA8}" uniqueName="4" name="TIME_OF_DAY" queryTableFieldId="4" dataDxfId="109"/>
    <tableColumn id="5" xr3:uid="{EF743E79-2A3C-4742-A206-5359D9CC742C}" uniqueName="5" name="Suspect" queryTableFieldId="5" dataDxfId="108"/>
    <tableColumn id="6" xr3:uid="{203F3AF7-E5CD-47F0-9B48-C6FEF0AC9AD3}" uniqueName="6" name="Vehicle Involved" queryTableFieldId="6"/>
    <tableColumn id="7" xr3:uid="{2D1D68DA-BA9C-4DB9-9423-EF9758416E18}" uniqueName="7" name="Type of Offense" queryTableFieldId="7"/>
    <tableColumn id="8" xr3:uid="{5B9D8EE3-84F2-4214-895D-0607E4665492}" uniqueName="8" name="Victim-Offender Relationship" queryTableFieldId="8"/>
    <tableColumn id="9" xr3:uid="{FDAE0C42-ACBA-4D79-8887-BE65AF9CA641}" uniqueName="9" name="Location Type" queryTableFieldId="9"/>
    <tableColumn id="10" xr3:uid="{0E2405CD-5EA9-469C-9D78-699664180D8F}" uniqueName="10" name="Method of Coercion" queryTableFieldId="10"/>
    <tableColumn id="11" xr3:uid="{853BEA0A-519B-4EF2-9EBC-1214CB404E5F}" uniqueName="11" name="Multiple Offenders vs. Single Offender" queryTableFieldId="11"/>
    <tableColumn id="12" xr3:uid="{8EF871DA-BF91-4ABE-8E84-E8FDBB97ED1B}" uniqueName="12" name="Repeat Offender or Known Suspect" queryTableFieldId="12"/>
    <tableColumn id="13" xr3:uid="{A5F6A426-9F30-4E15-833C-3B7FAF5E90DA}" uniqueName="13" name="Use of Technology" queryTableFieldId="13"/>
    <tableColumn id="14" xr3:uid="{732D1803-4F8F-4B0F-974D-535D1D8749AF}" uniqueName="14" name="Victim Demographics" queryTableFieldId="14"/>
    <tableColumn id="15" xr3:uid="{0553828A-8436-4AC7-9061-9F4C8F4B4E0E}" uniqueName="15" name="Narrative" queryTableFieldId="15" dataDxfId="107"/>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B1421D6-49A5-4C19-8054-CA2AEBB6C3EB}" name="ESRI_Export" displayName="ESRI_Export" ref="A1:BA61" tableType="queryTable" totalsRowShown="0">
  <autoFilter ref="A1:BA61" xr:uid="{CB1421D6-49A5-4C19-8054-CA2AEBB6C3EB}"/>
  <tableColumns count="53">
    <tableColumn id="1" xr3:uid="{1A260135-7C1F-4549-9904-CE739FD5EC03}" uniqueName="1" name="Case Number" queryTableFieldId="1" dataDxfId="53"/>
    <tableColumn id="2" xr3:uid="{4DD7E842-2F60-411B-B9F6-3C281ECAC31F}" uniqueName="2" name="BLOCK" queryTableFieldId="2"/>
    <tableColumn id="3" xr3:uid="{4C9B663C-D3D7-4259-8B0C-5229E5DA4498}" uniqueName="3" name="TIME_OF_DAY" queryTableFieldId="3"/>
    <tableColumn id="4" xr3:uid="{2DE8D3E1-FBEC-457F-B356-86209B39902B}" uniqueName="4" name="Location" queryTableFieldId="4"/>
    <tableColumn id="5" xr3:uid="{A29DC2A6-88B5-40DA-9292-7E4EDD937C4F}" uniqueName="5" name="ALL_INCIDENTS" queryTableFieldId="5"/>
    <tableColumn id="6" xr3:uid="{89DFD9AD-35B0-49E9-B322-B5332B20849E}" uniqueName="6" name="Incident Type_1" queryTableFieldId="6" dataDxfId="52"/>
    <tableColumn id="7" xr3:uid="{C529407F-93C6-44E2-A4B2-37DF973107AD}" uniqueName="7" name="Incident Type_2" queryTableFieldId="7" dataDxfId="51"/>
    <tableColumn id="8" xr3:uid="{A5C9DA51-3B47-4D4A-9728-E38676530B2A}" uniqueName="8" name="Incident Type_3" queryTableFieldId="8" dataDxfId="50"/>
    <tableColumn id="9" xr3:uid="{C0D96BA2-D73F-4F63-AF89-D200CDE2DC90}" uniqueName="9" name="FullAddress" queryTableFieldId="9" dataDxfId="49"/>
    <tableColumn id="10" xr3:uid="{3D4CF968-E25F-4F08-99D1-C58E4A2AD324}" uniqueName="10" name="Grid" queryTableFieldId="10" dataDxfId="48"/>
    <tableColumn id="11" xr3:uid="{2593D1C7-B10C-45C6-8DAB-264F25F98141}" uniqueName="11" name="Zone" queryTableFieldId="11"/>
    <tableColumn id="12" xr3:uid="{2ED77724-690B-4403-8785-7415706FD483}" uniqueName="12" name="Narrative" queryTableFieldId="12" dataDxfId="47"/>
    <tableColumn id="13" xr3:uid="{BE1573E4-230E-4143-AD28-F66AFD8FD9C6}" uniqueName="13" name="Total Value Stolen" queryTableFieldId="13"/>
    <tableColumn id="14" xr3:uid="{0C58A9F1-7DD8-49DE-A5AE-3EB9942B83D6}" uniqueName="14" name="Total Value Recover" queryTableFieldId="14"/>
    <tableColumn id="15" xr3:uid="{E3682E44-F771-470A-8C29-EEB9BC3BDE9E}" uniqueName="15" name="Registration 1" queryTableFieldId="15" dataDxfId="46"/>
    <tableColumn id="16" xr3:uid="{B7BDDA6F-6D16-4427-AD62-120FEB066753}" uniqueName="16" name="Make1" queryTableFieldId="16" dataDxfId="45"/>
    <tableColumn id="17" xr3:uid="{BA72A6D2-744E-457F-B766-23118648AF1F}" uniqueName="17" name="Model1" queryTableFieldId="17" dataDxfId="44"/>
    <tableColumn id="18" xr3:uid="{915CD8C2-0480-451E-80CE-2FE6B05BCE75}" uniqueName="18" name="Reg State 1" queryTableFieldId="18" dataDxfId="43"/>
    <tableColumn id="19" xr3:uid="{0782FA1D-DE24-487D-89CC-B1BCA46230F2}" uniqueName="19" name="Registration 2" queryTableFieldId="19"/>
    <tableColumn id="20" xr3:uid="{B6719D62-6C5B-45AE-A3A4-390A3C9C64BA}" uniqueName="20" name="Reg State 2" queryTableFieldId="20"/>
    <tableColumn id="21" xr3:uid="{8A4BB2B0-50CF-40C1-B339-B501EB50AC99}" uniqueName="21" name="Make2" queryTableFieldId="21"/>
    <tableColumn id="22" xr3:uid="{437CCA36-0B98-49CA-B4AF-7743560EC867}" uniqueName="22" name="Model2" queryTableFieldId="22"/>
    <tableColumn id="23" xr3:uid="{C0CD1E14-B795-428D-B0FE-1AE51F120424}" uniqueName="23" name="Reviewed By" queryTableFieldId="23" dataDxfId="42"/>
    <tableColumn id="24" xr3:uid="{93419BD8-E39A-453A-AF9B-64BCF9A99F4E}" uniqueName="24" name="CompleteCalc" queryTableFieldId="24" dataDxfId="41"/>
    <tableColumn id="25" xr3:uid="{341B8E26-52D7-4B68-96FF-634B7DBB2849}" uniqueName="25" name="Officer of Record" queryTableFieldId="25" dataDxfId="40"/>
    <tableColumn id="26" xr3:uid="{A3B141B7-8896-4674-BD75-17DAA900C379}" uniqueName="26" name="Squad" queryTableFieldId="26" dataDxfId="39"/>
    <tableColumn id="27" xr3:uid="{ED7BBB78-CD8B-4EF7-8214-E48B43A120A8}" uniqueName="27" name="Det_Assigned" queryTableFieldId="27" dataDxfId="38"/>
    <tableColumn id="28" xr3:uid="{23F23ECE-2E06-44D4-AB77-E882907150E7}" uniqueName="28" name="Case_Status" queryTableFieldId="28" dataDxfId="37"/>
    <tableColumn id="29" xr3:uid="{7EBB33B1-1343-4348-AFE7-6E50C41455DE}" uniqueName="29" name="NIBRS Classification" queryTableFieldId="29" dataDxfId="36"/>
    <tableColumn id="30" xr3:uid="{247D2ECE-982B-4793-A25F-FC406EDEFFBE}" uniqueName="30" name="CASE_NUMBER_LENGTH" queryTableFieldId="30"/>
    <tableColumn id="31" xr3:uid="{78048161-B080-4B0F-9129-E3469422457E}" uniqueName="31" name="Incident Date" queryTableFieldId="31" dataDxfId="35"/>
    <tableColumn id="32" xr3:uid="{AFEF0645-7380-4E23-9CDE-F1C52967B308}" uniqueName="32" name="Incident Time" queryTableFieldId="32" dataDxfId="34"/>
    <tableColumn id="33" xr3:uid="{EA9093D2-D9EE-4BC5-BE66-BA60A58F0C0D}" uniqueName="33" name="Incident Date_Between" queryTableFieldId="33" dataDxfId="33"/>
    <tableColumn id="34" xr3:uid="{D4B23FCC-5A0D-43C5-B133-2AB00A56AE7F}" uniqueName="34" name="Incident Time_Between" queryTableFieldId="34" dataDxfId="32"/>
    <tableColumn id="35" xr3:uid="{F71D72FB-A7DE-4021-A4A1-F9A67CAD2650}" uniqueName="35" name="Report Date" queryTableFieldId="35" dataDxfId="31"/>
    <tableColumn id="36" xr3:uid="{AEC507C2-512F-4A7B-8572-2EB345EC7D21}" uniqueName="36" name="Report Time" queryTableFieldId="36" dataDxfId="30"/>
    <tableColumn id="37" xr3:uid="{58F3F383-D020-4E4E-A16A-F11620B05CD9}" uniqueName="37" name="Year" queryTableFieldId="37"/>
    <tableColumn id="38" xr3:uid="{9A748EC2-34A1-42F8-940F-EFA85FB6362F}" uniqueName="38" name="St#" queryTableFieldId="38"/>
    <tableColumn id="39" xr3:uid="{063CE6FE-560C-45C4-BB93-4C03AF84046C}" uniqueName="39" name="Notes" queryTableFieldId="39"/>
    <tableColumn id="40" xr3:uid="{BF41DEC5-A309-44C2-9715-2A93C2E74611}" uniqueName="40" name="VEHICLE" queryTableFieldId="40"/>
    <tableColumn id="41" xr3:uid="{540AF7E0-57BA-4BE7-A740-61E2D3AA1927}" uniqueName="41" name="Suspect" queryTableFieldId="41"/>
    <tableColumn id="42" xr3:uid="{364C6413-5A5A-422A-AA85-AE3A47D8D290}" uniqueName="42" name="TOTAL_STOLEN_AMOUNT" queryTableFieldId="42"/>
    <tableColumn id="43" xr3:uid="{8FAF0B68-32C3-4F77-B12F-0C317981FE1B}" uniqueName="43" name="INC_DATE" queryTableFieldId="43" dataDxfId="29"/>
    <tableColumn id="44" xr3:uid="{9642897C-4BF1-46AC-861B-96D63C57FC27}" uniqueName="44" name="Start of Hour" queryTableFieldId="44" dataDxfId="28"/>
    <tableColumn id="45" xr3:uid="{FB7789C5-974F-422B-92CB-0E5DAFF8CADB}" uniqueName="45" name="INC_TIME" queryTableFieldId="45" dataDxfId="27"/>
    <tableColumn id="46" xr3:uid="{D2EDBD52-148B-42B9-A792-38A30967165F}" uniqueName="46" name="Day Name" queryTableFieldId="46"/>
    <tableColumn id="47" xr3:uid="{501CC638-89D0-4C9C-B1CF-F841D4A66CEB}" uniqueName="47" name="Month Name" queryTableFieldId="47"/>
    <tableColumn id="48" xr3:uid="{9BE38310-93EE-4046-8BD1-99C7AC5D6A43}" uniqueName="48" name="Week of Year" queryTableFieldId="48"/>
    <tableColumn id="49" xr3:uid="{F48432D7-7385-4909-9D80-FD55105D86B1}" uniqueName="49" name="Week of Month" queryTableFieldId="49"/>
    <tableColumn id="50" xr3:uid="{8716AD21-1C2D-47F2-83EF-7311D1D7F677}" uniqueName="50" name="Day" queryTableFieldId="50"/>
    <tableColumn id="51" xr3:uid="{CA486621-CF71-4D49-B6BE-1C7BA7FDCBAE}" uniqueName="51" name="Day of Year" queryTableFieldId="51"/>
    <tableColumn id="52" xr3:uid="{4823D4D6-CCF9-4DD3-85BB-461C8984EC77}" uniqueName="52" name="INC_DATE_AND_TIME" queryTableFieldId="52" dataDxfId="26"/>
    <tableColumn id="53" xr3:uid="{666806E8-A156-4145-B61D-AF5DAB48E4E3}" uniqueName="53" name="REPORT_CYCLE" queryTableFieldId="53" dataDxfId="25"/>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0CC6F-DCE6-452D-A909-6929E27084A0}" name="RMS" displayName="RMS" ref="A1:AK717" tableType="queryTable" totalsRowShown="0" headerRowDxfId="24" dataDxfId="23">
  <autoFilter ref="A1:AK717" xr:uid="{D550CC6F-DCE6-452D-A909-6929E27084A0}"/>
  <tableColumns count="37">
    <tableColumn id="1" xr3:uid="{8C134375-0E99-4A5C-BA13-873C70E28E00}" uniqueName="1" name="Name" queryTableFieldId="112" dataDxfId="22"/>
    <tableColumn id="2" xr3:uid="{B4C3D36E-6816-46CD-9136-084AD7C6EB85}" uniqueName="2" name="Extension" queryTableFieldId="113" dataDxfId="21"/>
    <tableColumn id="3" xr3:uid="{05AD6CA3-F274-41A6-818A-5BF65BCB7255}" uniqueName="3" name="Date accessed" queryTableFieldId="114" dataDxfId="20"/>
    <tableColumn id="4" xr3:uid="{6057A291-CD62-436B-BE04-EC63DE453BE2}" uniqueName="4" name="Date modified" queryTableFieldId="115" dataDxfId="19"/>
    <tableColumn id="5" xr3:uid="{F3CBF7C6-F083-4C92-8509-BD21427C5588}" uniqueName="5" name="Date created" queryTableFieldId="116" dataDxfId="18"/>
    <tableColumn id="6" xr3:uid="{C2545E2E-E51D-4B9B-9F6F-AC803B1381B4}" uniqueName="6" name="Folder Path" queryTableFieldId="117" dataDxfId="17"/>
    <tableColumn id="9" xr3:uid="{F1ECED84-1A41-41F9-BB17-EACEFFD6862B}" uniqueName="9" name="Case Number" queryTableFieldId="125"/>
    <tableColumn id="10" xr3:uid="{E8C1B1EC-4B67-46FA-A7A4-F267CF6121D4}" uniqueName="10" name="Incident Date" queryTableFieldId="126"/>
    <tableColumn id="11" xr3:uid="{6CDBBF9E-BBA2-4045-B096-E93EF0313D6C}" uniqueName="11" name="Incident Time" queryTableFieldId="127"/>
    <tableColumn id="12" xr3:uid="{E847D988-BA6F-406A-9680-59DB48807548}" uniqueName="12" name="Incident Date_Between" queryTableFieldId="128"/>
    <tableColumn id="13" xr3:uid="{668E998C-8D44-4BF8-B002-0DACD79B867A}" uniqueName="13" name="Incident Time_Between" queryTableFieldId="129"/>
    <tableColumn id="14" xr3:uid="{4151D664-83F3-41B8-9526-5F9137ABEA9B}" uniqueName="14" name="Report Date" queryTableFieldId="130"/>
    <tableColumn id="15" xr3:uid="{2A52C3E5-3F7A-4D44-813C-568719D34C64}" uniqueName="15" name="Report Time" queryTableFieldId="131"/>
    <tableColumn id="16" xr3:uid="{A5715459-677C-4A5D-824C-EFA79E888960}" uniqueName="16" name="Incident Type_1" queryTableFieldId="132"/>
    <tableColumn id="17" xr3:uid="{0DDF7458-3433-46E7-B9E2-F2B21A748FFC}" uniqueName="17" name="Incident Type_2" queryTableFieldId="133"/>
    <tableColumn id="18" xr3:uid="{FF1B963E-D15D-4A34-AFF8-D2F2B0D16B9A}" uniqueName="18" name="Incident Type_3" queryTableFieldId="134"/>
    <tableColumn id="19" xr3:uid="{5632BB85-EFB1-497F-8558-73B2C7A8DE04}" uniqueName="19" name="FullAddress" queryTableFieldId="135"/>
    <tableColumn id="20" xr3:uid="{62ADBB42-A92B-46A7-9119-26071335DE1C}" uniqueName="20" name="Grid" queryTableFieldId="136"/>
    <tableColumn id="21" xr3:uid="{D9FF6139-CBEE-4CBF-85DB-F04FA615BCAF}" uniqueName="21" name="Zone" queryTableFieldId="137"/>
    <tableColumn id="22" xr3:uid="{3EBD5AFE-B6A3-4E03-841B-9C57FC64E441}" uniqueName="22" name="Narrative" queryTableFieldId="138"/>
    <tableColumn id="23" xr3:uid="{1D8322F0-C458-4BAB-9CE0-1D51B3A030A9}" uniqueName="23" name="Total Value Stolen" queryTableFieldId="139"/>
    <tableColumn id="24" xr3:uid="{180619B6-8BC6-495C-B8A0-6F6ADE3EB681}" uniqueName="24" name="Total Value Recover" queryTableFieldId="140"/>
    <tableColumn id="25" xr3:uid="{DA78AE9D-93DE-4FD6-87CC-7CE3F5AF0649}" uniqueName="25" name="Registration 1" queryTableFieldId="141"/>
    <tableColumn id="26" xr3:uid="{F0ACD5E0-3FF8-4D02-A67F-FE2ECD35AF0B}" uniqueName="26" name="Make1" queryTableFieldId="142"/>
    <tableColumn id="27" xr3:uid="{9A03DF1E-45C2-4F61-8E6A-D611C7F03759}" uniqueName="27" name="Model1" queryTableFieldId="143"/>
    <tableColumn id="28" xr3:uid="{7D02732A-4FF5-4ABD-863D-3B7DB496E2C1}" uniqueName="28" name="Reg State 1" queryTableFieldId="144"/>
    <tableColumn id="29" xr3:uid="{C67BBB5B-7629-4537-8E90-05BCBFB9FAD1}" uniqueName="29" name="Registration 2" queryTableFieldId="145"/>
    <tableColumn id="30" xr3:uid="{30ED5AA8-349B-42A1-A17E-5288C1AB94E8}" uniqueName="30" name="Reg State 2" queryTableFieldId="146"/>
    <tableColumn id="31" xr3:uid="{C6789838-6688-411E-AF90-D69D5F6609ED}" uniqueName="31" name="Make2" queryTableFieldId="147"/>
    <tableColumn id="32" xr3:uid="{3B803735-F10A-46E5-AF0D-9BFEB73ACC61}" uniqueName="32" name="Model2" queryTableFieldId="148"/>
    <tableColumn id="33" xr3:uid="{F5B3B3FB-0B6D-40A6-B841-2BC523183201}" uniqueName="33" name="Reviewed By" queryTableFieldId="149"/>
    <tableColumn id="34" xr3:uid="{21E8EA17-58BB-4CF1-AE3C-069FC8CD6065}" uniqueName="34" name="CompleteCalc" queryTableFieldId="150"/>
    <tableColumn id="35" xr3:uid="{0D345489-7CD0-46C4-8728-946DAB28A0FB}" uniqueName="35" name="Officer of Record" queryTableFieldId="151"/>
    <tableColumn id="36" xr3:uid="{B51FF124-8A1D-4B73-973A-E984F094EA73}" uniqueName="36" name="Squad" queryTableFieldId="152"/>
    <tableColumn id="37" xr3:uid="{D629399E-CD68-41C0-B544-FEEFFFD6675F}" uniqueName="37" name="Det_Assigned" queryTableFieldId="153"/>
    <tableColumn id="38" xr3:uid="{A8F1455A-0072-4D76-A34C-8108A69659EB}" uniqueName="38" name="Case_Status" queryTableFieldId="154"/>
    <tableColumn id="39" xr3:uid="{14B4E8B6-2049-428F-A87C-23FC54DAB0E3}" uniqueName="39" name="NIBRS Classification" queryTableFieldId="155"/>
  </tableColumns>
  <tableStyleInfo name="TableStyleLight18 3"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D7BFB5-DE87-453F-B008-96471774DBC6}" name="_7Day_28Day_250414___2" displayName="_7Day_28Day_250414___2" ref="A1:G53" totalsRowShown="0">
  <autoFilter ref="A1:G53" xr:uid="{C3D7BFB5-DE87-453F-B008-96471774DBC6}"/>
  <tableColumns count="7">
    <tableColumn id="1" xr3:uid="{718B9033-645F-4266-9860-38B3FB024295}" name="Report_Due_Date" dataDxfId="16"/>
    <tableColumn id="2" xr3:uid="{98C5A2A6-E059-4AE5-B823-AB869D699EEA}" name="7_Day_Start" dataDxfId="15"/>
    <tableColumn id="3" xr3:uid="{F7298E0B-BF8D-4557-879F-7FF7C9A82CA0}" name="7_Day_End" dataDxfId="14"/>
    <tableColumn id="4" xr3:uid="{31C984E2-8588-4006-8DB0-C106BC1436C5}" name="28_Day_Start" dataDxfId="13"/>
    <tableColumn id="5" xr3:uid="{056A364F-B3DB-415C-A46D-4F5FCBC5B32B}" name="28_Day_End" dataDxfId="12"/>
    <tableColumn id="6" xr3:uid="{BC69DFC2-EB2B-43B8-B52F-070228AA9EB3}" name="Report_Name" dataDxfId="11"/>
    <tableColumn id="7" xr3:uid="{B2AE0C58-411A-4344-8B07-E9FEB8FC8489}" name="Is_Due"/>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C77E981-624B-4750-9390-1B1C1ACBE2F8}" name="_7Day_28Day_250414_" displayName="_7Day_28Day_250414_" ref="A1:G53" totalsRowShown="0" headerRowDxfId="10" dataDxfId="9">
  <autoFilter ref="A1:G53" xr:uid="{FC77E981-624B-4750-9390-1B1C1ACBE2F8}"/>
  <tableColumns count="7">
    <tableColumn id="1" xr3:uid="{C2077B8A-7848-45BC-80C0-09EA31469A71}" name="Report_Due_Date" dataDxfId="8"/>
    <tableColumn id="2" xr3:uid="{FD915C28-FAFC-45F9-A51F-115DE8D4C365}" name="7_Day_Start" dataDxfId="7"/>
    <tableColumn id="3" xr3:uid="{B72998EF-7A6B-4A03-8A36-1DE4719FBBE0}" name="7_Day_End" dataDxfId="6"/>
    <tableColumn id="4" xr3:uid="{8036B9F5-2CED-4D6B-9BD1-0772683EAF00}" name="28_Day_Start" dataDxfId="5"/>
    <tableColumn id="5" xr3:uid="{3D318415-2E7E-4770-ADB7-937F1DE183E2}" name="28_Day_End" dataDxfId="4"/>
    <tableColumn id="6" xr3:uid="{7B8B2D79-5155-4A65-86BB-524E8C2DA487}" name="Report_Name" dataDxfId="3"/>
    <tableColumn id="7" xr3:uid="{162878D3-B867-46F0-8059-C535B1BF9949}" name="Is_Due" dataDxfId="2">
      <calculatedColumnFormula>_7Day_28Day_250414_[[#This Row],[Report_Due_Date]]=TODAY()+MOD(2-WEEKDAY(TODAY(),2),7)+IF(WEEKDAY(TODAY(),2)=2,7,0)</calculatedColumnFormula>
    </tableColumn>
  </tableColumns>
  <tableStyleInfo name="TableStyleLight15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bin"/><Relationship Id="rId7" Type="http://schemas.openxmlformats.org/officeDocument/2006/relationships/table" Target="../tables/table2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queryTable" Target="../queryTables/queryTable19.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9.bin"/></Relationships>
</file>

<file path=xl/worksheets/_rels/sheet26.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805C-7395-4B3F-93BE-BDFC93BAE616}">
  <sheetPr>
    <tabColor rgb="FFD3B5E9"/>
  </sheetPr>
  <dimension ref="A1:AV6"/>
  <sheetViews>
    <sheetView workbookViewId="0">
      <selection sqref="A1:XFD1"/>
    </sheetView>
  </sheetViews>
  <sheetFormatPr defaultRowHeight="14.4" x14ac:dyDescent="0.3"/>
  <cols>
    <col min="1" max="1" width="14.44140625" bestFit="1" customWidth="1"/>
    <col min="2" max="2" width="19.5546875" bestFit="1" customWidth="1"/>
    <col min="3" max="3" width="23.88671875" bestFit="1" customWidth="1"/>
    <col min="4" max="4" width="17.21875" bestFit="1" customWidth="1"/>
    <col min="5" max="5" width="49.109375" bestFit="1" customWidth="1"/>
    <col min="6" max="6" width="17.6640625" bestFit="1" customWidth="1"/>
    <col min="7" max="7" width="25.77734375" bestFit="1" customWidth="1"/>
    <col min="8" max="8" width="16.77734375" bestFit="1" customWidth="1"/>
    <col min="9" max="9" width="36.88671875" bestFit="1" customWidth="1"/>
    <col min="10" max="10" width="6.6640625" bestFit="1" customWidth="1"/>
    <col min="11" max="11" width="7.6640625" bestFit="1" customWidth="1"/>
    <col min="12" max="12" width="80.88671875" bestFit="1" customWidth="1"/>
    <col min="13" max="13" width="18.5546875" bestFit="1" customWidth="1"/>
    <col min="14" max="14" width="20.109375" bestFit="1" customWidth="1"/>
    <col min="15" max="15" width="14.6640625" bestFit="1" customWidth="1"/>
    <col min="16" max="16" width="10.77734375" bestFit="1" customWidth="1"/>
    <col min="17" max="17" width="9.6640625" bestFit="1" customWidth="1"/>
    <col min="18" max="18" width="12.5546875" bestFit="1" customWidth="1"/>
    <col min="19" max="19" width="14.6640625" bestFit="1" customWidth="1"/>
    <col min="20" max="20" width="12.5546875" bestFit="1" customWidth="1"/>
    <col min="21" max="21" width="9" bestFit="1" customWidth="1"/>
    <col min="22" max="22" width="9.6640625" bestFit="1" customWidth="1"/>
    <col min="23" max="23" width="13.88671875" bestFit="1" customWidth="1"/>
    <col min="24" max="24" width="14.77734375" bestFit="1" customWidth="1"/>
    <col min="25" max="25" width="24.77734375" bestFit="1" customWidth="1"/>
    <col min="26" max="26" width="8.5546875" bestFit="1" customWidth="1"/>
    <col min="27" max="27" width="25" bestFit="1" customWidth="1"/>
    <col min="28" max="28" width="17" bestFit="1" customWidth="1"/>
    <col min="29" max="29" width="19.88671875" bestFit="1" customWidth="1"/>
    <col min="30" max="30" width="24.44140625" bestFit="1" customWidth="1"/>
    <col min="31" max="31" width="7.109375" bestFit="1" customWidth="1"/>
    <col min="32" max="32" width="6.109375" bestFit="1" customWidth="1"/>
    <col min="33" max="33" width="80.88671875" bestFit="1" customWidth="1"/>
    <col min="34" max="34" width="59.77734375" bestFit="1" customWidth="1"/>
    <col min="35" max="36" width="80.88671875" bestFit="1" customWidth="1"/>
    <col min="37" max="37" width="11.88671875" bestFit="1" customWidth="1"/>
    <col min="38" max="38" width="22.77734375" bestFit="1" customWidth="1"/>
    <col min="39" max="39" width="14.21875" bestFit="1" customWidth="1"/>
    <col min="40" max="40" width="13.33203125" bestFit="1" customWidth="1"/>
    <col min="41" max="41" width="11.88671875" bestFit="1" customWidth="1"/>
    <col min="42" max="42" width="14.44140625" bestFit="1" customWidth="1"/>
    <col min="43" max="43" width="14.5546875" bestFit="1" customWidth="1"/>
    <col min="44" max="44" width="16.77734375" bestFit="1" customWidth="1"/>
    <col min="45" max="45" width="6.6640625" bestFit="1" customWidth="1"/>
    <col min="46" max="46" width="13" bestFit="1" customWidth="1"/>
    <col min="47" max="47" width="22.21875" bestFit="1" customWidth="1"/>
    <col min="48" max="48" width="16.109375" bestFit="1" customWidth="1"/>
  </cols>
  <sheetData>
    <row r="1" spans="1:48" s="32" customFormat="1" ht="15.6" x14ac:dyDescent="0.3">
      <c r="A1" s="122" t="s">
        <v>0</v>
      </c>
      <c r="B1" s="122" t="s">
        <v>7</v>
      </c>
      <c r="C1" s="122" t="s">
        <v>52</v>
      </c>
      <c r="D1" s="122" t="s">
        <v>8</v>
      </c>
      <c r="E1" s="122" t="s">
        <v>10</v>
      </c>
      <c r="F1" s="122" t="s">
        <v>9</v>
      </c>
      <c r="G1" s="122" t="s">
        <v>11</v>
      </c>
      <c r="H1" s="122" t="s">
        <v>12</v>
      </c>
      <c r="I1" s="122" t="s">
        <v>13</v>
      </c>
      <c r="J1" s="122" t="s">
        <v>14</v>
      </c>
      <c r="K1" s="122" t="s">
        <v>15</v>
      </c>
      <c r="L1" s="122" t="s">
        <v>16</v>
      </c>
      <c r="M1" s="122" t="s">
        <v>17</v>
      </c>
      <c r="N1" s="122" t="s">
        <v>18</v>
      </c>
      <c r="O1" s="122" t="s">
        <v>19</v>
      </c>
      <c r="P1" s="122" t="s">
        <v>20</v>
      </c>
      <c r="Q1" s="122" t="s">
        <v>21</v>
      </c>
      <c r="R1" s="122" t="s">
        <v>22</v>
      </c>
      <c r="S1" s="122" t="s">
        <v>23</v>
      </c>
      <c r="T1" s="122" t="s">
        <v>24</v>
      </c>
      <c r="U1" s="122" t="s">
        <v>25</v>
      </c>
      <c r="V1" s="122" t="s">
        <v>26</v>
      </c>
      <c r="W1" s="122" t="s">
        <v>27</v>
      </c>
      <c r="X1" s="122" t="s">
        <v>28</v>
      </c>
      <c r="Y1" s="122" t="s">
        <v>29</v>
      </c>
      <c r="Z1" s="122" t="s">
        <v>30</v>
      </c>
      <c r="AA1" s="122" t="s">
        <v>31</v>
      </c>
      <c r="AB1" s="122" t="s">
        <v>32</v>
      </c>
      <c r="AC1" s="122" t="s">
        <v>33</v>
      </c>
      <c r="AD1" s="122" t="s">
        <v>34</v>
      </c>
      <c r="AE1" s="122" t="s">
        <v>41</v>
      </c>
      <c r="AF1" s="122" t="s">
        <v>47</v>
      </c>
      <c r="AG1" s="122" t="s">
        <v>459</v>
      </c>
      <c r="AH1" s="122" t="s">
        <v>48</v>
      </c>
      <c r="AI1" s="122" t="s">
        <v>49</v>
      </c>
      <c r="AJ1" s="122" t="s">
        <v>50</v>
      </c>
      <c r="AK1" s="122" t="s">
        <v>1</v>
      </c>
      <c r="AL1" s="122" t="s">
        <v>2</v>
      </c>
      <c r="AM1" s="122" t="s">
        <v>3</v>
      </c>
      <c r="AN1" s="122" t="s">
        <v>4</v>
      </c>
      <c r="AO1" s="122" t="s">
        <v>5</v>
      </c>
      <c r="AP1" s="122" t="s">
        <v>6</v>
      </c>
      <c r="AQ1" s="122" t="s">
        <v>42</v>
      </c>
      <c r="AR1" s="122" t="s">
        <v>43</v>
      </c>
      <c r="AS1" s="122" t="s">
        <v>44</v>
      </c>
      <c r="AT1" s="122" t="s">
        <v>45</v>
      </c>
      <c r="AU1" s="122" t="s">
        <v>46</v>
      </c>
      <c r="AV1" s="122" t="s">
        <v>51</v>
      </c>
    </row>
    <row r="2" spans="1:48" ht="15.6" x14ac:dyDescent="0.3">
      <c r="A2" s="36" t="s">
        <v>717</v>
      </c>
      <c r="B2" s="36" t="s">
        <v>718</v>
      </c>
      <c r="C2" s="36" t="s">
        <v>172</v>
      </c>
      <c r="D2" s="36" t="s">
        <v>719</v>
      </c>
      <c r="E2" s="36" t="s">
        <v>720</v>
      </c>
      <c r="F2" s="36" t="s">
        <v>58</v>
      </c>
      <c r="G2" s="36" t="s">
        <v>361</v>
      </c>
      <c r="H2" s="36" t="s">
        <v>721</v>
      </c>
      <c r="I2" s="36" t="s">
        <v>722</v>
      </c>
      <c r="J2" s="36" t="s">
        <v>592</v>
      </c>
      <c r="K2" s="36">
        <v>7</v>
      </c>
      <c r="L2" s="36" t="s">
        <v>723</v>
      </c>
      <c r="M2" s="36"/>
      <c r="N2" s="36"/>
      <c r="O2" s="36" t="s">
        <v>724</v>
      </c>
      <c r="P2" s="36" t="s">
        <v>500</v>
      </c>
      <c r="Q2" s="36" t="s">
        <v>725</v>
      </c>
      <c r="R2" s="36" t="s">
        <v>65</v>
      </c>
      <c r="S2" s="36"/>
      <c r="T2" s="36"/>
      <c r="U2" s="36"/>
      <c r="V2" s="36"/>
      <c r="W2" s="36" t="s">
        <v>726</v>
      </c>
      <c r="X2" s="36" t="s">
        <v>67</v>
      </c>
      <c r="Y2" s="36" t="s">
        <v>89</v>
      </c>
      <c r="Z2" s="36" t="s">
        <v>90</v>
      </c>
      <c r="AA2" s="36"/>
      <c r="AB2" s="36"/>
      <c r="AC2" s="36"/>
      <c r="AD2" s="36">
        <v>9</v>
      </c>
      <c r="AE2" s="36">
        <v>2025</v>
      </c>
      <c r="AF2" s="36">
        <v>120</v>
      </c>
      <c r="AG2" s="36" t="s">
        <v>723</v>
      </c>
      <c r="AH2" s="36" t="s">
        <v>727</v>
      </c>
      <c r="AI2" s="36" t="s">
        <v>728</v>
      </c>
      <c r="AJ2" s="36" t="s">
        <v>729</v>
      </c>
      <c r="AK2" s="188">
        <v>45755</v>
      </c>
      <c r="AL2" s="36" t="s">
        <v>162</v>
      </c>
      <c r="AM2" s="190">
        <v>0</v>
      </c>
      <c r="AN2" s="190">
        <v>3.2638888888888891E-2</v>
      </c>
      <c r="AO2" s="36" t="s">
        <v>451</v>
      </c>
      <c r="AP2" s="36" t="s">
        <v>598</v>
      </c>
      <c r="AQ2" s="36">
        <v>15</v>
      </c>
      <c r="AR2" s="36">
        <v>2</v>
      </c>
      <c r="AS2" s="36">
        <v>8</v>
      </c>
      <c r="AT2" s="36">
        <v>98</v>
      </c>
      <c r="AU2" s="191">
        <v>45755.032638888886</v>
      </c>
      <c r="AV2" s="36" t="s">
        <v>730</v>
      </c>
    </row>
    <row r="3" spans="1:48" ht="15.6" x14ac:dyDescent="0.3">
      <c r="A3" s="36" t="s">
        <v>819</v>
      </c>
      <c r="B3" s="36" t="s">
        <v>294</v>
      </c>
      <c r="C3" s="36" t="s">
        <v>76</v>
      </c>
      <c r="D3" s="36" t="s">
        <v>820</v>
      </c>
      <c r="E3" s="36" t="s">
        <v>132</v>
      </c>
      <c r="F3" s="36" t="s">
        <v>132</v>
      </c>
      <c r="G3" s="36" t="s">
        <v>59</v>
      </c>
      <c r="H3" s="36" t="s">
        <v>59</v>
      </c>
      <c r="I3" s="36" t="s">
        <v>821</v>
      </c>
      <c r="J3" s="36" t="s">
        <v>145</v>
      </c>
      <c r="K3" s="36">
        <v>5</v>
      </c>
      <c r="L3" s="36" t="s">
        <v>822</v>
      </c>
      <c r="M3" s="36"/>
      <c r="N3" s="36"/>
      <c r="O3" s="36"/>
      <c r="P3" s="36"/>
      <c r="Q3" s="36"/>
      <c r="R3" s="36"/>
      <c r="S3" s="36"/>
      <c r="T3" s="36"/>
      <c r="U3" s="36"/>
      <c r="V3" s="36"/>
      <c r="W3" s="36" t="s">
        <v>416</v>
      </c>
      <c r="X3" s="36" t="s">
        <v>67</v>
      </c>
      <c r="Y3" s="36" t="s">
        <v>579</v>
      </c>
      <c r="Z3" s="36" t="s">
        <v>121</v>
      </c>
      <c r="AA3" s="36" t="s">
        <v>106</v>
      </c>
      <c r="AB3" s="36" t="s">
        <v>123</v>
      </c>
      <c r="AC3" s="36"/>
      <c r="AD3" s="36">
        <v>9</v>
      </c>
      <c r="AE3" s="36">
        <v>2025</v>
      </c>
      <c r="AF3" s="36">
        <v>140</v>
      </c>
      <c r="AG3" s="36" t="s">
        <v>822</v>
      </c>
      <c r="AH3" s="36"/>
      <c r="AI3" s="36" t="s">
        <v>59</v>
      </c>
      <c r="AJ3" s="36" t="s">
        <v>823</v>
      </c>
      <c r="AK3" s="188">
        <v>45755</v>
      </c>
      <c r="AL3" s="36" t="s">
        <v>54</v>
      </c>
      <c r="AM3" s="190">
        <v>0.5</v>
      </c>
      <c r="AN3" s="190">
        <v>0.5</v>
      </c>
      <c r="AO3" s="36" t="s">
        <v>451</v>
      </c>
      <c r="AP3" s="36" t="s">
        <v>598</v>
      </c>
      <c r="AQ3" s="36">
        <v>15</v>
      </c>
      <c r="AR3" s="36">
        <v>2</v>
      </c>
      <c r="AS3" s="36">
        <v>8</v>
      </c>
      <c r="AT3" s="36">
        <v>98</v>
      </c>
      <c r="AU3" s="191">
        <v>45755.5</v>
      </c>
      <c r="AV3" s="36" t="s">
        <v>730</v>
      </c>
    </row>
    <row r="4" spans="1:48" ht="15.6" x14ac:dyDescent="0.3">
      <c r="A4" s="36" t="s">
        <v>799</v>
      </c>
      <c r="B4" s="36" t="s">
        <v>800</v>
      </c>
      <c r="C4" s="36" t="s">
        <v>109</v>
      </c>
      <c r="D4" s="36" t="s">
        <v>801</v>
      </c>
      <c r="E4" s="36" t="s">
        <v>58</v>
      </c>
      <c r="F4" s="36" t="s">
        <v>58</v>
      </c>
      <c r="G4" s="36" t="s">
        <v>59</v>
      </c>
      <c r="H4" s="36" t="s">
        <v>59</v>
      </c>
      <c r="I4" s="36" t="s">
        <v>802</v>
      </c>
      <c r="J4" s="36" t="s">
        <v>155</v>
      </c>
      <c r="K4" s="36">
        <v>8</v>
      </c>
      <c r="L4" s="36" t="s">
        <v>803</v>
      </c>
      <c r="M4" s="36"/>
      <c r="N4" s="36"/>
      <c r="O4" s="36" t="s">
        <v>804</v>
      </c>
      <c r="P4" s="36" t="s">
        <v>555</v>
      </c>
      <c r="Q4" s="36" t="s">
        <v>805</v>
      </c>
      <c r="R4" s="36" t="s">
        <v>65</v>
      </c>
      <c r="S4" s="36"/>
      <c r="T4" s="36"/>
      <c r="U4" s="36"/>
      <c r="V4" s="36"/>
      <c r="W4" s="36" t="s">
        <v>416</v>
      </c>
      <c r="X4" s="36" t="s">
        <v>67</v>
      </c>
      <c r="Y4" s="36" t="s">
        <v>244</v>
      </c>
      <c r="Z4" s="36" t="s">
        <v>206</v>
      </c>
      <c r="AA4" s="36" t="s">
        <v>524</v>
      </c>
      <c r="AB4" s="36" t="s">
        <v>123</v>
      </c>
      <c r="AC4" s="36"/>
      <c r="AD4" s="36">
        <v>9</v>
      </c>
      <c r="AE4" s="36">
        <v>2025</v>
      </c>
      <c r="AF4" s="36">
        <v>283</v>
      </c>
      <c r="AG4" s="36" t="s">
        <v>803</v>
      </c>
      <c r="AH4" s="36" t="s">
        <v>806</v>
      </c>
      <c r="AI4" s="36" t="s">
        <v>807</v>
      </c>
      <c r="AJ4" s="36" t="s">
        <v>808</v>
      </c>
      <c r="AK4" s="188">
        <v>45756</v>
      </c>
      <c r="AL4" s="36" t="s">
        <v>97</v>
      </c>
      <c r="AM4" s="190">
        <v>0.95833333333333337</v>
      </c>
      <c r="AN4" s="190">
        <v>0.96527777777777779</v>
      </c>
      <c r="AO4" s="36" t="s">
        <v>452</v>
      </c>
      <c r="AP4" s="36" t="s">
        <v>598</v>
      </c>
      <c r="AQ4" s="36">
        <v>15</v>
      </c>
      <c r="AR4" s="36">
        <v>2</v>
      </c>
      <c r="AS4" s="36">
        <v>9</v>
      </c>
      <c r="AT4" s="36">
        <v>99</v>
      </c>
      <c r="AU4" s="191">
        <v>45756.965277777781</v>
      </c>
      <c r="AV4" s="36" t="s">
        <v>730</v>
      </c>
    </row>
    <row r="5" spans="1:48" ht="15.6" x14ac:dyDescent="0.3">
      <c r="A5" s="36" t="s">
        <v>824</v>
      </c>
      <c r="B5" s="36" t="s">
        <v>825</v>
      </c>
      <c r="C5" s="36" t="s">
        <v>95</v>
      </c>
      <c r="D5" s="36" t="s">
        <v>826</v>
      </c>
      <c r="E5" s="36" t="s">
        <v>827</v>
      </c>
      <c r="F5" s="36" t="s">
        <v>58</v>
      </c>
      <c r="G5" s="36" t="s">
        <v>828</v>
      </c>
      <c r="H5" s="36" t="s">
        <v>59</v>
      </c>
      <c r="I5" s="36" t="s">
        <v>829</v>
      </c>
      <c r="J5" s="36" t="s">
        <v>134</v>
      </c>
      <c r="K5" s="36">
        <v>7</v>
      </c>
      <c r="L5" s="36" t="s">
        <v>830</v>
      </c>
      <c r="M5" s="36"/>
      <c r="N5" s="36"/>
      <c r="O5" s="36" t="s">
        <v>831</v>
      </c>
      <c r="P5" s="36" t="s">
        <v>63</v>
      </c>
      <c r="Q5" s="36" t="s">
        <v>218</v>
      </c>
      <c r="R5" s="36" t="s">
        <v>65</v>
      </c>
      <c r="S5" s="36" t="s">
        <v>832</v>
      </c>
      <c r="T5" s="36" t="s">
        <v>65</v>
      </c>
      <c r="U5" s="36" t="s">
        <v>117</v>
      </c>
      <c r="V5" s="36" t="s">
        <v>833</v>
      </c>
      <c r="W5" s="36" t="s">
        <v>157</v>
      </c>
      <c r="X5" s="36" t="s">
        <v>67</v>
      </c>
      <c r="Y5" s="36" t="s">
        <v>834</v>
      </c>
      <c r="Z5" s="36" t="s">
        <v>159</v>
      </c>
      <c r="AA5" s="36" t="s">
        <v>160</v>
      </c>
      <c r="AB5" s="36" t="s">
        <v>435</v>
      </c>
      <c r="AC5" s="36"/>
      <c r="AD5" s="36">
        <v>9</v>
      </c>
      <c r="AE5" s="36">
        <v>2025</v>
      </c>
      <c r="AF5" s="36">
        <v>157</v>
      </c>
      <c r="AG5" s="36" t="s">
        <v>830</v>
      </c>
      <c r="AH5" s="36" t="s">
        <v>835</v>
      </c>
      <c r="AI5" s="36" t="s">
        <v>836</v>
      </c>
      <c r="AJ5" s="36" t="s">
        <v>837</v>
      </c>
      <c r="AK5" s="188">
        <v>45760</v>
      </c>
      <c r="AL5" s="36" t="s">
        <v>78</v>
      </c>
      <c r="AM5" s="190">
        <v>0.66666666666666663</v>
      </c>
      <c r="AN5" s="190">
        <v>0.6875</v>
      </c>
      <c r="AO5" s="36" t="s">
        <v>458</v>
      </c>
      <c r="AP5" s="36" t="s">
        <v>598</v>
      </c>
      <c r="AQ5" s="36">
        <v>16</v>
      </c>
      <c r="AR5" s="36">
        <v>3</v>
      </c>
      <c r="AS5" s="36">
        <v>13</v>
      </c>
      <c r="AT5" s="36">
        <v>103</v>
      </c>
      <c r="AU5" s="191">
        <v>45760.6875</v>
      </c>
      <c r="AV5" s="36" t="s">
        <v>730</v>
      </c>
    </row>
    <row r="6" spans="1:48" ht="15.6" x14ac:dyDescent="0.3">
      <c r="A6" s="36" t="s">
        <v>838</v>
      </c>
      <c r="B6" s="36" t="s">
        <v>56</v>
      </c>
      <c r="C6" s="36" t="s">
        <v>95</v>
      </c>
      <c r="D6" s="36" t="s">
        <v>839</v>
      </c>
      <c r="E6" s="36" t="s">
        <v>840</v>
      </c>
      <c r="F6" s="36" t="s">
        <v>132</v>
      </c>
      <c r="G6" s="36" t="s">
        <v>841</v>
      </c>
      <c r="H6" s="36" t="s">
        <v>708</v>
      </c>
      <c r="I6" s="36" t="s">
        <v>842</v>
      </c>
      <c r="J6" s="36" t="s">
        <v>327</v>
      </c>
      <c r="K6" s="36">
        <v>7</v>
      </c>
      <c r="L6" s="36" t="s">
        <v>843</v>
      </c>
      <c r="M6" s="36"/>
      <c r="N6" s="36"/>
      <c r="O6" s="36"/>
      <c r="P6" s="36"/>
      <c r="Q6" s="36"/>
      <c r="R6" s="36"/>
      <c r="S6" s="36"/>
      <c r="T6" s="36"/>
      <c r="U6" s="36"/>
      <c r="V6" s="36"/>
      <c r="W6" s="36" t="s">
        <v>157</v>
      </c>
      <c r="X6" s="36" t="s">
        <v>67</v>
      </c>
      <c r="Y6" s="36" t="s">
        <v>147</v>
      </c>
      <c r="Z6" s="36" t="s">
        <v>90</v>
      </c>
      <c r="AA6" s="36" t="s">
        <v>160</v>
      </c>
      <c r="AB6" s="36" t="s">
        <v>435</v>
      </c>
      <c r="AC6" s="36"/>
      <c r="AD6" s="36">
        <v>9</v>
      </c>
      <c r="AE6" s="36">
        <v>2025</v>
      </c>
      <c r="AF6" s="36">
        <v>64</v>
      </c>
      <c r="AG6" s="36" t="s">
        <v>843</v>
      </c>
      <c r="AH6" s="36"/>
      <c r="AI6" s="36" t="s">
        <v>59</v>
      </c>
      <c r="AJ6" s="36" t="s">
        <v>844</v>
      </c>
      <c r="AK6" s="188">
        <v>45760</v>
      </c>
      <c r="AL6" s="36" t="s">
        <v>78</v>
      </c>
      <c r="AM6" s="190">
        <v>0.75</v>
      </c>
      <c r="AN6" s="190">
        <v>0.78115740740740736</v>
      </c>
      <c r="AO6" s="36" t="s">
        <v>458</v>
      </c>
      <c r="AP6" s="36" t="s">
        <v>598</v>
      </c>
      <c r="AQ6" s="36">
        <v>16</v>
      </c>
      <c r="AR6" s="36">
        <v>3</v>
      </c>
      <c r="AS6" s="36">
        <v>13</v>
      </c>
      <c r="AT6" s="36">
        <v>103</v>
      </c>
      <c r="AU6" s="191">
        <v>45760.780555555553</v>
      </c>
      <c r="AV6" s="36" t="s">
        <v>730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99E5-BE59-4192-82FA-3011DED28634}">
  <sheetPr>
    <tabColor rgb="FFE0B3FF"/>
  </sheetPr>
  <dimension ref="A1:AV22"/>
  <sheetViews>
    <sheetView workbookViewId="0">
      <selection sqref="A1:XFD1"/>
    </sheetView>
  </sheetViews>
  <sheetFormatPr defaultRowHeight="15.6" x14ac:dyDescent="0.3"/>
  <cols>
    <col min="1" max="1" width="14.44140625" style="36" bestFit="1" customWidth="1"/>
    <col min="2" max="2" width="33.109375" style="36" bestFit="1" customWidth="1"/>
    <col min="3" max="3" width="23.88671875" style="36" bestFit="1" customWidth="1"/>
    <col min="4" max="4" width="33.109375" style="36" bestFit="1" customWidth="1"/>
    <col min="5" max="5" width="60.33203125" style="36" bestFit="1" customWidth="1"/>
    <col min="6" max="6" width="20.44140625" style="36" bestFit="1" customWidth="1"/>
    <col min="7" max="7" width="25.77734375" style="36" bestFit="1" customWidth="1"/>
    <col min="8" max="8" width="20.21875" style="36" bestFit="1" customWidth="1"/>
    <col min="9" max="9" width="52.88671875" style="36" bestFit="1" customWidth="1"/>
    <col min="10" max="10" width="6.6640625" style="36" bestFit="1" customWidth="1"/>
    <col min="11" max="11" width="7.6640625" style="36" bestFit="1" customWidth="1"/>
    <col min="12" max="12" width="80.88671875" style="36" bestFit="1" customWidth="1"/>
    <col min="13" max="13" width="18.77734375" style="36" bestFit="1" customWidth="1"/>
    <col min="14" max="14" width="20.33203125" style="36" bestFit="1" customWidth="1"/>
    <col min="15" max="15" width="14.6640625" style="36" bestFit="1" customWidth="1"/>
    <col min="16" max="16" width="10.77734375" style="36" bestFit="1" customWidth="1"/>
    <col min="17" max="17" width="9.6640625" style="36" bestFit="1" customWidth="1"/>
    <col min="18" max="18" width="12.5546875" style="36" bestFit="1" customWidth="1"/>
    <col min="19" max="19" width="14.6640625" style="36" bestFit="1" customWidth="1"/>
    <col min="20" max="20" width="12.5546875" style="36" bestFit="1" customWidth="1"/>
    <col min="21" max="21" width="9" style="36" bestFit="1" customWidth="1"/>
    <col min="22" max="22" width="9.6640625" style="36" bestFit="1" customWidth="1"/>
    <col min="23" max="23" width="13.88671875" style="36" bestFit="1" customWidth="1"/>
    <col min="24" max="24" width="14.77734375" style="36" bestFit="1" customWidth="1"/>
    <col min="25" max="25" width="24.77734375" style="36" bestFit="1" customWidth="1"/>
    <col min="26" max="26" width="8.5546875" style="36" bestFit="1" customWidth="1"/>
    <col min="27" max="27" width="25" style="36" bestFit="1" customWidth="1"/>
    <col min="28" max="28" width="26.109375" style="36" bestFit="1" customWidth="1"/>
    <col min="29" max="29" width="42.44140625" style="36" bestFit="1" customWidth="1"/>
    <col min="30" max="30" width="24.44140625" style="36" bestFit="1" customWidth="1"/>
    <col min="31" max="31" width="7.109375" style="36" bestFit="1" customWidth="1"/>
    <col min="32" max="32" width="6.109375" style="36" bestFit="1" customWidth="1"/>
    <col min="33" max="33" width="80.88671875" style="36" bestFit="1" customWidth="1"/>
    <col min="34" max="34" width="59.77734375" style="36" bestFit="1" customWidth="1"/>
    <col min="35" max="36" width="80.88671875" style="36" bestFit="1" customWidth="1"/>
    <col min="37" max="37" width="11.88671875" style="36" bestFit="1" customWidth="1"/>
    <col min="38" max="38" width="22.77734375" style="36" bestFit="1" customWidth="1"/>
    <col min="39" max="39" width="14.21875" style="36" bestFit="1" customWidth="1"/>
    <col min="40" max="40" width="13.33203125" style="36" bestFit="1" customWidth="1"/>
    <col min="41" max="41" width="11.88671875" style="36" bestFit="1" customWidth="1"/>
    <col min="42" max="42" width="14.44140625" style="36" bestFit="1" customWidth="1"/>
    <col min="43" max="43" width="14.5546875" style="36" bestFit="1" customWidth="1"/>
    <col min="44" max="44" width="16.77734375" style="36" bestFit="1" customWidth="1"/>
    <col min="45" max="45" width="6.6640625" style="36" bestFit="1" customWidth="1"/>
    <col min="46" max="46" width="13" style="36" bestFit="1" customWidth="1"/>
    <col min="47" max="47" width="22.21875" style="36" bestFit="1" customWidth="1"/>
    <col min="48" max="48" width="16.109375" style="36" bestFit="1" customWidth="1"/>
    <col min="49" max="16384" width="8.88671875" style="36"/>
  </cols>
  <sheetData>
    <row r="1" spans="1:48" s="122" customFormat="1" x14ac:dyDescent="0.3">
      <c r="A1" s="122" t="s">
        <v>0</v>
      </c>
      <c r="B1" s="122" t="s">
        <v>7</v>
      </c>
      <c r="C1" s="122" t="s">
        <v>52</v>
      </c>
      <c r="D1" s="122" t="s">
        <v>8</v>
      </c>
      <c r="E1" s="122" t="s">
        <v>10</v>
      </c>
      <c r="F1" s="122" t="s">
        <v>9</v>
      </c>
      <c r="G1" s="122" t="s">
        <v>11</v>
      </c>
      <c r="H1" s="122" t="s">
        <v>12</v>
      </c>
      <c r="I1" s="122" t="s">
        <v>13</v>
      </c>
      <c r="J1" s="122" t="s">
        <v>14</v>
      </c>
      <c r="K1" s="122" t="s">
        <v>15</v>
      </c>
      <c r="L1" s="122" t="s">
        <v>16</v>
      </c>
      <c r="M1" s="122" t="s">
        <v>17</v>
      </c>
      <c r="N1" s="122" t="s">
        <v>18</v>
      </c>
      <c r="O1" s="122" t="s">
        <v>19</v>
      </c>
      <c r="P1" s="122" t="s">
        <v>20</v>
      </c>
      <c r="Q1" s="122" t="s">
        <v>21</v>
      </c>
      <c r="R1" s="122" t="s">
        <v>22</v>
      </c>
      <c r="S1" s="122" t="s">
        <v>23</v>
      </c>
      <c r="T1" s="122" t="s">
        <v>24</v>
      </c>
      <c r="U1" s="122" t="s">
        <v>25</v>
      </c>
      <c r="V1" s="122" t="s">
        <v>26</v>
      </c>
      <c r="W1" s="122" t="s">
        <v>27</v>
      </c>
      <c r="X1" s="122" t="s">
        <v>28</v>
      </c>
      <c r="Y1" s="122" t="s">
        <v>29</v>
      </c>
      <c r="Z1" s="122" t="s">
        <v>30</v>
      </c>
      <c r="AA1" s="122" t="s">
        <v>31</v>
      </c>
      <c r="AB1" s="122" t="s">
        <v>32</v>
      </c>
      <c r="AC1" s="122" t="s">
        <v>33</v>
      </c>
      <c r="AD1" s="122" t="s">
        <v>34</v>
      </c>
      <c r="AE1" s="122" t="s">
        <v>41</v>
      </c>
      <c r="AF1" s="122" t="s">
        <v>47</v>
      </c>
      <c r="AG1" s="122" t="s">
        <v>459</v>
      </c>
      <c r="AH1" s="122" t="s">
        <v>48</v>
      </c>
      <c r="AI1" s="122" t="s">
        <v>49</v>
      </c>
      <c r="AJ1" s="122" t="s">
        <v>50</v>
      </c>
      <c r="AK1" s="122" t="s">
        <v>1</v>
      </c>
      <c r="AL1" s="122" t="s">
        <v>2</v>
      </c>
      <c r="AM1" s="122" t="s">
        <v>3</v>
      </c>
      <c r="AN1" s="122" t="s">
        <v>4</v>
      </c>
      <c r="AO1" s="122" t="s">
        <v>5</v>
      </c>
      <c r="AP1" s="122" t="s">
        <v>6</v>
      </c>
      <c r="AQ1" s="122" t="s">
        <v>42</v>
      </c>
      <c r="AR1" s="122" t="s">
        <v>43</v>
      </c>
      <c r="AS1" s="122" t="s">
        <v>44</v>
      </c>
      <c r="AT1" s="122" t="s">
        <v>45</v>
      </c>
      <c r="AU1" s="122" t="s">
        <v>46</v>
      </c>
      <c r="AV1" s="122" t="s">
        <v>51</v>
      </c>
    </row>
    <row r="2" spans="1:48" x14ac:dyDescent="0.3">
      <c r="A2" s="36" t="s">
        <v>537</v>
      </c>
      <c r="B2" s="36" t="s">
        <v>357</v>
      </c>
      <c r="C2" s="36" t="s">
        <v>304</v>
      </c>
      <c r="D2" s="36" t="s">
        <v>538</v>
      </c>
      <c r="E2" s="36" t="s">
        <v>539</v>
      </c>
      <c r="F2" s="36" t="s">
        <v>440</v>
      </c>
      <c r="G2" s="36" t="s">
        <v>132</v>
      </c>
      <c r="H2" s="36" t="s">
        <v>59</v>
      </c>
      <c r="I2" s="36" t="s">
        <v>540</v>
      </c>
      <c r="J2" s="36" t="s">
        <v>363</v>
      </c>
      <c r="K2" s="36">
        <v>9</v>
      </c>
      <c r="L2" s="36" t="s">
        <v>541</v>
      </c>
      <c r="O2" s="36" t="s">
        <v>542</v>
      </c>
      <c r="P2" s="36" t="s">
        <v>543</v>
      </c>
      <c r="Q2" s="36" t="s">
        <v>544</v>
      </c>
      <c r="R2" s="36" t="s">
        <v>65</v>
      </c>
      <c r="X2" s="36" t="s">
        <v>67</v>
      </c>
      <c r="Y2" s="36" t="s">
        <v>545</v>
      </c>
      <c r="Z2" s="36" t="s">
        <v>546</v>
      </c>
      <c r="AD2" s="36">
        <v>9</v>
      </c>
      <c r="AE2" s="36">
        <v>2025</v>
      </c>
      <c r="AF2" s="36">
        <v>414</v>
      </c>
      <c r="AG2" s="36" t="s">
        <v>541</v>
      </c>
      <c r="AH2" s="36" t="s">
        <v>547</v>
      </c>
      <c r="AI2" s="36" t="s">
        <v>59</v>
      </c>
      <c r="AJ2" s="36" t="s">
        <v>59</v>
      </c>
      <c r="AK2" s="188">
        <v>45734</v>
      </c>
      <c r="AL2" s="36" t="s">
        <v>293</v>
      </c>
      <c r="AM2" s="190">
        <v>0.20833333333333334</v>
      </c>
      <c r="AN2" s="190">
        <v>0.22916666666666666</v>
      </c>
      <c r="AO2" s="36" t="s">
        <v>451</v>
      </c>
      <c r="AP2" s="36" t="s">
        <v>461</v>
      </c>
      <c r="AQ2" s="36">
        <v>12</v>
      </c>
      <c r="AR2" s="36">
        <v>4</v>
      </c>
      <c r="AS2" s="36">
        <v>18</v>
      </c>
      <c r="AT2" s="36">
        <v>77</v>
      </c>
      <c r="AU2" s="191">
        <v>45734.229166666664</v>
      </c>
      <c r="AV2" s="36" t="s">
        <v>548</v>
      </c>
    </row>
    <row r="3" spans="1:48" x14ac:dyDescent="0.3">
      <c r="A3" s="36" t="s">
        <v>549</v>
      </c>
      <c r="B3" s="36" t="s">
        <v>550</v>
      </c>
      <c r="C3" s="36" t="s">
        <v>304</v>
      </c>
      <c r="D3" s="36" t="s">
        <v>551</v>
      </c>
      <c r="E3" s="36" t="s">
        <v>213</v>
      </c>
      <c r="F3" s="36" t="s">
        <v>213</v>
      </c>
      <c r="G3" s="36" t="s">
        <v>59</v>
      </c>
      <c r="H3" s="36" t="s">
        <v>59</v>
      </c>
      <c r="I3" s="36" t="s">
        <v>552</v>
      </c>
      <c r="J3" s="36" t="s">
        <v>261</v>
      </c>
      <c r="K3" s="36">
        <v>6</v>
      </c>
      <c r="L3" s="36" t="s">
        <v>553</v>
      </c>
      <c r="O3" s="36" t="s">
        <v>554</v>
      </c>
      <c r="P3" s="36" t="s">
        <v>555</v>
      </c>
      <c r="R3" s="36" t="s">
        <v>65</v>
      </c>
      <c r="W3" s="36" t="s">
        <v>468</v>
      </c>
      <c r="X3" s="36" t="s">
        <v>67</v>
      </c>
      <c r="Y3" s="36" t="s">
        <v>147</v>
      </c>
      <c r="Z3" s="36" t="s">
        <v>90</v>
      </c>
      <c r="AA3" s="36" t="s">
        <v>180</v>
      </c>
      <c r="AB3" s="36" t="s">
        <v>181</v>
      </c>
      <c r="AD3" s="36">
        <v>9</v>
      </c>
      <c r="AE3" s="36">
        <v>2025</v>
      </c>
      <c r="AF3" s="36">
        <v>171</v>
      </c>
      <c r="AG3" s="36" t="s">
        <v>553</v>
      </c>
      <c r="AH3" s="36" t="s">
        <v>556</v>
      </c>
      <c r="AI3" s="36" t="s">
        <v>557</v>
      </c>
      <c r="AJ3" s="36" t="s">
        <v>558</v>
      </c>
      <c r="AK3" s="188">
        <v>45737</v>
      </c>
      <c r="AL3" s="36" t="s">
        <v>293</v>
      </c>
      <c r="AM3" s="190">
        <v>0.29166666666666669</v>
      </c>
      <c r="AN3" s="190">
        <v>0.32500000000000001</v>
      </c>
      <c r="AO3" s="36" t="s">
        <v>454</v>
      </c>
      <c r="AP3" s="36" t="s">
        <v>461</v>
      </c>
      <c r="AQ3" s="36">
        <v>12</v>
      </c>
      <c r="AR3" s="36">
        <v>4</v>
      </c>
      <c r="AS3" s="36">
        <v>21</v>
      </c>
      <c r="AT3" s="36">
        <v>80</v>
      </c>
      <c r="AU3" s="191">
        <v>45737.324999999997</v>
      </c>
      <c r="AV3" s="36" t="s">
        <v>548</v>
      </c>
    </row>
    <row r="4" spans="1:48" x14ac:dyDescent="0.3">
      <c r="A4" s="36" t="s">
        <v>559</v>
      </c>
      <c r="B4" s="36" t="s">
        <v>560</v>
      </c>
      <c r="C4" s="36" t="s">
        <v>304</v>
      </c>
      <c r="D4" s="36" t="s">
        <v>561</v>
      </c>
      <c r="E4" s="36" t="s">
        <v>562</v>
      </c>
      <c r="F4" s="36" t="s">
        <v>58</v>
      </c>
      <c r="G4" s="36" t="s">
        <v>563</v>
      </c>
      <c r="H4" s="36" t="s">
        <v>59</v>
      </c>
      <c r="I4" s="36" t="s">
        <v>564</v>
      </c>
      <c r="J4" s="36" t="s">
        <v>250</v>
      </c>
      <c r="K4" s="36">
        <v>5</v>
      </c>
      <c r="L4" s="36" t="s">
        <v>565</v>
      </c>
      <c r="O4" s="36" t="s">
        <v>566</v>
      </c>
      <c r="P4" s="36" t="s">
        <v>117</v>
      </c>
      <c r="Q4" s="36" t="s">
        <v>567</v>
      </c>
      <c r="R4" s="36" t="s">
        <v>65</v>
      </c>
      <c r="W4" s="36" t="s">
        <v>568</v>
      </c>
      <c r="X4" s="36" t="s">
        <v>67</v>
      </c>
      <c r="Y4" s="36" t="s">
        <v>105</v>
      </c>
      <c r="Z4" s="36" t="s">
        <v>69</v>
      </c>
      <c r="AA4" s="36" t="s">
        <v>122</v>
      </c>
      <c r="AB4" s="36" t="s">
        <v>123</v>
      </c>
      <c r="AD4" s="36">
        <v>9</v>
      </c>
      <c r="AE4" s="36">
        <v>2025</v>
      </c>
      <c r="AF4" s="36">
        <v>24</v>
      </c>
      <c r="AG4" s="36" t="s">
        <v>565</v>
      </c>
      <c r="AH4" s="36" t="s">
        <v>569</v>
      </c>
      <c r="AI4" s="36" t="s">
        <v>570</v>
      </c>
      <c r="AJ4" s="36" t="s">
        <v>571</v>
      </c>
      <c r="AK4" s="188">
        <v>45739</v>
      </c>
      <c r="AL4" s="36" t="s">
        <v>293</v>
      </c>
      <c r="AM4" s="190">
        <v>0.16666666666666666</v>
      </c>
      <c r="AN4" s="190">
        <v>0.1736111111111111</v>
      </c>
      <c r="AO4" s="36" t="s">
        <v>458</v>
      </c>
      <c r="AP4" s="36" t="s">
        <v>461</v>
      </c>
      <c r="AQ4" s="36">
        <v>13</v>
      </c>
      <c r="AR4" s="36">
        <v>5</v>
      </c>
      <c r="AS4" s="36">
        <v>23</v>
      </c>
      <c r="AT4" s="36">
        <v>82</v>
      </c>
      <c r="AU4" s="191">
        <v>45739.173611111109</v>
      </c>
      <c r="AV4" s="36" t="s">
        <v>548</v>
      </c>
    </row>
    <row r="5" spans="1:48" x14ac:dyDescent="0.3">
      <c r="A5" s="36" t="s">
        <v>845</v>
      </c>
      <c r="B5" s="36" t="s">
        <v>846</v>
      </c>
      <c r="C5" s="36" t="s">
        <v>76</v>
      </c>
      <c r="D5" s="36" t="s">
        <v>847</v>
      </c>
      <c r="E5" s="36" t="s">
        <v>398</v>
      </c>
      <c r="F5" s="36" t="s">
        <v>398</v>
      </c>
      <c r="G5" s="36" t="s">
        <v>59</v>
      </c>
      <c r="H5" s="36" t="s">
        <v>59</v>
      </c>
      <c r="I5" s="36" t="s">
        <v>848</v>
      </c>
      <c r="J5" s="36" t="s">
        <v>849</v>
      </c>
      <c r="K5" s="36">
        <v>9</v>
      </c>
      <c r="L5" s="36" t="s">
        <v>850</v>
      </c>
      <c r="W5" s="36" t="s">
        <v>851</v>
      </c>
      <c r="X5" s="36" t="s">
        <v>67</v>
      </c>
      <c r="Y5" s="36" t="s">
        <v>852</v>
      </c>
      <c r="Z5" s="36" t="s">
        <v>69</v>
      </c>
      <c r="AA5" s="36" t="s">
        <v>122</v>
      </c>
      <c r="AB5" s="36" t="s">
        <v>123</v>
      </c>
      <c r="AD5" s="36">
        <v>9</v>
      </c>
      <c r="AE5" s="36">
        <v>2025</v>
      </c>
      <c r="AF5" s="36">
        <v>2</v>
      </c>
      <c r="AG5" s="36" t="s">
        <v>850</v>
      </c>
      <c r="AI5" s="36" t="s">
        <v>853</v>
      </c>
      <c r="AJ5" s="36" t="s">
        <v>854</v>
      </c>
      <c r="AK5" s="188">
        <v>45739</v>
      </c>
      <c r="AL5" s="36" t="s">
        <v>54</v>
      </c>
      <c r="AM5" s="190">
        <v>0.58333333333333337</v>
      </c>
      <c r="AN5" s="190">
        <v>0.62013888888888891</v>
      </c>
      <c r="AO5" s="36" t="s">
        <v>458</v>
      </c>
      <c r="AP5" s="36" t="s">
        <v>461</v>
      </c>
      <c r="AQ5" s="36">
        <v>13</v>
      </c>
      <c r="AR5" s="36">
        <v>5</v>
      </c>
      <c r="AS5" s="36">
        <v>23</v>
      </c>
      <c r="AT5" s="36">
        <v>82</v>
      </c>
      <c r="AU5" s="191">
        <v>45739.620138888888</v>
      </c>
      <c r="AV5" s="36" t="s">
        <v>548</v>
      </c>
    </row>
    <row r="6" spans="1:48" x14ac:dyDescent="0.3">
      <c r="A6" s="36" t="s">
        <v>678</v>
      </c>
      <c r="B6" s="36" t="s">
        <v>357</v>
      </c>
      <c r="C6" s="36" t="s">
        <v>150</v>
      </c>
      <c r="D6" s="36" t="s">
        <v>358</v>
      </c>
      <c r="E6" s="36" t="s">
        <v>686</v>
      </c>
      <c r="F6" s="36" t="s">
        <v>347</v>
      </c>
      <c r="G6" s="36" t="s">
        <v>82</v>
      </c>
      <c r="H6" s="36" t="s">
        <v>687</v>
      </c>
      <c r="I6" s="36" t="s">
        <v>362</v>
      </c>
      <c r="J6" s="36" t="s">
        <v>363</v>
      </c>
      <c r="K6" s="36">
        <v>9</v>
      </c>
      <c r="L6" s="36" t="s">
        <v>688</v>
      </c>
      <c r="O6" s="36" t="s">
        <v>689</v>
      </c>
      <c r="P6" s="36" t="s">
        <v>522</v>
      </c>
      <c r="Q6" s="36" t="s">
        <v>690</v>
      </c>
      <c r="R6" s="36" t="s">
        <v>65</v>
      </c>
      <c r="W6" s="36" t="s">
        <v>157</v>
      </c>
      <c r="X6" s="36" t="s">
        <v>67</v>
      </c>
      <c r="Y6" s="36" t="s">
        <v>647</v>
      </c>
      <c r="Z6" s="36" t="s">
        <v>351</v>
      </c>
      <c r="AA6" s="36" t="s">
        <v>160</v>
      </c>
      <c r="AB6" s="36" t="s">
        <v>123</v>
      </c>
      <c r="AD6" s="36">
        <v>9</v>
      </c>
      <c r="AE6" s="36">
        <v>2025</v>
      </c>
      <c r="AF6" s="36">
        <v>450</v>
      </c>
      <c r="AG6" s="36" t="s">
        <v>688</v>
      </c>
      <c r="AH6" s="36" t="s">
        <v>691</v>
      </c>
      <c r="AI6" s="36" t="s">
        <v>692</v>
      </c>
      <c r="AJ6" s="36" t="s">
        <v>693</v>
      </c>
      <c r="AK6" s="188">
        <v>45741</v>
      </c>
      <c r="AL6" s="36" t="s">
        <v>141</v>
      </c>
      <c r="AM6" s="190">
        <v>0.45833333333333331</v>
      </c>
      <c r="AN6" s="190">
        <v>0.48402777777777778</v>
      </c>
      <c r="AO6" s="36" t="s">
        <v>451</v>
      </c>
      <c r="AP6" s="36" t="s">
        <v>461</v>
      </c>
      <c r="AQ6" s="36">
        <v>13</v>
      </c>
      <c r="AR6" s="36">
        <v>5</v>
      </c>
      <c r="AS6" s="36">
        <v>25</v>
      </c>
      <c r="AT6" s="36">
        <v>84</v>
      </c>
      <c r="AU6" s="191">
        <v>45741.484027777777</v>
      </c>
      <c r="AV6" s="36" t="s">
        <v>581</v>
      </c>
    </row>
    <row r="7" spans="1:48" x14ac:dyDescent="0.3">
      <c r="A7" s="36" t="s">
        <v>573</v>
      </c>
      <c r="B7" s="36" t="s">
        <v>485</v>
      </c>
      <c r="C7" s="36" t="s">
        <v>109</v>
      </c>
      <c r="D7" s="36" t="s">
        <v>574</v>
      </c>
      <c r="E7" s="36" t="s">
        <v>575</v>
      </c>
      <c r="F7" s="36" t="s">
        <v>165</v>
      </c>
      <c r="G7" s="36" t="s">
        <v>576</v>
      </c>
      <c r="H7" s="36" t="s">
        <v>360</v>
      </c>
      <c r="I7" s="36" t="s">
        <v>577</v>
      </c>
      <c r="J7" s="36" t="s">
        <v>261</v>
      </c>
      <c r="K7" s="36">
        <v>6</v>
      </c>
      <c r="L7" s="36" t="s">
        <v>578</v>
      </c>
      <c r="W7" s="36" t="s">
        <v>416</v>
      </c>
      <c r="X7" s="36" t="s">
        <v>67</v>
      </c>
      <c r="Y7" s="36" t="s">
        <v>579</v>
      </c>
      <c r="Z7" s="36" t="s">
        <v>121</v>
      </c>
      <c r="AA7" s="36" t="s">
        <v>378</v>
      </c>
      <c r="AB7" s="36" t="s">
        <v>123</v>
      </c>
      <c r="AD7" s="36">
        <v>9</v>
      </c>
      <c r="AE7" s="36">
        <v>2025</v>
      </c>
      <c r="AF7" s="36">
        <v>211</v>
      </c>
      <c r="AG7" s="36" t="s">
        <v>578</v>
      </c>
      <c r="AI7" s="36" t="s">
        <v>59</v>
      </c>
      <c r="AJ7" s="36" t="s">
        <v>580</v>
      </c>
      <c r="AK7" s="188">
        <v>45743</v>
      </c>
      <c r="AL7" s="36" t="s">
        <v>97</v>
      </c>
      <c r="AM7" s="190">
        <v>0.91666666666666663</v>
      </c>
      <c r="AN7" s="190">
        <v>0.94666666666666666</v>
      </c>
      <c r="AO7" s="36" t="s">
        <v>536</v>
      </c>
      <c r="AP7" s="36" t="s">
        <v>461</v>
      </c>
      <c r="AQ7" s="36">
        <v>13</v>
      </c>
      <c r="AR7" s="36">
        <v>5</v>
      </c>
      <c r="AS7" s="36">
        <v>27</v>
      </c>
      <c r="AT7" s="36">
        <v>86</v>
      </c>
      <c r="AU7" s="191">
        <v>45743.946527777778</v>
      </c>
      <c r="AV7" s="36" t="s">
        <v>581</v>
      </c>
    </row>
    <row r="8" spans="1:48" x14ac:dyDescent="0.3">
      <c r="A8" s="36" t="s">
        <v>582</v>
      </c>
      <c r="B8" s="36" t="s">
        <v>530</v>
      </c>
      <c r="C8" s="36" t="s">
        <v>109</v>
      </c>
      <c r="D8" s="36" t="s">
        <v>583</v>
      </c>
      <c r="E8" s="36" t="s">
        <v>132</v>
      </c>
      <c r="F8" s="36" t="s">
        <v>132</v>
      </c>
      <c r="G8" s="36" t="s">
        <v>59</v>
      </c>
      <c r="H8" s="36" t="s">
        <v>59</v>
      </c>
      <c r="I8" s="36" t="s">
        <v>584</v>
      </c>
      <c r="J8" s="36" t="s">
        <v>283</v>
      </c>
      <c r="K8" s="36">
        <v>8</v>
      </c>
      <c r="L8" s="36" t="s">
        <v>585</v>
      </c>
      <c r="M8" s="36">
        <v>50300</v>
      </c>
      <c r="W8" s="36" t="s">
        <v>157</v>
      </c>
      <c r="X8" s="36" t="s">
        <v>67</v>
      </c>
      <c r="Y8" s="36" t="s">
        <v>480</v>
      </c>
      <c r="Z8" s="36" t="s">
        <v>351</v>
      </c>
      <c r="AA8" s="36" t="s">
        <v>586</v>
      </c>
      <c r="AB8" s="36" t="s">
        <v>123</v>
      </c>
      <c r="AD8" s="36">
        <v>9</v>
      </c>
      <c r="AE8" s="36">
        <v>2025</v>
      </c>
      <c r="AF8" s="36">
        <v>2</v>
      </c>
      <c r="AG8" s="36" t="s">
        <v>585</v>
      </c>
      <c r="AI8" s="36" t="s">
        <v>587</v>
      </c>
      <c r="AJ8" s="36" t="s">
        <v>588</v>
      </c>
      <c r="AK8" s="188">
        <v>45743</v>
      </c>
      <c r="AL8" s="36" t="s">
        <v>97</v>
      </c>
      <c r="AM8" s="190">
        <v>0.95833333333333337</v>
      </c>
      <c r="AN8" s="190">
        <v>0.97916666666666663</v>
      </c>
      <c r="AO8" s="36" t="s">
        <v>536</v>
      </c>
      <c r="AP8" s="36" t="s">
        <v>461</v>
      </c>
      <c r="AQ8" s="36">
        <v>13</v>
      </c>
      <c r="AR8" s="36">
        <v>5</v>
      </c>
      <c r="AS8" s="36">
        <v>27</v>
      </c>
      <c r="AT8" s="36">
        <v>86</v>
      </c>
      <c r="AU8" s="191">
        <v>45743.979166666664</v>
      </c>
      <c r="AV8" s="36" t="s">
        <v>581</v>
      </c>
    </row>
    <row r="9" spans="1:48" x14ac:dyDescent="0.3">
      <c r="A9" s="36" t="s">
        <v>628</v>
      </c>
      <c r="B9" s="36" t="s">
        <v>629</v>
      </c>
      <c r="C9" s="36" t="s">
        <v>109</v>
      </c>
      <c r="D9" s="36" t="s">
        <v>630</v>
      </c>
      <c r="E9" s="36" t="s">
        <v>213</v>
      </c>
      <c r="F9" s="36" t="s">
        <v>213</v>
      </c>
      <c r="G9" s="36" t="s">
        <v>59</v>
      </c>
      <c r="H9" s="36" t="s">
        <v>59</v>
      </c>
      <c r="I9" s="36" t="s">
        <v>631</v>
      </c>
      <c r="J9" s="36" t="s">
        <v>426</v>
      </c>
      <c r="K9" s="36">
        <v>8</v>
      </c>
      <c r="L9" s="36" t="s">
        <v>632</v>
      </c>
      <c r="O9" s="36" t="s">
        <v>633</v>
      </c>
      <c r="P9" s="36" t="s">
        <v>634</v>
      </c>
      <c r="Q9" s="36" t="s">
        <v>635</v>
      </c>
      <c r="R9" s="36" t="s">
        <v>65</v>
      </c>
      <c r="W9" s="36" t="s">
        <v>568</v>
      </c>
      <c r="X9" s="36" t="s">
        <v>67</v>
      </c>
      <c r="Y9" s="36" t="s">
        <v>636</v>
      </c>
      <c r="Z9" s="36" t="s">
        <v>637</v>
      </c>
      <c r="AD9" s="36">
        <v>9</v>
      </c>
      <c r="AE9" s="36">
        <v>2025</v>
      </c>
      <c r="AF9" s="36">
        <v>296</v>
      </c>
      <c r="AG9" s="36" t="s">
        <v>632</v>
      </c>
      <c r="AH9" s="36" t="s">
        <v>638</v>
      </c>
      <c r="AI9" s="36" t="s">
        <v>59</v>
      </c>
      <c r="AJ9" s="36" t="s">
        <v>639</v>
      </c>
      <c r="AK9" s="188">
        <v>45744</v>
      </c>
      <c r="AL9" s="36" t="s">
        <v>97</v>
      </c>
      <c r="AM9" s="190">
        <v>0.83333333333333337</v>
      </c>
      <c r="AN9" s="190">
        <v>0.85416666666666663</v>
      </c>
      <c r="AO9" s="36" t="s">
        <v>454</v>
      </c>
      <c r="AP9" s="36" t="s">
        <v>461</v>
      </c>
      <c r="AQ9" s="36">
        <v>13</v>
      </c>
      <c r="AR9" s="36">
        <v>5</v>
      </c>
      <c r="AS9" s="36">
        <v>28</v>
      </c>
      <c r="AT9" s="36">
        <v>87</v>
      </c>
      <c r="AU9" s="191">
        <v>45744.854166666664</v>
      </c>
      <c r="AV9" s="36" t="s">
        <v>581</v>
      </c>
    </row>
    <row r="10" spans="1:48" x14ac:dyDescent="0.3">
      <c r="A10" s="36" t="s">
        <v>694</v>
      </c>
      <c r="B10" s="36" t="s">
        <v>695</v>
      </c>
      <c r="C10" s="36" t="s">
        <v>304</v>
      </c>
      <c r="D10" s="36" t="s">
        <v>696</v>
      </c>
      <c r="E10" s="36" t="s">
        <v>697</v>
      </c>
      <c r="F10" s="36" t="s">
        <v>176</v>
      </c>
      <c r="G10" s="36" t="s">
        <v>698</v>
      </c>
      <c r="H10" s="36" t="s">
        <v>59</v>
      </c>
      <c r="I10" s="36" t="s">
        <v>699</v>
      </c>
      <c r="J10" s="36" t="s">
        <v>273</v>
      </c>
      <c r="K10" s="36">
        <v>6</v>
      </c>
      <c r="L10" s="36" t="s">
        <v>700</v>
      </c>
      <c r="O10" s="36" t="s">
        <v>701</v>
      </c>
      <c r="P10" s="36" t="s">
        <v>634</v>
      </c>
      <c r="Q10" s="36" t="s">
        <v>635</v>
      </c>
      <c r="R10" s="36" t="s">
        <v>65</v>
      </c>
      <c r="W10" s="36" t="s">
        <v>568</v>
      </c>
      <c r="X10" s="36" t="s">
        <v>67</v>
      </c>
      <c r="Y10" s="36" t="s">
        <v>579</v>
      </c>
      <c r="Z10" s="36" t="s">
        <v>121</v>
      </c>
      <c r="AD10" s="36">
        <v>9</v>
      </c>
      <c r="AE10" s="36">
        <v>2025</v>
      </c>
      <c r="AF10" s="36">
        <v>15</v>
      </c>
      <c r="AG10" s="36" t="s">
        <v>700</v>
      </c>
      <c r="AH10" s="36" t="s">
        <v>702</v>
      </c>
      <c r="AI10" s="36" t="s">
        <v>703</v>
      </c>
      <c r="AJ10" s="36" t="s">
        <v>704</v>
      </c>
      <c r="AK10" s="188">
        <v>45745</v>
      </c>
      <c r="AL10" s="36" t="s">
        <v>293</v>
      </c>
      <c r="AM10" s="190">
        <v>0.16666666666666666</v>
      </c>
      <c r="AN10" s="190">
        <v>0.20515046296296297</v>
      </c>
      <c r="AO10" s="36" t="s">
        <v>455</v>
      </c>
      <c r="AP10" s="36" t="s">
        <v>461</v>
      </c>
      <c r="AQ10" s="36">
        <v>13</v>
      </c>
      <c r="AR10" s="36">
        <v>5</v>
      </c>
      <c r="AS10" s="36">
        <v>29</v>
      </c>
      <c r="AT10" s="36">
        <v>88</v>
      </c>
      <c r="AU10" s="191">
        <v>45745.204861111109</v>
      </c>
      <c r="AV10" s="36" t="s">
        <v>581</v>
      </c>
    </row>
    <row r="11" spans="1:48" x14ac:dyDescent="0.3">
      <c r="A11" s="36" t="s">
        <v>615</v>
      </c>
      <c r="B11" s="36" t="s">
        <v>211</v>
      </c>
      <c r="C11" s="36" t="s">
        <v>109</v>
      </c>
      <c r="D11" s="36" t="s">
        <v>606</v>
      </c>
      <c r="E11" s="36" t="s">
        <v>58</v>
      </c>
      <c r="F11" s="36" t="s">
        <v>58</v>
      </c>
      <c r="G11" s="36" t="s">
        <v>59</v>
      </c>
      <c r="H11" s="36" t="s">
        <v>59</v>
      </c>
      <c r="I11" s="36" t="s">
        <v>607</v>
      </c>
      <c r="J11" s="36" t="s">
        <v>215</v>
      </c>
      <c r="K11" s="36">
        <v>9</v>
      </c>
      <c r="L11" s="36" t="s">
        <v>616</v>
      </c>
      <c r="M11" s="36">
        <v>5</v>
      </c>
      <c r="N11" s="36">
        <v>0</v>
      </c>
      <c r="O11" s="36" t="s">
        <v>617</v>
      </c>
      <c r="P11" s="36" t="s">
        <v>253</v>
      </c>
      <c r="Q11" s="36" t="s">
        <v>618</v>
      </c>
      <c r="R11" s="36" t="s">
        <v>65</v>
      </c>
      <c r="W11" s="36" t="s">
        <v>468</v>
      </c>
      <c r="X11" s="36" t="s">
        <v>67</v>
      </c>
      <c r="Y11" s="36" t="s">
        <v>611</v>
      </c>
      <c r="Z11" s="36" t="s">
        <v>612</v>
      </c>
      <c r="AA11" s="36" t="s">
        <v>160</v>
      </c>
      <c r="AB11" s="36" t="s">
        <v>123</v>
      </c>
      <c r="AC11" s="36" t="s">
        <v>613</v>
      </c>
      <c r="AD11" s="36">
        <v>9</v>
      </c>
      <c r="AE11" s="36">
        <v>2025</v>
      </c>
      <c r="AF11" s="36">
        <v>310</v>
      </c>
      <c r="AG11" s="36" t="s">
        <v>616</v>
      </c>
      <c r="AH11" s="36" t="s">
        <v>619</v>
      </c>
      <c r="AI11" s="36" t="s">
        <v>59</v>
      </c>
      <c r="AJ11" s="36" t="s">
        <v>59</v>
      </c>
      <c r="AK11" s="188">
        <v>45747</v>
      </c>
      <c r="AL11" s="36" t="s">
        <v>97</v>
      </c>
      <c r="AM11" s="190">
        <v>0.83333333333333337</v>
      </c>
      <c r="AN11" s="190">
        <v>0.83333333333333337</v>
      </c>
      <c r="AO11" s="36" t="s">
        <v>450</v>
      </c>
      <c r="AP11" s="36" t="s">
        <v>461</v>
      </c>
      <c r="AQ11" s="36">
        <v>14</v>
      </c>
      <c r="AR11" s="36">
        <v>6</v>
      </c>
      <c r="AS11" s="36">
        <v>31</v>
      </c>
      <c r="AT11" s="36">
        <v>90</v>
      </c>
      <c r="AU11" s="191">
        <v>45747.833333333336</v>
      </c>
      <c r="AV11" s="36" t="s">
        <v>581</v>
      </c>
    </row>
    <row r="12" spans="1:48" x14ac:dyDescent="0.3">
      <c r="A12" s="36" t="s">
        <v>605</v>
      </c>
      <c r="B12" s="36" t="s">
        <v>211</v>
      </c>
      <c r="C12" s="36" t="s">
        <v>95</v>
      </c>
      <c r="D12" s="36" t="s">
        <v>606</v>
      </c>
      <c r="E12" s="36" t="s">
        <v>58</v>
      </c>
      <c r="F12" s="36" t="s">
        <v>58</v>
      </c>
      <c r="G12" s="36" t="s">
        <v>59</v>
      </c>
      <c r="H12" s="36" t="s">
        <v>59</v>
      </c>
      <c r="I12" s="36" t="s">
        <v>607</v>
      </c>
      <c r="J12" s="36" t="s">
        <v>215</v>
      </c>
      <c r="L12" s="36" t="s">
        <v>608</v>
      </c>
      <c r="M12" s="36">
        <v>2</v>
      </c>
      <c r="N12" s="36">
        <v>0</v>
      </c>
      <c r="O12" s="36" t="s">
        <v>609</v>
      </c>
      <c r="P12" s="36" t="s">
        <v>253</v>
      </c>
      <c r="Q12" s="36" t="s">
        <v>610</v>
      </c>
      <c r="R12" s="36" t="s">
        <v>65</v>
      </c>
      <c r="W12" s="36" t="s">
        <v>468</v>
      </c>
      <c r="X12" s="36" t="s">
        <v>67</v>
      </c>
      <c r="Y12" s="36" t="s">
        <v>611</v>
      </c>
      <c r="Z12" s="36" t="s">
        <v>612</v>
      </c>
      <c r="AA12" s="36" t="s">
        <v>160</v>
      </c>
      <c r="AB12" s="36" t="s">
        <v>123</v>
      </c>
      <c r="AC12" s="36" t="s">
        <v>613</v>
      </c>
      <c r="AD12" s="36">
        <v>9</v>
      </c>
      <c r="AE12" s="36">
        <v>2025</v>
      </c>
      <c r="AF12" s="36">
        <v>310</v>
      </c>
      <c r="AG12" s="36" t="s">
        <v>608</v>
      </c>
      <c r="AH12" s="36" t="s">
        <v>614</v>
      </c>
      <c r="AI12" s="36" t="s">
        <v>59</v>
      </c>
      <c r="AJ12" s="36" t="s">
        <v>59</v>
      </c>
      <c r="AK12" s="188">
        <v>45747</v>
      </c>
      <c r="AL12" s="36" t="s">
        <v>78</v>
      </c>
      <c r="AM12" s="190">
        <v>0.75</v>
      </c>
      <c r="AN12" s="190">
        <v>0.75</v>
      </c>
      <c r="AO12" s="36" t="s">
        <v>450</v>
      </c>
      <c r="AP12" s="36" t="s">
        <v>461</v>
      </c>
      <c r="AQ12" s="36">
        <v>14</v>
      </c>
      <c r="AR12" s="36">
        <v>6</v>
      </c>
      <c r="AS12" s="36">
        <v>31</v>
      </c>
      <c r="AT12" s="36">
        <v>90</v>
      </c>
      <c r="AU12" s="191">
        <v>45747.75</v>
      </c>
      <c r="AV12" s="36" t="s">
        <v>581</v>
      </c>
    </row>
    <row r="13" spans="1:48" x14ac:dyDescent="0.3">
      <c r="A13" s="36" t="s">
        <v>705</v>
      </c>
      <c r="B13" s="36" t="s">
        <v>706</v>
      </c>
      <c r="C13" s="36" t="s">
        <v>95</v>
      </c>
      <c r="D13" s="36" t="s">
        <v>706</v>
      </c>
      <c r="E13" s="36" t="s">
        <v>707</v>
      </c>
      <c r="F13" s="36" t="s">
        <v>58</v>
      </c>
      <c r="G13" s="36" t="s">
        <v>82</v>
      </c>
      <c r="H13" s="36" t="s">
        <v>708</v>
      </c>
      <c r="I13" s="36" t="s">
        <v>709</v>
      </c>
      <c r="J13" s="36" t="s">
        <v>134</v>
      </c>
      <c r="K13" s="36">
        <v>7</v>
      </c>
      <c r="L13" s="36" t="s">
        <v>710</v>
      </c>
      <c r="O13" s="36" t="s">
        <v>711</v>
      </c>
      <c r="P13" s="36" t="s">
        <v>712</v>
      </c>
      <c r="Q13" s="36" t="s">
        <v>713</v>
      </c>
      <c r="R13" s="36" t="s">
        <v>65</v>
      </c>
      <c r="W13" s="36" t="s">
        <v>468</v>
      </c>
      <c r="X13" s="36" t="s">
        <v>67</v>
      </c>
      <c r="Y13" s="36" t="s">
        <v>714</v>
      </c>
      <c r="Z13" s="36" t="s">
        <v>90</v>
      </c>
      <c r="AD13" s="36">
        <v>9</v>
      </c>
      <c r="AE13" s="36">
        <v>2025</v>
      </c>
      <c r="AG13" s="36" t="s">
        <v>710</v>
      </c>
      <c r="AH13" s="36" t="s">
        <v>715</v>
      </c>
      <c r="AI13" s="36" t="s">
        <v>59</v>
      </c>
      <c r="AJ13" s="36" t="s">
        <v>716</v>
      </c>
      <c r="AK13" s="188">
        <v>45747</v>
      </c>
      <c r="AL13" s="36" t="s">
        <v>78</v>
      </c>
      <c r="AM13" s="190">
        <v>0.75</v>
      </c>
      <c r="AN13" s="190">
        <v>0.77777777777777779</v>
      </c>
      <c r="AO13" s="36" t="s">
        <v>450</v>
      </c>
      <c r="AP13" s="36" t="s">
        <v>461</v>
      </c>
      <c r="AQ13" s="36">
        <v>14</v>
      </c>
      <c r="AR13" s="36">
        <v>6</v>
      </c>
      <c r="AS13" s="36">
        <v>31</v>
      </c>
      <c r="AT13" s="36">
        <v>90</v>
      </c>
      <c r="AU13" s="191">
        <v>45747.777777777781</v>
      </c>
      <c r="AV13" s="36" t="s">
        <v>581</v>
      </c>
    </row>
    <row r="14" spans="1:48" x14ac:dyDescent="0.3">
      <c r="A14" s="36" t="s">
        <v>589</v>
      </c>
      <c r="B14" s="36" t="s">
        <v>257</v>
      </c>
      <c r="C14" s="36" t="s">
        <v>76</v>
      </c>
      <c r="D14" s="36" t="s">
        <v>590</v>
      </c>
      <c r="E14" s="36" t="s">
        <v>132</v>
      </c>
      <c r="F14" s="36" t="s">
        <v>132</v>
      </c>
      <c r="G14" s="36" t="s">
        <v>59</v>
      </c>
      <c r="H14" s="36" t="s">
        <v>59</v>
      </c>
      <c r="I14" s="36" t="s">
        <v>591</v>
      </c>
      <c r="J14" s="36" t="s">
        <v>592</v>
      </c>
      <c r="K14" s="36">
        <v>7</v>
      </c>
      <c r="L14" s="36" t="s">
        <v>593</v>
      </c>
      <c r="W14" s="36" t="s">
        <v>568</v>
      </c>
      <c r="X14" s="36" t="s">
        <v>67</v>
      </c>
      <c r="Y14" s="36" t="s">
        <v>594</v>
      </c>
      <c r="Z14" s="36" t="s">
        <v>90</v>
      </c>
      <c r="AD14" s="36">
        <v>9</v>
      </c>
      <c r="AE14" s="36">
        <v>2025</v>
      </c>
      <c r="AF14" s="36">
        <v>100</v>
      </c>
      <c r="AG14" s="36" t="s">
        <v>593</v>
      </c>
      <c r="AI14" s="36" t="s">
        <v>595</v>
      </c>
      <c r="AJ14" s="36" t="s">
        <v>596</v>
      </c>
      <c r="AK14" s="188">
        <v>45747</v>
      </c>
      <c r="AL14" s="36" t="s">
        <v>54</v>
      </c>
      <c r="AM14" s="190">
        <v>0.5</v>
      </c>
      <c r="AN14" s="190">
        <v>0.5</v>
      </c>
      <c r="AO14" s="36" t="s">
        <v>450</v>
      </c>
      <c r="AP14" s="36" t="s">
        <v>461</v>
      </c>
      <c r="AQ14" s="36">
        <v>14</v>
      </c>
      <c r="AR14" s="36">
        <v>6</v>
      </c>
      <c r="AS14" s="36">
        <v>31</v>
      </c>
      <c r="AT14" s="36">
        <v>90</v>
      </c>
      <c r="AU14" s="191">
        <v>45747.5</v>
      </c>
      <c r="AV14" s="36" t="s">
        <v>581</v>
      </c>
    </row>
    <row r="15" spans="1:48" x14ac:dyDescent="0.3">
      <c r="A15" s="36" t="s">
        <v>620</v>
      </c>
      <c r="B15" s="36" t="s">
        <v>56</v>
      </c>
      <c r="C15" s="36" t="s">
        <v>109</v>
      </c>
      <c r="D15" s="36" t="s">
        <v>621</v>
      </c>
      <c r="E15" s="36" t="s">
        <v>58</v>
      </c>
      <c r="F15" s="36" t="s">
        <v>58</v>
      </c>
      <c r="G15" s="36" t="s">
        <v>59</v>
      </c>
      <c r="H15" s="36" t="s">
        <v>59</v>
      </c>
      <c r="I15" s="36" t="s">
        <v>622</v>
      </c>
      <c r="J15" s="36" t="s">
        <v>327</v>
      </c>
      <c r="K15" s="36">
        <v>7</v>
      </c>
      <c r="L15" s="36" t="s">
        <v>623</v>
      </c>
      <c r="O15" s="36" t="s">
        <v>624</v>
      </c>
      <c r="P15" s="36" t="s">
        <v>625</v>
      </c>
      <c r="Q15" s="36" t="s">
        <v>626</v>
      </c>
      <c r="R15" s="36" t="s">
        <v>65</v>
      </c>
      <c r="W15" s="36" t="s">
        <v>66</v>
      </c>
      <c r="X15" s="36" t="s">
        <v>67</v>
      </c>
      <c r="Y15" s="36" t="s">
        <v>330</v>
      </c>
      <c r="Z15" s="36" t="s">
        <v>69</v>
      </c>
      <c r="AA15" s="36" t="s">
        <v>160</v>
      </c>
      <c r="AB15" s="36" t="s">
        <v>71</v>
      </c>
      <c r="AD15" s="36">
        <v>9</v>
      </c>
      <c r="AE15" s="36">
        <v>2025</v>
      </c>
      <c r="AF15" s="36">
        <v>77</v>
      </c>
      <c r="AG15" s="36" t="s">
        <v>623</v>
      </c>
      <c r="AH15" s="36" t="s">
        <v>627</v>
      </c>
      <c r="AI15" s="36" t="s">
        <v>59</v>
      </c>
      <c r="AJ15" s="36" t="s">
        <v>59</v>
      </c>
      <c r="AK15" s="188">
        <v>45748</v>
      </c>
      <c r="AL15" s="36" t="s">
        <v>97</v>
      </c>
      <c r="AM15" s="190">
        <v>0.83333333333333337</v>
      </c>
      <c r="AN15" s="190">
        <v>0.85324074074074074</v>
      </c>
      <c r="AO15" s="36" t="s">
        <v>451</v>
      </c>
      <c r="AP15" s="36" t="s">
        <v>598</v>
      </c>
      <c r="AQ15" s="36">
        <v>14</v>
      </c>
      <c r="AR15" s="36">
        <v>1</v>
      </c>
      <c r="AS15" s="36">
        <v>1</v>
      </c>
      <c r="AT15" s="36">
        <v>91</v>
      </c>
      <c r="AU15" s="191">
        <v>45748.852777777778</v>
      </c>
      <c r="AV15" s="36" t="s">
        <v>604</v>
      </c>
    </row>
    <row r="16" spans="1:48" x14ac:dyDescent="0.3">
      <c r="A16" s="36" t="s">
        <v>597</v>
      </c>
      <c r="B16" s="36" t="s">
        <v>599</v>
      </c>
      <c r="C16" s="36" t="s">
        <v>76</v>
      </c>
      <c r="D16" s="36" t="s">
        <v>600</v>
      </c>
      <c r="E16" s="36" t="s">
        <v>132</v>
      </c>
      <c r="F16" s="36" t="s">
        <v>132</v>
      </c>
      <c r="G16" s="36" t="s">
        <v>59</v>
      </c>
      <c r="H16" s="36" t="s">
        <v>59</v>
      </c>
      <c r="I16" s="36" t="s">
        <v>601</v>
      </c>
      <c r="J16" s="36" t="s">
        <v>145</v>
      </c>
      <c r="K16" s="36">
        <v>5</v>
      </c>
      <c r="L16" s="36" t="s">
        <v>602</v>
      </c>
      <c r="W16" s="36" t="s">
        <v>157</v>
      </c>
      <c r="X16" s="36" t="s">
        <v>67</v>
      </c>
      <c r="Y16" s="36" t="s">
        <v>603</v>
      </c>
      <c r="Z16" s="36" t="s">
        <v>206</v>
      </c>
      <c r="AA16" s="36" t="s">
        <v>524</v>
      </c>
      <c r="AB16" s="36" t="s">
        <v>123</v>
      </c>
      <c r="AD16" s="36">
        <v>9</v>
      </c>
      <c r="AE16" s="36">
        <v>2025</v>
      </c>
      <c r="AF16" s="36">
        <v>75</v>
      </c>
      <c r="AG16" s="36" t="s">
        <v>602</v>
      </c>
      <c r="AI16" s="36" t="s">
        <v>59</v>
      </c>
      <c r="AJ16" s="36" t="s">
        <v>59</v>
      </c>
      <c r="AK16" s="188">
        <v>45748</v>
      </c>
      <c r="AL16" s="36" t="s">
        <v>54</v>
      </c>
      <c r="AM16" s="190">
        <v>0.5</v>
      </c>
      <c r="AN16" s="190">
        <v>0.5</v>
      </c>
      <c r="AO16" s="36" t="s">
        <v>451</v>
      </c>
      <c r="AP16" s="36" t="s">
        <v>598</v>
      </c>
      <c r="AQ16" s="36">
        <v>14</v>
      </c>
      <c r="AR16" s="36">
        <v>1</v>
      </c>
      <c r="AS16" s="36">
        <v>1</v>
      </c>
      <c r="AT16" s="36">
        <v>91</v>
      </c>
      <c r="AU16" s="191">
        <v>45748.5</v>
      </c>
      <c r="AV16" s="36" t="s">
        <v>604</v>
      </c>
    </row>
    <row r="17" spans="1:48" x14ac:dyDescent="0.3">
      <c r="A17" s="36" t="s">
        <v>640</v>
      </c>
      <c r="B17" s="36" t="s">
        <v>641</v>
      </c>
      <c r="C17" s="36" t="s">
        <v>109</v>
      </c>
      <c r="D17" s="36" t="s">
        <v>642</v>
      </c>
      <c r="E17" s="36" t="s">
        <v>643</v>
      </c>
      <c r="F17" s="36" t="s">
        <v>644</v>
      </c>
      <c r="G17" s="36" t="s">
        <v>412</v>
      </c>
      <c r="H17" s="36" t="s">
        <v>400</v>
      </c>
      <c r="I17" s="36" t="s">
        <v>645</v>
      </c>
      <c r="J17" s="36" t="s">
        <v>101</v>
      </c>
      <c r="K17" s="36">
        <v>8</v>
      </c>
      <c r="L17" s="36" t="s">
        <v>646</v>
      </c>
      <c r="W17" s="36" t="s">
        <v>157</v>
      </c>
      <c r="X17" s="36" t="s">
        <v>67</v>
      </c>
      <c r="Y17" s="36" t="s">
        <v>647</v>
      </c>
      <c r="Z17" s="36" t="s">
        <v>351</v>
      </c>
      <c r="AA17" s="36" t="s">
        <v>352</v>
      </c>
      <c r="AB17" s="36" t="s">
        <v>418</v>
      </c>
      <c r="AD17" s="36">
        <v>9</v>
      </c>
      <c r="AE17" s="36">
        <v>2025</v>
      </c>
      <c r="AF17" s="36">
        <v>260</v>
      </c>
      <c r="AG17" s="36" t="s">
        <v>646</v>
      </c>
      <c r="AI17" s="36" t="s">
        <v>59</v>
      </c>
      <c r="AJ17" s="36" t="s">
        <v>59</v>
      </c>
      <c r="AK17" s="188">
        <v>45749</v>
      </c>
      <c r="AL17" s="36" t="s">
        <v>97</v>
      </c>
      <c r="AM17" s="190">
        <v>0.875</v>
      </c>
      <c r="AN17" s="190">
        <v>0.89930555555555558</v>
      </c>
      <c r="AO17" s="36" t="s">
        <v>452</v>
      </c>
      <c r="AP17" s="36" t="s">
        <v>598</v>
      </c>
      <c r="AQ17" s="36">
        <v>14</v>
      </c>
      <c r="AR17" s="36">
        <v>1</v>
      </c>
      <c r="AS17" s="36">
        <v>2</v>
      </c>
      <c r="AT17" s="36">
        <v>92</v>
      </c>
      <c r="AU17" s="191">
        <v>45749.899305555555</v>
      </c>
      <c r="AV17" s="36" t="s">
        <v>604</v>
      </c>
    </row>
    <row r="18" spans="1:48" x14ac:dyDescent="0.3">
      <c r="A18" s="36" t="s">
        <v>717</v>
      </c>
      <c r="B18" s="36" t="s">
        <v>718</v>
      </c>
      <c r="C18" s="36" t="s">
        <v>172</v>
      </c>
      <c r="D18" s="36" t="s">
        <v>719</v>
      </c>
      <c r="E18" s="36" t="s">
        <v>720</v>
      </c>
      <c r="F18" s="36" t="s">
        <v>58</v>
      </c>
      <c r="G18" s="36" t="s">
        <v>361</v>
      </c>
      <c r="H18" s="36" t="s">
        <v>721</v>
      </c>
      <c r="I18" s="36" t="s">
        <v>722</v>
      </c>
      <c r="J18" s="36" t="s">
        <v>592</v>
      </c>
      <c r="K18" s="36">
        <v>7</v>
      </c>
      <c r="L18" s="36" t="s">
        <v>723</v>
      </c>
      <c r="O18" s="36" t="s">
        <v>724</v>
      </c>
      <c r="P18" s="36" t="s">
        <v>500</v>
      </c>
      <c r="Q18" s="36" t="s">
        <v>725</v>
      </c>
      <c r="R18" s="36" t="s">
        <v>65</v>
      </c>
      <c r="W18" s="36" t="s">
        <v>726</v>
      </c>
      <c r="X18" s="36" t="s">
        <v>67</v>
      </c>
      <c r="Y18" s="36" t="s">
        <v>89</v>
      </c>
      <c r="Z18" s="36" t="s">
        <v>90</v>
      </c>
      <c r="AD18" s="36">
        <v>9</v>
      </c>
      <c r="AE18" s="36">
        <v>2025</v>
      </c>
      <c r="AF18" s="36">
        <v>120</v>
      </c>
      <c r="AG18" s="36" t="s">
        <v>723</v>
      </c>
      <c r="AH18" s="36" t="s">
        <v>727</v>
      </c>
      <c r="AI18" s="36" t="s">
        <v>728</v>
      </c>
      <c r="AJ18" s="36" t="s">
        <v>729</v>
      </c>
      <c r="AK18" s="188">
        <v>45755</v>
      </c>
      <c r="AL18" s="36" t="s">
        <v>162</v>
      </c>
      <c r="AM18" s="190">
        <v>0</v>
      </c>
      <c r="AN18" s="190">
        <v>3.2638888888888891E-2</v>
      </c>
      <c r="AO18" s="36" t="s">
        <v>451</v>
      </c>
      <c r="AP18" s="36" t="s">
        <v>598</v>
      </c>
      <c r="AQ18" s="36">
        <v>15</v>
      </c>
      <c r="AR18" s="36">
        <v>2</v>
      </c>
      <c r="AS18" s="36">
        <v>8</v>
      </c>
      <c r="AT18" s="36">
        <v>98</v>
      </c>
      <c r="AU18" s="191">
        <v>45755.032638888886</v>
      </c>
      <c r="AV18" s="36" t="s">
        <v>730</v>
      </c>
    </row>
    <row r="19" spans="1:48" x14ac:dyDescent="0.3">
      <c r="A19" s="36" t="s">
        <v>819</v>
      </c>
      <c r="B19" s="36" t="s">
        <v>294</v>
      </c>
      <c r="C19" s="36" t="s">
        <v>76</v>
      </c>
      <c r="D19" s="36" t="s">
        <v>820</v>
      </c>
      <c r="E19" s="36" t="s">
        <v>132</v>
      </c>
      <c r="F19" s="36" t="s">
        <v>132</v>
      </c>
      <c r="G19" s="36" t="s">
        <v>59</v>
      </c>
      <c r="H19" s="36" t="s">
        <v>59</v>
      </c>
      <c r="I19" s="36" t="s">
        <v>821</v>
      </c>
      <c r="J19" s="36" t="s">
        <v>145</v>
      </c>
      <c r="K19" s="36">
        <v>5</v>
      </c>
      <c r="L19" s="36" t="s">
        <v>822</v>
      </c>
      <c r="W19" s="36" t="s">
        <v>416</v>
      </c>
      <c r="X19" s="36" t="s">
        <v>67</v>
      </c>
      <c r="Y19" s="36" t="s">
        <v>579</v>
      </c>
      <c r="Z19" s="36" t="s">
        <v>121</v>
      </c>
      <c r="AA19" s="36" t="s">
        <v>106</v>
      </c>
      <c r="AB19" s="36" t="s">
        <v>123</v>
      </c>
      <c r="AD19" s="36">
        <v>9</v>
      </c>
      <c r="AE19" s="36">
        <v>2025</v>
      </c>
      <c r="AF19" s="36">
        <v>140</v>
      </c>
      <c r="AG19" s="36" t="s">
        <v>822</v>
      </c>
      <c r="AI19" s="36" t="s">
        <v>59</v>
      </c>
      <c r="AJ19" s="36" t="s">
        <v>823</v>
      </c>
      <c r="AK19" s="188">
        <v>45755</v>
      </c>
      <c r="AL19" s="36" t="s">
        <v>54</v>
      </c>
      <c r="AM19" s="190">
        <v>0.5</v>
      </c>
      <c r="AN19" s="190">
        <v>0.5</v>
      </c>
      <c r="AO19" s="36" t="s">
        <v>451</v>
      </c>
      <c r="AP19" s="36" t="s">
        <v>598</v>
      </c>
      <c r="AQ19" s="36">
        <v>15</v>
      </c>
      <c r="AR19" s="36">
        <v>2</v>
      </c>
      <c r="AS19" s="36">
        <v>8</v>
      </c>
      <c r="AT19" s="36">
        <v>98</v>
      </c>
      <c r="AU19" s="191">
        <v>45755.5</v>
      </c>
      <c r="AV19" s="36" t="s">
        <v>730</v>
      </c>
    </row>
    <row r="20" spans="1:48" x14ac:dyDescent="0.3">
      <c r="A20" s="36" t="s">
        <v>799</v>
      </c>
      <c r="B20" s="36" t="s">
        <v>800</v>
      </c>
      <c r="C20" s="36" t="s">
        <v>109</v>
      </c>
      <c r="D20" s="36" t="s">
        <v>801</v>
      </c>
      <c r="E20" s="36" t="s">
        <v>58</v>
      </c>
      <c r="F20" s="36" t="s">
        <v>58</v>
      </c>
      <c r="G20" s="36" t="s">
        <v>59</v>
      </c>
      <c r="H20" s="36" t="s">
        <v>59</v>
      </c>
      <c r="I20" s="36" t="s">
        <v>802</v>
      </c>
      <c r="J20" s="36" t="s">
        <v>155</v>
      </c>
      <c r="K20" s="36">
        <v>8</v>
      </c>
      <c r="L20" s="36" t="s">
        <v>803</v>
      </c>
      <c r="O20" s="36" t="s">
        <v>804</v>
      </c>
      <c r="P20" s="36" t="s">
        <v>555</v>
      </c>
      <c r="Q20" s="36" t="s">
        <v>805</v>
      </c>
      <c r="R20" s="36" t="s">
        <v>65</v>
      </c>
      <c r="W20" s="36" t="s">
        <v>416</v>
      </c>
      <c r="X20" s="36" t="s">
        <v>67</v>
      </c>
      <c r="Y20" s="36" t="s">
        <v>244</v>
      </c>
      <c r="Z20" s="36" t="s">
        <v>206</v>
      </c>
      <c r="AA20" s="36" t="s">
        <v>524</v>
      </c>
      <c r="AB20" s="36" t="s">
        <v>123</v>
      </c>
      <c r="AD20" s="36">
        <v>9</v>
      </c>
      <c r="AE20" s="36">
        <v>2025</v>
      </c>
      <c r="AF20" s="36">
        <v>283</v>
      </c>
      <c r="AG20" s="36" t="s">
        <v>803</v>
      </c>
      <c r="AH20" s="36" t="s">
        <v>806</v>
      </c>
      <c r="AI20" s="36" t="s">
        <v>807</v>
      </c>
      <c r="AJ20" s="36" t="s">
        <v>808</v>
      </c>
      <c r="AK20" s="188">
        <v>45756</v>
      </c>
      <c r="AL20" s="36" t="s">
        <v>97</v>
      </c>
      <c r="AM20" s="190">
        <v>0.95833333333333337</v>
      </c>
      <c r="AN20" s="190">
        <v>0.96527777777777779</v>
      </c>
      <c r="AO20" s="36" t="s">
        <v>452</v>
      </c>
      <c r="AP20" s="36" t="s">
        <v>598</v>
      </c>
      <c r="AQ20" s="36">
        <v>15</v>
      </c>
      <c r="AR20" s="36">
        <v>2</v>
      </c>
      <c r="AS20" s="36">
        <v>9</v>
      </c>
      <c r="AT20" s="36">
        <v>99</v>
      </c>
      <c r="AU20" s="191">
        <v>45756.965277777781</v>
      </c>
      <c r="AV20" s="36" t="s">
        <v>730</v>
      </c>
    </row>
    <row r="21" spans="1:48" x14ac:dyDescent="0.3">
      <c r="A21" s="36" t="s">
        <v>824</v>
      </c>
      <c r="B21" s="36" t="s">
        <v>825</v>
      </c>
      <c r="C21" s="36" t="s">
        <v>95</v>
      </c>
      <c r="D21" s="36" t="s">
        <v>826</v>
      </c>
      <c r="E21" s="36" t="s">
        <v>827</v>
      </c>
      <c r="F21" s="36" t="s">
        <v>58</v>
      </c>
      <c r="G21" s="36" t="s">
        <v>828</v>
      </c>
      <c r="H21" s="36" t="s">
        <v>59</v>
      </c>
      <c r="I21" s="36" t="s">
        <v>829</v>
      </c>
      <c r="J21" s="36" t="s">
        <v>134</v>
      </c>
      <c r="K21" s="36">
        <v>7</v>
      </c>
      <c r="L21" s="36" t="s">
        <v>830</v>
      </c>
      <c r="O21" s="36" t="s">
        <v>831</v>
      </c>
      <c r="P21" s="36" t="s">
        <v>63</v>
      </c>
      <c r="Q21" s="36" t="s">
        <v>218</v>
      </c>
      <c r="R21" s="36" t="s">
        <v>65</v>
      </c>
      <c r="S21" s="36" t="s">
        <v>832</v>
      </c>
      <c r="T21" s="36" t="s">
        <v>65</v>
      </c>
      <c r="U21" s="36" t="s">
        <v>117</v>
      </c>
      <c r="V21" s="36" t="s">
        <v>833</v>
      </c>
      <c r="W21" s="36" t="s">
        <v>157</v>
      </c>
      <c r="X21" s="36" t="s">
        <v>67</v>
      </c>
      <c r="Y21" s="36" t="s">
        <v>834</v>
      </c>
      <c r="Z21" s="36" t="s">
        <v>159</v>
      </c>
      <c r="AA21" s="36" t="s">
        <v>160</v>
      </c>
      <c r="AB21" s="36" t="s">
        <v>435</v>
      </c>
      <c r="AD21" s="36">
        <v>9</v>
      </c>
      <c r="AE21" s="36">
        <v>2025</v>
      </c>
      <c r="AF21" s="36">
        <v>157</v>
      </c>
      <c r="AG21" s="36" t="s">
        <v>830</v>
      </c>
      <c r="AH21" s="36" t="s">
        <v>835</v>
      </c>
      <c r="AI21" s="36" t="s">
        <v>836</v>
      </c>
      <c r="AJ21" s="36" t="s">
        <v>837</v>
      </c>
      <c r="AK21" s="188">
        <v>45760</v>
      </c>
      <c r="AL21" s="36" t="s">
        <v>78</v>
      </c>
      <c r="AM21" s="190">
        <v>0.66666666666666663</v>
      </c>
      <c r="AN21" s="190">
        <v>0.6875</v>
      </c>
      <c r="AO21" s="36" t="s">
        <v>458</v>
      </c>
      <c r="AP21" s="36" t="s">
        <v>598</v>
      </c>
      <c r="AQ21" s="36">
        <v>16</v>
      </c>
      <c r="AR21" s="36">
        <v>3</v>
      </c>
      <c r="AS21" s="36">
        <v>13</v>
      </c>
      <c r="AT21" s="36">
        <v>103</v>
      </c>
      <c r="AU21" s="191">
        <v>45760.6875</v>
      </c>
      <c r="AV21" s="36" t="s">
        <v>730</v>
      </c>
    </row>
    <row r="22" spans="1:48" x14ac:dyDescent="0.3">
      <c r="A22" s="36" t="s">
        <v>838</v>
      </c>
      <c r="B22" s="36" t="s">
        <v>56</v>
      </c>
      <c r="C22" s="36" t="s">
        <v>95</v>
      </c>
      <c r="D22" s="36" t="s">
        <v>839</v>
      </c>
      <c r="E22" s="36" t="s">
        <v>840</v>
      </c>
      <c r="F22" s="36" t="s">
        <v>132</v>
      </c>
      <c r="G22" s="36" t="s">
        <v>841</v>
      </c>
      <c r="H22" s="36" t="s">
        <v>708</v>
      </c>
      <c r="I22" s="36" t="s">
        <v>842</v>
      </c>
      <c r="J22" s="36" t="s">
        <v>327</v>
      </c>
      <c r="K22" s="36">
        <v>7</v>
      </c>
      <c r="L22" s="36" t="s">
        <v>843</v>
      </c>
      <c r="W22" s="36" t="s">
        <v>157</v>
      </c>
      <c r="X22" s="36" t="s">
        <v>67</v>
      </c>
      <c r="Y22" s="36" t="s">
        <v>147</v>
      </c>
      <c r="Z22" s="36" t="s">
        <v>90</v>
      </c>
      <c r="AA22" s="36" t="s">
        <v>160</v>
      </c>
      <c r="AB22" s="36" t="s">
        <v>435</v>
      </c>
      <c r="AD22" s="36">
        <v>9</v>
      </c>
      <c r="AE22" s="36">
        <v>2025</v>
      </c>
      <c r="AF22" s="36">
        <v>64</v>
      </c>
      <c r="AG22" s="36" t="s">
        <v>843</v>
      </c>
      <c r="AI22" s="36" t="s">
        <v>59</v>
      </c>
      <c r="AJ22" s="36" t="s">
        <v>844</v>
      </c>
      <c r="AK22" s="188">
        <v>45760</v>
      </c>
      <c r="AL22" s="36" t="s">
        <v>78</v>
      </c>
      <c r="AM22" s="190">
        <v>0.75</v>
      </c>
      <c r="AN22" s="190">
        <v>0.78115740740740736</v>
      </c>
      <c r="AO22" s="36" t="s">
        <v>458</v>
      </c>
      <c r="AP22" s="36" t="s">
        <v>598</v>
      </c>
      <c r="AQ22" s="36">
        <v>16</v>
      </c>
      <c r="AR22" s="36">
        <v>3</v>
      </c>
      <c r="AS22" s="36">
        <v>13</v>
      </c>
      <c r="AT22" s="36">
        <v>103</v>
      </c>
      <c r="AU22" s="191">
        <v>45760.780555555553</v>
      </c>
      <c r="AV22" s="36" t="s">
        <v>730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92AC3-B238-49ED-B842-A56B8E4EAF1B}">
  <sheetPr codeName="Sheet1">
    <tabColor rgb="FF00B050"/>
  </sheetPr>
  <dimension ref="A1:AW122"/>
  <sheetViews>
    <sheetView topLeftCell="AJ1" workbookViewId="0">
      <selection activeCell="AO1" sqref="AO1:AO1048576"/>
    </sheetView>
  </sheetViews>
  <sheetFormatPr defaultRowHeight="15.6" x14ac:dyDescent="0.3"/>
  <cols>
    <col min="1" max="1" width="19.33203125" style="122" bestFit="1" customWidth="1"/>
    <col min="2" max="2" width="15.44140625" style="192" bestFit="1" customWidth="1"/>
    <col min="3" max="3" width="28" style="193" bestFit="1" customWidth="1"/>
    <col min="4" max="4" width="18.33203125" style="122" bestFit="1" customWidth="1"/>
    <col min="5" max="5" width="15" style="122" bestFit="1" customWidth="1"/>
    <col min="6" max="6" width="15.77734375" style="122" bestFit="1" customWidth="1"/>
    <col min="7" max="7" width="18.44140625" style="122" bestFit="1" customWidth="1"/>
    <col min="8" max="9" width="39.77734375" style="36" bestFit="1" customWidth="1"/>
    <col min="10" max="10" width="43" style="36" bestFit="1" customWidth="1"/>
    <col min="11" max="11" width="21.44140625" style="36" bestFit="1" customWidth="1"/>
    <col min="12" max="12" width="27.33203125" style="36" bestFit="1" customWidth="1"/>
    <col min="13" max="13" width="21.44140625" style="36" bestFit="1" customWidth="1"/>
    <col min="14" max="14" width="64.21875" style="36" bestFit="1" customWidth="1"/>
    <col min="15" max="15" width="9.6640625" style="122" bestFit="1" customWidth="1"/>
    <col min="16" max="16" width="10.44140625" style="122" bestFit="1" customWidth="1"/>
    <col min="17" max="17" width="100.77734375" style="186" customWidth="1"/>
    <col min="18" max="18" width="23.88671875" style="36" bestFit="1" customWidth="1"/>
    <col min="19" max="19" width="25.5546875" style="36" bestFit="1" customWidth="1"/>
    <col min="20" max="20" width="19.33203125" style="36" bestFit="1" customWidth="1"/>
    <col min="21" max="21" width="13.21875" style="36" bestFit="1" customWidth="1"/>
    <col min="22" max="22" width="12.88671875" style="36" bestFit="1" customWidth="1"/>
    <col min="23" max="23" width="16.6640625" style="122" bestFit="1" customWidth="1"/>
    <col min="24" max="24" width="19.33203125" style="36" bestFit="1" customWidth="1"/>
    <col min="25" max="25" width="16.6640625" style="36" bestFit="1" customWidth="1"/>
    <col min="26" max="26" width="12.109375" style="36" bestFit="1" customWidth="1"/>
    <col min="27" max="27" width="12.88671875" style="36" bestFit="1" customWidth="1"/>
    <col min="28" max="28" width="18.21875" style="36" bestFit="1" customWidth="1"/>
    <col min="29" max="29" width="27.88671875" style="36" bestFit="1" customWidth="1"/>
    <col min="30" max="30" width="12" style="122" bestFit="1" customWidth="1"/>
    <col min="31" max="31" width="29.88671875" style="36" bestFit="1" customWidth="1"/>
    <col min="32" max="32" width="31.109375" style="36" bestFit="1" customWidth="1"/>
    <col min="33" max="33" width="50.33203125" style="36" bestFit="1" customWidth="1"/>
    <col min="34" max="34" width="10" style="122" bestFit="1" customWidth="1"/>
    <col min="35" max="35" width="18.77734375" style="122" bestFit="1" customWidth="1"/>
    <col min="36" max="36" width="20.6640625" style="122" bestFit="1" customWidth="1"/>
    <col min="37" max="37" width="9.33203125" style="122" bestFit="1" customWidth="1"/>
    <col min="38" max="38" width="16.77734375" style="122" bestFit="1" customWidth="1"/>
    <col min="39" max="39" width="27" style="122" bestFit="1" customWidth="1"/>
    <col min="40" max="40" width="8.77734375" style="122" bestFit="1" customWidth="1"/>
    <col min="41" max="41" width="100.77734375" style="186" customWidth="1"/>
    <col min="42" max="42" width="40" style="36" bestFit="1" customWidth="1"/>
    <col min="43" max="43" width="44.88671875" style="186" customWidth="1"/>
    <col min="44" max="44" width="51.88671875" style="186" customWidth="1"/>
    <col min="45" max="45" width="21.6640625" style="122" bestFit="1" customWidth="1"/>
    <col min="46" max="46" width="12.77734375" style="36" bestFit="1" customWidth="1"/>
    <col min="47" max="47" width="22" style="36" bestFit="1" customWidth="1"/>
    <col min="48" max="48" width="5.88671875" style="36" bestFit="1" customWidth="1"/>
    <col min="49" max="49" width="80.88671875" style="186" bestFit="1" customWidth="1"/>
    <col min="50" max="50" width="32.88671875" style="36" bestFit="1" customWidth="1"/>
    <col min="51" max="52" width="80.88671875" style="36" bestFit="1" customWidth="1"/>
    <col min="53" max="53" width="16.109375" style="36" bestFit="1" customWidth="1"/>
    <col min="54" max="54" width="23.21875" style="36" bestFit="1" customWidth="1"/>
    <col min="55" max="55" width="24.88671875" style="36" bestFit="1" customWidth="1"/>
    <col min="56" max="16384" width="8.88671875" style="36"/>
  </cols>
  <sheetData>
    <row r="1" spans="1:49" s="122" customFormat="1" x14ac:dyDescent="0.3">
      <c r="A1" s="122" t="s">
        <v>0</v>
      </c>
      <c r="B1" s="122" t="s">
        <v>1</v>
      </c>
      <c r="C1" s="122" t="s">
        <v>52</v>
      </c>
      <c r="D1" s="192" t="s">
        <v>3</v>
      </c>
      <c r="E1" s="192" t="s">
        <v>4</v>
      </c>
      <c r="F1" s="122" t="s">
        <v>5</v>
      </c>
      <c r="G1" s="122" t="s">
        <v>6</v>
      </c>
      <c r="H1" s="122" t="s">
        <v>7</v>
      </c>
      <c r="I1" s="122" t="s">
        <v>8</v>
      </c>
      <c r="J1" s="122" t="s">
        <v>10</v>
      </c>
      <c r="K1" s="122" t="s">
        <v>9</v>
      </c>
      <c r="L1" s="122" t="s">
        <v>11</v>
      </c>
      <c r="M1" s="122" t="s">
        <v>12</v>
      </c>
      <c r="N1" s="122" t="s">
        <v>13</v>
      </c>
      <c r="O1" s="122" t="s">
        <v>14</v>
      </c>
      <c r="P1" s="122" t="s">
        <v>15</v>
      </c>
      <c r="Q1" s="185" t="s">
        <v>16</v>
      </c>
      <c r="R1" s="122" t="s">
        <v>17</v>
      </c>
      <c r="S1" s="122" t="s">
        <v>18</v>
      </c>
      <c r="T1" s="122" t="s">
        <v>19</v>
      </c>
      <c r="U1" s="122" t="s">
        <v>20</v>
      </c>
      <c r="V1" s="122" t="s">
        <v>21</v>
      </c>
      <c r="W1" s="122" t="s">
        <v>22</v>
      </c>
      <c r="X1" s="122" t="s">
        <v>23</v>
      </c>
      <c r="Y1" s="122" t="s">
        <v>24</v>
      </c>
      <c r="Z1" s="122" t="s">
        <v>25</v>
      </c>
      <c r="AA1" s="122" t="s">
        <v>26</v>
      </c>
      <c r="AB1" s="122" t="s">
        <v>27</v>
      </c>
      <c r="AC1" s="122" t="s">
        <v>29</v>
      </c>
      <c r="AD1" s="122" t="s">
        <v>30</v>
      </c>
      <c r="AE1" s="122" t="s">
        <v>31</v>
      </c>
      <c r="AF1" s="122" t="s">
        <v>32</v>
      </c>
      <c r="AG1" s="122" t="s">
        <v>33</v>
      </c>
      <c r="AH1" s="122" t="s">
        <v>41</v>
      </c>
      <c r="AI1" s="122" t="s">
        <v>42</v>
      </c>
      <c r="AJ1" s="122" t="s">
        <v>43</v>
      </c>
      <c r="AK1" s="122" t="s">
        <v>44</v>
      </c>
      <c r="AL1" s="122" t="s">
        <v>45</v>
      </c>
      <c r="AM1" s="122" t="s">
        <v>46</v>
      </c>
      <c r="AN1" s="122" t="s">
        <v>47</v>
      </c>
      <c r="AO1" s="185" t="s">
        <v>459</v>
      </c>
      <c r="AP1" s="122" t="s">
        <v>48</v>
      </c>
      <c r="AQ1" s="185" t="s">
        <v>49</v>
      </c>
      <c r="AR1" s="185" t="s">
        <v>50</v>
      </c>
      <c r="AS1" s="122" t="s">
        <v>51</v>
      </c>
    </row>
    <row r="2" spans="1:49" ht="280.8" x14ac:dyDescent="0.3">
      <c r="A2" s="122" t="s">
        <v>53</v>
      </c>
      <c r="B2" s="147">
        <v>45663</v>
      </c>
      <c r="C2" s="36" t="s">
        <v>76</v>
      </c>
      <c r="D2" s="192">
        <v>0.625</v>
      </c>
      <c r="E2" s="192">
        <v>0.64583333333333337</v>
      </c>
      <c r="F2" s="122" t="s">
        <v>450</v>
      </c>
      <c r="G2" s="122" t="s">
        <v>55</v>
      </c>
      <c r="H2" s="36" t="s">
        <v>56</v>
      </c>
      <c r="I2" s="36" t="s">
        <v>57</v>
      </c>
      <c r="J2" s="36" t="s">
        <v>58</v>
      </c>
      <c r="K2" s="36" t="s">
        <v>58</v>
      </c>
      <c r="L2" s="36" t="s">
        <v>59</v>
      </c>
      <c r="M2" s="36" t="s">
        <v>59</v>
      </c>
      <c r="N2" s="36" t="s">
        <v>60</v>
      </c>
      <c r="P2" s="122">
        <v>7</v>
      </c>
      <c r="Q2" s="186" t="s">
        <v>61</v>
      </c>
      <c r="T2" s="36" t="s">
        <v>62</v>
      </c>
      <c r="U2" s="36" t="s">
        <v>63</v>
      </c>
      <c r="V2" s="36" t="s">
        <v>64</v>
      </c>
      <c r="W2" s="122" t="s">
        <v>65</v>
      </c>
      <c r="AB2" s="36" t="s">
        <v>66</v>
      </c>
      <c r="AC2" s="36" t="s">
        <v>68</v>
      </c>
      <c r="AD2" s="122" t="s">
        <v>69</v>
      </c>
      <c r="AE2" s="36" t="s">
        <v>70</v>
      </c>
      <c r="AF2" s="36" t="s">
        <v>71</v>
      </c>
      <c r="AG2" s="36" t="s">
        <v>72</v>
      </c>
      <c r="AH2" s="122">
        <v>2025</v>
      </c>
      <c r="AI2" s="122">
        <v>2</v>
      </c>
      <c r="AJ2" s="122">
        <v>2</v>
      </c>
      <c r="AK2" s="122">
        <v>6</v>
      </c>
      <c r="AL2" s="122">
        <v>6</v>
      </c>
      <c r="AM2" s="149">
        <v>45663.645833333336</v>
      </c>
      <c r="AN2" s="122">
        <v>90</v>
      </c>
      <c r="AO2" s="186" t="s">
        <v>61</v>
      </c>
      <c r="AP2" s="36" t="s">
        <v>73</v>
      </c>
      <c r="AQ2" s="186" t="s">
        <v>74</v>
      </c>
      <c r="AR2" s="186" t="s">
        <v>75</v>
      </c>
      <c r="AS2" s="122" t="s">
        <v>514</v>
      </c>
      <c r="AW2" s="36"/>
    </row>
    <row r="3" spans="1:49" ht="202.8" x14ac:dyDescent="0.3">
      <c r="A3" s="122" t="s">
        <v>77</v>
      </c>
      <c r="B3" s="147">
        <v>45682</v>
      </c>
      <c r="C3" s="36" t="s">
        <v>95</v>
      </c>
      <c r="D3" s="192">
        <v>0.75</v>
      </c>
      <c r="E3" s="192">
        <v>0.76875000000000004</v>
      </c>
      <c r="F3" s="122" t="s">
        <v>455</v>
      </c>
      <c r="G3" s="122" t="s">
        <v>55</v>
      </c>
      <c r="H3" s="36" t="s">
        <v>79</v>
      </c>
      <c r="I3" s="36" t="s">
        <v>80</v>
      </c>
      <c r="J3" s="36" t="s">
        <v>81</v>
      </c>
      <c r="K3" s="36" t="s">
        <v>58</v>
      </c>
      <c r="L3" s="36" t="s">
        <v>82</v>
      </c>
      <c r="M3" s="36" t="s">
        <v>59</v>
      </c>
      <c r="N3" s="36" t="s">
        <v>83</v>
      </c>
      <c r="O3" s="122" t="s">
        <v>84</v>
      </c>
      <c r="P3" s="122">
        <v>8</v>
      </c>
      <c r="Q3" s="186" t="s">
        <v>85</v>
      </c>
      <c r="T3" s="36" t="s">
        <v>86</v>
      </c>
      <c r="U3" s="36" t="s">
        <v>63</v>
      </c>
      <c r="V3" s="36" t="s">
        <v>87</v>
      </c>
      <c r="W3" s="122" t="s">
        <v>65</v>
      </c>
      <c r="AB3" s="36" t="s">
        <v>88</v>
      </c>
      <c r="AC3" s="36" t="s">
        <v>89</v>
      </c>
      <c r="AD3" s="122" t="s">
        <v>90</v>
      </c>
      <c r="AE3" s="36" t="s">
        <v>91</v>
      </c>
      <c r="AF3" s="36" t="s">
        <v>92</v>
      </c>
      <c r="AG3" s="36" t="s">
        <v>72</v>
      </c>
      <c r="AH3" s="122">
        <v>2025</v>
      </c>
      <c r="AI3" s="122">
        <v>4</v>
      </c>
      <c r="AJ3" s="122">
        <v>4</v>
      </c>
      <c r="AK3" s="122">
        <v>25</v>
      </c>
      <c r="AL3" s="122">
        <v>25</v>
      </c>
      <c r="AM3" s="149">
        <v>45682.768750000003</v>
      </c>
      <c r="AN3" s="122">
        <v>206</v>
      </c>
      <c r="AO3" s="186" t="s">
        <v>85</v>
      </c>
      <c r="AP3" s="36" t="s">
        <v>93</v>
      </c>
      <c r="AQ3" s="186" t="s">
        <v>94</v>
      </c>
      <c r="AR3" s="186" t="s">
        <v>59</v>
      </c>
      <c r="AS3" s="122" t="s">
        <v>511</v>
      </c>
      <c r="AW3" s="36"/>
    </row>
    <row r="4" spans="1:49" ht="187.2" x14ac:dyDescent="0.3">
      <c r="A4" s="122" t="s">
        <v>96</v>
      </c>
      <c r="B4" s="147">
        <v>45683</v>
      </c>
      <c r="C4" s="36" t="s">
        <v>109</v>
      </c>
      <c r="D4" s="192">
        <v>0.83333333333333337</v>
      </c>
      <c r="E4" s="192">
        <v>0.84027777777777779</v>
      </c>
      <c r="F4" s="122" t="s">
        <v>458</v>
      </c>
      <c r="G4" s="122" t="s">
        <v>55</v>
      </c>
      <c r="H4" s="36" t="s">
        <v>98</v>
      </c>
      <c r="I4" s="36" t="s">
        <v>99</v>
      </c>
      <c r="J4" s="36" t="s">
        <v>81</v>
      </c>
      <c r="K4" s="36" t="s">
        <v>58</v>
      </c>
      <c r="L4" s="36" t="s">
        <v>82</v>
      </c>
      <c r="M4" s="36" t="s">
        <v>59</v>
      </c>
      <c r="N4" s="36" t="s">
        <v>100</v>
      </c>
      <c r="O4" s="122" t="s">
        <v>101</v>
      </c>
      <c r="P4" s="122">
        <v>9</v>
      </c>
      <c r="Q4" s="186" t="s">
        <v>102</v>
      </c>
      <c r="T4" s="36" t="s">
        <v>103</v>
      </c>
      <c r="U4" s="36" t="s">
        <v>63</v>
      </c>
      <c r="V4" s="36" t="s">
        <v>104</v>
      </c>
      <c r="W4" s="122" t="s">
        <v>65</v>
      </c>
      <c r="AB4" s="36" t="s">
        <v>66</v>
      </c>
      <c r="AC4" s="36" t="s">
        <v>105</v>
      </c>
      <c r="AD4" s="122" t="s">
        <v>69</v>
      </c>
      <c r="AE4" s="36" t="s">
        <v>106</v>
      </c>
      <c r="AF4" s="36" t="s">
        <v>71</v>
      </c>
      <c r="AG4" s="36" t="s">
        <v>72</v>
      </c>
      <c r="AH4" s="122">
        <v>2025</v>
      </c>
      <c r="AI4" s="122">
        <v>5</v>
      </c>
      <c r="AJ4" s="122">
        <v>5</v>
      </c>
      <c r="AK4" s="122">
        <v>26</v>
      </c>
      <c r="AL4" s="122">
        <v>26</v>
      </c>
      <c r="AM4" s="149">
        <v>45683.840277777781</v>
      </c>
      <c r="AN4" s="122">
        <v>5</v>
      </c>
      <c r="AO4" s="186" t="s">
        <v>102</v>
      </c>
      <c r="AP4" s="36" t="s">
        <v>107</v>
      </c>
      <c r="AQ4" s="186" t="s">
        <v>59</v>
      </c>
      <c r="AR4" s="186" t="s">
        <v>108</v>
      </c>
      <c r="AS4" s="122" t="s">
        <v>511</v>
      </c>
      <c r="AW4" s="36"/>
    </row>
    <row r="5" spans="1:49" ht="156" x14ac:dyDescent="0.3">
      <c r="A5" s="122" t="s">
        <v>110</v>
      </c>
      <c r="B5" s="147">
        <v>45701</v>
      </c>
      <c r="C5" s="36" t="s">
        <v>95</v>
      </c>
      <c r="D5" s="192">
        <v>0.66666666666666663</v>
      </c>
      <c r="E5" s="192">
        <v>0.66666666666666663</v>
      </c>
      <c r="F5" s="122" t="s">
        <v>536</v>
      </c>
      <c r="G5" s="122" t="s">
        <v>111</v>
      </c>
      <c r="H5" s="36" t="s">
        <v>112</v>
      </c>
      <c r="I5" s="36" t="s">
        <v>112</v>
      </c>
      <c r="J5" s="36" t="s">
        <v>58</v>
      </c>
      <c r="K5" s="36" t="s">
        <v>58</v>
      </c>
      <c r="L5" s="36" t="s">
        <v>59</v>
      </c>
      <c r="M5" s="36" t="s">
        <v>59</v>
      </c>
      <c r="N5" s="36" t="s">
        <v>113</v>
      </c>
      <c r="O5" s="122" t="s">
        <v>114</v>
      </c>
      <c r="P5" s="122">
        <v>6</v>
      </c>
      <c r="Q5" s="186" t="s">
        <v>115</v>
      </c>
      <c r="T5" s="36" t="s">
        <v>116</v>
      </c>
      <c r="U5" s="36" t="s">
        <v>117</v>
      </c>
      <c r="V5" s="36" t="s">
        <v>118</v>
      </c>
      <c r="W5" s="122" t="s">
        <v>65</v>
      </c>
      <c r="AB5" s="36" t="s">
        <v>119</v>
      </c>
      <c r="AC5" s="36" t="s">
        <v>120</v>
      </c>
      <c r="AD5" s="122" t="s">
        <v>121</v>
      </c>
      <c r="AE5" s="36" t="s">
        <v>122</v>
      </c>
      <c r="AF5" s="36" t="s">
        <v>123</v>
      </c>
      <c r="AG5" s="36" t="s">
        <v>72</v>
      </c>
      <c r="AH5" s="122">
        <v>2025</v>
      </c>
      <c r="AI5" s="122">
        <v>7</v>
      </c>
      <c r="AJ5" s="122">
        <v>3</v>
      </c>
      <c r="AK5" s="122">
        <v>13</v>
      </c>
      <c r="AL5" s="122">
        <v>44</v>
      </c>
      <c r="AM5" s="149">
        <v>45701.666666666664</v>
      </c>
      <c r="AO5" s="186" t="s">
        <v>115</v>
      </c>
      <c r="AP5" s="36" t="s">
        <v>124</v>
      </c>
      <c r="AQ5" s="186" t="s">
        <v>125</v>
      </c>
      <c r="AR5" s="186" t="s">
        <v>126</v>
      </c>
      <c r="AS5" s="122" t="s">
        <v>508</v>
      </c>
      <c r="AW5" s="36"/>
    </row>
    <row r="6" spans="1:49" ht="312" x14ac:dyDescent="0.3">
      <c r="A6" s="122" t="s">
        <v>460</v>
      </c>
      <c r="B6" s="147">
        <v>45722</v>
      </c>
      <c r="C6" s="36" t="s">
        <v>109</v>
      </c>
      <c r="D6" s="192">
        <v>0.91666666666666663</v>
      </c>
      <c r="E6" s="192">
        <v>0.94149305555555551</v>
      </c>
      <c r="F6" s="122" t="s">
        <v>536</v>
      </c>
      <c r="G6" s="122" t="s">
        <v>461</v>
      </c>
      <c r="H6" s="36" t="s">
        <v>462</v>
      </c>
      <c r="I6" s="36" t="s">
        <v>463</v>
      </c>
      <c r="J6" s="36" t="s">
        <v>58</v>
      </c>
      <c r="K6" s="36" t="s">
        <v>58</v>
      </c>
      <c r="L6" s="36" t="s">
        <v>59</v>
      </c>
      <c r="M6" s="36" t="s">
        <v>59</v>
      </c>
      <c r="N6" s="36" t="s">
        <v>464</v>
      </c>
      <c r="O6" s="122" t="s">
        <v>84</v>
      </c>
      <c r="P6" s="122">
        <v>8</v>
      </c>
      <c r="Q6" s="186" t="s">
        <v>465</v>
      </c>
      <c r="T6" s="36" t="s">
        <v>466</v>
      </c>
      <c r="U6" s="36" t="s">
        <v>117</v>
      </c>
      <c r="V6" s="36" t="s">
        <v>467</v>
      </c>
      <c r="W6" s="122" t="s">
        <v>65</v>
      </c>
      <c r="AB6" s="36" t="s">
        <v>468</v>
      </c>
      <c r="AC6" s="36" t="s">
        <v>68</v>
      </c>
      <c r="AD6" s="122" t="s">
        <v>69</v>
      </c>
      <c r="AE6" s="36" t="s">
        <v>160</v>
      </c>
      <c r="AF6" s="36" t="s">
        <v>123</v>
      </c>
      <c r="AH6" s="122">
        <v>2025</v>
      </c>
      <c r="AI6" s="122">
        <v>10</v>
      </c>
      <c r="AJ6" s="122">
        <v>2</v>
      </c>
      <c r="AK6" s="122">
        <v>6</v>
      </c>
      <c r="AL6" s="122">
        <v>65</v>
      </c>
      <c r="AM6" s="149">
        <v>45722.940972222219</v>
      </c>
      <c r="AN6" s="122">
        <v>216</v>
      </c>
      <c r="AO6" s="186" t="s">
        <v>465</v>
      </c>
      <c r="AP6" s="36" t="s">
        <v>469</v>
      </c>
      <c r="AQ6" s="186" t="s">
        <v>470</v>
      </c>
      <c r="AR6" s="186" t="s">
        <v>471</v>
      </c>
      <c r="AS6" s="122" t="s">
        <v>505</v>
      </c>
      <c r="AW6" s="36"/>
    </row>
    <row r="7" spans="1:49" ht="249.6" x14ac:dyDescent="0.3">
      <c r="A7" s="122" t="s">
        <v>472</v>
      </c>
      <c r="B7" s="147">
        <v>45725</v>
      </c>
      <c r="C7" s="36" t="s">
        <v>95</v>
      </c>
      <c r="D7" s="192">
        <v>0.79166666666666663</v>
      </c>
      <c r="E7" s="192">
        <v>0.8125</v>
      </c>
      <c r="F7" s="122" t="s">
        <v>458</v>
      </c>
      <c r="G7" s="122" t="s">
        <v>461</v>
      </c>
      <c r="H7" s="36" t="s">
        <v>473</v>
      </c>
      <c r="I7" s="36" t="s">
        <v>474</v>
      </c>
      <c r="J7" s="36" t="s">
        <v>58</v>
      </c>
      <c r="K7" s="36" t="s">
        <v>58</v>
      </c>
      <c r="L7" s="36" t="s">
        <v>59</v>
      </c>
      <c r="M7" s="36" t="s">
        <v>59</v>
      </c>
      <c r="N7" s="36" t="s">
        <v>475</v>
      </c>
      <c r="O7" s="122" t="s">
        <v>134</v>
      </c>
      <c r="P7" s="122">
        <v>7</v>
      </c>
      <c r="Q7" s="186" t="s">
        <v>476</v>
      </c>
      <c r="T7" s="36" t="s">
        <v>477</v>
      </c>
      <c r="U7" s="36" t="s">
        <v>478</v>
      </c>
      <c r="V7" s="36" t="s">
        <v>479</v>
      </c>
      <c r="W7" s="122" t="s">
        <v>65</v>
      </c>
      <c r="AB7" s="36" t="s">
        <v>157</v>
      </c>
      <c r="AC7" s="36" t="s">
        <v>480</v>
      </c>
      <c r="AD7" s="122" t="s">
        <v>351</v>
      </c>
      <c r="AH7" s="122">
        <v>2025</v>
      </c>
      <c r="AI7" s="122">
        <v>11</v>
      </c>
      <c r="AJ7" s="122">
        <v>3</v>
      </c>
      <c r="AK7" s="122">
        <v>9</v>
      </c>
      <c r="AL7" s="122">
        <v>68</v>
      </c>
      <c r="AM7" s="149">
        <v>45725.8125</v>
      </c>
      <c r="AN7" s="122">
        <v>282</v>
      </c>
      <c r="AO7" s="186" t="s">
        <v>476</v>
      </c>
      <c r="AP7" s="36" t="s">
        <v>481</v>
      </c>
      <c r="AQ7" s="186" t="s">
        <v>482</v>
      </c>
      <c r="AR7" s="186" t="s">
        <v>483</v>
      </c>
      <c r="AS7" s="122" t="s">
        <v>505</v>
      </c>
      <c r="AW7" s="36"/>
    </row>
    <row r="8" spans="1:49" ht="187.2" x14ac:dyDescent="0.3">
      <c r="A8" s="122" t="s">
        <v>516</v>
      </c>
      <c r="B8" s="147">
        <v>45727</v>
      </c>
      <c r="C8" s="36" t="s">
        <v>76</v>
      </c>
      <c r="D8" s="192">
        <v>0.58333333333333337</v>
      </c>
      <c r="E8" s="192">
        <v>0.60416666666666663</v>
      </c>
      <c r="F8" s="122" t="s">
        <v>451</v>
      </c>
      <c r="G8" s="122" t="s">
        <v>461</v>
      </c>
      <c r="H8" s="36" t="s">
        <v>517</v>
      </c>
      <c r="I8" s="36" t="s">
        <v>518</v>
      </c>
      <c r="J8" s="36" t="s">
        <v>58</v>
      </c>
      <c r="K8" s="36" t="s">
        <v>58</v>
      </c>
      <c r="L8" s="36" t="s">
        <v>59</v>
      </c>
      <c r="M8" s="36" t="s">
        <v>59</v>
      </c>
      <c r="N8" s="36" t="s">
        <v>519</v>
      </c>
      <c r="O8" s="122" t="s">
        <v>84</v>
      </c>
      <c r="P8" s="122">
        <v>8</v>
      </c>
      <c r="Q8" s="186" t="s">
        <v>520</v>
      </c>
      <c r="T8" s="36" t="s">
        <v>521</v>
      </c>
      <c r="U8" s="36" t="s">
        <v>522</v>
      </c>
      <c r="V8" s="36" t="s">
        <v>523</v>
      </c>
      <c r="W8" s="122" t="s">
        <v>65</v>
      </c>
      <c r="AB8" s="36" t="s">
        <v>416</v>
      </c>
      <c r="AC8" s="36" t="s">
        <v>158</v>
      </c>
      <c r="AD8" s="122" t="s">
        <v>159</v>
      </c>
      <c r="AE8" s="36" t="s">
        <v>524</v>
      </c>
      <c r="AF8" s="36" t="s">
        <v>123</v>
      </c>
      <c r="AG8" s="36" t="s">
        <v>72</v>
      </c>
      <c r="AH8" s="122">
        <v>2025</v>
      </c>
      <c r="AI8" s="122">
        <v>11</v>
      </c>
      <c r="AJ8" s="122">
        <v>3</v>
      </c>
      <c r="AK8" s="122">
        <v>11</v>
      </c>
      <c r="AL8" s="122">
        <v>70</v>
      </c>
      <c r="AM8" s="149">
        <v>45727.604166666664</v>
      </c>
      <c r="AN8" s="122">
        <v>123</v>
      </c>
      <c r="AO8" s="186" t="s">
        <v>520</v>
      </c>
      <c r="AP8" s="36" t="s">
        <v>525</v>
      </c>
      <c r="AQ8" s="186" t="s">
        <v>526</v>
      </c>
      <c r="AR8" s="186" t="s">
        <v>527</v>
      </c>
      <c r="AS8" s="122" t="s">
        <v>528</v>
      </c>
      <c r="AW8" s="36"/>
    </row>
    <row r="9" spans="1:49" ht="327.60000000000002" x14ac:dyDescent="0.3">
      <c r="A9" s="122" t="s">
        <v>559</v>
      </c>
      <c r="B9" s="147">
        <v>45739</v>
      </c>
      <c r="C9" s="36" t="s">
        <v>304</v>
      </c>
      <c r="D9" s="192">
        <v>0.16666666666666666</v>
      </c>
      <c r="E9" s="192">
        <v>0.1736111111111111</v>
      </c>
      <c r="F9" s="122" t="s">
        <v>458</v>
      </c>
      <c r="G9" s="122" t="s">
        <v>461</v>
      </c>
      <c r="H9" s="36" t="s">
        <v>560</v>
      </c>
      <c r="I9" s="36" t="s">
        <v>561</v>
      </c>
      <c r="J9" s="36" t="s">
        <v>562</v>
      </c>
      <c r="K9" s="36" t="s">
        <v>58</v>
      </c>
      <c r="L9" s="36" t="s">
        <v>563</v>
      </c>
      <c r="M9" s="36" t="s">
        <v>59</v>
      </c>
      <c r="N9" s="36" t="s">
        <v>564</v>
      </c>
      <c r="O9" s="122" t="s">
        <v>250</v>
      </c>
      <c r="P9" s="122">
        <v>5</v>
      </c>
      <c r="Q9" s="186" t="s">
        <v>565</v>
      </c>
      <c r="T9" s="36" t="s">
        <v>566</v>
      </c>
      <c r="U9" s="36" t="s">
        <v>117</v>
      </c>
      <c r="V9" s="36" t="s">
        <v>567</v>
      </c>
      <c r="W9" s="122" t="s">
        <v>65</v>
      </c>
      <c r="AB9" s="36" t="s">
        <v>568</v>
      </c>
      <c r="AC9" s="36" t="s">
        <v>105</v>
      </c>
      <c r="AD9" s="122" t="s">
        <v>69</v>
      </c>
      <c r="AE9" s="36" t="s">
        <v>122</v>
      </c>
      <c r="AF9" s="36" t="s">
        <v>123</v>
      </c>
      <c r="AH9" s="122">
        <v>2025</v>
      </c>
      <c r="AI9" s="122">
        <v>13</v>
      </c>
      <c r="AJ9" s="122">
        <v>5</v>
      </c>
      <c r="AK9" s="122">
        <v>23</v>
      </c>
      <c r="AL9" s="122">
        <v>82</v>
      </c>
      <c r="AM9" s="149">
        <v>45739.173611111109</v>
      </c>
      <c r="AN9" s="122">
        <v>24</v>
      </c>
      <c r="AO9" s="186" t="s">
        <v>565</v>
      </c>
      <c r="AP9" s="36" t="s">
        <v>569</v>
      </c>
      <c r="AQ9" s="186" t="s">
        <v>570</v>
      </c>
      <c r="AR9" s="186" t="s">
        <v>571</v>
      </c>
      <c r="AS9" s="122" t="s">
        <v>548</v>
      </c>
      <c r="AW9" s="36"/>
    </row>
    <row r="10" spans="1:49" ht="156" x14ac:dyDescent="0.3">
      <c r="A10" s="122" t="s">
        <v>605</v>
      </c>
      <c r="B10" s="147">
        <v>45747</v>
      </c>
      <c r="C10" s="36" t="s">
        <v>95</v>
      </c>
      <c r="D10" s="192">
        <v>0.75</v>
      </c>
      <c r="E10" s="192">
        <v>0.75</v>
      </c>
      <c r="F10" s="122" t="s">
        <v>450</v>
      </c>
      <c r="G10" s="122" t="s">
        <v>461</v>
      </c>
      <c r="H10" s="36" t="s">
        <v>211</v>
      </c>
      <c r="I10" s="36" t="s">
        <v>606</v>
      </c>
      <c r="J10" s="36" t="s">
        <v>58</v>
      </c>
      <c r="K10" s="36" t="s">
        <v>58</v>
      </c>
      <c r="L10" s="36" t="s">
        <v>59</v>
      </c>
      <c r="M10" s="36" t="s">
        <v>59</v>
      </c>
      <c r="N10" s="36" t="s">
        <v>607</v>
      </c>
      <c r="O10" s="122" t="s">
        <v>215</v>
      </c>
      <c r="Q10" s="186" t="s">
        <v>608</v>
      </c>
      <c r="R10" s="36">
        <v>2</v>
      </c>
      <c r="S10" s="36">
        <v>0</v>
      </c>
      <c r="T10" s="36" t="s">
        <v>609</v>
      </c>
      <c r="U10" s="36" t="s">
        <v>253</v>
      </c>
      <c r="V10" s="36" t="s">
        <v>610</v>
      </c>
      <c r="W10" s="122" t="s">
        <v>65</v>
      </c>
      <c r="AB10" s="36" t="s">
        <v>468</v>
      </c>
      <c r="AC10" s="36" t="s">
        <v>611</v>
      </c>
      <c r="AD10" s="122" t="s">
        <v>612</v>
      </c>
      <c r="AE10" s="36" t="s">
        <v>160</v>
      </c>
      <c r="AF10" s="36" t="s">
        <v>123</v>
      </c>
      <c r="AG10" s="36" t="s">
        <v>613</v>
      </c>
      <c r="AH10" s="122">
        <v>2025</v>
      </c>
      <c r="AI10" s="122">
        <v>14</v>
      </c>
      <c r="AJ10" s="122">
        <v>6</v>
      </c>
      <c r="AK10" s="122">
        <v>31</v>
      </c>
      <c r="AL10" s="122">
        <v>90</v>
      </c>
      <c r="AM10" s="149">
        <v>45747.75</v>
      </c>
      <c r="AN10" s="122">
        <v>310</v>
      </c>
      <c r="AO10" s="186" t="s">
        <v>608</v>
      </c>
      <c r="AP10" s="36" t="s">
        <v>614</v>
      </c>
      <c r="AQ10" s="186" t="s">
        <v>59</v>
      </c>
      <c r="AR10" s="186" t="s">
        <v>59</v>
      </c>
      <c r="AS10" s="122" t="s">
        <v>581</v>
      </c>
      <c r="AW10" s="36"/>
    </row>
    <row r="11" spans="1:49" ht="156" x14ac:dyDescent="0.3">
      <c r="A11" s="122" t="s">
        <v>615</v>
      </c>
      <c r="B11" s="147">
        <v>45747</v>
      </c>
      <c r="C11" s="36" t="s">
        <v>109</v>
      </c>
      <c r="D11" s="192">
        <v>0.83333333333333337</v>
      </c>
      <c r="E11" s="192">
        <v>0.83333333333333337</v>
      </c>
      <c r="F11" s="122" t="s">
        <v>450</v>
      </c>
      <c r="G11" s="122" t="s">
        <v>461</v>
      </c>
      <c r="H11" s="36" t="s">
        <v>211</v>
      </c>
      <c r="I11" s="36" t="s">
        <v>606</v>
      </c>
      <c r="J11" s="36" t="s">
        <v>58</v>
      </c>
      <c r="K11" s="36" t="s">
        <v>58</v>
      </c>
      <c r="L11" s="36" t="s">
        <v>59</v>
      </c>
      <c r="M11" s="36" t="s">
        <v>59</v>
      </c>
      <c r="N11" s="36" t="s">
        <v>607</v>
      </c>
      <c r="O11" s="122" t="s">
        <v>215</v>
      </c>
      <c r="P11" s="122">
        <v>9</v>
      </c>
      <c r="Q11" s="186" t="s">
        <v>616</v>
      </c>
      <c r="R11" s="36">
        <v>5</v>
      </c>
      <c r="S11" s="36">
        <v>0</v>
      </c>
      <c r="T11" s="36" t="s">
        <v>617</v>
      </c>
      <c r="U11" s="36" t="s">
        <v>253</v>
      </c>
      <c r="V11" s="36" t="s">
        <v>618</v>
      </c>
      <c r="W11" s="122" t="s">
        <v>65</v>
      </c>
      <c r="AB11" s="36" t="s">
        <v>468</v>
      </c>
      <c r="AC11" s="36" t="s">
        <v>611</v>
      </c>
      <c r="AD11" s="122" t="s">
        <v>612</v>
      </c>
      <c r="AE11" s="36" t="s">
        <v>160</v>
      </c>
      <c r="AF11" s="36" t="s">
        <v>123</v>
      </c>
      <c r="AG11" s="36" t="s">
        <v>613</v>
      </c>
      <c r="AH11" s="122">
        <v>2025</v>
      </c>
      <c r="AI11" s="122">
        <v>14</v>
      </c>
      <c r="AJ11" s="122">
        <v>6</v>
      </c>
      <c r="AK11" s="122">
        <v>31</v>
      </c>
      <c r="AL11" s="122">
        <v>90</v>
      </c>
      <c r="AM11" s="149">
        <v>45747.833333333336</v>
      </c>
      <c r="AN11" s="122">
        <v>310</v>
      </c>
      <c r="AO11" s="186" t="s">
        <v>616</v>
      </c>
      <c r="AP11" s="36" t="s">
        <v>619</v>
      </c>
      <c r="AQ11" s="186" t="s">
        <v>59</v>
      </c>
      <c r="AR11" s="186" t="s">
        <v>59</v>
      </c>
      <c r="AS11" s="122" t="s">
        <v>581</v>
      </c>
      <c r="AW11" s="36"/>
    </row>
    <row r="12" spans="1:49" ht="265.2" x14ac:dyDescent="0.3">
      <c r="A12" s="122" t="s">
        <v>620</v>
      </c>
      <c r="B12" s="147">
        <v>45748</v>
      </c>
      <c r="C12" s="36" t="s">
        <v>109</v>
      </c>
      <c r="D12" s="192">
        <v>0.83333333333333337</v>
      </c>
      <c r="E12" s="192">
        <v>0.85324074074074074</v>
      </c>
      <c r="F12" s="122" t="s">
        <v>451</v>
      </c>
      <c r="G12" s="122" t="s">
        <v>598</v>
      </c>
      <c r="H12" s="36" t="s">
        <v>56</v>
      </c>
      <c r="I12" s="36" t="s">
        <v>621</v>
      </c>
      <c r="J12" s="36" t="s">
        <v>58</v>
      </c>
      <c r="K12" s="36" t="s">
        <v>58</v>
      </c>
      <c r="L12" s="36" t="s">
        <v>59</v>
      </c>
      <c r="M12" s="36" t="s">
        <v>59</v>
      </c>
      <c r="N12" s="36" t="s">
        <v>622</v>
      </c>
      <c r="O12" s="122" t="s">
        <v>327</v>
      </c>
      <c r="P12" s="122">
        <v>7</v>
      </c>
      <c r="Q12" s="186" t="s">
        <v>623</v>
      </c>
      <c r="T12" s="36" t="s">
        <v>624</v>
      </c>
      <c r="U12" s="36" t="s">
        <v>625</v>
      </c>
      <c r="V12" s="36" t="s">
        <v>626</v>
      </c>
      <c r="W12" s="122" t="s">
        <v>65</v>
      </c>
      <c r="AB12" s="36" t="s">
        <v>66</v>
      </c>
      <c r="AC12" s="36" t="s">
        <v>330</v>
      </c>
      <c r="AD12" s="122" t="s">
        <v>69</v>
      </c>
      <c r="AE12" s="36" t="s">
        <v>160</v>
      </c>
      <c r="AF12" s="36" t="s">
        <v>71</v>
      </c>
      <c r="AH12" s="122">
        <v>2025</v>
      </c>
      <c r="AI12" s="122">
        <v>14</v>
      </c>
      <c r="AJ12" s="122">
        <v>1</v>
      </c>
      <c r="AK12" s="122">
        <v>1</v>
      </c>
      <c r="AL12" s="122">
        <v>91</v>
      </c>
      <c r="AM12" s="149">
        <v>45748.852777777778</v>
      </c>
      <c r="AN12" s="122">
        <v>77</v>
      </c>
      <c r="AO12" s="186" t="s">
        <v>623</v>
      </c>
      <c r="AP12" s="36" t="s">
        <v>627</v>
      </c>
      <c r="AQ12" s="186" t="s">
        <v>59</v>
      </c>
      <c r="AR12" s="186" t="s">
        <v>59</v>
      </c>
      <c r="AS12" s="122" t="s">
        <v>604</v>
      </c>
      <c r="AW12" s="36"/>
    </row>
    <row r="13" spans="1:49" ht="171.6" x14ac:dyDescent="0.3">
      <c r="A13" s="122" t="s">
        <v>799</v>
      </c>
      <c r="B13" s="147">
        <v>45756</v>
      </c>
      <c r="C13" s="36" t="s">
        <v>109</v>
      </c>
      <c r="D13" s="192">
        <v>0.95833333333333337</v>
      </c>
      <c r="E13" s="192">
        <v>0.96527777777777779</v>
      </c>
      <c r="F13" s="122" t="s">
        <v>452</v>
      </c>
      <c r="G13" s="122" t="s">
        <v>598</v>
      </c>
      <c r="H13" s="36" t="s">
        <v>800</v>
      </c>
      <c r="I13" s="36" t="s">
        <v>801</v>
      </c>
      <c r="J13" s="36" t="s">
        <v>58</v>
      </c>
      <c r="K13" s="36" t="s">
        <v>58</v>
      </c>
      <c r="L13" s="36" t="s">
        <v>59</v>
      </c>
      <c r="M13" s="36" t="s">
        <v>59</v>
      </c>
      <c r="N13" s="36" t="s">
        <v>802</v>
      </c>
      <c r="O13" s="122" t="s">
        <v>155</v>
      </c>
      <c r="P13" s="122">
        <v>8</v>
      </c>
      <c r="Q13" s="186" t="s">
        <v>803</v>
      </c>
      <c r="T13" s="36" t="s">
        <v>804</v>
      </c>
      <c r="U13" s="36" t="s">
        <v>555</v>
      </c>
      <c r="V13" s="36" t="s">
        <v>805</v>
      </c>
      <c r="W13" s="122" t="s">
        <v>65</v>
      </c>
      <c r="AB13" s="36" t="s">
        <v>416</v>
      </c>
      <c r="AC13" s="36" t="s">
        <v>244</v>
      </c>
      <c r="AD13" s="122" t="s">
        <v>206</v>
      </c>
      <c r="AE13" s="36" t="s">
        <v>524</v>
      </c>
      <c r="AF13" s="36" t="s">
        <v>123</v>
      </c>
      <c r="AH13" s="122">
        <v>2025</v>
      </c>
      <c r="AI13" s="122">
        <v>15</v>
      </c>
      <c r="AJ13" s="122">
        <v>2</v>
      </c>
      <c r="AK13" s="122">
        <v>9</v>
      </c>
      <c r="AL13" s="122">
        <v>99</v>
      </c>
      <c r="AM13" s="149">
        <v>45756.965277777781</v>
      </c>
      <c r="AN13" s="122">
        <v>283</v>
      </c>
      <c r="AO13" s="186" t="s">
        <v>803</v>
      </c>
      <c r="AP13" s="36" t="s">
        <v>806</v>
      </c>
      <c r="AQ13" s="186" t="s">
        <v>807</v>
      </c>
      <c r="AR13" s="186" t="s">
        <v>808</v>
      </c>
      <c r="AS13" s="122" t="s">
        <v>730</v>
      </c>
      <c r="AW13" s="36"/>
    </row>
    <row r="14" spans="1:49" x14ac:dyDescent="0.3">
      <c r="AW14" s="36"/>
    </row>
    <row r="15" spans="1:49" x14ac:dyDescent="0.3">
      <c r="AW15" s="36"/>
    </row>
    <row r="16" spans="1:49" x14ac:dyDescent="0.3">
      <c r="AW16" s="36"/>
    </row>
    <row r="17" spans="49:49" x14ac:dyDescent="0.3">
      <c r="AW17" s="36"/>
    </row>
    <row r="18" spans="49:49" x14ac:dyDescent="0.3">
      <c r="AW18" s="36"/>
    </row>
    <row r="19" spans="49:49" x14ac:dyDescent="0.3">
      <c r="AW19" s="36"/>
    </row>
    <row r="20" spans="49:49" x14ac:dyDescent="0.3">
      <c r="AW20" s="36"/>
    </row>
    <row r="21" spans="49:49" x14ac:dyDescent="0.3">
      <c r="AW21" s="36"/>
    </row>
    <row r="22" spans="49:49" x14ac:dyDescent="0.3">
      <c r="AW22" s="36"/>
    </row>
    <row r="23" spans="49:49" x14ac:dyDescent="0.3">
      <c r="AW23" s="36"/>
    </row>
    <row r="24" spans="49:49" x14ac:dyDescent="0.3">
      <c r="AW24" s="36"/>
    </row>
    <row r="25" spans="49:49" x14ac:dyDescent="0.3">
      <c r="AW25" s="36"/>
    </row>
    <row r="26" spans="49:49" x14ac:dyDescent="0.3">
      <c r="AW26" s="36"/>
    </row>
    <row r="27" spans="49:49" x14ac:dyDescent="0.3">
      <c r="AW27" s="36"/>
    </row>
    <row r="28" spans="49:49" x14ac:dyDescent="0.3">
      <c r="AW28" s="36"/>
    </row>
    <row r="29" spans="49:49" x14ac:dyDescent="0.3">
      <c r="AW29" s="36"/>
    </row>
    <row r="30" spans="49:49" x14ac:dyDescent="0.3">
      <c r="AW30" s="36"/>
    </row>
    <row r="31" spans="49:49" x14ac:dyDescent="0.3">
      <c r="AW31" s="36"/>
    </row>
    <row r="32" spans="49:49" x14ac:dyDescent="0.3">
      <c r="AW32" s="36"/>
    </row>
    <row r="33" spans="49:49" x14ac:dyDescent="0.3">
      <c r="AW33" s="36"/>
    </row>
    <row r="34" spans="49:49" x14ac:dyDescent="0.3">
      <c r="AW34" s="36"/>
    </row>
    <row r="35" spans="49:49" x14ac:dyDescent="0.3">
      <c r="AW35" s="36"/>
    </row>
    <row r="36" spans="49:49" x14ac:dyDescent="0.3">
      <c r="AW36" s="36"/>
    </row>
    <row r="37" spans="49:49" x14ac:dyDescent="0.3">
      <c r="AW37" s="36"/>
    </row>
    <row r="38" spans="49:49" x14ac:dyDescent="0.3">
      <c r="AW38" s="36"/>
    </row>
    <row r="39" spans="49:49" x14ac:dyDescent="0.3">
      <c r="AW39" s="36"/>
    </row>
    <row r="40" spans="49:49" x14ac:dyDescent="0.3">
      <c r="AW40" s="36"/>
    </row>
    <row r="41" spans="49:49" x14ac:dyDescent="0.3">
      <c r="AW41" s="36"/>
    </row>
    <row r="42" spans="49:49" x14ac:dyDescent="0.3">
      <c r="AW42" s="36"/>
    </row>
    <row r="43" spans="49:49" x14ac:dyDescent="0.3">
      <c r="AW43" s="36"/>
    </row>
    <row r="44" spans="49:49" x14ac:dyDescent="0.3">
      <c r="AW44" s="36"/>
    </row>
    <row r="45" spans="49:49" x14ac:dyDescent="0.3">
      <c r="AW45" s="36"/>
    </row>
    <row r="46" spans="49:49" x14ac:dyDescent="0.3">
      <c r="AW46" s="36"/>
    </row>
    <row r="47" spans="49:49" x14ac:dyDescent="0.3">
      <c r="AW47" s="36"/>
    </row>
    <row r="48" spans="49:49" x14ac:dyDescent="0.3">
      <c r="AW48" s="36"/>
    </row>
    <row r="49" spans="49:49" x14ac:dyDescent="0.3">
      <c r="AW49" s="36"/>
    </row>
    <row r="50" spans="49:49" x14ac:dyDescent="0.3">
      <c r="AW50" s="36"/>
    </row>
    <row r="51" spans="49:49" x14ac:dyDescent="0.3">
      <c r="AW51" s="36"/>
    </row>
    <row r="52" spans="49:49" x14ac:dyDescent="0.3">
      <c r="AW52" s="36"/>
    </row>
    <row r="53" spans="49:49" x14ac:dyDescent="0.3">
      <c r="AW53" s="36"/>
    </row>
    <row r="54" spans="49:49" x14ac:dyDescent="0.3">
      <c r="AW54" s="36"/>
    </row>
    <row r="55" spans="49:49" x14ac:dyDescent="0.3">
      <c r="AW55" s="36"/>
    </row>
    <row r="56" spans="49:49" x14ac:dyDescent="0.3">
      <c r="AW56" s="36"/>
    </row>
    <row r="57" spans="49:49" x14ac:dyDescent="0.3">
      <c r="AW57" s="36"/>
    </row>
    <row r="58" spans="49:49" x14ac:dyDescent="0.3">
      <c r="AW58" s="36"/>
    </row>
    <row r="59" spans="49:49" x14ac:dyDescent="0.3">
      <c r="AW59" s="36"/>
    </row>
    <row r="60" spans="49:49" x14ac:dyDescent="0.3">
      <c r="AW60" s="36"/>
    </row>
    <row r="61" spans="49:49" x14ac:dyDescent="0.3">
      <c r="AW61" s="36"/>
    </row>
    <row r="62" spans="49:49" x14ac:dyDescent="0.3">
      <c r="AW62" s="36"/>
    </row>
    <row r="63" spans="49:49" x14ac:dyDescent="0.3">
      <c r="AW63" s="36"/>
    </row>
    <row r="64" spans="49:49" x14ac:dyDescent="0.3">
      <c r="AW64" s="36"/>
    </row>
    <row r="65" spans="49:49" x14ac:dyDescent="0.3">
      <c r="AW65" s="36"/>
    </row>
    <row r="66" spans="49:49" x14ac:dyDescent="0.3">
      <c r="AW66" s="36"/>
    </row>
    <row r="67" spans="49:49" x14ac:dyDescent="0.3">
      <c r="AW67" s="36"/>
    </row>
    <row r="68" spans="49:49" x14ac:dyDescent="0.3">
      <c r="AW68" s="36"/>
    </row>
    <row r="69" spans="49:49" x14ac:dyDescent="0.3">
      <c r="AW69" s="36"/>
    </row>
    <row r="70" spans="49:49" x14ac:dyDescent="0.3">
      <c r="AW70" s="36"/>
    </row>
    <row r="71" spans="49:49" x14ac:dyDescent="0.3">
      <c r="AW71" s="36"/>
    </row>
    <row r="72" spans="49:49" x14ac:dyDescent="0.3">
      <c r="AW72" s="36"/>
    </row>
    <row r="73" spans="49:49" x14ac:dyDescent="0.3">
      <c r="AW73" s="36"/>
    </row>
    <row r="74" spans="49:49" x14ac:dyDescent="0.3">
      <c r="AW74" s="36"/>
    </row>
    <row r="75" spans="49:49" x14ac:dyDescent="0.3">
      <c r="AW75" s="36"/>
    </row>
    <row r="76" spans="49:49" x14ac:dyDescent="0.3">
      <c r="AW76" s="36"/>
    </row>
    <row r="77" spans="49:49" x14ac:dyDescent="0.3">
      <c r="AW77" s="36"/>
    </row>
    <row r="78" spans="49:49" x14ac:dyDescent="0.3">
      <c r="AW78" s="36"/>
    </row>
    <row r="79" spans="49:49" x14ac:dyDescent="0.3">
      <c r="AW79" s="36"/>
    </row>
    <row r="80" spans="49:49" x14ac:dyDescent="0.3">
      <c r="AW80" s="36"/>
    </row>
    <row r="81" spans="49:49" x14ac:dyDescent="0.3">
      <c r="AW81" s="36"/>
    </row>
    <row r="82" spans="49:49" x14ac:dyDescent="0.3">
      <c r="AW82" s="36"/>
    </row>
    <row r="83" spans="49:49" x14ac:dyDescent="0.3">
      <c r="AW83" s="36"/>
    </row>
    <row r="84" spans="49:49" x14ac:dyDescent="0.3">
      <c r="AW84" s="36"/>
    </row>
    <row r="85" spans="49:49" x14ac:dyDescent="0.3">
      <c r="AW85" s="36"/>
    </row>
    <row r="86" spans="49:49" x14ac:dyDescent="0.3">
      <c r="AW86" s="36"/>
    </row>
    <row r="87" spans="49:49" x14ac:dyDescent="0.3">
      <c r="AW87" s="36"/>
    </row>
    <row r="88" spans="49:49" x14ac:dyDescent="0.3">
      <c r="AW88" s="36"/>
    </row>
    <row r="89" spans="49:49" x14ac:dyDescent="0.3">
      <c r="AW89" s="36"/>
    </row>
    <row r="90" spans="49:49" x14ac:dyDescent="0.3">
      <c r="AW90" s="36"/>
    </row>
    <row r="91" spans="49:49" x14ac:dyDescent="0.3">
      <c r="AW91" s="36"/>
    </row>
    <row r="92" spans="49:49" x14ac:dyDescent="0.3">
      <c r="AW92" s="36"/>
    </row>
    <row r="93" spans="49:49" x14ac:dyDescent="0.3">
      <c r="AW93" s="36"/>
    </row>
    <row r="94" spans="49:49" x14ac:dyDescent="0.3">
      <c r="AW94" s="36"/>
    </row>
    <row r="95" spans="49:49" x14ac:dyDescent="0.3">
      <c r="AW95" s="36"/>
    </row>
    <row r="96" spans="49:49" x14ac:dyDescent="0.3">
      <c r="AW96" s="36"/>
    </row>
    <row r="97" spans="49:49" x14ac:dyDescent="0.3">
      <c r="AW97" s="36"/>
    </row>
    <row r="98" spans="49:49" x14ac:dyDescent="0.3">
      <c r="AW98" s="36"/>
    </row>
    <row r="99" spans="49:49" x14ac:dyDescent="0.3">
      <c r="AW99" s="36"/>
    </row>
    <row r="100" spans="49:49" x14ac:dyDescent="0.3">
      <c r="AW100" s="36"/>
    </row>
    <row r="101" spans="49:49" x14ac:dyDescent="0.3">
      <c r="AW101" s="36"/>
    </row>
    <row r="102" spans="49:49" x14ac:dyDescent="0.3">
      <c r="AW102" s="36"/>
    </row>
    <row r="103" spans="49:49" x14ac:dyDescent="0.3">
      <c r="AW103" s="36"/>
    </row>
    <row r="104" spans="49:49" x14ac:dyDescent="0.3">
      <c r="AW104" s="36"/>
    </row>
    <row r="105" spans="49:49" x14ac:dyDescent="0.3">
      <c r="AW105" s="36"/>
    </row>
    <row r="106" spans="49:49" x14ac:dyDescent="0.3">
      <c r="AW106" s="36"/>
    </row>
    <row r="107" spans="49:49" x14ac:dyDescent="0.3">
      <c r="AW107" s="36"/>
    </row>
    <row r="108" spans="49:49" x14ac:dyDescent="0.3">
      <c r="AW108" s="36"/>
    </row>
    <row r="109" spans="49:49" x14ac:dyDescent="0.3">
      <c r="AW109" s="36"/>
    </row>
    <row r="110" spans="49:49" x14ac:dyDescent="0.3">
      <c r="AW110" s="36"/>
    </row>
    <row r="111" spans="49:49" x14ac:dyDescent="0.3">
      <c r="AW111" s="36"/>
    </row>
    <row r="112" spans="49:49" x14ac:dyDescent="0.3">
      <c r="AW112" s="36"/>
    </row>
    <row r="113" spans="49:49" x14ac:dyDescent="0.3">
      <c r="AW113" s="36"/>
    </row>
    <row r="114" spans="49:49" x14ac:dyDescent="0.3">
      <c r="AW114" s="36"/>
    </row>
    <row r="115" spans="49:49" x14ac:dyDescent="0.3">
      <c r="AW115" s="36"/>
    </row>
    <row r="116" spans="49:49" x14ac:dyDescent="0.3">
      <c r="AW116" s="36"/>
    </row>
    <row r="117" spans="49:49" x14ac:dyDescent="0.3">
      <c r="AW117" s="36"/>
    </row>
    <row r="118" spans="49:49" x14ac:dyDescent="0.3">
      <c r="AW118" s="36"/>
    </row>
    <row r="119" spans="49:49" x14ac:dyDescent="0.3">
      <c r="AW119" s="36"/>
    </row>
    <row r="120" spans="49:49" x14ac:dyDescent="0.3">
      <c r="AW120" s="36"/>
    </row>
    <row r="121" spans="49:49" x14ac:dyDescent="0.3">
      <c r="AW121" s="36"/>
    </row>
    <row r="122" spans="49:49" x14ac:dyDescent="0.3">
      <c r="AW122" s="3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D26B-1CC3-445D-A21F-D38E08E16AD1}">
  <sheetPr>
    <tabColor rgb="FF00B050"/>
  </sheetPr>
  <dimension ref="A1:O2"/>
  <sheetViews>
    <sheetView workbookViewId="0">
      <selection activeCell="C7" sqref="C7"/>
    </sheetView>
  </sheetViews>
  <sheetFormatPr defaultRowHeight="15.6" x14ac:dyDescent="0.3"/>
  <cols>
    <col min="1" max="1" width="34" style="141" bestFit="1" customWidth="1"/>
    <col min="2" max="2" width="19.21875" style="142" bestFit="1" customWidth="1"/>
    <col min="3" max="3" width="18.109375" style="143" bestFit="1" customWidth="1"/>
    <col min="4" max="4" width="36.5546875" style="141" bestFit="1" customWidth="1"/>
    <col min="5" max="5" width="40" style="141" bestFit="1" customWidth="1"/>
    <col min="6" max="6" width="25.77734375" style="141" bestFit="1" customWidth="1"/>
    <col min="7" max="7" width="18.88671875" style="141" bestFit="1" customWidth="1"/>
    <col min="8" max="8" width="24.44140625" style="141" bestFit="1" customWidth="1"/>
    <col min="9" max="9" width="26.21875" style="141" bestFit="1" customWidth="1"/>
    <col min="10" max="10" width="34.44140625" style="141" bestFit="1" customWidth="1"/>
    <col min="11" max="11" width="18.33203125" style="141" bestFit="1" customWidth="1"/>
    <col min="12" max="12" width="30.109375" style="141" bestFit="1" customWidth="1"/>
    <col min="13" max="13" width="23.21875" style="141" bestFit="1" customWidth="1"/>
    <col min="14" max="14" width="25.5546875" style="141" bestFit="1" customWidth="1"/>
    <col min="15" max="15" width="80.88671875" style="187" bestFit="1" customWidth="1"/>
    <col min="16" max="22" width="8.88671875" style="141"/>
    <col min="23" max="23" width="24.21875" style="141" bestFit="1" customWidth="1"/>
    <col min="24" max="16384" width="8.88671875" style="141"/>
  </cols>
  <sheetData>
    <row r="1" spans="1:15" s="143" customFormat="1" x14ac:dyDescent="0.3">
      <c r="A1" s="122" t="s">
        <v>661</v>
      </c>
      <c r="B1" s="121" t="s">
        <v>35</v>
      </c>
      <c r="C1" s="122" t="s">
        <v>649</v>
      </c>
      <c r="D1" s="122" t="s">
        <v>650</v>
      </c>
      <c r="E1" s="122" t="s">
        <v>651</v>
      </c>
      <c r="F1" s="122" t="s">
        <v>652</v>
      </c>
      <c r="G1" s="122" t="s">
        <v>653</v>
      </c>
      <c r="H1" s="122" t="s">
        <v>654</v>
      </c>
      <c r="I1" s="122" t="s">
        <v>655</v>
      </c>
      <c r="J1" s="122" t="s">
        <v>656</v>
      </c>
      <c r="K1" s="122" t="s">
        <v>657</v>
      </c>
      <c r="L1" s="122" t="s">
        <v>658</v>
      </c>
      <c r="M1" s="122" t="s">
        <v>659</v>
      </c>
      <c r="N1" s="122" t="s">
        <v>660</v>
      </c>
      <c r="O1" s="185" t="s">
        <v>459</v>
      </c>
    </row>
    <row r="2" spans="1:15" ht="202.8" x14ac:dyDescent="0.3">
      <c r="A2" s="36" t="s">
        <v>800</v>
      </c>
      <c r="B2" s="147">
        <v>45756</v>
      </c>
      <c r="C2" s="122" t="s">
        <v>452</v>
      </c>
      <c r="D2" s="36" t="s">
        <v>109</v>
      </c>
      <c r="E2" s="36" t="s">
        <v>806</v>
      </c>
      <c r="F2" s="36"/>
      <c r="G2" s="36"/>
      <c r="H2" s="36"/>
      <c r="I2" s="36"/>
      <c r="J2" s="36"/>
      <c r="K2" s="36"/>
      <c r="L2" s="36"/>
      <c r="M2" s="36"/>
      <c r="N2" s="36"/>
      <c r="O2" s="186" t="s">
        <v>803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78986-90B3-41AE-81F6-B4CB0C2C0B55}">
  <sheetPr codeName="Sheet2">
    <tabColor rgb="FF00B050"/>
  </sheetPr>
  <dimension ref="A1:AB38"/>
  <sheetViews>
    <sheetView workbookViewId="0">
      <selection activeCell="A28" sqref="A28"/>
    </sheetView>
  </sheetViews>
  <sheetFormatPr defaultRowHeight="14.4" x14ac:dyDescent="0.3"/>
  <cols>
    <col min="1" max="1" width="28" bestFit="1" customWidth="1"/>
    <col min="2" max="2" width="10.77734375" bestFit="1" customWidth="1"/>
    <col min="3" max="3" width="6" bestFit="1" customWidth="1"/>
    <col min="4" max="4" width="5.21875" bestFit="1" customWidth="1"/>
    <col min="5" max="5" width="6.33203125" bestFit="1" customWidth="1"/>
    <col min="6" max="6" width="6.109375" bestFit="1" customWidth="1"/>
    <col min="7" max="7" width="4.88671875" bestFit="1" customWidth="1"/>
    <col min="8" max="9" width="7.6640625" customWidth="1"/>
    <col min="10" max="10" width="35.5546875" bestFit="1" customWidth="1"/>
    <col min="11" max="11" width="24" bestFit="1" customWidth="1"/>
    <col min="12" max="12" width="15.109375" style="34" bestFit="1" customWidth="1"/>
    <col min="13" max="13" width="21.88671875" style="34" bestFit="1" customWidth="1"/>
    <col min="14" max="14" width="30.33203125" style="34" bestFit="1" customWidth="1"/>
    <col min="15" max="15" width="15.21875" style="137" bestFit="1" customWidth="1"/>
    <col min="16" max="16" width="14.109375" style="34" bestFit="1" customWidth="1"/>
    <col min="17" max="17" width="33.21875" style="34" bestFit="1" customWidth="1"/>
    <col min="18" max="18" width="31.5546875" style="34" bestFit="1" customWidth="1"/>
    <col min="19" max="19" width="22.21875" style="34" bestFit="1" customWidth="1"/>
    <col min="20" max="20" width="15" bestFit="1" customWidth="1"/>
    <col min="21" max="21" width="21.77734375" bestFit="1" customWidth="1"/>
    <col min="22" max="22" width="22.77734375" bestFit="1" customWidth="1"/>
    <col min="23" max="23" width="31.44140625" bestFit="1" customWidth="1"/>
    <col min="24" max="24" width="18.88671875" bestFit="1" customWidth="1"/>
    <col min="25" max="25" width="26.77734375" bestFit="1" customWidth="1"/>
    <col min="26" max="26" width="19.77734375" bestFit="1" customWidth="1"/>
    <col min="27" max="27" width="22.109375" bestFit="1" customWidth="1"/>
    <col min="28" max="28" width="109" style="34" customWidth="1"/>
    <col min="44" max="44" width="25.109375" bestFit="1" customWidth="1"/>
    <col min="45" max="45" width="15.109375" bestFit="1" customWidth="1"/>
    <col min="46" max="46" width="15.5546875" bestFit="1" customWidth="1"/>
    <col min="47" max="47" width="24.5546875" bestFit="1" customWidth="1"/>
    <col min="48" max="48" width="24.88671875" bestFit="1" customWidth="1"/>
    <col min="49" max="49" width="13.88671875" bestFit="1" customWidth="1"/>
    <col min="50" max="50" width="14.109375" bestFit="1" customWidth="1"/>
    <col min="51" max="51" width="7.33203125" bestFit="1" customWidth="1"/>
    <col min="52" max="52" width="15.44140625" bestFit="1" customWidth="1"/>
    <col min="53" max="53" width="17.44140625" bestFit="1" customWidth="1"/>
    <col min="54" max="54" width="6.5546875" bestFit="1" customWidth="1"/>
    <col min="55" max="55" width="13.33203125" bestFit="1" customWidth="1"/>
    <col min="56" max="56" width="22.6640625" bestFit="1" customWidth="1"/>
    <col min="57" max="57" width="6" bestFit="1" customWidth="1"/>
  </cols>
  <sheetData>
    <row r="1" spans="1:28" ht="18.600000000000001" thickBot="1" x14ac:dyDescent="0.4">
      <c r="A1" s="105" t="s">
        <v>1</v>
      </c>
      <c r="B1" s="6" t="s">
        <v>127</v>
      </c>
      <c r="C1" s="6"/>
      <c r="D1" s="6"/>
      <c r="E1" s="6"/>
      <c r="F1" s="6"/>
      <c r="L1"/>
      <c r="M1"/>
      <c r="N1" s="17" t="s">
        <v>661</v>
      </c>
      <c r="O1" s="30" t="s">
        <v>35</v>
      </c>
      <c r="P1" s="17" t="s">
        <v>649</v>
      </c>
      <c r="Q1" s="17" t="s">
        <v>650</v>
      </c>
      <c r="R1" s="17" t="s">
        <v>651</v>
      </c>
      <c r="S1" s="17" t="s">
        <v>652</v>
      </c>
      <c r="T1" s="17" t="s">
        <v>653</v>
      </c>
      <c r="U1" s="17" t="s">
        <v>654</v>
      </c>
      <c r="V1" s="17" t="s">
        <v>655</v>
      </c>
      <c r="W1" s="17" t="s">
        <v>656</v>
      </c>
      <c r="X1" s="17" t="s">
        <v>657</v>
      </c>
      <c r="Y1" s="17" t="s">
        <v>658</v>
      </c>
      <c r="Z1" s="17" t="s">
        <v>659</v>
      </c>
      <c r="AA1" s="17" t="s">
        <v>660</v>
      </c>
      <c r="AB1" s="41" t="s">
        <v>459</v>
      </c>
    </row>
    <row r="2" spans="1:28" ht="18" x14ac:dyDescent="0.35">
      <c r="A2" s="105" t="s">
        <v>10</v>
      </c>
      <c r="B2" s="6" t="s">
        <v>127</v>
      </c>
      <c r="C2" s="6"/>
      <c r="D2" s="6"/>
      <c r="E2" s="6"/>
      <c r="F2" s="6"/>
      <c r="J2" s="64" t="s">
        <v>661</v>
      </c>
      <c r="K2" s="94" t="s">
        <v>56</v>
      </c>
      <c r="L2"/>
      <c r="M2"/>
      <c r="N2" s="134"/>
      <c r="O2" s="136"/>
      <c r="P2" s="135"/>
      <c r="Q2" s="135"/>
      <c r="R2" s="50"/>
      <c r="S2" s="50"/>
      <c r="T2" s="50"/>
      <c r="U2" s="50"/>
      <c r="V2" s="50"/>
      <c r="W2" s="50"/>
      <c r="X2" s="50"/>
      <c r="Y2" s="50"/>
      <c r="Z2" s="50"/>
      <c r="AA2" s="50"/>
      <c r="AB2" s="60"/>
    </row>
    <row r="3" spans="1:28" ht="18" x14ac:dyDescent="0.35">
      <c r="A3" s="6"/>
      <c r="B3" s="6"/>
      <c r="C3" s="6"/>
      <c r="D3" s="6"/>
      <c r="E3" s="6"/>
      <c r="F3" s="6"/>
      <c r="H3" s="6"/>
      <c r="I3" s="6"/>
      <c r="J3" s="66" t="s">
        <v>35</v>
      </c>
      <c r="K3" s="95">
        <v>45748</v>
      </c>
    </row>
    <row r="4" spans="1:28" s="39" customFormat="1" ht="18" x14ac:dyDescent="0.35">
      <c r="A4" s="182" t="s">
        <v>128</v>
      </c>
      <c r="B4" s="182" t="s">
        <v>5</v>
      </c>
      <c r="C4" s="42"/>
      <c r="D4" s="42"/>
      <c r="E4" s="42"/>
      <c r="F4" s="42"/>
      <c r="G4" s="42"/>
      <c r="H4"/>
      <c r="I4"/>
      <c r="J4" s="67" t="s">
        <v>649</v>
      </c>
      <c r="K4" s="96" t="s">
        <v>451</v>
      </c>
      <c r="O4" s="138"/>
      <c r="AB4" s="140"/>
    </row>
    <row r="5" spans="1:28" ht="18" x14ac:dyDescent="0.35">
      <c r="A5" s="83" t="s">
        <v>449</v>
      </c>
      <c r="B5" s="7" t="s">
        <v>458</v>
      </c>
      <c r="C5" s="7" t="s">
        <v>450</v>
      </c>
      <c r="D5" s="7" t="s">
        <v>451</v>
      </c>
      <c r="E5" s="7" t="s">
        <v>452</v>
      </c>
      <c r="F5" s="7" t="s">
        <v>536</v>
      </c>
      <c r="G5" s="7" t="s">
        <v>455</v>
      </c>
      <c r="J5" s="67" t="s">
        <v>650</v>
      </c>
      <c r="K5" s="97" t="s">
        <v>109</v>
      </c>
      <c r="M5"/>
      <c r="N5" t="s">
        <v>661</v>
      </c>
      <c r="O5" s="139" t="s">
        <v>35</v>
      </c>
      <c r="P5" t="s">
        <v>649</v>
      </c>
      <c r="Q5" t="s">
        <v>650</v>
      </c>
      <c r="R5" t="s">
        <v>651</v>
      </c>
      <c r="S5" t="s">
        <v>652</v>
      </c>
      <c r="T5" t="s">
        <v>653</v>
      </c>
      <c r="U5" t="s">
        <v>654</v>
      </c>
      <c r="V5" t="s">
        <v>655</v>
      </c>
      <c r="W5" t="s">
        <v>656</v>
      </c>
      <c r="X5" t="s">
        <v>657</v>
      </c>
      <c r="Y5" t="s">
        <v>658</v>
      </c>
      <c r="Z5" t="s">
        <v>659</v>
      </c>
      <c r="AA5" t="s">
        <v>660</v>
      </c>
      <c r="AB5" s="34" t="s">
        <v>459</v>
      </c>
    </row>
    <row r="6" spans="1:28" ht="18" x14ac:dyDescent="0.35">
      <c r="A6" s="38" t="s">
        <v>76</v>
      </c>
      <c r="B6" s="36"/>
      <c r="C6" s="36">
        <v>15</v>
      </c>
      <c r="D6" s="36">
        <v>12</v>
      </c>
      <c r="E6" s="36"/>
      <c r="F6" s="36"/>
      <c r="G6" s="36"/>
      <c r="J6" s="66" t="s">
        <v>651</v>
      </c>
      <c r="K6" s="95" t="s">
        <v>731</v>
      </c>
      <c r="M6"/>
      <c r="N6"/>
      <c r="O6" s="139"/>
      <c r="P6"/>
      <c r="Q6"/>
      <c r="R6"/>
      <c r="S6"/>
    </row>
    <row r="7" spans="1:28" ht="18" x14ac:dyDescent="0.35">
      <c r="A7" s="38" t="s">
        <v>95</v>
      </c>
      <c r="B7" s="36">
        <v>14</v>
      </c>
      <c r="C7" s="36">
        <v>7</v>
      </c>
      <c r="D7" s="36"/>
      <c r="E7" s="36"/>
      <c r="F7" s="36">
        <v>15</v>
      </c>
      <c r="G7" s="36">
        <v>15</v>
      </c>
      <c r="J7" s="67" t="s">
        <v>652</v>
      </c>
      <c r="K7" s="97" t="s">
        <v>732</v>
      </c>
      <c r="M7"/>
      <c r="N7"/>
      <c r="O7" s="139"/>
      <c r="P7"/>
      <c r="Q7"/>
      <c r="R7"/>
      <c r="S7"/>
    </row>
    <row r="8" spans="1:28" ht="18" x14ac:dyDescent="0.35">
      <c r="A8" s="38" t="s">
        <v>304</v>
      </c>
      <c r="B8" s="36">
        <v>10</v>
      </c>
      <c r="C8" s="36"/>
      <c r="D8" s="36"/>
      <c r="E8" s="36"/>
      <c r="F8" s="36"/>
      <c r="G8" s="36"/>
      <c r="J8" s="66" t="s">
        <v>653</v>
      </c>
      <c r="K8" s="95"/>
      <c r="M8"/>
      <c r="N8"/>
      <c r="O8" s="139"/>
      <c r="P8"/>
      <c r="Q8"/>
      <c r="R8"/>
      <c r="S8"/>
    </row>
    <row r="9" spans="1:28" ht="18" x14ac:dyDescent="0.35">
      <c r="A9" s="38" t="s">
        <v>109</v>
      </c>
      <c r="B9" s="36">
        <v>15</v>
      </c>
      <c r="C9" s="36">
        <v>7</v>
      </c>
      <c r="D9" s="36">
        <v>7</v>
      </c>
      <c r="E9" s="36">
        <v>2</v>
      </c>
      <c r="F9" s="36">
        <v>14</v>
      </c>
      <c r="G9" s="36"/>
      <c r="J9" s="66" t="s">
        <v>655</v>
      </c>
      <c r="K9" s="95" t="s">
        <v>572</v>
      </c>
      <c r="M9"/>
      <c r="N9"/>
      <c r="O9" s="139"/>
      <c r="P9"/>
      <c r="Q9"/>
      <c r="R9"/>
      <c r="S9"/>
    </row>
    <row r="10" spans="1:28" ht="18" x14ac:dyDescent="0.3">
      <c r="J10" s="68" t="s">
        <v>656</v>
      </c>
      <c r="K10" s="98" t="s">
        <v>572</v>
      </c>
      <c r="R10"/>
    </row>
    <row r="11" spans="1:28" ht="18" x14ac:dyDescent="0.35">
      <c r="J11" s="66" t="s">
        <v>657</v>
      </c>
      <c r="K11" s="95" t="s">
        <v>733</v>
      </c>
      <c r="R11"/>
    </row>
    <row r="12" spans="1:28" ht="18" x14ac:dyDescent="0.35">
      <c r="J12" s="67" t="s">
        <v>658</v>
      </c>
      <c r="K12" s="97" t="s">
        <v>515</v>
      </c>
      <c r="R12"/>
    </row>
    <row r="13" spans="1:28" ht="18" x14ac:dyDescent="0.35">
      <c r="J13" s="66" t="s">
        <v>659</v>
      </c>
      <c r="K13" s="99" t="s">
        <v>669</v>
      </c>
      <c r="R13"/>
    </row>
    <row r="14" spans="1:28" ht="18" x14ac:dyDescent="0.35">
      <c r="J14" s="101" t="s">
        <v>660</v>
      </c>
      <c r="K14" s="102" t="s">
        <v>665</v>
      </c>
      <c r="R14"/>
    </row>
    <row r="15" spans="1:28" ht="18.600000000000001" thickBot="1" x14ac:dyDescent="0.4">
      <c r="J15" s="103" t="s">
        <v>459</v>
      </c>
      <c r="K15" s="104"/>
      <c r="R15"/>
    </row>
    <row r="16" spans="1:28" ht="23.4" x14ac:dyDescent="0.45">
      <c r="A16" s="194" t="s">
        <v>456</v>
      </c>
      <c r="B16" s="194"/>
      <c r="C16" s="194"/>
      <c r="D16" s="194"/>
      <c r="E16" s="194"/>
      <c r="F16" s="194"/>
      <c r="G16" s="194"/>
      <c r="H16" s="11"/>
      <c r="R16"/>
    </row>
    <row r="17" spans="1:18" ht="18" x14ac:dyDescent="0.35">
      <c r="A17" s="127" t="str" cm="1">
        <f t="array" ref="A17:G21">A5:G9</f>
        <v>Time of Day</v>
      </c>
      <c r="B17" s="128" t="str">
        <v>Sun</v>
      </c>
      <c r="C17" s="128" t="str">
        <v>Mon</v>
      </c>
      <c r="D17" s="128" t="str">
        <v>Tue</v>
      </c>
      <c r="E17" s="128" t="str">
        <v>Wed</v>
      </c>
      <c r="F17" s="128" t="str">
        <v>Thur</v>
      </c>
      <c r="G17" s="127" t="str">
        <v>Sat</v>
      </c>
      <c r="R17"/>
    </row>
    <row r="18" spans="1:18" ht="15.6" x14ac:dyDescent="0.3">
      <c r="A18" s="129" t="str">
        <v>Afternoon (12:00-15:59)</v>
      </c>
      <c r="B18" s="130">
        <v>0</v>
      </c>
      <c r="C18" s="130">
        <v>15</v>
      </c>
      <c r="D18" s="130">
        <v>12</v>
      </c>
      <c r="E18" s="131">
        <v>0</v>
      </c>
      <c r="F18" s="130">
        <v>0</v>
      </c>
      <c r="G18" s="130">
        <v>0</v>
      </c>
    </row>
    <row r="19" spans="1:18" ht="15.6" x14ac:dyDescent="0.3">
      <c r="A19" s="38" t="str">
        <v>Evening Peak (16:00-19:59)</v>
      </c>
      <c r="B19" s="36">
        <v>14</v>
      </c>
      <c r="C19" s="36">
        <v>7</v>
      </c>
      <c r="D19" s="36">
        <v>0</v>
      </c>
      <c r="E19">
        <v>0</v>
      </c>
      <c r="F19" s="36">
        <v>15</v>
      </c>
      <c r="G19" s="36">
        <v>15</v>
      </c>
    </row>
    <row r="20" spans="1:18" ht="15.6" x14ac:dyDescent="0.3">
      <c r="A20" s="129" t="str">
        <v>Morning (04:00-07:59)</v>
      </c>
      <c r="B20" s="130">
        <v>10</v>
      </c>
      <c r="C20" s="130">
        <v>0</v>
      </c>
      <c r="D20" s="130">
        <v>0</v>
      </c>
      <c r="E20" s="131">
        <v>0</v>
      </c>
      <c r="F20" s="130">
        <v>0</v>
      </c>
      <c r="G20" s="130">
        <v>0</v>
      </c>
    </row>
    <row r="21" spans="1:18" ht="15.6" x14ac:dyDescent="0.3">
      <c r="A21" s="132" t="str">
        <v>Night (20:00-23:59)</v>
      </c>
      <c r="B21" s="133">
        <v>15</v>
      </c>
      <c r="C21" s="133">
        <v>7</v>
      </c>
      <c r="D21" s="133">
        <v>7</v>
      </c>
      <c r="E21" s="125">
        <v>2</v>
      </c>
      <c r="F21" s="133">
        <v>14</v>
      </c>
      <c r="G21" s="133">
        <v>0</v>
      </c>
    </row>
    <row r="24" spans="1:18" ht="28.8" x14ac:dyDescent="0.3">
      <c r="A24" s="105" t="s">
        <v>1</v>
      </c>
      <c r="B24" s="106" t="s">
        <v>209</v>
      </c>
      <c r="C24" s="6"/>
      <c r="D24" s="6"/>
      <c r="E24" s="6"/>
      <c r="F24" s="6"/>
    </row>
    <row r="25" spans="1:18" x14ac:dyDescent="0.3">
      <c r="A25" s="105" t="s">
        <v>10</v>
      </c>
      <c r="B25" s="6" t="s">
        <v>127</v>
      </c>
      <c r="C25" s="6"/>
      <c r="D25" s="6"/>
      <c r="E25" s="6"/>
      <c r="F25" s="6"/>
    </row>
    <row r="26" spans="1:18" x14ac:dyDescent="0.3">
      <c r="A26" s="6"/>
      <c r="B26" s="6"/>
      <c r="C26" s="6"/>
      <c r="D26" s="6"/>
      <c r="E26" s="6"/>
      <c r="F26" s="6"/>
    </row>
    <row r="27" spans="1:18" x14ac:dyDescent="0.3">
      <c r="A27" s="182" t="s">
        <v>128</v>
      </c>
      <c r="B27" s="182" t="s">
        <v>5</v>
      </c>
      <c r="C27" s="42"/>
      <c r="D27" s="42"/>
      <c r="E27" s="42"/>
    </row>
    <row r="28" spans="1:18" ht="18" x14ac:dyDescent="0.35">
      <c r="A28" s="83" t="s">
        <v>449</v>
      </c>
      <c r="B28" s="7" t="s">
        <v>458</v>
      </c>
      <c r="C28" s="7" t="s">
        <v>450</v>
      </c>
      <c r="D28" s="7" t="s">
        <v>451</v>
      </c>
      <c r="E28" s="7" t="s">
        <v>452</v>
      </c>
    </row>
    <row r="29" spans="1:18" ht="15.6" x14ac:dyDescent="0.3">
      <c r="A29" s="38" t="s">
        <v>95</v>
      </c>
      <c r="B29" s="36"/>
      <c r="C29" s="36">
        <v>7</v>
      </c>
      <c r="D29" s="36"/>
      <c r="E29" s="36"/>
    </row>
    <row r="30" spans="1:18" ht="15.6" x14ac:dyDescent="0.3">
      <c r="A30" s="38" t="s">
        <v>304</v>
      </c>
      <c r="B30" s="36">
        <v>10</v>
      </c>
      <c r="C30" s="36"/>
      <c r="D30" s="36"/>
      <c r="E30" s="36"/>
    </row>
    <row r="31" spans="1:18" ht="15.6" x14ac:dyDescent="0.3">
      <c r="A31" s="38" t="s">
        <v>109</v>
      </c>
      <c r="B31" s="36"/>
      <c r="C31" s="36">
        <v>7</v>
      </c>
      <c r="D31" s="36">
        <v>7</v>
      </c>
      <c r="E31" s="36">
        <v>2</v>
      </c>
    </row>
    <row r="34" spans="1:8" ht="23.4" x14ac:dyDescent="0.45">
      <c r="A34" s="194" t="s">
        <v>457</v>
      </c>
      <c r="B34" s="194"/>
      <c r="C34" s="194"/>
      <c r="D34" s="194"/>
      <c r="E34" s="194"/>
      <c r="F34" s="11"/>
      <c r="G34" s="11"/>
      <c r="H34" s="11"/>
    </row>
    <row r="35" spans="1:8" ht="18" x14ac:dyDescent="0.35">
      <c r="A35" s="127" t="str" cm="1">
        <f t="array" ref="A35:E38">A28:E31</f>
        <v>Time of Day</v>
      </c>
      <c r="B35" s="128" t="str">
        <v>Sun</v>
      </c>
      <c r="C35" s="128" t="str">
        <v>Mon</v>
      </c>
      <c r="D35" s="128" t="str">
        <v>Tue</v>
      </c>
      <c r="E35" s="128" t="str">
        <v>Wed</v>
      </c>
    </row>
    <row r="36" spans="1:8" ht="15.6" x14ac:dyDescent="0.3">
      <c r="A36" s="129" t="str">
        <v>Evening Peak (16:00-19:59)</v>
      </c>
      <c r="B36" s="130">
        <v>0</v>
      </c>
      <c r="C36" s="130">
        <v>7</v>
      </c>
      <c r="D36" s="130">
        <v>0</v>
      </c>
      <c r="E36" s="131">
        <v>0</v>
      </c>
    </row>
    <row r="37" spans="1:8" ht="15.6" x14ac:dyDescent="0.3">
      <c r="A37" s="38" t="str">
        <v>Morning (04:00-07:59)</v>
      </c>
      <c r="B37" s="36">
        <v>10</v>
      </c>
      <c r="C37" s="36">
        <v>0</v>
      </c>
      <c r="D37" s="36">
        <v>0</v>
      </c>
      <c r="E37">
        <v>0</v>
      </c>
    </row>
    <row r="38" spans="1:8" ht="15.6" x14ac:dyDescent="0.3">
      <c r="A38" s="129" t="str">
        <v>Night (20:00-23:59)</v>
      </c>
      <c r="B38" s="130">
        <v>0</v>
      </c>
      <c r="C38" s="130">
        <v>7</v>
      </c>
      <c r="D38" s="130">
        <v>7</v>
      </c>
      <c r="E38" s="131">
        <v>2</v>
      </c>
    </row>
  </sheetData>
  <mergeCells count="2">
    <mergeCell ref="A16:G16"/>
    <mergeCell ref="A34:E34"/>
  </mergeCells>
  <phoneticPr fontId="12" type="noConversion"/>
  <pageMargins left="0.7" right="0.7" top="0.75" bottom="0.75" header="0.3" footer="0.3"/>
  <pageSetup orientation="portrait"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4140C-FEB8-4477-983A-0A15AE75688F}">
  <dimension ref="A1:H7"/>
  <sheetViews>
    <sheetView workbookViewId="0">
      <selection sqref="A1:M7"/>
    </sheetView>
  </sheetViews>
  <sheetFormatPr defaultRowHeight="14.4" x14ac:dyDescent="0.3"/>
  <cols>
    <col min="1" max="1" width="8.88671875" bestFit="1" customWidth="1"/>
    <col min="2" max="2" width="18.5546875" bestFit="1" customWidth="1"/>
    <col min="3" max="3" width="14.44140625" bestFit="1" customWidth="1"/>
    <col min="4" max="4" width="13.88671875" bestFit="1" customWidth="1"/>
    <col min="5" max="5" width="23.21875" bestFit="1" customWidth="1"/>
    <col min="6" max="8" width="80.88671875" bestFit="1" customWidth="1"/>
    <col min="9" max="9" width="14.77734375" bestFit="1" customWidth="1"/>
    <col min="10" max="10" width="13.33203125" bestFit="1" customWidth="1"/>
    <col min="11" max="11" width="17.88671875" bestFit="1" customWidth="1"/>
    <col min="12" max="12" width="80.88671875" bestFit="1" customWidth="1"/>
    <col min="13" max="13" width="25.6640625" bestFit="1" customWidth="1"/>
    <col min="14" max="14" width="80.88671875" bestFit="1" customWidth="1"/>
  </cols>
  <sheetData>
    <row r="1" spans="1:8" x14ac:dyDescent="0.3">
      <c r="A1" t="s">
        <v>862</v>
      </c>
      <c r="B1" t="s">
        <v>856</v>
      </c>
      <c r="C1" t="s">
        <v>35</v>
      </c>
      <c r="D1" t="s">
        <v>649</v>
      </c>
      <c r="E1" t="s">
        <v>449</v>
      </c>
      <c r="F1" t="s">
        <v>49</v>
      </c>
      <c r="G1" t="s">
        <v>810</v>
      </c>
      <c r="H1" t="s">
        <v>459</v>
      </c>
    </row>
    <row r="2" spans="1:8" x14ac:dyDescent="0.3">
      <c r="A2">
        <v>0</v>
      </c>
      <c r="B2" t="s">
        <v>485</v>
      </c>
      <c r="C2" s="1">
        <v>45743</v>
      </c>
      <c r="D2" t="s">
        <v>536</v>
      </c>
      <c r="E2" t="s">
        <v>109</v>
      </c>
      <c r="F2" t="s">
        <v>59</v>
      </c>
      <c r="G2" t="s">
        <v>580</v>
      </c>
      <c r="H2" t="s">
        <v>578</v>
      </c>
    </row>
    <row r="3" spans="1:8" x14ac:dyDescent="0.3">
      <c r="A3">
        <v>1</v>
      </c>
      <c r="B3" t="s">
        <v>530</v>
      </c>
      <c r="C3" s="1">
        <v>45743</v>
      </c>
      <c r="D3" t="s">
        <v>536</v>
      </c>
      <c r="E3" t="s">
        <v>109</v>
      </c>
      <c r="F3" t="s">
        <v>587</v>
      </c>
      <c r="G3" t="s">
        <v>588</v>
      </c>
      <c r="H3" t="s">
        <v>585</v>
      </c>
    </row>
    <row r="4" spans="1:8" x14ac:dyDescent="0.3">
      <c r="A4">
        <v>2</v>
      </c>
      <c r="B4" t="s">
        <v>257</v>
      </c>
      <c r="C4" s="1">
        <v>45747</v>
      </c>
      <c r="D4" t="s">
        <v>450</v>
      </c>
      <c r="E4" t="s">
        <v>76</v>
      </c>
      <c r="F4" t="s">
        <v>595</v>
      </c>
      <c r="G4" t="s">
        <v>596</v>
      </c>
      <c r="H4" t="s">
        <v>593</v>
      </c>
    </row>
    <row r="5" spans="1:8" x14ac:dyDescent="0.3">
      <c r="A5">
        <v>3</v>
      </c>
      <c r="B5" t="s">
        <v>599</v>
      </c>
      <c r="C5" s="1">
        <v>45748</v>
      </c>
      <c r="D5" t="s">
        <v>451</v>
      </c>
      <c r="E5" t="s">
        <v>76</v>
      </c>
      <c r="F5" t="s">
        <v>59</v>
      </c>
      <c r="G5" t="s">
        <v>59</v>
      </c>
      <c r="H5" t="s">
        <v>602</v>
      </c>
    </row>
    <row r="6" spans="1:8" x14ac:dyDescent="0.3">
      <c r="A6">
        <v>4</v>
      </c>
      <c r="B6" t="s">
        <v>294</v>
      </c>
      <c r="C6" s="1">
        <v>45755</v>
      </c>
      <c r="D6" t="s">
        <v>451</v>
      </c>
      <c r="E6" t="s">
        <v>76</v>
      </c>
      <c r="F6" t="s">
        <v>59</v>
      </c>
      <c r="G6" t="s">
        <v>823</v>
      </c>
      <c r="H6" t="s">
        <v>822</v>
      </c>
    </row>
    <row r="7" spans="1:8" x14ac:dyDescent="0.3">
      <c r="A7">
        <v>5</v>
      </c>
      <c r="B7" t="s">
        <v>56</v>
      </c>
      <c r="C7" s="1">
        <v>45760</v>
      </c>
      <c r="D7" t="s">
        <v>458</v>
      </c>
      <c r="E7" t="s">
        <v>95</v>
      </c>
      <c r="F7" t="s">
        <v>59</v>
      </c>
      <c r="G7" t="s">
        <v>844</v>
      </c>
      <c r="H7" t="s">
        <v>843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5CD91-03EB-4B99-9CAE-3A6AA2BD27D9}">
  <sheetPr codeName="Sheet3">
    <tabColor rgb="FFFFC000"/>
  </sheetPr>
  <dimension ref="A1:BB13"/>
  <sheetViews>
    <sheetView workbookViewId="0">
      <selection sqref="A1:BB13"/>
    </sheetView>
  </sheetViews>
  <sheetFormatPr defaultColWidth="8.88671875" defaultRowHeight="15.6" x14ac:dyDescent="0.3"/>
  <cols>
    <col min="1" max="1" width="20.109375" style="14" bestFit="1" customWidth="1"/>
    <col min="2" max="2" width="16" style="31" bestFit="1" customWidth="1"/>
    <col min="3" max="3" width="24.33203125" style="15" bestFit="1" customWidth="1"/>
    <col min="4" max="4" width="18.77734375" style="23" bestFit="1" customWidth="1"/>
    <col min="5" max="5" width="15.44140625" style="23" bestFit="1" customWidth="1"/>
    <col min="6" max="6" width="16.21875" style="3" bestFit="1" customWidth="1"/>
    <col min="7" max="7" width="19" style="3" bestFit="1" customWidth="1"/>
    <col min="8" max="8" width="24.109375" style="3" bestFit="1" customWidth="1"/>
    <col min="9" max="9" width="18.88671875" style="3" bestFit="1" customWidth="1"/>
    <col min="10" max="10" width="66.33203125" style="3" bestFit="1" customWidth="1"/>
    <col min="11" max="11" width="22" style="3" bestFit="1" customWidth="1"/>
    <col min="12" max="12" width="22.44140625" style="3" bestFit="1" customWidth="1"/>
    <col min="13" max="13" width="22.21875" style="3" bestFit="1" customWidth="1"/>
    <col min="14" max="14" width="41.21875" style="3" bestFit="1" customWidth="1"/>
    <col min="15" max="15" width="10" style="14" bestFit="1" customWidth="1"/>
    <col min="16" max="16" width="10.6640625" style="14" bestFit="1" customWidth="1"/>
    <col min="17" max="17" width="80.88671875" style="3" bestFit="1" customWidth="1"/>
    <col min="18" max="18" width="24.44140625" style="14" bestFit="1" customWidth="1"/>
    <col min="19" max="19" width="26.44140625" style="14" bestFit="1" customWidth="1"/>
    <col min="20" max="20" width="20.21875" style="14" bestFit="1" customWidth="1"/>
    <col min="21" max="21" width="12.44140625" style="14" bestFit="1" customWidth="1"/>
    <col min="22" max="22" width="13.33203125" style="14" bestFit="1" customWidth="1"/>
    <col min="23" max="23" width="17.109375" style="14" bestFit="1" customWidth="1"/>
    <col min="24" max="24" width="20.21875" style="14" bestFit="1" customWidth="1"/>
    <col min="25" max="25" width="17.109375" style="14" bestFit="1" customWidth="1"/>
    <col min="26" max="26" width="12.44140625" style="14" bestFit="1" customWidth="1"/>
    <col min="27" max="27" width="13.33203125" style="14" bestFit="1" customWidth="1"/>
    <col min="28" max="28" width="18.88671875" style="3" bestFit="1" customWidth="1"/>
    <col min="29" max="29" width="20.88671875" style="3" bestFit="1" customWidth="1"/>
    <col min="30" max="30" width="28.44140625" style="3" bestFit="1" customWidth="1"/>
    <col min="31" max="31" width="12" style="14" bestFit="1" customWidth="1"/>
    <col min="32" max="32" width="27.33203125" style="3" bestFit="1" customWidth="1"/>
    <col min="33" max="33" width="28.44140625" style="3" bestFit="1" customWidth="1"/>
    <col min="34" max="34" width="31.88671875" style="3" bestFit="1" customWidth="1"/>
    <col min="35" max="35" width="31.6640625" style="14" bestFit="1" customWidth="1"/>
    <col min="36" max="36" width="19.6640625" style="31" bestFit="1" customWidth="1"/>
    <col min="37" max="37" width="19.88671875" style="23" bestFit="1" customWidth="1"/>
    <col min="38" max="38" width="30.33203125" style="31" bestFit="1" customWidth="1"/>
    <col min="39" max="39" width="30.5546875" style="23" bestFit="1" customWidth="1"/>
    <col min="40" max="40" width="18.109375" style="31" bestFit="1" customWidth="1"/>
    <col min="41" max="41" width="18.33203125" style="23" bestFit="1" customWidth="1"/>
    <col min="42" max="42" width="10.21875" style="14" bestFit="1" customWidth="1"/>
    <col min="43" max="43" width="19.33203125" style="25" bestFit="1" customWidth="1"/>
    <col min="44" max="44" width="21.21875" style="25" bestFit="1" customWidth="1"/>
    <col min="45" max="45" width="9.44140625" style="25" bestFit="1" customWidth="1"/>
    <col min="46" max="46" width="17.21875" style="27" bestFit="1" customWidth="1"/>
    <col min="47" max="47" width="28.109375" style="29" bestFit="1" customWidth="1"/>
    <col min="48" max="48" width="8.77734375" style="14" bestFit="1" customWidth="1"/>
    <col min="49" max="49" width="80.88671875" style="3" bestFit="1" customWidth="1"/>
    <col min="50" max="50" width="14.77734375" style="3" bestFit="1" customWidth="1"/>
    <col min="51" max="52" width="80.88671875" style="3" bestFit="1" customWidth="1"/>
    <col min="53" max="53" width="22.33203125" style="14" bestFit="1" customWidth="1"/>
    <col min="54" max="54" width="25.77734375" style="14" bestFit="1" customWidth="1"/>
    <col min="55" max="55" width="26.88671875" style="3" bestFit="1" customWidth="1"/>
    <col min="56" max="16384" width="8.88671875" style="3"/>
  </cols>
  <sheetData>
    <row r="1" spans="1:54" s="17" customFormat="1" ht="18" x14ac:dyDescent="0.35">
      <c r="A1" s="17" t="s">
        <v>0</v>
      </c>
      <c r="B1" s="30" t="s">
        <v>1</v>
      </c>
      <c r="C1" s="17" t="s">
        <v>2</v>
      </c>
      <c r="D1" s="21" t="s">
        <v>3</v>
      </c>
      <c r="E1" s="21" t="s">
        <v>4</v>
      </c>
      <c r="F1" s="17" t="s">
        <v>5</v>
      </c>
      <c r="G1" s="17" t="s">
        <v>6</v>
      </c>
      <c r="H1" s="17" t="s">
        <v>7</v>
      </c>
      <c r="I1" s="17" t="s">
        <v>8</v>
      </c>
      <c r="J1" s="17" t="s">
        <v>10</v>
      </c>
      <c r="K1" s="17" t="s">
        <v>9</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30" t="s">
        <v>35</v>
      </c>
      <c r="AK1" s="21" t="s">
        <v>36</v>
      </c>
      <c r="AL1" s="30" t="s">
        <v>37</v>
      </c>
      <c r="AM1" s="21" t="s">
        <v>38</v>
      </c>
      <c r="AN1" s="30" t="s">
        <v>39</v>
      </c>
      <c r="AO1" s="21" t="s">
        <v>40</v>
      </c>
      <c r="AP1" s="17" t="s">
        <v>41</v>
      </c>
      <c r="AQ1" s="24" t="s">
        <v>42</v>
      </c>
      <c r="AR1" s="24" t="s">
        <v>43</v>
      </c>
      <c r="AS1" s="24" t="s">
        <v>44</v>
      </c>
      <c r="AT1" s="26" t="s">
        <v>45</v>
      </c>
      <c r="AU1" s="28" t="s">
        <v>46</v>
      </c>
      <c r="AV1" s="17" t="s">
        <v>47</v>
      </c>
      <c r="AW1" t="s">
        <v>459</v>
      </c>
      <c r="AX1" s="17" t="s">
        <v>48</v>
      </c>
      <c r="AY1" s="17" t="s">
        <v>49</v>
      </c>
      <c r="AZ1" s="17" t="s">
        <v>50</v>
      </c>
      <c r="BA1" s="17" t="s">
        <v>51</v>
      </c>
      <c r="BB1" s="17" t="s">
        <v>52</v>
      </c>
    </row>
    <row r="2" spans="1:54" x14ac:dyDescent="0.3">
      <c r="A2" s="48" t="s">
        <v>129</v>
      </c>
      <c r="B2" s="49">
        <v>45673</v>
      </c>
      <c r="C2" s="50" t="s">
        <v>54</v>
      </c>
      <c r="D2" s="51">
        <v>0.5</v>
      </c>
      <c r="E2" s="51">
        <v>0.5</v>
      </c>
      <c r="F2" s="50" t="s">
        <v>536</v>
      </c>
      <c r="G2" s="50" t="s">
        <v>55</v>
      </c>
      <c r="H2" s="50" t="s">
        <v>130</v>
      </c>
      <c r="I2" s="50" t="s">
        <v>131</v>
      </c>
      <c r="J2" s="50" t="s">
        <v>132</v>
      </c>
      <c r="K2" s="50" t="s">
        <v>132</v>
      </c>
      <c r="L2" s="50" t="s">
        <v>59</v>
      </c>
      <c r="M2" s="50" t="s">
        <v>59</v>
      </c>
      <c r="N2" s="50" t="s">
        <v>133</v>
      </c>
      <c r="O2" s="48" t="s">
        <v>134</v>
      </c>
      <c r="P2" s="48">
        <v>7</v>
      </c>
      <c r="Q2" s="50" t="s">
        <v>135</v>
      </c>
      <c r="R2" s="48"/>
      <c r="S2" s="48"/>
      <c r="T2" s="48"/>
      <c r="U2" s="48"/>
      <c r="V2" s="48"/>
      <c r="W2" s="48"/>
      <c r="X2" s="48"/>
      <c r="Y2" s="48"/>
      <c r="Z2" s="48"/>
      <c r="AA2" s="48"/>
      <c r="AB2" s="50" t="s">
        <v>66</v>
      </c>
      <c r="AC2" s="50" t="s">
        <v>67</v>
      </c>
      <c r="AD2" s="50" t="s">
        <v>136</v>
      </c>
      <c r="AE2" s="48" t="s">
        <v>69</v>
      </c>
      <c r="AF2" s="50" t="s">
        <v>70</v>
      </c>
      <c r="AG2" s="50" t="s">
        <v>71</v>
      </c>
      <c r="AH2" s="50" t="s">
        <v>137</v>
      </c>
      <c r="AI2" s="48">
        <v>9</v>
      </c>
      <c r="AJ2" s="49">
        <v>45673</v>
      </c>
      <c r="AK2" s="52">
        <v>0.5</v>
      </c>
      <c r="AL2" s="49">
        <v>45673</v>
      </c>
      <c r="AM2" s="52">
        <v>0.75</v>
      </c>
      <c r="AN2" s="49">
        <v>45673</v>
      </c>
      <c r="AO2" s="52">
        <v>0.81587962962962968</v>
      </c>
      <c r="AP2" s="48">
        <v>2025</v>
      </c>
      <c r="AQ2" s="53">
        <v>3</v>
      </c>
      <c r="AR2" s="53">
        <v>3</v>
      </c>
      <c r="AS2" s="53">
        <v>16</v>
      </c>
      <c r="AT2" s="54">
        <v>16</v>
      </c>
      <c r="AU2" s="55">
        <v>45673.5</v>
      </c>
      <c r="AV2" s="48">
        <v>30</v>
      </c>
      <c r="AW2" t="s">
        <v>135</v>
      </c>
      <c r="AX2" s="50"/>
      <c r="AY2" s="50" t="s">
        <v>138</v>
      </c>
      <c r="AZ2" s="50" t="s">
        <v>139</v>
      </c>
      <c r="BA2" s="48" t="s">
        <v>512</v>
      </c>
      <c r="BB2" s="50" t="s">
        <v>76</v>
      </c>
    </row>
    <row r="3" spans="1:54" x14ac:dyDescent="0.3">
      <c r="A3" s="48" t="s">
        <v>140</v>
      </c>
      <c r="B3" s="49">
        <v>45682</v>
      </c>
      <c r="C3" s="50" t="s">
        <v>141</v>
      </c>
      <c r="D3" s="51">
        <v>0.45833333333333331</v>
      </c>
      <c r="E3" s="51">
        <v>0.45833333333333331</v>
      </c>
      <c r="F3" s="50" t="s">
        <v>455</v>
      </c>
      <c r="G3" s="50" t="s">
        <v>55</v>
      </c>
      <c r="H3" s="50" t="s">
        <v>142</v>
      </c>
      <c r="I3" s="50" t="s">
        <v>143</v>
      </c>
      <c r="J3" s="50" t="s">
        <v>132</v>
      </c>
      <c r="K3" s="50" t="s">
        <v>132</v>
      </c>
      <c r="L3" s="50" t="s">
        <v>59</v>
      </c>
      <c r="M3" s="50" t="s">
        <v>59</v>
      </c>
      <c r="N3" s="50" t="s">
        <v>144</v>
      </c>
      <c r="O3" s="48" t="s">
        <v>145</v>
      </c>
      <c r="P3" s="48">
        <v>5</v>
      </c>
      <c r="Q3" s="50" t="s">
        <v>146</v>
      </c>
      <c r="R3" s="48"/>
      <c r="S3" s="48"/>
      <c r="T3" s="48"/>
      <c r="U3" s="48"/>
      <c r="V3" s="48"/>
      <c r="W3" s="48"/>
      <c r="X3" s="48"/>
      <c r="Y3" s="48"/>
      <c r="Z3" s="48"/>
      <c r="AA3" s="48"/>
      <c r="AB3" s="50" t="s">
        <v>88</v>
      </c>
      <c r="AC3" s="50" t="s">
        <v>67</v>
      </c>
      <c r="AD3" s="50" t="s">
        <v>147</v>
      </c>
      <c r="AE3" s="48" t="s">
        <v>90</v>
      </c>
      <c r="AF3" s="50" t="s">
        <v>70</v>
      </c>
      <c r="AG3" s="50" t="s">
        <v>123</v>
      </c>
      <c r="AH3" s="50" t="s">
        <v>137</v>
      </c>
      <c r="AI3" s="48">
        <v>9</v>
      </c>
      <c r="AJ3" s="49">
        <v>45682</v>
      </c>
      <c r="AK3" s="52">
        <v>0.45833333333333331</v>
      </c>
      <c r="AL3" s="49">
        <v>45682</v>
      </c>
      <c r="AM3" s="52">
        <v>0.58333333333333337</v>
      </c>
      <c r="AN3" s="49">
        <v>45682</v>
      </c>
      <c r="AO3" s="52">
        <v>0.58054398148148145</v>
      </c>
      <c r="AP3" s="48">
        <v>2025</v>
      </c>
      <c r="AQ3" s="53">
        <v>4</v>
      </c>
      <c r="AR3" s="53">
        <v>4</v>
      </c>
      <c r="AS3" s="53">
        <v>25</v>
      </c>
      <c r="AT3" s="54">
        <v>25</v>
      </c>
      <c r="AU3" s="55">
        <v>45682.458333333336</v>
      </c>
      <c r="AV3" s="48">
        <v>60</v>
      </c>
      <c r="AW3" t="s">
        <v>146</v>
      </c>
      <c r="AX3" s="50"/>
      <c r="AY3" s="50" t="s">
        <v>148</v>
      </c>
      <c r="AZ3" s="50" t="s">
        <v>149</v>
      </c>
      <c r="BA3" s="48" t="s">
        <v>511</v>
      </c>
      <c r="BB3" s="50" t="s">
        <v>150</v>
      </c>
    </row>
    <row r="4" spans="1:54" x14ac:dyDescent="0.3">
      <c r="A4" s="48" t="s">
        <v>151</v>
      </c>
      <c r="B4" s="49">
        <v>45688</v>
      </c>
      <c r="C4" s="50" t="s">
        <v>141</v>
      </c>
      <c r="D4" s="51">
        <v>0.45833333333333331</v>
      </c>
      <c r="E4" s="51">
        <v>0.49988425925925928</v>
      </c>
      <c r="F4" s="50" t="s">
        <v>454</v>
      </c>
      <c r="G4" s="50" t="s">
        <v>55</v>
      </c>
      <c r="H4" s="50" t="s">
        <v>152</v>
      </c>
      <c r="I4" s="50" t="s">
        <v>153</v>
      </c>
      <c r="J4" s="50" t="s">
        <v>132</v>
      </c>
      <c r="K4" s="50" t="s">
        <v>132</v>
      </c>
      <c r="L4" s="50" t="s">
        <v>59</v>
      </c>
      <c r="M4" s="50" t="s">
        <v>59</v>
      </c>
      <c r="N4" s="50" t="s">
        <v>154</v>
      </c>
      <c r="O4" s="48" t="s">
        <v>155</v>
      </c>
      <c r="P4" s="48">
        <v>8</v>
      </c>
      <c r="Q4" s="50" t="s">
        <v>156</v>
      </c>
      <c r="R4" s="48"/>
      <c r="S4" s="48"/>
      <c r="T4" s="48"/>
      <c r="U4" s="48"/>
      <c r="V4" s="48"/>
      <c r="W4" s="48"/>
      <c r="X4" s="48"/>
      <c r="Y4" s="48"/>
      <c r="Z4" s="48"/>
      <c r="AA4" s="48"/>
      <c r="AB4" s="50" t="s">
        <v>157</v>
      </c>
      <c r="AC4" s="50" t="s">
        <v>67</v>
      </c>
      <c r="AD4" s="50" t="s">
        <v>158</v>
      </c>
      <c r="AE4" s="48" t="s">
        <v>159</v>
      </c>
      <c r="AF4" s="50" t="s">
        <v>160</v>
      </c>
      <c r="AG4" s="50" t="s">
        <v>71</v>
      </c>
      <c r="AH4" s="50" t="s">
        <v>137</v>
      </c>
      <c r="AI4" s="48">
        <v>9</v>
      </c>
      <c r="AJ4" s="49">
        <v>45688</v>
      </c>
      <c r="AK4" s="52">
        <v>0.49988425925925928</v>
      </c>
      <c r="AL4" s="49"/>
      <c r="AM4" s="52"/>
      <c r="AN4" s="49">
        <v>45688</v>
      </c>
      <c r="AO4" s="52">
        <v>0.49988425925925928</v>
      </c>
      <c r="AP4" s="48">
        <v>2025</v>
      </c>
      <c r="AQ4" s="53">
        <v>5</v>
      </c>
      <c r="AR4" s="53">
        <v>5</v>
      </c>
      <c r="AS4" s="53">
        <v>31</v>
      </c>
      <c r="AT4" s="54">
        <v>31</v>
      </c>
      <c r="AU4" s="55">
        <v>45688.499305555553</v>
      </c>
      <c r="AV4" s="48">
        <v>292</v>
      </c>
      <c r="AW4" t="s">
        <v>156</v>
      </c>
      <c r="AX4" s="50"/>
      <c r="AY4" s="50" t="s">
        <v>59</v>
      </c>
      <c r="AZ4" s="50" t="s">
        <v>59</v>
      </c>
      <c r="BA4" s="48" t="s">
        <v>510</v>
      </c>
      <c r="BB4" s="50" t="s">
        <v>150</v>
      </c>
    </row>
    <row r="5" spans="1:54" x14ac:dyDescent="0.3">
      <c r="A5" s="48" t="s">
        <v>161</v>
      </c>
      <c r="B5" s="49">
        <v>45693</v>
      </c>
      <c r="C5" s="50" t="s">
        <v>162</v>
      </c>
      <c r="D5" s="51">
        <v>8.3333333333333329E-2</v>
      </c>
      <c r="E5" s="51">
        <v>0.12291666666666666</v>
      </c>
      <c r="F5" s="50" t="s">
        <v>452</v>
      </c>
      <c r="G5" s="50" t="s">
        <v>111</v>
      </c>
      <c r="H5" s="50" t="s">
        <v>163</v>
      </c>
      <c r="I5" s="50" t="s">
        <v>164</v>
      </c>
      <c r="J5" s="50" t="s">
        <v>166</v>
      </c>
      <c r="K5" s="50" t="s">
        <v>165</v>
      </c>
      <c r="L5" s="50" t="s">
        <v>167</v>
      </c>
      <c r="M5" s="50" t="s">
        <v>59</v>
      </c>
      <c r="N5" s="50" t="s">
        <v>168</v>
      </c>
      <c r="O5" s="48" t="s">
        <v>155</v>
      </c>
      <c r="P5" s="48">
        <v>8</v>
      </c>
      <c r="Q5" s="50" t="s">
        <v>169</v>
      </c>
      <c r="R5" s="48"/>
      <c r="S5" s="48"/>
      <c r="T5" s="48"/>
      <c r="U5" s="48"/>
      <c r="V5" s="48"/>
      <c r="W5" s="48"/>
      <c r="X5" s="48"/>
      <c r="Y5" s="48"/>
      <c r="Z5" s="48"/>
      <c r="AA5" s="48"/>
      <c r="AB5" s="50" t="s">
        <v>119</v>
      </c>
      <c r="AC5" s="50" t="s">
        <v>67</v>
      </c>
      <c r="AD5" s="50" t="s">
        <v>170</v>
      </c>
      <c r="AE5" s="48" t="s">
        <v>90</v>
      </c>
      <c r="AF5" s="50" t="s">
        <v>171</v>
      </c>
      <c r="AG5" s="50" t="s">
        <v>123</v>
      </c>
      <c r="AH5" s="50" t="s">
        <v>137</v>
      </c>
      <c r="AI5" s="48">
        <v>9</v>
      </c>
      <c r="AJ5" s="49">
        <v>45693</v>
      </c>
      <c r="AK5" s="52">
        <v>0.12291666666666666</v>
      </c>
      <c r="AL5" s="49"/>
      <c r="AM5" s="52"/>
      <c r="AN5" s="49">
        <v>45693</v>
      </c>
      <c r="AO5" s="52">
        <v>0.1233912037037037</v>
      </c>
      <c r="AP5" s="48">
        <v>2025</v>
      </c>
      <c r="AQ5" s="53">
        <v>6</v>
      </c>
      <c r="AR5" s="53">
        <v>2</v>
      </c>
      <c r="AS5" s="53">
        <v>5</v>
      </c>
      <c r="AT5" s="54">
        <v>36</v>
      </c>
      <c r="AU5" s="55">
        <v>45693.122916666667</v>
      </c>
      <c r="AV5" s="48">
        <v>441</v>
      </c>
      <c r="AW5" t="s">
        <v>169</v>
      </c>
      <c r="AX5" s="50"/>
      <c r="AY5" s="50" t="s">
        <v>59</v>
      </c>
      <c r="AZ5" s="50" t="s">
        <v>59</v>
      </c>
      <c r="BA5" s="48" t="s">
        <v>509</v>
      </c>
      <c r="BB5" s="50" t="s">
        <v>172</v>
      </c>
    </row>
    <row r="6" spans="1:54" x14ac:dyDescent="0.3">
      <c r="A6" s="48" t="s">
        <v>173</v>
      </c>
      <c r="B6" s="49">
        <v>45705</v>
      </c>
      <c r="C6" s="50" t="s">
        <v>54</v>
      </c>
      <c r="D6" s="51">
        <v>0.5</v>
      </c>
      <c r="E6" s="51">
        <v>0.52497685185185183</v>
      </c>
      <c r="F6" s="50" t="s">
        <v>450</v>
      </c>
      <c r="G6" s="50" t="s">
        <v>111</v>
      </c>
      <c r="H6" s="50" t="s">
        <v>98</v>
      </c>
      <c r="I6" s="50" t="s">
        <v>174</v>
      </c>
      <c r="J6" s="50" t="s">
        <v>175</v>
      </c>
      <c r="K6" s="50" t="s">
        <v>165</v>
      </c>
      <c r="L6" s="50" t="s">
        <v>176</v>
      </c>
      <c r="M6" s="50" t="s">
        <v>59</v>
      </c>
      <c r="N6" s="50" t="s">
        <v>177</v>
      </c>
      <c r="O6" s="48" t="s">
        <v>178</v>
      </c>
      <c r="P6" s="48">
        <v>9</v>
      </c>
      <c r="Q6" s="50" t="s">
        <v>179</v>
      </c>
      <c r="R6" s="48"/>
      <c r="S6" s="48"/>
      <c r="T6" s="48"/>
      <c r="U6" s="48"/>
      <c r="V6" s="48"/>
      <c r="W6" s="48"/>
      <c r="X6" s="48"/>
      <c r="Y6" s="48"/>
      <c r="Z6" s="48"/>
      <c r="AA6" s="48"/>
      <c r="AB6" s="50" t="s">
        <v>66</v>
      </c>
      <c r="AC6" s="50" t="s">
        <v>67</v>
      </c>
      <c r="AD6" s="50" t="s">
        <v>68</v>
      </c>
      <c r="AE6" s="48" t="s">
        <v>69</v>
      </c>
      <c r="AF6" s="50" t="s">
        <v>180</v>
      </c>
      <c r="AG6" s="50" t="s">
        <v>181</v>
      </c>
      <c r="AH6" s="50" t="s">
        <v>137</v>
      </c>
      <c r="AI6" s="48">
        <v>9</v>
      </c>
      <c r="AJ6" s="49">
        <v>45705</v>
      </c>
      <c r="AK6" s="52">
        <v>0.52497685185185183</v>
      </c>
      <c r="AL6" s="49"/>
      <c r="AM6" s="52"/>
      <c r="AN6" s="49">
        <v>45705</v>
      </c>
      <c r="AO6" s="52">
        <v>0.52497685185185183</v>
      </c>
      <c r="AP6" s="48">
        <v>2025</v>
      </c>
      <c r="AQ6" s="53">
        <v>8</v>
      </c>
      <c r="AR6" s="53">
        <v>4</v>
      </c>
      <c r="AS6" s="53">
        <v>17</v>
      </c>
      <c r="AT6" s="54">
        <v>48</v>
      </c>
      <c r="AU6" s="55">
        <v>45705.524305555555</v>
      </c>
      <c r="AV6" s="48">
        <v>35</v>
      </c>
      <c r="AW6" t="s">
        <v>179</v>
      </c>
      <c r="AX6" s="50"/>
      <c r="AY6" s="50" t="s">
        <v>182</v>
      </c>
      <c r="AZ6" s="50" t="s">
        <v>183</v>
      </c>
      <c r="BA6" s="48" t="s">
        <v>508</v>
      </c>
      <c r="BB6" s="50" t="s">
        <v>76</v>
      </c>
    </row>
    <row r="7" spans="1:54" x14ac:dyDescent="0.3">
      <c r="A7" s="48" t="s">
        <v>529</v>
      </c>
      <c r="B7" s="49">
        <v>45726</v>
      </c>
      <c r="C7" s="50" t="s">
        <v>162</v>
      </c>
      <c r="D7" s="51">
        <v>4.1666666666666664E-2</v>
      </c>
      <c r="E7" s="51">
        <v>4.6527777777777779E-2</v>
      </c>
      <c r="F7" s="50" t="s">
        <v>450</v>
      </c>
      <c r="G7" s="50" t="s">
        <v>461</v>
      </c>
      <c r="H7" s="50" t="s">
        <v>530</v>
      </c>
      <c r="I7" s="50" t="s">
        <v>531</v>
      </c>
      <c r="J7" s="50" t="s">
        <v>132</v>
      </c>
      <c r="K7" s="50" t="s">
        <v>132</v>
      </c>
      <c r="L7" s="50" t="s">
        <v>59</v>
      </c>
      <c r="M7" s="50" t="s">
        <v>59</v>
      </c>
      <c r="N7" s="50" t="s">
        <v>532</v>
      </c>
      <c r="O7" s="48" t="s">
        <v>283</v>
      </c>
      <c r="P7" s="48">
        <v>8</v>
      </c>
      <c r="Q7" s="50" t="s">
        <v>533</v>
      </c>
      <c r="R7" s="48"/>
      <c r="S7" s="48"/>
      <c r="T7" s="48"/>
      <c r="U7" s="48"/>
      <c r="V7" s="48"/>
      <c r="W7" s="48"/>
      <c r="X7" s="48"/>
      <c r="Y7" s="48"/>
      <c r="Z7" s="48"/>
      <c r="AA7" s="48"/>
      <c r="AB7" s="50" t="s">
        <v>534</v>
      </c>
      <c r="AC7" s="50" t="s">
        <v>67</v>
      </c>
      <c r="AD7" s="50" t="s">
        <v>219</v>
      </c>
      <c r="AE7" s="48" t="s">
        <v>159</v>
      </c>
      <c r="AF7" s="50" t="s">
        <v>106</v>
      </c>
      <c r="AG7" s="50" t="s">
        <v>123</v>
      </c>
      <c r="AH7" s="50" t="s">
        <v>137</v>
      </c>
      <c r="AI7" s="48">
        <v>9</v>
      </c>
      <c r="AJ7" s="49">
        <v>45726</v>
      </c>
      <c r="AK7" s="52">
        <v>4.6527777777777779E-2</v>
      </c>
      <c r="AL7" s="49">
        <v>45726</v>
      </c>
      <c r="AM7" s="52">
        <v>0.16180555555555556</v>
      </c>
      <c r="AN7" s="49">
        <v>45727</v>
      </c>
      <c r="AO7" s="52">
        <v>0.44234953703703705</v>
      </c>
      <c r="AP7" s="48">
        <v>2025</v>
      </c>
      <c r="AQ7" s="53">
        <v>11</v>
      </c>
      <c r="AR7" s="53">
        <v>3</v>
      </c>
      <c r="AS7" s="53">
        <v>10</v>
      </c>
      <c r="AT7" s="54">
        <v>69</v>
      </c>
      <c r="AU7" s="55">
        <v>45726.046527777777</v>
      </c>
      <c r="AV7" s="48">
        <v>1</v>
      </c>
      <c r="AW7" t="s">
        <v>533</v>
      </c>
      <c r="AX7" s="50"/>
      <c r="AY7" s="50" t="s">
        <v>535</v>
      </c>
      <c r="AZ7" s="50" t="s">
        <v>59</v>
      </c>
      <c r="BA7" s="48" t="s">
        <v>505</v>
      </c>
      <c r="BB7" s="50" t="s">
        <v>172</v>
      </c>
    </row>
    <row r="8" spans="1:54" x14ac:dyDescent="0.3">
      <c r="A8" s="48" t="s">
        <v>573</v>
      </c>
      <c r="B8" s="49">
        <v>45743</v>
      </c>
      <c r="C8" s="50" t="s">
        <v>97</v>
      </c>
      <c r="D8" s="51">
        <v>0.91666666666666663</v>
      </c>
      <c r="E8" s="51">
        <v>0.94666666666666666</v>
      </c>
      <c r="F8" s="50" t="s">
        <v>536</v>
      </c>
      <c r="G8" s="50" t="s">
        <v>461</v>
      </c>
      <c r="H8" s="50" t="s">
        <v>485</v>
      </c>
      <c r="I8" s="50" t="s">
        <v>574</v>
      </c>
      <c r="J8" s="50" t="s">
        <v>575</v>
      </c>
      <c r="K8" s="50" t="s">
        <v>165</v>
      </c>
      <c r="L8" s="50" t="s">
        <v>576</v>
      </c>
      <c r="M8" s="50" t="s">
        <v>360</v>
      </c>
      <c r="N8" s="50" t="s">
        <v>577</v>
      </c>
      <c r="O8" s="48" t="s">
        <v>261</v>
      </c>
      <c r="P8" s="48">
        <v>6</v>
      </c>
      <c r="Q8" s="50" t="s">
        <v>578</v>
      </c>
      <c r="R8" s="48"/>
      <c r="S8" s="48"/>
      <c r="T8" s="48"/>
      <c r="U8" s="48"/>
      <c r="V8" s="48"/>
      <c r="W8" s="48"/>
      <c r="X8" s="48"/>
      <c r="Y8" s="48"/>
      <c r="Z8" s="48"/>
      <c r="AA8" s="48"/>
      <c r="AB8" s="50" t="s">
        <v>416</v>
      </c>
      <c r="AC8" s="50" t="s">
        <v>67</v>
      </c>
      <c r="AD8" s="50" t="s">
        <v>579</v>
      </c>
      <c r="AE8" s="48" t="s">
        <v>121</v>
      </c>
      <c r="AF8" s="50" t="s">
        <v>378</v>
      </c>
      <c r="AG8" s="50" t="s">
        <v>123</v>
      </c>
      <c r="AH8" s="50"/>
      <c r="AI8" s="48">
        <v>9</v>
      </c>
      <c r="AJ8" s="49">
        <v>45743</v>
      </c>
      <c r="AK8" s="52">
        <v>0.94666666666666666</v>
      </c>
      <c r="AL8" s="49"/>
      <c r="AM8" s="52"/>
      <c r="AN8" s="49">
        <v>45743</v>
      </c>
      <c r="AO8" s="52">
        <v>0.94666666666666666</v>
      </c>
      <c r="AP8" s="48">
        <v>2025</v>
      </c>
      <c r="AQ8" s="53">
        <v>13</v>
      </c>
      <c r="AR8" s="53">
        <v>5</v>
      </c>
      <c r="AS8" s="53">
        <v>27</v>
      </c>
      <c r="AT8" s="54">
        <v>86</v>
      </c>
      <c r="AU8" s="55">
        <v>45743.946527777778</v>
      </c>
      <c r="AV8" s="48">
        <v>211</v>
      </c>
      <c r="AW8" t="s">
        <v>578</v>
      </c>
      <c r="AX8" s="50"/>
      <c r="AY8" s="50" t="s">
        <v>59</v>
      </c>
      <c r="AZ8" s="50" t="s">
        <v>580</v>
      </c>
      <c r="BA8" s="48" t="s">
        <v>581</v>
      </c>
      <c r="BB8" s="50" t="s">
        <v>109</v>
      </c>
    </row>
    <row r="9" spans="1:54" x14ac:dyDescent="0.3">
      <c r="A9" s="48" t="s">
        <v>582</v>
      </c>
      <c r="B9" s="49">
        <v>45743</v>
      </c>
      <c r="C9" s="50" t="s">
        <v>97</v>
      </c>
      <c r="D9" s="51">
        <v>0.95833333333333337</v>
      </c>
      <c r="E9" s="51">
        <v>0.97916666666666663</v>
      </c>
      <c r="F9" s="50" t="s">
        <v>536</v>
      </c>
      <c r="G9" s="50" t="s">
        <v>461</v>
      </c>
      <c r="H9" s="50" t="s">
        <v>530</v>
      </c>
      <c r="I9" s="50" t="s">
        <v>583</v>
      </c>
      <c r="J9" s="50" t="s">
        <v>132</v>
      </c>
      <c r="K9" s="50" t="s">
        <v>132</v>
      </c>
      <c r="L9" s="50" t="s">
        <v>59</v>
      </c>
      <c r="M9" s="50" t="s">
        <v>59</v>
      </c>
      <c r="N9" s="50" t="s">
        <v>584</v>
      </c>
      <c r="O9" s="48" t="s">
        <v>283</v>
      </c>
      <c r="P9" s="48">
        <v>8</v>
      </c>
      <c r="Q9" s="50" t="s">
        <v>585</v>
      </c>
      <c r="R9" s="48">
        <v>50300</v>
      </c>
      <c r="S9" s="48"/>
      <c r="T9" s="48"/>
      <c r="U9" s="48"/>
      <c r="V9" s="48"/>
      <c r="W9" s="48"/>
      <c r="X9" s="48"/>
      <c r="Y9" s="48"/>
      <c r="Z9" s="48"/>
      <c r="AA9" s="48"/>
      <c r="AB9" s="50" t="s">
        <v>157</v>
      </c>
      <c r="AC9" s="50" t="s">
        <v>67</v>
      </c>
      <c r="AD9" s="50" t="s">
        <v>480</v>
      </c>
      <c r="AE9" s="48" t="s">
        <v>351</v>
      </c>
      <c r="AF9" s="50" t="s">
        <v>586</v>
      </c>
      <c r="AG9" s="50" t="s">
        <v>123</v>
      </c>
      <c r="AH9" s="50"/>
      <c r="AI9" s="48">
        <v>9</v>
      </c>
      <c r="AJ9" s="49">
        <v>45743</v>
      </c>
      <c r="AK9" s="52">
        <v>0.97916666666666663</v>
      </c>
      <c r="AL9" s="49">
        <v>45744</v>
      </c>
      <c r="AM9" s="52">
        <v>2.5000000000000001E-2</v>
      </c>
      <c r="AN9" s="49">
        <v>45744</v>
      </c>
      <c r="AO9" s="52">
        <v>0.46781250000000002</v>
      </c>
      <c r="AP9" s="48">
        <v>2025</v>
      </c>
      <c r="AQ9" s="53">
        <v>13</v>
      </c>
      <c r="AR9" s="53">
        <v>5</v>
      </c>
      <c r="AS9" s="53">
        <v>27</v>
      </c>
      <c r="AT9" s="54">
        <v>86</v>
      </c>
      <c r="AU9" s="55">
        <v>45743.979166666664</v>
      </c>
      <c r="AV9" s="48">
        <v>2</v>
      </c>
      <c r="AW9" t="s">
        <v>585</v>
      </c>
      <c r="AX9" s="50"/>
      <c r="AY9" s="50" t="s">
        <v>587</v>
      </c>
      <c r="AZ9" s="50" t="s">
        <v>588</v>
      </c>
      <c r="BA9" s="48" t="s">
        <v>581</v>
      </c>
      <c r="BB9" s="50" t="s">
        <v>109</v>
      </c>
    </row>
    <row r="10" spans="1:54" x14ac:dyDescent="0.3">
      <c r="A10" s="48" t="s">
        <v>589</v>
      </c>
      <c r="B10" s="49">
        <v>45747</v>
      </c>
      <c r="C10" s="50" t="s">
        <v>54</v>
      </c>
      <c r="D10" s="51">
        <v>0.5</v>
      </c>
      <c r="E10" s="51">
        <v>0.5</v>
      </c>
      <c r="F10" s="50" t="s">
        <v>450</v>
      </c>
      <c r="G10" s="50" t="s">
        <v>461</v>
      </c>
      <c r="H10" s="50" t="s">
        <v>257</v>
      </c>
      <c r="I10" s="50" t="s">
        <v>590</v>
      </c>
      <c r="J10" s="50" t="s">
        <v>132</v>
      </c>
      <c r="K10" s="50" t="s">
        <v>132</v>
      </c>
      <c r="L10" s="50" t="s">
        <v>59</v>
      </c>
      <c r="M10" s="50" t="s">
        <v>59</v>
      </c>
      <c r="N10" s="50" t="s">
        <v>591</v>
      </c>
      <c r="O10" s="48" t="s">
        <v>592</v>
      </c>
      <c r="P10" s="48">
        <v>7</v>
      </c>
      <c r="Q10" s="50" t="s">
        <v>593</v>
      </c>
      <c r="R10" s="48"/>
      <c r="S10" s="48"/>
      <c r="T10" s="48"/>
      <c r="U10" s="48"/>
      <c r="V10" s="48"/>
      <c r="W10" s="48"/>
      <c r="X10" s="48"/>
      <c r="Y10" s="48"/>
      <c r="Z10" s="48"/>
      <c r="AA10" s="48"/>
      <c r="AB10" s="50" t="s">
        <v>568</v>
      </c>
      <c r="AC10" s="50" t="s">
        <v>67</v>
      </c>
      <c r="AD10" s="50" t="s">
        <v>594</v>
      </c>
      <c r="AE10" s="48" t="s">
        <v>90</v>
      </c>
      <c r="AF10" s="50"/>
      <c r="AG10" s="50"/>
      <c r="AH10" s="50"/>
      <c r="AI10" s="48">
        <v>9</v>
      </c>
      <c r="AJ10" s="49">
        <v>45747</v>
      </c>
      <c r="AK10" s="52">
        <v>0.5</v>
      </c>
      <c r="AL10" s="49"/>
      <c r="AM10" s="52"/>
      <c r="AN10" s="49">
        <v>45747</v>
      </c>
      <c r="AO10" s="52">
        <v>0.54355324074074074</v>
      </c>
      <c r="AP10" s="48">
        <v>2025</v>
      </c>
      <c r="AQ10" s="53">
        <v>14</v>
      </c>
      <c r="AR10" s="53">
        <v>6</v>
      </c>
      <c r="AS10" s="53">
        <v>31</v>
      </c>
      <c r="AT10" s="54">
        <v>90</v>
      </c>
      <c r="AU10" s="55">
        <v>45747.5</v>
      </c>
      <c r="AV10" s="48">
        <v>100</v>
      </c>
      <c r="AW10" t="s">
        <v>593</v>
      </c>
      <c r="AX10" s="50"/>
      <c r="AY10" s="50" t="s">
        <v>595</v>
      </c>
      <c r="AZ10" s="50" t="s">
        <v>596</v>
      </c>
      <c r="BA10" s="48" t="s">
        <v>581</v>
      </c>
      <c r="BB10" s="50" t="s">
        <v>76</v>
      </c>
    </row>
    <row r="11" spans="1:54" x14ac:dyDescent="0.3">
      <c r="A11" s="48" t="s">
        <v>597</v>
      </c>
      <c r="B11" s="49">
        <v>45748</v>
      </c>
      <c r="C11" s="50" t="s">
        <v>54</v>
      </c>
      <c r="D11" s="51">
        <v>0.5</v>
      </c>
      <c r="E11" s="51">
        <v>0.5</v>
      </c>
      <c r="F11" s="50" t="s">
        <v>451</v>
      </c>
      <c r="G11" s="50" t="s">
        <v>598</v>
      </c>
      <c r="H11" s="50" t="s">
        <v>599</v>
      </c>
      <c r="I11" s="50" t="s">
        <v>600</v>
      </c>
      <c r="J11" s="50" t="s">
        <v>132</v>
      </c>
      <c r="K11" s="50" t="s">
        <v>132</v>
      </c>
      <c r="L11" s="50" t="s">
        <v>59</v>
      </c>
      <c r="M11" s="50" t="s">
        <v>59</v>
      </c>
      <c r="N11" s="50" t="s">
        <v>601</v>
      </c>
      <c r="O11" s="48" t="s">
        <v>145</v>
      </c>
      <c r="P11" s="48">
        <v>5</v>
      </c>
      <c r="Q11" s="50" t="s">
        <v>602</v>
      </c>
      <c r="R11" s="48"/>
      <c r="S11" s="48"/>
      <c r="T11" s="48"/>
      <c r="U11" s="48"/>
      <c r="V11" s="48"/>
      <c r="W11" s="48"/>
      <c r="X11" s="48"/>
      <c r="Y11" s="48"/>
      <c r="Z11" s="48"/>
      <c r="AA11" s="48"/>
      <c r="AB11" s="50" t="s">
        <v>157</v>
      </c>
      <c r="AC11" s="50" t="s">
        <v>67</v>
      </c>
      <c r="AD11" s="50" t="s">
        <v>603</v>
      </c>
      <c r="AE11" s="48" t="s">
        <v>206</v>
      </c>
      <c r="AF11" s="50" t="s">
        <v>524</v>
      </c>
      <c r="AG11" s="50" t="s">
        <v>123</v>
      </c>
      <c r="AH11" s="50"/>
      <c r="AI11" s="48">
        <v>9</v>
      </c>
      <c r="AJ11" s="49">
        <v>45748</v>
      </c>
      <c r="AK11" s="52">
        <v>0.5</v>
      </c>
      <c r="AL11" s="49">
        <v>45751</v>
      </c>
      <c r="AM11" s="52">
        <v>0.52083333333333337</v>
      </c>
      <c r="AN11" s="49">
        <v>45751</v>
      </c>
      <c r="AO11" s="52">
        <v>0.54546296296296293</v>
      </c>
      <c r="AP11" s="48">
        <v>2025</v>
      </c>
      <c r="AQ11" s="53">
        <v>14</v>
      </c>
      <c r="AR11" s="53">
        <v>1</v>
      </c>
      <c r="AS11" s="53">
        <v>1</v>
      </c>
      <c r="AT11" s="54">
        <v>91</v>
      </c>
      <c r="AU11" s="55">
        <v>45748.5</v>
      </c>
      <c r="AV11" s="48">
        <v>75</v>
      </c>
      <c r="AW11" t="s">
        <v>602</v>
      </c>
      <c r="AX11" s="50"/>
      <c r="AY11" s="50" t="s">
        <v>59</v>
      </c>
      <c r="AZ11" s="50" t="s">
        <v>59</v>
      </c>
      <c r="BA11" s="48" t="s">
        <v>604</v>
      </c>
      <c r="BB11" s="50" t="s">
        <v>76</v>
      </c>
    </row>
    <row r="12" spans="1:54" x14ac:dyDescent="0.3">
      <c r="A12" s="48" t="s">
        <v>819</v>
      </c>
      <c r="B12" s="49">
        <v>45755</v>
      </c>
      <c r="C12" s="50" t="s">
        <v>54</v>
      </c>
      <c r="D12" s="51">
        <v>0.5</v>
      </c>
      <c r="E12" s="51">
        <v>0.5</v>
      </c>
      <c r="F12" s="50" t="s">
        <v>451</v>
      </c>
      <c r="G12" s="50" t="s">
        <v>598</v>
      </c>
      <c r="H12" s="50" t="s">
        <v>294</v>
      </c>
      <c r="I12" s="50" t="s">
        <v>820</v>
      </c>
      <c r="J12" s="50" t="s">
        <v>132</v>
      </c>
      <c r="K12" s="50" t="s">
        <v>132</v>
      </c>
      <c r="L12" s="50" t="s">
        <v>59</v>
      </c>
      <c r="M12" s="50" t="s">
        <v>59</v>
      </c>
      <c r="N12" s="50" t="s">
        <v>821</v>
      </c>
      <c r="O12" s="48" t="s">
        <v>145</v>
      </c>
      <c r="P12" s="48">
        <v>5</v>
      </c>
      <c r="Q12" s="50" t="s">
        <v>822</v>
      </c>
      <c r="R12" s="48"/>
      <c r="S12" s="48"/>
      <c r="T12" s="48"/>
      <c r="U12" s="48"/>
      <c r="V12" s="48"/>
      <c r="W12" s="48"/>
      <c r="X12" s="48"/>
      <c r="Y12" s="48"/>
      <c r="Z12" s="48"/>
      <c r="AA12" s="48"/>
      <c r="AB12" s="50" t="s">
        <v>416</v>
      </c>
      <c r="AC12" s="50" t="s">
        <v>67</v>
      </c>
      <c r="AD12" s="50" t="s">
        <v>579</v>
      </c>
      <c r="AE12" s="48" t="s">
        <v>121</v>
      </c>
      <c r="AF12" s="50" t="s">
        <v>106</v>
      </c>
      <c r="AG12" s="50" t="s">
        <v>123</v>
      </c>
      <c r="AH12" s="50"/>
      <c r="AI12" s="48">
        <v>9</v>
      </c>
      <c r="AJ12" s="49">
        <v>45755</v>
      </c>
      <c r="AK12" s="52">
        <v>0.5</v>
      </c>
      <c r="AL12" s="49">
        <v>45759</v>
      </c>
      <c r="AM12" s="52">
        <v>0.5</v>
      </c>
      <c r="AN12" s="49">
        <v>45759</v>
      </c>
      <c r="AO12" s="52">
        <v>0.5269907407407407</v>
      </c>
      <c r="AP12" s="48">
        <v>2025</v>
      </c>
      <c r="AQ12" s="53">
        <v>15</v>
      </c>
      <c r="AR12" s="53">
        <v>2</v>
      </c>
      <c r="AS12" s="53">
        <v>8</v>
      </c>
      <c r="AT12" s="54">
        <v>98</v>
      </c>
      <c r="AU12" s="55">
        <v>45755.5</v>
      </c>
      <c r="AV12" s="48">
        <v>140</v>
      </c>
      <c r="AW12" t="s">
        <v>822</v>
      </c>
      <c r="AX12" s="50"/>
      <c r="AY12" s="50" t="s">
        <v>59</v>
      </c>
      <c r="AZ12" s="50" t="s">
        <v>823</v>
      </c>
      <c r="BA12" s="48" t="s">
        <v>730</v>
      </c>
      <c r="BB12" s="50" t="s">
        <v>76</v>
      </c>
    </row>
    <row r="13" spans="1:54" x14ac:dyDescent="0.3">
      <c r="A13" s="48" t="s">
        <v>838</v>
      </c>
      <c r="B13" s="49">
        <v>45760</v>
      </c>
      <c r="C13" s="50" t="s">
        <v>78</v>
      </c>
      <c r="D13" s="51">
        <v>0.75</v>
      </c>
      <c r="E13" s="51">
        <v>0.78115740740740736</v>
      </c>
      <c r="F13" s="50" t="s">
        <v>458</v>
      </c>
      <c r="G13" s="50" t="s">
        <v>598</v>
      </c>
      <c r="H13" s="50" t="s">
        <v>56</v>
      </c>
      <c r="I13" s="50" t="s">
        <v>839</v>
      </c>
      <c r="J13" s="50" t="s">
        <v>840</v>
      </c>
      <c r="K13" s="50" t="s">
        <v>132</v>
      </c>
      <c r="L13" s="50" t="s">
        <v>841</v>
      </c>
      <c r="M13" s="50" t="s">
        <v>708</v>
      </c>
      <c r="N13" s="50" t="s">
        <v>842</v>
      </c>
      <c r="O13" s="48" t="s">
        <v>327</v>
      </c>
      <c r="P13" s="48">
        <v>7</v>
      </c>
      <c r="Q13" s="50" t="s">
        <v>843</v>
      </c>
      <c r="R13" s="48"/>
      <c r="S13" s="48"/>
      <c r="T13" s="48"/>
      <c r="U13" s="48"/>
      <c r="V13" s="48"/>
      <c r="W13" s="48"/>
      <c r="X13" s="48"/>
      <c r="Y13" s="48"/>
      <c r="Z13" s="48"/>
      <c r="AA13" s="48"/>
      <c r="AB13" s="50" t="s">
        <v>157</v>
      </c>
      <c r="AC13" s="50" t="s">
        <v>67</v>
      </c>
      <c r="AD13" s="50" t="s">
        <v>147</v>
      </c>
      <c r="AE13" s="48" t="s">
        <v>90</v>
      </c>
      <c r="AF13" s="50" t="s">
        <v>160</v>
      </c>
      <c r="AG13" s="50" t="s">
        <v>435</v>
      </c>
      <c r="AH13" s="50"/>
      <c r="AI13" s="48">
        <v>9</v>
      </c>
      <c r="AJ13" s="49">
        <v>45760</v>
      </c>
      <c r="AK13" s="52">
        <v>0.78115740740740736</v>
      </c>
      <c r="AL13" s="49"/>
      <c r="AM13" s="52"/>
      <c r="AN13" s="49">
        <v>45760</v>
      </c>
      <c r="AO13" s="52">
        <v>0.78115740740740736</v>
      </c>
      <c r="AP13" s="48">
        <v>2025</v>
      </c>
      <c r="AQ13" s="53">
        <v>16</v>
      </c>
      <c r="AR13" s="53">
        <v>3</v>
      </c>
      <c r="AS13" s="53">
        <v>13</v>
      </c>
      <c r="AT13" s="54">
        <v>103</v>
      </c>
      <c r="AU13" s="55">
        <v>45760.780555555553</v>
      </c>
      <c r="AV13" s="48">
        <v>64</v>
      </c>
      <c r="AW13" t="s">
        <v>843</v>
      </c>
      <c r="AX13" s="50"/>
      <c r="AY13" s="50" t="s">
        <v>59</v>
      </c>
      <c r="AZ13" s="50" t="s">
        <v>844</v>
      </c>
      <c r="BA13" s="48" t="s">
        <v>730</v>
      </c>
      <c r="BB13" s="50" t="s">
        <v>95</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1C4EA-680E-44A1-8D4C-01C56FF14DCB}">
  <sheetPr>
    <tabColor rgb="FFFFC000"/>
  </sheetPr>
  <dimension ref="A1:M3"/>
  <sheetViews>
    <sheetView zoomScale="90" zoomScaleNormal="90" workbookViewId="0">
      <selection sqref="A1:M3"/>
    </sheetView>
  </sheetViews>
  <sheetFormatPr defaultRowHeight="15.6" x14ac:dyDescent="0.3"/>
  <cols>
    <col min="1" max="1" width="22.109375" style="186" bestFit="1" customWidth="1"/>
    <col min="2" max="2" width="19.21875" style="189" bestFit="1" customWidth="1"/>
    <col min="3" max="3" width="18.109375" style="185" bestFit="1" customWidth="1"/>
    <col min="4" max="4" width="28" style="186" bestFit="1" customWidth="1"/>
    <col min="5" max="5" width="13.77734375" style="186" bestFit="1" customWidth="1"/>
    <col min="6" max="6" width="22.33203125" style="186" bestFit="1" customWidth="1"/>
    <col min="7" max="7" width="21.33203125" style="186" bestFit="1" customWidth="1"/>
    <col min="8" max="8" width="18.88671875" style="186" bestFit="1" customWidth="1"/>
    <col min="9" max="9" width="17.21875" style="186" bestFit="1" customWidth="1"/>
    <col min="10" max="10" width="22.88671875" style="186" bestFit="1" customWidth="1"/>
    <col min="11" max="11" width="76.21875" style="186" customWidth="1"/>
    <col min="12" max="12" width="1.33203125" style="186" customWidth="1"/>
    <col min="13" max="13" width="82.44140625" style="186" customWidth="1"/>
    <col min="14" max="16384" width="8.88671875" style="186"/>
  </cols>
  <sheetData>
    <row r="1" spans="1:13" s="185" customFormat="1" ht="358.8" x14ac:dyDescent="0.3">
      <c r="A1" s="185" t="s">
        <v>856</v>
      </c>
      <c r="B1" s="189" t="s">
        <v>35</v>
      </c>
      <c r="C1" s="185" t="s">
        <v>649</v>
      </c>
      <c r="D1" s="185" t="s">
        <v>449</v>
      </c>
      <c r="E1" s="185" t="s">
        <v>49</v>
      </c>
      <c r="F1" s="185" t="s">
        <v>857</v>
      </c>
      <c r="G1" s="185" t="s">
        <v>858</v>
      </c>
      <c r="H1" s="185" t="s">
        <v>663</v>
      </c>
      <c r="I1" s="185" t="s">
        <v>859</v>
      </c>
      <c r="J1" s="185" t="s">
        <v>860</v>
      </c>
      <c r="K1" s="185" t="s">
        <v>810</v>
      </c>
      <c r="L1" s="185" t="s">
        <v>861</v>
      </c>
      <c r="M1" s="185" t="s">
        <v>459</v>
      </c>
    </row>
    <row r="2" spans="1:13" ht="202.8" x14ac:dyDescent="0.3">
      <c r="A2" s="186" t="s">
        <v>294</v>
      </c>
      <c r="B2" s="189">
        <v>45755</v>
      </c>
      <c r="C2" s="185" t="s">
        <v>451</v>
      </c>
      <c r="D2" s="186" t="s">
        <v>76</v>
      </c>
      <c r="E2" s="186" t="s">
        <v>59</v>
      </c>
      <c r="K2" s="186" t="s">
        <v>823</v>
      </c>
      <c r="M2" s="186" t="s">
        <v>822</v>
      </c>
    </row>
    <row r="3" spans="1:13" ht="409.6" x14ac:dyDescent="0.3">
      <c r="A3" s="186" t="s">
        <v>56</v>
      </c>
      <c r="B3" s="189">
        <v>45760</v>
      </c>
      <c r="C3" s="185" t="s">
        <v>458</v>
      </c>
      <c r="D3" s="186" t="s">
        <v>95</v>
      </c>
      <c r="E3" s="186" t="s">
        <v>59</v>
      </c>
      <c r="K3" s="186" t="s">
        <v>844</v>
      </c>
      <c r="M3" s="186" t="s">
        <v>843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1A65B-1E6B-4837-9976-74B0A13884C4}">
  <sheetPr>
    <tabColor rgb="FFFFC000"/>
  </sheetPr>
  <dimension ref="A1:M7"/>
  <sheetViews>
    <sheetView workbookViewId="0">
      <selection activeCell="E5" sqref="E5"/>
    </sheetView>
  </sheetViews>
  <sheetFormatPr defaultRowHeight="15.6" x14ac:dyDescent="0.3"/>
  <cols>
    <col min="1" max="1" width="22.109375" style="36" bestFit="1" customWidth="1"/>
    <col min="2" max="2" width="19.21875" style="121" bestFit="1" customWidth="1"/>
    <col min="3" max="3" width="18.109375" style="122" bestFit="1" customWidth="1"/>
    <col min="4" max="4" width="28" style="36" bestFit="1" customWidth="1"/>
    <col min="5" max="5" width="255.77734375" style="36" bestFit="1" customWidth="1"/>
    <col min="6" max="6" width="22.33203125" style="36" bestFit="1" customWidth="1"/>
    <col min="7" max="7" width="21.33203125" style="36" bestFit="1" customWidth="1"/>
    <col min="8" max="8" width="18.88671875" style="36" bestFit="1" customWidth="1"/>
    <col min="9" max="9" width="17.21875" style="36" bestFit="1" customWidth="1"/>
    <col min="10" max="10" width="22.88671875" style="36" bestFit="1" customWidth="1"/>
    <col min="11" max="11" width="255.77734375" style="36" bestFit="1" customWidth="1"/>
    <col min="12" max="12" width="32.6640625" style="36" bestFit="1" customWidth="1"/>
    <col min="13" max="13" width="255.77734375" style="36" bestFit="1" customWidth="1"/>
    <col min="14" max="16384" width="8.88671875" style="36"/>
  </cols>
  <sheetData>
    <row r="1" spans="1:13" s="122" customFormat="1" x14ac:dyDescent="0.3">
      <c r="A1" s="122" t="s">
        <v>856</v>
      </c>
      <c r="B1" s="121" t="s">
        <v>35</v>
      </c>
      <c r="C1" s="122" t="s">
        <v>649</v>
      </c>
      <c r="D1" s="122" t="s">
        <v>449</v>
      </c>
      <c r="E1" s="122" t="s">
        <v>49</v>
      </c>
      <c r="F1" s="122" t="s">
        <v>857</v>
      </c>
      <c r="G1" s="122" t="s">
        <v>858</v>
      </c>
      <c r="H1" s="122" t="s">
        <v>663</v>
      </c>
      <c r="I1" s="122" t="s">
        <v>859</v>
      </c>
      <c r="J1" s="122" t="s">
        <v>860</v>
      </c>
      <c r="K1" s="122" t="s">
        <v>810</v>
      </c>
      <c r="L1" s="122" t="s">
        <v>861</v>
      </c>
      <c r="M1" s="122" t="s">
        <v>459</v>
      </c>
    </row>
    <row r="2" spans="1:13" x14ac:dyDescent="0.3">
      <c r="A2" s="36" t="s">
        <v>485</v>
      </c>
      <c r="B2" s="121">
        <v>45743</v>
      </c>
      <c r="C2" s="122" t="s">
        <v>536</v>
      </c>
      <c r="D2" s="36" t="s">
        <v>109</v>
      </c>
      <c r="E2" s="36" t="s">
        <v>59</v>
      </c>
      <c r="K2" s="36" t="s">
        <v>580</v>
      </c>
      <c r="M2" s="36" t="s">
        <v>578</v>
      </c>
    </row>
    <row r="3" spans="1:13" x14ac:dyDescent="0.3">
      <c r="A3" s="36" t="s">
        <v>530</v>
      </c>
      <c r="B3" s="121">
        <v>45743</v>
      </c>
      <c r="C3" s="122" t="s">
        <v>536</v>
      </c>
      <c r="D3" s="36" t="s">
        <v>109</v>
      </c>
      <c r="E3" s="36" t="s">
        <v>587</v>
      </c>
      <c r="K3" s="36" t="s">
        <v>588</v>
      </c>
      <c r="M3" s="36" t="s">
        <v>585</v>
      </c>
    </row>
    <row r="4" spans="1:13" x14ac:dyDescent="0.3">
      <c r="A4" s="36" t="s">
        <v>257</v>
      </c>
      <c r="B4" s="121">
        <v>45747</v>
      </c>
      <c r="C4" s="122" t="s">
        <v>450</v>
      </c>
      <c r="D4" s="36" t="s">
        <v>76</v>
      </c>
      <c r="E4" s="36" t="s">
        <v>595</v>
      </c>
      <c r="K4" s="36" t="s">
        <v>596</v>
      </c>
      <c r="M4" s="36" t="s">
        <v>593</v>
      </c>
    </row>
    <row r="5" spans="1:13" x14ac:dyDescent="0.3">
      <c r="A5" s="36" t="s">
        <v>599</v>
      </c>
      <c r="B5" s="121">
        <v>45748</v>
      </c>
      <c r="C5" s="122" t="s">
        <v>451</v>
      </c>
      <c r="D5" s="36" t="s">
        <v>76</v>
      </c>
      <c r="E5" s="36" t="s">
        <v>59</v>
      </c>
      <c r="K5" s="36" t="s">
        <v>59</v>
      </c>
      <c r="M5" s="36" t="s">
        <v>602</v>
      </c>
    </row>
    <row r="6" spans="1:13" x14ac:dyDescent="0.3">
      <c r="A6" s="36" t="s">
        <v>294</v>
      </c>
      <c r="B6" s="121">
        <v>45755</v>
      </c>
      <c r="C6" s="122" t="s">
        <v>451</v>
      </c>
      <c r="D6" s="36" t="s">
        <v>76</v>
      </c>
      <c r="E6" s="36" t="s">
        <v>59</v>
      </c>
      <c r="K6" s="36" t="s">
        <v>823</v>
      </c>
      <c r="M6" s="36" t="s">
        <v>822</v>
      </c>
    </row>
    <row r="7" spans="1:13" x14ac:dyDescent="0.3">
      <c r="A7" s="36" t="s">
        <v>56</v>
      </c>
      <c r="B7" s="121">
        <v>45760</v>
      </c>
      <c r="C7" s="122" t="s">
        <v>458</v>
      </c>
      <c r="D7" s="36" t="s">
        <v>95</v>
      </c>
      <c r="E7" s="36" t="s">
        <v>59</v>
      </c>
      <c r="K7" s="36" t="s">
        <v>844</v>
      </c>
      <c r="M7" s="36" t="s">
        <v>843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086C-B833-40E8-8DE0-053C329D2789}">
  <sheetPr codeName="Sheet4">
    <tabColor rgb="FFFFC000"/>
  </sheetPr>
  <dimension ref="A1:CK35"/>
  <sheetViews>
    <sheetView showGridLines="0" workbookViewId="0">
      <selection activeCell="J39" sqref="J39"/>
    </sheetView>
  </sheetViews>
  <sheetFormatPr defaultColWidth="8.88671875" defaultRowHeight="14.4" x14ac:dyDescent="0.3"/>
  <cols>
    <col min="1" max="1" width="22.109375" style="6" bestFit="1" customWidth="1"/>
    <col min="2" max="2" width="16.77734375" style="6" bestFit="1" customWidth="1"/>
    <col min="3" max="3" width="5.21875" style="6" bestFit="1" customWidth="1"/>
    <col min="4" max="5" width="6.109375" style="6" bestFit="1" customWidth="1"/>
    <col min="6" max="6" width="3.88671875" style="6" bestFit="1" customWidth="1"/>
    <col min="7" max="7" width="4.88671875" style="6" bestFit="1" customWidth="1"/>
    <col min="8" max="8" width="7.6640625" style="6" customWidth="1"/>
    <col min="9" max="9" width="17.33203125" style="6" bestFit="1" customWidth="1"/>
    <col min="10" max="10" width="14" style="6" bestFit="1" customWidth="1"/>
    <col min="11" max="11" width="4" style="6" bestFit="1" customWidth="1"/>
    <col min="12" max="12" width="3.5546875" style="6" bestFit="1" customWidth="1"/>
    <col min="13" max="13" width="14.44140625" style="6" bestFit="1" customWidth="1"/>
    <col min="14" max="14" width="11.6640625" style="6" bestFit="1" customWidth="1"/>
    <col min="15" max="15" width="22.88671875" style="6" bestFit="1" customWidth="1"/>
    <col min="16" max="16" width="14" style="6" bestFit="1" customWidth="1"/>
    <col min="17" max="17" width="11.5546875" style="6" bestFit="1" customWidth="1"/>
    <col min="18" max="18" width="11.88671875" style="6" bestFit="1" customWidth="1"/>
    <col min="19" max="19" width="14.44140625" style="6" bestFit="1" customWidth="1"/>
    <col min="20" max="20" width="21.88671875" style="6" bestFit="1" customWidth="1"/>
    <col min="21" max="21" width="16.33203125" style="6" bestFit="1" customWidth="1"/>
    <col min="22" max="22" width="60.44140625" style="6" bestFit="1" customWidth="1"/>
    <col min="23" max="23" width="19.33203125" style="6" bestFit="1" customWidth="1"/>
    <col min="24" max="24" width="20.5546875" style="6" bestFit="1" customWidth="1"/>
    <col min="25" max="25" width="20.33203125" style="6" bestFit="1" customWidth="1"/>
    <col min="26" max="26" width="36.109375" style="6" bestFit="1" customWidth="1"/>
    <col min="27" max="27" width="6.6640625" style="6" bestFit="1" customWidth="1"/>
    <col min="28" max="28" width="7.44140625" style="6" bestFit="1" customWidth="1"/>
    <col min="29" max="29" width="80.88671875" style="6" bestFit="1" customWidth="1"/>
    <col min="30" max="30" width="24.44140625" style="6" bestFit="1" customWidth="1"/>
    <col min="31" max="31" width="26.44140625" style="6" bestFit="1" customWidth="1"/>
    <col min="32" max="32" width="20.21875" style="6" bestFit="1" customWidth="1"/>
    <col min="33" max="33" width="12.44140625" style="6" bestFit="1" customWidth="1"/>
    <col min="34" max="34" width="13.33203125" style="6" bestFit="1" customWidth="1"/>
    <col min="35" max="35" width="17.109375" style="6" bestFit="1" customWidth="1"/>
    <col min="36" max="36" width="20.21875" style="6" bestFit="1" customWidth="1"/>
    <col min="37" max="37" width="17.109375" style="6" bestFit="1" customWidth="1"/>
    <col min="38" max="38" width="12.44140625" style="6" bestFit="1" customWidth="1"/>
    <col min="39" max="39" width="13.33203125" style="6" bestFit="1" customWidth="1"/>
    <col min="40" max="40" width="18.88671875" style="6" bestFit="1" customWidth="1"/>
    <col min="41" max="41" width="20.88671875" style="6" bestFit="1" customWidth="1"/>
    <col min="42" max="42" width="28.5546875" style="6" bestFit="1" customWidth="1"/>
    <col min="43" max="43" width="12" style="6" bestFit="1" customWidth="1"/>
    <col min="44" max="44" width="27.44140625" style="6" bestFit="1" customWidth="1"/>
    <col min="45" max="45" width="28.5546875" style="6" bestFit="1" customWidth="1"/>
    <col min="46" max="46" width="32" style="6" bestFit="1" customWidth="1"/>
    <col min="47" max="47" width="31.6640625" style="6" bestFit="1" customWidth="1"/>
    <col min="48" max="48" width="19.6640625" style="6" bestFit="1" customWidth="1"/>
    <col min="49" max="49" width="19.88671875" style="6" bestFit="1" customWidth="1"/>
    <col min="50" max="50" width="30.33203125" style="6" bestFit="1" customWidth="1"/>
    <col min="51" max="51" width="30.5546875" style="6" bestFit="1" customWidth="1"/>
    <col min="52" max="52" width="18.109375" style="6" bestFit="1" customWidth="1"/>
    <col min="53" max="53" width="18.33203125" style="6" bestFit="1" customWidth="1"/>
    <col min="54" max="54" width="10.21875" style="6" bestFit="1" customWidth="1"/>
    <col min="55" max="55" width="19.33203125" style="6" bestFit="1" customWidth="1"/>
    <col min="56" max="56" width="21.21875" style="6" bestFit="1" customWidth="1"/>
    <col min="57" max="57" width="9.44140625" style="6" bestFit="1" customWidth="1"/>
    <col min="58" max="58" width="17.21875" style="6" bestFit="1" customWidth="1"/>
    <col min="59" max="59" width="28.109375" style="6" bestFit="1" customWidth="1"/>
    <col min="60" max="60" width="8.77734375" style="6" bestFit="1" customWidth="1"/>
    <col min="61" max="61" width="80.88671875" style="6" bestFit="1" customWidth="1"/>
    <col min="62" max="62" width="14.77734375" style="6" bestFit="1" customWidth="1"/>
    <col min="63" max="64" width="80.88671875" style="6" bestFit="1" customWidth="1"/>
    <col min="65" max="65" width="22.33203125" style="6" bestFit="1" customWidth="1"/>
    <col min="66" max="66" width="25.88671875" style="6" bestFit="1" customWidth="1"/>
    <col min="67" max="16384" width="8.88671875" style="6"/>
  </cols>
  <sheetData>
    <row r="1" spans="1:89" ht="18" x14ac:dyDescent="0.35">
      <c r="A1" s="105" t="s">
        <v>1</v>
      </c>
      <c r="B1" s="6" t="s">
        <v>127</v>
      </c>
      <c r="H1" s="42"/>
      <c r="I1"/>
      <c r="J1"/>
      <c r="K1" s="42"/>
      <c r="L1" s="42"/>
      <c r="M1" t="s">
        <v>0</v>
      </c>
      <c r="N1" t="s">
        <v>1</v>
      </c>
      <c r="O1" t="s">
        <v>2</v>
      </c>
      <c r="P1" t="s">
        <v>3</v>
      </c>
      <c r="Q1" t="s">
        <v>4</v>
      </c>
      <c r="R1" t="s">
        <v>5</v>
      </c>
      <c r="S1" t="s">
        <v>6</v>
      </c>
      <c r="T1" t="s">
        <v>7</v>
      </c>
      <c r="U1" t="s">
        <v>8</v>
      </c>
      <c r="V1" t="s">
        <v>10</v>
      </c>
      <c r="W1" t="s">
        <v>9</v>
      </c>
      <c r="X1" t="s">
        <v>11</v>
      </c>
      <c r="Y1" t="s">
        <v>12</v>
      </c>
      <c r="Z1" t="s">
        <v>13</v>
      </c>
      <c r="AA1" t="s">
        <v>14</v>
      </c>
      <c r="AB1" t="s">
        <v>15</v>
      </c>
      <c r="AC1" s="17" t="s">
        <v>16</v>
      </c>
      <c r="AD1" s="17" t="s">
        <v>17</v>
      </c>
      <c r="AE1" s="17" t="s">
        <v>18</v>
      </c>
      <c r="AF1" s="17" t="s">
        <v>19</v>
      </c>
      <c r="AG1" s="17" t="s">
        <v>20</v>
      </c>
      <c r="AH1" s="17" t="s">
        <v>21</v>
      </c>
      <c r="AI1" s="17" t="s">
        <v>22</v>
      </c>
      <c r="AJ1" s="17" t="s">
        <v>23</v>
      </c>
      <c r="AK1" s="17" t="s">
        <v>24</v>
      </c>
      <c r="AL1" s="17" t="s">
        <v>25</v>
      </c>
      <c r="AM1" s="17" t="s">
        <v>26</v>
      </c>
      <c r="AN1" s="17" t="s">
        <v>27</v>
      </c>
      <c r="AO1" s="17" t="s">
        <v>28</v>
      </c>
      <c r="AP1" s="17" t="s">
        <v>29</v>
      </c>
      <c r="AQ1" s="17" t="s">
        <v>30</v>
      </c>
      <c r="AR1" s="17" t="s">
        <v>31</v>
      </c>
      <c r="AS1" s="17" t="s">
        <v>32</v>
      </c>
      <c r="AT1" s="17" t="s">
        <v>33</v>
      </c>
      <c r="AU1" s="17" t="s">
        <v>34</v>
      </c>
      <c r="AV1" s="30" t="s">
        <v>35</v>
      </c>
      <c r="AW1" s="21" t="s">
        <v>36</v>
      </c>
      <c r="AX1" s="30" t="s">
        <v>37</v>
      </c>
      <c r="AY1" s="21" t="s">
        <v>38</v>
      </c>
      <c r="AZ1" s="30" t="s">
        <v>39</v>
      </c>
      <c r="BA1" s="21" t="s">
        <v>40</v>
      </c>
      <c r="BB1" s="17" t="s">
        <v>41</v>
      </c>
      <c r="BC1" s="24" t="s">
        <v>42</v>
      </c>
      <c r="BD1" s="24" t="s">
        <v>43</v>
      </c>
      <c r="BE1" s="24" t="s">
        <v>44</v>
      </c>
      <c r="BF1" s="26" t="s">
        <v>45</v>
      </c>
      <c r="BG1" s="28" t="s">
        <v>46</v>
      </c>
      <c r="BH1" s="17" t="s">
        <v>47</v>
      </c>
      <c r="BI1" t="s">
        <v>459</v>
      </c>
      <c r="BJ1" s="17" t="s">
        <v>48</v>
      </c>
      <c r="BK1" s="17" t="s">
        <v>49</v>
      </c>
      <c r="BL1" s="17" t="s">
        <v>50</v>
      </c>
      <c r="BM1" s="17" t="s">
        <v>51</v>
      </c>
      <c r="BN1" s="17" t="s">
        <v>52</v>
      </c>
      <c r="CJ1" s="84" t="s">
        <v>661</v>
      </c>
      <c r="CK1" s="85" t="s">
        <v>599</v>
      </c>
    </row>
    <row r="2" spans="1:89" ht="18" x14ac:dyDescent="0.35">
      <c r="A2" s="105" t="s">
        <v>10</v>
      </c>
      <c r="B2" s="6" t="s">
        <v>127</v>
      </c>
      <c r="H2" s="42"/>
      <c r="I2"/>
      <c r="J2"/>
      <c r="K2" s="42"/>
      <c r="L2" s="42"/>
      <c r="M2" t="s">
        <v>129</v>
      </c>
      <c r="N2" s="1">
        <v>45673</v>
      </c>
      <c r="O2" t="s">
        <v>54</v>
      </c>
      <c r="P2" s="33">
        <v>0.5</v>
      </c>
      <c r="Q2" s="33">
        <v>0.5</v>
      </c>
      <c r="R2" t="s">
        <v>536</v>
      </c>
      <c r="S2" t="s">
        <v>55</v>
      </c>
      <c r="T2" t="s">
        <v>130</v>
      </c>
      <c r="U2" t="s">
        <v>131</v>
      </c>
      <c r="V2" t="s">
        <v>132</v>
      </c>
      <c r="W2" t="s">
        <v>132</v>
      </c>
      <c r="X2" t="s">
        <v>59</v>
      </c>
      <c r="Y2" t="s">
        <v>59</v>
      </c>
      <c r="Z2" t="s">
        <v>133</v>
      </c>
      <c r="AA2" t="s">
        <v>134</v>
      </c>
      <c r="AB2">
        <v>7</v>
      </c>
      <c r="AC2" s="50" t="s">
        <v>135</v>
      </c>
      <c r="AD2" s="48"/>
      <c r="AE2" s="48"/>
      <c r="AF2" s="48"/>
      <c r="AG2" s="48"/>
      <c r="AH2" s="48"/>
      <c r="AI2" s="48"/>
      <c r="AJ2" s="48"/>
      <c r="AK2" s="48"/>
      <c r="AL2" s="48"/>
      <c r="AM2" s="48"/>
      <c r="AN2" s="50" t="s">
        <v>66</v>
      </c>
      <c r="AO2" s="50" t="s">
        <v>67</v>
      </c>
      <c r="AP2" s="50" t="s">
        <v>136</v>
      </c>
      <c r="AQ2" s="48" t="s">
        <v>69</v>
      </c>
      <c r="AR2" s="50" t="s">
        <v>70</v>
      </c>
      <c r="AS2" s="50" t="s">
        <v>71</v>
      </c>
      <c r="AT2" s="50" t="s">
        <v>137</v>
      </c>
      <c r="AU2" s="48">
        <v>9</v>
      </c>
      <c r="AV2" s="49">
        <v>45673</v>
      </c>
      <c r="AW2" s="52">
        <v>0.5</v>
      </c>
      <c r="AX2" s="49">
        <v>45673</v>
      </c>
      <c r="AY2" s="52">
        <v>0.75</v>
      </c>
      <c r="AZ2" s="49">
        <v>45673</v>
      </c>
      <c r="BA2" s="52">
        <v>0.81587962962962968</v>
      </c>
      <c r="BB2" s="48">
        <v>2025</v>
      </c>
      <c r="BC2" s="53">
        <v>3</v>
      </c>
      <c r="BD2" s="53">
        <v>3</v>
      </c>
      <c r="BE2" s="53">
        <v>16</v>
      </c>
      <c r="BF2" s="54">
        <v>16</v>
      </c>
      <c r="BG2" s="55">
        <v>45673.5</v>
      </c>
      <c r="BH2" s="48">
        <v>30</v>
      </c>
      <c r="BI2" t="s">
        <v>135</v>
      </c>
      <c r="BJ2" s="50"/>
      <c r="BK2" s="50" t="s">
        <v>138</v>
      </c>
      <c r="BL2" s="50" t="s">
        <v>139</v>
      </c>
      <c r="BM2" s="48" t="s">
        <v>512</v>
      </c>
      <c r="BN2" s="50" t="s">
        <v>76</v>
      </c>
      <c r="CJ2" s="62" t="s">
        <v>35</v>
      </c>
      <c r="CK2" s="86">
        <v>45748</v>
      </c>
    </row>
    <row r="3" spans="1:89" ht="18" x14ac:dyDescent="0.35">
      <c r="H3" s="42"/>
      <c r="I3" s="42"/>
      <c r="J3" s="42"/>
      <c r="K3" s="42"/>
      <c r="L3" s="42"/>
      <c r="M3" t="s">
        <v>140</v>
      </c>
      <c r="N3" s="1">
        <v>45682</v>
      </c>
      <c r="O3" t="s">
        <v>141</v>
      </c>
      <c r="P3" s="33">
        <v>0.45833333333333331</v>
      </c>
      <c r="Q3" s="33">
        <v>0.45833333333333331</v>
      </c>
      <c r="R3" t="s">
        <v>455</v>
      </c>
      <c r="S3" t="s">
        <v>55</v>
      </c>
      <c r="T3" t="s">
        <v>142</v>
      </c>
      <c r="U3" t="s">
        <v>143</v>
      </c>
      <c r="V3" t="s">
        <v>132</v>
      </c>
      <c r="W3" t="s">
        <v>132</v>
      </c>
      <c r="X3" t="s">
        <v>59</v>
      </c>
      <c r="Y3" t="s">
        <v>59</v>
      </c>
      <c r="Z3" t="s">
        <v>144</v>
      </c>
      <c r="AA3" t="s">
        <v>145</v>
      </c>
      <c r="AB3">
        <v>5</v>
      </c>
      <c r="AC3" s="50" t="s">
        <v>146</v>
      </c>
      <c r="AD3" s="48"/>
      <c r="AE3" s="48"/>
      <c r="AF3" s="48"/>
      <c r="AG3" s="48"/>
      <c r="AH3" s="48"/>
      <c r="AI3" s="48"/>
      <c r="AJ3" s="48"/>
      <c r="AK3" s="48"/>
      <c r="AL3" s="48"/>
      <c r="AM3" s="48"/>
      <c r="AN3" s="50" t="s">
        <v>88</v>
      </c>
      <c r="AO3" s="50" t="s">
        <v>67</v>
      </c>
      <c r="AP3" s="50" t="s">
        <v>147</v>
      </c>
      <c r="AQ3" s="48" t="s">
        <v>90</v>
      </c>
      <c r="AR3" s="50" t="s">
        <v>70</v>
      </c>
      <c r="AS3" s="50" t="s">
        <v>123</v>
      </c>
      <c r="AT3" s="50" t="s">
        <v>137</v>
      </c>
      <c r="AU3" s="48">
        <v>9</v>
      </c>
      <c r="AV3" s="49">
        <v>45682</v>
      </c>
      <c r="AW3" s="52">
        <v>0.45833333333333331</v>
      </c>
      <c r="AX3" s="49">
        <v>45682</v>
      </c>
      <c r="AY3" s="52">
        <v>0.58333333333333337</v>
      </c>
      <c r="AZ3" s="49">
        <v>45682</v>
      </c>
      <c r="BA3" s="52">
        <v>0.58054398148148145</v>
      </c>
      <c r="BB3" s="48">
        <v>2025</v>
      </c>
      <c r="BC3" s="53">
        <v>4</v>
      </c>
      <c r="BD3" s="53">
        <v>4</v>
      </c>
      <c r="BE3" s="53">
        <v>25</v>
      </c>
      <c r="BF3" s="54">
        <v>25</v>
      </c>
      <c r="BG3" s="55">
        <v>45682.458333333336</v>
      </c>
      <c r="BH3" s="48">
        <v>60</v>
      </c>
      <c r="BI3" t="s">
        <v>146</v>
      </c>
      <c r="BJ3" s="50"/>
      <c r="BK3" s="50" t="s">
        <v>148</v>
      </c>
      <c r="BL3" s="50" t="s">
        <v>149</v>
      </c>
      <c r="BM3" s="48" t="s">
        <v>511</v>
      </c>
      <c r="BN3" s="50" t="s">
        <v>150</v>
      </c>
      <c r="CJ3" s="87" t="s">
        <v>649</v>
      </c>
      <c r="CK3" s="88" t="s">
        <v>451</v>
      </c>
    </row>
    <row r="4" spans="1:89" ht="18" x14ac:dyDescent="0.35">
      <c r="A4" s="107" t="s">
        <v>128</v>
      </c>
      <c r="B4" s="107" t="s">
        <v>5</v>
      </c>
      <c r="H4" s="42"/>
      <c r="I4"/>
      <c r="J4"/>
      <c r="K4"/>
      <c r="L4"/>
      <c r="M4" t="s">
        <v>151</v>
      </c>
      <c r="N4" s="1">
        <v>45688</v>
      </c>
      <c r="O4" t="s">
        <v>141</v>
      </c>
      <c r="P4" s="33">
        <v>0.45833333333333331</v>
      </c>
      <c r="Q4" s="33">
        <v>0.49988425925925928</v>
      </c>
      <c r="R4" t="s">
        <v>454</v>
      </c>
      <c r="S4" t="s">
        <v>55</v>
      </c>
      <c r="T4" t="s">
        <v>152</v>
      </c>
      <c r="U4" t="s">
        <v>153</v>
      </c>
      <c r="V4" t="s">
        <v>132</v>
      </c>
      <c r="W4" t="s">
        <v>132</v>
      </c>
      <c r="X4" t="s">
        <v>59</v>
      </c>
      <c r="Y4" t="s">
        <v>59</v>
      </c>
      <c r="Z4" t="s">
        <v>154</v>
      </c>
      <c r="AA4" t="s">
        <v>155</v>
      </c>
      <c r="AB4">
        <v>8</v>
      </c>
      <c r="AC4" s="50" t="s">
        <v>156</v>
      </c>
      <c r="AD4" s="48"/>
      <c r="AE4" s="48"/>
      <c r="AF4" s="48"/>
      <c r="AG4" s="48"/>
      <c r="AH4" s="48"/>
      <c r="AI4" s="48"/>
      <c r="AJ4" s="48"/>
      <c r="AK4" s="48"/>
      <c r="AL4" s="48"/>
      <c r="AM4" s="48"/>
      <c r="AN4" s="50" t="s">
        <v>157</v>
      </c>
      <c r="AO4" s="50" t="s">
        <v>67</v>
      </c>
      <c r="AP4" s="50" t="s">
        <v>158</v>
      </c>
      <c r="AQ4" s="48" t="s">
        <v>159</v>
      </c>
      <c r="AR4" s="50" t="s">
        <v>160</v>
      </c>
      <c r="AS4" s="50" t="s">
        <v>71</v>
      </c>
      <c r="AT4" s="50" t="s">
        <v>137</v>
      </c>
      <c r="AU4" s="48">
        <v>9</v>
      </c>
      <c r="AV4" s="49">
        <v>45688</v>
      </c>
      <c r="AW4" s="52">
        <v>0.49988425925925928</v>
      </c>
      <c r="AX4" s="49"/>
      <c r="AY4" s="52"/>
      <c r="AZ4" s="49">
        <v>45688</v>
      </c>
      <c r="BA4" s="52">
        <v>0.49988425925925928</v>
      </c>
      <c r="BB4" s="48">
        <v>2025</v>
      </c>
      <c r="BC4" s="53">
        <v>5</v>
      </c>
      <c r="BD4" s="53">
        <v>5</v>
      </c>
      <c r="BE4" s="53">
        <v>31</v>
      </c>
      <c r="BF4" s="54">
        <v>31</v>
      </c>
      <c r="BG4" s="55">
        <v>45688.499305555553</v>
      </c>
      <c r="BH4" s="48">
        <v>292</v>
      </c>
      <c r="BI4" t="s">
        <v>156</v>
      </c>
      <c r="BJ4" s="50"/>
      <c r="BK4" s="50" t="s">
        <v>59</v>
      </c>
      <c r="BL4" s="50" t="s">
        <v>59</v>
      </c>
      <c r="BM4" s="48" t="s">
        <v>510</v>
      </c>
      <c r="BN4" s="50" t="s">
        <v>150</v>
      </c>
      <c r="CJ4" s="62" t="s">
        <v>650</v>
      </c>
      <c r="CK4" s="89" t="s">
        <v>76</v>
      </c>
    </row>
    <row r="5" spans="1:89" ht="18" x14ac:dyDescent="0.35">
      <c r="A5" s="83" t="s">
        <v>449</v>
      </c>
      <c r="B5" s="7" t="s">
        <v>450</v>
      </c>
      <c r="C5" s="10" t="s">
        <v>451</v>
      </c>
      <c r="D5" s="10" t="s">
        <v>452</v>
      </c>
      <c r="E5" s="10" t="s">
        <v>536</v>
      </c>
      <c r="F5" s="10" t="s">
        <v>454</v>
      </c>
      <c r="G5" s="10" t="s">
        <v>455</v>
      </c>
      <c r="H5" s="42"/>
      <c r="I5"/>
      <c r="J5"/>
      <c r="K5"/>
      <c r="L5"/>
      <c r="M5" t="s">
        <v>161</v>
      </c>
      <c r="N5" s="1">
        <v>45693</v>
      </c>
      <c r="O5" t="s">
        <v>162</v>
      </c>
      <c r="P5" s="33">
        <v>8.3333333333333329E-2</v>
      </c>
      <c r="Q5" s="33">
        <v>0.12291666666666666</v>
      </c>
      <c r="R5" t="s">
        <v>452</v>
      </c>
      <c r="S5" t="s">
        <v>111</v>
      </c>
      <c r="T5" t="s">
        <v>163</v>
      </c>
      <c r="U5" t="s">
        <v>164</v>
      </c>
      <c r="V5" t="s">
        <v>166</v>
      </c>
      <c r="W5" t="s">
        <v>165</v>
      </c>
      <c r="X5" t="s">
        <v>167</v>
      </c>
      <c r="Y5" t="s">
        <v>59</v>
      </c>
      <c r="Z5" t="s">
        <v>168</v>
      </c>
      <c r="AA5" t="s">
        <v>155</v>
      </c>
      <c r="AB5">
        <v>8</v>
      </c>
      <c r="AC5" s="50" t="s">
        <v>169</v>
      </c>
      <c r="AD5" s="48"/>
      <c r="AE5" s="48"/>
      <c r="AF5" s="48"/>
      <c r="AG5" s="48"/>
      <c r="AH5" s="48"/>
      <c r="AI5" s="48"/>
      <c r="AJ5" s="48"/>
      <c r="AK5" s="48"/>
      <c r="AL5" s="48"/>
      <c r="AM5" s="48"/>
      <c r="AN5" s="50" t="s">
        <v>119</v>
      </c>
      <c r="AO5" s="50" t="s">
        <v>67</v>
      </c>
      <c r="AP5" s="50" t="s">
        <v>170</v>
      </c>
      <c r="AQ5" s="48" t="s">
        <v>90</v>
      </c>
      <c r="AR5" s="50" t="s">
        <v>171</v>
      </c>
      <c r="AS5" s="50" t="s">
        <v>123</v>
      </c>
      <c r="AT5" s="50" t="s">
        <v>137</v>
      </c>
      <c r="AU5" s="48">
        <v>9</v>
      </c>
      <c r="AV5" s="49">
        <v>45693</v>
      </c>
      <c r="AW5" s="52">
        <v>0.12291666666666666</v>
      </c>
      <c r="AX5" s="49"/>
      <c r="AY5" s="52"/>
      <c r="AZ5" s="49">
        <v>45693</v>
      </c>
      <c r="BA5" s="52">
        <v>0.1233912037037037</v>
      </c>
      <c r="BB5" s="48">
        <v>2025</v>
      </c>
      <c r="BC5" s="53">
        <v>6</v>
      </c>
      <c r="BD5" s="53">
        <v>2</v>
      </c>
      <c r="BE5" s="53">
        <v>5</v>
      </c>
      <c r="BF5" s="54">
        <v>36</v>
      </c>
      <c r="BG5" s="55">
        <v>45693.122916666667</v>
      </c>
      <c r="BH5" s="48">
        <v>441</v>
      </c>
      <c r="BI5" t="s">
        <v>169</v>
      </c>
      <c r="BJ5" s="50"/>
      <c r="BK5" s="50" t="s">
        <v>59</v>
      </c>
      <c r="BL5" s="50" t="s">
        <v>59</v>
      </c>
      <c r="BM5" s="48" t="s">
        <v>509</v>
      </c>
      <c r="BN5" s="50" t="s">
        <v>172</v>
      </c>
      <c r="CJ5" s="87" t="s">
        <v>662</v>
      </c>
      <c r="CK5" s="90" t="s">
        <v>734</v>
      </c>
    </row>
    <row r="6" spans="1:89" ht="18" x14ac:dyDescent="0.35">
      <c r="A6" s="6" t="s">
        <v>76</v>
      </c>
      <c r="B6" s="6">
        <v>2</v>
      </c>
      <c r="C6" s="6">
        <v>1</v>
      </c>
      <c r="E6" s="6">
        <v>1</v>
      </c>
      <c r="H6" s="42"/>
      <c r="I6"/>
      <c r="J6"/>
      <c r="K6"/>
      <c r="L6"/>
      <c r="M6" t="s">
        <v>173</v>
      </c>
      <c r="N6" s="1">
        <v>45705</v>
      </c>
      <c r="O6" t="s">
        <v>54</v>
      </c>
      <c r="P6" s="33">
        <v>0.5</v>
      </c>
      <c r="Q6" s="33">
        <v>0.52497685185185183</v>
      </c>
      <c r="R6" t="s">
        <v>450</v>
      </c>
      <c r="S6" t="s">
        <v>111</v>
      </c>
      <c r="T6" t="s">
        <v>98</v>
      </c>
      <c r="U6" t="s">
        <v>174</v>
      </c>
      <c r="V6" t="s">
        <v>175</v>
      </c>
      <c r="W6" t="s">
        <v>165</v>
      </c>
      <c r="X6" t="s">
        <v>176</v>
      </c>
      <c r="Y6" t="s">
        <v>59</v>
      </c>
      <c r="Z6" t="s">
        <v>177</v>
      </c>
      <c r="AA6" t="s">
        <v>178</v>
      </c>
      <c r="AB6">
        <v>9</v>
      </c>
      <c r="AC6" s="50" t="s">
        <v>179</v>
      </c>
      <c r="AD6" s="48"/>
      <c r="AE6" s="48"/>
      <c r="AF6" s="48"/>
      <c r="AG6" s="48"/>
      <c r="AH6" s="48"/>
      <c r="AI6" s="48"/>
      <c r="AJ6" s="48"/>
      <c r="AK6" s="48"/>
      <c r="AL6" s="48"/>
      <c r="AM6" s="48"/>
      <c r="AN6" s="50" t="s">
        <v>66</v>
      </c>
      <c r="AO6" s="50" t="s">
        <v>67</v>
      </c>
      <c r="AP6" s="50" t="s">
        <v>68</v>
      </c>
      <c r="AQ6" s="48" t="s">
        <v>69</v>
      </c>
      <c r="AR6" s="50" t="s">
        <v>180</v>
      </c>
      <c r="AS6" s="50" t="s">
        <v>181</v>
      </c>
      <c r="AT6" s="50" t="s">
        <v>137</v>
      </c>
      <c r="AU6" s="48">
        <v>9</v>
      </c>
      <c r="AV6" s="49">
        <v>45705</v>
      </c>
      <c r="AW6" s="52">
        <v>0.52497685185185183</v>
      </c>
      <c r="AX6" s="49"/>
      <c r="AY6" s="52"/>
      <c r="AZ6" s="49">
        <v>45705</v>
      </c>
      <c r="BA6" s="52">
        <v>0.52497685185185183</v>
      </c>
      <c r="BB6" s="48">
        <v>2025</v>
      </c>
      <c r="BC6" s="53">
        <v>8</v>
      </c>
      <c r="BD6" s="53">
        <v>4</v>
      </c>
      <c r="BE6" s="53">
        <v>17</v>
      </c>
      <c r="BF6" s="54">
        <v>48</v>
      </c>
      <c r="BG6" s="55">
        <v>45705.524305555555</v>
      </c>
      <c r="BH6" s="48">
        <v>35</v>
      </c>
      <c r="BI6" t="s">
        <v>179</v>
      </c>
      <c r="BJ6" s="50"/>
      <c r="BK6" s="50" t="s">
        <v>182</v>
      </c>
      <c r="BL6" s="50" t="s">
        <v>183</v>
      </c>
      <c r="BM6" s="48" t="s">
        <v>508</v>
      </c>
      <c r="BN6" s="50" t="s">
        <v>76</v>
      </c>
      <c r="CJ6" s="62" t="s">
        <v>653</v>
      </c>
      <c r="CK6" s="89" t="s">
        <v>572</v>
      </c>
    </row>
    <row r="7" spans="1:89" ht="18" x14ac:dyDescent="0.35">
      <c r="A7" s="6" t="s">
        <v>172</v>
      </c>
      <c r="B7" s="6">
        <v>1</v>
      </c>
      <c r="D7" s="6">
        <v>1</v>
      </c>
      <c r="H7" s="42"/>
      <c r="I7"/>
      <c r="J7"/>
      <c r="K7"/>
      <c r="L7"/>
      <c r="M7" t="s">
        <v>529</v>
      </c>
      <c r="N7" s="1">
        <v>45726</v>
      </c>
      <c r="O7" t="s">
        <v>162</v>
      </c>
      <c r="P7" s="33">
        <v>4.1666666666666664E-2</v>
      </c>
      <c r="Q7" s="33">
        <v>4.6527777777777779E-2</v>
      </c>
      <c r="R7" t="s">
        <v>450</v>
      </c>
      <c r="S7" t="s">
        <v>461</v>
      </c>
      <c r="T7" t="s">
        <v>530</v>
      </c>
      <c r="U7" t="s">
        <v>531</v>
      </c>
      <c r="V7" t="s">
        <v>132</v>
      </c>
      <c r="W7" t="s">
        <v>132</v>
      </c>
      <c r="X7" t="s">
        <v>59</v>
      </c>
      <c r="Y7" t="s">
        <v>59</v>
      </c>
      <c r="Z7" t="s">
        <v>532</v>
      </c>
      <c r="AA7" t="s">
        <v>283</v>
      </c>
      <c r="AB7">
        <v>8</v>
      </c>
      <c r="AC7" s="50" t="s">
        <v>533</v>
      </c>
      <c r="AD7" s="48"/>
      <c r="AE7" s="48"/>
      <c r="AF7" s="48"/>
      <c r="AG7" s="48"/>
      <c r="AH7" s="48"/>
      <c r="AI7" s="48"/>
      <c r="AJ7" s="48"/>
      <c r="AK7" s="48"/>
      <c r="AL7" s="48"/>
      <c r="AM7" s="48"/>
      <c r="AN7" s="50" t="s">
        <v>534</v>
      </c>
      <c r="AO7" s="50" t="s">
        <v>67</v>
      </c>
      <c r="AP7" s="50" t="s">
        <v>219</v>
      </c>
      <c r="AQ7" s="48" t="s">
        <v>159</v>
      </c>
      <c r="AR7" s="50" t="s">
        <v>106</v>
      </c>
      <c r="AS7" s="50" t="s">
        <v>123</v>
      </c>
      <c r="AT7" s="50" t="s">
        <v>137</v>
      </c>
      <c r="AU7" s="48">
        <v>9</v>
      </c>
      <c r="AV7" s="49">
        <v>45726</v>
      </c>
      <c r="AW7" s="52">
        <v>4.6527777777777779E-2</v>
      </c>
      <c r="AX7" s="49">
        <v>45726</v>
      </c>
      <c r="AY7" s="52">
        <v>0.16180555555555556</v>
      </c>
      <c r="AZ7" s="49">
        <v>45727</v>
      </c>
      <c r="BA7" s="52">
        <v>0.44234953703703705</v>
      </c>
      <c r="BB7" s="48">
        <v>2025</v>
      </c>
      <c r="BC7" s="53">
        <v>11</v>
      </c>
      <c r="BD7" s="53">
        <v>3</v>
      </c>
      <c r="BE7" s="53">
        <v>10</v>
      </c>
      <c r="BF7" s="54">
        <v>69</v>
      </c>
      <c r="BG7" s="55">
        <v>45726.046527777777</v>
      </c>
      <c r="BH7" s="48">
        <v>1</v>
      </c>
      <c r="BI7" t="s">
        <v>533</v>
      </c>
      <c r="BJ7" s="50"/>
      <c r="BK7" s="50" t="s">
        <v>535</v>
      </c>
      <c r="BL7" s="50" t="s">
        <v>59</v>
      </c>
      <c r="BM7" s="48" t="s">
        <v>505</v>
      </c>
      <c r="BN7" s="50" t="s">
        <v>172</v>
      </c>
      <c r="CJ7" s="87" t="s">
        <v>663</v>
      </c>
      <c r="CK7" s="90" t="s">
        <v>572</v>
      </c>
    </row>
    <row r="8" spans="1:89" ht="18" x14ac:dyDescent="0.35">
      <c r="A8" s="6" t="s">
        <v>150</v>
      </c>
      <c r="F8" s="6">
        <v>1</v>
      </c>
      <c r="G8" s="6">
        <v>1</v>
      </c>
      <c r="H8" s="42"/>
      <c r="I8" s="39"/>
      <c r="J8" s="39"/>
      <c r="K8" s="39"/>
      <c r="L8" s="39"/>
      <c r="M8" t="s">
        <v>573</v>
      </c>
      <c r="N8" s="1">
        <v>45743</v>
      </c>
      <c r="O8" t="s">
        <v>97</v>
      </c>
      <c r="P8" s="33">
        <v>0.91666666666666663</v>
      </c>
      <c r="Q8" s="33">
        <v>0.94666666666666666</v>
      </c>
      <c r="R8" t="s">
        <v>536</v>
      </c>
      <c r="S8" t="s">
        <v>461</v>
      </c>
      <c r="T8" t="s">
        <v>485</v>
      </c>
      <c r="U8" t="s">
        <v>574</v>
      </c>
      <c r="V8" t="s">
        <v>575</v>
      </c>
      <c r="W8" t="s">
        <v>165</v>
      </c>
      <c r="X8" t="s">
        <v>576</v>
      </c>
      <c r="Y8" t="s">
        <v>360</v>
      </c>
      <c r="Z8" t="s">
        <v>577</v>
      </c>
      <c r="AA8" t="s">
        <v>261</v>
      </c>
      <c r="AB8">
        <v>6</v>
      </c>
      <c r="AC8" s="50" t="s">
        <v>578</v>
      </c>
      <c r="AD8" s="48"/>
      <c r="AE8" s="48"/>
      <c r="AF8" s="48"/>
      <c r="AG8" s="48"/>
      <c r="AH8" s="48"/>
      <c r="AI8" s="48"/>
      <c r="AJ8" s="48"/>
      <c r="AK8" s="48"/>
      <c r="AL8" s="48"/>
      <c r="AM8" s="48"/>
      <c r="AN8" s="50" t="s">
        <v>416</v>
      </c>
      <c r="AO8" s="50" t="s">
        <v>67</v>
      </c>
      <c r="AP8" s="50" t="s">
        <v>579</v>
      </c>
      <c r="AQ8" s="48" t="s">
        <v>121</v>
      </c>
      <c r="AR8" s="50" t="s">
        <v>378</v>
      </c>
      <c r="AS8" s="50" t="s">
        <v>123</v>
      </c>
      <c r="AT8" s="50"/>
      <c r="AU8" s="48">
        <v>9</v>
      </c>
      <c r="AV8" s="49">
        <v>45743</v>
      </c>
      <c r="AW8" s="52">
        <v>0.94666666666666666</v>
      </c>
      <c r="AX8" s="49"/>
      <c r="AY8" s="52"/>
      <c r="AZ8" s="49">
        <v>45743</v>
      </c>
      <c r="BA8" s="52">
        <v>0.94666666666666666</v>
      </c>
      <c r="BB8" s="48">
        <v>2025</v>
      </c>
      <c r="BC8" s="53">
        <v>13</v>
      </c>
      <c r="BD8" s="53">
        <v>5</v>
      </c>
      <c r="BE8" s="53">
        <v>27</v>
      </c>
      <c r="BF8" s="54">
        <v>86</v>
      </c>
      <c r="BG8" s="55">
        <v>45743.946527777778</v>
      </c>
      <c r="BH8" s="48">
        <v>211</v>
      </c>
      <c r="BI8" t="s">
        <v>578</v>
      </c>
      <c r="BJ8" s="50"/>
      <c r="BK8" s="50" t="s">
        <v>59</v>
      </c>
      <c r="BL8" s="50" t="s">
        <v>580</v>
      </c>
      <c r="BM8" s="48" t="s">
        <v>581</v>
      </c>
      <c r="BN8" s="50" t="s">
        <v>109</v>
      </c>
      <c r="CJ8" s="62" t="s">
        <v>664</v>
      </c>
      <c r="CK8" s="89" t="s">
        <v>735</v>
      </c>
    </row>
    <row r="9" spans="1:89" ht="18" x14ac:dyDescent="0.35">
      <c r="A9" s="6" t="s">
        <v>109</v>
      </c>
      <c r="E9" s="6">
        <v>2</v>
      </c>
      <c r="H9" s="42"/>
      <c r="I9" s="42"/>
      <c r="J9" s="42"/>
      <c r="K9" s="42"/>
      <c r="L9" s="42"/>
      <c r="M9" t="s">
        <v>582</v>
      </c>
      <c r="N9" s="1">
        <v>45743</v>
      </c>
      <c r="O9" t="s">
        <v>97</v>
      </c>
      <c r="P9" s="33">
        <v>0.95833333333333337</v>
      </c>
      <c r="Q9" s="33">
        <v>0.97916666666666663</v>
      </c>
      <c r="R9" t="s">
        <v>536</v>
      </c>
      <c r="S9" t="s">
        <v>461</v>
      </c>
      <c r="T9" t="s">
        <v>530</v>
      </c>
      <c r="U9" t="s">
        <v>583</v>
      </c>
      <c r="V9" t="s">
        <v>132</v>
      </c>
      <c r="W9" t="s">
        <v>132</v>
      </c>
      <c r="X9" t="s">
        <v>59</v>
      </c>
      <c r="Y9" t="s">
        <v>59</v>
      </c>
      <c r="Z9" t="s">
        <v>584</v>
      </c>
      <c r="AA9" t="s">
        <v>283</v>
      </c>
      <c r="AB9">
        <v>8</v>
      </c>
      <c r="AC9" s="50" t="s">
        <v>585</v>
      </c>
      <c r="AD9" s="48">
        <v>50300</v>
      </c>
      <c r="AE9" s="48"/>
      <c r="AF9" s="48"/>
      <c r="AG9" s="48"/>
      <c r="AH9" s="48"/>
      <c r="AI9" s="48"/>
      <c r="AJ9" s="48"/>
      <c r="AK9" s="48"/>
      <c r="AL9" s="48"/>
      <c r="AM9" s="48"/>
      <c r="AN9" s="50" t="s">
        <v>157</v>
      </c>
      <c r="AO9" s="50" t="s">
        <v>67</v>
      </c>
      <c r="AP9" s="50" t="s">
        <v>480</v>
      </c>
      <c r="AQ9" s="48" t="s">
        <v>351</v>
      </c>
      <c r="AR9" s="50" t="s">
        <v>586</v>
      </c>
      <c r="AS9" s="50" t="s">
        <v>123</v>
      </c>
      <c r="AT9" s="50"/>
      <c r="AU9" s="48">
        <v>9</v>
      </c>
      <c r="AV9" s="49">
        <v>45743</v>
      </c>
      <c r="AW9" s="52">
        <v>0.97916666666666663</v>
      </c>
      <c r="AX9" s="49">
        <v>45744</v>
      </c>
      <c r="AY9" s="52">
        <v>2.5000000000000001E-2</v>
      </c>
      <c r="AZ9" s="49">
        <v>45744</v>
      </c>
      <c r="BA9" s="52">
        <v>0.46781250000000002</v>
      </c>
      <c r="BB9" s="48">
        <v>2025</v>
      </c>
      <c r="BC9" s="53">
        <v>13</v>
      </c>
      <c r="BD9" s="53">
        <v>5</v>
      </c>
      <c r="BE9" s="53">
        <v>27</v>
      </c>
      <c r="BF9" s="54">
        <v>86</v>
      </c>
      <c r="BG9" s="55">
        <v>45743.979166666664</v>
      </c>
      <c r="BH9" s="48">
        <v>2</v>
      </c>
      <c r="BI9" t="s">
        <v>585</v>
      </c>
      <c r="BJ9" s="50"/>
      <c r="BK9" s="50" t="s">
        <v>587</v>
      </c>
      <c r="BL9" s="50" t="s">
        <v>588</v>
      </c>
      <c r="BM9" s="48" t="s">
        <v>581</v>
      </c>
      <c r="BN9" s="50" t="s">
        <v>109</v>
      </c>
      <c r="CJ9" s="87" t="s">
        <v>655</v>
      </c>
      <c r="CK9" s="90" t="s">
        <v>572</v>
      </c>
    </row>
    <row r="10" spans="1:89" ht="18" x14ac:dyDescent="0.35">
      <c r="A10"/>
      <c r="B10"/>
      <c r="C10"/>
      <c r="D10"/>
      <c r="E10"/>
      <c r="F10"/>
      <c r="G10"/>
      <c r="H10" s="42"/>
      <c r="I10" s="42"/>
      <c r="J10" s="42"/>
      <c r="K10" s="42"/>
      <c r="L10" s="42"/>
      <c r="M10" t="s">
        <v>589</v>
      </c>
      <c r="N10" s="1">
        <v>45747</v>
      </c>
      <c r="O10" t="s">
        <v>54</v>
      </c>
      <c r="P10" s="33">
        <v>0.5</v>
      </c>
      <c r="Q10" s="33">
        <v>0.5</v>
      </c>
      <c r="R10" t="s">
        <v>450</v>
      </c>
      <c r="S10" t="s">
        <v>461</v>
      </c>
      <c r="T10" t="s">
        <v>257</v>
      </c>
      <c r="U10" t="s">
        <v>590</v>
      </c>
      <c r="V10" t="s">
        <v>132</v>
      </c>
      <c r="W10" t="s">
        <v>132</v>
      </c>
      <c r="X10" t="s">
        <v>59</v>
      </c>
      <c r="Y10" t="s">
        <v>59</v>
      </c>
      <c r="Z10" t="s">
        <v>591</v>
      </c>
      <c r="AA10" t="s">
        <v>592</v>
      </c>
      <c r="AB10">
        <v>7</v>
      </c>
      <c r="AC10" s="50" t="s">
        <v>593</v>
      </c>
      <c r="AD10" s="48"/>
      <c r="AE10" s="48"/>
      <c r="AF10" s="48"/>
      <c r="AG10" s="48"/>
      <c r="AH10" s="48"/>
      <c r="AI10" s="48"/>
      <c r="AJ10" s="48"/>
      <c r="AK10" s="48"/>
      <c r="AL10" s="48"/>
      <c r="AM10" s="48"/>
      <c r="AN10" s="50" t="s">
        <v>568</v>
      </c>
      <c r="AO10" s="50" t="s">
        <v>67</v>
      </c>
      <c r="AP10" s="50" t="s">
        <v>594</v>
      </c>
      <c r="AQ10" s="48" t="s">
        <v>90</v>
      </c>
      <c r="AR10" s="50"/>
      <c r="AS10" s="50"/>
      <c r="AT10" s="50"/>
      <c r="AU10" s="48">
        <v>9</v>
      </c>
      <c r="AV10" s="49">
        <v>45747</v>
      </c>
      <c r="AW10" s="52">
        <v>0.5</v>
      </c>
      <c r="AX10" s="49"/>
      <c r="AY10" s="52"/>
      <c r="AZ10" s="49">
        <v>45747</v>
      </c>
      <c r="BA10" s="52">
        <v>0.54355324074074074</v>
      </c>
      <c r="BB10" s="48">
        <v>2025</v>
      </c>
      <c r="BC10" s="53">
        <v>14</v>
      </c>
      <c r="BD10" s="53">
        <v>6</v>
      </c>
      <c r="BE10" s="53">
        <v>31</v>
      </c>
      <c r="BF10" s="54">
        <v>90</v>
      </c>
      <c r="BG10" s="55">
        <v>45747.5</v>
      </c>
      <c r="BH10" s="48">
        <v>100</v>
      </c>
      <c r="BI10" t="s">
        <v>593</v>
      </c>
      <c r="BJ10" s="50"/>
      <c r="BK10" s="50" t="s">
        <v>595</v>
      </c>
      <c r="BL10" s="50" t="s">
        <v>596</v>
      </c>
      <c r="BM10" s="48" t="s">
        <v>581</v>
      </c>
      <c r="BN10" s="50" t="s">
        <v>76</v>
      </c>
      <c r="CJ10" s="62" t="s">
        <v>656</v>
      </c>
      <c r="CK10" s="89" t="s">
        <v>572</v>
      </c>
    </row>
    <row r="11" spans="1:89" ht="18" x14ac:dyDescent="0.3">
      <c r="A11"/>
      <c r="B11"/>
      <c r="C11"/>
      <c r="D11"/>
      <c r="E11"/>
      <c r="F11"/>
      <c r="G11"/>
      <c r="H11"/>
      <c r="M11" t="s">
        <v>597</v>
      </c>
      <c r="N11" s="1">
        <v>45748</v>
      </c>
      <c r="O11" t="s">
        <v>54</v>
      </c>
      <c r="P11" s="33">
        <v>0.5</v>
      </c>
      <c r="Q11" s="33">
        <v>0.5</v>
      </c>
      <c r="R11" t="s">
        <v>451</v>
      </c>
      <c r="S11" t="s">
        <v>598</v>
      </c>
      <c r="T11" t="s">
        <v>599</v>
      </c>
      <c r="U11" t="s">
        <v>600</v>
      </c>
      <c r="V11" t="s">
        <v>132</v>
      </c>
      <c r="W11" t="s">
        <v>132</v>
      </c>
      <c r="X11" t="s">
        <v>59</v>
      </c>
      <c r="Y11" t="s">
        <v>59</v>
      </c>
      <c r="Z11" t="s">
        <v>601</v>
      </c>
      <c r="AA11" t="s">
        <v>145</v>
      </c>
      <c r="AB11">
        <v>5</v>
      </c>
      <c r="AC11" s="50" t="s">
        <v>602</v>
      </c>
      <c r="AD11" s="48"/>
      <c r="AE11" s="48"/>
      <c r="AF11" s="48"/>
      <c r="AG11" s="48"/>
      <c r="AH11" s="48"/>
      <c r="AI11" s="48"/>
      <c r="AJ11" s="48"/>
      <c r="AK11" s="48"/>
      <c r="AL11" s="48"/>
      <c r="AM11" s="48"/>
      <c r="AN11" s="50" t="s">
        <v>157</v>
      </c>
      <c r="AO11" s="50" t="s">
        <v>67</v>
      </c>
      <c r="AP11" s="50" t="s">
        <v>603</v>
      </c>
      <c r="AQ11" s="48" t="s">
        <v>206</v>
      </c>
      <c r="AR11" s="50" t="s">
        <v>524</v>
      </c>
      <c r="AS11" s="50" t="s">
        <v>123</v>
      </c>
      <c r="AT11" s="50"/>
      <c r="AU11" s="48">
        <v>9</v>
      </c>
      <c r="AV11" s="49">
        <v>45748</v>
      </c>
      <c r="AW11" s="52">
        <v>0.5</v>
      </c>
      <c r="AX11" s="49">
        <v>45751</v>
      </c>
      <c r="AY11" s="52">
        <v>0.52083333333333337</v>
      </c>
      <c r="AZ11" s="49">
        <v>45751</v>
      </c>
      <c r="BA11" s="52">
        <v>0.54546296296296293</v>
      </c>
      <c r="BB11" s="48">
        <v>2025</v>
      </c>
      <c r="BC11" s="53">
        <v>14</v>
      </c>
      <c r="BD11" s="53">
        <v>1</v>
      </c>
      <c r="BE11" s="53">
        <v>1</v>
      </c>
      <c r="BF11" s="54">
        <v>91</v>
      </c>
      <c r="BG11" s="55">
        <v>45748.5</v>
      </c>
      <c r="BH11" s="48">
        <v>75</v>
      </c>
      <c r="BI11" t="s">
        <v>602</v>
      </c>
      <c r="BJ11" s="50"/>
      <c r="BK11" s="50" t="s">
        <v>59</v>
      </c>
      <c r="BL11" s="50" t="s">
        <v>59</v>
      </c>
      <c r="BM11" s="48" t="s">
        <v>604</v>
      </c>
      <c r="BN11" s="50" t="s">
        <v>76</v>
      </c>
      <c r="CJ11" s="91" t="s">
        <v>657</v>
      </c>
      <c r="CK11" s="92" t="s">
        <v>736</v>
      </c>
    </row>
    <row r="12" spans="1:89" s="7" customFormat="1" ht="18" x14ac:dyDescent="0.35">
      <c r="A12"/>
      <c r="B12"/>
      <c r="C12"/>
      <c r="D12"/>
      <c r="E12"/>
      <c r="F12"/>
      <c r="G12"/>
      <c r="H12"/>
      <c r="M12" s="6"/>
      <c r="N12" s="6"/>
      <c r="O12" s="6"/>
      <c r="P12" s="50"/>
      <c r="Q12" s="6"/>
      <c r="R12" s="50"/>
      <c r="S12" s="50"/>
      <c r="T12" s="50"/>
      <c r="U12" s="50"/>
      <c r="V12" s="50"/>
      <c r="W12" s="50"/>
      <c r="X12" s="50"/>
      <c r="Y12" s="50"/>
      <c r="Z12" s="50"/>
      <c r="AA12" s="50"/>
      <c r="AB12" s="50"/>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CJ12" s="62" t="s">
        <v>658</v>
      </c>
      <c r="CK12" s="108" t="s">
        <v>572</v>
      </c>
    </row>
    <row r="13" spans="1:89" s="8" customFormat="1" ht="18" x14ac:dyDescent="0.35">
      <c r="A13"/>
      <c r="B13"/>
      <c r="C13"/>
      <c r="D13"/>
      <c r="E13"/>
      <c r="F13"/>
      <c r="G13"/>
      <c r="H13"/>
      <c r="M13" s="6"/>
      <c r="N13" s="6"/>
      <c r="O13" s="6"/>
      <c r="P13" s="50"/>
      <c r="Q13" s="6"/>
      <c r="R13" s="50"/>
      <c r="S13" s="50"/>
      <c r="T13" s="50"/>
      <c r="U13" s="50"/>
      <c r="V13" s="50"/>
      <c r="W13" s="50"/>
      <c r="X13" s="50"/>
      <c r="Y13" s="50"/>
      <c r="Z13" s="50"/>
      <c r="AA13" s="50"/>
      <c r="AB13" s="50"/>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CJ13" s="87" t="s">
        <v>660</v>
      </c>
      <c r="CK13" s="90" t="s">
        <v>665</v>
      </c>
    </row>
    <row r="14" spans="1:89" s="8" customFormat="1" ht="24" thickBot="1" x14ac:dyDescent="0.5">
      <c r="A14" s="195" t="s">
        <v>456</v>
      </c>
      <c r="B14" s="195"/>
      <c r="C14" s="195"/>
      <c r="D14" s="195"/>
      <c r="E14" s="195"/>
      <c r="F14" s="195"/>
      <c r="G14" s="195"/>
      <c r="H14" s="195"/>
      <c r="M14" s="6"/>
      <c r="N14" s="6"/>
      <c r="O14" s="6"/>
      <c r="P14" s="50"/>
      <c r="Q14" s="6"/>
      <c r="R14" s="50"/>
      <c r="S14" s="50"/>
      <c r="T14" s="50"/>
      <c r="U14" s="50"/>
      <c r="V14" s="50"/>
      <c r="W14" s="50"/>
      <c r="X14" s="50"/>
      <c r="Y14" s="50"/>
      <c r="Z14" s="50"/>
      <c r="AA14" s="50"/>
      <c r="AB14" s="50"/>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CJ14" s="63" t="s">
        <v>459</v>
      </c>
      <c r="CK14" s="144" t="s">
        <v>737</v>
      </c>
    </row>
    <row r="15" spans="1:89" s="8" customFormat="1" ht="18" x14ac:dyDescent="0.35">
      <c r="A15" s="127" t="str" cm="1">
        <f t="array" ref="A15:G19">A5:G9</f>
        <v>Time of Day</v>
      </c>
      <c r="B15" s="128" t="str">
        <v>Mon</v>
      </c>
      <c r="C15" s="128" t="str">
        <v>Tue</v>
      </c>
      <c r="D15" s="127" t="str">
        <v>Wed</v>
      </c>
      <c r="E15" s="127" t="str">
        <v>Thur</v>
      </c>
      <c r="F15" s="127" t="str">
        <v>Fri</v>
      </c>
      <c r="G15" s="127" t="str">
        <v>Sat</v>
      </c>
      <c r="M15" s="6"/>
      <c r="N15" s="6"/>
      <c r="O15" s="6"/>
      <c r="P15" s="50"/>
      <c r="Q15" s="6"/>
      <c r="R15" s="50"/>
      <c r="S15" s="50"/>
      <c r="T15" s="50"/>
      <c r="U15" s="50"/>
      <c r="V15" s="50"/>
      <c r="W15" s="50"/>
      <c r="X15" s="50"/>
      <c r="Y15" s="50"/>
      <c r="Z15" s="50"/>
      <c r="AA15" s="50"/>
      <c r="AB15" s="50"/>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row>
    <row r="16" spans="1:89" ht="15.6" x14ac:dyDescent="0.3">
      <c r="A16" s="145" t="str">
        <v>Afternoon (12:00-15:59)</v>
      </c>
      <c r="B16" s="146">
        <v>2</v>
      </c>
      <c r="C16" s="146">
        <v>1</v>
      </c>
      <c r="D16" s="146">
        <v>0</v>
      </c>
      <c r="E16" s="146">
        <v>1</v>
      </c>
      <c r="F16" s="146">
        <v>0</v>
      </c>
      <c r="G16" s="146">
        <v>0</v>
      </c>
      <c r="H16"/>
      <c r="O16" s="8"/>
      <c r="P16" s="8"/>
      <c r="Q16" s="8"/>
      <c r="R16" s="8"/>
      <c r="S16" s="8"/>
      <c r="T16" s="8"/>
      <c r="U16" s="8"/>
      <c r="V16" s="8"/>
      <c r="W16" s="8"/>
      <c r="X16" s="8"/>
      <c r="Y16" s="8"/>
      <c r="Z16" s="8"/>
      <c r="AA16" s="50"/>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row>
    <row r="17" spans="1:66" ht="15.6" x14ac:dyDescent="0.3">
      <c r="A17" s="38" t="str">
        <v>Early Morning (00:00-03:59)</v>
      </c>
      <c r="B17" s="36">
        <v>1</v>
      </c>
      <c r="C17" s="36">
        <v>0</v>
      </c>
      <c r="D17" s="36">
        <v>1</v>
      </c>
      <c r="E17" s="36">
        <v>0</v>
      </c>
      <c r="F17" s="36">
        <v>0</v>
      </c>
      <c r="G17" s="36">
        <v>0</v>
      </c>
      <c r="H17"/>
      <c r="O17" s="8"/>
      <c r="P17" s="8"/>
      <c r="Q17" s="8"/>
      <c r="R17" s="8"/>
      <c r="S17" s="8"/>
      <c r="T17" s="8"/>
      <c r="U17" s="8"/>
      <c r="V17" s="8"/>
      <c r="W17" s="8"/>
      <c r="X17" s="8"/>
      <c r="Y17" s="8"/>
      <c r="Z17" s="8"/>
      <c r="AA17" s="50"/>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row>
    <row r="18" spans="1:66" ht="15.6" x14ac:dyDescent="0.3">
      <c r="A18" s="129" t="str">
        <v>Morning Peak (08:00-11:59)</v>
      </c>
      <c r="B18" s="130">
        <v>0</v>
      </c>
      <c r="C18" s="130">
        <v>0</v>
      </c>
      <c r="D18" s="130">
        <v>0</v>
      </c>
      <c r="E18" s="130">
        <v>0</v>
      </c>
      <c r="F18" s="130">
        <v>1</v>
      </c>
      <c r="G18" s="130">
        <v>1</v>
      </c>
      <c r="H1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row>
    <row r="19" spans="1:66" ht="15.6" x14ac:dyDescent="0.3">
      <c r="A19" s="132" t="str">
        <v>Night (20:00-23:59)</v>
      </c>
      <c r="B19" s="133">
        <v>0</v>
      </c>
      <c r="C19" s="133">
        <v>0</v>
      </c>
      <c r="D19" s="133">
        <v>0</v>
      </c>
      <c r="E19" s="133">
        <v>2</v>
      </c>
      <c r="F19" s="133">
        <v>0</v>
      </c>
      <c r="G19" s="133">
        <v>0</v>
      </c>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row>
    <row r="20" spans="1:66" ht="15.6" x14ac:dyDescent="0.3">
      <c r="A20" s="38"/>
      <c r="B20" s="36"/>
      <c r="C20" s="36"/>
      <c r="D20" s="36"/>
      <c r="E20" s="36"/>
      <c r="F20" s="36"/>
      <c r="G20" s="36"/>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row>
    <row r="21" spans="1:66" ht="15.6" x14ac:dyDescent="0.3">
      <c r="A21" s="38"/>
      <c r="B21" s="36"/>
      <c r="C21" s="36"/>
      <c r="D21" s="36"/>
      <c r="E21" s="36"/>
      <c r="F21" s="36"/>
      <c r="G21" s="36"/>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row>
    <row r="22" spans="1:66" ht="15.6" x14ac:dyDescent="0.3">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row>
    <row r="23" spans="1:66" ht="15.6" x14ac:dyDescent="0.3">
      <c r="A23" s="105" t="s">
        <v>1</v>
      </c>
      <c r="B23" s="6" t="s">
        <v>209</v>
      </c>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row>
    <row r="24" spans="1:66" ht="15.6" x14ac:dyDescent="0.3">
      <c r="A24" s="105" t="s">
        <v>10</v>
      </c>
      <c r="B24" s="6" t="s">
        <v>127</v>
      </c>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row>
    <row r="26" spans="1:66" x14ac:dyDescent="0.3">
      <c r="A26" s="107" t="s">
        <v>128</v>
      </c>
      <c r="B26" s="107" t="s">
        <v>5</v>
      </c>
      <c r="E26"/>
      <c r="F26"/>
      <c r="G26"/>
    </row>
    <row r="27" spans="1:66" ht="18" x14ac:dyDescent="0.35">
      <c r="A27" s="83" t="s">
        <v>449</v>
      </c>
      <c r="B27" s="7" t="s">
        <v>450</v>
      </c>
      <c r="C27" s="10" t="s">
        <v>451</v>
      </c>
      <c r="D27" s="10" t="s">
        <v>536</v>
      </c>
      <c r="E27"/>
      <c r="F27"/>
      <c r="G27"/>
    </row>
    <row r="28" spans="1:66" x14ac:dyDescent="0.3">
      <c r="A28" s="6" t="s">
        <v>76</v>
      </c>
      <c r="B28" s="6">
        <v>1</v>
      </c>
      <c r="C28" s="6">
        <v>1</v>
      </c>
      <c r="E28"/>
      <c r="F28"/>
      <c r="G28"/>
    </row>
    <row r="29" spans="1:66" x14ac:dyDescent="0.3">
      <c r="A29" s="6" t="s">
        <v>109</v>
      </c>
      <c r="D29" s="6">
        <v>2</v>
      </c>
      <c r="E29"/>
      <c r="F29"/>
      <c r="G29"/>
    </row>
    <row r="30" spans="1:66" x14ac:dyDescent="0.3">
      <c r="A30"/>
      <c r="B30"/>
      <c r="C30"/>
      <c r="D30"/>
      <c r="E30"/>
      <c r="F30"/>
      <c r="G30"/>
    </row>
    <row r="31" spans="1:66" x14ac:dyDescent="0.3">
      <c r="A31"/>
      <c r="B31"/>
      <c r="C31"/>
      <c r="D31"/>
      <c r="E31"/>
      <c r="F31"/>
      <c r="G31"/>
    </row>
    <row r="32" spans="1:66" ht="23.4" x14ac:dyDescent="0.45">
      <c r="A32" s="195" t="s">
        <v>457</v>
      </c>
      <c r="B32" s="195"/>
      <c r="C32" s="195"/>
      <c r="D32" s="195"/>
      <c r="E32" s="11"/>
      <c r="F32" s="11"/>
      <c r="G32" s="11"/>
      <c r="H32" s="11"/>
    </row>
    <row r="33" spans="1:4" ht="18" x14ac:dyDescent="0.35">
      <c r="A33" s="127" t="str" cm="1">
        <f t="array" ref="A33:D35">A27:D29</f>
        <v>Time of Day</v>
      </c>
      <c r="B33" s="128" t="str">
        <v>Mon</v>
      </c>
      <c r="C33" s="128" t="str">
        <v>Tue</v>
      </c>
      <c r="D33" s="127" t="str">
        <v>Thur</v>
      </c>
    </row>
    <row r="34" spans="1:4" ht="15.6" x14ac:dyDescent="0.3">
      <c r="A34" s="145" t="str">
        <v>Afternoon (12:00-15:59)</v>
      </c>
      <c r="B34" s="146">
        <v>1</v>
      </c>
      <c r="C34" s="146">
        <v>1</v>
      </c>
      <c r="D34" s="146">
        <v>0</v>
      </c>
    </row>
    <row r="35" spans="1:4" ht="15.6" x14ac:dyDescent="0.3">
      <c r="A35" s="38" t="str">
        <v>Night (20:00-23:59)</v>
      </c>
      <c r="B35" s="36">
        <v>0</v>
      </c>
      <c r="C35" s="36">
        <v>0</v>
      </c>
      <c r="D35" s="36">
        <v>2</v>
      </c>
    </row>
  </sheetData>
  <mergeCells count="2">
    <mergeCell ref="A14:H14"/>
    <mergeCell ref="A32:D32"/>
  </mergeCells>
  <phoneticPr fontId="12" type="noConversion"/>
  <pageMargins left="0.7" right="0.7" top="0.75" bottom="0.75" header="0.3" footer="0.3"/>
  <pageSetup orientation="portrait"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E145-5DDC-4EB9-9999-3B50B564B026}">
  <sheetPr codeName="Sheet5">
    <tabColor rgb="FF0070C0"/>
  </sheetPr>
  <dimension ref="A1:BC15"/>
  <sheetViews>
    <sheetView workbookViewId="0">
      <selection activeCell="D11" sqref="D11"/>
    </sheetView>
  </sheetViews>
  <sheetFormatPr defaultColWidth="8.88671875" defaultRowHeight="15.6" x14ac:dyDescent="0.3"/>
  <cols>
    <col min="1" max="1" width="20.109375" style="14" bestFit="1" customWidth="1"/>
    <col min="2" max="2" width="16" style="20" bestFit="1" customWidth="1"/>
    <col min="3" max="3" width="24.33203125" style="15" bestFit="1" customWidth="1"/>
    <col min="4" max="4" width="18.77734375" style="14" bestFit="1" customWidth="1"/>
    <col min="5" max="5" width="15.44140625" style="14" bestFit="1" customWidth="1"/>
    <col min="6" max="6" width="16.21875" style="3" bestFit="1" customWidth="1"/>
    <col min="7" max="7" width="19" style="3" bestFit="1" customWidth="1"/>
    <col min="8" max="8" width="31.5546875" style="3" bestFit="1" customWidth="1"/>
    <col min="9" max="9" width="26.5546875" style="3" bestFit="1" customWidth="1"/>
    <col min="10" max="10" width="42.77734375" style="3" bestFit="1" customWidth="1"/>
    <col min="11" max="11" width="22" style="3" bestFit="1" customWidth="1"/>
    <col min="12" max="12" width="24" style="3" bestFit="1" customWidth="1"/>
    <col min="13" max="13" width="22" style="3" bestFit="1" customWidth="1"/>
    <col min="14" max="14" width="48.88671875" style="3" bestFit="1" customWidth="1"/>
    <col min="15" max="15" width="10" style="14" bestFit="1" customWidth="1"/>
    <col min="16" max="16" width="10.6640625" style="14" bestFit="1" customWidth="1"/>
    <col min="17" max="17" width="80.88671875" style="3" bestFit="1" customWidth="1"/>
    <col min="18" max="18" width="24.44140625" style="3" bestFit="1" customWidth="1"/>
    <col min="19" max="19" width="26.44140625" style="3" bestFit="1" customWidth="1"/>
    <col min="20" max="20" width="20.21875" style="14" bestFit="1" customWidth="1"/>
    <col min="21" max="21" width="12.44140625" style="14" bestFit="1" customWidth="1"/>
    <col min="22" max="22" width="13.33203125" style="14" bestFit="1" customWidth="1"/>
    <col min="23" max="23" width="17.109375" style="14" bestFit="1" customWidth="1"/>
    <col min="24" max="24" width="20.21875" style="14" bestFit="1" customWidth="1"/>
    <col min="25" max="25" width="17.109375" style="14" bestFit="1" customWidth="1"/>
    <col min="26" max="26" width="12.44140625" style="14" bestFit="1" customWidth="1"/>
    <col min="27" max="27" width="13.33203125" style="14" bestFit="1" customWidth="1"/>
    <col min="28" max="28" width="18.88671875" style="3" bestFit="1" customWidth="1"/>
    <col min="29" max="29" width="20.88671875" style="3" bestFit="1" customWidth="1"/>
    <col min="30" max="30" width="28.44140625" style="3" bestFit="1" customWidth="1"/>
    <col min="31" max="31" width="12" style="14" bestFit="1" customWidth="1"/>
    <col min="32" max="32" width="25.21875" style="3" bestFit="1" customWidth="1"/>
    <col min="33" max="33" width="28.44140625" style="3" bestFit="1" customWidth="1"/>
    <col min="34" max="34" width="27.44140625" style="3" bestFit="1" customWidth="1"/>
    <col min="35" max="35" width="31.6640625" style="3" bestFit="1" customWidth="1"/>
    <col min="36" max="36" width="19.6640625" style="20" bestFit="1" customWidth="1"/>
    <col min="37" max="37" width="19.88671875" style="23" bestFit="1" customWidth="1"/>
    <col min="38" max="38" width="30.33203125" style="20" bestFit="1" customWidth="1"/>
    <col min="39" max="39" width="30.5546875" style="23" bestFit="1" customWidth="1"/>
    <col min="40" max="40" width="18.109375" style="20" bestFit="1" customWidth="1"/>
    <col min="41" max="41" width="18.33203125" style="23" bestFit="1" customWidth="1"/>
    <col min="42" max="42" width="10.21875" style="3" bestFit="1" customWidth="1"/>
    <col min="43" max="43" width="19.33203125" style="25" bestFit="1" customWidth="1"/>
    <col min="44" max="44" width="21.21875" style="25" bestFit="1" customWidth="1"/>
    <col min="45" max="45" width="9.44140625" style="25" bestFit="1" customWidth="1"/>
    <col min="46" max="46" width="17.21875" style="27" bestFit="1" customWidth="1"/>
    <col min="47" max="47" width="28.109375" style="29" bestFit="1" customWidth="1"/>
    <col min="48" max="48" width="8.77734375" style="14" bestFit="1" customWidth="1"/>
    <col min="49" max="49" width="80.88671875" style="3" bestFit="1" customWidth="1"/>
    <col min="50" max="50" width="38.77734375" style="3" bestFit="1" customWidth="1"/>
    <col min="51" max="52" width="80.88671875" style="3" bestFit="1" customWidth="1"/>
    <col min="53" max="53" width="22.33203125" style="14" bestFit="1" customWidth="1"/>
    <col min="54" max="54" width="25.77734375" style="14" bestFit="1" customWidth="1"/>
    <col min="55" max="55" width="20.5546875" style="14" bestFit="1" customWidth="1"/>
    <col min="56" max="56" width="26.88671875" style="3" bestFit="1" customWidth="1"/>
    <col min="57" max="16384" width="8.88671875" style="3"/>
  </cols>
  <sheetData>
    <row r="1" spans="1:55" s="17" customFormat="1" ht="18" x14ac:dyDescent="0.35">
      <c r="A1" s="17" t="s">
        <v>0</v>
      </c>
      <c r="B1" s="19" t="s">
        <v>1</v>
      </c>
      <c r="C1" s="17" t="s">
        <v>2</v>
      </c>
      <c r="D1" s="18" t="s">
        <v>3</v>
      </c>
      <c r="E1" s="18" t="s">
        <v>4</v>
      </c>
      <c r="F1" s="17" t="s">
        <v>5</v>
      </c>
      <c r="G1" s="17" t="s">
        <v>6</v>
      </c>
      <c r="H1" s="17" t="s">
        <v>7</v>
      </c>
      <c r="I1" s="17" t="s">
        <v>8</v>
      </c>
      <c r="J1" s="17" t="s">
        <v>10</v>
      </c>
      <c r="K1" s="17" t="s">
        <v>9</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9" t="s">
        <v>35</v>
      </c>
      <c r="AK1" s="21" t="s">
        <v>36</v>
      </c>
      <c r="AL1" s="19" t="s">
        <v>37</v>
      </c>
      <c r="AM1" s="21" t="s">
        <v>38</v>
      </c>
      <c r="AN1" s="19" t="s">
        <v>39</v>
      </c>
      <c r="AO1" s="21" t="s">
        <v>40</v>
      </c>
      <c r="AP1" s="17" t="s">
        <v>41</v>
      </c>
      <c r="AQ1" s="24" t="s">
        <v>42</v>
      </c>
      <c r="AR1" s="24" t="s">
        <v>43</v>
      </c>
      <c r="AS1" s="24" t="s">
        <v>44</v>
      </c>
      <c r="AT1" s="26" t="s">
        <v>45</v>
      </c>
      <c r="AU1" s="28" t="s">
        <v>46</v>
      </c>
      <c r="AV1" s="17" t="s">
        <v>47</v>
      </c>
      <c r="AW1" t="s">
        <v>459</v>
      </c>
      <c r="AX1" s="17" t="s">
        <v>48</v>
      </c>
      <c r="AY1" s="17" t="s">
        <v>49</v>
      </c>
      <c r="AZ1" s="17" t="s">
        <v>50</v>
      </c>
      <c r="BA1" s="17" t="s">
        <v>51</v>
      </c>
      <c r="BB1" s="17" t="s">
        <v>52</v>
      </c>
      <c r="BC1" t="s">
        <v>855</v>
      </c>
    </row>
    <row r="2" spans="1:55" x14ac:dyDescent="0.3">
      <c r="A2" s="48" t="s">
        <v>210</v>
      </c>
      <c r="B2" s="56">
        <v>45660</v>
      </c>
      <c r="C2" s="50" t="s">
        <v>97</v>
      </c>
      <c r="D2" s="57">
        <v>0.875</v>
      </c>
      <c r="E2" s="57">
        <v>0.89583333333333337</v>
      </c>
      <c r="F2" s="50" t="s">
        <v>454</v>
      </c>
      <c r="G2" s="50" t="s">
        <v>55</v>
      </c>
      <c r="H2" s="50" t="s">
        <v>211</v>
      </c>
      <c r="I2" s="50" t="s">
        <v>212</v>
      </c>
      <c r="J2" s="50" t="s">
        <v>213</v>
      </c>
      <c r="K2" s="50" t="s">
        <v>213</v>
      </c>
      <c r="L2" s="50" t="s">
        <v>59</v>
      </c>
      <c r="M2" s="50" t="s">
        <v>59</v>
      </c>
      <c r="N2" s="50" t="s">
        <v>214</v>
      </c>
      <c r="O2" s="48" t="s">
        <v>215</v>
      </c>
      <c r="P2" s="48">
        <v>9</v>
      </c>
      <c r="Q2" s="50" t="s">
        <v>216</v>
      </c>
      <c r="R2" s="50"/>
      <c r="S2" s="50"/>
      <c r="T2" s="48" t="s">
        <v>217</v>
      </c>
      <c r="U2" s="48" t="s">
        <v>63</v>
      </c>
      <c r="V2" s="48" t="s">
        <v>218</v>
      </c>
      <c r="W2" s="48" t="s">
        <v>65</v>
      </c>
      <c r="X2" s="48"/>
      <c r="Y2" s="48"/>
      <c r="Z2" s="48"/>
      <c r="AA2" s="48"/>
      <c r="AB2" s="50" t="s">
        <v>157</v>
      </c>
      <c r="AC2" s="50" t="s">
        <v>67</v>
      </c>
      <c r="AD2" s="50" t="s">
        <v>219</v>
      </c>
      <c r="AE2" s="48" t="s">
        <v>206</v>
      </c>
      <c r="AF2" s="50" t="s">
        <v>220</v>
      </c>
      <c r="AG2" s="50" t="s">
        <v>71</v>
      </c>
      <c r="AH2" s="50" t="s">
        <v>221</v>
      </c>
      <c r="AI2" s="50">
        <v>9</v>
      </c>
      <c r="AJ2" s="56">
        <v>45660</v>
      </c>
      <c r="AK2" s="51">
        <v>0.89583333333333337</v>
      </c>
      <c r="AL2" s="56">
        <v>45661</v>
      </c>
      <c r="AM2" s="51">
        <v>0.2673611111111111</v>
      </c>
      <c r="AN2" s="56">
        <v>45661</v>
      </c>
      <c r="AO2" s="51">
        <v>0.45774305555555556</v>
      </c>
      <c r="AP2" s="50">
        <v>2025</v>
      </c>
      <c r="AQ2" s="53">
        <v>1</v>
      </c>
      <c r="AR2" s="53">
        <v>1</v>
      </c>
      <c r="AS2" s="53">
        <v>3</v>
      </c>
      <c r="AT2" s="54">
        <v>3</v>
      </c>
      <c r="AU2" s="55">
        <v>45660.895833333336</v>
      </c>
      <c r="AV2" s="48">
        <v>309</v>
      </c>
      <c r="AW2" t="s">
        <v>216</v>
      </c>
      <c r="AX2" s="50" t="s">
        <v>222</v>
      </c>
      <c r="AY2" s="50" t="s">
        <v>223</v>
      </c>
      <c r="AZ2" s="50" t="s">
        <v>59</v>
      </c>
      <c r="BA2" s="48" t="s">
        <v>514</v>
      </c>
      <c r="BB2" s="50" t="s">
        <v>109</v>
      </c>
      <c r="BC2" t="s">
        <v>210</v>
      </c>
    </row>
    <row r="3" spans="1:55" x14ac:dyDescent="0.3">
      <c r="A3" s="48" t="s">
        <v>224</v>
      </c>
      <c r="B3" s="56">
        <v>45672</v>
      </c>
      <c r="C3" s="50" t="s">
        <v>54</v>
      </c>
      <c r="D3" s="57">
        <v>0.5</v>
      </c>
      <c r="E3" s="57">
        <v>0.53988425925925931</v>
      </c>
      <c r="F3" s="50" t="s">
        <v>452</v>
      </c>
      <c r="G3" s="50" t="s">
        <v>55</v>
      </c>
      <c r="H3" s="50" t="s">
        <v>225</v>
      </c>
      <c r="I3" s="50" t="s">
        <v>226</v>
      </c>
      <c r="J3" s="50" t="s">
        <v>213</v>
      </c>
      <c r="K3" s="50" t="s">
        <v>213</v>
      </c>
      <c r="L3" s="50" t="s">
        <v>59</v>
      </c>
      <c r="M3" s="50" t="s">
        <v>59</v>
      </c>
      <c r="N3" s="50" t="s">
        <v>227</v>
      </c>
      <c r="O3" s="48" t="s">
        <v>84</v>
      </c>
      <c r="P3" s="48">
        <v>8</v>
      </c>
      <c r="Q3" s="50" t="s">
        <v>228</v>
      </c>
      <c r="R3" s="50"/>
      <c r="S3" s="50"/>
      <c r="T3" s="48" t="s">
        <v>229</v>
      </c>
      <c r="U3" s="48" t="s">
        <v>63</v>
      </c>
      <c r="V3" s="48" t="s">
        <v>230</v>
      </c>
      <c r="W3" s="48" t="s">
        <v>65</v>
      </c>
      <c r="X3" s="48"/>
      <c r="Y3" s="48"/>
      <c r="Z3" s="48"/>
      <c r="AA3" s="48"/>
      <c r="AB3" s="50" t="s">
        <v>119</v>
      </c>
      <c r="AC3" s="50" t="s">
        <v>67</v>
      </c>
      <c r="AD3" s="50" t="s">
        <v>231</v>
      </c>
      <c r="AE3" s="48" t="s">
        <v>232</v>
      </c>
      <c r="AF3" s="50" t="s">
        <v>70</v>
      </c>
      <c r="AG3" s="50" t="s">
        <v>71</v>
      </c>
      <c r="AH3" s="50" t="s">
        <v>221</v>
      </c>
      <c r="AI3" s="50">
        <v>9</v>
      </c>
      <c r="AJ3" s="56">
        <v>45672</v>
      </c>
      <c r="AK3" s="51">
        <v>0.53988425925925931</v>
      </c>
      <c r="AL3" s="56"/>
      <c r="AM3" s="51"/>
      <c r="AN3" s="56">
        <v>45672</v>
      </c>
      <c r="AO3" s="51">
        <v>0.53988425925925931</v>
      </c>
      <c r="AP3" s="50">
        <v>2025</v>
      </c>
      <c r="AQ3" s="53">
        <v>3</v>
      </c>
      <c r="AR3" s="53">
        <v>3</v>
      </c>
      <c r="AS3" s="53">
        <v>15</v>
      </c>
      <c r="AT3" s="54">
        <v>15</v>
      </c>
      <c r="AU3" s="55">
        <v>45672.539583333331</v>
      </c>
      <c r="AV3" s="48">
        <v>244</v>
      </c>
      <c r="AW3" t="s">
        <v>228</v>
      </c>
      <c r="AX3" s="50" t="s">
        <v>233</v>
      </c>
      <c r="AY3" s="50" t="s">
        <v>234</v>
      </c>
      <c r="AZ3" s="50" t="s">
        <v>235</v>
      </c>
      <c r="BA3" s="48" t="s">
        <v>512</v>
      </c>
      <c r="BB3" s="50" t="s">
        <v>76</v>
      </c>
      <c r="BC3" t="s">
        <v>224</v>
      </c>
    </row>
    <row r="4" spans="1:55" x14ac:dyDescent="0.3">
      <c r="A4" s="48" t="s">
        <v>236</v>
      </c>
      <c r="B4" s="56">
        <v>45678</v>
      </c>
      <c r="C4" s="50" t="s">
        <v>78</v>
      </c>
      <c r="D4" s="57">
        <v>0.79166666666666663</v>
      </c>
      <c r="E4" s="57">
        <v>0.79166666666666663</v>
      </c>
      <c r="F4" s="50" t="s">
        <v>451</v>
      </c>
      <c r="G4" s="50" t="s">
        <v>55</v>
      </c>
      <c r="H4" s="50" t="s">
        <v>237</v>
      </c>
      <c r="I4" s="50" t="s">
        <v>238</v>
      </c>
      <c r="J4" s="50" t="s">
        <v>213</v>
      </c>
      <c r="K4" s="50" t="s">
        <v>213</v>
      </c>
      <c r="L4" s="50" t="s">
        <v>59</v>
      </c>
      <c r="M4" s="50" t="s">
        <v>59</v>
      </c>
      <c r="N4" s="50" t="s">
        <v>239</v>
      </c>
      <c r="O4" s="48" t="s">
        <v>178</v>
      </c>
      <c r="P4" s="48">
        <v>9</v>
      </c>
      <c r="Q4" s="50" t="s">
        <v>240</v>
      </c>
      <c r="R4" s="50"/>
      <c r="S4" s="50"/>
      <c r="T4" s="48" t="s">
        <v>241</v>
      </c>
      <c r="U4" s="48" t="s">
        <v>63</v>
      </c>
      <c r="V4" s="48" t="s">
        <v>242</v>
      </c>
      <c r="W4" s="48" t="s">
        <v>65</v>
      </c>
      <c r="X4" s="48"/>
      <c r="Y4" s="48"/>
      <c r="Z4" s="48"/>
      <c r="AA4" s="48"/>
      <c r="AB4" s="50" t="s">
        <v>243</v>
      </c>
      <c r="AC4" s="50" t="s">
        <v>67</v>
      </c>
      <c r="AD4" s="50" t="s">
        <v>244</v>
      </c>
      <c r="AE4" s="48" t="s">
        <v>206</v>
      </c>
      <c r="AF4" s="50" t="s">
        <v>160</v>
      </c>
      <c r="AG4" s="50" t="s">
        <v>71</v>
      </c>
      <c r="AH4" s="50" t="s">
        <v>221</v>
      </c>
      <c r="AI4" s="50">
        <v>9</v>
      </c>
      <c r="AJ4" s="56">
        <v>45678</v>
      </c>
      <c r="AK4" s="51">
        <v>0.79166666666666663</v>
      </c>
      <c r="AL4" s="56">
        <v>45679</v>
      </c>
      <c r="AM4" s="51">
        <v>0.13125000000000001</v>
      </c>
      <c r="AN4" s="56">
        <v>45679</v>
      </c>
      <c r="AO4" s="51">
        <v>0.13255787037037037</v>
      </c>
      <c r="AP4" s="50">
        <v>2025</v>
      </c>
      <c r="AQ4" s="53">
        <v>4</v>
      </c>
      <c r="AR4" s="53">
        <v>4</v>
      </c>
      <c r="AS4" s="53">
        <v>21</v>
      </c>
      <c r="AT4" s="54">
        <v>21</v>
      </c>
      <c r="AU4" s="55">
        <v>45678.791666666664</v>
      </c>
      <c r="AV4" s="48">
        <v>33</v>
      </c>
      <c r="AW4" t="s">
        <v>240</v>
      </c>
      <c r="AX4" s="50" t="s">
        <v>245</v>
      </c>
      <c r="AY4" s="50" t="s">
        <v>59</v>
      </c>
      <c r="AZ4" s="50" t="s">
        <v>59</v>
      </c>
      <c r="BA4" s="48" t="s">
        <v>511</v>
      </c>
      <c r="BB4" s="50" t="s">
        <v>95</v>
      </c>
      <c r="BC4" t="s">
        <v>236</v>
      </c>
    </row>
    <row r="5" spans="1:55" x14ac:dyDescent="0.3">
      <c r="A5" s="48" t="s">
        <v>246</v>
      </c>
      <c r="B5" s="56">
        <v>45679</v>
      </c>
      <c r="C5" s="50" t="s">
        <v>141</v>
      </c>
      <c r="D5" s="57">
        <v>0.33333333333333331</v>
      </c>
      <c r="E5" s="57">
        <v>0.33333333333333331</v>
      </c>
      <c r="F5" s="50" t="s">
        <v>452</v>
      </c>
      <c r="G5" s="50" t="s">
        <v>55</v>
      </c>
      <c r="H5" s="50" t="s">
        <v>247</v>
      </c>
      <c r="I5" s="50" t="s">
        <v>248</v>
      </c>
      <c r="J5" s="50" t="s">
        <v>213</v>
      </c>
      <c r="K5" s="50" t="s">
        <v>213</v>
      </c>
      <c r="L5" s="50" t="s">
        <v>59</v>
      </c>
      <c r="M5" s="50" t="s">
        <v>59</v>
      </c>
      <c r="N5" s="50" t="s">
        <v>249</v>
      </c>
      <c r="O5" s="48" t="s">
        <v>250</v>
      </c>
      <c r="P5" s="48">
        <v>5</v>
      </c>
      <c r="Q5" s="50" t="s">
        <v>251</v>
      </c>
      <c r="R5" s="50"/>
      <c r="S5" s="50"/>
      <c r="T5" s="48" t="s">
        <v>252</v>
      </c>
      <c r="U5" s="48" t="s">
        <v>253</v>
      </c>
      <c r="V5" s="48" t="s">
        <v>254</v>
      </c>
      <c r="W5" s="48" t="s">
        <v>65</v>
      </c>
      <c r="X5" s="48"/>
      <c r="Y5" s="48"/>
      <c r="Z5" s="48"/>
      <c r="AA5" s="48"/>
      <c r="AB5" s="50" t="s">
        <v>119</v>
      </c>
      <c r="AC5" s="50" t="s">
        <v>67</v>
      </c>
      <c r="AD5" s="50" t="s">
        <v>244</v>
      </c>
      <c r="AE5" s="48" t="s">
        <v>206</v>
      </c>
      <c r="AF5" s="50" t="s">
        <v>122</v>
      </c>
      <c r="AG5" s="50" t="s">
        <v>71</v>
      </c>
      <c r="AH5" s="50" t="s">
        <v>221</v>
      </c>
      <c r="AI5" s="50">
        <v>9</v>
      </c>
      <c r="AJ5" s="56">
        <v>45679</v>
      </c>
      <c r="AK5" s="51">
        <v>0.33333333333333331</v>
      </c>
      <c r="AL5" s="56">
        <v>45679</v>
      </c>
      <c r="AM5" s="51">
        <v>0.80069444444444449</v>
      </c>
      <c r="AN5" s="56">
        <v>45679</v>
      </c>
      <c r="AO5" s="51">
        <v>0.80203703703703699</v>
      </c>
      <c r="AP5" s="50">
        <v>2025</v>
      </c>
      <c r="AQ5" s="53">
        <v>4</v>
      </c>
      <c r="AR5" s="53">
        <v>4</v>
      </c>
      <c r="AS5" s="53">
        <v>22</v>
      </c>
      <c r="AT5" s="54">
        <v>22</v>
      </c>
      <c r="AU5" s="55">
        <v>45679.333333333336</v>
      </c>
      <c r="AV5" s="48">
        <v>443</v>
      </c>
      <c r="AW5" t="s">
        <v>251</v>
      </c>
      <c r="AX5" s="50" t="s">
        <v>255</v>
      </c>
      <c r="AY5" s="50" t="s">
        <v>59</v>
      </c>
      <c r="AZ5" s="50" t="s">
        <v>59</v>
      </c>
      <c r="BA5" s="48" t="s">
        <v>511</v>
      </c>
      <c r="BB5" s="50" t="s">
        <v>150</v>
      </c>
      <c r="BC5" t="s">
        <v>246</v>
      </c>
    </row>
    <row r="6" spans="1:55" x14ac:dyDescent="0.3">
      <c r="A6" s="48" t="s">
        <v>256</v>
      </c>
      <c r="B6" s="56">
        <v>45685</v>
      </c>
      <c r="C6" s="50" t="s">
        <v>54</v>
      </c>
      <c r="D6" s="57">
        <v>0.625</v>
      </c>
      <c r="E6" s="57">
        <v>0.625</v>
      </c>
      <c r="F6" s="50" t="s">
        <v>451</v>
      </c>
      <c r="G6" s="50" t="s">
        <v>55</v>
      </c>
      <c r="H6" s="50" t="s">
        <v>257</v>
      </c>
      <c r="I6" s="50" t="s">
        <v>258</v>
      </c>
      <c r="J6" s="50" t="s">
        <v>259</v>
      </c>
      <c r="K6" s="50" t="s">
        <v>213</v>
      </c>
      <c r="L6" s="50" t="s">
        <v>82</v>
      </c>
      <c r="M6" s="50" t="s">
        <v>59</v>
      </c>
      <c r="N6" s="50" t="s">
        <v>260</v>
      </c>
      <c r="O6" s="48" t="s">
        <v>261</v>
      </c>
      <c r="P6" s="48">
        <v>6</v>
      </c>
      <c r="Q6" s="50" t="s">
        <v>262</v>
      </c>
      <c r="R6" s="50"/>
      <c r="S6" s="50"/>
      <c r="T6" s="48" t="s">
        <v>263</v>
      </c>
      <c r="U6" s="48" t="s">
        <v>264</v>
      </c>
      <c r="V6" s="48" t="s">
        <v>265</v>
      </c>
      <c r="W6" s="48" t="s">
        <v>65</v>
      </c>
      <c r="X6" s="48"/>
      <c r="Y6" s="48"/>
      <c r="Z6" s="48"/>
      <c r="AA6" s="48"/>
      <c r="AB6" s="50" t="s">
        <v>119</v>
      </c>
      <c r="AC6" s="50" t="s">
        <v>67</v>
      </c>
      <c r="AD6" s="50" t="s">
        <v>244</v>
      </c>
      <c r="AE6" s="48" t="s">
        <v>206</v>
      </c>
      <c r="AF6" s="50" t="s">
        <v>70</v>
      </c>
      <c r="AG6" s="50" t="s">
        <v>266</v>
      </c>
      <c r="AH6" s="50" t="s">
        <v>221</v>
      </c>
      <c r="AI6" s="50">
        <v>9</v>
      </c>
      <c r="AJ6" s="56">
        <v>45685</v>
      </c>
      <c r="AK6" s="51">
        <v>0.625</v>
      </c>
      <c r="AL6" s="56">
        <v>45686</v>
      </c>
      <c r="AM6" s="51">
        <v>0.91736111111111107</v>
      </c>
      <c r="AN6" s="56">
        <v>45686</v>
      </c>
      <c r="AO6" s="51">
        <v>0.91833333333333333</v>
      </c>
      <c r="AP6" s="50">
        <v>2025</v>
      </c>
      <c r="AQ6" s="53">
        <v>5</v>
      </c>
      <c r="AR6" s="53">
        <v>5</v>
      </c>
      <c r="AS6" s="53">
        <v>28</v>
      </c>
      <c r="AT6" s="54">
        <v>28</v>
      </c>
      <c r="AU6" s="55">
        <v>45685.625</v>
      </c>
      <c r="AV6" s="48">
        <v>119</v>
      </c>
      <c r="AW6" t="s">
        <v>262</v>
      </c>
      <c r="AX6" s="50" t="s">
        <v>267</v>
      </c>
      <c r="AY6" s="50" t="s">
        <v>59</v>
      </c>
      <c r="AZ6" s="50" t="s">
        <v>268</v>
      </c>
      <c r="BA6" s="48" t="s">
        <v>510</v>
      </c>
      <c r="BB6" s="50" t="s">
        <v>76</v>
      </c>
      <c r="BC6" t="s">
        <v>256</v>
      </c>
    </row>
    <row r="7" spans="1:55" x14ac:dyDescent="0.3">
      <c r="A7" s="48" t="s">
        <v>305</v>
      </c>
      <c r="B7" s="56">
        <v>45688</v>
      </c>
      <c r="C7" s="50" t="s">
        <v>54</v>
      </c>
      <c r="D7" s="57">
        <v>0.5</v>
      </c>
      <c r="E7" s="57">
        <v>0.5</v>
      </c>
      <c r="F7" s="50" t="s">
        <v>454</v>
      </c>
      <c r="G7" s="50" t="s">
        <v>55</v>
      </c>
      <c r="H7" s="50" t="s">
        <v>306</v>
      </c>
      <c r="I7" s="50" t="s">
        <v>307</v>
      </c>
      <c r="J7" s="50" t="s">
        <v>213</v>
      </c>
      <c r="K7" s="50" t="s">
        <v>213</v>
      </c>
      <c r="L7" s="50" t="s">
        <v>59</v>
      </c>
      <c r="M7" s="50" t="s">
        <v>59</v>
      </c>
      <c r="N7" s="50" t="s">
        <v>308</v>
      </c>
      <c r="O7" s="48" t="s">
        <v>250</v>
      </c>
      <c r="P7" s="48">
        <v>5</v>
      </c>
      <c r="Q7" s="50" t="s">
        <v>309</v>
      </c>
      <c r="R7" s="50"/>
      <c r="S7" s="50"/>
      <c r="T7" s="48" t="s">
        <v>310</v>
      </c>
      <c r="U7" s="48"/>
      <c r="V7" s="48" t="s">
        <v>230</v>
      </c>
      <c r="W7" s="48" t="s">
        <v>65</v>
      </c>
      <c r="X7" s="48"/>
      <c r="Y7" s="48"/>
      <c r="Z7" s="48"/>
      <c r="AA7" s="48"/>
      <c r="AB7" s="50" t="s">
        <v>119</v>
      </c>
      <c r="AC7" s="50" t="s">
        <v>67</v>
      </c>
      <c r="AD7" s="50" t="s">
        <v>205</v>
      </c>
      <c r="AE7" s="48" t="s">
        <v>206</v>
      </c>
      <c r="AF7" s="50" t="s">
        <v>106</v>
      </c>
      <c r="AG7" s="50" t="s">
        <v>71</v>
      </c>
      <c r="AH7" s="50" t="s">
        <v>221</v>
      </c>
      <c r="AI7" s="50">
        <v>9</v>
      </c>
      <c r="AJ7" s="56">
        <v>45688</v>
      </c>
      <c r="AK7" s="51">
        <v>0.5</v>
      </c>
      <c r="AL7" s="56">
        <v>45695</v>
      </c>
      <c r="AM7" s="51">
        <v>0.54166666666666663</v>
      </c>
      <c r="AN7" s="56">
        <v>45696</v>
      </c>
      <c r="AO7" s="51">
        <v>0.3903240740740741</v>
      </c>
      <c r="AP7" s="50">
        <v>2025</v>
      </c>
      <c r="AQ7" s="53">
        <v>5</v>
      </c>
      <c r="AR7" s="53">
        <v>5</v>
      </c>
      <c r="AS7" s="53">
        <v>31</v>
      </c>
      <c r="AT7" s="54">
        <v>31</v>
      </c>
      <c r="AU7" s="55">
        <v>45688.5</v>
      </c>
      <c r="AV7" s="48">
        <v>535</v>
      </c>
      <c r="AW7" t="s">
        <v>309</v>
      </c>
      <c r="AX7" s="50" t="s">
        <v>311</v>
      </c>
      <c r="AY7" s="50" t="s">
        <v>59</v>
      </c>
      <c r="AZ7" s="50" t="s">
        <v>312</v>
      </c>
      <c r="BA7" s="48" t="s">
        <v>510</v>
      </c>
      <c r="BB7" s="50" t="s">
        <v>76</v>
      </c>
      <c r="BC7" t="s">
        <v>305</v>
      </c>
    </row>
    <row r="8" spans="1:55" x14ac:dyDescent="0.3">
      <c r="A8" s="48" t="s">
        <v>269</v>
      </c>
      <c r="B8" s="56">
        <v>45689</v>
      </c>
      <c r="C8" s="50" t="s">
        <v>162</v>
      </c>
      <c r="D8" s="57">
        <v>4.1666666666666664E-2</v>
      </c>
      <c r="E8" s="57">
        <v>4.1666666666666664E-2</v>
      </c>
      <c r="F8" s="50" t="s">
        <v>455</v>
      </c>
      <c r="G8" s="50" t="s">
        <v>111</v>
      </c>
      <c r="H8" s="50" t="s">
        <v>270</v>
      </c>
      <c r="I8" s="50" t="s">
        <v>271</v>
      </c>
      <c r="J8" s="50" t="s">
        <v>213</v>
      </c>
      <c r="K8" s="50" t="s">
        <v>213</v>
      </c>
      <c r="L8" s="50" t="s">
        <v>59</v>
      </c>
      <c r="M8" s="50" t="s">
        <v>59</v>
      </c>
      <c r="N8" s="50" t="s">
        <v>272</v>
      </c>
      <c r="O8" s="48" t="s">
        <v>273</v>
      </c>
      <c r="P8" s="48">
        <v>6</v>
      </c>
      <c r="Q8" s="50" t="s">
        <v>274</v>
      </c>
      <c r="R8" s="50"/>
      <c r="S8" s="50"/>
      <c r="T8" s="48" t="s">
        <v>275</v>
      </c>
      <c r="U8" s="48" t="s">
        <v>117</v>
      </c>
      <c r="V8" s="48" t="s">
        <v>276</v>
      </c>
      <c r="W8" s="48" t="s">
        <v>65</v>
      </c>
      <c r="X8" s="48"/>
      <c r="Y8" s="48"/>
      <c r="Z8" s="48"/>
      <c r="AA8" s="48"/>
      <c r="AB8" s="50" t="s">
        <v>119</v>
      </c>
      <c r="AC8" s="50" t="s">
        <v>67</v>
      </c>
      <c r="AD8" s="50" t="s">
        <v>244</v>
      </c>
      <c r="AE8" s="48" t="s">
        <v>206</v>
      </c>
      <c r="AF8" s="50" t="s">
        <v>122</v>
      </c>
      <c r="AG8" s="50" t="s">
        <v>71</v>
      </c>
      <c r="AH8" s="50" t="s">
        <v>221</v>
      </c>
      <c r="AI8" s="50">
        <v>9</v>
      </c>
      <c r="AJ8" s="56">
        <v>45689</v>
      </c>
      <c r="AK8" s="51">
        <v>4.1666666666666664E-2</v>
      </c>
      <c r="AL8" s="56"/>
      <c r="AM8" s="51">
        <v>0.10416666666666667</v>
      </c>
      <c r="AN8" s="56">
        <v>45689</v>
      </c>
      <c r="AO8" s="51">
        <v>0.11982638888888889</v>
      </c>
      <c r="AP8" s="50">
        <v>2025</v>
      </c>
      <c r="AQ8" s="53">
        <v>5</v>
      </c>
      <c r="AR8" s="53">
        <v>1</v>
      </c>
      <c r="AS8" s="53">
        <v>1</v>
      </c>
      <c r="AT8" s="54">
        <v>32</v>
      </c>
      <c r="AU8" s="55">
        <v>45689.041666666664</v>
      </c>
      <c r="AV8" s="48">
        <v>453</v>
      </c>
      <c r="AW8" t="s">
        <v>274</v>
      </c>
      <c r="AX8" s="50" t="s">
        <v>277</v>
      </c>
      <c r="AY8" s="50" t="s">
        <v>59</v>
      </c>
      <c r="AZ8" s="50" t="s">
        <v>278</v>
      </c>
      <c r="BA8" s="48" t="s">
        <v>510</v>
      </c>
      <c r="BB8" s="50" t="s">
        <v>172</v>
      </c>
      <c r="BC8" t="s">
        <v>269</v>
      </c>
    </row>
    <row r="9" spans="1:55" x14ac:dyDescent="0.3">
      <c r="A9" s="48" t="s">
        <v>279</v>
      </c>
      <c r="B9" s="56">
        <v>45691</v>
      </c>
      <c r="C9" s="50" t="s">
        <v>78</v>
      </c>
      <c r="D9" s="57">
        <v>0.75</v>
      </c>
      <c r="E9" s="57">
        <v>0.77083333333333337</v>
      </c>
      <c r="F9" s="50" t="s">
        <v>450</v>
      </c>
      <c r="G9" s="50" t="s">
        <v>111</v>
      </c>
      <c r="H9" s="50" t="s">
        <v>280</v>
      </c>
      <c r="I9" s="50" t="s">
        <v>281</v>
      </c>
      <c r="J9" s="50" t="s">
        <v>213</v>
      </c>
      <c r="K9" s="50" t="s">
        <v>213</v>
      </c>
      <c r="L9" s="50" t="s">
        <v>59</v>
      </c>
      <c r="M9" s="50" t="s">
        <v>59</v>
      </c>
      <c r="N9" s="50" t="s">
        <v>282</v>
      </c>
      <c r="O9" s="48" t="s">
        <v>283</v>
      </c>
      <c r="P9" s="48">
        <v>8</v>
      </c>
      <c r="Q9" s="50" t="s">
        <v>284</v>
      </c>
      <c r="R9" s="50"/>
      <c r="S9" s="50"/>
      <c r="T9" s="48" t="s">
        <v>285</v>
      </c>
      <c r="U9" s="48" t="s">
        <v>286</v>
      </c>
      <c r="V9" s="48" t="s">
        <v>287</v>
      </c>
      <c r="W9" s="48" t="s">
        <v>288</v>
      </c>
      <c r="X9" s="48"/>
      <c r="Y9" s="48"/>
      <c r="Z9" s="48"/>
      <c r="AA9" s="48"/>
      <c r="AB9" s="50" t="s">
        <v>66</v>
      </c>
      <c r="AC9" s="50" t="s">
        <v>67</v>
      </c>
      <c r="AD9" s="50" t="s">
        <v>105</v>
      </c>
      <c r="AE9" s="48" t="s">
        <v>69</v>
      </c>
      <c r="AF9" s="50" t="s">
        <v>70</v>
      </c>
      <c r="AG9" s="50" t="s">
        <v>195</v>
      </c>
      <c r="AH9" s="50" t="s">
        <v>221</v>
      </c>
      <c r="AI9" s="50">
        <v>9</v>
      </c>
      <c r="AJ9" s="56">
        <v>45691</v>
      </c>
      <c r="AK9" s="51">
        <v>0.77083333333333337</v>
      </c>
      <c r="AL9" s="56">
        <v>45692</v>
      </c>
      <c r="AM9" s="51">
        <v>0.79166666666666663</v>
      </c>
      <c r="AN9" s="56">
        <v>45692</v>
      </c>
      <c r="AO9" s="51">
        <v>0.53023148148148147</v>
      </c>
      <c r="AP9" s="50">
        <v>2025</v>
      </c>
      <c r="AQ9" s="53">
        <v>6</v>
      </c>
      <c r="AR9" s="53">
        <v>2</v>
      </c>
      <c r="AS9" s="53">
        <v>3</v>
      </c>
      <c r="AT9" s="54">
        <v>34</v>
      </c>
      <c r="AU9" s="55">
        <v>45691.770833333336</v>
      </c>
      <c r="AV9" s="48">
        <v>55</v>
      </c>
      <c r="AW9" t="s">
        <v>284</v>
      </c>
      <c r="AX9" s="50" t="s">
        <v>289</v>
      </c>
      <c r="AY9" s="50" t="s">
        <v>290</v>
      </c>
      <c r="AZ9" s="50" t="s">
        <v>291</v>
      </c>
      <c r="BA9" s="48" t="s">
        <v>510</v>
      </c>
      <c r="BB9" s="50" t="s">
        <v>95</v>
      </c>
      <c r="BC9" t="s">
        <v>279</v>
      </c>
    </row>
    <row r="10" spans="1:55" x14ac:dyDescent="0.3">
      <c r="A10" s="48" t="s">
        <v>292</v>
      </c>
      <c r="B10" s="56">
        <v>45695</v>
      </c>
      <c r="C10" s="50" t="s">
        <v>293</v>
      </c>
      <c r="D10" s="57">
        <v>0.25</v>
      </c>
      <c r="E10" s="57">
        <v>0.27430555555555558</v>
      </c>
      <c r="F10" s="50" t="s">
        <v>454</v>
      </c>
      <c r="G10" s="50" t="s">
        <v>111</v>
      </c>
      <c r="H10" s="50" t="s">
        <v>294</v>
      </c>
      <c r="I10" s="50" t="s">
        <v>295</v>
      </c>
      <c r="J10" s="50" t="s">
        <v>213</v>
      </c>
      <c r="K10" s="50" t="s">
        <v>213</v>
      </c>
      <c r="L10" s="50" t="s">
        <v>59</v>
      </c>
      <c r="M10" s="50" t="s">
        <v>59</v>
      </c>
      <c r="N10" s="50" t="s">
        <v>296</v>
      </c>
      <c r="O10" s="48" t="s">
        <v>203</v>
      </c>
      <c r="P10" s="48">
        <v>5</v>
      </c>
      <c r="Q10" s="50" t="s">
        <v>297</v>
      </c>
      <c r="R10" s="50"/>
      <c r="S10" s="50"/>
      <c r="T10" s="48" t="s">
        <v>298</v>
      </c>
      <c r="U10" s="48" t="s">
        <v>299</v>
      </c>
      <c r="V10" s="48" t="s">
        <v>300</v>
      </c>
      <c r="W10" s="48" t="s">
        <v>65</v>
      </c>
      <c r="X10" s="48"/>
      <c r="Y10" s="48"/>
      <c r="Z10" s="48"/>
      <c r="AA10" s="48"/>
      <c r="AB10" s="50" t="s">
        <v>119</v>
      </c>
      <c r="AC10" s="50" t="s">
        <v>67</v>
      </c>
      <c r="AD10" s="50" t="s">
        <v>301</v>
      </c>
      <c r="AE10" s="48" t="s">
        <v>121</v>
      </c>
      <c r="AF10" s="50" t="s">
        <v>180</v>
      </c>
      <c r="AG10" s="50" t="s">
        <v>92</v>
      </c>
      <c r="AH10" s="50" t="s">
        <v>221</v>
      </c>
      <c r="AI10" s="50">
        <v>9</v>
      </c>
      <c r="AJ10" s="56">
        <v>45695</v>
      </c>
      <c r="AK10" s="51">
        <v>0.27430555555555558</v>
      </c>
      <c r="AL10" s="56">
        <v>45695</v>
      </c>
      <c r="AM10" s="51">
        <v>0.28472222222222221</v>
      </c>
      <c r="AN10" s="56">
        <v>45695</v>
      </c>
      <c r="AO10" s="51">
        <v>0.30738425925925927</v>
      </c>
      <c r="AP10" s="50">
        <v>2025</v>
      </c>
      <c r="AQ10" s="53">
        <v>6</v>
      </c>
      <c r="AR10" s="53">
        <v>2</v>
      </c>
      <c r="AS10" s="53">
        <v>7</v>
      </c>
      <c r="AT10" s="54">
        <v>38</v>
      </c>
      <c r="AU10" s="55">
        <v>45695.274305555555</v>
      </c>
      <c r="AV10" s="48">
        <v>170</v>
      </c>
      <c r="AW10" t="s">
        <v>297</v>
      </c>
      <c r="AX10" s="50" t="s">
        <v>302</v>
      </c>
      <c r="AY10" s="50" t="s">
        <v>59</v>
      </c>
      <c r="AZ10" s="50" t="s">
        <v>303</v>
      </c>
      <c r="BA10" s="48" t="s">
        <v>509</v>
      </c>
      <c r="BB10" s="50" t="s">
        <v>304</v>
      </c>
      <c r="BC10" t="s">
        <v>292</v>
      </c>
    </row>
    <row r="11" spans="1:55" x14ac:dyDescent="0.3">
      <c r="A11" s="48" t="s">
        <v>313</v>
      </c>
      <c r="B11" s="56">
        <v>45705</v>
      </c>
      <c r="C11" s="50" t="s">
        <v>141</v>
      </c>
      <c r="D11" s="57">
        <v>0.33333333333333331</v>
      </c>
      <c r="E11" s="57">
        <v>0.34877314814814814</v>
      </c>
      <c r="F11" s="50" t="s">
        <v>450</v>
      </c>
      <c r="G11" s="50" t="s">
        <v>111</v>
      </c>
      <c r="H11" s="50" t="s">
        <v>314</v>
      </c>
      <c r="I11" s="50" t="s">
        <v>315</v>
      </c>
      <c r="J11" s="50" t="s">
        <v>316</v>
      </c>
      <c r="K11" s="50" t="s">
        <v>213</v>
      </c>
      <c r="L11" s="50" t="s">
        <v>317</v>
      </c>
      <c r="M11" s="50" t="s">
        <v>59</v>
      </c>
      <c r="N11" s="50" t="s">
        <v>318</v>
      </c>
      <c r="O11" s="48" t="s">
        <v>134</v>
      </c>
      <c r="P11" s="48">
        <v>7</v>
      </c>
      <c r="Q11" s="50" t="s">
        <v>319</v>
      </c>
      <c r="R11" s="50"/>
      <c r="S11" s="50"/>
      <c r="T11" s="48" t="s">
        <v>320</v>
      </c>
      <c r="U11" s="48" t="s">
        <v>63</v>
      </c>
      <c r="V11" s="48" t="s">
        <v>218</v>
      </c>
      <c r="W11" s="48" t="s">
        <v>65</v>
      </c>
      <c r="X11" s="48"/>
      <c r="Y11" s="48"/>
      <c r="Z11" s="48"/>
      <c r="AA11" s="48"/>
      <c r="AB11" s="50" t="s">
        <v>66</v>
      </c>
      <c r="AC11" s="50" t="s">
        <v>67</v>
      </c>
      <c r="AD11" s="50" t="s">
        <v>68</v>
      </c>
      <c r="AE11" s="48" t="s">
        <v>69</v>
      </c>
      <c r="AF11" s="50" t="s">
        <v>122</v>
      </c>
      <c r="AG11" s="50" t="s">
        <v>123</v>
      </c>
      <c r="AH11" s="50" t="s">
        <v>221</v>
      </c>
      <c r="AI11" s="50">
        <v>9</v>
      </c>
      <c r="AJ11" s="56">
        <v>45705</v>
      </c>
      <c r="AK11" s="51">
        <v>0.34877314814814814</v>
      </c>
      <c r="AL11" s="56"/>
      <c r="AM11" s="51"/>
      <c r="AN11" s="56">
        <v>45705</v>
      </c>
      <c r="AO11" s="51">
        <v>0.34877314814814814</v>
      </c>
      <c r="AP11" s="50">
        <v>2025</v>
      </c>
      <c r="AQ11" s="53">
        <v>8</v>
      </c>
      <c r="AR11" s="53">
        <v>4</v>
      </c>
      <c r="AS11" s="53">
        <v>17</v>
      </c>
      <c r="AT11" s="54">
        <v>48</v>
      </c>
      <c r="AU11" s="55">
        <v>45705.348611111112</v>
      </c>
      <c r="AV11" s="48">
        <v>100</v>
      </c>
      <c r="AW11" t="s">
        <v>319</v>
      </c>
      <c r="AX11" s="50" t="s">
        <v>321</v>
      </c>
      <c r="AY11" s="50" t="s">
        <v>322</v>
      </c>
      <c r="AZ11" s="50" t="s">
        <v>323</v>
      </c>
      <c r="BA11" s="48" t="s">
        <v>508</v>
      </c>
      <c r="BB11" s="50" t="s">
        <v>150</v>
      </c>
      <c r="BC11" t="s">
        <v>313</v>
      </c>
    </row>
    <row r="12" spans="1:55" x14ac:dyDescent="0.3">
      <c r="A12" s="48" t="s">
        <v>324</v>
      </c>
      <c r="B12" s="56">
        <v>45705</v>
      </c>
      <c r="C12" s="50" t="s">
        <v>141</v>
      </c>
      <c r="D12" s="57">
        <v>0.375</v>
      </c>
      <c r="E12" s="57">
        <v>0.39716435185185184</v>
      </c>
      <c r="F12" s="50" t="s">
        <v>450</v>
      </c>
      <c r="G12" s="50" t="s">
        <v>111</v>
      </c>
      <c r="H12" s="50" t="s">
        <v>56</v>
      </c>
      <c r="I12" s="50" t="s">
        <v>325</v>
      </c>
      <c r="J12" s="50" t="s">
        <v>213</v>
      </c>
      <c r="K12" s="50" t="s">
        <v>213</v>
      </c>
      <c r="L12" s="50" t="s">
        <v>59</v>
      </c>
      <c r="M12" s="50" t="s">
        <v>59</v>
      </c>
      <c r="N12" s="50" t="s">
        <v>326</v>
      </c>
      <c r="O12" s="48" t="s">
        <v>327</v>
      </c>
      <c r="P12" s="48">
        <v>7</v>
      </c>
      <c r="Q12" s="50" t="s">
        <v>328</v>
      </c>
      <c r="R12" s="50"/>
      <c r="S12" s="50"/>
      <c r="T12" s="48" t="s">
        <v>329</v>
      </c>
      <c r="U12" s="48" t="s">
        <v>63</v>
      </c>
      <c r="V12" s="48" t="s">
        <v>218</v>
      </c>
      <c r="W12" s="48" t="s">
        <v>65</v>
      </c>
      <c r="X12" s="48"/>
      <c r="Y12" s="48"/>
      <c r="Z12" s="48"/>
      <c r="AA12" s="48"/>
      <c r="AB12" s="50" t="s">
        <v>66</v>
      </c>
      <c r="AC12" s="50" t="s">
        <v>67</v>
      </c>
      <c r="AD12" s="50" t="s">
        <v>330</v>
      </c>
      <c r="AE12" s="48" t="s">
        <v>69</v>
      </c>
      <c r="AF12" s="50" t="s">
        <v>122</v>
      </c>
      <c r="AG12" s="50" t="s">
        <v>71</v>
      </c>
      <c r="AH12" s="50" t="s">
        <v>221</v>
      </c>
      <c r="AI12" s="50">
        <v>9</v>
      </c>
      <c r="AJ12" s="56">
        <v>45705</v>
      </c>
      <c r="AK12" s="51">
        <v>0.39716435185185184</v>
      </c>
      <c r="AL12" s="56"/>
      <c r="AM12" s="51"/>
      <c r="AN12" s="56">
        <v>45705</v>
      </c>
      <c r="AO12" s="51">
        <v>0.39716435185185184</v>
      </c>
      <c r="AP12" s="50">
        <v>2025</v>
      </c>
      <c r="AQ12" s="53">
        <v>8</v>
      </c>
      <c r="AR12" s="53">
        <v>4</v>
      </c>
      <c r="AS12" s="53">
        <v>17</v>
      </c>
      <c r="AT12" s="54">
        <v>48</v>
      </c>
      <c r="AU12" s="55">
        <v>45705.396527777775</v>
      </c>
      <c r="AV12" s="48">
        <v>30</v>
      </c>
      <c r="AW12" t="s">
        <v>328</v>
      </c>
      <c r="AX12" s="50" t="s">
        <v>331</v>
      </c>
      <c r="AY12" s="50" t="s">
        <v>59</v>
      </c>
      <c r="AZ12" s="50" t="s">
        <v>59</v>
      </c>
      <c r="BA12" s="48" t="s">
        <v>508</v>
      </c>
      <c r="BB12" s="50" t="s">
        <v>150</v>
      </c>
      <c r="BC12" t="s">
        <v>324</v>
      </c>
    </row>
    <row r="13" spans="1:55" x14ac:dyDescent="0.3">
      <c r="A13" s="48" t="s">
        <v>332</v>
      </c>
      <c r="B13" s="56">
        <v>45713</v>
      </c>
      <c r="C13" s="50" t="s">
        <v>141</v>
      </c>
      <c r="D13" s="57">
        <v>0.41666666666666669</v>
      </c>
      <c r="E13" s="57">
        <v>0.41666666666666669</v>
      </c>
      <c r="F13" s="50" t="s">
        <v>451</v>
      </c>
      <c r="G13" s="50" t="s">
        <v>111</v>
      </c>
      <c r="H13" s="50" t="s">
        <v>333</v>
      </c>
      <c r="I13" s="50" t="s">
        <v>334</v>
      </c>
      <c r="J13" s="50" t="s">
        <v>213</v>
      </c>
      <c r="K13" s="50" t="s">
        <v>213</v>
      </c>
      <c r="L13" s="50" t="s">
        <v>59</v>
      </c>
      <c r="M13" s="50" t="s">
        <v>59</v>
      </c>
      <c r="N13" s="50" t="s">
        <v>335</v>
      </c>
      <c r="O13" s="48" t="s">
        <v>250</v>
      </c>
      <c r="P13" s="48">
        <v>5</v>
      </c>
      <c r="Q13" s="50" t="s">
        <v>336</v>
      </c>
      <c r="R13" s="50"/>
      <c r="S13" s="50"/>
      <c r="T13" s="48" t="s">
        <v>337</v>
      </c>
      <c r="U13" s="48" t="s">
        <v>63</v>
      </c>
      <c r="V13" s="48" t="s">
        <v>338</v>
      </c>
      <c r="W13" s="48" t="s">
        <v>339</v>
      </c>
      <c r="X13" s="48"/>
      <c r="Y13" s="48"/>
      <c r="Z13" s="48"/>
      <c r="AA13" s="48"/>
      <c r="AB13" s="50" t="s">
        <v>157</v>
      </c>
      <c r="AC13" s="50" t="s">
        <v>67</v>
      </c>
      <c r="AD13" s="50" t="s">
        <v>158</v>
      </c>
      <c r="AE13" s="48" t="s">
        <v>159</v>
      </c>
      <c r="AF13" s="50"/>
      <c r="AG13" s="50"/>
      <c r="AH13" s="50"/>
      <c r="AI13" s="50">
        <v>9</v>
      </c>
      <c r="AJ13" s="56">
        <v>45713</v>
      </c>
      <c r="AK13" s="51">
        <v>0.41666666666666669</v>
      </c>
      <c r="AL13" s="56">
        <v>45713</v>
      </c>
      <c r="AM13" s="51">
        <v>0.95833333333333337</v>
      </c>
      <c r="AN13" s="56">
        <v>45712</v>
      </c>
      <c r="AO13" s="51">
        <v>0.99136574074074069</v>
      </c>
      <c r="AP13" s="50">
        <v>2025</v>
      </c>
      <c r="AQ13" s="53">
        <v>9</v>
      </c>
      <c r="AR13" s="53">
        <v>5</v>
      </c>
      <c r="AS13" s="53">
        <v>25</v>
      </c>
      <c r="AT13" s="54">
        <v>56</v>
      </c>
      <c r="AU13" s="55">
        <v>45713.416666666664</v>
      </c>
      <c r="AV13" s="48">
        <v>430</v>
      </c>
      <c r="AW13" t="s">
        <v>336</v>
      </c>
      <c r="AX13" s="50" t="s">
        <v>340</v>
      </c>
      <c r="AY13" s="50" t="s">
        <v>59</v>
      </c>
      <c r="AZ13" s="50" t="s">
        <v>59</v>
      </c>
      <c r="BA13" s="48" t="s">
        <v>506</v>
      </c>
      <c r="BB13" s="50" t="s">
        <v>150</v>
      </c>
      <c r="BC13" t="s">
        <v>332</v>
      </c>
    </row>
    <row r="14" spans="1:55" x14ac:dyDescent="0.3">
      <c r="A14" s="48" t="s">
        <v>549</v>
      </c>
      <c r="B14" s="56">
        <v>45737</v>
      </c>
      <c r="C14" s="50" t="s">
        <v>293</v>
      </c>
      <c r="D14" s="57">
        <v>0.29166666666666669</v>
      </c>
      <c r="E14" s="57">
        <v>0.32500000000000001</v>
      </c>
      <c r="F14" s="50" t="s">
        <v>454</v>
      </c>
      <c r="G14" s="50" t="s">
        <v>461</v>
      </c>
      <c r="H14" s="50" t="s">
        <v>550</v>
      </c>
      <c r="I14" s="50" t="s">
        <v>551</v>
      </c>
      <c r="J14" s="50" t="s">
        <v>213</v>
      </c>
      <c r="K14" s="50" t="s">
        <v>213</v>
      </c>
      <c r="L14" s="50" t="s">
        <v>59</v>
      </c>
      <c r="M14" s="50" t="s">
        <v>59</v>
      </c>
      <c r="N14" s="50" t="s">
        <v>552</v>
      </c>
      <c r="O14" s="48" t="s">
        <v>261</v>
      </c>
      <c r="P14" s="48">
        <v>6</v>
      </c>
      <c r="Q14" s="50" t="s">
        <v>553</v>
      </c>
      <c r="R14" s="50"/>
      <c r="S14" s="50"/>
      <c r="T14" s="48" t="s">
        <v>554</v>
      </c>
      <c r="U14" s="48" t="s">
        <v>555</v>
      </c>
      <c r="V14" s="48"/>
      <c r="W14" s="48" t="s">
        <v>65</v>
      </c>
      <c r="X14" s="48"/>
      <c r="Y14" s="48"/>
      <c r="Z14" s="48"/>
      <c r="AA14" s="48"/>
      <c r="AB14" s="50" t="s">
        <v>468</v>
      </c>
      <c r="AC14" s="50" t="s">
        <v>67</v>
      </c>
      <c r="AD14" s="50" t="s">
        <v>147</v>
      </c>
      <c r="AE14" s="48" t="s">
        <v>90</v>
      </c>
      <c r="AF14" s="50" t="s">
        <v>180</v>
      </c>
      <c r="AG14" s="50" t="s">
        <v>181</v>
      </c>
      <c r="AH14" s="50"/>
      <c r="AI14" s="50">
        <v>9</v>
      </c>
      <c r="AJ14" s="56">
        <v>45737</v>
      </c>
      <c r="AK14" s="51">
        <v>0.32500000000000001</v>
      </c>
      <c r="AL14" s="56"/>
      <c r="AM14" s="51"/>
      <c r="AN14" s="56">
        <v>45737</v>
      </c>
      <c r="AO14" s="51">
        <v>0.59714120370370372</v>
      </c>
      <c r="AP14" s="50">
        <v>2025</v>
      </c>
      <c r="AQ14" s="53">
        <v>12</v>
      </c>
      <c r="AR14" s="53">
        <v>4</v>
      </c>
      <c r="AS14" s="53">
        <v>21</v>
      </c>
      <c r="AT14" s="54">
        <v>80</v>
      </c>
      <c r="AU14" s="55">
        <v>45737.324999999997</v>
      </c>
      <c r="AV14" s="48">
        <v>171</v>
      </c>
      <c r="AW14" t="s">
        <v>553</v>
      </c>
      <c r="AX14" s="50" t="s">
        <v>556</v>
      </c>
      <c r="AY14" s="50" t="s">
        <v>557</v>
      </c>
      <c r="AZ14" s="50" t="s">
        <v>558</v>
      </c>
      <c r="BA14" s="48" t="s">
        <v>548</v>
      </c>
      <c r="BB14" s="50" t="s">
        <v>304</v>
      </c>
      <c r="BC14" t="s">
        <v>549</v>
      </c>
    </row>
    <row r="15" spans="1:55" x14ac:dyDescent="0.3">
      <c r="A15" s="48" t="s">
        <v>628</v>
      </c>
      <c r="B15" s="56">
        <v>45744</v>
      </c>
      <c r="C15" s="50" t="s">
        <v>97</v>
      </c>
      <c r="D15" s="57">
        <v>0.83333333333333337</v>
      </c>
      <c r="E15" s="57">
        <v>0.85416666666666663</v>
      </c>
      <c r="F15" s="50" t="s">
        <v>454</v>
      </c>
      <c r="G15" s="50" t="s">
        <v>461</v>
      </c>
      <c r="H15" s="50" t="s">
        <v>629</v>
      </c>
      <c r="I15" s="50" t="s">
        <v>630</v>
      </c>
      <c r="J15" s="50" t="s">
        <v>213</v>
      </c>
      <c r="K15" s="50" t="s">
        <v>213</v>
      </c>
      <c r="L15" s="50" t="s">
        <v>59</v>
      </c>
      <c r="M15" s="50" t="s">
        <v>59</v>
      </c>
      <c r="N15" s="50" t="s">
        <v>631</v>
      </c>
      <c r="O15" s="48" t="s">
        <v>426</v>
      </c>
      <c r="P15" s="48">
        <v>8</v>
      </c>
      <c r="Q15" s="50" t="s">
        <v>632</v>
      </c>
      <c r="R15" s="50"/>
      <c r="S15" s="50"/>
      <c r="T15" s="48" t="s">
        <v>633</v>
      </c>
      <c r="U15" s="48" t="s">
        <v>634</v>
      </c>
      <c r="V15" s="48" t="s">
        <v>635</v>
      </c>
      <c r="W15" s="48" t="s">
        <v>65</v>
      </c>
      <c r="X15" s="48"/>
      <c r="Y15" s="48"/>
      <c r="Z15" s="48"/>
      <c r="AA15" s="48"/>
      <c r="AB15" s="50" t="s">
        <v>568</v>
      </c>
      <c r="AC15" s="50" t="s">
        <v>67</v>
      </c>
      <c r="AD15" s="50" t="s">
        <v>636</v>
      </c>
      <c r="AE15" s="48" t="s">
        <v>637</v>
      </c>
      <c r="AF15" s="50"/>
      <c r="AG15" s="50"/>
      <c r="AH15" s="50"/>
      <c r="AI15" s="50">
        <v>9</v>
      </c>
      <c r="AJ15" s="56">
        <v>45744</v>
      </c>
      <c r="AK15" s="51">
        <v>0.85416666666666663</v>
      </c>
      <c r="AL15" s="56">
        <v>45745</v>
      </c>
      <c r="AM15" s="51">
        <v>0.41666666666666669</v>
      </c>
      <c r="AN15" s="56">
        <v>45745</v>
      </c>
      <c r="AO15" s="51">
        <v>0.42986111111111114</v>
      </c>
      <c r="AP15" s="50">
        <v>2025</v>
      </c>
      <c r="AQ15" s="53">
        <v>13</v>
      </c>
      <c r="AR15" s="53">
        <v>5</v>
      </c>
      <c r="AS15" s="53">
        <v>28</v>
      </c>
      <c r="AT15" s="54">
        <v>87</v>
      </c>
      <c r="AU15" s="55">
        <v>45744.854166666664</v>
      </c>
      <c r="AV15" s="48">
        <v>296</v>
      </c>
      <c r="AW15" t="s">
        <v>632</v>
      </c>
      <c r="AX15" s="50" t="s">
        <v>638</v>
      </c>
      <c r="AY15" s="50" t="s">
        <v>59</v>
      </c>
      <c r="AZ15" s="50" t="s">
        <v>639</v>
      </c>
      <c r="BA15" s="48" t="s">
        <v>581</v>
      </c>
      <c r="BB15" s="50" t="s">
        <v>109</v>
      </c>
      <c r="BC15" t="s">
        <v>628</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DFA7A-305A-4595-B3A4-0C272C7A03AC}">
  <sheetPr>
    <tabColor rgb="FF0070C0"/>
  </sheetPr>
  <dimension ref="A1:L2"/>
  <sheetViews>
    <sheetView workbookViewId="0"/>
  </sheetViews>
  <sheetFormatPr defaultRowHeight="14.4" x14ac:dyDescent="0.3"/>
  <cols>
    <col min="1" max="1" width="26.44140625" bestFit="1" customWidth="1"/>
    <col min="2" max="2" width="14.44140625" bestFit="1" customWidth="1"/>
    <col min="3" max="3" width="13.88671875" bestFit="1" customWidth="1"/>
    <col min="4" max="4" width="29.109375" bestFit="1" customWidth="1"/>
    <col min="5" max="5" width="26.5546875" bestFit="1" customWidth="1"/>
    <col min="6" max="6" width="8.109375" bestFit="1" customWidth="1"/>
    <col min="7" max="7" width="19.88671875" bestFit="1" customWidth="1"/>
    <col min="8" max="8" width="14.88671875" bestFit="1" customWidth="1"/>
    <col min="9" max="9" width="19.88671875" bestFit="1" customWidth="1"/>
    <col min="10" max="10" width="26.5546875" bestFit="1" customWidth="1"/>
    <col min="11" max="11" width="17.88671875" bestFit="1" customWidth="1"/>
    <col min="12" max="12" width="19.6640625" bestFit="1" customWidth="1"/>
  </cols>
  <sheetData>
    <row r="1" spans="1:12" x14ac:dyDescent="0.3">
      <c r="A1" t="s">
        <v>661</v>
      </c>
      <c r="B1" t="s">
        <v>35</v>
      </c>
      <c r="C1" t="s">
        <v>649</v>
      </c>
      <c r="D1" t="s">
        <v>650</v>
      </c>
      <c r="E1" t="s">
        <v>651</v>
      </c>
      <c r="F1" t="s">
        <v>459</v>
      </c>
      <c r="G1" t="s">
        <v>652</v>
      </c>
      <c r="H1" t="s">
        <v>653</v>
      </c>
      <c r="I1" t="s">
        <v>655</v>
      </c>
      <c r="J1" t="s">
        <v>656</v>
      </c>
      <c r="K1" t="s">
        <v>659</v>
      </c>
      <c r="L1" t="s">
        <v>660</v>
      </c>
    </row>
    <row r="2" spans="1:12" x14ac:dyDescent="0.3">
      <c r="B2" s="1"/>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A12F-A18A-478E-AC82-4E393C705310}">
  <sheetPr>
    <tabColor rgb="FF0070C0"/>
  </sheetPr>
  <dimension ref="A1:L2"/>
  <sheetViews>
    <sheetView workbookViewId="0"/>
  </sheetViews>
  <sheetFormatPr defaultRowHeight="14.4" x14ac:dyDescent="0.3"/>
  <cols>
    <col min="1" max="1" width="26.44140625" bestFit="1" customWidth="1"/>
    <col min="2" max="2" width="14.44140625" bestFit="1" customWidth="1"/>
    <col min="3" max="3" width="13.88671875" bestFit="1" customWidth="1"/>
    <col min="4" max="5" width="29.109375" bestFit="1" customWidth="1"/>
    <col min="6" max="6" width="80.88671875" bestFit="1" customWidth="1"/>
    <col min="7" max="7" width="19.88671875" bestFit="1" customWidth="1"/>
    <col min="8" max="8" width="14.88671875" bestFit="1" customWidth="1"/>
    <col min="9" max="9" width="19.88671875" bestFit="1" customWidth="1"/>
    <col min="10" max="10" width="26.5546875" bestFit="1" customWidth="1"/>
    <col min="11" max="11" width="17.88671875" bestFit="1" customWidth="1"/>
    <col min="12" max="12" width="19.6640625" bestFit="1" customWidth="1"/>
  </cols>
  <sheetData>
    <row r="1" spans="1:12" x14ac:dyDescent="0.3">
      <c r="A1" t="s">
        <v>661</v>
      </c>
      <c r="B1" t="s">
        <v>35</v>
      </c>
      <c r="C1" t="s">
        <v>649</v>
      </c>
      <c r="D1" t="s">
        <v>650</v>
      </c>
      <c r="E1" t="s">
        <v>651</v>
      </c>
      <c r="F1" t="s">
        <v>459</v>
      </c>
      <c r="G1" t="s">
        <v>652</v>
      </c>
      <c r="H1" t="s">
        <v>653</v>
      </c>
      <c r="I1" t="s">
        <v>655</v>
      </c>
      <c r="J1" t="s">
        <v>656</v>
      </c>
      <c r="K1" t="s">
        <v>659</v>
      </c>
      <c r="L1" t="s">
        <v>660</v>
      </c>
    </row>
    <row r="2" spans="1:12" x14ac:dyDescent="0.3">
      <c r="A2" t="s">
        <v>629</v>
      </c>
      <c r="B2" s="1">
        <v>45744</v>
      </c>
      <c r="C2" t="s">
        <v>454</v>
      </c>
      <c r="D2" t="s">
        <v>109</v>
      </c>
      <c r="E2" t="s">
        <v>638</v>
      </c>
      <c r="F2" t="s">
        <v>632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3A0C6-86F4-40CE-9797-6BEBBE859FFD}">
  <sheetPr codeName="Sheet6">
    <tabColor rgb="FF0070C0"/>
  </sheetPr>
  <dimension ref="A1:AB47"/>
  <sheetViews>
    <sheetView showGridLines="0" topLeftCell="A4" workbookViewId="0">
      <selection activeCell="A18" sqref="A18:H24"/>
    </sheetView>
  </sheetViews>
  <sheetFormatPr defaultColWidth="8.88671875" defaultRowHeight="15.6" x14ac:dyDescent="0.3"/>
  <cols>
    <col min="1" max="1" width="18.44140625" style="8" bestFit="1" customWidth="1"/>
    <col min="2" max="2" width="14.21875" style="8" bestFit="1" customWidth="1"/>
    <col min="3" max="3" width="3.5546875" style="8" bestFit="1" customWidth="1"/>
    <col min="4" max="4" width="4.21875" style="8" bestFit="1" customWidth="1"/>
    <col min="5" max="5" width="2.77734375" style="8" bestFit="1" customWidth="1"/>
    <col min="6" max="6" width="3.21875" style="8" bestFit="1" customWidth="1"/>
    <col min="7" max="8" width="6.77734375" style="8" customWidth="1"/>
    <col min="9" max="9" width="19.88671875" style="8" bestFit="1" customWidth="1"/>
    <col min="10" max="10" width="14.88671875" style="8" bestFit="1" customWidth="1"/>
    <col min="11" max="11" width="2.88671875" style="8" bestFit="1" customWidth="1"/>
    <col min="12" max="12" width="7.6640625" style="8" bestFit="1" customWidth="1"/>
    <col min="13" max="13" width="22.33203125" style="8" bestFit="1" customWidth="1"/>
    <col min="14" max="14" width="33.6640625" style="12" customWidth="1"/>
    <col min="15" max="15" width="18.109375" style="12" customWidth="1"/>
    <col min="16" max="16" width="16.88671875" style="12" customWidth="1"/>
    <col min="17" max="17" width="36.5546875" style="8" customWidth="1"/>
    <col min="18" max="18" width="34.5546875" style="8" customWidth="1"/>
    <col min="19" max="19" width="25" style="8" customWidth="1"/>
    <col min="20" max="20" width="17.88671875" style="8" customWidth="1"/>
    <col min="21" max="21" width="25.88671875" style="8" customWidth="1"/>
    <col min="22" max="22" width="34.6640625" style="8" customWidth="1"/>
    <col min="23" max="23" width="22.6640625" style="12" customWidth="1"/>
    <col min="24" max="24" width="25.33203125" style="8" customWidth="1"/>
    <col min="25" max="25" width="35" style="8" bestFit="1" customWidth="1"/>
    <col min="26" max="26" width="8.88671875" style="8"/>
    <col min="27" max="27" width="35.5546875" style="8" bestFit="1" customWidth="1"/>
    <col min="28" max="28" width="23" style="8" bestFit="1" customWidth="1"/>
    <col min="29" max="16384" width="8.88671875" style="8"/>
  </cols>
  <sheetData>
    <row r="1" spans="1:28" ht="18" x14ac:dyDescent="0.35">
      <c r="A1" s="43" t="s">
        <v>1</v>
      </c>
      <c r="B1" s="44" t="s">
        <v>127</v>
      </c>
      <c r="C1" s="44"/>
      <c r="D1" s="44"/>
      <c r="E1" s="44"/>
      <c r="F1" s="44"/>
      <c r="G1" s="44"/>
      <c r="H1" s="44"/>
      <c r="I1"/>
      <c r="J1"/>
      <c r="K1" s="44"/>
      <c r="L1" s="44"/>
      <c r="N1" s="61" t="s">
        <v>661</v>
      </c>
      <c r="O1" s="61" t="s">
        <v>35</v>
      </c>
      <c r="P1" s="61" t="s">
        <v>649</v>
      </c>
      <c r="Q1" s="61" t="s">
        <v>650</v>
      </c>
      <c r="R1" s="61" t="s">
        <v>651</v>
      </c>
      <c r="S1" s="61" t="s">
        <v>652</v>
      </c>
      <c r="T1" s="61" t="s">
        <v>653</v>
      </c>
      <c r="U1" s="61" t="s">
        <v>655</v>
      </c>
      <c r="V1" s="61" t="s">
        <v>656</v>
      </c>
      <c r="W1" s="61" t="s">
        <v>659</v>
      </c>
      <c r="X1" s="61" t="s">
        <v>660</v>
      </c>
      <c r="Y1" s="8" t="s">
        <v>459</v>
      </c>
      <c r="AA1" s="64" t="s">
        <v>0</v>
      </c>
      <c r="AB1" s="94" t="s">
        <v>628</v>
      </c>
    </row>
    <row r="2" spans="1:28" ht="18" x14ac:dyDescent="0.35">
      <c r="A2" s="43" t="s">
        <v>10</v>
      </c>
      <c r="B2" s="44" t="s">
        <v>127</v>
      </c>
      <c r="C2" s="44"/>
      <c r="D2" s="44"/>
      <c r="E2" s="44"/>
      <c r="F2" s="44"/>
      <c r="G2" s="44"/>
      <c r="H2" s="44"/>
      <c r="I2"/>
      <c r="J2"/>
      <c r="K2" s="44"/>
      <c r="L2" s="44"/>
      <c r="N2" s="50" t="s">
        <v>629</v>
      </c>
      <c r="O2" s="56">
        <v>45744</v>
      </c>
      <c r="P2" s="50" t="s">
        <v>666</v>
      </c>
      <c r="Q2" s="50" t="s">
        <v>97</v>
      </c>
      <c r="R2" s="50" t="s">
        <v>667</v>
      </c>
      <c r="S2" s="50" t="s">
        <v>668</v>
      </c>
      <c r="T2" s="50" t="s">
        <v>572</v>
      </c>
      <c r="U2" s="50" t="s">
        <v>572</v>
      </c>
      <c r="V2" s="50" t="s">
        <v>572</v>
      </c>
      <c r="W2" s="50" t="s">
        <v>669</v>
      </c>
      <c r="X2" s="50" t="s">
        <v>665</v>
      </c>
      <c r="Y2" s="8" t="s">
        <v>572</v>
      </c>
      <c r="AA2" s="66" t="s">
        <v>661</v>
      </c>
      <c r="AB2" s="95" t="s">
        <v>629</v>
      </c>
    </row>
    <row r="3" spans="1:28" ht="18" x14ac:dyDescent="0.35">
      <c r="A3" s="44"/>
      <c r="B3" s="44"/>
      <c r="C3" s="44"/>
      <c r="D3" s="44"/>
      <c r="E3" s="44"/>
      <c r="F3" s="44"/>
      <c r="G3" s="44"/>
      <c r="H3" s="44"/>
      <c r="I3" s="44"/>
      <c r="J3" s="44"/>
      <c r="K3" s="44"/>
      <c r="L3" s="44"/>
      <c r="M3" s="44"/>
      <c r="N3" s="46"/>
      <c r="O3" s="46"/>
      <c r="U3"/>
      <c r="V3"/>
      <c r="W3"/>
      <c r="AA3" s="67" t="s">
        <v>35</v>
      </c>
      <c r="AB3" s="96">
        <v>45744</v>
      </c>
    </row>
    <row r="4" spans="1:28" ht="18" x14ac:dyDescent="0.35">
      <c r="A4" s="43" t="s">
        <v>128</v>
      </c>
      <c r="B4" s="82" t="s">
        <v>5</v>
      </c>
      <c r="C4" s="44"/>
      <c r="D4" s="44"/>
      <c r="E4" s="44"/>
      <c r="F4" s="44"/>
      <c r="G4" s="44"/>
      <c r="H4" s="44"/>
      <c r="I4"/>
      <c r="J4"/>
      <c r="K4"/>
      <c r="L4" s="45"/>
      <c r="M4"/>
      <c r="N4"/>
      <c r="O4"/>
      <c r="AA4" s="67" t="s">
        <v>648</v>
      </c>
      <c r="AB4" s="97" t="s">
        <v>461</v>
      </c>
    </row>
    <row r="5" spans="1:28" ht="18" x14ac:dyDescent="0.35">
      <c r="A5" s="43" t="s">
        <v>52</v>
      </c>
      <c r="B5" s="44" t="s">
        <v>450</v>
      </c>
      <c r="C5" s="44" t="s">
        <v>451</v>
      </c>
      <c r="D5" s="44" t="s">
        <v>452</v>
      </c>
      <c r="E5" s="44" t="s">
        <v>454</v>
      </c>
      <c r="F5" s="44" t="s">
        <v>455</v>
      </c>
      <c r="G5" s="44"/>
      <c r="H5" s="44"/>
      <c r="I5"/>
      <c r="J5"/>
      <c r="K5"/>
      <c r="L5" s="45"/>
      <c r="M5"/>
      <c r="N5"/>
      <c r="O5"/>
      <c r="AA5" s="66" t="s">
        <v>649</v>
      </c>
      <c r="AB5" s="95" t="s">
        <v>666</v>
      </c>
    </row>
    <row r="6" spans="1:28" ht="18" x14ac:dyDescent="0.35">
      <c r="A6" s="44" t="s">
        <v>76</v>
      </c>
      <c r="B6" s="44"/>
      <c r="C6" s="44">
        <v>1</v>
      </c>
      <c r="D6" s="44">
        <v>1</v>
      </c>
      <c r="E6" s="44">
        <v>1</v>
      </c>
      <c r="F6" s="44"/>
      <c r="G6" s="44"/>
      <c r="H6" s="44"/>
      <c r="I6"/>
      <c r="J6"/>
      <c r="K6"/>
      <c r="L6" s="45"/>
      <c r="M6"/>
      <c r="N6"/>
      <c r="O6"/>
      <c r="AA6" s="67" t="s">
        <v>650</v>
      </c>
      <c r="AB6" s="97" t="s">
        <v>97</v>
      </c>
    </row>
    <row r="7" spans="1:28" ht="18" x14ac:dyDescent="0.35">
      <c r="A7" s="44" t="s">
        <v>172</v>
      </c>
      <c r="B7" s="44"/>
      <c r="C7" s="44"/>
      <c r="D7" s="44"/>
      <c r="E7" s="44"/>
      <c r="F7" s="44">
        <v>1</v>
      </c>
      <c r="G7" s="44"/>
      <c r="H7" s="44"/>
      <c r="I7"/>
      <c r="J7"/>
      <c r="K7"/>
      <c r="L7" s="45"/>
      <c r="M7"/>
      <c r="N7"/>
      <c r="O7"/>
      <c r="AA7" s="66" t="s">
        <v>651</v>
      </c>
      <c r="AB7" s="95" t="s">
        <v>667</v>
      </c>
    </row>
    <row r="8" spans="1:28" ht="18" x14ac:dyDescent="0.35">
      <c r="A8" s="44" t="s">
        <v>95</v>
      </c>
      <c r="B8" s="44">
        <v>1</v>
      </c>
      <c r="C8" s="44">
        <v>1</v>
      </c>
      <c r="D8" s="44"/>
      <c r="E8" s="44"/>
      <c r="F8" s="44"/>
      <c r="G8" s="44"/>
      <c r="H8" s="44"/>
      <c r="I8" s="45"/>
      <c r="J8" s="45"/>
      <c r="K8" s="45"/>
      <c r="L8" s="45"/>
      <c r="M8"/>
      <c r="N8"/>
      <c r="O8"/>
      <c r="AA8" s="67" t="s">
        <v>652</v>
      </c>
      <c r="AB8" s="97" t="s">
        <v>668</v>
      </c>
    </row>
    <row r="9" spans="1:28" ht="18" x14ac:dyDescent="0.35">
      <c r="A9" s="44" t="s">
        <v>304</v>
      </c>
      <c r="B9" s="44"/>
      <c r="C9" s="44"/>
      <c r="D9" s="44"/>
      <c r="E9" s="44">
        <v>2</v>
      </c>
      <c r="F9" s="44"/>
      <c r="G9" s="44"/>
      <c r="H9" s="44"/>
      <c r="I9" s="45"/>
      <c r="J9" s="45"/>
      <c r="K9" s="45"/>
      <c r="L9" s="45"/>
      <c r="M9"/>
      <c r="N9" s="47"/>
      <c r="O9" s="47"/>
      <c r="AA9" s="66" t="s">
        <v>653</v>
      </c>
      <c r="AB9" s="95" t="s">
        <v>572</v>
      </c>
    </row>
    <row r="10" spans="1:28" ht="18" x14ac:dyDescent="0.3">
      <c r="A10" s="44" t="s">
        <v>150</v>
      </c>
      <c r="B10" s="44">
        <v>2</v>
      </c>
      <c r="C10" s="44">
        <v>1</v>
      </c>
      <c r="D10" s="44">
        <v>1</v>
      </c>
      <c r="E10" s="44"/>
      <c r="F10" s="44"/>
      <c r="G10" s="44"/>
      <c r="H10" s="44"/>
      <c r="I10" s="45"/>
      <c r="J10" s="45"/>
      <c r="K10" s="45"/>
      <c r="L10" s="45"/>
      <c r="M10"/>
      <c r="N10" s="47"/>
      <c r="O10" s="47"/>
      <c r="AA10" s="68" t="s">
        <v>655</v>
      </c>
      <c r="AB10" s="98" t="s">
        <v>572</v>
      </c>
    </row>
    <row r="11" spans="1:28" ht="18" x14ac:dyDescent="0.35">
      <c r="A11" s="44" t="s">
        <v>109</v>
      </c>
      <c r="B11" s="44"/>
      <c r="C11" s="44"/>
      <c r="D11" s="44"/>
      <c r="E11" s="44">
        <v>2</v>
      </c>
      <c r="F11" s="44"/>
      <c r="G11" s="44"/>
      <c r="H11" s="44"/>
      <c r="I11" s="44"/>
      <c r="J11" s="44"/>
      <c r="K11" s="44"/>
      <c r="L11" s="44"/>
      <c r="M11"/>
      <c r="N11"/>
      <c r="O11"/>
      <c r="P11"/>
      <c r="Q11"/>
      <c r="R11"/>
      <c r="S11"/>
      <c r="T11"/>
      <c r="W11" s="8"/>
      <c r="AA11" s="66" t="s">
        <v>656</v>
      </c>
      <c r="AB11" s="95" t="s">
        <v>572</v>
      </c>
    </row>
    <row r="12" spans="1:28" ht="18" x14ac:dyDescent="0.35">
      <c r="A12" s="44"/>
      <c r="B12" s="44"/>
      <c r="C12" s="44"/>
      <c r="D12" s="44"/>
      <c r="E12" s="44"/>
      <c r="F12" s="44"/>
      <c r="G12" s="44"/>
      <c r="H12" s="44"/>
      <c r="I12" s="44"/>
      <c r="J12" s="44"/>
      <c r="K12" s="44"/>
      <c r="L12" s="44"/>
      <c r="M12"/>
      <c r="N12"/>
      <c r="O12"/>
      <c r="P12"/>
      <c r="Q12"/>
      <c r="R12"/>
      <c r="S12"/>
      <c r="T12"/>
      <c r="W12" s="8"/>
      <c r="AA12" s="67" t="s">
        <v>659</v>
      </c>
      <c r="AB12" s="97" t="s">
        <v>669</v>
      </c>
    </row>
    <row r="13" spans="1:28" ht="18" x14ac:dyDescent="0.35">
      <c r="M13" s="12"/>
      <c r="AA13" s="66" t="s">
        <v>660</v>
      </c>
      <c r="AB13" s="99" t="s">
        <v>665</v>
      </c>
    </row>
    <row r="14" spans="1:28" ht="18.600000000000001" thickBot="1" x14ac:dyDescent="0.4">
      <c r="AA14" s="93" t="s">
        <v>459</v>
      </c>
      <c r="AB14" s="100"/>
    </row>
    <row r="17" spans="1:23" ht="23.4" x14ac:dyDescent="0.45">
      <c r="A17" s="195" t="s">
        <v>456</v>
      </c>
      <c r="B17" s="195"/>
      <c r="C17" s="195"/>
      <c r="D17" s="195"/>
      <c r="E17" s="195"/>
      <c r="F17" s="195"/>
      <c r="G17" s="195"/>
      <c r="H17" s="195"/>
      <c r="N17" s="8"/>
      <c r="O17" s="8"/>
      <c r="W17" s="8"/>
    </row>
    <row r="18" spans="1:23" s="7" customFormat="1" ht="18.600000000000001" thickBot="1" x14ac:dyDescent="0.4">
      <c r="A18" s="7" t="s">
        <v>449</v>
      </c>
      <c r="B18" s="9" t="s">
        <v>458</v>
      </c>
      <c r="C18" s="9" t="s">
        <v>450</v>
      </c>
      <c r="D18" s="9" t="s">
        <v>451</v>
      </c>
      <c r="E18" s="9" t="s">
        <v>452</v>
      </c>
      <c r="F18" s="9" t="s">
        <v>453</v>
      </c>
      <c r="G18" s="7" t="s">
        <v>454</v>
      </c>
      <c r="H18" s="7" t="s">
        <v>455</v>
      </c>
      <c r="M18" s="8"/>
      <c r="P18" s="13"/>
    </row>
    <row r="19" spans="1:23" x14ac:dyDescent="0.3">
      <c r="A19" s="109" t="s">
        <v>76</v>
      </c>
      <c r="B19" s="110"/>
      <c r="C19" s="110"/>
      <c r="D19" s="110"/>
      <c r="E19" s="81"/>
      <c r="F19" s="110">
        <v>1</v>
      </c>
      <c r="G19" s="110"/>
      <c r="H19" s="111"/>
      <c r="N19" s="8"/>
      <c r="O19" s="8"/>
      <c r="W19" s="8"/>
    </row>
    <row r="20" spans="1:23" x14ac:dyDescent="0.3">
      <c r="A20" s="112" t="s">
        <v>172</v>
      </c>
      <c r="B20" s="36"/>
      <c r="C20" s="36"/>
      <c r="D20" s="36">
        <v>1</v>
      </c>
      <c r="E20"/>
      <c r="F20" s="36"/>
      <c r="G20" s="36"/>
      <c r="H20" s="113"/>
      <c r="M20" s="12"/>
      <c r="N20" s="8"/>
      <c r="O20" s="8"/>
      <c r="W20" s="8"/>
    </row>
    <row r="21" spans="1:23" ht="18" x14ac:dyDescent="0.35">
      <c r="A21" s="112" t="s">
        <v>95</v>
      </c>
      <c r="B21" s="36"/>
      <c r="C21" s="36">
        <v>1</v>
      </c>
      <c r="D21" s="36">
        <v>2</v>
      </c>
      <c r="E21"/>
      <c r="F21" s="36"/>
      <c r="G21" s="36"/>
      <c r="H21" s="113"/>
      <c r="N21" s="8"/>
      <c r="O21" s="8"/>
      <c r="Q21" s="61"/>
      <c r="R21"/>
      <c r="W21" s="8"/>
    </row>
    <row r="22" spans="1:23" x14ac:dyDescent="0.3">
      <c r="A22" s="112" t="s">
        <v>304</v>
      </c>
      <c r="B22" s="36">
        <v>1</v>
      </c>
      <c r="C22" s="36">
        <v>1</v>
      </c>
      <c r="D22" s="36">
        <v>1</v>
      </c>
      <c r="E22"/>
      <c r="F22" s="36"/>
      <c r="G22" s="36"/>
      <c r="H22" s="113"/>
      <c r="N22" s="8"/>
      <c r="O22" s="8"/>
      <c r="Q22" s="65"/>
      <c r="R22"/>
      <c r="W22" s="8"/>
    </row>
    <row r="23" spans="1:23" x14ac:dyDescent="0.3">
      <c r="A23" s="112" t="s">
        <v>150</v>
      </c>
      <c r="B23" s="36"/>
      <c r="C23" s="36"/>
      <c r="D23" s="36"/>
      <c r="E23"/>
      <c r="F23" s="36">
        <v>1</v>
      </c>
      <c r="G23" s="36"/>
      <c r="H23" s="113"/>
      <c r="N23" s="50"/>
      <c r="O23" s="50"/>
      <c r="P23" s="50"/>
      <c r="Q23" s="65"/>
      <c r="R23"/>
      <c r="W23" s="8"/>
    </row>
    <row r="24" spans="1:23" ht="16.2" thickBot="1" x14ac:dyDescent="0.35">
      <c r="A24" s="114" t="s">
        <v>109</v>
      </c>
      <c r="B24" s="115"/>
      <c r="C24" s="115"/>
      <c r="D24" s="115"/>
      <c r="E24" s="116"/>
      <c r="F24" s="115"/>
      <c r="G24" s="115"/>
      <c r="H24" s="117"/>
      <c r="N24" s="50"/>
      <c r="O24" s="50"/>
      <c r="P24" s="50"/>
      <c r="Q24" s="65"/>
      <c r="R24"/>
      <c r="W24" s="8"/>
    </row>
    <row r="25" spans="1:23" x14ac:dyDescent="0.3">
      <c r="N25" s="50"/>
      <c r="O25" s="50"/>
      <c r="P25" s="50"/>
      <c r="Q25" s="50"/>
      <c r="R25"/>
      <c r="W25" s="8"/>
    </row>
    <row r="26" spans="1:23" x14ac:dyDescent="0.3">
      <c r="N26" s="50"/>
      <c r="O26" s="50"/>
      <c r="P26" s="50"/>
      <c r="Q26" s="50"/>
      <c r="R26"/>
      <c r="W26" s="8"/>
    </row>
    <row r="27" spans="1:23" x14ac:dyDescent="0.3">
      <c r="N27" s="50"/>
      <c r="O27" s="50"/>
      <c r="P27" s="50"/>
      <c r="Q27" s="50"/>
      <c r="R27"/>
      <c r="W27" s="8"/>
    </row>
    <row r="28" spans="1:23" x14ac:dyDescent="0.3">
      <c r="N28" s="50"/>
      <c r="O28" s="50"/>
      <c r="P28" s="50"/>
      <c r="Q28" s="50"/>
      <c r="R28"/>
      <c r="W28" s="8"/>
    </row>
    <row r="29" spans="1:23" s="10" customFormat="1" ht="18" x14ac:dyDescent="0.35">
      <c r="N29" s="50"/>
      <c r="O29" s="50"/>
      <c r="P29" s="50"/>
      <c r="Q29" s="50"/>
      <c r="R29"/>
    </row>
    <row r="30" spans="1:23" x14ac:dyDescent="0.3">
      <c r="N30" s="50"/>
      <c r="O30" s="50"/>
      <c r="P30" s="50"/>
      <c r="Q30" s="50"/>
      <c r="R30"/>
      <c r="W30" s="8"/>
    </row>
    <row r="31" spans="1:23" x14ac:dyDescent="0.3">
      <c r="N31" s="50"/>
      <c r="O31" s="50"/>
      <c r="P31" s="50"/>
      <c r="Q31" s="50"/>
      <c r="R31" s="50"/>
      <c r="W31" s="8"/>
    </row>
    <row r="32" spans="1:23" x14ac:dyDescent="0.3">
      <c r="N32" s="50"/>
      <c r="O32" s="50"/>
      <c r="P32" s="50"/>
      <c r="Q32" s="50"/>
      <c r="R32" s="50"/>
      <c r="W32" s="8"/>
    </row>
    <row r="33" spans="1:23" x14ac:dyDescent="0.3">
      <c r="A33" s="43" t="s">
        <v>1</v>
      </c>
      <c r="B33" s="44" t="s">
        <v>209</v>
      </c>
      <c r="C33" s="44"/>
      <c r="D33" s="44"/>
      <c r="E33" s="44"/>
      <c r="F33" s="44"/>
      <c r="I33" s="50"/>
      <c r="J33" s="50"/>
      <c r="K33" s="50"/>
      <c r="L33" s="50"/>
      <c r="M33" s="50"/>
      <c r="N33" s="50"/>
      <c r="O33" s="50"/>
      <c r="P33" s="50"/>
      <c r="Q33" s="50"/>
      <c r="R33" s="50"/>
      <c r="W33" s="8"/>
    </row>
    <row r="34" spans="1:23" x14ac:dyDescent="0.3">
      <c r="A34" s="43" t="s">
        <v>10</v>
      </c>
      <c r="B34" s="44" t="s">
        <v>127</v>
      </c>
      <c r="C34" s="44"/>
      <c r="D34" s="44"/>
      <c r="E34" s="44"/>
      <c r="F34" s="44"/>
      <c r="I34" s="50"/>
      <c r="J34" s="50"/>
      <c r="K34" s="50"/>
      <c r="L34" s="50"/>
      <c r="M34" s="50"/>
      <c r="N34" s="50"/>
      <c r="O34" s="50"/>
      <c r="P34" s="50"/>
      <c r="Q34" s="50"/>
      <c r="R34" s="50"/>
      <c r="W34" s="8"/>
    </row>
    <row r="35" spans="1:23" x14ac:dyDescent="0.3">
      <c r="A35" s="44"/>
      <c r="B35" s="44"/>
      <c r="C35" s="44"/>
      <c r="D35" s="44"/>
      <c r="E35" s="44"/>
      <c r="F35" s="44"/>
      <c r="I35" s="12"/>
      <c r="J35" s="12"/>
      <c r="N35" s="8"/>
      <c r="O35" s="8"/>
      <c r="W35" s="8"/>
    </row>
    <row r="36" spans="1:23" x14ac:dyDescent="0.3">
      <c r="A36" s="43" t="s">
        <v>128</v>
      </c>
      <c r="B36" s="82" t="s">
        <v>5</v>
      </c>
      <c r="C36"/>
      <c r="D36"/>
      <c r="E36"/>
      <c r="F36"/>
      <c r="I36" s="12"/>
      <c r="J36" s="12"/>
      <c r="N36" s="8"/>
      <c r="O36" s="8"/>
      <c r="W36" s="8"/>
    </row>
    <row r="37" spans="1:23" x14ac:dyDescent="0.3">
      <c r="A37" s="43" t="s">
        <v>52</v>
      </c>
      <c r="B37" s="44" t="s">
        <v>454</v>
      </c>
      <c r="C37"/>
      <c r="D37"/>
      <c r="E37"/>
      <c r="F37"/>
      <c r="I37" s="12"/>
      <c r="J37" s="12"/>
      <c r="N37" s="8"/>
      <c r="O37" s="8"/>
      <c r="W37" s="8"/>
    </row>
    <row r="38" spans="1:23" x14ac:dyDescent="0.3">
      <c r="A38" s="44" t="s">
        <v>304</v>
      </c>
      <c r="B38" s="44">
        <v>1</v>
      </c>
      <c r="C38"/>
      <c r="D38"/>
      <c r="E38"/>
      <c r="F38"/>
    </row>
    <row r="39" spans="1:23" x14ac:dyDescent="0.3">
      <c r="A39" s="44" t="s">
        <v>109</v>
      </c>
      <c r="B39" s="44">
        <v>1</v>
      </c>
      <c r="C39"/>
      <c r="D39"/>
      <c r="E39"/>
      <c r="F39"/>
    </row>
    <row r="40" spans="1:23" x14ac:dyDescent="0.3">
      <c r="A40"/>
      <c r="B40"/>
      <c r="C40"/>
      <c r="D40"/>
      <c r="E40"/>
      <c r="F40"/>
    </row>
    <row r="41" spans="1:23" x14ac:dyDescent="0.3">
      <c r="A41"/>
      <c r="B41"/>
      <c r="C41"/>
      <c r="D41"/>
      <c r="E41"/>
      <c r="F41"/>
    </row>
    <row r="42" spans="1:23" x14ac:dyDescent="0.3">
      <c r="A42"/>
      <c r="B42"/>
      <c r="C42"/>
      <c r="D42"/>
      <c r="E42"/>
      <c r="F42"/>
    </row>
    <row r="43" spans="1:23" x14ac:dyDescent="0.3">
      <c r="A43"/>
      <c r="B43"/>
      <c r="C43"/>
      <c r="D43"/>
      <c r="E43"/>
      <c r="F43"/>
    </row>
    <row r="44" spans="1:23" ht="23.4" x14ac:dyDescent="0.45">
      <c r="A44" s="195" t="s">
        <v>738</v>
      </c>
      <c r="B44" s="195"/>
      <c r="C44" s="195"/>
      <c r="D44" s="195"/>
      <c r="E44" s="195"/>
      <c r="F44" s="195"/>
      <c r="G44" s="195"/>
      <c r="H44" s="195"/>
    </row>
    <row r="45" spans="1:23" ht="18.600000000000001" thickBot="1" x14ac:dyDescent="0.4">
      <c r="A45" s="7" t="s">
        <v>449</v>
      </c>
      <c r="B45" s="9" t="s">
        <v>458</v>
      </c>
      <c r="C45" s="9" t="s">
        <v>450</v>
      </c>
      <c r="D45" s="9" t="s">
        <v>451</v>
      </c>
      <c r="E45" s="9" t="s">
        <v>452</v>
      </c>
      <c r="F45" s="9" t="s">
        <v>453</v>
      </c>
      <c r="G45" s="7" t="s">
        <v>454</v>
      </c>
      <c r="H45" s="7" t="s">
        <v>455</v>
      </c>
    </row>
    <row r="46" spans="1:23" x14ac:dyDescent="0.3">
      <c r="A46" s="109" t="s">
        <v>304</v>
      </c>
      <c r="B46" s="110"/>
      <c r="C46" s="110"/>
      <c r="D46" s="110"/>
      <c r="E46" s="81"/>
      <c r="F46" s="110"/>
      <c r="G46" s="110">
        <v>1</v>
      </c>
      <c r="H46" s="111"/>
    </row>
    <row r="47" spans="1:23" x14ac:dyDescent="0.3">
      <c r="A47" s="112" t="s">
        <v>109</v>
      </c>
      <c r="B47" s="36"/>
      <c r="C47" s="36"/>
      <c r="D47" s="36"/>
      <c r="E47"/>
      <c r="F47" s="36"/>
      <c r="G47" s="36">
        <v>1</v>
      </c>
      <c r="H47" s="113"/>
    </row>
  </sheetData>
  <mergeCells count="2">
    <mergeCell ref="A44:H44"/>
    <mergeCell ref="A17:H17"/>
  </mergeCells>
  <pageMargins left="0.7" right="0.7" top="0.75" bottom="0.75" header="0.3" footer="0.3"/>
  <pageSetup orientation="portrait" horizontalDpi="1200" verticalDpi="1200" r:id="rId3"/>
  <tableParts count="3">
    <tablePart r:id="rId4"/>
    <tablePart r:id="rId5"/>
    <tablePart r:id="rId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B58CE-69A7-496E-B97E-DE68943A7A72}">
  <sheetPr>
    <tabColor rgb="FFFF0000"/>
  </sheetPr>
  <dimension ref="A1:AT10"/>
  <sheetViews>
    <sheetView workbookViewId="0">
      <selection sqref="A1:AT10"/>
    </sheetView>
  </sheetViews>
  <sheetFormatPr defaultRowHeight="14.4" x14ac:dyDescent="0.3"/>
  <cols>
    <col min="1" max="1" width="19.33203125" bestFit="1" customWidth="1"/>
    <col min="2" max="2" width="15.44140625" bestFit="1" customWidth="1"/>
    <col min="3" max="3" width="28.33203125" bestFit="1" customWidth="1"/>
    <col min="4" max="4" width="18.33203125" bestFit="1" customWidth="1"/>
    <col min="5" max="5" width="15" bestFit="1" customWidth="1"/>
    <col min="6" max="6" width="15.77734375" bestFit="1" customWidth="1"/>
    <col min="7" max="7" width="18.44140625" bestFit="1" customWidth="1"/>
    <col min="8" max="8" width="39.88671875" bestFit="1" customWidth="1"/>
    <col min="9" max="9" width="33.21875" bestFit="1" customWidth="1"/>
    <col min="10" max="10" width="53.33203125" bestFit="1" customWidth="1"/>
    <col min="11" max="11" width="21.44140625" bestFit="1" customWidth="1"/>
    <col min="12" max="12" width="29.33203125" bestFit="1" customWidth="1"/>
    <col min="13" max="13" width="21.44140625" bestFit="1" customWidth="1"/>
    <col min="14" max="14" width="79.77734375" bestFit="1" customWidth="1"/>
    <col min="15" max="15" width="9.6640625" bestFit="1" customWidth="1"/>
    <col min="16" max="16" width="10.44140625" bestFit="1" customWidth="1"/>
    <col min="17" max="17" width="80.88671875" bestFit="1" customWidth="1"/>
    <col min="18" max="18" width="23.88671875" bestFit="1" customWidth="1"/>
    <col min="19" max="19" width="25.5546875" bestFit="1" customWidth="1"/>
    <col min="20" max="20" width="19.33203125" bestFit="1" customWidth="1"/>
    <col min="21" max="21" width="12.109375" bestFit="1" customWidth="1"/>
    <col min="22" max="22" width="12.88671875" bestFit="1" customWidth="1"/>
    <col min="23" max="23" width="16.6640625" bestFit="1" customWidth="1"/>
    <col min="24" max="24" width="19.33203125" bestFit="1" customWidth="1"/>
    <col min="25" max="25" width="16.6640625" bestFit="1" customWidth="1"/>
    <col min="26" max="26" width="12.109375" bestFit="1" customWidth="1"/>
    <col min="27" max="27" width="12.88671875" bestFit="1" customWidth="1"/>
    <col min="28" max="28" width="18.21875" bestFit="1" customWidth="1"/>
    <col min="29" max="29" width="20.21875" bestFit="1" customWidth="1"/>
    <col min="30" max="30" width="31.109375" bestFit="1" customWidth="1"/>
    <col min="31" max="31" width="12" bestFit="1" customWidth="1"/>
    <col min="32" max="32" width="27.109375" bestFit="1" customWidth="1"/>
    <col min="33" max="33" width="31.109375" bestFit="1" customWidth="1"/>
    <col min="34" max="34" width="26.44140625" bestFit="1" customWidth="1"/>
    <col min="35" max="35" width="10" bestFit="1" customWidth="1"/>
    <col min="36" max="36" width="18.77734375" bestFit="1" customWidth="1"/>
    <col min="37" max="37" width="20.6640625" bestFit="1" customWidth="1"/>
    <col min="38" max="38" width="9.33203125" bestFit="1" customWidth="1"/>
    <col min="39" max="39" width="16.77734375" bestFit="1" customWidth="1"/>
    <col min="40" max="40" width="27" bestFit="1" customWidth="1"/>
    <col min="41" max="41" width="8.77734375" bestFit="1" customWidth="1"/>
    <col min="42" max="42" width="80.88671875" bestFit="1" customWidth="1"/>
    <col min="43" max="43" width="36.5546875" bestFit="1" customWidth="1"/>
    <col min="44" max="45" width="80.88671875" bestFit="1" customWidth="1"/>
    <col min="46" max="46" width="21.6640625" bestFit="1" customWidth="1"/>
  </cols>
  <sheetData>
    <row r="1" spans="1:46" ht="15.6" x14ac:dyDescent="0.3">
      <c r="A1" s="122" t="s">
        <v>0</v>
      </c>
      <c r="B1" s="122" t="s">
        <v>1</v>
      </c>
      <c r="C1" s="122" t="s">
        <v>52</v>
      </c>
      <c r="D1" s="122" t="s">
        <v>3</v>
      </c>
      <c r="E1" s="122" t="s">
        <v>4</v>
      </c>
      <c r="F1" s="122" t="s">
        <v>5</v>
      </c>
      <c r="G1" s="122" t="s">
        <v>6</v>
      </c>
      <c r="H1" s="122" t="s">
        <v>7</v>
      </c>
      <c r="I1" s="122" t="s">
        <v>8</v>
      </c>
      <c r="J1" s="122" t="s">
        <v>10</v>
      </c>
      <c r="K1" s="122" t="s">
        <v>9</v>
      </c>
      <c r="L1" s="122" t="s">
        <v>11</v>
      </c>
      <c r="M1" s="122" t="s">
        <v>12</v>
      </c>
      <c r="N1" s="122" t="s">
        <v>13</v>
      </c>
      <c r="O1" s="122" t="s">
        <v>14</v>
      </c>
      <c r="P1" s="122" t="s">
        <v>15</v>
      </c>
      <c r="Q1" s="122" t="s">
        <v>16</v>
      </c>
      <c r="R1" s="122" t="s">
        <v>17</v>
      </c>
      <c r="S1" s="122" t="s">
        <v>18</v>
      </c>
      <c r="T1" s="122" t="s">
        <v>19</v>
      </c>
      <c r="U1" s="122" t="s">
        <v>20</v>
      </c>
      <c r="V1" s="122" t="s">
        <v>21</v>
      </c>
      <c r="W1" s="122" t="s">
        <v>22</v>
      </c>
      <c r="X1" s="122" t="s">
        <v>23</v>
      </c>
      <c r="Y1" s="122" t="s">
        <v>24</v>
      </c>
      <c r="Z1" s="122" t="s">
        <v>25</v>
      </c>
      <c r="AA1" s="122" t="s">
        <v>26</v>
      </c>
      <c r="AB1" s="122" t="s">
        <v>27</v>
      </c>
      <c r="AC1" s="122" t="s">
        <v>28</v>
      </c>
      <c r="AD1" s="122" t="s">
        <v>29</v>
      </c>
      <c r="AE1" s="122" t="s">
        <v>30</v>
      </c>
      <c r="AF1" s="122" t="s">
        <v>31</v>
      </c>
      <c r="AG1" s="122" t="s">
        <v>32</v>
      </c>
      <c r="AH1" s="122" t="s">
        <v>33</v>
      </c>
      <c r="AI1" s="122" t="s">
        <v>41</v>
      </c>
      <c r="AJ1" s="122" t="s">
        <v>42</v>
      </c>
      <c r="AK1" s="122" t="s">
        <v>43</v>
      </c>
      <c r="AL1" s="122" t="s">
        <v>44</v>
      </c>
      <c r="AM1" s="122" t="s">
        <v>45</v>
      </c>
      <c r="AN1" s="122" t="s">
        <v>46</v>
      </c>
      <c r="AO1" s="122" t="s">
        <v>47</v>
      </c>
      <c r="AP1" s="122" t="s">
        <v>459</v>
      </c>
      <c r="AQ1" s="122" t="s">
        <v>48</v>
      </c>
      <c r="AR1" s="122" t="s">
        <v>49</v>
      </c>
      <c r="AS1" s="122" t="s">
        <v>50</v>
      </c>
      <c r="AT1" s="122" t="s">
        <v>51</v>
      </c>
    </row>
    <row r="2" spans="1:46" ht="15.6" x14ac:dyDescent="0.3">
      <c r="A2" s="122" t="s">
        <v>341</v>
      </c>
      <c r="B2" s="147">
        <v>45670</v>
      </c>
      <c r="C2" s="122" t="s">
        <v>76</v>
      </c>
      <c r="D2" s="148">
        <v>0.5</v>
      </c>
      <c r="E2" s="148">
        <v>0.50347222222222221</v>
      </c>
      <c r="F2" s="122" t="s">
        <v>450</v>
      </c>
      <c r="G2" s="122" t="s">
        <v>55</v>
      </c>
      <c r="H2" s="122" t="s">
        <v>342</v>
      </c>
      <c r="I2" s="122" t="s">
        <v>343</v>
      </c>
      <c r="J2" s="122" t="s">
        <v>345</v>
      </c>
      <c r="K2" s="122" t="s">
        <v>344</v>
      </c>
      <c r="L2" s="122" t="s">
        <v>346</v>
      </c>
      <c r="M2" s="122" t="s">
        <v>347</v>
      </c>
      <c r="N2" s="122" t="s">
        <v>348</v>
      </c>
      <c r="O2" s="122" t="s">
        <v>84</v>
      </c>
      <c r="P2" s="122">
        <v>8</v>
      </c>
      <c r="Q2" s="122" t="s">
        <v>349</v>
      </c>
      <c r="R2" s="122"/>
      <c r="S2" s="122"/>
      <c r="T2" s="122"/>
      <c r="U2" s="122"/>
      <c r="V2" s="122"/>
      <c r="W2" s="122"/>
      <c r="X2" s="122"/>
      <c r="Y2" s="122"/>
      <c r="Z2" s="122"/>
      <c r="AA2" s="122"/>
      <c r="AB2" s="122" t="s">
        <v>157</v>
      </c>
      <c r="AC2" s="122" t="s">
        <v>67</v>
      </c>
      <c r="AD2" s="122" t="s">
        <v>350</v>
      </c>
      <c r="AE2" s="122" t="s">
        <v>351</v>
      </c>
      <c r="AF2" s="122" t="s">
        <v>352</v>
      </c>
      <c r="AG2" s="122" t="s">
        <v>123</v>
      </c>
      <c r="AH2" s="122" t="s">
        <v>353</v>
      </c>
      <c r="AI2" s="122">
        <v>2025</v>
      </c>
      <c r="AJ2" s="122">
        <v>3</v>
      </c>
      <c r="AK2" s="122">
        <v>3</v>
      </c>
      <c r="AL2" s="122">
        <v>13</v>
      </c>
      <c r="AM2" s="122">
        <v>13</v>
      </c>
      <c r="AN2" s="149">
        <v>45670.503472222219</v>
      </c>
      <c r="AO2" s="122">
        <v>204</v>
      </c>
      <c r="AP2" s="122" t="s">
        <v>349</v>
      </c>
      <c r="AQ2" s="122"/>
      <c r="AR2" s="122" t="s">
        <v>354</v>
      </c>
      <c r="AS2" s="122" t="s">
        <v>355</v>
      </c>
      <c r="AT2" s="122" t="s">
        <v>513</v>
      </c>
    </row>
    <row r="3" spans="1:46" ht="15.6" x14ac:dyDescent="0.3">
      <c r="A3" s="122" t="s">
        <v>356</v>
      </c>
      <c r="B3" s="147">
        <v>45671</v>
      </c>
      <c r="C3" s="122" t="s">
        <v>76</v>
      </c>
      <c r="D3" s="148">
        <v>0.625</v>
      </c>
      <c r="E3" s="148">
        <v>0.64067129629629627</v>
      </c>
      <c r="F3" s="122" t="s">
        <v>451</v>
      </c>
      <c r="G3" s="122" t="s">
        <v>55</v>
      </c>
      <c r="H3" s="122" t="s">
        <v>357</v>
      </c>
      <c r="I3" s="122" t="s">
        <v>358</v>
      </c>
      <c r="J3" s="122" t="s">
        <v>359</v>
      </c>
      <c r="K3" s="122" t="s">
        <v>347</v>
      </c>
      <c r="L3" s="122" t="s">
        <v>360</v>
      </c>
      <c r="M3" s="122" t="s">
        <v>361</v>
      </c>
      <c r="N3" s="122" t="s">
        <v>362</v>
      </c>
      <c r="O3" s="122" t="s">
        <v>363</v>
      </c>
      <c r="P3" s="122">
        <v>9</v>
      </c>
      <c r="Q3" s="122" t="s">
        <v>364</v>
      </c>
      <c r="R3" s="122"/>
      <c r="S3" s="122"/>
      <c r="T3" s="122" t="s">
        <v>365</v>
      </c>
      <c r="U3" s="122" t="s">
        <v>366</v>
      </c>
      <c r="V3" s="122" t="s">
        <v>367</v>
      </c>
      <c r="W3" s="122" t="s">
        <v>65</v>
      </c>
      <c r="X3" s="122"/>
      <c r="Y3" s="122"/>
      <c r="Z3" s="122"/>
      <c r="AA3" s="122"/>
      <c r="AB3" s="122" t="s">
        <v>119</v>
      </c>
      <c r="AC3" s="122" t="s">
        <v>67</v>
      </c>
      <c r="AD3" s="122" t="s">
        <v>219</v>
      </c>
      <c r="AE3" s="122" t="s">
        <v>159</v>
      </c>
      <c r="AF3" s="122" t="s">
        <v>160</v>
      </c>
      <c r="AG3" s="122" t="s">
        <v>123</v>
      </c>
      <c r="AH3" s="122" t="s">
        <v>353</v>
      </c>
      <c r="AI3" s="122">
        <v>2025</v>
      </c>
      <c r="AJ3" s="122">
        <v>3</v>
      </c>
      <c r="AK3" s="122">
        <v>3</v>
      </c>
      <c r="AL3" s="122">
        <v>14</v>
      </c>
      <c r="AM3" s="122">
        <v>14</v>
      </c>
      <c r="AN3" s="149">
        <v>45671.640277777777</v>
      </c>
      <c r="AO3" s="122">
        <v>450</v>
      </c>
      <c r="AP3" s="122" t="s">
        <v>364</v>
      </c>
      <c r="AQ3" s="122" t="s">
        <v>369</v>
      </c>
      <c r="AR3" s="122" t="s">
        <v>59</v>
      </c>
      <c r="AS3" s="122" t="s">
        <v>370</v>
      </c>
      <c r="AT3" s="122" t="s">
        <v>512</v>
      </c>
    </row>
    <row r="4" spans="1:46" ht="15.6" x14ac:dyDescent="0.3">
      <c r="A4" s="122" t="s">
        <v>371</v>
      </c>
      <c r="B4" s="147">
        <v>45673</v>
      </c>
      <c r="C4" s="122" t="s">
        <v>109</v>
      </c>
      <c r="D4" s="148">
        <v>0.875</v>
      </c>
      <c r="E4" s="148">
        <v>0.87708333333333333</v>
      </c>
      <c r="F4" s="122" t="s">
        <v>536</v>
      </c>
      <c r="G4" s="122" t="s">
        <v>55</v>
      </c>
      <c r="H4" s="122" t="s">
        <v>372</v>
      </c>
      <c r="I4" s="122" t="s">
        <v>373</v>
      </c>
      <c r="J4" s="122" t="s">
        <v>347</v>
      </c>
      <c r="K4" s="122" t="s">
        <v>347</v>
      </c>
      <c r="L4" s="122" t="s">
        <v>59</v>
      </c>
      <c r="M4" s="122" t="s">
        <v>59</v>
      </c>
      <c r="N4" s="122" t="s">
        <v>374</v>
      </c>
      <c r="O4" s="122" t="s">
        <v>178</v>
      </c>
      <c r="P4" s="122">
        <v>9</v>
      </c>
      <c r="Q4" s="122" t="s">
        <v>375</v>
      </c>
      <c r="R4" s="122"/>
      <c r="S4" s="122"/>
      <c r="T4" s="122"/>
      <c r="U4" s="122" t="s">
        <v>376</v>
      </c>
      <c r="V4" s="122" t="s">
        <v>377</v>
      </c>
      <c r="W4" s="122"/>
      <c r="X4" s="122"/>
      <c r="Y4" s="122"/>
      <c r="Z4" s="122"/>
      <c r="AA4" s="122"/>
      <c r="AB4" s="122" t="s">
        <v>66</v>
      </c>
      <c r="AC4" s="122" t="s">
        <v>67</v>
      </c>
      <c r="AD4" s="122" t="s">
        <v>89</v>
      </c>
      <c r="AE4" s="122" t="s">
        <v>90</v>
      </c>
      <c r="AF4" s="122" t="s">
        <v>378</v>
      </c>
      <c r="AG4" s="122" t="s">
        <v>195</v>
      </c>
      <c r="AH4" s="122" t="s">
        <v>353</v>
      </c>
      <c r="AI4" s="122">
        <v>2025</v>
      </c>
      <c r="AJ4" s="122">
        <v>3</v>
      </c>
      <c r="AK4" s="122">
        <v>3</v>
      </c>
      <c r="AL4" s="122">
        <v>16</v>
      </c>
      <c r="AM4" s="122">
        <v>16</v>
      </c>
      <c r="AN4" s="149">
        <v>45673.877083333333</v>
      </c>
      <c r="AO4" s="122">
        <v>630</v>
      </c>
      <c r="AP4" s="122" t="s">
        <v>375</v>
      </c>
      <c r="AQ4" s="122" t="s">
        <v>379</v>
      </c>
      <c r="AR4" s="122" t="s">
        <v>380</v>
      </c>
      <c r="AS4" s="122" t="s">
        <v>381</v>
      </c>
      <c r="AT4" s="122" t="s">
        <v>512</v>
      </c>
    </row>
    <row r="5" spans="1:46" ht="15.6" x14ac:dyDescent="0.3">
      <c r="A5" s="122" t="s">
        <v>382</v>
      </c>
      <c r="B5" s="147">
        <v>45690</v>
      </c>
      <c r="C5" s="122" t="s">
        <v>95</v>
      </c>
      <c r="D5" s="148">
        <v>0.70833333333333337</v>
      </c>
      <c r="E5" s="148">
        <v>0.72569444444444442</v>
      </c>
      <c r="F5" s="122" t="s">
        <v>458</v>
      </c>
      <c r="G5" s="122" t="s">
        <v>111</v>
      </c>
      <c r="H5" s="122" t="s">
        <v>294</v>
      </c>
      <c r="I5" s="122" t="s">
        <v>383</v>
      </c>
      <c r="J5" s="122" t="s">
        <v>384</v>
      </c>
      <c r="K5" s="122" t="s">
        <v>176</v>
      </c>
      <c r="L5" s="122" t="s">
        <v>347</v>
      </c>
      <c r="M5" s="122" t="s">
        <v>59</v>
      </c>
      <c r="N5" s="122" t="s">
        <v>385</v>
      </c>
      <c r="O5" s="122" t="s">
        <v>145</v>
      </c>
      <c r="P5" s="122">
        <v>5</v>
      </c>
      <c r="Q5" s="122" t="s">
        <v>386</v>
      </c>
      <c r="R5" s="122"/>
      <c r="S5" s="122"/>
      <c r="T5" s="122"/>
      <c r="U5" s="122"/>
      <c r="V5" s="122"/>
      <c r="W5" s="122"/>
      <c r="X5" s="122"/>
      <c r="Y5" s="122"/>
      <c r="Z5" s="122"/>
      <c r="AA5" s="122"/>
      <c r="AB5" s="122" t="s">
        <v>66</v>
      </c>
      <c r="AC5" s="122" t="s">
        <v>67</v>
      </c>
      <c r="AD5" s="122" t="s">
        <v>105</v>
      </c>
      <c r="AE5" s="122" t="s">
        <v>69</v>
      </c>
      <c r="AF5" s="122" t="s">
        <v>180</v>
      </c>
      <c r="AG5" s="122" t="s">
        <v>92</v>
      </c>
      <c r="AH5" s="122"/>
      <c r="AI5" s="122">
        <v>2025</v>
      </c>
      <c r="AJ5" s="122">
        <v>6</v>
      </c>
      <c r="AK5" s="122">
        <v>2</v>
      </c>
      <c r="AL5" s="122">
        <v>2</v>
      </c>
      <c r="AM5" s="122">
        <v>33</v>
      </c>
      <c r="AN5" s="149">
        <v>45690.725694444445</v>
      </c>
      <c r="AO5" s="122">
        <v>144</v>
      </c>
      <c r="AP5" s="122" t="s">
        <v>386</v>
      </c>
      <c r="AQ5" s="122"/>
      <c r="AR5" s="122" t="s">
        <v>387</v>
      </c>
      <c r="AS5" s="122" t="s">
        <v>59</v>
      </c>
      <c r="AT5" s="122" t="s">
        <v>510</v>
      </c>
    </row>
    <row r="6" spans="1:46" ht="15.6" x14ac:dyDescent="0.3">
      <c r="A6" s="122" t="s">
        <v>388</v>
      </c>
      <c r="B6" s="147">
        <v>45691</v>
      </c>
      <c r="C6" s="122" t="s">
        <v>95</v>
      </c>
      <c r="D6" s="148">
        <v>0.66666666666666663</v>
      </c>
      <c r="E6" s="148">
        <v>0.694849537037037</v>
      </c>
      <c r="F6" s="122" t="s">
        <v>450</v>
      </c>
      <c r="G6" s="122" t="s">
        <v>111</v>
      </c>
      <c r="H6" s="122" t="s">
        <v>357</v>
      </c>
      <c r="I6" s="122" t="s">
        <v>389</v>
      </c>
      <c r="J6" s="122" t="s">
        <v>347</v>
      </c>
      <c r="K6" s="122" t="s">
        <v>347</v>
      </c>
      <c r="L6" s="122" t="s">
        <v>59</v>
      </c>
      <c r="M6" s="122" t="s">
        <v>59</v>
      </c>
      <c r="N6" s="122" t="s">
        <v>390</v>
      </c>
      <c r="O6" s="122" t="s">
        <v>363</v>
      </c>
      <c r="P6" s="122">
        <v>9</v>
      </c>
      <c r="Q6" s="122" t="s">
        <v>391</v>
      </c>
      <c r="R6" s="122"/>
      <c r="S6" s="122"/>
      <c r="T6" s="122"/>
      <c r="U6" s="122"/>
      <c r="V6" s="122"/>
      <c r="W6" s="122"/>
      <c r="X6" s="122"/>
      <c r="Y6" s="122"/>
      <c r="Z6" s="122"/>
      <c r="AA6" s="122"/>
      <c r="AB6" s="122" t="s">
        <v>88</v>
      </c>
      <c r="AC6" s="122" t="s">
        <v>67</v>
      </c>
      <c r="AD6" s="122" t="s">
        <v>136</v>
      </c>
      <c r="AE6" s="122" t="s">
        <v>69</v>
      </c>
      <c r="AF6" s="122" t="s">
        <v>106</v>
      </c>
      <c r="AG6" s="122" t="s">
        <v>71</v>
      </c>
      <c r="AH6" s="122" t="s">
        <v>353</v>
      </c>
      <c r="AI6" s="122">
        <v>2025</v>
      </c>
      <c r="AJ6" s="122">
        <v>6</v>
      </c>
      <c r="AK6" s="122">
        <v>2</v>
      </c>
      <c r="AL6" s="122">
        <v>3</v>
      </c>
      <c r="AM6" s="122">
        <v>34</v>
      </c>
      <c r="AN6" s="149">
        <v>45691.694444444445</v>
      </c>
      <c r="AO6" s="122">
        <v>400</v>
      </c>
      <c r="AP6" s="122" t="s">
        <v>391</v>
      </c>
      <c r="AQ6" s="122"/>
      <c r="AR6" s="122" t="s">
        <v>392</v>
      </c>
      <c r="AS6" s="122" t="s">
        <v>393</v>
      </c>
      <c r="AT6" s="122" t="s">
        <v>510</v>
      </c>
    </row>
    <row r="7" spans="1:46" ht="15.6" x14ac:dyDescent="0.3">
      <c r="A7" s="122" t="s">
        <v>437</v>
      </c>
      <c r="B7" s="147">
        <v>45701</v>
      </c>
      <c r="C7" s="122" t="s">
        <v>172</v>
      </c>
      <c r="D7" s="148">
        <v>8.3333333333333329E-2</v>
      </c>
      <c r="E7" s="148">
        <v>8.3333333333333329E-2</v>
      </c>
      <c r="F7" s="122" t="s">
        <v>536</v>
      </c>
      <c r="G7" s="122" t="s">
        <v>111</v>
      </c>
      <c r="H7" s="122" t="s">
        <v>438</v>
      </c>
      <c r="I7" s="122" t="s">
        <v>439</v>
      </c>
      <c r="J7" s="122" t="s">
        <v>441</v>
      </c>
      <c r="K7" s="122" t="s">
        <v>440</v>
      </c>
      <c r="L7" s="122" t="s">
        <v>442</v>
      </c>
      <c r="M7" s="122" t="s">
        <v>347</v>
      </c>
      <c r="N7" s="122" t="s">
        <v>443</v>
      </c>
      <c r="O7" s="122" t="s">
        <v>191</v>
      </c>
      <c r="P7" s="122">
        <v>9</v>
      </c>
      <c r="Q7" s="122" t="s">
        <v>444</v>
      </c>
      <c r="R7" s="122"/>
      <c r="S7" s="122"/>
      <c r="T7" s="122"/>
      <c r="U7" s="122"/>
      <c r="V7" s="122"/>
      <c r="W7" s="122"/>
      <c r="X7" s="122"/>
      <c r="Y7" s="122"/>
      <c r="Z7" s="122"/>
      <c r="AA7" s="122"/>
      <c r="AB7" s="122" t="s">
        <v>445</v>
      </c>
      <c r="AC7" s="122" t="s">
        <v>67</v>
      </c>
      <c r="AD7" s="122" t="s">
        <v>120</v>
      </c>
      <c r="AE7" s="122" t="s">
        <v>121</v>
      </c>
      <c r="AF7" s="122" t="s">
        <v>378</v>
      </c>
      <c r="AG7" s="122" t="s">
        <v>446</v>
      </c>
      <c r="AH7" s="122"/>
      <c r="AI7" s="122">
        <v>2025</v>
      </c>
      <c r="AJ7" s="122">
        <v>7</v>
      </c>
      <c r="AK7" s="122">
        <v>3</v>
      </c>
      <c r="AL7" s="122">
        <v>13</v>
      </c>
      <c r="AM7" s="122">
        <v>44</v>
      </c>
      <c r="AN7" s="149">
        <v>45701.083333333336</v>
      </c>
      <c r="AO7" s="122">
        <v>128</v>
      </c>
      <c r="AP7" s="122" t="s">
        <v>444</v>
      </c>
      <c r="AQ7" s="122"/>
      <c r="AR7" s="122" t="s">
        <v>447</v>
      </c>
      <c r="AS7" s="122" t="s">
        <v>448</v>
      </c>
      <c r="AT7" s="122" t="s">
        <v>508</v>
      </c>
    </row>
    <row r="8" spans="1:46" ht="15.6" x14ac:dyDescent="0.3">
      <c r="A8" s="122" t="s">
        <v>484</v>
      </c>
      <c r="B8" s="147">
        <v>45720</v>
      </c>
      <c r="C8" s="122" t="s">
        <v>95</v>
      </c>
      <c r="D8" s="148">
        <v>0.75</v>
      </c>
      <c r="E8" s="148">
        <v>0.79126157407407405</v>
      </c>
      <c r="F8" s="122" t="s">
        <v>451</v>
      </c>
      <c r="G8" s="122" t="s">
        <v>461</v>
      </c>
      <c r="H8" s="122" t="s">
        <v>485</v>
      </c>
      <c r="I8" s="122" t="s">
        <v>486</v>
      </c>
      <c r="J8" s="122" t="s">
        <v>347</v>
      </c>
      <c r="K8" s="122" t="s">
        <v>347</v>
      </c>
      <c r="L8" s="122" t="s">
        <v>59</v>
      </c>
      <c r="M8" s="122" t="s">
        <v>59</v>
      </c>
      <c r="N8" s="122" t="s">
        <v>487</v>
      </c>
      <c r="O8" s="122" t="s">
        <v>261</v>
      </c>
      <c r="P8" s="122">
        <v>6</v>
      </c>
      <c r="Q8" s="122" t="s">
        <v>488</v>
      </c>
      <c r="R8" s="122"/>
      <c r="S8" s="122"/>
      <c r="T8" s="122"/>
      <c r="U8" s="122"/>
      <c r="V8" s="122"/>
      <c r="W8" s="122"/>
      <c r="X8" s="122"/>
      <c r="Y8" s="122"/>
      <c r="Z8" s="122"/>
      <c r="AA8" s="122"/>
      <c r="AB8" s="122" t="s">
        <v>416</v>
      </c>
      <c r="AC8" s="122" t="s">
        <v>67</v>
      </c>
      <c r="AD8" s="122" t="s">
        <v>489</v>
      </c>
      <c r="AE8" s="122" t="s">
        <v>206</v>
      </c>
      <c r="AF8" s="122" t="s">
        <v>70</v>
      </c>
      <c r="AG8" s="122" t="s">
        <v>123</v>
      </c>
      <c r="AH8" s="122" t="s">
        <v>353</v>
      </c>
      <c r="AI8" s="122">
        <v>2025</v>
      </c>
      <c r="AJ8" s="122">
        <v>10</v>
      </c>
      <c r="AK8" s="122">
        <v>2</v>
      </c>
      <c r="AL8" s="122">
        <v>4</v>
      </c>
      <c r="AM8" s="122">
        <v>63</v>
      </c>
      <c r="AN8" s="149">
        <v>45720.790972222225</v>
      </c>
      <c r="AO8" s="122">
        <v>216</v>
      </c>
      <c r="AP8" s="122" t="s">
        <v>488</v>
      </c>
      <c r="AQ8" s="122"/>
      <c r="AR8" s="122" t="s">
        <v>490</v>
      </c>
      <c r="AS8" s="122" t="s">
        <v>491</v>
      </c>
      <c r="AT8" s="122" t="s">
        <v>505</v>
      </c>
    </row>
    <row r="9" spans="1:46" ht="15.6" x14ac:dyDescent="0.3">
      <c r="A9" s="122" t="s">
        <v>492</v>
      </c>
      <c r="B9" s="147">
        <v>45720</v>
      </c>
      <c r="C9" s="122" t="s">
        <v>76</v>
      </c>
      <c r="D9" s="148">
        <v>0.625</v>
      </c>
      <c r="E9" s="148">
        <v>0.64097222222222228</v>
      </c>
      <c r="F9" s="122" t="s">
        <v>451</v>
      </c>
      <c r="G9" s="122" t="s">
        <v>461</v>
      </c>
      <c r="H9" s="122" t="s">
        <v>493</v>
      </c>
      <c r="I9" s="122" t="s">
        <v>494</v>
      </c>
      <c r="J9" s="122" t="s">
        <v>495</v>
      </c>
      <c r="K9" s="122" t="s">
        <v>347</v>
      </c>
      <c r="L9" s="122" t="s">
        <v>496</v>
      </c>
      <c r="M9" s="122" t="s">
        <v>344</v>
      </c>
      <c r="N9" s="122" t="s">
        <v>497</v>
      </c>
      <c r="O9" s="122" t="s">
        <v>84</v>
      </c>
      <c r="P9" s="122">
        <v>8</v>
      </c>
      <c r="Q9" s="122" t="s">
        <v>498</v>
      </c>
      <c r="R9" s="122"/>
      <c r="S9" s="122"/>
      <c r="T9" s="122" t="s">
        <v>499</v>
      </c>
      <c r="U9" s="122" t="s">
        <v>500</v>
      </c>
      <c r="V9" s="122" t="s">
        <v>501</v>
      </c>
      <c r="W9" s="122" t="s">
        <v>65</v>
      </c>
      <c r="X9" s="122"/>
      <c r="Y9" s="122"/>
      <c r="Z9" s="122"/>
      <c r="AA9" s="122"/>
      <c r="AB9" s="122" t="s">
        <v>416</v>
      </c>
      <c r="AC9" s="122" t="s">
        <v>67</v>
      </c>
      <c r="AD9" s="122" t="s">
        <v>502</v>
      </c>
      <c r="AE9" s="122" t="s">
        <v>159</v>
      </c>
      <c r="AF9" s="122" t="s">
        <v>378</v>
      </c>
      <c r="AG9" s="122" t="s">
        <v>195</v>
      </c>
      <c r="AH9" s="122" t="s">
        <v>353</v>
      </c>
      <c r="AI9" s="122">
        <v>2025</v>
      </c>
      <c r="AJ9" s="122">
        <v>10</v>
      </c>
      <c r="AK9" s="122">
        <v>2</v>
      </c>
      <c r="AL9" s="122">
        <v>4</v>
      </c>
      <c r="AM9" s="122">
        <v>63</v>
      </c>
      <c r="AN9" s="149">
        <v>45720.640972222223</v>
      </c>
      <c r="AO9" s="122">
        <v>195</v>
      </c>
      <c r="AP9" s="122" t="s">
        <v>498</v>
      </c>
      <c r="AQ9" s="122" t="s">
        <v>503</v>
      </c>
      <c r="AR9" s="122" t="s">
        <v>504</v>
      </c>
      <c r="AS9" s="122" t="s">
        <v>59</v>
      </c>
      <c r="AT9" s="122" t="s">
        <v>505</v>
      </c>
    </row>
    <row r="10" spans="1:46" ht="15.6" x14ac:dyDescent="0.3">
      <c r="A10" s="122" t="s">
        <v>678</v>
      </c>
      <c r="B10" s="147">
        <v>45741</v>
      </c>
      <c r="C10" s="122" t="s">
        <v>150</v>
      </c>
      <c r="D10" s="148">
        <v>0.45833333333333331</v>
      </c>
      <c r="E10" s="148">
        <v>0.48402777777777778</v>
      </c>
      <c r="F10" s="122" t="s">
        <v>451</v>
      </c>
      <c r="G10" s="122" t="s">
        <v>461</v>
      </c>
      <c r="H10" s="122" t="s">
        <v>357</v>
      </c>
      <c r="I10" s="122" t="s">
        <v>358</v>
      </c>
      <c r="J10" s="122" t="s">
        <v>686</v>
      </c>
      <c r="K10" s="122" t="s">
        <v>347</v>
      </c>
      <c r="L10" s="122" t="s">
        <v>82</v>
      </c>
      <c r="M10" s="122" t="s">
        <v>687</v>
      </c>
      <c r="N10" s="122" t="s">
        <v>362</v>
      </c>
      <c r="O10" s="122" t="s">
        <v>363</v>
      </c>
      <c r="P10" s="122">
        <v>9</v>
      </c>
      <c r="Q10" s="122" t="s">
        <v>688</v>
      </c>
      <c r="R10" s="122"/>
      <c r="S10" s="122"/>
      <c r="T10" s="122" t="s">
        <v>689</v>
      </c>
      <c r="U10" s="122" t="s">
        <v>522</v>
      </c>
      <c r="V10" s="122" t="s">
        <v>690</v>
      </c>
      <c r="W10" s="122" t="s">
        <v>65</v>
      </c>
      <c r="X10" s="122"/>
      <c r="Y10" s="122"/>
      <c r="Z10" s="122"/>
      <c r="AA10" s="122"/>
      <c r="AB10" s="122" t="s">
        <v>157</v>
      </c>
      <c r="AC10" s="122" t="s">
        <v>67</v>
      </c>
      <c r="AD10" s="122" t="s">
        <v>647</v>
      </c>
      <c r="AE10" s="122" t="s">
        <v>351</v>
      </c>
      <c r="AF10" s="122" t="s">
        <v>160</v>
      </c>
      <c r="AG10" s="122" t="s">
        <v>123</v>
      </c>
      <c r="AH10" s="122"/>
      <c r="AI10" s="122">
        <v>2025</v>
      </c>
      <c r="AJ10" s="122">
        <v>13</v>
      </c>
      <c r="AK10" s="122">
        <v>5</v>
      </c>
      <c r="AL10" s="122">
        <v>25</v>
      </c>
      <c r="AM10" s="122">
        <v>84</v>
      </c>
      <c r="AN10" s="149">
        <v>45741.484027777777</v>
      </c>
      <c r="AO10" s="122">
        <v>450</v>
      </c>
      <c r="AP10" s="122" t="s">
        <v>688</v>
      </c>
      <c r="AQ10" s="122" t="s">
        <v>691</v>
      </c>
      <c r="AR10" s="122" t="s">
        <v>692</v>
      </c>
      <c r="AS10" s="122" t="s">
        <v>693</v>
      </c>
      <c r="AT10" s="122" t="s">
        <v>581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260E-AE3B-4920-852E-5F4FE03B4DED}">
  <sheetPr>
    <tabColor rgb="FFFF0000"/>
  </sheetPr>
  <dimension ref="A1:P2"/>
  <sheetViews>
    <sheetView workbookViewId="0"/>
  </sheetViews>
  <sheetFormatPr defaultRowHeight="14.4" x14ac:dyDescent="0.3"/>
  <cols>
    <col min="1" max="1" width="23.109375" bestFit="1" customWidth="1"/>
    <col min="2" max="2" width="11.6640625" bestFit="1" customWidth="1"/>
    <col min="3" max="3" width="11.88671875" bestFit="1" customWidth="1"/>
    <col min="4" max="4" width="23.77734375" bestFit="1" customWidth="1"/>
    <col min="5" max="5" width="80.88671875" bestFit="1" customWidth="1"/>
    <col min="6" max="6" width="30.6640625" bestFit="1" customWidth="1"/>
    <col min="7" max="8" width="80.88671875" bestFit="1" customWidth="1"/>
    <col min="9" max="9" width="15" bestFit="1" customWidth="1"/>
    <col min="10" max="10" width="14.88671875" bestFit="1" customWidth="1"/>
    <col min="11" max="11" width="15.44140625" bestFit="1" customWidth="1"/>
    <col min="12" max="12" width="12.77734375" bestFit="1" customWidth="1"/>
    <col min="13" max="13" width="16.44140625" bestFit="1" customWidth="1"/>
    <col min="14" max="14" width="27.6640625" bestFit="1" customWidth="1"/>
    <col min="15" max="15" width="32.33203125" bestFit="1" customWidth="1"/>
    <col min="16" max="16" width="19.6640625" bestFit="1" customWidth="1"/>
  </cols>
  <sheetData>
    <row r="1" spans="1:16" x14ac:dyDescent="0.3">
      <c r="A1" t="s">
        <v>7</v>
      </c>
      <c r="B1" t="s">
        <v>1</v>
      </c>
      <c r="C1" t="s">
        <v>5</v>
      </c>
      <c r="D1" t="s">
        <v>52</v>
      </c>
      <c r="E1" t="s">
        <v>49</v>
      </c>
      <c r="F1" t="s">
        <v>48</v>
      </c>
      <c r="G1" t="s">
        <v>50</v>
      </c>
      <c r="H1" t="s">
        <v>16</v>
      </c>
      <c r="I1" t="s">
        <v>670</v>
      </c>
      <c r="J1" t="s">
        <v>671</v>
      </c>
      <c r="K1" t="s">
        <v>672</v>
      </c>
      <c r="L1" t="s">
        <v>673</v>
      </c>
      <c r="M1" t="s">
        <v>810</v>
      </c>
      <c r="N1" t="s">
        <v>676</v>
      </c>
      <c r="O1" t="s">
        <v>677</v>
      </c>
      <c r="P1" t="s">
        <v>660</v>
      </c>
    </row>
    <row r="2" spans="1:16" x14ac:dyDescent="0.3">
      <c r="A2" t="s">
        <v>357</v>
      </c>
      <c r="B2" s="1">
        <v>45741</v>
      </c>
      <c r="C2" t="s">
        <v>451</v>
      </c>
      <c r="D2" t="s">
        <v>150</v>
      </c>
      <c r="E2" t="s">
        <v>692</v>
      </c>
      <c r="F2" t="s">
        <v>691</v>
      </c>
      <c r="G2" t="s">
        <v>693</v>
      </c>
      <c r="H2" t="s">
        <v>688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F32E-E506-4BBA-BE8B-354BD5819CD7}">
  <sheetPr>
    <tabColor rgb="FFFF0000"/>
  </sheetPr>
  <dimension ref="A1:P2"/>
  <sheetViews>
    <sheetView workbookViewId="0">
      <selection sqref="A1:P2"/>
    </sheetView>
  </sheetViews>
  <sheetFormatPr defaultRowHeight="14.4" x14ac:dyDescent="0.3"/>
  <cols>
    <col min="1" max="1" width="8.77734375" style="126" bestFit="1" customWidth="1"/>
    <col min="2" max="2" width="11.6640625" style="126" bestFit="1" customWidth="1"/>
    <col min="3" max="3" width="11.88671875" style="126" bestFit="1" customWidth="1"/>
    <col min="4" max="4" width="15.33203125" style="126" bestFit="1" customWidth="1"/>
    <col min="5" max="5" width="9.77734375" style="126" bestFit="1" customWidth="1"/>
    <col min="6" max="6" width="10.21875" style="126" bestFit="1" customWidth="1"/>
    <col min="7" max="7" width="25.5546875" style="126" bestFit="1" customWidth="1"/>
    <col min="8" max="8" width="11" style="126" bestFit="1" customWidth="1"/>
    <col min="9" max="9" width="18.109375" style="126" bestFit="1" customWidth="1"/>
    <col min="10" max="10" width="17.88671875" style="126" bestFit="1" customWidth="1"/>
    <col min="11" max="11" width="18.44140625" style="126" bestFit="1" customWidth="1"/>
    <col min="12" max="12" width="15.33203125" style="126" bestFit="1" customWidth="1"/>
    <col min="13" max="13" width="16.44140625" style="126" bestFit="1" customWidth="1"/>
    <col min="14" max="14" width="32" style="126" bestFit="1" customWidth="1"/>
    <col min="15" max="15" width="36.6640625" style="126" bestFit="1" customWidth="1"/>
    <col min="16" max="16" width="23.44140625" style="126" bestFit="1" customWidth="1"/>
    <col min="17" max="17" width="31.6640625" style="126" bestFit="1" customWidth="1"/>
    <col min="18" max="18" width="17.88671875" style="126" bestFit="1" customWidth="1"/>
    <col min="19" max="19" width="18.44140625" style="126" bestFit="1" customWidth="1"/>
    <col min="20" max="20" width="15.33203125" style="126" bestFit="1" customWidth="1"/>
    <col min="21" max="21" width="18.6640625" style="126" bestFit="1" customWidth="1"/>
    <col min="22" max="22" width="19" style="126" bestFit="1" customWidth="1"/>
    <col min="23" max="23" width="32" style="126" bestFit="1" customWidth="1"/>
    <col min="24" max="24" width="36.6640625" style="126" bestFit="1" customWidth="1"/>
    <col min="25" max="25" width="23.44140625" style="126" bestFit="1" customWidth="1"/>
    <col min="26" max="26" width="10.77734375" style="126" bestFit="1" customWidth="1"/>
    <col min="27" max="16384" width="8.88671875" style="126"/>
  </cols>
  <sheetData>
    <row r="1" spans="1:16" x14ac:dyDescent="0.3">
      <c r="A1" t="s">
        <v>7</v>
      </c>
      <c r="B1" t="s">
        <v>1</v>
      </c>
      <c r="C1" t="s">
        <v>5</v>
      </c>
      <c r="D1" t="s">
        <v>52</v>
      </c>
      <c r="E1" t="s">
        <v>49</v>
      </c>
      <c r="F1" t="s">
        <v>48</v>
      </c>
      <c r="G1" t="s">
        <v>50</v>
      </c>
      <c r="H1" t="s">
        <v>16</v>
      </c>
      <c r="I1" s="126" t="s">
        <v>670</v>
      </c>
      <c r="J1" s="126" t="s">
        <v>671</v>
      </c>
      <c r="K1" s="126" t="s">
        <v>672</v>
      </c>
      <c r="L1" s="126" t="s">
        <v>673</v>
      </c>
      <c r="M1" t="s">
        <v>810</v>
      </c>
      <c r="N1" s="126" t="s">
        <v>676</v>
      </c>
      <c r="O1" s="126" t="s">
        <v>677</v>
      </c>
      <c r="P1" s="126" t="s">
        <v>660</v>
      </c>
    </row>
    <row r="2" spans="1:16" x14ac:dyDescent="0.3">
      <c r="A2"/>
      <c r="B2" s="1"/>
      <c r="C2"/>
      <c r="D2"/>
      <c r="E2"/>
      <c r="F2"/>
      <c r="G2"/>
      <c r="H2"/>
      <c r="M2"/>
    </row>
  </sheetData>
  <phoneticPr fontId="12"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0D01-2035-4655-8BE3-B31FF37310B6}">
  <sheetPr codeName="Sheet9">
    <tabColor rgb="FFFF0000"/>
  </sheetPr>
  <dimension ref="A1:AS48"/>
  <sheetViews>
    <sheetView workbookViewId="0">
      <selection activeCell="J14" sqref="J14:N19"/>
    </sheetView>
  </sheetViews>
  <sheetFormatPr defaultColWidth="9.109375" defaultRowHeight="15.6" x14ac:dyDescent="0.3"/>
  <cols>
    <col min="1" max="1" width="23.77734375" style="3" bestFit="1" customWidth="1"/>
    <col min="2" max="2" width="11.77734375" style="3" bestFit="1" customWidth="1"/>
    <col min="3" max="8" width="6.77734375" style="3" customWidth="1"/>
    <col min="9" max="9" width="1.77734375" style="3" customWidth="1"/>
    <col min="10" max="10" width="23.88671875" style="3" bestFit="1" customWidth="1"/>
    <col min="11" max="11" width="7.6640625" style="3" bestFit="1" customWidth="1"/>
    <col min="12" max="12" width="5" style="3" bestFit="1" customWidth="1"/>
    <col min="13" max="13" width="4.109375" style="3" bestFit="1" customWidth="1"/>
    <col min="14" max="14" width="4.88671875" style="3" bestFit="1" customWidth="1"/>
    <col min="15" max="17" width="6.77734375" style="3" customWidth="1"/>
    <col min="18" max="22" width="2.77734375" style="3" customWidth="1"/>
    <col min="23" max="23" width="13.88671875" style="3" customWidth="1"/>
    <col min="24" max="24" width="10.109375" style="3" bestFit="1" customWidth="1"/>
    <col min="25" max="25" width="24.88671875" style="3" bestFit="1" customWidth="1"/>
    <col min="26" max="26" width="28.5546875" style="3" customWidth="1"/>
    <col min="27" max="27" width="15.5546875" style="3" customWidth="1"/>
    <col min="28" max="28" width="14.44140625" style="3" customWidth="1"/>
    <col min="29" max="29" width="31" style="3" customWidth="1"/>
    <col min="30" max="30" width="20.44140625" style="3" bestFit="1" customWidth="1"/>
    <col min="31" max="31" width="23.33203125" style="3" bestFit="1" customWidth="1"/>
    <col min="32" max="32" width="29.109375" style="3" customWidth="1"/>
    <col min="33" max="33" width="15.44140625" style="3" customWidth="1"/>
    <col min="34" max="34" width="16.109375" style="3" customWidth="1"/>
    <col min="35" max="35" width="13" style="3" customWidth="1"/>
    <col min="36" max="36" width="16.109375" style="3" customWidth="1"/>
    <col min="37" max="37" width="16.5546875" style="3" customWidth="1"/>
    <col min="38" max="38" width="29" style="3" customWidth="1"/>
    <col min="39" max="39" width="34.109375" style="3" customWidth="1"/>
    <col min="40" max="40" width="21" style="3" customWidth="1"/>
    <col min="41" max="43" width="9.109375" style="3"/>
    <col min="44" max="44" width="40.109375" style="3" bestFit="1" customWidth="1"/>
    <col min="45" max="16384" width="9.109375" style="3"/>
  </cols>
  <sheetData>
    <row r="1" spans="1:45" ht="21" x14ac:dyDescent="0.4">
      <c r="A1" s="196" t="s">
        <v>738</v>
      </c>
      <c r="B1" s="196"/>
      <c r="C1" s="196"/>
      <c r="D1" s="196"/>
      <c r="E1" s="196"/>
      <c r="F1" s="196"/>
      <c r="G1" s="196"/>
      <c r="H1" s="196"/>
      <c r="J1" s="196" t="s">
        <v>809</v>
      </c>
      <c r="K1" s="196"/>
      <c r="L1" s="196"/>
      <c r="M1" s="196"/>
      <c r="N1" s="196"/>
      <c r="O1" s="196"/>
      <c r="P1" s="196"/>
      <c r="Q1" s="196"/>
    </row>
    <row r="2" spans="1:45" ht="16.2" thickBot="1" x14ac:dyDescent="0.35">
      <c r="A2" s="5" t="s">
        <v>1</v>
      </c>
      <c r="B2" s="37">
        <v>45741</v>
      </c>
      <c r="F2"/>
      <c r="G2"/>
      <c r="H2"/>
      <c r="I2"/>
      <c r="J2" s="5" t="s">
        <v>1</v>
      </c>
      <c r="K2" t="s">
        <v>127</v>
      </c>
      <c r="O2"/>
      <c r="P2"/>
      <c r="Q2"/>
      <c r="R2"/>
      <c r="S2"/>
      <c r="T2"/>
      <c r="U2"/>
      <c r="V2"/>
      <c r="W2"/>
      <c r="X2"/>
      <c r="Y2" s="14" t="s">
        <v>0</v>
      </c>
      <c r="Z2" s="14" t="s">
        <v>661</v>
      </c>
      <c r="AA2" s="14" t="s">
        <v>35</v>
      </c>
      <c r="AB2" s="14" t="s">
        <v>649</v>
      </c>
      <c r="AC2" s="14" t="s">
        <v>650</v>
      </c>
      <c r="AD2" s="14" t="s">
        <v>670</v>
      </c>
      <c r="AE2" s="14" t="s">
        <v>655</v>
      </c>
      <c r="AF2" s="14" t="s">
        <v>656</v>
      </c>
      <c r="AG2" s="14" t="s">
        <v>671</v>
      </c>
      <c r="AH2" s="14" t="s">
        <v>672</v>
      </c>
      <c r="AI2" s="14" t="s">
        <v>673</v>
      </c>
      <c r="AJ2" s="14" t="s">
        <v>674</v>
      </c>
      <c r="AK2" s="14" t="s">
        <v>675</v>
      </c>
      <c r="AL2" s="14" t="s">
        <v>676</v>
      </c>
      <c r="AM2" s="14" t="s">
        <v>677</v>
      </c>
      <c r="AN2" s="14" t="s">
        <v>660</v>
      </c>
      <c r="AO2" s="14" t="s">
        <v>459</v>
      </c>
    </row>
    <row r="3" spans="1:45" ht="18" x14ac:dyDescent="0.35">
      <c r="F3"/>
      <c r="G3"/>
      <c r="H3"/>
      <c r="I3"/>
      <c r="O3"/>
      <c r="P3"/>
      <c r="Q3"/>
      <c r="R3"/>
      <c r="S3"/>
      <c r="T3"/>
      <c r="U3"/>
      <c r="V3"/>
      <c r="W3"/>
      <c r="X3"/>
      <c r="Y3" s="14"/>
      <c r="Z3" s="14"/>
      <c r="AA3" s="14"/>
      <c r="AB3" s="14"/>
      <c r="AC3" s="14"/>
      <c r="AD3" s="14"/>
      <c r="AE3" s="14"/>
      <c r="AF3" s="14"/>
      <c r="AG3" s="14"/>
      <c r="AH3" s="14"/>
      <c r="AI3" s="14"/>
      <c r="AJ3" s="14"/>
      <c r="AK3" s="14"/>
      <c r="AL3" s="14"/>
      <c r="AM3" s="14"/>
      <c r="AN3" s="14"/>
      <c r="AO3" s="14"/>
      <c r="AR3" s="69" t="s">
        <v>0</v>
      </c>
      <c r="AS3" s="70" t="s">
        <v>678</v>
      </c>
    </row>
    <row r="4" spans="1:45" ht="22.2" x14ac:dyDescent="0.35">
      <c r="A4" s="150" t="s">
        <v>128</v>
      </c>
      <c r="B4" s="150" t="s">
        <v>394</v>
      </c>
      <c r="C4"/>
      <c r="D4"/>
      <c r="E4"/>
      <c r="F4"/>
      <c r="G4"/>
      <c r="H4"/>
      <c r="I4"/>
      <c r="J4" s="150" t="s">
        <v>128</v>
      </c>
      <c r="K4" s="150" t="s">
        <v>394</v>
      </c>
      <c r="L4"/>
      <c r="M4"/>
      <c r="N4"/>
      <c r="O4"/>
      <c r="P4"/>
      <c r="Q4"/>
      <c r="R4"/>
      <c r="S4"/>
      <c r="T4"/>
      <c r="U4"/>
      <c r="V4"/>
      <c r="W4"/>
      <c r="X4"/>
      <c r="AR4" s="71" t="s">
        <v>661</v>
      </c>
      <c r="AS4" s="72" t="s">
        <v>357</v>
      </c>
    </row>
    <row r="5" spans="1:45" s="4" customFormat="1" ht="18" x14ac:dyDescent="0.35">
      <c r="A5" s="151" t="s">
        <v>449</v>
      </c>
      <c r="B5" s="32" t="s">
        <v>451</v>
      </c>
      <c r="C5"/>
      <c r="D5"/>
      <c r="E5"/>
      <c r="F5"/>
      <c r="G5"/>
      <c r="H5"/>
      <c r="I5"/>
      <c r="J5" s="151" t="s">
        <v>449</v>
      </c>
      <c r="K5" s="32" t="s">
        <v>458</v>
      </c>
      <c r="L5" s="32" t="s">
        <v>450</v>
      </c>
      <c r="M5" s="32" t="s">
        <v>451</v>
      </c>
      <c r="N5" s="32" t="s">
        <v>536</v>
      </c>
      <c r="O5"/>
      <c r="P5"/>
      <c r="Q5"/>
      <c r="R5"/>
      <c r="S5"/>
      <c r="T5"/>
      <c r="U5"/>
      <c r="V5"/>
      <c r="W5"/>
      <c r="X5"/>
      <c r="AA5"/>
      <c r="AB5"/>
      <c r="AC5"/>
      <c r="AD5"/>
      <c r="AE5"/>
      <c r="AR5" s="73" t="s">
        <v>35</v>
      </c>
      <c r="AS5" s="74">
        <v>45741</v>
      </c>
    </row>
    <row r="6" spans="1:45" s="4" customFormat="1" ht="18" x14ac:dyDescent="0.35">
      <c r="A6" s="35" t="s">
        <v>150</v>
      </c>
      <c r="B6">
        <v>1</v>
      </c>
      <c r="C6"/>
      <c r="D6"/>
      <c r="E6"/>
      <c r="F6"/>
      <c r="G6"/>
      <c r="H6"/>
      <c r="I6"/>
      <c r="J6" s="35" t="s">
        <v>76</v>
      </c>
      <c r="K6"/>
      <c r="L6">
        <v>1</v>
      </c>
      <c r="M6">
        <v>2</v>
      </c>
      <c r="N6"/>
      <c r="O6"/>
      <c r="P6"/>
      <c r="Q6"/>
      <c r="R6"/>
      <c r="S6"/>
      <c r="T6"/>
      <c r="U6"/>
      <c r="V6"/>
      <c r="W6"/>
      <c r="X6"/>
      <c r="AA6"/>
      <c r="AB6"/>
      <c r="AC6"/>
      <c r="AD6"/>
      <c r="AE6"/>
      <c r="AR6" s="71" t="s">
        <v>649</v>
      </c>
      <c r="AS6" s="72" t="s">
        <v>451</v>
      </c>
    </row>
    <row r="7" spans="1:45" ht="18" x14ac:dyDescent="0.35">
      <c r="A7"/>
      <c r="B7"/>
      <c r="C7"/>
      <c r="D7"/>
      <c r="E7"/>
      <c r="F7"/>
      <c r="G7"/>
      <c r="H7"/>
      <c r="I7"/>
      <c r="J7" s="35" t="s">
        <v>172</v>
      </c>
      <c r="K7"/>
      <c r="L7"/>
      <c r="M7"/>
      <c r="N7">
        <v>1</v>
      </c>
      <c r="O7"/>
      <c r="P7"/>
      <c r="Q7"/>
      <c r="R7"/>
      <c r="S7"/>
      <c r="T7"/>
      <c r="U7"/>
      <c r="V7"/>
      <c r="W7"/>
      <c r="X7"/>
      <c r="AA7"/>
      <c r="AB7"/>
      <c r="AC7"/>
      <c r="AD7"/>
      <c r="AE7"/>
      <c r="AR7" s="73" t="s">
        <v>650</v>
      </c>
      <c r="AS7" s="75" t="s">
        <v>141</v>
      </c>
    </row>
    <row r="8" spans="1:45" ht="18" x14ac:dyDescent="0.35">
      <c r="A8"/>
      <c r="B8"/>
      <c r="C8"/>
      <c r="D8"/>
      <c r="E8"/>
      <c r="F8"/>
      <c r="G8"/>
      <c r="H8"/>
      <c r="I8"/>
      <c r="J8" s="35" t="s">
        <v>95</v>
      </c>
      <c r="K8">
        <v>1</v>
      </c>
      <c r="L8">
        <v>1</v>
      </c>
      <c r="M8">
        <v>1</v>
      </c>
      <c r="N8"/>
      <c r="O8"/>
      <c r="P8"/>
      <c r="Q8"/>
      <c r="R8"/>
      <c r="S8"/>
      <c r="T8"/>
      <c r="U8"/>
      <c r="V8"/>
      <c r="W8"/>
      <c r="X8"/>
      <c r="AA8"/>
      <c r="AB8"/>
      <c r="AC8"/>
      <c r="AD8"/>
      <c r="AE8"/>
      <c r="AR8" s="71" t="s">
        <v>670</v>
      </c>
      <c r="AS8" s="72"/>
    </row>
    <row r="9" spans="1:45" ht="18" x14ac:dyDescent="0.35">
      <c r="A9"/>
      <c r="B9"/>
      <c r="C9"/>
      <c r="D9"/>
      <c r="E9"/>
      <c r="F9"/>
      <c r="G9"/>
      <c r="H9"/>
      <c r="I9"/>
      <c r="J9" s="35" t="s">
        <v>150</v>
      </c>
      <c r="K9"/>
      <c r="L9"/>
      <c r="M9">
        <v>1</v>
      </c>
      <c r="N9"/>
      <c r="O9"/>
      <c r="P9"/>
      <c r="Q9"/>
      <c r="R9"/>
      <c r="S9"/>
      <c r="T9"/>
      <c r="U9"/>
      <c r="V9"/>
      <c r="W9"/>
      <c r="X9"/>
      <c r="AA9"/>
      <c r="AB9"/>
      <c r="AC9"/>
      <c r="AD9"/>
      <c r="AE9"/>
      <c r="AR9" s="73" t="s">
        <v>655</v>
      </c>
      <c r="AS9" s="75" t="s">
        <v>679</v>
      </c>
    </row>
    <row r="10" spans="1:45" ht="18" x14ac:dyDescent="0.35">
      <c r="A10"/>
      <c r="B10"/>
      <c r="C10"/>
      <c r="D10"/>
      <c r="E10"/>
      <c r="F10"/>
      <c r="G10"/>
      <c r="H10"/>
      <c r="I10"/>
      <c r="J10" s="35" t="s">
        <v>109</v>
      </c>
      <c r="K10"/>
      <c r="L10"/>
      <c r="M10"/>
      <c r="N10">
        <v>1</v>
      </c>
      <c r="O10"/>
      <c r="P10"/>
      <c r="Q10"/>
      <c r="R10"/>
      <c r="S10"/>
      <c r="T10"/>
      <c r="U10"/>
      <c r="V10"/>
      <c r="W10"/>
      <c r="X10"/>
      <c r="Y10"/>
      <c r="Z10"/>
      <c r="AA10"/>
      <c r="AB10"/>
      <c r="AC10"/>
      <c r="AD10"/>
      <c r="AE10"/>
      <c r="AR10" s="71" t="s">
        <v>656</v>
      </c>
      <c r="AS10" s="72" t="s">
        <v>680</v>
      </c>
    </row>
    <row r="11" spans="1:45" ht="18" x14ac:dyDescent="0.35">
      <c r="A11"/>
      <c r="B11"/>
      <c r="C11"/>
      <c r="D11"/>
      <c r="E11"/>
      <c r="F11"/>
      <c r="G11"/>
      <c r="H11"/>
      <c r="I11"/>
      <c r="J11"/>
      <c r="K11"/>
      <c r="L11"/>
      <c r="M11"/>
      <c r="N11"/>
      <c r="O11"/>
      <c r="P11"/>
      <c r="Q11"/>
      <c r="R11"/>
      <c r="S11"/>
      <c r="T11"/>
      <c r="U11"/>
      <c r="V11"/>
      <c r="W11"/>
      <c r="X11"/>
      <c r="Y11"/>
      <c r="Z11"/>
      <c r="AA11"/>
      <c r="AB11"/>
      <c r="AC11"/>
      <c r="AD11"/>
      <c r="AE11"/>
      <c r="AR11" s="71"/>
      <c r="AS11" s="72"/>
    </row>
    <row r="12" spans="1:45" ht="18" x14ac:dyDescent="0.35">
      <c r="A12"/>
      <c r="B12"/>
      <c r="C12"/>
      <c r="D12"/>
      <c r="E12"/>
      <c r="F12"/>
      <c r="G12"/>
      <c r="H12"/>
      <c r="I12"/>
      <c r="J12"/>
      <c r="K12"/>
      <c r="L12"/>
      <c r="M12"/>
      <c r="N12"/>
      <c r="O12"/>
      <c r="P12"/>
      <c r="Q12"/>
      <c r="R12"/>
      <c r="S12"/>
      <c r="T12"/>
      <c r="U12"/>
      <c r="V12"/>
      <c r="W12"/>
      <c r="X12"/>
      <c r="Y12"/>
      <c r="Z12"/>
      <c r="AA12"/>
      <c r="AB12"/>
      <c r="AC12"/>
      <c r="AD12"/>
      <c r="AE12"/>
      <c r="AR12" s="71"/>
      <c r="AS12" s="72"/>
    </row>
    <row r="13" spans="1:45" ht="18" x14ac:dyDescent="0.35">
      <c r="A13"/>
      <c r="B13"/>
      <c r="C13"/>
      <c r="D13"/>
      <c r="E13"/>
      <c r="F13"/>
      <c r="G13"/>
      <c r="H13"/>
      <c r="I13"/>
      <c r="J13"/>
      <c r="K13"/>
      <c r="L13"/>
      <c r="M13"/>
      <c r="N13"/>
      <c r="O13"/>
      <c r="P13"/>
      <c r="Q13"/>
      <c r="R13"/>
      <c r="S13"/>
      <c r="T13"/>
      <c r="U13"/>
      <c r="V13"/>
      <c r="W13"/>
      <c r="X13"/>
      <c r="Y13"/>
      <c r="Z13"/>
      <c r="AA13"/>
      <c r="AB13"/>
      <c r="AC13"/>
      <c r="AD13"/>
      <c r="AE13"/>
      <c r="AR13" s="71"/>
      <c r="AS13" s="72"/>
    </row>
    <row r="14" spans="1:45" ht="18.600000000000001" thickBot="1" x14ac:dyDescent="0.4">
      <c r="A14" s="152" t="str" cm="1">
        <f t="array" ref="A14:B15">A5:B6</f>
        <v>Time of Day</v>
      </c>
      <c r="B14" s="153" t="str">
        <v>Tue</v>
      </c>
      <c r="C14"/>
      <c r="D14"/>
      <c r="E14"/>
      <c r="F14"/>
      <c r="G14"/>
      <c r="H14"/>
      <c r="I14"/>
      <c r="J14" s="152" t="str" cm="1">
        <f t="array" ref="J14:N19">J5:N10</f>
        <v>Time of Day</v>
      </c>
      <c r="K14" s="153" t="str">
        <v>Sun</v>
      </c>
      <c r="L14" s="153" t="str">
        <v>Mon</v>
      </c>
      <c r="M14" s="153" t="str">
        <v>Tue</v>
      </c>
      <c r="N14" s="153" t="str">
        <v>Thur</v>
      </c>
      <c r="O14"/>
      <c r="P14"/>
      <c r="Q14"/>
      <c r="R14"/>
      <c r="S14"/>
      <c r="T14"/>
      <c r="U14"/>
      <c r="V14"/>
      <c r="W14"/>
      <c r="X14"/>
      <c r="Y14"/>
      <c r="Z14"/>
      <c r="AA14"/>
      <c r="AB14"/>
      <c r="AC14"/>
      <c r="AD14"/>
      <c r="AE14"/>
      <c r="AR14" s="71"/>
      <c r="AS14" s="72"/>
    </row>
    <row r="15" spans="1:45" ht="18" x14ac:dyDescent="0.35">
      <c r="A15" s="154" t="str">
        <v>Morning Peak (08:00-11:59)</v>
      </c>
      <c r="B15" s="155">
        <v>1</v>
      </c>
      <c r="C15"/>
      <c r="D15"/>
      <c r="E15"/>
      <c r="F15"/>
      <c r="G15"/>
      <c r="H15"/>
      <c r="I15"/>
      <c r="J15" s="154" t="str">
        <v>Afternoon (12:00-15:59)</v>
      </c>
      <c r="K15" s="155">
        <v>0</v>
      </c>
      <c r="L15" s="155">
        <v>1</v>
      </c>
      <c r="M15" s="155">
        <v>2</v>
      </c>
      <c r="N15" s="156">
        <v>0</v>
      </c>
      <c r="O15"/>
      <c r="P15"/>
      <c r="Q15"/>
      <c r="R15"/>
      <c r="S15"/>
      <c r="T15"/>
      <c r="U15"/>
      <c r="V15"/>
      <c r="W15"/>
      <c r="X15"/>
      <c r="Y15"/>
      <c r="AR15" s="73" t="s">
        <v>671</v>
      </c>
      <c r="AS15" s="75" t="s">
        <v>681</v>
      </c>
    </row>
    <row r="16" spans="1:45" ht="18" x14ac:dyDescent="0.35">
      <c r="A16"/>
      <c r="B16"/>
      <c r="C16"/>
      <c r="D16"/>
      <c r="E16"/>
      <c r="F16"/>
      <c r="G16"/>
      <c r="H16"/>
      <c r="I16"/>
      <c r="J16" s="157" t="str">
        <v>Early Morning (00:00-03:59)</v>
      </c>
      <c r="K16" s="158">
        <v>0</v>
      </c>
      <c r="L16" s="158">
        <v>0</v>
      </c>
      <c r="M16" s="158">
        <v>0</v>
      </c>
      <c r="N16" s="124">
        <v>1</v>
      </c>
      <c r="O16"/>
      <c r="P16"/>
      <c r="Q16"/>
      <c r="R16"/>
      <c r="S16"/>
      <c r="T16"/>
      <c r="U16"/>
      <c r="V16"/>
      <c r="W16"/>
      <c r="X16"/>
      <c r="AR16" s="71" t="s">
        <v>672</v>
      </c>
      <c r="AS16" s="72" t="s">
        <v>682</v>
      </c>
    </row>
    <row r="17" spans="1:45" ht="18" x14ac:dyDescent="0.3">
      <c r="A17"/>
      <c r="B17"/>
      <c r="C17"/>
      <c r="D17"/>
      <c r="E17"/>
      <c r="F17"/>
      <c r="G17"/>
      <c r="H17"/>
      <c r="I17"/>
      <c r="J17" s="159" t="str">
        <v>Evening Peak (16:00-19:59)</v>
      </c>
      <c r="K17" s="160">
        <v>1</v>
      </c>
      <c r="L17" s="160">
        <v>1</v>
      </c>
      <c r="M17" s="160">
        <v>1</v>
      </c>
      <c r="N17" s="123">
        <v>0</v>
      </c>
      <c r="O17"/>
      <c r="P17"/>
      <c r="Q17"/>
      <c r="R17"/>
      <c r="S17"/>
      <c r="T17"/>
      <c r="U17"/>
      <c r="V17"/>
      <c r="W17"/>
      <c r="X17"/>
      <c r="AR17" s="76" t="s">
        <v>673</v>
      </c>
      <c r="AS17" s="77" t="s">
        <v>683</v>
      </c>
    </row>
    <row r="18" spans="1:45" ht="23.4" x14ac:dyDescent="0.45">
      <c r="A18"/>
      <c r="B18"/>
      <c r="C18"/>
      <c r="D18"/>
      <c r="E18"/>
      <c r="F18" s="11"/>
      <c r="G18" s="11"/>
      <c r="H18" s="11"/>
      <c r="I18" s="11"/>
      <c r="J18" s="157" t="str">
        <v>Morning Peak (08:00-11:59)</v>
      </c>
      <c r="K18" s="158">
        <v>0</v>
      </c>
      <c r="L18" s="158">
        <v>0</v>
      </c>
      <c r="M18" s="158">
        <v>1</v>
      </c>
      <c r="N18" s="124">
        <v>0</v>
      </c>
      <c r="O18" s="11"/>
      <c r="AR18" s="71" t="s">
        <v>674</v>
      </c>
      <c r="AS18" s="72" t="s">
        <v>684</v>
      </c>
    </row>
    <row r="19" spans="1:45" ht="18" x14ac:dyDescent="0.35">
      <c r="J19" s="159" t="str">
        <v>Night (20:00-23:59)</v>
      </c>
      <c r="K19" s="160">
        <v>0</v>
      </c>
      <c r="L19" s="160">
        <v>0</v>
      </c>
      <c r="M19" s="160">
        <v>0</v>
      </c>
      <c r="N19" s="123">
        <v>1</v>
      </c>
      <c r="AR19" s="73" t="s">
        <v>675</v>
      </c>
      <c r="AS19" s="75"/>
    </row>
    <row r="20" spans="1:45" ht="23.4" x14ac:dyDescent="0.45">
      <c r="AH20" s="195" t="s">
        <v>456</v>
      </c>
      <c r="AI20" s="195"/>
      <c r="AJ20" s="195"/>
      <c r="AK20" s="195"/>
      <c r="AL20" s="195"/>
      <c r="AM20" s="195"/>
      <c r="AN20" s="195"/>
      <c r="AO20" s="195"/>
      <c r="AR20" s="71" t="s">
        <v>676</v>
      </c>
      <c r="AS20" s="78" t="s">
        <v>572</v>
      </c>
    </row>
    <row r="21" spans="1:45" ht="18" x14ac:dyDescent="0.35">
      <c r="AH21" s="7" t="s">
        <v>449</v>
      </c>
      <c r="AI21" s="9" t="s">
        <v>458</v>
      </c>
      <c r="AJ21" s="9" t="s">
        <v>450</v>
      </c>
      <c r="AK21" s="9" t="s">
        <v>451</v>
      </c>
      <c r="AL21" s="9" t="s">
        <v>452</v>
      </c>
      <c r="AM21" s="9" t="s">
        <v>453</v>
      </c>
      <c r="AN21" s="7" t="s">
        <v>454</v>
      </c>
      <c r="AO21" s="7" t="s">
        <v>455</v>
      </c>
      <c r="AR21" s="73" t="s">
        <v>677</v>
      </c>
      <c r="AS21" s="75" t="s">
        <v>685</v>
      </c>
    </row>
    <row r="22" spans="1:45" ht="18" x14ac:dyDescent="0.35">
      <c r="AH22" s="38" t="s">
        <v>162</v>
      </c>
      <c r="AI22" s="36"/>
      <c r="AJ22" s="36"/>
      <c r="AK22" s="36"/>
      <c r="AL22"/>
      <c r="AM22" s="36">
        <v>1</v>
      </c>
      <c r="AN22" s="36"/>
      <c r="AO22" s="36"/>
      <c r="AR22" s="73" t="s">
        <v>660</v>
      </c>
      <c r="AS22" s="75" t="s">
        <v>669</v>
      </c>
    </row>
    <row r="23" spans="1:45" ht="18.600000000000001" thickBot="1" x14ac:dyDescent="0.4">
      <c r="AH23" s="38" t="s">
        <v>141</v>
      </c>
      <c r="AI23" s="36"/>
      <c r="AJ23" s="36"/>
      <c r="AK23" s="36">
        <v>1</v>
      </c>
      <c r="AL23"/>
      <c r="AM23" s="36"/>
      <c r="AN23" s="36"/>
      <c r="AO23" s="36"/>
      <c r="AR23" s="79" t="s">
        <v>459</v>
      </c>
      <c r="AS23" s="80"/>
    </row>
    <row r="24" spans="1:45" x14ac:dyDescent="0.3">
      <c r="AH24" s="38" t="s">
        <v>54</v>
      </c>
      <c r="AI24" s="36"/>
      <c r="AJ24" s="36">
        <v>1</v>
      </c>
      <c r="AK24" s="36">
        <v>2</v>
      </c>
      <c r="AL24"/>
      <c r="AM24" s="36"/>
      <c r="AN24" s="36"/>
      <c r="AO24" s="36"/>
    </row>
    <row r="25" spans="1:45" x14ac:dyDescent="0.3">
      <c r="AH25" s="38" t="s">
        <v>78</v>
      </c>
      <c r="AI25" s="36">
        <v>1</v>
      </c>
      <c r="AJ25" s="36">
        <v>1</v>
      </c>
      <c r="AK25" s="36">
        <v>1</v>
      </c>
      <c r="AL25"/>
      <c r="AM25" s="36"/>
      <c r="AN25" s="36"/>
      <c r="AO25" s="36"/>
    </row>
    <row r="26" spans="1:45" s="14" customFormat="1" x14ac:dyDescent="0.3">
      <c r="AH26" s="38" t="s">
        <v>97</v>
      </c>
      <c r="AI26" s="36"/>
      <c r="AJ26" s="36"/>
      <c r="AK26" s="36"/>
      <c r="AL26"/>
      <c r="AM26" s="36">
        <v>1</v>
      </c>
      <c r="AN26" s="36"/>
      <c r="AO26" s="36"/>
    </row>
    <row r="27" spans="1:45" x14ac:dyDescent="0.3">
      <c r="AH27" s="14"/>
      <c r="AI27" s="14"/>
      <c r="AJ27" s="14"/>
      <c r="AK27" s="14"/>
      <c r="AL27" s="14"/>
      <c r="AM27" s="14"/>
      <c r="AN27" s="14"/>
      <c r="AO27" s="14"/>
    </row>
    <row r="29" spans="1:45" x14ac:dyDescent="0.3">
      <c r="A29"/>
      <c r="B29"/>
    </row>
    <row r="31" spans="1:45" ht="23.4" x14ac:dyDescent="0.45">
      <c r="A31"/>
      <c r="B31"/>
      <c r="C31"/>
      <c r="D31"/>
      <c r="E31"/>
      <c r="F31"/>
      <c r="G31"/>
      <c r="H31"/>
      <c r="I31"/>
      <c r="J31"/>
      <c r="K31"/>
      <c r="L31"/>
      <c r="M31"/>
      <c r="N31"/>
      <c r="O31"/>
      <c r="AH31" s="195" t="s">
        <v>457</v>
      </c>
      <c r="AI31" s="195"/>
      <c r="AJ31" s="195"/>
      <c r="AK31" s="195"/>
      <c r="AL31" s="195"/>
      <c r="AM31" s="195"/>
      <c r="AN31" s="195"/>
      <c r="AO31" s="195"/>
    </row>
    <row r="32" spans="1:45" ht="18" x14ac:dyDescent="0.35">
      <c r="A32"/>
      <c r="B32"/>
      <c r="C32"/>
      <c r="D32"/>
      <c r="E32"/>
      <c r="F32"/>
      <c r="G32"/>
      <c r="H32"/>
      <c r="I32"/>
      <c r="J32"/>
      <c r="K32"/>
      <c r="L32"/>
      <c r="M32"/>
      <c r="N32"/>
      <c r="O32"/>
      <c r="AH32" s="7" t="s">
        <v>449</v>
      </c>
      <c r="AI32" s="9" t="s">
        <v>458</v>
      </c>
      <c r="AJ32" s="9" t="s">
        <v>450</v>
      </c>
      <c r="AK32" s="7" t="s">
        <v>451</v>
      </c>
      <c r="AL32" s="7" t="s">
        <v>452</v>
      </c>
      <c r="AM32" s="7" t="s">
        <v>453</v>
      </c>
      <c r="AN32" s="7" t="s">
        <v>454</v>
      </c>
      <c r="AO32" s="7" t="s">
        <v>455</v>
      </c>
    </row>
    <row r="33" spans="1:41" x14ac:dyDescent="0.3">
      <c r="A33"/>
      <c r="B33"/>
      <c r="C33"/>
      <c r="D33"/>
      <c r="E33"/>
      <c r="F33"/>
      <c r="G33"/>
      <c r="H33"/>
      <c r="I33"/>
      <c r="J33"/>
      <c r="K33"/>
      <c r="L33"/>
      <c r="M33"/>
      <c r="N33"/>
      <c r="O33"/>
      <c r="AH33" s="38" t="s">
        <v>141</v>
      </c>
      <c r="AI33" s="36"/>
      <c r="AJ33" s="36"/>
      <c r="AK33" s="36">
        <v>1</v>
      </c>
      <c r="AL33" s="36"/>
      <c r="AM33" s="36"/>
      <c r="AN33" s="36"/>
      <c r="AO33" s="36"/>
    </row>
    <row r="34" spans="1:41" x14ac:dyDescent="0.3">
      <c r="A34"/>
      <c r="B34"/>
      <c r="C34"/>
      <c r="D34"/>
      <c r="E34"/>
      <c r="F34"/>
      <c r="G34"/>
      <c r="H34"/>
      <c r="I34"/>
      <c r="J34"/>
      <c r="K34"/>
      <c r="L34"/>
      <c r="M34"/>
      <c r="N34"/>
      <c r="O34"/>
      <c r="AH34" s="38" t="s">
        <v>54</v>
      </c>
      <c r="AI34" s="36"/>
      <c r="AJ34" s="36"/>
      <c r="AK34" s="36">
        <v>1</v>
      </c>
      <c r="AL34" s="36"/>
      <c r="AM34" s="36"/>
      <c r="AN34" s="36"/>
      <c r="AO34" s="36"/>
    </row>
    <row r="35" spans="1:41" x14ac:dyDescent="0.3">
      <c r="A35"/>
      <c r="B35"/>
      <c r="C35"/>
      <c r="D35"/>
      <c r="E35"/>
      <c r="F35"/>
      <c r="G35"/>
      <c r="H35"/>
      <c r="I35"/>
      <c r="J35"/>
      <c r="K35"/>
      <c r="L35"/>
      <c r="M35"/>
      <c r="N35"/>
      <c r="O35"/>
      <c r="AH35" s="38" t="s">
        <v>78</v>
      </c>
      <c r="AI35" s="36"/>
      <c r="AJ35" s="36"/>
      <c r="AK35" s="36">
        <v>1</v>
      </c>
      <c r="AL35" s="36"/>
      <c r="AM35" s="36"/>
      <c r="AN35" s="36"/>
      <c r="AO35" s="36"/>
    </row>
    <row r="36" spans="1:41" x14ac:dyDescent="0.3">
      <c r="A36"/>
      <c r="B36"/>
      <c r="C36"/>
      <c r="D36"/>
      <c r="E36"/>
      <c r="F36"/>
      <c r="G36"/>
      <c r="H36"/>
      <c r="I36"/>
      <c r="J36"/>
      <c r="K36"/>
      <c r="L36"/>
      <c r="M36"/>
      <c r="N36"/>
      <c r="O36"/>
    </row>
    <row r="37" spans="1:41" x14ac:dyDescent="0.3">
      <c r="A37"/>
      <c r="B37"/>
      <c r="C37"/>
      <c r="D37"/>
      <c r="E37"/>
      <c r="F37"/>
      <c r="G37"/>
      <c r="H37"/>
      <c r="I37"/>
      <c r="J37"/>
      <c r="K37"/>
      <c r="L37"/>
      <c r="M37"/>
      <c r="N37"/>
      <c r="O37"/>
    </row>
    <row r="38" spans="1:41" x14ac:dyDescent="0.3">
      <c r="A38"/>
      <c r="B38"/>
      <c r="C38"/>
      <c r="D38"/>
      <c r="E38"/>
      <c r="F38"/>
      <c r="G38"/>
      <c r="H38"/>
      <c r="I38"/>
      <c r="J38"/>
      <c r="K38"/>
      <c r="L38"/>
      <c r="M38"/>
      <c r="N38"/>
      <c r="O38"/>
    </row>
    <row r="39" spans="1:41" x14ac:dyDescent="0.3">
      <c r="A39"/>
      <c r="B39"/>
      <c r="C39"/>
    </row>
    <row r="40" spans="1:41" x14ac:dyDescent="0.3">
      <c r="A40"/>
      <c r="B40"/>
      <c r="C40"/>
    </row>
    <row r="41" spans="1:41" x14ac:dyDescent="0.3">
      <c r="A41"/>
      <c r="B41"/>
      <c r="C41"/>
    </row>
    <row r="42" spans="1:41" x14ac:dyDescent="0.3">
      <c r="A42"/>
      <c r="B42"/>
      <c r="C42"/>
    </row>
    <row r="43" spans="1:41" x14ac:dyDescent="0.3">
      <c r="A43"/>
      <c r="B43"/>
      <c r="C43"/>
    </row>
    <row r="44" spans="1:41" x14ac:dyDescent="0.3">
      <c r="A44"/>
      <c r="B44"/>
      <c r="C44"/>
    </row>
    <row r="45" spans="1:41" x14ac:dyDescent="0.3">
      <c r="A45"/>
      <c r="B45"/>
      <c r="C45"/>
    </row>
    <row r="46" spans="1:41" x14ac:dyDescent="0.3">
      <c r="A46"/>
      <c r="B46"/>
      <c r="C46"/>
    </row>
    <row r="47" spans="1:41" x14ac:dyDescent="0.3">
      <c r="A47"/>
      <c r="B47"/>
      <c r="C47"/>
    </row>
    <row r="48" spans="1:41" x14ac:dyDescent="0.3">
      <c r="A48"/>
      <c r="B48"/>
      <c r="C48"/>
    </row>
  </sheetData>
  <mergeCells count="4">
    <mergeCell ref="AH20:AO20"/>
    <mergeCell ref="AH31:AO31"/>
    <mergeCell ref="A1:H1"/>
    <mergeCell ref="J1:Q1"/>
  </mergeCells>
  <pageMargins left="0.7" right="0.7" top="0.75" bottom="0.75" header="0.3" footer="0.3"/>
  <pageSetup orientation="portrait" r:id="rId3"/>
  <drawing r:id="rId4"/>
  <tableParts count="3">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6BF18-A1EA-43E6-91DC-D346AD1D8BBD}">
  <sheetPr codeName="Sheet10">
    <tabColor rgb="FF7030A0"/>
  </sheetPr>
  <dimension ref="A1:BB7"/>
  <sheetViews>
    <sheetView workbookViewId="0">
      <selection activeCell="AY4" sqref="AY4"/>
    </sheetView>
  </sheetViews>
  <sheetFormatPr defaultColWidth="8.88671875" defaultRowHeight="15.6" x14ac:dyDescent="0.3"/>
  <cols>
    <col min="1" max="1" width="20.109375" style="14" bestFit="1" customWidth="1"/>
    <col min="2" max="2" width="16" style="31" bestFit="1" customWidth="1"/>
    <col min="3" max="3" width="21.109375" style="16" bestFit="1" customWidth="1"/>
    <col min="4" max="4" width="18.77734375" style="3" bestFit="1" customWidth="1"/>
    <col min="5" max="5" width="15.44140625" style="3" bestFit="1" customWidth="1"/>
    <col min="6" max="6" width="16.21875" style="3" bestFit="1" customWidth="1"/>
    <col min="7" max="7" width="19" style="3" bestFit="1" customWidth="1"/>
    <col min="8" max="8" width="26.6640625" style="3" bestFit="1" customWidth="1"/>
    <col min="9" max="9" width="20.44140625" style="3" bestFit="1" customWidth="1"/>
    <col min="10" max="10" width="56.109375" style="3" bestFit="1" customWidth="1"/>
    <col min="11" max="11" width="27.77734375" style="3" bestFit="1" customWidth="1"/>
    <col min="12" max="13" width="22" style="3" bestFit="1" customWidth="1"/>
    <col min="14" max="14" width="42.88671875" style="3" bestFit="1" customWidth="1"/>
    <col min="15" max="15" width="10" style="3" bestFit="1" customWidth="1"/>
    <col min="16" max="16" width="10.6640625" style="3" bestFit="1" customWidth="1"/>
    <col min="17" max="17" width="80.88671875" style="3" bestFit="1" customWidth="1"/>
    <col min="18" max="18" width="24.44140625" style="3" bestFit="1" customWidth="1"/>
    <col min="19" max="19" width="26.44140625" style="3" bestFit="1" customWidth="1"/>
    <col min="20" max="20" width="20.21875" style="3" bestFit="1" customWidth="1"/>
    <col min="21" max="21" width="12.44140625" style="3" bestFit="1" customWidth="1"/>
    <col min="22" max="22" width="13.33203125" style="3" bestFit="1" customWidth="1"/>
    <col min="23" max="23" width="17.109375" style="3" bestFit="1" customWidth="1"/>
    <col min="24" max="24" width="20.21875" style="3" bestFit="1" customWidth="1"/>
    <col min="25" max="25" width="17.109375" style="3" bestFit="1" customWidth="1"/>
    <col min="26" max="26" width="12.44140625" style="3" bestFit="1" customWidth="1"/>
    <col min="27" max="27" width="13.33203125" style="3" bestFit="1" customWidth="1"/>
    <col min="28" max="28" width="18.88671875" style="3" bestFit="1" customWidth="1"/>
    <col min="29" max="29" width="20.88671875" style="3" bestFit="1" customWidth="1"/>
    <col min="30" max="30" width="28.21875" style="3" bestFit="1" customWidth="1"/>
    <col min="31" max="31" width="12" style="3" bestFit="1" customWidth="1"/>
    <col min="32" max="32" width="25.21875" style="3" bestFit="1" customWidth="1"/>
    <col min="33" max="33" width="28.44140625" style="3" bestFit="1" customWidth="1"/>
    <col min="34" max="34" width="27.44140625" style="3" bestFit="1" customWidth="1"/>
    <col min="35" max="35" width="31.6640625" style="3" bestFit="1" customWidth="1"/>
    <col min="36" max="36" width="19.6640625" style="3" bestFit="1" customWidth="1"/>
    <col min="37" max="37" width="19.88671875" style="3" bestFit="1" customWidth="1"/>
    <col min="38" max="38" width="30.33203125" style="3" bestFit="1" customWidth="1"/>
    <col min="39" max="39" width="30.5546875" style="3" bestFit="1" customWidth="1"/>
    <col min="40" max="40" width="18.109375" style="3" bestFit="1" customWidth="1"/>
    <col min="41" max="41" width="18.33203125" style="3" bestFit="1" customWidth="1"/>
    <col min="42" max="42" width="10.21875" style="3" bestFit="1" customWidth="1"/>
    <col min="43" max="43" width="19.33203125" style="3" bestFit="1" customWidth="1"/>
    <col min="44" max="44" width="21.21875" style="3" bestFit="1" customWidth="1"/>
    <col min="45" max="45" width="9.44140625" style="3" bestFit="1" customWidth="1"/>
    <col min="46" max="46" width="17.21875" style="3" bestFit="1" customWidth="1"/>
    <col min="47" max="47" width="28.109375" style="3" bestFit="1" customWidth="1"/>
    <col min="48" max="48" width="8.77734375" style="3" bestFit="1" customWidth="1"/>
    <col min="49" max="49" width="80.88671875" style="3" bestFit="1" customWidth="1"/>
    <col min="50" max="50" width="14.77734375" style="3" bestFit="1" customWidth="1"/>
    <col min="51" max="52" width="80.88671875" style="3" bestFit="1" customWidth="1"/>
    <col min="53" max="53" width="22.33203125" style="3" bestFit="1" customWidth="1"/>
    <col min="54" max="54" width="22.5546875" style="3" bestFit="1" customWidth="1"/>
    <col min="55" max="55" width="23.33203125" style="3" bestFit="1" customWidth="1"/>
    <col min="56" max="16384" width="8.88671875" style="3"/>
  </cols>
  <sheetData>
    <row r="1" spans="1:54" s="17" customFormat="1" ht="18" x14ac:dyDescent="0.35">
      <c r="A1" s="17" t="s">
        <v>0</v>
      </c>
      <c r="B1" s="30" t="s">
        <v>1</v>
      </c>
      <c r="C1" s="17" t="s">
        <v>2</v>
      </c>
      <c r="D1" s="18" t="s">
        <v>3</v>
      </c>
      <c r="E1" s="18" t="s">
        <v>4</v>
      </c>
      <c r="F1" s="17" t="s">
        <v>5</v>
      </c>
      <c r="G1" s="17" t="s">
        <v>6</v>
      </c>
      <c r="H1" s="17" t="s">
        <v>7</v>
      </c>
      <c r="I1" s="17" t="s">
        <v>8</v>
      </c>
      <c r="J1" s="17" t="s">
        <v>10</v>
      </c>
      <c r="K1" s="17" t="s">
        <v>9</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7" t="s">
        <v>45</v>
      </c>
      <c r="AU1" s="17" t="s">
        <v>46</v>
      </c>
      <c r="AV1" s="17" t="s">
        <v>47</v>
      </c>
      <c r="AW1" t="s">
        <v>459</v>
      </c>
      <c r="AX1" s="17" t="s">
        <v>48</v>
      </c>
      <c r="AY1" s="17" t="s">
        <v>49</v>
      </c>
      <c r="AZ1" s="17" t="s">
        <v>50</v>
      </c>
      <c r="BA1" s="17" t="s">
        <v>51</v>
      </c>
      <c r="BB1" s="17" t="s">
        <v>52</v>
      </c>
    </row>
    <row r="2" spans="1:54" x14ac:dyDescent="0.3">
      <c r="A2" s="48" t="s">
        <v>395</v>
      </c>
      <c r="B2" s="49">
        <v>45664</v>
      </c>
      <c r="C2" s="50" t="s">
        <v>54</v>
      </c>
      <c r="D2" s="57">
        <v>0.58333333333333337</v>
      </c>
      <c r="E2" s="57">
        <v>0.58333333333333337</v>
      </c>
      <c r="F2" s="50" t="s">
        <v>451</v>
      </c>
      <c r="G2" s="50" t="s">
        <v>55</v>
      </c>
      <c r="H2" s="50" t="s">
        <v>396</v>
      </c>
      <c r="I2" s="50" t="s">
        <v>397</v>
      </c>
      <c r="J2" s="50" t="s">
        <v>399</v>
      </c>
      <c r="K2" s="50" t="s">
        <v>398</v>
      </c>
      <c r="L2" s="50" t="s">
        <v>400</v>
      </c>
      <c r="M2" s="50" t="s">
        <v>59</v>
      </c>
      <c r="N2" s="50" t="s">
        <v>401</v>
      </c>
      <c r="O2" s="50" t="s">
        <v>134</v>
      </c>
      <c r="P2" s="50">
        <v>7</v>
      </c>
      <c r="Q2" s="50" t="s">
        <v>402</v>
      </c>
      <c r="R2" s="50"/>
      <c r="S2" s="50"/>
      <c r="T2" s="50"/>
      <c r="U2" s="50"/>
      <c r="V2" s="50"/>
      <c r="W2" s="50"/>
      <c r="X2" s="50"/>
      <c r="Y2" s="50"/>
      <c r="Z2" s="50"/>
      <c r="AA2" s="50"/>
      <c r="AB2" s="50" t="s">
        <v>403</v>
      </c>
      <c r="AC2" s="50" t="s">
        <v>67</v>
      </c>
      <c r="AD2" s="50" t="s">
        <v>404</v>
      </c>
      <c r="AE2" s="50" t="s">
        <v>405</v>
      </c>
      <c r="AF2" s="50" t="s">
        <v>406</v>
      </c>
      <c r="AG2" s="50" t="s">
        <v>71</v>
      </c>
      <c r="AH2" s="50" t="s">
        <v>407</v>
      </c>
      <c r="AI2" s="50">
        <v>9</v>
      </c>
      <c r="AJ2" s="58">
        <v>45664</v>
      </c>
      <c r="AK2" s="59">
        <v>0.58333333333333337</v>
      </c>
      <c r="AL2" s="58"/>
      <c r="AM2" s="59"/>
      <c r="AN2" s="58">
        <v>45667</v>
      </c>
      <c r="AO2" s="59">
        <v>0.59781249999999997</v>
      </c>
      <c r="AP2" s="50">
        <v>2025</v>
      </c>
      <c r="AQ2" s="50">
        <v>2</v>
      </c>
      <c r="AR2" s="50">
        <v>2</v>
      </c>
      <c r="AS2" s="50">
        <v>7</v>
      </c>
      <c r="AT2" s="50">
        <v>7</v>
      </c>
      <c r="AU2" s="59">
        <v>45664.583333333336</v>
      </c>
      <c r="AV2" s="50">
        <v>135</v>
      </c>
      <c r="AW2" t="s">
        <v>402</v>
      </c>
      <c r="AX2" s="50"/>
      <c r="AY2" s="50" t="s">
        <v>408</v>
      </c>
      <c r="AZ2" s="50" t="s">
        <v>59</v>
      </c>
      <c r="BA2" s="50" t="s">
        <v>513</v>
      </c>
      <c r="BB2" s="50" t="s">
        <v>76</v>
      </c>
    </row>
    <row r="3" spans="1:54" x14ac:dyDescent="0.3">
      <c r="A3" s="48" t="s">
        <v>409</v>
      </c>
      <c r="B3" s="49">
        <v>45680</v>
      </c>
      <c r="C3" s="50" t="s">
        <v>54</v>
      </c>
      <c r="D3" s="57">
        <v>0.625</v>
      </c>
      <c r="E3" s="57">
        <v>0.625</v>
      </c>
      <c r="F3" s="50" t="s">
        <v>536</v>
      </c>
      <c r="G3" s="50" t="s">
        <v>55</v>
      </c>
      <c r="H3" s="50" t="s">
        <v>410</v>
      </c>
      <c r="I3" s="50" t="s">
        <v>411</v>
      </c>
      <c r="J3" s="50" t="s">
        <v>413</v>
      </c>
      <c r="K3" s="50" t="s">
        <v>412</v>
      </c>
      <c r="L3" s="50" t="s">
        <v>400</v>
      </c>
      <c r="M3" s="50" t="s">
        <v>59</v>
      </c>
      <c r="N3" s="50" t="s">
        <v>414</v>
      </c>
      <c r="O3" s="50" t="s">
        <v>84</v>
      </c>
      <c r="P3" s="50">
        <v>8</v>
      </c>
      <c r="Q3" s="50" t="s">
        <v>415</v>
      </c>
      <c r="R3" s="50"/>
      <c r="S3" s="50"/>
      <c r="T3" s="50"/>
      <c r="U3" s="50"/>
      <c r="V3" s="50"/>
      <c r="W3" s="50"/>
      <c r="X3" s="50"/>
      <c r="Y3" s="50"/>
      <c r="Z3" s="50"/>
      <c r="AA3" s="50"/>
      <c r="AB3" s="50" t="s">
        <v>416</v>
      </c>
      <c r="AC3" s="50" t="s">
        <v>67</v>
      </c>
      <c r="AD3" s="50" t="s">
        <v>352</v>
      </c>
      <c r="AE3" s="50" t="s">
        <v>417</v>
      </c>
      <c r="AF3" s="50" t="s">
        <v>406</v>
      </c>
      <c r="AG3" s="50" t="s">
        <v>418</v>
      </c>
      <c r="AH3" s="50"/>
      <c r="AI3" s="50">
        <v>9</v>
      </c>
      <c r="AJ3" s="58">
        <v>45680</v>
      </c>
      <c r="AK3" s="59">
        <v>0.625</v>
      </c>
      <c r="AL3" s="58"/>
      <c r="AM3" s="59"/>
      <c r="AN3" s="58">
        <v>45680</v>
      </c>
      <c r="AO3" s="59">
        <v>0.66545138888888888</v>
      </c>
      <c r="AP3" s="50">
        <v>2025</v>
      </c>
      <c r="AQ3" s="50">
        <v>4</v>
      </c>
      <c r="AR3" s="50">
        <v>4</v>
      </c>
      <c r="AS3" s="50">
        <v>23</v>
      </c>
      <c r="AT3" s="50">
        <v>23</v>
      </c>
      <c r="AU3" s="59">
        <v>45680.625</v>
      </c>
      <c r="AV3" s="50">
        <v>176</v>
      </c>
      <c r="AW3" t="s">
        <v>415</v>
      </c>
      <c r="AX3" s="50"/>
      <c r="AY3" s="50" t="s">
        <v>419</v>
      </c>
      <c r="AZ3" s="50" t="s">
        <v>59</v>
      </c>
      <c r="BA3" s="50" t="s">
        <v>511</v>
      </c>
      <c r="BB3" s="50" t="s">
        <v>76</v>
      </c>
    </row>
    <row r="4" spans="1:54" x14ac:dyDescent="0.3">
      <c r="A4" s="48" t="s">
        <v>420</v>
      </c>
      <c r="B4" s="49">
        <v>45705</v>
      </c>
      <c r="C4" s="50" t="s">
        <v>97</v>
      </c>
      <c r="D4" s="57">
        <v>0.83333333333333337</v>
      </c>
      <c r="E4" s="57">
        <v>0.83333333333333337</v>
      </c>
      <c r="F4" s="50" t="s">
        <v>450</v>
      </c>
      <c r="G4" s="50" t="s">
        <v>111</v>
      </c>
      <c r="H4" s="50" t="s">
        <v>421</v>
      </c>
      <c r="I4" s="50" t="s">
        <v>422</v>
      </c>
      <c r="J4" s="50" t="s">
        <v>424</v>
      </c>
      <c r="K4" s="50" t="s">
        <v>423</v>
      </c>
      <c r="L4" s="50" t="s">
        <v>412</v>
      </c>
      <c r="M4" s="50" t="s">
        <v>59</v>
      </c>
      <c r="N4" s="50" t="s">
        <v>425</v>
      </c>
      <c r="O4" s="50" t="s">
        <v>426</v>
      </c>
      <c r="P4" s="50">
        <v>8</v>
      </c>
      <c r="Q4" s="50" t="s">
        <v>427</v>
      </c>
      <c r="R4" s="50"/>
      <c r="S4" s="50"/>
      <c r="T4" s="50"/>
      <c r="U4" s="50"/>
      <c r="V4" s="50"/>
      <c r="W4" s="50"/>
      <c r="X4" s="50"/>
      <c r="Y4" s="50"/>
      <c r="Z4" s="50"/>
      <c r="AA4" s="50"/>
      <c r="AB4" s="50" t="s">
        <v>416</v>
      </c>
      <c r="AC4" s="50" t="s">
        <v>67</v>
      </c>
      <c r="AD4" s="50" t="s">
        <v>106</v>
      </c>
      <c r="AE4" s="50" t="s">
        <v>417</v>
      </c>
      <c r="AF4" s="50" t="s">
        <v>106</v>
      </c>
      <c r="AG4" s="50" t="s">
        <v>266</v>
      </c>
      <c r="AH4" s="50"/>
      <c r="AI4" s="50">
        <v>9</v>
      </c>
      <c r="AJ4" s="58">
        <v>45705</v>
      </c>
      <c r="AK4" s="59">
        <v>0.83333333333333337</v>
      </c>
      <c r="AL4" s="58">
        <v>45705</v>
      </c>
      <c r="AM4" s="59">
        <v>0.98958333333333337</v>
      </c>
      <c r="AN4" s="58">
        <v>45706</v>
      </c>
      <c r="AO4" s="59">
        <v>0.73564814814814816</v>
      </c>
      <c r="AP4" s="50">
        <v>2025</v>
      </c>
      <c r="AQ4" s="50">
        <v>8</v>
      </c>
      <c r="AR4" s="50">
        <v>4</v>
      </c>
      <c r="AS4" s="50">
        <v>17</v>
      </c>
      <c r="AT4" s="50">
        <v>48</v>
      </c>
      <c r="AU4" s="59">
        <v>45705.833333333336</v>
      </c>
      <c r="AV4" s="50">
        <v>240</v>
      </c>
      <c r="AW4" t="s">
        <v>427</v>
      </c>
      <c r="AX4" s="50"/>
      <c r="AY4" s="50" t="s">
        <v>428</v>
      </c>
      <c r="AZ4" s="50" t="s">
        <v>59</v>
      </c>
      <c r="BA4" s="50" t="s">
        <v>508</v>
      </c>
      <c r="BB4" s="50" t="s">
        <v>109</v>
      </c>
    </row>
    <row r="5" spans="1:54" x14ac:dyDescent="0.3">
      <c r="A5" s="48" t="s">
        <v>429</v>
      </c>
      <c r="B5" s="49">
        <v>45708</v>
      </c>
      <c r="C5" s="50" t="s">
        <v>54</v>
      </c>
      <c r="D5" s="57">
        <v>0.5</v>
      </c>
      <c r="E5" s="57">
        <v>0.53615740740740736</v>
      </c>
      <c r="F5" s="50" t="s">
        <v>451</v>
      </c>
      <c r="G5" s="50" t="s">
        <v>111</v>
      </c>
      <c r="H5" s="50" t="s">
        <v>430</v>
      </c>
      <c r="I5" s="50" t="s">
        <v>431</v>
      </c>
      <c r="J5" s="50" t="s">
        <v>412</v>
      </c>
      <c r="K5" s="50" t="s">
        <v>412</v>
      </c>
      <c r="L5" s="50" t="s">
        <v>59</v>
      </c>
      <c r="M5" s="50" t="s">
        <v>59</v>
      </c>
      <c r="N5" s="50" t="s">
        <v>432</v>
      </c>
      <c r="O5" s="50" t="s">
        <v>101</v>
      </c>
      <c r="P5" s="50">
        <v>8</v>
      </c>
      <c r="Q5" s="50" t="s">
        <v>433</v>
      </c>
      <c r="R5" s="50"/>
      <c r="S5" s="50"/>
      <c r="T5" s="50"/>
      <c r="U5" s="50"/>
      <c r="V5" s="50"/>
      <c r="W5" s="50"/>
      <c r="X5" s="50"/>
      <c r="Y5" s="50"/>
      <c r="Z5" s="50"/>
      <c r="AA5" s="50"/>
      <c r="AB5" s="50" t="s">
        <v>66</v>
      </c>
      <c r="AC5" s="50" t="s">
        <v>67</v>
      </c>
      <c r="AD5" s="50" t="s">
        <v>434</v>
      </c>
      <c r="AE5" s="50" t="s">
        <v>69</v>
      </c>
      <c r="AF5" s="50" t="s">
        <v>352</v>
      </c>
      <c r="AG5" s="50" t="s">
        <v>435</v>
      </c>
      <c r="AH5" s="50" t="s">
        <v>436</v>
      </c>
      <c r="AI5" s="50">
        <v>9</v>
      </c>
      <c r="AJ5" s="58">
        <v>42906</v>
      </c>
      <c r="AK5" s="59">
        <v>0.53615740740740736</v>
      </c>
      <c r="AL5" s="58">
        <v>45555</v>
      </c>
      <c r="AM5" s="59"/>
      <c r="AN5" s="58">
        <v>45708</v>
      </c>
      <c r="AO5" s="59">
        <v>0.53615740740740736</v>
      </c>
      <c r="AP5" s="50">
        <v>2017</v>
      </c>
      <c r="AQ5" s="50">
        <v>25</v>
      </c>
      <c r="AR5" s="50">
        <v>4</v>
      </c>
      <c r="AS5" s="50">
        <v>20</v>
      </c>
      <c r="AT5" s="50">
        <v>171</v>
      </c>
      <c r="AU5" s="59">
        <v>42906.536111111112</v>
      </c>
      <c r="AV5" s="50">
        <v>360</v>
      </c>
      <c r="AW5" t="s">
        <v>433</v>
      </c>
      <c r="AX5" s="50"/>
      <c r="AY5" s="50" t="s">
        <v>59</v>
      </c>
      <c r="AZ5" s="50" t="s">
        <v>59</v>
      </c>
      <c r="BA5" s="50" t="s">
        <v>507</v>
      </c>
      <c r="BB5" s="50" t="s">
        <v>76</v>
      </c>
    </row>
    <row r="6" spans="1:54" x14ac:dyDescent="0.3">
      <c r="A6" s="48" t="s">
        <v>640</v>
      </c>
      <c r="B6" s="49">
        <v>45749</v>
      </c>
      <c r="C6" s="50" t="s">
        <v>97</v>
      </c>
      <c r="D6" s="57">
        <v>0.875</v>
      </c>
      <c r="E6" s="57">
        <v>0.89930555555555558</v>
      </c>
      <c r="F6" s="50" t="s">
        <v>452</v>
      </c>
      <c r="G6" s="50" t="s">
        <v>598</v>
      </c>
      <c r="H6" s="50" t="s">
        <v>641</v>
      </c>
      <c r="I6" s="50" t="s">
        <v>642</v>
      </c>
      <c r="J6" s="50" t="s">
        <v>643</v>
      </c>
      <c r="K6" s="50" t="s">
        <v>644</v>
      </c>
      <c r="L6" s="50" t="s">
        <v>412</v>
      </c>
      <c r="M6" s="50" t="s">
        <v>400</v>
      </c>
      <c r="N6" s="50" t="s">
        <v>645</v>
      </c>
      <c r="O6" s="50" t="s">
        <v>101</v>
      </c>
      <c r="P6" s="50">
        <v>8</v>
      </c>
      <c r="Q6" s="50" t="s">
        <v>646</v>
      </c>
      <c r="R6" s="50"/>
      <c r="S6" s="50"/>
      <c r="T6" s="50"/>
      <c r="U6" s="50"/>
      <c r="V6" s="50"/>
      <c r="W6" s="50"/>
      <c r="X6" s="50"/>
      <c r="Y6" s="50"/>
      <c r="Z6" s="50"/>
      <c r="AA6" s="50"/>
      <c r="AB6" s="50" t="s">
        <v>157</v>
      </c>
      <c r="AC6" s="50" t="s">
        <v>67</v>
      </c>
      <c r="AD6" s="50" t="s">
        <v>647</v>
      </c>
      <c r="AE6" s="50" t="s">
        <v>351</v>
      </c>
      <c r="AF6" s="50" t="s">
        <v>352</v>
      </c>
      <c r="AG6" s="50" t="s">
        <v>418</v>
      </c>
      <c r="AH6" s="50"/>
      <c r="AI6" s="50">
        <v>9</v>
      </c>
      <c r="AJ6" s="58">
        <v>45749</v>
      </c>
      <c r="AK6" s="59">
        <v>0.89930555555555558</v>
      </c>
      <c r="AL6" s="58"/>
      <c r="AM6" s="59"/>
      <c r="AN6" s="58">
        <v>45749</v>
      </c>
      <c r="AO6" s="59">
        <v>0.90325231481481483</v>
      </c>
      <c r="AP6" s="50">
        <v>2025</v>
      </c>
      <c r="AQ6" s="50">
        <v>14</v>
      </c>
      <c r="AR6" s="50">
        <v>1</v>
      </c>
      <c r="AS6" s="50">
        <v>2</v>
      </c>
      <c r="AT6" s="50">
        <v>92</v>
      </c>
      <c r="AU6" s="59">
        <v>45749.899305555555</v>
      </c>
      <c r="AV6" s="50">
        <v>260</v>
      </c>
      <c r="AW6" t="s">
        <v>646</v>
      </c>
      <c r="AX6" s="50"/>
      <c r="AY6" s="50" t="s">
        <v>59</v>
      </c>
      <c r="AZ6" s="50" t="s">
        <v>59</v>
      </c>
      <c r="BA6" s="50" t="s">
        <v>604</v>
      </c>
      <c r="BB6" s="50" t="s">
        <v>109</v>
      </c>
    </row>
    <row r="7" spans="1:54" x14ac:dyDescent="0.3">
      <c r="A7" s="48" t="s">
        <v>845</v>
      </c>
      <c r="B7" s="49">
        <v>45739</v>
      </c>
      <c r="C7" s="50" t="s">
        <v>54</v>
      </c>
      <c r="D7" s="57">
        <v>0.58333333333333337</v>
      </c>
      <c r="E7" s="57">
        <v>0.62013888888888891</v>
      </c>
      <c r="F7" s="50" t="s">
        <v>458</v>
      </c>
      <c r="G7" s="50" t="s">
        <v>461</v>
      </c>
      <c r="H7" s="50" t="s">
        <v>846</v>
      </c>
      <c r="I7" s="50" t="s">
        <v>847</v>
      </c>
      <c r="J7" s="50" t="s">
        <v>398</v>
      </c>
      <c r="K7" s="50" t="s">
        <v>398</v>
      </c>
      <c r="L7" s="50" t="s">
        <v>59</v>
      </c>
      <c r="M7" s="50" t="s">
        <v>59</v>
      </c>
      <c r="N7" s="50" t="s">
        <v>848</v>
      </c>
      <c r="O7" s="50" t="s">
        <v>849</v>
      </c>
      <c r="P7" s="50">
        <v>9</v>
      </c>
      <c r="Q7" s="50" t="s">
        <v>850</v>
      </c>
      <c r="R7" s="50"/>
      <c r="S7" s="50"/>
      <c r="T7" s="50"/>
      <c r="U7" s="50"/>
      <c r="V7" s="50"/>
      <c r="W7" s="50"/>
      <c r="X7" s="50"/>
      <c r="Y7" s="50"/>
      <c r="Z7" s="50"/>
      <c r="AA7" s="50"/>
      <c r="AB7" s="50" t="s">
        <v>851</v>
      </c>
      <c r="AC7" s="50" t="s">
        <v>67</v>
      </c>
      <c r="AD7" s="50" t="s">
        <v>852</v>
      </c>
      <c r="AE7" s="50" t="s">
        <v>69</v>
      </c>
      <c r="AF7" s="50" t="s">
        <v>122</v>
      </c>
      <c r="AG7" s="50" t="s">
        <v>123</v>
      </c>
      <c r="AH7" s="50"/>
      <c r="AI7" s="50">
        <v>9</v>
      </c>
      <c r="AJ7" s="58">
        <v>45739</v>
      </c>
      <c r="AK7" s="59">
        <v>0.62013888888888891</v>
      </c>
      <c r="AL7" s="58">
        <v>45739</v>
      </c>
      <c r="AM7" s="59">
        <v>0.64166666666666672</v>
      </c>
      <c r="AN7" s="58">
        <v>45761</v>
      </c>
      <c r="AO7" s="59">
        <v>0.49540509259259258</v>
      </c>
      <c r="AP7" s="50">
        <v>2025</v>
      </c>
      <c r="AQ7" s="50">
        <v>13</v>
      </c>
      <c r="AR7" s="50">
        <v>5</v>
      </c>
      <c r="AS7" s="50">
        <v>23</v>
      </c>
      <c r="AT7" s="50">
        <v>82</v>
      </c>
      <c r="AU7" s="59">
        <v>45739.620138888888</v>
      </c>
      <c r="AV7" s="50">
        <v>2</v>
      </c>
      <c r="AW7" t="s">
        <v>850</v>
      </c>
      <c r="AX7" s="50"/>
      <c r="AY7" s="50" t="s">
        <v>853</v>
      </c>
      <c r="AZ7" s="50" t="s">
        <v>854</v>
      </c>
      <c r="BA7" s="50" t="s">
        <v>548</v>
      </c>
      <c r="BB7" s="50" t="s">
        <v>76</v>
      </c>
    </row>
  </sheetData>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057C-F163-4B83-B6EB-9115E9C4F837}">
  <sheetPr>
    <tabColor rgb="FF7030A0"/>
  </sheetPr>
  <dimension ref="A1:O1"/>
  <sheetViews>
    <sheetView workbookViewId="0">
      <selection activeCell="B1" sqref="B1:B1048576"/>
    </sheetView>
  </sheetViews>
  <sheetFormatPr defaultRowHeight="15.6" x14ac:dyDescent="0.3"/>
  <cols>
    <col min="1" max="1" width="12.44140625" style="122" bestFit="1" customWidth="1"/>
    <col min="2" max="2" width="15.44140625" style="121" bestFit="1" customWidth="1"/>
    <col min="3" max="3" width="15.77734375" style="122" bestFit="1" customWidth="1"/>
    <col min="4" max="4" width="19.44140625" style="122" bestFit="1" customWidth="1"/>
    <col min="5" max="5" width="13.77734375" style="122" bestFit="1" customWidth="1"/>
    <col min="6" max="6" width="22.33203125" style="122" bestFit="1" customWidth="1"/>
    <col min="7" max="7" width="21.33203125" style="122" bestFit="1" customWidth="1"/>
    <col min="8" max="8" width="35.5546875" style="122" bestFit="1" customWidth="1"/>
    <col min="9" max="9" width="19.44140625" style="122" bestFit="1" customWidth="1"/>
    <col min="10" max="10" width="25.33203125" style="122" bestFit="1" customWidth="1"/>
    <col min="11" max="11" width="44.77734375" style="122" bestFit="1" customWidth="1"/>
    <col min="12" max="12" width="41.44140625" style="122" bestFit="1" customWidth="1"/>
    <col min="13" max="13" width="24" style="122" bestFit="1" customWidth="1"/>
    <col min="14" max="14" width="27.33203125" style="122" bestFit="1" customWidth="1"/>
    <col min="15" max="15" width="14.6640625" style="122" bestFit="1" customWidth="1"/>
    <col min="16" max="16384" width="8.88671875" style="122"/>
  </cols>
  <sheetData>
    <row r="1" spans="1:15" x14ac:dyDescent="0.3">
      <c r="A1" s="122" t="s">
        <v>7</v>
      </c>
      <c r="B1" s="121" t="s">
        <v>1</v>
      </c>
      <c r="C1" s="122" t="s">
        <v>5</v>
      </c>
      <c r="D1" s="122" t="s">
        <v>52</v>
      </c>
      <c r="E1" s="122" t="s">
        <v>49</v>
      </c>
      <c r="F1" s="122" t="s">
        <v>812</v>
      </c>
      <c r="G1" s="122" t="s">
        <v>811</v>
      </c>
      <c r="H1" s="122" t="s">
        <v>813</v>
      </c>
      <c r="I1" s="122" t="s">
        <v>670</v>
      </c>
      <c r="J1" s="122" t="s">
        <v>814</v>
      </c>
      <c r="K1" s="122" t="s">
        <v>815</v>
      </c>
      <c r="L1" s="122" t="s">
        <v>816</v>
      </c>
      <c r="M1" s="122" t="s">
        <v>817</v>
      </c>
      <c r="N1" s="122" t="s">
        <v>818</v>
      </c>
      <c r="O1" s="122" t="s">
        <v>16</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81E78-636B-4089-901D-19174CE58C60}">
  <sheetPr>
    <tabColor rgb="FF7030A0"/>
  </sheetPr>
  <dimension ref="A1:O2"/>
  <sheetViews>
    <sheetView workbookViewId="0"/>
  </sheetViews>
  <sheetFormatPr defaultRowHeight="14.4" x14ac:dyDescent="0.3"/>
  <cols>
    <col min="1" max="1" width="16.77734375" bestFit="1" customWidth="1"/>
    <col min="2" max="2" width="12.5546875" bestFit="1" customWidth="1"/>
    <col min="3" max="3" width="11.88671875" bestFit="1" customWidth="1"/>
    <col min="4" max="4" width="16.77734375" bestFit="1" customWidth="1"/>
    <col min="5" max="5" width="9.77734375" bestFit="1" customWidth="1"/>
    <col min="6" max="6" width="17.21875" bestFit="1" customWidth="1"/>
    <col min="7" max="7" width="16.6640625" bestFit="1" customWidth="1"/>
    <col min="8" max="8" width="28" bestFit="1" customWidth="1"/>
    <col min="9" max="9" width="15" bestFit="1" customWidth="1"/>
    <col min="10" max="10" width="20.33203125" bestFit="1" customWidth="1"/>
    <col min="11" max="11" width="35.88671875" bestFit="1" customWidth="1"/>
    <col min="12" max="12" width="33.21875" bestFit="1" customWidth="1"/>
    <col min="13" max="13" width="18.88671875" bestFit="1" customWidth="1"/>
    <col min="14" max="14" width="21.21875" bestFit="1" customWidth="1"/>
    <col min="15" max="15" width="80.88671875" bestFit="1" customWidth="1"/>
  </cols>
  <sheetData>
    <row r="1" spans="1:15" x14ac:dyDescent="0.3">
      <c r="A1" t="s">
        <v>7</v>
      </c>
      <c r="B1" t="s">
        <v>1</v>
      </c>
      <c r="C1" t="s">
        <v>5</v>
      </c>
      <c r="D1" t="s">
        <v>52</v>
      </c>
      <c r="E1" t="s">
        <v>49</v>
      </c>
      <c r="F1" t="s">
        <v>812</v>
      </c>
      <c r="G1" t="s">
        <v>811</v>
      </c>
      <c r="H1" t="s">
        <v>813</v>
      </c>
      <c r="I1" t="s">
        <v>670</v>
      </c>
      <c r="J1" t="s">
        <v>814</v>
      </c>
      <c r="K1" t="s">
        <v>815</v>
      </c>
      <c r="L1" t="s">
        <v>816</v>
      </c>
      <c r="M1" t="s">
        <v>817</v>
      </c>
      <c r="N1" t="s">
        <v>818</v>
      </c>
      <c r="O1" t="s">
        <v>16</v>
      </c>
    </row>
    <row r="2" spans="1:15" x14ac:dyDescent="0.3">
      <c r="A2" t="s">
        <v>641</v>
      </c>
      <c r="B2" s="2">
        <v>45749</v>
      </c>
      <c r="C2" t="s">
        <v>452</v>
      </c>
      <c r="D2" t="s">
        <v>109</v>
      </c>
      <c r="E2" t="s">
        <v>59</v>
      </c>
      <c r="G2" t="s">
        <v>59</v>
      </c>
      <c r="H2" t="s">
        <v>59</v>
      </c>
      <c r="I2" t="s">
        <v>59</v>
      </c>
      <c r="J2" t="s">
        <v>59</v>
      </c>
      <c r="K2" t="s">
        <v>59</v>
      </c>
      <c r="L2" t="s">
        <v>59</v>
      </c>
      <c r="M2" t="s">
        <v>59</v>
      </c>
      <c r="N2" t="s">
        <v>59</v>
      </c>
      <c r="O2" t="s">
        <v>646</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16BF-11F1-49EB-B861-07A286AECCB5}">
  <sheetPr codeName="Sheet11">
    <tabColor rgb="FF7030A0"/>
  </sheetPr>
  <dimension ref="A1:AF45"/>
  <sheetViews>
    <sheetView zoomScale="85" zoomScaleNormal="85" workbookViewId="0">
      <selection activeCell="A4" sqref="A4"/>
    </sheetView>
  </sheetViews>
  <sheetFormatPr defaultColWidth="9.109375" defaultRowHeight="15.6" x14ac:dyDescent="0.3"/>
  <cols>
    <col min="1" max="1" width="23.21875" style="119" bestFit="1" customWidth="1"/>
    <col min="2" max="2" width="13.21875" style="119" bestFit="1" customWidth="1"/>
    <col min="3" max="3" width="4.5546875" style="119" bestFit="1" customWidth="1"/>
    <col min="4" max="5" width="5.33203125" style="119" bestFit="1" customWidth="1"/>
    <col min="6" max="8" width="6.77734375" style="119" customWidth="1"/>
    <col min="9" max="9" width="1.77734375" style="119" customWidth="1"/>
    <col min="10" max="10" width="23.88671875" style="119" bestFit="1" customWidth="1"/>
    <col min="11" max="11" width="12.109375" style="119" bestFit="1" customWidth="1"/>
    <col min="12" max="17" width="6.77734375" style="119" customWidth="1"/>
    <col min="18" max="18" width="24.44140625" style="119" bestFit="1" customWidth="1"/>
    <col min="19" max="19" width="23.33203125" style="119" bestFit="1" customWidth="1"/>
    <col min="20" max="20" width="36.88671875" style="119" bestFit="1" customWidth="1"/>
    <col min="21" max="26" width="22" style="119" customWidth="1"/>
    <col min="27" max="27" width="22.77734375" style="119" customWidth="1"/>
    <col min="28" max="28" width="20.5546875" style="119" bestFit="1" customWidth="1"/>
    <col min="29" max="29" width="56.21875" style="119" bestFit="1" customWidth="1"/>
    <col min="30" max="30" width="27.88671875" style="119" bestFit="1" customWidth="1"/>
    <col min="31" max="31" width="34.77734375" style="119" bestFit="1" customWidth="1"/>
    <col min="32" max="32" width="37.33203125" style="119" bestFit="1" customWidth="1"/>
    <col min="33" max="33" width="43" style="119" bestFit="1" customWidth="1"/>
    <col min="34" max="34" width="10" style="119" bestFit="1" customWidth="1"/>
    <col min="35" max="35" width="10.6640625" style="119" bestFit="1" customWidth="1"/>
    <col min="36" max="36" width="80.88671875" style="119" bestFit="1" customWidth="1"/>
    <col min="37" max="37" width="24.44140625" style="119" bestFit="1" customWidth="1"/>
    <col min="38" max="38" width="26.44140625" style="119" bestFit="1" customWidth="1"/>
    <col min="39" max="39" width="20.21875" style="119" bestFit="1" customWidth="1"/>
    <col min="40" max="40" width="12.44140625" style="119" bestFit="1" customWidth="1"/>
    <col min="41" max="41" width="13.33203125" style="119" bestFit="1" customWidth="1"/>
    <col min="42" max="42" width="17.109375" style="119" bestFit="1" customWidth="1"/>
    <col min="43" max="43" width="20.21875" style="119" bestFit="1" customWidth="1"/>
    <col min="44" max="44" width="17.109375" style="119" bestFit="1" customWidth="1"/>
    <col min="45" max="45" width="12.44140625" style="119" bestFit="1" customWidth="1"/>
    <col min="46" max="46" width="13.33203125" style="119" bestFit="1" customWidth="1"/>
    <col min="47" max="47" width="18.88671875" style="119" bestFit="1" customWidth="1"/>
    <col min="48" max="48" width="20.88671875" style="119" bestFit="1" customWidth="1"/>
    <col min="49" max="49" width="28.33203125" style="119" bestFit="1" customWidth="1"/>
    <col min="50" max="50" width="12" style="119" bestFit="1" customWidth="1"/>
    <col min="51" max="51" width="23.21875" style="119" bestFit="1" customWidth="1"/>
    <col min="52" max="52" width="28.5546875" style="119" bestFit="1" customWidth="1"/>
    <col min="53" max="53" width="27.44140625" style="119" bestFit="1" customWidth="1"/>
    <col min="54" max="54" width="31.6640625" style="119" bestFit="1" customWidth="1"/>
    <col min="55" max="55" width="19.6640625" style="119" bestFit="1" customWidth="1"/>
    <col min="56" max="56" width="19.88671875" style="119" bestFit="1" customWidth="1"/>
    <col min="57" max="57" width="30.33203125" style="119" bestFit="1" customWidth="1"/>
    <col min="58" max="58" width="30.5546875" style="119" bestFit="1" customWidth="1"/>
    <col min="59" max="59" width="18.109375" style="119" bestFit="1" customWidth="1"/>
    <col min="60" max="60" width="18.33203125" style="119" bestFit="1" customWidth="1"/>
    <col min="61" max="61" width="10.21875" style="119" bestFit="1" customWidth="1"/>
    <col min="62" max="62" width="19.33203125" style="119" bestFit="1" customWidth="1"/>
    <col min="63" max="63" width="21.21875" style="119" bestFit="1" customWidth="1"/>
    <col min="64" max="64" width="9.44140625" style="119" bestFit="1" customWidth="1"/>
    <col min="65" max="65" width="17.21875" style="119" bestFit="1" customWidth="1"/>
    <col min="66" max="66" width="28.109375" style="119" bestFit="1" customWidth="1"/>
    <col min="67" max="67" width="8.77734375" style="119" bestFit="1" customWidth="1"/>
    <col min="68" max="68" width="80.88671875" style="119" bestFit="1" customWidth="1"/>
    <col min="69" max="69" width="14.77734375" style="119" bestFit="1" customWidth="1"/>
    <col min="70" max="70" width="80.88671875" style="119" bestFit="1" customWidth="1"/>
    <col min="71" max="71" width="32.109375" style="119" bestFit="1" customWidth="1"/>
    <col min="72" max="72" width="22.33203125" style="119" bestFit="1" customWidth="1"/>
    <col min="73" max="73" width="22.6640625" style="119" bestFit="1" customWidth="1"/>
    <col min="74" max="16384" width="9.109375" style="119"/>
  </cols>
  <sheetData>
    <row r="1" spans="1:17" x14ac:dyDescent="0.3">
      <c r="A1" s="118" t="s">
        <v>1</v>
      </c>
      <c r="B1" s="60" t="s">
        <v>127</v>
      </c>
      <c r="C1" s="40"/>
      <c r="D1" s="40"/>
      <c r="E1" s="40"/>
      <c r="F1" s="40"/>
      <c r="G1" s="34"/>
      <c r="H1" s="34"/>
      <c r="I1" s="40"/>
      <c r="J1" s="118" t="s">
        <v>1</v>
      </c>
      <c r="K1" s="161">
        <v>45749</v>
      </c>
      <c r="L1" s="40"/>
    </row>
    <row r="2" spans="1:17" x14ac:dyDescent="0.3">
      <c r="A2" s="118" t="s">
        <v>10</v>
      </c>
      <c r="B2" s="60" t="s">
        <v>127</v>
      </c>
      <c r="C2" s="40"/>
      <c r="D2" s="40"/>
      <c r="E2" s="40"/>
      <c r="F2" s="40"/>
      <c r="G2" s="34"/>
      <c r="H2" s="34"/>
      <c r="I2" s="40"/>
      <c r="J2" s="118" t="s">
        <v>10</v>
      </c>
      <c r="K2" s="60" t="s">
        <v>127</v>
      </c>
      <c r="L2" s="40"/>
    </row>
    <row r="4" spans="1:17" x14ac:dyDescent="0.3">
      <c r="A4" s="118" t="s">
        <v>128</v>
      </c>
      <c r="B4" s="118" t="s">
        <v>5</v>
      </c>
      <c r="C4" s="60"/>
      <c r="D4" s="60"/>
      <c r="E4" s="60"/>
      <c r="F4" s="40"/>
      <c r="G4" s="34"/>
      <c r="H4" s="34"/>
      <c r="I4" s="34"/>
      <c r="J4" s="118" t="s">
        <v>128</v>
      </c>
      <c r="K4" s="118" t="s">
        <v>5</v>
      </c>
      <c r="L4" s="40"/>
    </row>
    <row r="5" spans="1:17" ht="18.600000000000001" thickBot="1" x14ac:dyDescent="0.4">
      <c r="A5" s="118" t="s">
        <v>449</v>
      </c>
      <c r="B5" s="60" t="s">
        <v>450</v>
      </c>
      <c r="C5" s="60" t="s">
        <v>451</v>
      </c>
      <c r="D5" s="60" t="s">
        <v>452</v>
      </c>
      <c r="E5" s="60" t="s">
        <v>536</v>
      </c>
      <c r="F5" s="40"/>
      <c r="G5" s="34"/>
      <c r="H5" s="34"/>
      <c r="I5" s="34"/>
      <c r="J5" s="184" t="s">
        <v>449</v>
      </c>
      <c r="K5" s="183" t="s">
        <v>452</v>
      </c>
      <c r="L5" s="40"/>
    </row>
    <row r="6" spans="1:17" ht="18" x14ac:dyDescent="0.35">
      <c r="A6" s="60" t="s">
        <v>76</v>
      </c>
      <c r="B6" s="60"/>
      <c r="C6" s="60">
        <v>2</v>
      </c>
      <c r="D6" s="60"/>
      <c r="E6" s="60">
        <v>1</v>
      </c>
      <c r="F6" s="40"/>
      <c r="G6" s="34"/>
      <c r="H6" s="34"/>
      <c r="I6" s="34"/>
      <c r="J6" s="183" t="s">
        <v>109</v>
      </c>
      <c r="K6" s="183">
        <v>1</v>
      </c>
      <c r="L6" s="40"/>
    </row>
    <row r="7" spans="1:17" x14ac:dyDescent="0.3">
      <c r="A7" s="60" t="s">
        <v>109</v>
      </c>
      <c r="B7" s="60">
        <v>1</v>
      </c>
      <c r="C7" s="60"/>
      <c r="D7" s="60">
        <v>1</v>
      </c>
      <c r="E7" s="60"/>
      <c r="F7" s="40"/>
      <c r="G7" s="34"/>
      <c r="H7" s="34"/>
      <c r="I7" s="34"/>
      <c r="J7" s="34"/>
      <c r="K7" s="34"/>
      <c r="L7" s="40"/>
    </row>
    <row r="8" spans="1:17" x14ac:dyDescent="0.3">
      <c r="A8" s="34"/>
      <c r="B8" s="34"/>
      <c r="C8" s="34"/>
      <c r="D8" s="34"/>
      <c r="E8" s="34"/>
      <c r="F8" s="40"/>
      <c r="G8" s="34"/>
      <c r="H8" s="34"/>
      <c r="I8" s="34"/>
      <c r="J8" s="34"/>
      <c r="K8" s="34"/>
      <c r="L8" s="40"/>
    </row>
    <row r="9" spans="1:17" x14ac:dyDescent="0.3">
      <c r="A9" s="34"/>
      <c r="B9" s="34"/>
      <c r="C9" s="34"/>
      <c r="D9" s="34"/>
      <c r="E9" s="34"/>
      <c r="F9" s="40"/>
      <c r="G9" s="34"/>
      <c r="H9" s="34"/>
      <c r="I9" s="34"/>
      <c r="J9" s="34"/>
      <c r="K9" s="34"/>
      <c r="L9" s="40"/>
    </row>
    <row r="12" spans="1:17" ht="23.4" x14ac:dyDescent="0.45">
      <c r="A12" s="197" t="s">
        <v>456</v>
      </c>
      <c r="B12" s="197"/>
      <c r="C12" s="197"/>
      <c r="D12" s="197"/>
      <c r="E12" s="197"/>
      <c r="F12" s="197"/>
      <c r="G12" s="197"/>
      <c r="H12" s="197"/>
      <c r="J12" s="197" t="s">
        <v>457</v>
      </c>
      <c r="K12" s="197"/>
      <c r="L12" s="197"/>
      <c r="M12" s="197"/>
      <c r="N12" s="197"/>
      <c r="O12" s="197"/>
      <c r="P12" s="197"/>
      <c r="Q12" s="197"/>
    </row>
    <row r="13" spans="1:17" ht="36.6" thickBot="1" x14ac:dyDescent="0.4">
      <c r="A13" s="162" t="str" cm="1">
        <f t="array" ref="A13:E15">A5:E7</f>
        <v>Time of Day</v>
      </c>
      <c r="B13" s="163" t="str">
        <v>Mon</v>
      </c>
      <c r="C13" s="163" t="str">
        <v>Tue</v>
      </c>
      <c r="D13" s="163" t="str">
        <v>Wed</v>
      </c>
      <c r="E13" s="163" t="str">
        <v>Thur</v>
      </c>
      <c r="J13" s="162" t="str" cm="1">
        <f t="array" ref="J13:K14">J5:K6</f>
        <v>Time of Day</v>
      </c>
      <c r="K13" s="163" t="str">
        <v>Wed</v>
      </c>
    </row>
    <row r="14" spans="1:17" ht="31.2" x14ac:dyDescent="0.3">
      <c r="A14" s="164" t="str">
        <v>Afternoon (12:00-15:59)</v>
      </c>
      <c r="B14" s="165">
        <v>0</v>
      </c>
      <c r="C14" s="165">
        <v>2</v>
      </c>
      <c r="D14" s="165">
        <v>0</v>
      </c>
      <c r="E14" s="166">
        <v>1</v>
      </c>
      <c r="J14" s="164" t="str">
        <v>Night (20:00-23:59)</v>
      </c>
      <c r="K14" s="165">
        <v>1</v>
      </c>
    </row>
    <row r="15" spans="1:17" x14ac:dyDescent="0.3">
      <c r="A15" s="167" t="str">
        <v>Night (20:00-23:59)</v>
      </c>
      <c r="B15" s="168">
        <v>1</v>
      </c>
      <c r="C15" s="168">
        <v>0</v>
      </c>
      <c r="D15" s="168">
        <v>1</v>
      </c>
      <c r="E15" s="169">
        <v>0</v>
      </c>
    </row>
    <row r="18" spans="1:32" x14ac:dyDescent="0.3">
      <c r="A18"/>
      <c r="B18"/>
      <c r="C18" s="40"/>
      <c r="D18" s="40"/>
      <c r="E18" s="40"/>
    </row>
    <row r="19" spans="1:32" x14ac:dyDescent="0.3">
      <c r="A19"/>
      <c r="B19"/>
      <c r="C19" s="40"/>
      <c r="D19" s="40"/>
      <c r="E19" s="40"/>
    </row>
    <row r="21" spans="1:32" x14ac:dyDescent="0.3">
      <c r="A21"/>
      <c r="B21"/>
      <c r="C21" s="34"/>
      <c r="D21" s="34"/>
      <c r="E21" s="34"/>
    </row>
    <row r="22" spans="1:32" x14ac:dyDescent="0.3">
      <c r="A22"/>
      <c r="B22"/>
      <c r="C22" s="34"/>
      <c r="D22" s="34"/>
      <c r="E22" s="34"/>
    </row>
    <row r="23" spans="1:32" x14ac:dyDescent="0.3">
      <c r="A23"/>
      <c r="B23"/>
      <c r="C23" s="34"/>
      <c r="D23" s="34"/>
      <c r="E23" s="34"/>
    </row>
    <row r="24" spans="1:32" ht="16.2" thickBot="1" x14ac:dyDescent="0.35">
      <c r="A24" s="34"/>
      <c r="B24" s="34"/>
      <c r="C24" s="34"/>
      <c r="D24" s="34"/>
      <c r="E24" s="34"/>
    </row>
    <row r="25" spans="1:32" ht="18" x14ac:dyDescent="0.35">
      <c r="M25" s="170"/>
      <c r="AE25" s="171" t="s">
        <v>661</v>
      </c>
      <c r="AF25" s="172" t="s">
        <v>641</v>
      </c>
    </row>
    <row r="26" spans="1:32" ht="18" x14ac:dyDescent="0.35">
      <c r="AE26" s="173" t="s">
        <v>35</v>
      </c>
      <c r="AF26" s="174">
        <v>45749</v>
      </c>
    </row>
    <row r="27" spans="1:32" ht="18" x14ac:dyDescent="0.35">
      <c r="A27"/>
      <c r="B27"/>
      <c r="C27"/>
      <c r="D27"/>
      <c r="E27"/>
      <c r="F27"/>
      <c r="G27"/>
      <c r="H27"/>
      <c r="AE27" s="175" t="s">
        <v>649</v>
      </c>
      <c r="AF27" s="176" t="s">
        <v>452</v>
      </c>
    </row>
    <row r="28" spans="1:32" ht="18" x14ac:dyDescent="0.35">
      <c r="A28"/>
      <c r="B28"/>
      <c r="C28"/>
      <c r="D28"/>
      <c r="E28"/>
      <c r="F28"/>
      <c r="G28"/>
      <c r="H28"/>
      <c r="AE28" s="173" t="s">
        <v>650</v>
      </c>
      <c r="AF28" s="174" t="s">
        <v>109</v>
      </c>
    </row>
    <row r="29" spans="1:32" ht="18" x14ac:dyDescent="0.35">
      <c r="A29"/>
      <c r="B29"/>
      <c r="C29"/>
      <c r="D29"/>
      <c r="E29"/>
      <c r="F29"/>
      <c r="G29"/>
      <c r="H29"/>
      <c r="AE29" s="175" t="s">
        <v>746</v>
      </c>
      <c r="AF29" s="177" t="s">
        <v>752</v>
      </c>
    </row>
    <row r="30" spans="1:32" ht="18" x14ac:dyDescent="0.35">
      <c r="AE30" s="173" t="s">
        <v>747</v>
      </c>
      <c r="AF30" s="174" t="s">
        <v>669</v>
      </c>
    </row>
    <row r="31" spans="1:32" ht="18" x14ac:dyDescent="0.35">
      <c r="AE31" s="175" t="s">
        <v>748</v>
      </c>
      <c r="AF31" s="177" t="s">
        <v>754</v>
      </c>
    </row>
    <row r="32" spans="1:32" ht="18" x14ac:dyDescent="0.35">
      <c r="AE32" s="173" t="s">
        <v>749</v>
      </c>
      <c r="AF32" s="174" t="s">
        <v>753</v>
      </c>
    </row>
    <row r="33" spans="31:32" ht="18" x14ac:dyDescent="0.35">
      <c r="AE33" s="175" t="s">
        <v>655</v>
      </c>
      <c r="AF33" s="177" t="s">
        <v>754</v>
      </c>
    </row>
    <row r="34" spans="31:32" ht="18" x14ac:dyDescent="0.35">
      <c r="AE34" s="173" t="s">
        <v>656</v>
      </c>
      <c r="AF34" s="174" t="s">
        <v>754</v>
      </c>
    </row>
    <row r="35" spans="31:32" ht="18" x14ac:dyDescent="0.3">
      <c r="AE35" s="178" t="s">
        <v>750</v>
      </c>
      <c r="AF35" s="179" t="s">
        <v>754</v>
      </c>
    </row>
    <row r="36" spans="31:32" ht="18.600000000000001" thickBot="1" x14ac:dyDescent="0.4">
      <c r="AE36" s="180" t="s">
        <v>751</v>
      </c>
      <c r="AF36" s="181" t="s">
        <v>754</v>
      </c>
    </row>
    <row r="39" spans="31:32" x14ac:dyDescent="0.3">
      <c r="AE39" s="119" t="s">
        <v>739</v>
      </c>
    </row>
    <row r="40" spans="31:32" x14ac:dyDescent="0.3">
      <c r="AE40" s="198" t="s">
        <v>740</v>
      </c>
      <c r="AF40" s="198"/>
    </row>
    <row r="41" spans="31:32" x14ac:dyDescent="0.3">
      <c r="AE41" s="60" t="s">
        <v>741</v>
      </c>
    </row>
    <row r="42" spans="31:32" x14ac:dyDescent="0.3">
      <c r="AE42" s="60" t="s">
        <v>742</v>
      </c>
    </row>
    <row r="43" spans="31:32" x14ac:dyDescent="0.3">
      <c r="AE43" s="60" t="s">
        <v>743</v>
      </c>
    </row>
    <row r="44" spans="31:32" x14ac:dyDescent="0.3">
      <c r="AE44" s="119" t="s">
        <v>744</v>
      </c>
    </row>
    <row r="45" spans="31:32" x14ac:dyDescent="0.3">
      <c r="AE45" s="119" t="s">
        <v>745</v>
      </c>
    </row>
  </sheetData>
  <mergeCells count="3">
    <mergeCell ref="A12:H12"/>
    <mergeCell ref="AE40:AF40"/>
    <mergeCell ref="J12:Q12"/>
  </mergeCells>
  <phoneticPr fontId="12" type="noConversion"/>
  <pageMargins left="0.7" right="0.7" top="0.75" bottom="0.75" header="0.3" footer="0.3"/>
  <pageSetup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13A1-4F64-4B7E-9DC4-BF8520013839}">
  <dimension ref="A1:BA61"/>
  <sheetViews>
    <sheetView topLeftCell="AQ1" workbookViewId="0">
      <selection activeCell="BA1" activeCellId="1" sqref="AQ1:AQ61 BA1:BA61"/>
    </sheetView>
  </sheetViews>
  <sheetFormatPr defaultRowHeight="14.4" x14ac:dyDescent="0.3"/>
  <cols>
    <col min="1" max="1" width="14.44140625" bestFit="1" customWidth="1"/>
    <col min="2" max="2" width="33.6640625" bestFit="1" customWidth="1"/>
    <col min="3" max="3" width="23.88671875" bestFit="1" customWidth="1"/>
    <col min="4" max="4" width="33.6640625" bestFit="1" customWidth="1"/>
    <col min="5" max="5" width="60.33203125" bestFit="1" customWidth="1"/>
    <col min="6" max="6" width="25" bestFit="1" customWidth="1"/>
    <col min="7" max="7" width="25.77734375" bestFit="1" customWidth="1"/>
    <col min="8" max="8" width="20.21875" bestFit="1" customWidth="1"/>
    <col min="9" max="9" width="65.44140625" bestFit="1" customWidth="1"/>
    <col min="10" max="10" width="6.6640625" bestFit="1" customWidth="1"/>
    <col min="11" max="11" width="7.44140625" bestFit="1" customWidth="1"/>
    <col min="12" max="12" width="80.88671875" bestFit="1" customWidth="1"/>
    <col min="13" max="13" width="18.5546875" bestFit="1" customWidth="1"/>
    <col min="14" max="14" width="20.109375" bestFit="1" customWidth="1"/>
    <col min="15" max="15" width="14.6640625" bestFit="1" customWidth="1"/>
    <col min="16" max="16" width="10.77734375" bestFit="1" customWidth="1"/>
    <col min="17" max="17" width="11.21875" bestFit="1" customWidth="1"/>
    <col min="18" max="18" width="12.5546875" bestFit="1" customWidth="1"/>
    <col min="19" max="19" width="14.6640625" bestFit="1" customWidth="1"/>
    <col min="20" max="20" width="12.5546875" bestFit="1" customWidth="1"/>
    <col min="21" max="21" width="9" bestFit="1" customWidth="1"/>
    <col min="22" max="22" width="9.6640625" bestFit="1" customWidth="1"/>
    <col min="23" max="23" width="13.88671875" bestFit="1" customWidth="1"/>
    <col min="24" max="24" width="14.77734375" bestFit="1" customWidth="1"/>
    <col min="25" max="25" width="26" bestFit="1" customWidth="1"/>
    <col min="26" max="26" width="8.5546875" bestFit="1" customWidth="1"/>
    <col min="27" max="27" width="25" bestFit="1" customWidth="1"/>
    <col min="28" max="28" width="26.109375" bestFit="1" customWidth="1"/>
    <col min="29" max="29" width="42.44140625" bestFit="1" customWidth="1"/>
    <col min="30" max="30" width="24.21875" bestFit="1" customWidth="1"/>
    <col min="31" max="31" width="14.44140625" bestFit="1" customWidth="1"/>
    <col min="32" max="32" width="14.6640625" bestFit="1" customWidth="1"/>
    <col min="33" max="33" width="23" bestFit="1" customWidth="1"/>
    <col min="34" max="34" width="23.21875" bestFit="1" customWidth="1"/>
    <col min="35" max="35" width="13.21875" bestFit="1" customWidth="1"/>
    <col min="36" max="36" width="13.6640625" bestFit="1" customWidth="1"/>
    <col min="37" max="37" width="6.88671875" bestFit="1" customWidth="1"/>
    <col min="38" max="38" width="5.88671875" bestFit="1" customWidth="1"/>
    <col min="39" max="39" width="80.88671875" bestFit="1" customWidth="1"/>
    <col min="40" max="40" width="59.77734375" bestFit="1" customWidth="1"/>
    <col min="41" max="42" width="80.88671875" bestFit="1" customWidth="1"/>
    <col min="43" max="43" width="11.6640625" bestFit="1" customWidth="1"/>
    <col min="44" max="44" width="14" bestFit="1" customWidth="1"/>
    <col min="45" max="45" width="11.5546875" bestFit="1" customWidth="1"/>
    <col min="46" max="46" width="11.88671875" bestFit="1" customWidth="1"/>
    <col min="47" max="47" width="14.44140625" bestFit="1" customWidth="1"/>
    <col min="48" max="48" width="14.33203125" bestFit="1" customWidth="1"/>
    <col min="49" max="49" width="16.5546875" bestFit="1" customWidth="1"/>
    <col min="50" max="50" width="6.44140625" bestFit="1" customWidth="1"/>
    <col min="51" max="51" width="12.77734375" bestFit="1" customWidth="1"/>
    <col min="52" max="52" width="22" bestFit="1" customWidth="1"/>
    <col min="53" max="53" width="16.109375" bestFit="1" customWidth="1"/>
  </cols>
  <sheetData>
    <row r="1" spans="1:53" x14ac:dyDescent="0.3">
      <c r="A1" t="s">
        <v>0</v>
      </c>
      <c r="B1" t="s">
        <v>7</v>
      </c>
      <c r="C1" t="s">
        <v>52</v>
      </c>
      <c r="D1" t="s">
        <v>8</v>
      </c>
      <c r="E1" t="s">
        <v>10</v>
      </c>
      <c r="F1" t="s">
        <v>9</v>
      </c>
      <c r="G1" t="s">
        <v>11</v>
      </c>
      <c r="H1" t="s">
        <v>12</v>
      </c>
      <c r="I1" t="s">
        <v>13</v>
      </c>
      <c r="J1" t="s">
        <v>14</v>
      </c>
      <c r="K1" t="s">
        <v>15</v>
      </c>
      <c r="L1" t="s">
        <v>16</v>
      </c>
      <c r="M1" t="s">
        <v>17</v>
      </c>
      <c r="N1" t="s">
        <v>18</v>
      </c>
      <c r="O1" t="s">
        <v>19</v>
      </c>
      <c r="P1" t="s">
        <v>20</v>
      </c>
      <c r="Q1" t="s">
        <v>21</v>
      </c>
      <c r="R1" t="s">
        <v>22</v>
      </c>
      <c r="S1" t="s">
        <v>23</v>
      </c>
      <c r="T1" t="s">
        <v>24</v>
      </c>
      <c r="U1" t="s">
        <v>25</v>
      </c>
      <c r="V1" t="s">
        <v>26</v>
      </c>
      <c r="W1" t="s">
        <v>27</v>
      </c>
      <c r="X1" t="s">
        <v>28</v>
      </c>
      <c r="Y1" t="s">
        <v>29</v>
      </c>
      <c r="Z1" t="s">
        <v>30</v>
      </c>
      <c r="AA1" t="s">
        <v>31</v>
      </c>
      <c r="AB1" t="s">
        <v>32</v>
      </c>
      <c r="AC1" t="s">
        <v>33</v>
      </c>
      <c r="AD1" t="s">
        <v>34</v>
      </c>
      <c r="AE1" t="s">
        <v>35</v>
      </c>
      <c r="AF1" t="s">
        <v>36</v>
      </c>
      <c r="AG1" t="s">
        <v>37</v>
      </c>
      <c r="AH1" t="s">
        <v>38</v>
      </c>
      <c r="AI1" t="s">
        <v>39</v>
      </c>
      <c r="AJ1" t="s">
        <v>40</v>
      </c>
      <c r="AK1" t="s">
        <v>41</v>
      </c>
      <c r="AL1" t="s">
        <v>47</v>
      </c>
      <c r="AM1" t="s">
        <v>459</v>
      </c>
      <c r="AN1" t="s">
        <v>48</v>
      </c>
      <c r="AO1" t="s">
        <v>49</v>
      </c>
      <c r="AP1" t="s">
        <v>50</v>
      </c>
      <c r="AQ1" t="s">
        <v>1</v>
      </c>
      <c r="AR1" t="s">
        <v>3</v>
      </c>
      <c r="AS1" t="s">
        <v>4</v>
      </c>
      <c r="AT1" t="s">
        <v>5</v>
      </c>
      <c r="AU1" t="s">
        <v>6</v>
      </c>
      <c r="AV1" t="s">
        <v>42</v>
      </c>
      <c r="AW1" t="s">
        <v>43</v>
      </c>
      <c r="AX1" t="s">
        <v>44</v>
      </c>
      <c r="AY1" t="s">
        <v>45</v>
      </c>
      <c r="AZ1" t="s">
        <v>46</v>
      </c>
      <c r="BA1" t="s">
        <v>51</v>
      </c>
    </row>
    <row r="2" spans="1:53" x14ac:dyDescent="0.3">
      <c r="A2" t="s">
        <v>210</v>
      </c>
      <c r="B2" t="s">
        <v>211</v>
      </c>
      <c r="C2" t="s">
        <v>109</v>
      </c>
      <c r="D2" t="s">
        <v>212</v>
      </c>
      <c r="E2" t="s">
        <v>213</v>
      </c>
      <c r="F2" t="s">
        <v>213</v>
      </c>
      <c r="G2" t="s">
        <v>59</v>
      </c>
      <c r="H2" t="s">
        <v>59</v>
      </c>
      <c r="I2" t="s">
        <v>214</v>
      </c>
      <c r="J2" t="s">
        <v>215</v>
      </c>
      <c r="K2">
        <v>9</v>
      </c>
      <c r="L2" t="s">
        <v>216</v>
      </c>
      <c r="O2" t="s">
        <v>217</v>
      </c>
      <c r="P2" t="s">
        <v>63</v>
      </c>
      <c r="Q2" t="s">
        <v>218</v>
      </c>
      <c r="R2" t="s">
        <v>65</v>
      </c>
      <c r="W2" t="s">
        <v>157</v>
      </c>
      <c r="X2" t="s">
        <v>67</v>
      </c>
      <c r="Y2" t="s">
        <v>219</v>
      </c>
      <c r="Z2" t="s">
        <v>206</v>
      </c>
      <c r="AA2" t="s">
        <v>220</v>
      </c>
      <c r="AB2" t="s">
        <v>71</v>
      </c>
      <c r="AC2" t="s">
        <v>221</v>
      </c>
      <c r="AD2">
        <v>9</v>
      </c>
      <c r="AE2" s="1">
        <v>45660</v>
      </c>
      <c r="AF2" s="2">
        <v>0.89583333333333337</v>
      </c>
      <c r="AG2" s="1">
        <v>45661</v>
      </c>
      <c r="AH2" s="2">
        <v>0.2673611111111111</v>
      </c>
      <c r="AI2" s="1">
        <v>45661</v>
      </c>
      <c r="AJ2" s="2">
        <v>0.45774305555555556</v>
      </c>
      <c r="AK2">
        <v>2025</v>
      </c>
      <c r="AL2">
        <v>309</v>
      </c>
      <c r="AM2" t="s">
        <v>216</v>
      </c>
      <c r="AN2" t="s">
        <v>222</v>
      </c>
      <c r="AO2" t="s">
        <v>223</v>
      </c>
      <c r="AP2" t="s">
        <v>59</v>
      </c>
      <c r="AQ2" s="1">
        <v>45660</v>
      </c>
      <c r="AR2" s="33">
        <v>0.875</v>
      </c>
      <c r="AS2" s="33">
        <v>0.89583333333333337</v>
      </c>
      <c r="AT2" t="s">
        <v>454</v>
      </c>
      <c r="AU2" t="s">
        <v>55</v>
      </c>
      <c r="AV2">
        <v>1</v>
      </c>
      <c r="AW2">
        <v>1</v>
      </c>
      <c r="AX2">
        <v>3</v>
      </c>
      <c r="AY2">
        <v>3</v>
      </c>
      <c r="AZ2" s="2">
        <v>45660.895833333336</v>
      </c>
      <c r="BA2" s="32" t="s">
        <v>514</v>
      </c>
    </row>
    <row r="3" spans="1:53" x14ac:dyDescent="0.3">
      <c r="A3" t="s">
        <v>395</v>
      </c>
      <c r="B3" t="s">
        <v>396</v>
      </c>
      <c r="C3" t="s">
        <v>76</v>
      </c>
      <c r="D3" t="s">
        <v>397</v>
      </c>
      <c r="E3" t="s">
        <v>399</v>
      </c>
      <c r="F3" t="s">
        <v>398</v>
      </c>
      <c r="G3" t="s">
        <v>400</v>
      </c>
      <c r="H3" t="s">
        <v>59</v>
      </c>
      <c r="I3" t="s">
        <v>401</v>
      </c>
      <c r="J3" t="s">
        <v>134</v>
      </c>
      <c r="K3">
        <v>7</v>
      </c>
      <c r="L3" t="s">
        <v>402</v>
      </c>
      <c r="W3" t="s">
        <v>403</v>
      </c>
      <c r="X3" t="s">
        <v>67</v>
      </c>
      <c r="Y3" t="s">
        <v>404</v>
      </c>
      <c r="Z3" t="s">
        <v>405</v>
      </c>
      <c r="AA3" t="s">
        <v>406</v>
      </c>
      <c r="AB3" t="s">
        <v>71</v>
      </c>
      <c r="AC3" t="s">
        <v>407</v>
      </c>
      <c r="AD3">
        <v>9</v>
      </c>
      <c r="AE3" s="1">
        <v>45664</v>
      </c>
      <c r="AF3" s="2">
        <v>0.58333333333333337</v>
      </c>
      <c r="AG3" s="1"/>
      <c r="AH3" s="2"/>
      <c r="AI3" s="1">
        <v>45667</v>
      </c>
      <c r="AJ3" s="2">
        <v>0.59781249999999997</v>
      </c>
      <c r="AK3">
        <v>2025</v>
      </c>
      <c r="AL3">
        <v>135</v>
      </c>
      <c r="AM3" t="s">
        <v>402</v>
      </c>
      <c r="AO3" t="s">
        <v>408</v>
      </c>
      <c r="AP3" t="s">
        <v>59</v>
      </c>
      <c r="AQ3" s="1">
        <v>45664</v>
      </c>
      <c r="AR3" s="33">
        <v>0.58333333333333337</v>
      </c>
      <c r="AS3" s="33">
        <v>0.58333333333333337</v>
      </c>
      <c r="AT3" t="s">
        <v>451</v>
      </c>
      <c r="AU3" t="s">
        <v>55</v>
      </c>
      <c r="AV3">
        <v>2</v>
      </c>
      <c r="AW3">
        <v>2</v>
      </c>
      <c r="AX3">
        <v>7</v>
      </c>
      <c r="AY3">
        <v>7</v>
      </c>
      <c r="AZ3" s="2">
        <v>45664.583333333336</v>
      </c>
      <c r="BA3" s="32" t="s">
        <v>513</v>
      </c>
    </row>
    <row r="4" spans="1:53" x14ac:dyDescent="0.3">
      <c r="A4" t="s">
        <v>53</v>
      </c>
      <c r="B4" t="s">
        <v>56</v>
      </c>
      <c r="C4" t="s">
        <v>76</v>
      </c>
      <c r="D4" t="s">
        <v>57</v>
      </c>
      <c r="E4" t="s">
        <v>58</v>
      </c>
      <c r="F4" t="s">
        <v>58</v>
      </c>
      <c r="G4" t="s">
        <v>59</v>
      </c>
      <c r="H4" t="s">
        <v>59</v>
      </c>
      <c r="I4" t="s">
        <v>60</v>
      </c>
      <c r="K4">
        <v>7</v>
      </c>
      <c r="L4" t="s">
        <v>61</v>
      </c>
      <c r="O4" t="s">
        <v>62</v>
      </c>
      <c r="P4" t="s">
        <v>63</v>
      </c>
      <c r="Q4" t="s">
        <v>64</v>
      </c>
      <c r="R4" t="s">
        <v>65</v>
      </c>
      <c r="W4" t="s">
        <v>66</v>
      </c>
      <c r="X4" t="s">
        <v>67</v>
      </c>
      <c r="Y4" t="s">
        <v>68</v>
      </c>
      <c r="Z4" t="s">
        <v>69</v>
      </c>
      <c r="AA4" t="s">
        <v>70</v>
      </c>
      <c r="AB4" t="s">
        <v>71</v>
      </c>
      <c r="AC4" t="s">
        <v>72</v>
      </c>
      <c r="AD4">
        <v>9</v>
      </c>
      <c r="AE4" s="1">
        <v>45663</v>
      </c>
      <c r="AF4" s="2">
        <v>0.64583333333333337</v>
      </c>
      <c r="AG4" s="1">
        <v>45667</v>
      </c>
      <c r="AH4" s="2"/>
      <c r="AI4" s="1">
        <v>45667</v>
      </c>
      <c r="AJ4" s="2">
        <v>0.82629629629629631</v>
      </c>
      <c r="AK4">
        <v>2025</v>
      </c>
      <c r="AL4">
        <v>90</v>
      </c>
      <c r="AM4" t="s">
        <v>61</v>
      </c>
      <c r="AN4" t="s">
        <v>73</v>
      </c>
      <c r="AO4" t="s">
        <v>74</v>
      </c>
      <c r="AP4" t="s">
        <v>75</v>
      </c>
      <c r="AQ4" s="1">
        <v>45663</v>
      </c>
      <c r="AR4" s="33">
        <v>0.625</v>
      </c>
      <c r="AS4" s="33">
        <v>0.64583333333333337</v>
      </c>
      <c r="AT4" t="s">
        <v>450</v>
      </c>
      <c r="AU4" t="s">
        <v>55</v>
      </c>
      <c r="AV4">
        <v>2</v>
      </c>
      <c r="AW4">
        <v>2</v>
      </c>
      <c r="AX4">
        <v>6</v>
      </c>
      <c r="AY4">
        <v>6</v>
      </c>
      <c r="AZ4" s="2">
        <v>45663.645833333336</v>
      </c>
      <c r="BA4" s="32" t="s">
        <v>514</v>
      </c>
    </row>
    <row r="5" spans="1:53" x14ac:dyDescent="0.3">
      <c r="A5" t="s">
        <v>341</v>
      </c>
      <c r="B5" t="s">
        <v>342</v>
      </c>
      <c r="C5" t="s">
        <v>76</v>
      </c>
      <c r="D5" t="s">
        <v>343</v>
      </c>
      <c r="E5" t="s">
        <v>345</v>
      </c>
      <c r="F5" t="s">
        <v>344</v>
      </c>
      <c r="G5" t="s">
        <v>346</v>
      </c>
      <c r="H5" t="s">
        <v>347</v>
      </c>
      <c r="I5" t="s">
        <v>348</v>
      </c>
      <c r="J5" t="s">
        <v>84</v>
      </c>
      <c r="K5">
        <v>8</v>
      </c>
      <c r="L5" t="s">
        <v>349</v>
      </c>
      <c r="W5" t="s">
        <v>157</v>
      </c>
      <c r="X5" t="s">
        <v>67</v>
      </c>
      <c r="Y5" t="s">
        <v>350</v>
      </c>
      <c r="Z5" t="s">
        <v>351</v>
      </c>
      <c r="AA5" t="s">
        <v>352</v>
      </c>
      <c r="AB5" t="s">
        <v>123</v>
      </c>
      <c r="AC5" t="s">
        <v>353</v>
      </c>
      <c r="AD5">
        <v>9</v>
      </c>
      <c r="AE5" s="1">
        <v>45670</v>
      </c>
      <c r="AF5" s="2">
        <v>0.50347222222222221</v>
      </c>
      <c r="AG5" s="1"/>
      <c r="AH5" s="2"/>
      <c r="AI5" s="1">
        <v>45670</v>
      </c>
      <c r="AJ5" s="2">
        <v>0.50537037037037036</v>
      </c>
      <c r="AK5">
        <v>2025</v>
      </c>
      <c r="AL5">
        <v>204</v>
      </c>
      <c r="AM5" t="s">
        <v>349</v>
      </c>
      <c r="AO5" t="s">
        <v>354</v>
      </c>
      <c r="AP5" t="s">
        <v>355</v>
      </c>
      <c r="AQ5" s="1">
        <v>45670</v>
      </c>
      <c r="AR5" s="33">
        <v>0.5</v>
      </c>
      <c r="AS5" s="33">
        <v>0.50347222222222221</v>
      </c>
      <c r="AT5" t="s">
        <v>450</v>
      </c>
      <c r="AU5" t="s">
        <v>55</v>
      </c>
      <c r="AV5">
        <v>3</v>
      </c>
      <c r="AW5">
        <v>3</v>
      </c>
      <c r="AX5">
        <v>13</v>
      </c>
      <c r="AY5">
        <v>13</v>
      </c>
      <c r="AZ5" s="2">
        <v>45670.503472222219</v>
      </c>
      <c r="BA5" s="32" t="s">
        <v>513</v>
      </c>
    </row>
    <row r="6" spans="1:53" x14ac:dyDescent="0.3">
      <c r="A6" t="s">
        <v>184</v>
      </c>
      <c r="B6" t="s">
        <v>185</v>
      </c>
      <c r="C6" t="s">
        <v>150</v>
      </c>
      <c r="D6" t="s">
        <v>186</v>
      </c>
      <c r="E6" t="s">
        <v>187</v>
      </c>
      <c r="F6" t="s">
        <v>132</v>
      </c>
      <c r="G6" t="s">
        <v>188</v>
      </c>
      <c r="H6" t="s">
        <v>189</v>
      </c>
      <c r="I6" t="s">
        <v>190</v>
      </c>
      <c r="J6" t="s">
        <v>191</v>
      </c>
      <c r="K6">
        <v>9</v>
      </c>
      <c r="L6" t="s">
        <v>192</v>
      </c>
      <c r="W6" t="s">
        <v>193</v>
      </c>
      <c r="X6" t="s">
        <v>67</v>
      </c>
      <c r="Y6" t="s">
        <v>194</v>
      </c>
      <c r="Z6" t="s">
        <v>159</v>
      </c>
      <c r="AA6" t="s">
        <v>160</v>
      </c>
      <c r="AB6" t="s">
        <v>195</v>
      </c>
      <c r="AC6" t="s">
        <v>137</v>
      </c>
      <c r="AD6">
        <v>9</v>
      </c>
      <c r="AE6" s="1">
        <v>45671</v>
      </c>
      <c r="AF6" s="2">
        <v>0.46388888888888891</v>
      </c>
      <c r="AG6" s="1"/>
      <c r="AH6" s="2"/>
      <c r="AI6" s="1">
        <v>45671</v>
      </c>
      <c r="AJ6" s="2">
        <v>0.46740740740740738</v>
      </c>
      <c r="AK6">
        <v>2025</v>
      </c>
      <c r="AL6">
        <v>895</v>
      </c>
      <c r="AM6" t="s">
        <v>192</v>
      </c>
      <c r="AO6" t="s">
        <v>196</v>
      </c>
      <c r="AP6" t="s">
        <v>59</v>
      </c>
      <c r="AQ6" s="1">
        <v>45671</v>
      </c>
      <c r="AR6" s="33">
        <v>0.45833333333333331</v>
      </c>
      <c r="AS6" s="33">
        <v>0.46388888888888891</v>
      </c>
      <c r="AT6" t="s">
        <v>451</v>
      </c>
      <c r="AU6" t="s">
        <v>55</v>
      </c>
      <c r="AV6">
        <v>3</v>
      </c>
      <c r="AW6">
        <v>3</v>
      </c>
      <c r="AX6">
        <v>14</v>
      </c>
      <c r="AY6">
        <v>14</v>
      </c>
      <c r="AZ6" s="2">
        <v>45671.463888888888</v>
      </c>
      <c r="BA6" s="32" t="s">
        <v>512</v>
      </c>
    </row>
    <row r="7" spans="1:53" x14ac:dyDescent="0.3">
      <c r="A7" t="s">
        <v>356</v>
      </c>
      <c r="B7" t="s">
        <v>357</v>
      </c>
      <c r="C7" t="s">
        <v>76</v>
      </c>
      <c r="D7" t="s">
        <v>358</v>
      </c>
      <c r="E7" t="s">
        <v>359</v>
      </c>
      <c r="F7" t="s">
        <v>347</v>
      </c>
      <c r="G7" t="s">
        <v>360</v>
      </c>
      <c r="H7" t="s">
        <v>361</v>
      </c>
      <c r="I7" t="s">
        <v>362</v>
      </c>
      <c r="J7" t="s">
        <v>363</v>
      </c>
      <c r="K7">
        <v>9</v>
      </c>
      <c r="L7" t="s">
        <v>364</v>
      </c>
      <c r="O7" t="s">
        <v>365</v>
      </c>
      <c r="P7" t="s">
        <v>366</v>
      </c>
      <c r="Q7" t="s">
        <v>367</v>
      </c>
      <c r="R7" t="s">
        <v>65</v>
      </c>
      <c r="W7" t="s">
        <v>119</v>
      </c>
      <c r="X7" t="s">
        <v>67</v>
      </c>
      <c r="Y7" t="s">
        <v>219</v>
      </c>
      <c r="Z7" t="s">
        <v>368</v>
      </c>
      <c r="AA7" t="s">
        <v>160</v>
      </c>
      <c r="AB7" t="s">
        <v>123</v>
      </c>
      <c r="AC7" t="s">
        <v>353</v>
      </c>
      <c r="AD7">
        <v>9</v>
      </c>
      <c r="AE7" s="1">
        <v>45671</v>
      </c>
      <c r="AF7" s="2">
        <v>0.64067129629629627</v>
      </c>
      <c r="AG7" s="1"/>
      <c r="AH7" s="2"/>
      <c r="AI7" s="1">
        <v>45671</v>
      </c>
      <c r="AJ7" s="2">
        <v>0.64067129629629627</v>
      </c>
      <c r="AK7">
        <v>2025</v>
      </c>
      <c r="AL7">
        <v>450</v>
      </c>
      <c r="AM7" t="s">
        <v>364</v>
      </c>
      <c r="AN7" t="s">
        <v>369</v>
      </c>
      <c r="AO7" t="s">
        <v>59</v>
      </c>
      <c r="AP7" t="s">
        <v>370</v>
      </c>
      <c r="AQ7" s="1">
        <v>45671</v>
      </c>
      <c r="AR7" s="33">
        <v>0.625</v>
      </c>
      <c r="AS7" s="33">
        <v>0.64067129629629627</v>
      </c>
      <c r="AT7" t="s">
        <v>451</v>
      </c>
      <c r="AU7" t="s">
        <v>55</v>
      </c>
      <c r="AV7">
        <v>3</v>
      </c>
      <c r="AW7">
        <v>3</v>
      </c>
      <c r="AX7">
        <v>14</v>
      </c>
      <c r="AY7">
        <v>14</v>
      </c>
      <c r="AZ7" s="2">
        <v>45671.640277777777</v>
      </c>
      <c r="BA7" s="32" t="s">
        <v>512</v>
      </c>
    </row>
    <row r="8" spans="1:53" x14ac:dyDescent="0.3">
      <c r="A8" t="s">
        <v>224</v>
      </c>
      <c r="B8" t="s">
        <v>225</v>
      </c>
      <c r="C8" t="s">
        <v>76</v>
      </c>
      <c r="D8" t="s">
        <v>226</v>
      </c>
      <c r="E8" t="s">
        <v>213</v>
      </c>
      <c r="F8" t="s">
        <v>213</v>
      </c>
      <c r="G8" t="s">
        <v>59</v>
      </c>
      <c r="H8" t="s">
        <v>59</v>
      </c>
      <c r="I8" t="s">
        <v>227</v>
      </c>
      <c r="J8" t="s">
        <v>84</v>
      </c>
      <c r="K8">
        <v>8</v>
      </c>
      <c r="L8" t="s">
        <v>228</v>
      </c>
      <c r="O8" t="s">
        <v>229</v>
      </c>
      <c r="P8" t="s">
        <v>63</v>
      </c>
      <c r="Q8" t="s">
        <v>230</v>
      </c>
      <c r="R8" t="s">
        <v>65</v>
      </c>
      <c r="W8" t="s">
        <v>119</v>
      </c>
      <c r="X8" t="s">
        <v>67</v>
      </c>
      <c r="Y8" t="s">
        <v>231</v>
      </c>
      <c r="Z8" t="s">
        <v>232</v>
      </c>
      <c r="AA8" t="s">
        <v>70</v>
      </c>
      <c r="AB8" t="s">
        <v>71</v>
      </c>
      <c r="AC8" t="s">
        <v>221</v>
      </c>
      <c r="AD8">
        <v>9</v>
      </c>
      <c r="AE8" s="1">
        <v>45672</v>
      </c>
      <c r="AF8" s="2">
        <v>0.53988425925925931</v>
      </c>
      <c r="AG8" s="1"/>
      <c r="AH8" s="2"/>
      <c r="AI8" s="1">
        <v>45672</v>
      </c>
      <c r="AJ8" s="2">
        <v>0.53988425925925931</v>
      </c>
      <c r="AK8">
        <v>2025</v>
      </c>
      <c r="AL8">
        <v>244</v>
      </c>
      <c r="AM8" t="s">
        <v>228</v>
      </c>
      <c r="AN8" t="s">
        <v>233</v>
      </c>
      <c r="AO8" t="s">
        <v>234</v>
      </c>
      <c r="AP8" t="s">
        <v>235</v>
      </c>
      <c r="AQ8" s="1">
        <v>45672</v>
      </c>
      <c r="AR8" s="33">
        <v>0.5</v>
      </c>
      <c r="AS8" s="33">
        <v>0.53988425925925931</v>
      </c>
      <c r="AT8" t="s">
        <v>452</v>
      </c>
      <c r="AU8" t="s">
        <v>55</v>
      </c>
      <c r="AV8">
        <v>3</v>
      </c>
      <c r="AW8">
        <v>3</v>
      </c>
      <c r="AX8">
        <v>15</v>
      </c>
      <c r="AY8">
        <v>15</v>
      </c>
      <c r="AZ8" s="2">
        <v>45672.539583333331</v>
      </c>
      <c r="BA8" s="32" t="s">
        <v>512</v>
      </c>
    </row>
    <row r="9" spans="1:53" x14ac:dyDescent="0.3">
      <c r="A9" t="s">
        <v>197</v>
      </c>
      <c r="B9" t="s">
        <v>198</v>
      </c>
      <c r="C9" t="s">
        <v>109</v>
      </c>
      <c r="D9" t="s">
        <v>199</v>
      </c>
      <c r="E9" t="s">
        <v>201</v>
      </c>
      <c r="F9" t="s">
        <v>200</v>
      </c>
      <c r="G9" t="s">
        <v>132</v>
      </c>
      <c r="H9" t="s">
        <v>188</v>
      </c>
      <c r="I9" t="s">
        <v>202</v>
      </c>
      <c r="J9" t="s">
        <v>203</v>
      </c>
      <c r="K9">
        <v>5</v>
      </c>
      <c r="L9" t="s">
        <v>204</v>
      </c>
      <c r="W9" t="s">
        <v>88</v>
      </c>
      <c r="X9" t="s">
        <v>67</v>
      </c>
      <c r="Y9" t="s">
        <v>205</v>
      </c>
      <c r="Z9" t="s">
        <v>206</v>
      </c>
      <c r="AC9" t="s">
        <v>137</v>
      </c>
      <c r="AD9">
        <v>9</v>
      </c>
      <c r="AE9" s="1">
        <v>45673</v>
      </c>
      <c r="AF9" s="2">
        <v>0.83333333333333337</v>
      </c>
      <c r="AG9" s="1"/>
      <c r="AH9" s="2"/>
      <c r="AI9" s="1">
        <v>45673</v>
      </c>
      <c r="AJ9" s="2">
        <v>9.0057870370370371E-2</v>
      </c>
      <c r="AK9">
        <v>2025</v>
      </c>
      <c r="AL9">
        <v>152</v>
      </c>
      <c r="AM9" t="s">
        <v>204</v>
      </c>
      <c r="AO9" t="s">
        <v>207</v>
      </c>
      <c r="AP9" t="s">
        <v>208</v>
      </c>
      <c r="AQ9" s="1">
        <v>45673</v>
      </c>
      <c r="AR9" s="33">
        <v>0.83333333333333337</v>
      </c>
      <c r="AS9" s="33">
        <v>0.83333333333333337</v>
      </c>
      <c r="AT9" t="s">
        <v>536</v>
      </c>
      <c r="AU9" t="s">
        <v>55</v>
      </c>
      <c r="AV9">
        <v>3</v>
      </c>
      <c r="AW9">
        <v>3</v>
      </c>
      <c r="AX9">
        <v>16</v>
      </c>
      <c r="AY9">
        <v>16</v>
      </c>
      <c r="AZ9" s="2">
        <v>45673.833333333336</v>
      </c>
      <c r="BA9" s="32" t="s">
        <v>512</v>
      </c>
    </row>
    <row r="10" spans="1:53" x14ac:dyDescent="0.3">
      <c r="A10" t="s">
        <v>129</v>
      </c>
      <c r="B10" t="s">
        <v>130</v>
      </c>
      <c r="C10" t="s">
        <v>76</v>
      </c>
      <c r="D10" t="s">
        <v>131</v>
      </c>
      <c r="E10" t="s">
        <v>132</v>
      </c>
      <c r="F10" t="s">
        <v>132</v>
      </c>
      <c r="G10" t="s">
        <v>59</v>
      </c>
      <c r="H10" t="s">
        <v>59</v>
      </c>
      <c r="I10" t="s">
        <v>133</v>
      </c>
      <c r="J10" t="s">
        <v>134</v>
      </c>
      <c r="K10">
        <v>7</v>
      </c>
      <c r="L10" t="s">
        <v>135</v>
      </c>
      <c r="W10" t="s">
        <v>66</v>
      </c>
      <c r="X10" t="s">
        <v>67</v>
      </c>
      <c r="Y10" t="s">
        <v>136</v>
      </c>
      <c r="Z10" t="s">
        <v>69</v>
      </c>
      <c r="AA10" t="s">
        <v>70</v>
      </c>
      <c r="AB10" t="s">
        <v>71</v>
      </c>
      <c r="AC10" t="s">
        <v>137</v>
      </c>
      <c r="AD10">
        <v>9</v>
      </c>
      <c r="AE10" s="1">
        <v>45673</v>
      </c>
      <c r="AF10" s="2">
        <v>0.5</v>
      </c>
      <c r="AG10" s="1">
        <v>45673</v>
      </c>
      <c r="AH10" s="2">
        <v>0.75</v>
      </c>
      <c r="AI10" s="1">
        <v>45673</v>
      </c>
      <c r="AJ10" s="2">
        <v>0.81587962962962968</v>
      </c>
      <c r="AK10">
        <v>2025</v>
      </c>
      <c r="AL10">
        <v>30</v>
      </c>
      <c r="AM10" t="s">
        <v>135</v>
      </c>
      <c r="AO10" t="s">
        <v>138</v>
      </c>
      <c r="AP10" t="s">
        <v>139</v>
      </c>
      <c r="AQ10" s="1">
        <v>45673</v>
      </c>
      <c r="AR10" s="33">
        <v>0.5</v>
      </c>
      <c r="AS10" s="33">
        <v>0.5</v>
      </c>
      <c r="AT10" t="s">
        <v>536</v>
      </c>
      <c r="AU10" t="s">
        <v>55</v>
      </c>
      <c r="AV10">
        <v>3</v>
      </c>
      <c r="AW10">
        <v>3</v>
      </c>
      <c r="AX10">
        <v>16</v>
      </c>
      <c r="AY10">
        <v>16</v>
      </c>
      <c r="AZ10" s="2">
        <v>45673.5</v>
      </c>
      <c r="BA10" s="32" t="s">
        <v>512</v>
      </c>
    </row>
    <row r="11" spans="1:53" x14ac:dyDescent="0.3">
      <c r="A11" t="s">
        <v>371</v>
      </c>
      <c r="B11" t="s">
        <v>372</v>
      </c>
      <c r="C11" t="s">
        <v>109</v>
      </c>
      <c r="D11" t="s">
        <v>373</v>
      </c>
      <c r="E11" t="s">
        <v>347</v>
      </c>
      <c r="F11" t="s">
        <v>347</v>
      </c>
      <c r="G11" t="s">
        <v>59</v>
      </c>
      <c r="H11" t="s">
        <v>59</v>
      </c>
      <c r="I11" t="s">
        <v>374</v>
      </c>
      <c r="J11" t="s">
        <v>178</v>
      </c>
      <c r="K11">
        <v>9</v>
      </c>
      <c r="L11" t="s">
        <v>375</v>
      </c>
      <c r="P11" t="s">
        <v>376</v>
      </c>
      <c r="Q11" t="s">
        <v>377</v>
      </c>
      <c r="W11" t="s">
        <v>66</v>
      </c>
      <c r="X11" t="s">
        <v>67</v>
      </c>
      <c r="Y11" t="s">
        <v>89</v>
      </c>
      <c r="Z11" t="s">
        <v>90</v>
      </c>
      <c r="AA11" t="s">
        <v>378</v>
      </c>
      <c r="AB11" t="s">
        <v>195</v>
      </c>
      <c r="AC11" t="s">
        <v>353</v>
      </c>
      <c r="AD11">
        <v>9</v>
      </c>
      <c r="AE11" s="1">
        <v>45673</v>
      </c>
      <c r="AF11" s="2">
        <v>0.87708333333333333</v>
      </c>
      <c r="AG11" s="1">
        <v>45673</v>
      </c>
      <c r="AH11" s="2">
        <v>0.88611111111111107</v>
      </c>
      <c r="AI11" s="1">
        <v>45674</v>
      </c>
      <c r="AJ11" s="2">
        <v>0.51179398148148147</v>
      </c>
      <c r="AK11">
        <v>2025</v>
      </c>
      <c r="AL11">
        <v>630</v>
      </c>
      <c r="AM11" t="s">
        <v>375</v>
      </c>
      <c r="AN11" t="s">
        <v>379</v>
      </c>
      <c r="AO11" t="s">
        <v>380</v>
      </c>
      <c r="AP11" t="s">
        <v>381</v>
      </c>
      <c r="AQ11" s="1">
        <v>45673</v>
      </c>
      <c r="AR11" s="33">
        <v>0.875</v>
      </c>
      <c r="AS11" s="33">
        <v>0.87708333333333333</v>
      </c>
      <c r="AT11" t="s">
        <v>536</v>
      </c>
      <c r="AU11" t="s">
        <v>55</v>
      </c>
      <c r="AV11">
        <v>3</v>
      </c>
      <c r="AW11">
        <v>3</v>
      </c>
      <c r="AX11">
        <v>16</v>
      </c>
      <c r="AY11">
        <v>16</v>
      </c>
      <c r="AZ11" s="2">
        <v>45673.877083333333</v>
      </c>
      <c r="BA11" s="32" t="s">
        <v>512</v>
      </c>
    </row>
    <row r="12" spans="1:53" x14ac:dyDescent="0.3">
      <c r="A12" t="s">
        <v>236</v>
      </c>
      <c r="B12" t="s">
        <v>237</v>
      </c>
      <c r="C12" t="s">
        <v>95</v>
      </c>
      <c r="D12" t="s">
        <v>238</v>
      </c>
      <c r="E12" t="s">
        <v>213</v>
      </c>
      <c r="F12" t="s">
        <v>213</v>
      </c>
      <c r="G12" t="s">
        <v>59</v>
      </c>
      <c r="H12" t="s">
        <v>59</v>
      </c>
      <c r="I12" t="s">
        <v>239</v>
      </c>
      <c r="J12" t="s">
        <v>178</v>
      </c>
      <c r="K12">
        <v>9</v>
      </c>
      <c r="L12" t="s">
        <v>240</v>
      </c>
      <c r="O12" t="s">
        <v>241</v>
      </c>
      <c r="P12" t="s">
        <v>63</v>
      </c>
      <c r="Q12" t="s">
        <v>242</v>
      </c>
      <c r="R12" t="s">
        <v>65</v>
      </c>
      <c r="W12" t="s">
        <v>243</v>
      </c>
      <c r="X12" t="s">
        <v>67</v>
      </c>
      <c r="Y12" t="s">
        <v>244</v>
      </c>
      <c r="Z12" t="s">
        <v>206</v>
      </c>
      <c r="AA12" t="s">
        <v>160</v>
      </c>
      <c r="AB12" t="s">
        <v>71</v>
      </c>
      <c r="AC12" t="s">
        <v>221</v>
      </c>
      <c r="AD12">
        <v>9</v>
      </c>
      <c r="AE12" s="1">
        <v>45678</v>
      </c>
      <c r="AF12" s="2">
        <v>0.79166666666666663</v>
      </c>
      <c r="AG12" s="1">
        <v>45679</v>
      </c>
      <c r="AH12" s="2">
        <v>0.13125000000000001</v>
      </c>
      <c r="AI12" s="1">
        <v>45679</v>
      </c>
      <c r="AJ12" s="2">
        <v>0.13255787037037037</v>
      </c>
      <c r="AK12">
        <v>2025</v>
      </c>
      <c r="AL12">
        <v>33</v>
      </c>
      <c r="AM12" t="s">
        <v>240</v>
      </c>
      <c r="AN12" t="s">
        <v>245</v>
      </c>
      <c r="AO12" t="s">
        <v>59</v>
      </c>
      <c r="AP12" t="s">
        <v>59</v>
      </c>
      <c r="AQ12" s="1">
        <v>45678</v>
      </c>
      <c r="AR12" s="33">
        <v>0.79166666666666663</v>
      </c>
      <c r="AS12" s="33">
        <v>0.79166666666666663</v>
      </c>
      <c r="AT12" t="s">
        <v>451</v>
      </c>
      <c r="AU12" t="s">
        <v>55</v>
      </c>
      <c r="AV12">
        <v>4</v>
      </c>
      <c r="AW12">
        <v>4</v>
      </c>
      <c r="AX12">
        <v>21</v>
      </c>
      <c r="AY12">
        <v>21</v>
      </c>
      <c r="AZ12" s="2">
        <v>45678.791666666664</v>
      </c>
      <c r="BA12" s="32" t="s">
        <v>511</v>
      </c>
    </row>
    <row r="13" spans="1:53" x14ac:dyDescent="0.3">
      <c r="A13" t="s">
        <v>246</v>
      </c>
      <c r="B13" t="s">
        <v>247</v>
      </c>
      <c r="C13" t="s">
        <v>150</v>
      </c>
      <c r="D13" t="s">
        <v>248</v>
      </c>
      <c r="E13" t="s">
        <v>213</v>
      </c>
      <c r="F13" t="s">
        <v>213</v>
      </c>
      <c r="G13" t="s">
        <v>59</v>
      </c>
      <c r="H13" t="s">
        <v>59</v>
      </c>
      <c r="I13" t="s">
        <v>249</v>
      </c>
      <c r="J13" t="s">
        <v>250</v>
      </c>
      <c r="K13">
        <v>5</v>
      </c>
      <c r="L13" t="s">
        <v>251</v>
      </c>
      <c r="O13" t="s">
        <v>252</v>
      </c>
      <c r="P13" t="s">
        <v>253</v>
      </c>
      <c r="Q13" t="s">
        <v>254</v>
      </c>
      <c r="R13" t="s">
        <v>65</v>
      </c>
      <c r="W13" t="s">
        <v>119</v>
      </c>
      <c r="X13" t="s">
        <v>67</v>
      </c>
      <c r="Y13" t="s">
        <v>244</v>
      </c>
      <c r="Z13" t="s">
        <v>206</v>
      </c>
      <c r="AA13" t="s">
        <v>122</v>
      </c>
      <c r="AB13" t="s">
        <v>71</v>
      </c>
      <c r="AC13" t="s">
        <v>221</v>
      </c>
      <c r="AD13">
        <v>9</v>
      </c>
      <c r="AE13" s="1">
        <v>45679</v>
      </c>
      <c r="AF13" s="2">
        <v>0.33333333333333331</v>
      </c>
      <c r="AG13" s="1">
        <v>45679</v>
      </c>
      <c r="AH13" s="2">
        <v>0.80069444444444449</v>
      </c>
      <c r="AI13" s="1">
        <v>45679</v>
      </c>
      <c r="AJ13" s="2">
        <v>0.80203703703703699</v>
      </c>
      <c r="AK13">
        <v>2025</v>
      </c>
      <c r="AL13">
        <v>443</v>
      </c>
      <c r="AM13" t="s">
        <v>251</v>
      </c>
      <c r="AN13" t="s">
        <v>255</v>
      </c>
      <c r="AO13" t="s">
        <v>59</v>
      </c>
      <c r="AP13" t="s">
        <v>59</v>
      </c>
      <c r="AQ13" s="1">
        <v>45679</v>
      </c>
      <c r="AR13" s="33">
        <v>0.33333333333333331</v>
      </c>
      <c r="AS13" s="33">
        <v>0.33333333333333331</v>
      </c>
      <c r="AT13" t="s">
        <v>452</v>
      </c>
      <c r="AU13" t="s">
        <v>55</v>
      </c>
      <c r="AV13">
        <v>4</v>
      </c>
      <c r="AW13">
        <v>4</v>
      </c>
      <c r="AX13">
        <v>22</v>
      </c>
      <c r="AY13">
        <v>22</v>
      </c>
      <c r="AZ13" s="2">
        <v>45679.333333333336</v>
      </c>
      <c r="BA13" s="32" t="s">
        <v>511</v>
      </c>
    </row>
    <row r="14" spans="1:53" x14ac:dyDescent="0.3">
      <c r="A14" t="s">
        <v>409</v>
      </c>
      <c r="B14" t="s">
        <v>410</v>
      </c>
      <c r="C14" t="s">
        <v>76</v>
      </c>
      <c r="D14" t="s">
        <v>411</v>
      </c>
      <c r="E14" t="s">
        <v>413</v>
      </c>
      <c r="F14" t="s">
        <v>412</v>
      </c>
      <c r="G14" t="s">
        <v>400</v>
      </c>
      <c r="H14" t="s">
        <v>59</v>
      </c>
      <c r="I14" t="s">
        <v>414</v>
      </c>
      <c r="J14" t="s">
        <v>84</v>
      </c>
      <c r="K14">
        <v>8</v>
      </c>
      <c r="L14" t="s">
        <v>415</v>
      </c>
      <c r="W14" t="s">
        <v>416</v>
      </c>
      <c r="X14" t="s">
        <v>67</v>
      </c>
      <c r="Y14" t="s">
        <v>352</v>
      </c>
      <c r="Z14" t="s">
        <v>417</v>
      </c>
      <c r="AA14" t="s">
        <v>406</v>
      </c>
      <c r="AB14" t="s">
        <v>418</v>
      </c>
      <c r="AD14">
        <v>9</v>
      </c>
      <c r="AE14" s="1">
        <v>45680</v>
      </c>
      <c r="AF14" s="2">
        <v>0.625</v>
      </c>
      <c r="AG14" s="1"/>
      <c r="AH14" s="2"/>
      <c r="AI14" s="1">
        <v>45680</v>
      </c>
      <c r="AJ14" s="2">
        <v>0.66545138888888888</v>
      </c>
      <c r="AK14">
        <v>2025</v>
      </c>
      <c r="AL14">
        <v>176</v>
      </c>
      <c r="AM14" t="s">
        <v>415</v>
      </c>
      <c r="AO14" t="s">
        <v>419</v>
      </c>
      <c r="AP14" t="s">
        <v>59</v>
      </c>
      <c r="AQ14" s="1">
        <v>45680</v>
      </c>
      <c r="AR14" s="33">
        <v>0.625</v>
      </c>
      <c r="AS14" s="33">
        <v>0.625</v>
      </c>
      <c r="AT14" t="s">
        <v>536</v>
      </c>
      <c r="AU14" t="s">
        <v>55</v>
      </c>
      <c r="AV14">
        <v>4</v>
      </c>
      <c r="AW14">
        <v>4</v>
      </c>
      <c r="AX14">
        <v>23</v>
      </c>
      <c r="AY14">
        <v>23</v>
      </c>
      <c r="AZ14" s="2">
        <v>45680.625</v>
      </c>
      <c r="BA14" s="32" t="s">
        <v>511</v>
      </c>
    </row>
    <row r="15" spans="1:53" x14ac:dyDescent="0.3">
      <c r="A15" t="s">
        <v>140</v>
      </c>
      <c r="B15" t="s">
        <v>142</v>
      </c>
      <c r="C15" t="s">
        <v>150</v>
      </c>
      <c r="D15" t="s">
        <v>143</v>
      </c>
      <c r="E15" t="s">
        <v>132</v>
      </c>
      <c r="F15" t="s">
        <v>132</v>
      </c>
      <c r="G15" t="s">
        <v>59</v>
      </c>
      <c r="H15" t="s">
        <v>59</v>
      </c>
      <c r="I15" t="s">
        <v>144</v>
      </c>
      <c r="J15" t="s">
        <v>145</v>
      </c>
      <c r="K15">
        <v>5</v>
      </c>
      <c r="L15" t="s">
        <v>146</v>
      </c>
      <c r="W15" t="s">
        <v>88</v>
      </c>
      <c r="X15" t="s">
        <v>67</v>
      </c>
      <c r="Y15" t="s">
        <v>147</v>
      </c>
      <c r="Z15" t="s">
        <v>90</v>
      </c>
      <c r="AA15" t="s">
        <v>70</v>
      </c>
      <c r="AB15" t="s">
        <v>123</v>
      </c>
      <c r="AC15" t="s">
        <v>137</v>
      </c>
      <c r="AD15">
        <v>9</v>
      </c>
      <c r="AE15" s="1">
        <v>45682</v>
      </c>
      <c r="AF15" s="2">
        <v>0.45833333333333331</v>
      </c>
      <c r="AG15" s="1">
        <v>45682</v>
      </c>
      <c r="AH15" s="2">
        <v>0.58333333333333337</v>
      </c>
      <c r="AI15" s="1">
        <v>45682</v>
      </c>
      <c r="AJ15" s="2">
        <v>0.58054398148148145</v>
      </c>
      <c r="AK15">
        <v>2025</v>
      </c>
      <c r="AL15">
        <v>60</v>
      </c>
      <c r="AM15" t="s">
        <v>146</v>
      </c>
      <c r="AO15" t="s">
        <v>148</v>
      </c>
      <c r="AP15" t="s">
        <v>149</v>
      </c>
      <c r="AQ15" s="1">
        <v>45682</v>
      </c>
      <c r="AR15" s="33">
        <v>0.45833333333333331</v>
      </c>
      <c r="AS15" s="33">
        <v>0.45833333333333331</v>
      </c>
      <c r="AT15" t="s">
        <v>455</v>
      </c>
      <c r="AU15" t="s">
        <v>55</v>
      </c>
      <c r="AV15">
        <v>4</v>
      </c>
      <c r="AW15">
        <v>4</v>
      </c>
      <c r="AX15">
        <v>25</v>
      </c>
      <c r="AY15">
        <v>25</v>
      </c>
      <c r="AZ15" s="2">
        <v>45682.458333333336</v>
      </c>
      <c r="BA15" s="32" t="s">
        <v>511</v>
      </c>
    </row>
    <row r="16" spans="1:53" x14ac:dyDescent="0.3">
      <c r="A16" t="s">
        <v>77</v>
      </c>
      <c r="B16" t="s">
        <v>79</v>
      </c>
      <c r="C16" t="s">
        <v>95</v>
      </c>
      <c r="D16" t="s">
        <v>80</v>
      </c>
      <c r="E16" t="s">
        <v>81</v>
      </c>
      <c r="F16" t="s">
        <v>58</v>
      </c>
      <c r="G16" t="s">
        <v>82</v>
      </c>
      <c r="H16" t="s">
        <v>59</v>
      </c>
      <c r="I16" t="s">
        <v>83</v>
      </c>
      <c r="J16" t="s">
        <v>84</v>
      </c>
      <c r="K16">
        <v>8</v>
      </c>
      <c r="L16" t="s">
        <v>85</v>
      </c>
      <c r="O16" t="s">
        <v>86</v>
      </c>
      <c r="P16" t="s">
        <v>63</v>
      </c>
      <c r="Q16" t="s">
        <v>87</v>
      </c>
      <c r="R16" t="s">
        <v>65</v>
      </c>
      <c r="W16" t="s">
        <v>88</v>
      </c>
      <c r="X16" t="s">
        <v>67</v>
      </c>
      <c r="Y16" t="s">
        <v>89</v>
      </c>
      <c r="Z16" t="s">
        <v>90</v>
      </c>
      <c r="AA16" t="s">
        <v>91</v>
      </c>
      <c r="AB16" t="s">
        <v>92</v>
      </c>
      <c r="AC16" t="s">
        <v>72</v>
      </c>
      <c r="AD16">
        <v>9</v>
      </c>
      <c r="AE16" s="1">
        <v>45682</v>
      </c>
      <c r="AF16" s="2">
        <v>0.76875000000000004</v>
      </c>
      <c r="AG16" s="1"/>
      <c r="AH16" s="2"/>
      <c r="AI16" s="1">
        <v>45683</v>
      </c>
      <c r="AJ16" s="2">
        <v>0.44056712962962963</v>
      </c>
      <c r="AK16">
        <v>2025</v>
      </c>
      <c r="AL16">
        <v>206</v>
      </c>
      <c r="AM16" t="s">
        <v>85</v>
      </c>
      <c r="AN16" t="s">
        <v>93</v>
      </c>
      <c r="AO16" t="s">
        <v>94</v>
      </c>
      <c r="AP16" t="s">
        <v>59</v>
      </c>
      <c r="AQ16" s="1">
        <v>45682</v>
      </c>
      <c r="AR16" s="33">
        <v>0.75</v>
      </c>
      <c r="AS16" s="33">
        <v>0.76875000000000004</v>
      </c>
      <c r="AT16" t="s">
        <v>455</v>
      </c>
      <c r="AU16" t="s">
        <v>55</v>
      </c>
      <c r="AV16">
        <v>4</v>
      </c>
      <c r="AW16">
        <v>4</v>
      </c>
      <c r="AX16">
        <v>25</v>
      </c>
      <c r="AY16">
        <v>25</v>
      </c>
      <c r="AZ16" s="2">
        <v>45682.768750000003</v>
      </c>
      <c r="BA16" s="32" t="s">
        <v>511</v>
      </c>
    </row>
    <row r="17" spans="1:53" x14ac:dyDescent="0.3">
      <c r="A17" t="s">
        <v>96</v>
      </c>
      <c r="B17" t="s">
        <v>98</v>
      </c>
      <c r="C17" t="s">
        <v>109</v>
      </c>
      <c r="D17" t="s">
        <v>99</v>
      </c>
      <c r="E17" t="s">
        <v>81</v>
      </c>
      <c r="F17" t="s">
        <v>58</v>
      </c>
      <c r="G17" t="s">
        <v>82</v>
      </c>
      <c r="H17" t="s">
        <v>59</v>
      </c>
      <c r="I17" t="s">
        <v>100</v>
      </c>
      <c r="J17" t="s">
        <v>101</v>
      </c>
      <c r="K17">
        <v>9</v>
      </c>
      <c r="L17" t="s">
        <v>102</v>
      </c>
      <c r="O17" t="s">
        <v>103</v>
      </c>
      <c r="P17" t="s">
        <v>63</v>
      </c>
      <c r="Q17" t="s">
        <v>104</v>
      </c>
      <c r="R17" t="s">
        <v>65</v>
      </c>
      <c r="W17" t="s">
        <v>66</v>
      </c>
      <c r="X17" t="s">
        <v>67</v>
      </c>
      <c r="Y17" t="s">
        <v>105</v>
      </c>
      <c r="Z17" t="s">
        <v>69</v>
      </c>
      <c r="AA17" t="s">
        <v>106</v>
      </c>
      <c r="AB17" t="s">
        <v>71</v>
      </c>
      <c r="AC17" t="s">
        <v>72</v>
      </c>
      <c r="AD17">
        <v>9</v>
      </c>
      <c r="AE17" s="1">
        <v>45683</v>
      </c>
      <c r="AF17" s="2">
        <v>0.84027777777777779</v>
      </c>
      <c r="AG17" s="1">
        <v>45683</v>
      </c>
      <c r="AH17" s="2">
        <v>0.84652777777777777</v>
      </c>
      <c r="AI17" s="1">
        <v>45683</v>
      </c>
      <c r="AJ17" s="2">
        <v>0.85009259259259262</v>
      </c>
      <c r="AK17">
        <v>2025</v>
      </c>
      <c r="AL17">
        <v>5</v>
      </c>
      <c r="AM17" t="s">
        <v>102</v>
      </c>
      <c r="AN17" t="s">
        <v>107</v>
      </c>
      <c r="AO17" t="s">
        <v>59</v>
      </c>
      <c r="AP17" t="s">
        <v>108</v>
      </c>
      <c r="AQ17" s="1">
        <v>45683</v>
      </c>
      <c r="AR17" s="33">
        <v>0.83333333333333337</v>
      </c>
      <c r="AS17" s="33">
        <v>0.84027777777777779</v>
      </c>
      <c r="AT17" t="s">
        <v>458</v>
      </c>
      <c r="AU17" t="s">
        <v>55</v>
      </c>
      <c r="AV17">
        <v>5</v>
      </c>
      <c r="AW17">
        <v>5</v>
      </c>
      <c r="AX17">
        <v>26</v>
      </c>
      <c r="AY17">
        <v>26</v>
      </c>
      <c r="AZ17" s="2">
        <v>45683.840277777781</v>
      </c>
      <c r="BA17" s="32" t="s">
        <v>511</v>
      </c>
    </row>
    <row r="18" spans="1:53" x14ac:dyDescent="0.3">
      <c r="A18" t="s">
        <v>256</v>
      </c>
      <c r="B18" t="s">
        <v>257</v>
      </c>
      <c r="C18" t="s">
        <v>76</v>
      </c>
      <c r="D18" t="s">
        <v>258</v>
      </c>
      <c r="E18" t="s">
        <v>259</v>
      </c>
      <c r="F18" t="s">
        <v>213</v>
      </c>
      <c r="G18" t="s">
        <v>82</v>
      </c>
      <c r="H18" t="s">
        <v>59</v>
      </c>
      <c r="I18" t="s">
        <v>260</v>
      </c>
      <c r="J18" t="s">
        <v>261</v>
      </c>
      <c r="K18">
        <v>6</v>
      </c>
      <c r="L18" t="s">
        <v>262</v>
      </c>
      <c r="O18" t="s">
        <v>263</v>
      </c>
      <c r="P18" t="s">
        <v>264</v>
      </c>
      <c r="Q18" t="s">
        <v>265</v>
      </c>
      <c r="R18" t="s">
        <v>65</v>
      </c>
      <c r="W18" t="s">
        <v>119</v>
      </c>
      <c r="X18" t="s">
        <v>67</v>
      </c>
      <c r="Y18" t="s">
        <v>244</v>
      </c>
      <c r="Z18" t="s">
        <v>206</v>
      </c>
      <c r="AA18" t="s">
        <v>70</v>
      </c>
      <c r="AB18" t="s">
        <v>266</v>
      </c>
      <c r="AC18" t="s">
        <v>221</v>
      </c>
      <c r="AD18">
        <v>9</v>
      </c>
      <c r="AE18" s="1">
        <v>45685</v>
      </c>
      <c r="AF18" s="2">
        <v>0.625</v>
      </c>
      <c r="AG18" s="1">
        <v>45686</v>
      </c>
      <c r="AH18" s="2">
        <v>0.91736111111111107</v>
      </c>
      <c r="AI18" s="1">
        <v>45686</v>
      </c>
      <c r="AJ18" s="2">
        <v>0.91833333333333333</v>
      </c>
      <c r="AK18">
        <v>2025</v>
      </c>
      <c r="AL18">
        <v>119</v>
      </c>
      <c r="AM18" t="s">
        <v>262</v>
      </c>
      <c r="AN18" t="s">
        <v>267</v>
      </c>
      <c r="AO18" t="s">
        <v>59</v>
      </c>
      <c r="AP18" t="s">
        <v>268</v>
      </c>
      <c r="AQ18" s="1">
        <v>45685</v>
      </c>
      <c r="AR18" s="33">
        <v>0.625</v>
      </c>
      <c r="AS18" s="33">
        <v>0.625</v>
      </c>
      <c r="AT18" t="s">
        <v>451</v>
      </c>
      <c r="AU18" t="s">
        <v>55</v>
      </c>
      <c r="AV18">
        <v>5</v>
      </c>
      <c r="AW18">
        <v>5</v>
      </c>
      <c r="AX18">
        <v>28</v>
      </c>
      <c r="AY18">
        <v>28</v>
      </c>
      <c r="AZ18" s="2">
        <v>45685.625</v>
      </c>
      <c r="BA18" s="32" t="s">
        <v>510</v>
      </c>
    </row>
    <row r="19" spans="1:53" x14ac:dyDescent="0.3">
      <c r="A19" t="s">
        <v>151</v>
      </c>
      <c r="B19" t="s">
        <v>152</v>
      </c>
      <c r="C19" t="s">
        <v>150</v>
      </c>
      <c r="D19" t="s">
        <v>153</v>
      </c>
      <c r="E19" t="s">
        <v>132</v>
      </c>
      <c r="F19" t="s">
        <v>132</v>
      </c>
      <c r="G19" t="s">
        <v>59</v>
      </c>
      <c r="H19" t="s">
        <v>59</v>
      </c>
      <c r="I19" t="s">
        <v>154</v>
      </c>
      <c r="J19" t="s">
        <v>155</v>
      </c>
      <c r="K19">
        <v>8</v>
      </c>
      <c r="L19" t="s">
        <v>156</v>
      </c>
      <c r="W19" t="s">
        <v>157</v>
      </c>
      <c r="X19" t="s">
        <v>67</v>
      </c>
      <c r="Y19" t="s">
        <v>158</v>
      </c>
      <c r="Z19" t="s">
        <v>159</v>
      </c>
      <c r="AA19" t="s">
        <v>160</v>
      </c>
      <c r="AB19" t="s">
        <v>71</v>
      </c>
      <c r="AC19" t="s">
        <v>137</v>
      </c>
      <c r="AD19">
        <v>9</v>
      </c>
      <c r="AE19" s="1">
        <v>45688</v>
      </c>
      <c r="AF19" s="2">
        <v>0.49988425925925928</v>
      </c>
      <c r="AG19" s="1"/>
      <c r="AH19" s="2"/>
      <c r="AI19" s="1">
        <v>45688</v>
      </c>
      <c r="AJ19" s="2">
        <v>0.49988425925925928</v>
      </c>
      <c r="AK19">
        <v>2025</v>
      </c>
      <c r="AL19">
        <v>292</v>
      </c>
      <c r="AM19" t="s">
        <v>156</v>
      </c>
      <c r="AO19" t="s">
        <v>59</v>
      </c>
      <c r="AP19" t="s">
        <v>59</v>
      </c>
      <c r="AQ19" s="1">
        <v>45688</v>
      </c>
      <c r="AR19" s="33">
        <v>0.45833333333333331</v>
      </c>
      <c r="AS19" s="33">
        <v>0.49988425925925928</v>
      </c>
      <c r="AT19" t="s">
        <v>454</v>
      </c>
      <c r="AU19" t="s">
        <v>55</v>
      </c>
      <c r="AV19">
        <v>5</v>
      </c>
      <c r="AW19">
        <v>5</v>
      </c>
      <c r="AX19">
        <v>31</v>
      </c>
      <c r="AY19">
        <v>31</v>
      </c>
      <c r="AZ19" s="2">
        <v>45688.499305555553</v>
      </c>
      <c r="BA19" s="32" t="s">
        <v>510</v>
      </c>
    </row>
    <row r="20" spans="1:53" x14ac:dyDescent="0.3">
      <c r="A20" t="s">
        <v>269</v>
      </c>
      <c r="B20" t="s">
        <v>270</v>
      </c>
      <c r="C20" t="s">
        <v>172</v>
      </c>
      <c r="D20" t="s">
        <v>271</v>
      </c>
      <c r="E20" t="s">
        <v>213</v>
      </c>
      <c r="F20" t="s">
        <v>213</v>
      </c>
      <c r="G20" t="s">
        <v>59</v>
      </c>
      <c r="H20" t="s">
        <v>59</v>
      </c>
      <c r="I20" t="s">
        <v>272</v>
      </c>
      <c r="J20" t="s">
        <v>273</v>
      </c>
      <c r="K20">
        <v>6</v>
      </c>
      <c r="L20" t="s">
        <v>274</v>
      </c>
      <c r="O20" t="s">
        <v>275</v>
      </c>
      <c r="P20" t="s">
        <v>117</v>
      </c>
      <c r="Q20" t="s">
        <v>276</v>
      </c>
      <c r="R20" t="s">
        <v>65</v>
      </c>
      <c r="W20" t="s">
        <v>119</v>
      </c>
      <c r="X20" t="s">
        <v>67</v>
      </c>
      <c r="Y20" t="s">
        <v>244</v>
      </c>
      <c r="Z20" t="s">
        <v>206</v>
      </c>
      <c r="AA20" t="s">
        <v>122</v>
      </c>
      <c r="AB20" t="s">
        <v>71</v>
      </c>
      <c r="AC20" t="s">
        <v>221</v>
      </c>
      <c r="AD20">
        <v>9</v>
      </c>
      <c r="AE20" s="1">
        <v>45689</v>
      </c>
      <c r="AF20" s="2">
        <v>4.1666666666666664E-2</v>
      </c>
      <c r="AG20" s="1"/>
      <c r="AH20" s="2">
        <v>0.10416666666666667</v>
      </c>
      <c r="AI20" s="1">
        <v>45689</v>
      </c>
      <c r="AJ20" s="2">
        <v>0.11982638888888889</v>
      </c>
      <c r="AK20">
        <v>2025</v>
      </c>
      <c r="AL20">
        <v>453</v>
      </c>
      <c r="AM20" t="s">
        <v>274</v>
      </c>
      <c r="AN20" t="s">
        <v>277</v>
      </c>
      <c r="AO20" t="s">
        <v>59</v>
      </c>
      <c r="AP20" t="s">
        <v>278</v>
      </c>
      <c r="AQ20" s="1">
        <v>45689</v>
      </c>
      <c r="AR20" s="33">
        <v>4.1666666666666664E-2</v>
      </c>
      <c r="AS20" s="33">
        <v>4.1666666666666664E-2</v>
      </c>
      <c r="AT20" t="s">
        <v>455</v>
      </c>
      <c r="AU20" t="s">
        <v>111</v>
      </c>
      <c r="AV20">
        <v>5</v>
      </c>
      <c r="AW20">
        <v>1</v>
      </c>
      <c r="AX20">
        <v>1</v>
      </c>
      <c r="AY20">
        <v>32</v>
      </c>
      <c r="AZ20" s="2">
        <v>45689.041666666664</v>
      </c>
      <c r="BA20" s="32" t="s">
        <v>510</v>
      </c>
    </row>
    <row r="21" spans="1:53" x14ac:dyDescent="0.3">
      <c r="A21" t="s">
        <v>382</v>
      </c>
      <c r="B21" t="s">
        <v>294</v>
      </c>
      <c r="C21" t="s">
        <v>95</v>
      </c>
      <c r="D21" t="s">
        <v>383</v>
      </c>
      <c r="E21" t="s">
        <v>384</v>
      </c>
      <c r="F21" t="s">
        <v>176</v>
      </c>
      <c r="G21" t="s">
        <v>347</v>
      </c>
      <c r="H21" t="s">
        <v>59</v>
      </c>
      <c r="I21" t="s">
        <v>385</v>
      </c>
      <c r="J21" t="s">
        <v>145</v>
      </c>
      <c r="K21">
        <v>5</v>
      </c>
      <c r="L21" t="s">
        <v>386</v>
      </c>
      <c r="W21" t="s">
        <v>66</v>
      </c>
      <c r="X21" t="s">
        <v>67</v>
      </c>
      <c r="Y21" t="s">
        <v>105</v>
      </c>
      <c r="Z21" t="s">
        <v>69</v>
      </c>
      <c r="AA21" t="s">
        <v>180</v>
      </c>
      <c r="AB21" t="s">
        <v>92</v>
      </c>
      <c r="AD21">
        <v>9</v>
      </c>
      <c r="AE21" s="1">
        <v>45690</v>
      </c>
      <c r="AF21" s="2">
        <v>0.72569444444444442</v>
      </c>
      <c r="AG21" s="1">
        <v>45690</v>
      </c>
      <c r="AH21" s="2">
        <v>0.75</v>
      </c>
      <c r="AI21" s="1">
        <v>45691</v>
      </c>
      <c r="AJ21" s="2">
        <v>0.50143518518518515</v>
      </c>
      <c r="AK21">
        <v>2025</v>
      </c>
      <c r="AL21">
        <v>144</v>
      </c>
      <c r="AM21" t="s">
        <v>386</v>
      </c>
      <c r="AO21" t="s">
        <v>387</v>
      </c>
      <c r="AP21" t="s">
        <v>59</v>
      </c>
      <c r="AQ21" s="1">
        <v>45690</v>
      </c>
      <c r="AR21" s="33">
        <v>0.70833333333333337</v>
      </c>
      <c r="AS21" s="33">
        <v>0.72569444444444442</v>
      </c>
      <c r="AT21" t="s">
        <v>458</v>
      </c>
      <c r="AU21" t="s">
        <v>111</v>
      </c>
      <c r="AV21">
        <v>6</v>
      </c>
      <c r="AW21">
        <v>2</v>
      </c>
      <c r="AX21">
        <v>2</v>
      </c>
      <c r="AY21">
        <v>33</v>
      </c>
      <c r="AZ21" s="2">
        <v>45690.725694444445</v>
      </c>
      <c r="BA21" s="32" t="s">
        <v>510</v>
      </c>
    </row>
    <row r="22" spans="1:53" x14ac:dyDescent="0.3">
      <c r="A22" t="s">
        <v>388</v>
      </c>
      <c r="B22" t="s">
        <v>357</v>
      </c>
      <c r="C22" t="s">
        <v>95</v>
      </c>
      <c r="D22" t="s">
        <v>389</v>
      </c>
      <c r="E22" t="s">
        <v>347</v>
      </c>
      <c r="F22" t="s">
        <v>347</v>
      </c>
      <c r="G22" t="s">
        <v>59</v>
      </c>
      <c r="H22" t="s">
        <v>59</v>
      </c>
      <c r="I22" t="s">
        <v>390</v>
      </c>
      <c r="J22" t="s">
        <v>363</v>
      </c>
      <c r="K22">
        <v>9</v>
      </c>
      <c r="L22" t="s">
        <v>391</v>
      </c>
      <c r="W22" t="s">
        <v>88</v>
      </c>
      <c r="X22" t="s">
        <v>67</v>
      </c>
      <c r="Y22" t="s">
        <v>136</v>
      </c>
      <c r="Z22" t="s">
        <v>69</v>
      </c>
      <c r="AA22" t="s">
        <v>106</v>
      </c>
      <c r="AB22" t="s">
        <v>71</v>
      </c>
      <c r="AC22" t="s">
        <v>353</v>
      </c>
      <c r="AD22">
        <v>9</v>
      </c>
      <c r="AE22" s="1"/>
      <c r="AF22" s="2"/>
      <c r="AG22" s="1"/>
      <c r="AH22" s="2"/>
      <c r="AI22" s="1">
        <v>45691</v>
      </c>
      <c r="AJ22" s="2">
        <v>0.694849537037037</v>
      </c>
      <c r="AK22">
        <v>2025</v>
      </c>
      <c r="AL22">
        <v>400</v>
      </c>
      <c r="AM22" t="s">
        <v>391</v>
      </c>
      <c r="AO22" t="s">
        <v>392</v>
      </c>
      <c r="AP22" t="s">
        <v>393</v>
      </c>
      <c r="AQ22" s="1">
        <v>45691</v>
      </c>
      <c r="AR22" s="33">
        <v>0.66666666666666663</v>
      </c>
      <c r="AS22" s="33">
        <v>0.694849537037037</v>
      </c>
      <c r="AT22" t="s">
        <v>450</v>
      </c>
      <c r="AU22" t="s">
        <v>111</v>
      </c>
      <c r="AV22">
        <v>6</v>
      </c>
      <c r="AW22">
        <v>2</v>
      </c>
      <c r="AX22">
        <v>3</v>
      </c>
      <c r="AY22">
        <v>34</v>
      </c>
      <c r="AZ22" s="2">
        <v>45691.694444444445</v>
      </c>
      <c r="BA22" s="32" t="s">
        <v>510</v>
      </c>
    </row>
    <row r="23" spans="1:53" x14ac:dyDescent="0.3">
      <c r="A23" t="s">
        <v>279</v>
      </c>
      <c r="B23" t="s">
        <v>280</v>
      </c>
      <c r="C23" t="s">
        <v>95</v>
      </c>
      <c r="D23" t="s">
        <v>281</v>
      </c>
      <c r="E23" t="s">
        <v>213</v>
      </c>
      <c r="F23" t="s">
        <v>213</v>
      </c>
      <c r="G23" t="s">
        <v>59</v>
      </c>
      <c r="H23" t="s">
        <v>59</v>
      </c>
      <c r="I23" t="s">
        <v>282</v>
      </c>
      <c r="J23" t="s">
        <v>283</v>
      </c>
      <c r="K23">
        <v>8</v>
      </c>
      <c r="L23" t="s">
        <v>284</v>
      </c>
      <c r="O23" t="s">
        <v>285</v>
      </c>
      <c r="P23" t="s">
        <v>286</v>
      </c>
      <c r="Q23" t="s">
        <v>287</v>
      </c>
      <c r="R23" t="s">
        <v>288</v>
      </c>
      <c r="W23" t="s">
        <v>66</v>
      </c>
      <c r="X23" t="s">
        <v>67</v>
      </c>
      <c r="Y23" t="s">
        <v>105</v>
      </c>
      <c r="Z23" t="s">
        <v>69</v>
      </c>
      <c r="AA23" t="s">
        <v>70</v>
      </c>
      <c r="AB23" t="s">
        <v>195</v>
      </c>
      <c r="AC23" t="s">
        <v>221</v>
      </c>
      <c r="AD23">
        <v>9</v>
      </c>
      <c r="AE23" s="1">
        <v>45691</v>
      </c>
      <c r="AF23" s="2">
        <v>0.77083333333333337</v>
      </c>
      <c r="AG23" s="1">
        <v>45692</v>
      </c>
      <c r="AH23" s="2">
        <v>0.79166666666666663</v>
      </c>
      <c r="AI23" s="1">
        <v>45692</v>
      </c>
      <c r="AJ23" s="2">
        <v>0.53023148148148147</v>
      </c>
      <c r="AK23">
        <v>2025</v>
      </c>
      <c r="AL23">
        <v>55</v>
      </c>
      <c r="AM23" t="s">
        <v>284</v>
      </c>
      <c r="AN23" t="s">
        <v>289</v>
      </c>
      <c r="AO23" t="s">
        <v>290</v>
      </c>
      <c r="AP23" t="s">
        <v>291</v>
      </c>
      <c r="AQ23" s="1">
        <v>45691</v>
      </c>
      <c r="AR23" s="33">
        <v>0.75</v>
      </c>
      <c r="AS23" s="33">
        <v>0.77083333333333337</v>
      </c>
      <c r="AT23" t="s">
        <v>450</v>
      </c>
      <c r="AU23" t="s">
        <v>111</v>
      </c>
      <c r="AV23">
        <v>6</v>
      </c>
      <c r="AW23">
        <v>2</v>
      </c>
      <c r="AX23">
        <v>3</v>
      </c>
      <c r="AY23">
        <v>34</v>
      </c>
      <c r="AZ23" s="2">
        <v>45691.770833333336</v>
      </c>
      <c r="BA23" s="32" t="s">
        <v>510</v>
      </c>
    </row>
    <row r="24" spans="1:53" x14ac:dyDescent="0.3">
      <c r="A24" t="s">
        <v>161</v>
      </c>
      <c r="B24" t="s">
        <v>163</v>
      </c>
      <c r="C24" t="s">
        <v>172</v>
      </c>
      <c r="D24" t="s">
        <v>164</v>
      </c>
      <c r="E24" t="s">
        <v>166</v>
      </c>
      <c r="F24" t="s">
        <v>165</v>
      </c>
      <c r="G24" t="s">
        <v>167</v>
      </c>
      <c r="H24" t="s">
        <v>59</v>
      </c>
      <c r="I24" t="s">
        <v>168</v>
      </c>
      <c r="J24" t="s">
        <v>155</v>
      </c>
      <c r="K24">
        <v>8</v>
      </c>
      <c r="L24" t="s">
        <v>169</v>
      </c>
      <c r="W24" t="s">
        <v>119</v>
      </c>
      <c r="X24" t="s">
        <v>67</v>
      </c>
      <c r="Y24" t="s">
        <v>170</v>
      </c>
      <c r="Z24" t="s">
        <v>90</v>
      </c>
      <c r="AA24" t="s">
        <v>171</v>
      </c>
      <c r="AB24" t="s">
        <v>123</v>
      </c>
      <c r="AC24" t="s">
        <v>137</v>
      </c>
      <c r="AD24">
        <v>9</v>
      </c>
      <c r="AE24" s="1">
        <v>45693</v>
      </c>
      <c r="AF24" s="2">
        <v>0.12291666666666666</v>
      </c>
      <c r="AG24" s="1"/>
      <c r="AH24" s="2"/>
      <c r="AI24" s="1">
        <v>45693</v>
      </c>
      <c r="AJ24" s="2">
        <v>0.1233912037037037</v>
      </c>
      <c r="AK24">
        <v>2025</v>
      </c>
      <c r="AL24">
        <v>441</v>
      </c>
      <c r="AM24" t="s">
        <v>169</v>
      </c>
      <c r="AO24" t="s">
        <v>59</v>
      </c>
      <c r="AP24" t="s">
        <v>59</v>
      </c>
      <c r="AQ24" s="1">
        <v>45693</v>
      </c>
      <c r="AR24" s="33">
        <v>8.3333333333333329E-2</v>
      </c>
      <c r="AS24" s="33">
        <v>0.12291666666666666</v>
      </c>
      <c r="AT24" t="s">
        <v>452</v>
      </c>
      <c r="AU24" t="s">
        <v>111</v>
      </c>
      <c r="AV24">
        <v>6</v>
      </c>
      <c r="AW24">
        <v>2</v>
      </c>
      <c r="AX24">
        <v>5</v>
      </c>
      <c r="AY24">
        <v>36</v>
      </c>
      <c r="AZ24" s="2">
        <v>45693.122916666667</v>
      </c>
      <c r="BA24" s="32" t="s">
        <v>509</v>
      </c>
    </row>
    <row r="25" spans="1:53" x14ac:dyDescent="0.3">
      <c r="A25" t="s">
        <v>292</v>
      </c>
      <c r="B25" t="s">
        <v>294</v>
      </c>
      <c r="C25" t="s">
        <v>304</v>
      </c>
      <c r="D25" t="s">
        <v>295</v>
      </c>
      <c r="E25" t="s">
        <v>213</v>
      </c>
      <c r="F25" t="s">
        <v>213</v>
      </c>
      <c r="G25" t="s">
        <v>59</v>
      </c>
      <c r="H25" t="s">
        <v>59</v>
      </c>
      <c r="I25" t="s">
        <v>296</v>
      </c>
      <c r="J25" t="s">
        <v>203</v>
      </c>
      <c r="K25">
        <v>5</v>
      </c>
      <c r="L25" t="s">
        <v>297</v>
      </c>
      <c r="O25" t="s">
        <v>298</v>
      </c>
      <c r="P25" t="s">
        <v>299</v>
      </c>
      <c r="Q25" t="s">
        <v>300</v>
      </c>
      <c r="R25" t="s">
        <v>65</v>
      </c>
      <c r="W25" t="s">
        <v>119</v>
      </c>
      <c r="X25" t="s">
        <v>67</v>
      </c>
      <c r="Y25" t="s">
        <v>301</v>
      </c>
      <c r="Z25" t="s">
        <v>121</v>
      </c>
      <c r="AA25" t="s">
        <v>180</v>
      </c>
      <c r="AB25" t="s">
        <v>92</v>
      </c>
      <c r="AC25" t="s">
        <v>221</v>
      </c>
      <c r="AD25">
        <v>9</v>
      </c>
      <c r="AE25" s="1">
        <v>45695</v>
      </c>
      <c r="AF25" s="2">
        <v>0.27430555555555558</v>
      </c>
      <c r="AG25" s="1">
        <v>45695</v>
      </c>
      <c r="AH25" s="2">
        <v>0.28472222222222221</v>
      </c>
      <c r="AI25" s="1">
        <v>45695</v>
      </c>
      <c r="AJ25" s="2">
        <v>0.30738425925925927</v>
      </c>
      <c r="AK25">
        <v>2025</v>
      </c>
      <c r="AL25">
        <v>170</v>
      </c>
      <c r="AM25" t="s">
        <v>297</v>
      </c>
      <c r="AN25" t="s">
        <v>302</v>
      </c>
      <c r="AO25" t="s">
        <v>59</v>
      </c>
      <c r="AP25" t="s">
        <v>303</v>
      </c>
      <c r="AQ25" s="1">
        <v>45695</v>
      </c>
      <c r="AR25" s="33">
        <v>0.25</v>
      </c>
      <c r="AS25" s="33">
        <v>0.27430555555555558</v>
      </c>
      <c r="AT25" t="s">
        <v>454</v>
      </c>
      <c r="AU25" t="s">
        <v>111</v>
      </c>
      <c r="AV25">
        <v>6</v>
      </c>
      <c r="AW25">
        <v>2</v>
      </c>
      <c r="AX25">
        <v>7</v>
      </c>
      <c r="AY25">
        <v>38</v>
      </c>
      <c r="AZ25" s="2">
        <v>45695.274305555555</v>
      </c>
      <c r="BA25" s="32" t="s">
        <v>509</v>
      </c>
    </row>
    <row r="26" spans="1:53" x14ac:dyDescent="0.3">
      <c r="A26" t="s">
        <v>305</v>
      </c>
      <c r="B26" t="s">
        <v>306</v>
      </c>
      <c r="C26" t="s">
        <v>76</v>
      </c>
      <c r="D26" t="s">
        <v>307</v>
      </c>
      <c r="E26" t="s">
        <v>213</v>
      </c>
      <c r="F26" t="s">
        <v>213</v>
      </c>
      <c r="G26" t="s">
        <v>59</v>
      </c>
      <c r="H26" t="s">
        <v>59</v>
      </c>
      <c r="I26" t="s">
        <v>308</v>
      </c>
      <c r="J26" t="s">
        <v>250</v>
      </c>
      <c r="K26">
        <v>5</v>
      </c>
      <c r="L26" t="s">
        <v>309</v>
      </c>
      <c r="O26" t="s">
        <v>310</v>
      </c>
      <c r="Q26" t="s">
        <v>230</v>
      </c>
      <c r="R26" t="s">
        <v>65</v>
      </c>
      <c r="W26" t="s">
        <v>119</v>
      </c>
      <c r="X26" t="s">
        <v>67</v>
      </c>
      <c r="Y26" t="s">
        <v>205</v>
      </c>
      <c r="Z26" t="s">
        <v>206</v>
      </c>
      <c r="AA26" t="s">
        <v>106</v>
      </c>
      <c r="AB26" t="s">
        <v>71</v>
      </c>
      <c r="AC26" t="s">
        <v>221</v>
      </c>
      <c r="AD26">
        <v>9</v>
      </c>
      <c r="AE26" s="1">
        <v>45688</v>
      </c>
      <c r="AF26" s="2">
        <v>0.5</v>
      </c>
      <c r="AG26" s="1">
        <v>45695</v>
      </c>
      <c r="AH26" s="2">
        <v>0.54166666666666663</v>
      </c>
      <c r="AI26" s="1">
        <v>45696</v>
      </c>
      <c r="AJ26" s="2">
        <v>0.3903240740740741</v>
      </c>
      <c r="AK26">
        <v>2025</v>
      </c>
      <c r="AL26">
        <v>535</v>
      </c>
      <c r="AM26" t="s">
        <v>309</v>
      </c>
      <c r="AN26" t="s">
        <v>311</v>
      </c>
      <c r="AO26" t="s">
        <v>59</v>
      </c>
      <c r="AP26" t="s">
        <v>312</v>
      </c>
      <c r="AQ26" s="1">
        <v>45688</v>
      </c>
      <c r="AR26" s="33">
        <v>0.5</v>
      </c>
      <c r="AS26" s="33">
        <v>0.5</v>
      </c>
      <c r="AT26" t="s">
        <v>454</v>
      </c>
      <c r="AU26" t="s">
        <v>55</v>
      </c>
      <c r="AV26">
        <v>5</v>
      </c>
      <c r="AW26">
        <v>5</v>
      </c>
      <c r="AX26">
        <v>31</v>
      </c>
      <c r="AY26">
        <v>31</v>
      </c>
      <c r="AZ26" s="2">
        <v>45688.5</v>
      </c>
      <c r="BA26" s="32" t="s">
        <v>510</v>
      </c>
    </row>
    <row r="27" spans="1:53" x14ac:dyDescent="0.3">
      <c r="A27" t="s">
        <v>437</v>
      </c>
      <c r="B27" t="s">
        <v>438</v>
      </c>
      <c r="C27" t="s">
        <v>172</v>
      </c>
      <c r="D27" t="s">
        <v>439</v>
      </c>
      <c r="E27" t="s">
        <v>441</v>
      </c>
      <c r="F27" t="s">
        <v>440</v>
      </c>
      <c r="G27" t="s">
        <v>442</v>
      </c>
      <c r="H27" t="s">
        <v>347</v>
      </c>
      <c r="I27" t="s">
        <v>443</v>
      </c>
      <c r="J27" t="s">
        <v>191</v>
      </c>
      <c r="K27">
        <v>9</v>
      </c>
      <c r="L27" t="s">
        <v>444</v>
      </c>
      <c r="W27" t="s">
        <v>445</v>
      </c>
      <c r="X27" t="s">
        <v>67</v>
      </c>
      <c r="Y27" t="s">
        <v>120</v>
      </c>
      <c r="Z27" t="s">
        <v>121</v>
      </c>
      <c r="AA27" t="s">
        <v>378</v>
      </c>
      <c r="AB27" t="s">
        <v>446</v>
      </c>
      <c r="AD27">
        <v>9</v>
      </c>
      <c r="AE27" s="1">
        <v>45701</v>
      </c>
      <c r="AF27" s="2">
        <v>8.3333333333333329E-2</v>
      </c>
      <c r="AG27" s="1"/>
      <c r="AH27" s="2"/>
      <c r="AI27" s="1">
        <v>45701</v>
      </c>
      <c r="AJ27" s="2">
        <v>0.51225694444444447</v>
      </c>
      <c r="AK27">
        <v>2025</v>
      </c>
      <c r="AL27">
        <v>128</v>
      </c>
      <c r="AM27" t="s">
        <v>444</v>
      </c>
      <c r="AO27" t="s">
        <v>447</v>
      </c>
      <c r="AP27" t="s">
        <v>448</v>
      </c>
      <c r="AQ27" s="1">
        <v>45701</v>
      </c>
      <c r="AR27" s="33">
        <v>8.3333333333333329E-2</v>
      </c>
      <c r="AS27" s="33">
        <v>8.3333333333333329E-2</v>
      </c>
      <c r="AT27" t="s">
        <v>536</v>
      </c>
      <c r="AU27" t="s">
        <v>111</v>
      </c>
      <c r="AV27">
        <v>7</v>
      </c>
      <c r="AW27">
        <v>3</v>
      </c>
      <c r="AX27">
        <v>13</v>
      </c>
      <c r="AY27">
        <v>44</v>
      </c>
      <c r="AZ27" s="2">
        <v>45701.083333333336</v>
      </c>
      <c r="BA27" s="32" t="s">
        <v>508</v>
      </c>
    </row>
    <row r="28" spans="1:53" x14ac:dyDescent="0.3">
      <c r="A28" t="s">
        <v>110</v>
      </c>
      <c r="B28" t="s">
        <v>112</v>
      </c>
      <c r="C28" t="s">
        <v>95</v>
      </c>
      <c r="D28" t="s">
        <v>112</v>
      </c>
      <c r="E28" t="s">
        <v>58</v>
      </c>
      <c r="F28" t="s">
        <v>58</v>
      </c>
      <c r="G28" t="s">
        <v>59</v>
      </c>
      <c r="H28" t="s">
        <v>59</v>
      </c>
      <c r="I28" t="s">
        <v>113</v>
      </c>
      <c r="J28" t="s">
        <v>114</v>
      </c>
      <c r="K28">
        <v>6</v>
      </c>
      <c r="L28" t="s">
        <v>115</v>
      </c>
      <c r="O28" t="s">
        <v>116</v>
      </c>
      <c r="P28" t="s">
        <v>117</v>
      </c>
      <c r="Q28" t="s">
        <v>118</v>
      </c>
      <c r="R28" t="s">
        <v>65</v>
      </c>
      <c r="W28" t="s">
        <v>119</v>
      </c>
      <c r="X28" t="s">
        <v>67</v>
      </c>
      <c r="Y28" t="s">
        <v>120</v>
      </c>
      <c r="Z28" t="s">
        <v>121</v>
      </c>
      <c r="AA28" t="s">
        <v>122</v>
      </c>
      <c r="AB28" t="s">
        <v>123</v>
      </c>
      <c r="AC28" t="s">
        <v>72</v>
      </c>
      <c r="AD28">
        <v>9</v>
      </c>
      <c r="AE28" s="1">
        <v>45701</v>
      </c>
      <c r="AF28" s="2">
        <v>0.66666666666666663</v>
      </c>
      <c r="AG28" s="1"/>
      <c r="AH28" s="2"/>
      <c r="AI28" s="1">
        <v>45702</v>
      </c>
      <c r="AJ28" s="2">
        <v>0.29906250000000001</v>
      </c>
      <c r="AK28">
        <v>2025</v>
      </c>
      <c r="AM28" t="s">
        <v>115</v>
      </c>
      <c r="AN28" t="s">
        <v>124</v>
      </c>
      <c r="AO28" t="s">
        <v>125</v>
      </c>
      <c r="AP28" t="s">
        <v>126</v>
      </c>
      <c r="AQ28" s="1">
        <v>45701</v>
      </c>
      <c r="AR28" s="33">
        <v>0.66666666666666663</v>
      </c>
      <c r="AS28" s="33">
        <v>0.66666666666666663</v>
      </c>
      <c r="AT28" t="s">
        <v>536</v>
      </c>
      <c r="AU28" t="s">
        <v>111</v>
      </c>
      <c r="AV28">
        <v>7</v>
      </c>
      <c r="AW28">
        <v>3</v>
      </c>
      <c r="AX28">
        <v>13</v>
      </c>
      <c r="AY28">
        <v>44</v>
      </c>
      <c r="AZ28" s="2">
        <v>45701.666666666664</v>
      </c>
      <c r="BA28" s="32" t="s">
        <v>508</v>
      </c>
    </row>
    <row r="29" spans="1:53" x14ac:dyDescent="0.3">
      <c r="A29" t="s">
        <v>313</v>
      </c>
      <c r="B29" t="s">
        <v>314</v>
      </c>
      <c r="C29" t="s">
        <v>150</v>
      </c>
      <c r="D29" t="s">
        <v>315</v>
      </c>
      <c r="E29" t="s">
        <v>316</v>
      </c>
      <c r="F29" t="s">
        <v>213</v>
      </c>
      <c r="G29" t="s">
        <v>317</v>
      </c>
      <c r="H29" t="s">
        <v>59</v>
      </c>
      <c r="I29" t="s">
        <v>318</v>
      </c>
      <c r="J29" t="s">
        <v>134</v>
      </c>
      <c r="K29">
        <v>7</v>
      </c>
      <c r="L29" t="s">
        <v>319</v>
      </c>
      <c r="O29" t="s">
        <v>320</v>
      </c>
      <c r="P29" t="s">
        <v>63</v>
      </c>
      <c r="Q29" t="s">
        <v>218</v>
      </c>
      <c r="R29" t="s">
        <v>65</v>
      </c>
      <c r="W29" t="s">
        <v>66</v>
      </c>
      <c r="X29" t="s">
        <v>67</v>
      </c>
      <c r="Y29" t="s">
        <v>68</v>
      </c>
      <c r="Z29" t="s">
        <v>69</v>
      </c>
      <c r="AA29" t="s">
        <v>122</v>
      </c>
      <c r="AB29" t="s">
        <v>123</v>
      </c>
      <c r="AC29" t="s">
        <v>221</v>
      </c>
      <c r="AD29">
        <v>9</v>
      </c>
      <c r="AE29" s="1">
        <v>45705</v>
      </c>
      <c r="AF29" s="2">
        <v>0.34877314814814814</v>
      </c>
      <c r="AG29" s="1"/>
      <c r="AH29" s="2"/>
      <c r="AI29" s="1">
        <v>45705</v>
      </c>
      <c r="AJ29" s="2">
        <v>0.34877314814814814</v>
      </c>
      <c r="AK29">
        <v>2025</v>
      </c>
      <c r="AL29">
        <v>100</v>
      </c>
      <c r="AM29" t="s">
        <v>319</v>
      </c>
      <c r="AN29" t="s">
        <v>321</v>
      </c>
      <c r="AO29" t="s">
        <v>322</v>
      </c>
      <c r="AP29" t="s">
        <v>323</v>
      </c>
      <c r="AQ29" s="1">
        <v>45705</v>
      </c>
      <c r="AR29" s="33">
        <v>0.33333333333333331</v>
      </c>
      <c r="AS29" s="33">
        <v>0.34877314814814814</v>
      </c>
      <c r="AT29" t="s">
        <v>450</v>
      </c>
      <c r="AU29" t="s">
        <v>111</v>
      </c>
      <c r="AV29">
        <v>8</v>
      </c>
      <c r="AW29">
        <v>4</v>
      </c>
      <c r="AX29">
        <v>17</v>
      </c>
      <c r="AY29">
        <v>48</v>
      </c>
      <c r="AZ29" s="2">
        <v>45705.348611111112</v>
      </c>
      <c r="BA29" s="32" t="s">
        <v>508</v>
      </c>
    </row>
    <row r="30" spans="1:53" x14ac:dyDescent="0.3">
      <c r="A30" t="s">
        <v>324</v>
      </c>
      <c r="B30" t="s">
        <v>56</v>
      </c>
      <c r="C30" t="s">
        <v>150</v>
      </c>
      <c r="D30" t="s">
        <v>325</v>
      </c>
      <c r="E30" t="s">
        <v>213</v>
      </c>
      <c r="F30" t="s">
        <v>213</v>
      </c>
      <c r="G30" t="s">
        <v>59</v>
      </c>
      <c r="H30" t="s">
        <v>59</v>
      </c>
      <c r="I30" t="s">
        <v>326</v>
      </c>
      <c r="J30" t="s">
        <v>327</v>
      </c>
      <c r="K30">
        <v>7</v>
      </c>
      <c r="L30" t="s">
        <v>328</v>
      </c>
      <c r="O30" t="s">
        <v>329</v>
      </c>
      <c r="P30" t="s">
        <v>63</v>
      </c>
      <c r="Q30" t="s">
        <v>218</v>
      </c>
      <c r="R30" t="s">
        <v>65</v>
      </c>
      <c r="W30" t="s">
        <v>66</v>
      </c>
      <c r="X30" t="s">
        <v>67</v>
      </c>
      <c r="Y30" t="s">
        <v>330</v>
      </c>
      <c r="Z30" t="s">
        <v>69</v>
      </c>
      <c r="AA30" t="s">
        <v>122</v>
      </c>
      <c r="AB30" t="s">
        <v>71</v>
      </c>
      <c r="AC30" t="s">
        <v>221</v>
      </c>
      <c r="AD30">
        <v>9</v>
      </c>
      <c r="AE30" s="1">
        <v>45705</v>
      </c>
      <c r="AF30" s="2">
        <v>0.39716435185185184</v>
      </c>
      <c r="AG30" s="1"/>
      <c r="AH30" s="2"/>
      <c r="AI30" s="1">
        <v>45705</v>
      </c>
      <c r="AJ30" s="2">
        <v>0.39716435185185184</v>
      </c>
      <c r="AK30">
        <v>2025</v>
      </c>
      <c r="AL30">
        <v>30</v>
      </c>
      <c r="AM30" t="s">
        <v>328</v>
      </c>
      <c r="AN30" t="s">
        <v>331</v>
      </c>
      <c r="AO30" t="s">
        <v>59</v>
      </c>
      <c r="AP30" t="s">
        <v>59</v>
      </c>
      <c r="AQ30" s="1">
        <v>45705</v>
      </c>
      <c r="AR30" s="33">
        <v>0.375</v>
      </c>
      <c r="AS30" s="33">
        <v>0.39716435185185184</v>
      </c>
      <c r="AT30" t="s">
        <v>450</v>
      </c>
      <c r="AU30" t="s">
        <v>111</v>
      </c>
      <c r="AV30">
        <v>8</v>
      </c>
      <c r="AW30">
        <v>4</v>
      </c>
      <c r="AX30">
        <v>17</v>
      </c>
      <c r="AY30">
        <v>48</v>
      </c>
      <c r="AZ30" s="2">
        <v>45705.396527777775</v>
      </c>
      <c r="BA30" s="32" t="s">
        <v>508</v>
      </c>
    </row>
    <row r="31" spans="1:53" x14ac:dyDescent="0.3">
      <c r="A31" t="s">
        <v>173</v>
      </c>
      <c r="B31" t="s">
        <v>98</v>
      </c>
      <c r="C31" t="s">
        <v>76</v>
      </c>
      <c r="D31" t="s">
        <v>174</v>
      </c>
      <c r="E31" t="s">
        <v>175</v>
      </c>
      <c r="F31" t="s">
        <v>165</v>
      </c>
      <c r="G31" t="s">
        <v>176</v>
      </c>
      <c r="H31" t="s">
        <v>59</v>
      </c>
      <c r="I31" t="s">
        <v>177</v>
      </c>
      <c r="J31" t="s">
        <v>178</v>
      </c>
      <c r="K31">
        <v>9</v>
      </c>
      <c r="L31" t="s">
        <v>179</v>
      </c>
      <c r="W31" t="s">
        <v>66</v>
      </c>
      <c r="X31" t="s">
        <v>67</v>
      </c>
      <c r="Y31" t="s">
        <v>68</v>
      </c>
      <c r="Z31" t="s">
        <v>69</v>
      </c>
      <c r="AA31" t="s">
        <v>180</v>
      </c>
      <c r="AB31" t="s">
        <v>181</v>
      </c>
      <c r="AC31" t="s">
        <v>137</v>
      </c>
      <c r="AD31">
        <v>9</v>
      </c>
      <c r="AE31" s="1">
        <v>45705</v>
      </c>
      <c r="AF31" s="2">
        <v>0.52497685185185183</v>
      </c>
      <c r="AG31" s="1"/>
      <c r="AH31" s="2"/>
      <c r="AI31" s="1">
        <v>45705</v>
      </c>
      <c r="AJ31" s="2">
        <v>0.52497685185185183</v>
      </c>
      <c r="AK31">
        <v>2025</v>
      </c>
      <c r="AL31">
        <v>35</v>
      </c>
      <c r="AM31" t="s">
        <v>179</v>
      </c>
      <c r="AO31" t="s">
        <v>182</v>
      </c>
      <c r="AP31" t="s">
        <v>183</v>
      </c>
      <c r="AQ31" s="1">
        <v>45705</v>
      </c>
      <c r="AR31" s="33">
        <v>0.5</v>
      </c>
      <c r="AS31" s="33">
        <v>0.52497685185185183</v>
      </c>
      <c r="AT31" t="s">
        <v>450</v>
      </c>
      <c r="AU31" t="s">
        <v>111</v>
      </c>
      <c r="AV31">
        <v>8</v>
      </c>
      <c r="AW31">
        <v>4</v>
      </c>
      <c r="AX31">
        <v>17</v>
      </c>
      <c r="AY31">
        <v>48</v>
      </c>
      <c r="AZ31" s="2">
        <v>45705.524305555555</v>
      </c>
      <c r="BA31" s="32" t="s">
        <v>508</v>
      </c>
    </row>
    <row r="32" spans="1:53" x14ac:dyDescent="0.3">
      <c r="A32" t="s">
        <v>420</v>
      </c>
      <c r="B32" t="s">
        <v>421</v>
      </c>
      <c r="C32" t="s">
        <v>109</v>
      </c>
      <c r="D32" t="s">
        <v>422</v>
      </c>
      <c r="E32" t="s">
        <v>424</v>
      </c>
      <c r="F32" t="s">
        <v>423</v>
      </c>
      <c r="G32" t="s">
        <v>412</v>
      </c>
      <c r="H32" t="s">
        <v>59</v>
      </c>
      <c r="I32" t="s">
        <v>425</v>
      </c>
      <c r="J32" t="s">
        <v>426</v>
      </c>
      <c r="K32">
        <v>8</v>
      </c>
      <c r="L32" t="s">
        <v>427</v>
      </c>
      <c r="W32" t="s">
        <v>416</v>
      </c>
      <c r="X32" t="s">
        <v>67</v>
      </c>
      <c r="Y32" t="s">
        <v>106</v>
      </c>
      <c r="Z32" t="s">
        <v>417</v>
      </c>
      <c r="AA32" t="s">
        <v>106</v>
      </c>
      <c r="AB32" t="s">
        <v>266</v>
      </c>
      <c r="AD32">
        <v>9</v>
      </c>
      <c r="AE32" s="1">
        <v>45705</v>
      </c>
      <c r="AF32" s="2">
        <v>0.83333333333333337</v>
      </c>
      <c r="AG32" s="1">
        <v>45705</v>
      </c>
      <c r="AH32" s="2">
        <v>0.98958333333333337</v>
      </c>
      <c r="AI32" s="1">
        <v>45706</v>
      </c>
      <c r="AJ32" s="2">
        <v>0.73564814814814816</v>
      </c>
      <c r="AK32">
        <v>2025</v>
      </c>
      <c r="AL32">
        <v>240</v>
      </c>
      <c r="AM32" t="s">
        <v>427</v>
      </c>
      <c r="AO32" t="s">
        <v>428</v>
      </c>
      <c r="AP32" t="s">
        <v>59</v>
      </c>
      <c r="AQ32" s="1">
        <v>45705</v>
      </c>
      <c r="AR32" s="33">
        <v>0.83333333333333337</v>
      </c>
      <c r="AS32" s="33">
        <v>0.83333333333333337</v>
      </c>
      <c r="AT32" t="s">
        <v>450</v>
      </c>
      <c r="AU32" t="s">
        <v>111</v>
      </c>
      <c r="AV32">
        <v>8</v>
      </c>
      <c r="AW32">
        <v>4</v>
      </c>
      <c r="AX32">
        <v>17</v>
      </c>
      <c r="AY32">
        <v>48</v>
      </c>
      <c r="AZ32" s="2">
        <v>45705.833333333336</v>
      </c>
      <c r="BA32" s="32" t="s">
        <v>508</v>
      </c>
    </row>
    <row r="33" spans="1:53" x14ac:dyDescent="0.3">
      <c r="A33" t="s">
        <v>429</v>
      </c>
      <c r="B33" t="s">
        <v>430</v>
      </c>
      <c r="C33" t="s">
        <v>76</v>
      </c>
      <c r="D33" t="s">
        <v>431</v>
      </c>
      <c r="E33" t="s">
        <v>412</v>
      </c>
      <c r="F33" t="s">
        <v>412</v>
      </c>
      <c r="G33" t="s">
        <v>59</v>
      </c>
      <c r="H33" t="s">
        <v>59</v>
      </c>
      <c r="I33" t="s">
        <v>432</v>
      </c>
      <c r="J33" t="s">
        <v>101</v>
      </c>
      <c r="K33">
        <v>8</v>
      </c>
      <c r="L33" t="s">
        <v>433</v>
      </c>
      <c r="W33" t="s">
        <v>66</v>
      </c>
      <c r="X33" t="s">
        <v>67</v>
      </c>
      <c r="Y33" t="s">
        <v>434</v>
      </c>
      <c r="Z33" t="s">
        <v>69</v>
      </c>
      <c r="AA33" t="s">
        <v>352</v>
      </c>
      <c r="AB33" t="s">
        <v>435</v>
      </c>
      <c r="AC33" t="s">
        <v>436</v>
      </c>
      <c r="AD33">
        <v>9</v>
      </c>
      <c r="AE33" s="1">
        <v>42906</v>
      </c>
      <c r="AF33" s="2">
        <v>0.53615740740740736</v>
      </c>
      <c r="AG33" s="1">
        <v>45555</v>
      </c>
      <c r="AH33" s="2"/>
      <c r="AI33" s="1">
        <v>45708</v>
      </c>
      <c r="AJ33" s="2">
        <v>0.53615740740740736</v>
      </c>
      <c r="AK33">
        <v>2017</v>
      </c>
      <c r="AL33">
        <v>360</v>
      </c>
      <c r="AM33" t="s">
        <v>433</v>
      </c>
      <c r="AO33" t="s">
        <v>59</v>
      </c>
      <c r="AP33" t="s">
        <v>59</v>
      </c>
      <c r="AQ33" s="1">
        <v>45708</v>
      </c>
      <c r="AR33" s="33">
        <v>0.5</v>
      </c>
      <c r="AS33" s="33">
        <v>0.53615740740740736</v>
      </c>
      <c r="AT33" t="s">
        <v>451</v>
      </c>
      <c r="AU33" t="s">
        <v>111</v>
      </c>
      <c r="AV33">
        <v>25</v>
      </c>
      <c r="AW33">
        <v>4</v>
      </c>
      <c r="AX33">
        <v>20</v>
      </c>
      <c r="AY33">
        <v>171</v>
      </c>
      <c r="AZ33" s="2">
        <v>42906.536111111112</v>
      </c>
      <c r="BA33" s="32" t="s">
        <v>507</v>
      </c>
    </row>
    <row r="34" spans="1:53" x14ac:dyDescent="0.3">
      <c r="A34" t="s">
        <v>332</v>
      </c>
      <c r="B34" t="s">
        <v>333</v>
      </c>
      <c r="C34" t="s">
        <v>150</v>
      </c>
      <c r="D34" t="s">
        <v>334</v>
      </c>
      <c r="E34" t="s">
        <v>213</v>
      </c>
      <c r="F34" t="s">
        <v>213</v>
      </c>
      <c r="G34" t="s">
        <v>59</v>
      </c>
      <c r="H34" t="s">
        <v>59</v>
      </c>
      <c r="I34" t="s">
        <v>335</v>
      </c>
      <c r="J34" t="s">
        <v>250</v>
      </c>
      <c r="K34">
        <v>5</v>
      </c>
      <c r="L34" t="s">
        <v>336</v>
      </c>
      <c r="O34" t="s">
        <v>337</v>
      </c>
      <c r="P34" t="s">
        <v>63</v>
      </c>
      <c r="Q34" t="s">
        <v>338</v>
      </c>
      <c r="R34" t="s">
        <v>339</v>
      </c>
      <c r="W34" t="s">
        <v>157</v>
      </c>
      <c r="X34" t="s">
        <v>67</v>
      </c>
      <c r="Y34" t="s">
        <v>158</v>
      </c>
      <c r="Z34" t="s">
        <v>159</v>
      </c>
      <c r="AD34">
        <v>9</v>
      </c>
      <c r="AE34" s="1">
        <v>45713</v>
      </c>
      <c r="AF34" s="2">
        <v>0.41666666666666669</v>
      </c>
      <c r="AG34" s="1">
        <v>45713</v>
      </c>
      <c r="AH34" s="2">
        <v>0.95833333333333337</v>
      </c>
      <c r="AI34" s="1">
        <v>45712</v>
      </c>
      <c r="AJ34" s="2">
        <v>0.99136574074074069</v>
      </c>
      <c r="AK34">
        <v>2025</v>
      </c>
      <c r="AL34">
        <v>430</v>
      </c>
      <c r="AM34" t="s">
        <v>336</v>
      </c>
      <c r="AN34" t="s">
        <v>340</v>
      </c>
      <c r="AO34" t="s">
        <v>59</v>
      </c>
      <c r="AP34" t="s">
        <v>59</v>
      </c>
      <c r="AQ34" s="1">
        <v>45713</v>
      </c>
      <c r="AR34" s="33">
        <v>0.41666666666666669</v>
      </c>
      <c r="AS34" s="33">
        <v>0.41666666666666669</v>
      </c>
      <c r="AT34" t="s">
        <v>451</v>
      </c>
      <c r="AU34" t="s">
        <v>111</v>
      </c>
      <c r="AV34">
        <v>9</v>
      </c>
      <c r="AW34">
        <v>5</v>
      </c>
      <c r="AX34">
        <v>25</v>
      </c>
      <c r="AY34">
        <v>56</v>
      </c>
      <c r="AZ34" s="2">
        <v>45713.416666666664</v>
      </c>
      <c r="BA34" s="32" t="s">
        <v>506</v>
      </c>
    </row>
    <row r="35" spans="1:53" x14ac:dyDescent="0.3">
      <c r="A35" t="s">
        <v>492</v>
      </c>
      <c r="B35" t="s">
        <v>493</v>
      </c>
      <c r="C35" t="s">
        <v>76</v>
      </c>
      <c r="D35" t="s">
        <v>494</v>
      </c>
      <c r="E35" t="s">
        <v>495</v>
      </c>
      <c r="F35" t="s">
        <v>347</v>
      </c>
      <c r="G35" t="s">
        <v>496</v>
      </c>
      <c r="H35" t="s">
        <v>344</v>
      </c>
      <c r="I35" t="s">
        <v>497</v>
      </c>
      <c r="J35" t="s">
        <v>84</v>
      </c>
      <c r="K35">
        <v>8</v>
      </c>
      <c r="L35" t="s">
        <v>498</v>
      </c>
      <c r="O35" t="s">
        <v>499</v>
      </c>
      <c r="P35" t="s">
        <v>500</v>
      </c>
      <c r="Q35" t="s">
        <v>501</v>
      </c>
      <c r="R35" t="s">
        <v>65</v>
      </c>
      <c r="W35" t="s">
        <v>416</v>
      </c>
      <c r="X35" t="s">
        <v>67</v>
      </c>
      <c r="Y35" t="s">
        <v>502</v>
      </c>
      <c r="Z35" t="s">
        <v>159</v>
      </c>
      <c r="AA35" t="s">
        <v>378</v>
      </c>
      <c r="AB35" t="s">
        <v>195</v>
      </c>
      <c r="AC35" t="s">
        <v>353</v>
      </c>
      <c r="AD35">
        <v>9</v>
      </c>
      <c r="AE35" s="1">
        <v>45720</v>
      </c>
      <c r="AF35" s="2">
        <v>0.64097222222222228</v>
      </c>
      <c r="AG35" s="1"/>
      <c r="AH35" s="2"/>
      <c r="AI35" s="1">
        <v>45720</v>
      </c>
      <c r="AJ35" s="2">
        <v>0.64444444444444449</v>
      </c>
      <c r="AK35">
        <v>2025</v>
      </c>
      <c r="AL35">
        <v>195</v>
      </c>
      <c r="AM35" t="s">
        <v>498</v>
      </c>
      <c r="AN35" t="s">
        <v>503</v>
      </c>
      <c r="AO35" t="s">
        <v>504</v>
      </c>
      <c r="AP35" t="s">
        <v>59</v>
      </c>
      <c r="AQ35" s="1">
        <v>45720</v>
      </c>
      <c r="AR35" s="33">
        <v>0.625</v>
      </c>
      <c r="AS35" s="33">
        <v>0.64097222222222228</v>
      </c>
      <c r="AT35" t="s">
        <v>451</v>
      </c>
      <c r="AU35" t="s">
        <v>461</v>
      </c>
      <c r="AV35">
        <v>10</v>
      </c>
      <c r="AW35">
        <v>2</v>
      </c>
      <c r="AX35">
        <v>4</v>
      </c>
      <c r="AY35">
        <v>63</v>
      </c>
      <c r="AZ35" s="2">
        <v>45720.640972222223</v>
      </c>
      <c r="BA35" s="32" t="s">
        <v>505</v>
      </c>
    </row>
    <row r="36" spans="1:53" x14ac:dyDescent="0.3">
      <c r="A36" t="s">
        <v>484</v>
      </c>
      <c r="B36" t="s">
        <v>485</v>
      </c>
      <c r="C36" t="s">
        <v>95</v>
      </c>
      <c r="D36" t="s">
        <v>486</v>
      </c>
      <c r="E36" t="s">
        <v>347</v>
      </c>
      <c r="F36" t="s">
        <v>347</v>
      </c>
      <c r="G36" t="s">
        <v>59</v>
      </c>
      <c r="H36" t="s">
        <v>59</v>
      </c>
      <c r="I36" t="s">
        <v>487</v>
      </c>
      <c r="J36" t="s">
        <v>261</v>
      </c>
      <c r="K36">
        <v>6</v>
      </c>
      <c r="L36" t="s">
        <v>488</v>
      </c>
      <c r="W36" t="s">
        <v>416</v>
      </c>
      <c r="X36" t="s">
        <v>67</v>
      </c>
      <c r="Y36" t="s">
        <v>489</v>
      </c>
      <c r="Z36" t="s">
        <v>206</v>
      </c>
      <c r="AA36" t="s">
        <v>70</v>
      </c>
      <c r="AB36" t="s">
        <v>123</v>
      </c>
      <c r="AC36" t="s">
        <v>353</v>
      </c>
      <c r="AD36">
        <v>9</v>
      </c>
      <c r="AE36" s="1">
        <v>45720</v>
      </c>
      <c r="AF36" s="2">
        <v>0.79126157407407405</v>
      </c>
      <c r="AG36" s="1"/>
      <c r="AH36" s="2"/>
      <c r="AI36" s="1">
        <v>45720</v>
      </c>
      <c r="AJ36" s="2">
        <v>0.79126157407407405</v>
      </c>
      <c r="AK36">
        <v>2025</v>
      </c>
      <c r="AL36">
        <v>216</v>
      </c>
      <c r="AM36" t="s">
        <v>488</v>
      </c>
      <c r="AO36" t="s">
        <v>490</v>
      </c>
      <c r="AP36" t="s">
        <v>491</v>
      </c>
      <c r="AQ36" s="1">
        <v>45720</v>
      </c>
      <c r="AR36" s="33">
        <v>0.75</v>
      </c>
      <c r="AS36" s="33">
        <v>0.79126157407407405</v>
      </c>
      <c r="AT36" t="s">
        <v>451</v>
      </c>
      <c r="AU36" t="s">
        <v>461</v>
      </c>
      <c r="AV36">
        <v>10</v>
      </c>
      <c r="AW36">
        <v>2</v>
      </c>
      <c r="AX36">
        <v>4</v>
      </c>
      <c r="AY36">
        <v>63</v>
      </c>
      <c r="AZ36" s="2">
        <v>45720.790972222225</v>
      </c>
      <c r="BA36" s="32" t="s">
        <v>505</v>
      </c>
    </row>
    <row r="37" spans="1:53" x14ac:dyDescent="0.3">
      <c r="A37" t="s">
        <v>460</v>
      </c>
      <c r="B37" t="s">
        <v>462</v>
      </c>
      <c r="C37" t="s">
        <v>109</v>
      </c>
      <c r="D37" t="s">
        <v>463</v>
      </c>
      <c r="E37" t="s">
        <v>58</v>
      </c>
      <c r="F37" t="s">
        <v>58</v>
      </c>
      <c r="G37" t="s">
        <v>59</v>
      </c>
      <c r="H37" t="s">
        <v>59</v>
      </c>
      <c r="I37" t="s">
        <v>464</v>
      </c>
      <c r="J37" t="s">
        <v>84</v>
      </c>
      <c r="K37">
        <v>8</v>
      </c>
      <c r="L37" t="s">
        <v>465</v>
      </c>
      <c r="O37" t="s">
        <v>466</v>
      </c>
      <c r="P37" t="s">
        <v>117</v>
      </c>
      <c r="Q37" t="s">
        <v>467</v>
      </c>
      <c r="R37" t="s">
        <v>65</v>
      </c>
      <c r="W37" t="s">
        <v>468</v>
      </c>
      <c r="X37" t="s">
        <v>67</v>
      </c>
      <c r="Y37" t="s">
        <v>68</v>
      </c>
      <c r="Z37" t="s">
        <v>69</v>
      </c>
      <c r="AA37" t="s">
        <v>160</v>
      </c>
      <c r="AB37" t="s">
        <v>123</v>
      </c>
      <c r="AD37">
        <v>9</v>
      </c>
      <c r="AE37" s="1">
        <v>45722</v>
      </c>
      <c r="AF37" s="2">
        <v>0.94149305555555551</v>
      </c>
      <c r="AG37" s="1"/>
      <c r="AH37" s="2"/>
      <c r="AI37" s="1">
        <v>45722</v>
      </c>
      <c r="AJ37" s="2">
        <v>0.94149305555555551</v>
      </c>
      <c r="AK37">
        <v>2025</v>
      </c>
      <c r="AL37">
        <v>216</v>
      </c>
      <c r="AM37" t="s">
        <v>465</v>
      </c>
      <c r="AN37" t="s">
        <v>469</v>
      </c>
      <c r="AO37" t="s">
        <v>470</v>
      </c>
      <c r="AP37" t="s">
        <v>471</v>
      </c>
      <c r="AQ37" s="1">
        <v>45722</v>
      </c>
      <c r="AR37" s="33">
        <v>0.91666666666666663</v>
      </c>
      <c r="AS37" s="33">
        <v>0.94149305555555551</v>
      </c>
      <c r="AT37" t="s">
        <v>536</v>
      </c>
      <c r="AU37" t="s">
        <v>461</v>
      </c>
      <c r="AV37">
        <v>10</v>
      </c>
      <c r="AW37">
        <v>2</v>
      </c>
      <c r="AX37">
        <v>6</v>
      </c>
      <c r="AY37">
        <v>65</v>
      </c>
      <c r="AZ37" s="2">
        <v>45722.940972222219</v>
      </c>
      <c r="BA37" s="32" t="s">
        <v>505</v>
      </c>
    </row>
    <row r="38" spans="1:53" x14ac:dyDescent="0.3">
      <c r="A38" t="s">
        <v>472</v>
      </c>
      <c r="B38" t="s">
        <v>473</v>
      </c>
      <c r="C38" t="s">
        <v>95</v>
      </c>
      <c r="D38" t="s">
        <v>474</v>
      </c>
      <c r="E38" t="s">
        <v>58</v>
      </c>
      <c r="F38" t="s">
        <v>58</v>
      </c>
      <c r="G38" t="s">
        <v>59</v>
      </c>
      <c r="H38" t="s">
        <v>59</v>
      </c>
      <c r="I38" t="s">
        <v>475</v>
      </c>
      <c r="J38" t="s">
        <v>134</v>
      </c>
      <c r="K38">
        <v>7</v>
      </c>
      <c r="L38" t="s">
        <v>476</v>
      </c>
      <c r="O38" t="s">
        <v>477</v>
      </c>
      <c r="P38" t="s">
        <v>478</v>
      </c>
      <c r="Q38" t="s">
        <v>479</v>
      </c>
      <c r="R38" t="s">
        <v>65</v>
      </c>
      <c r="W38" t="s">
        <v>157</v>
      </c>
      <c r="X38" t="s">
        <v>67</v>
      </c>
      <c r="Y38" t="s">
        <v>480</v>
      </c>
      <c r="Z38" t="s">
        <v>351</v>
      </c>
      <c r="AD38">
        <v>9</v>
      </c>
      <c r="AE38" s="1">
        <v>45725</v>
      </c>
      <c r="AF38" s="2">
        <v>0.8125</v>
      </c>
      <c r="AG38" s="1">
        <v>45726</v>
      </c>
      <c r="AH38" s="2">
        <v>0.35416666666666669</v>
      </c>
      <c r="AI38" s="1">
        <v>45726</v>
      </c>
      <c r="AJ38" s="2">
        <v>0.37046296296296294</v>
      </c>
      <c r="AK38">
        <v>2025</v>
      </c>
      <c r="AL38">
        <v>282</v>
      </c>
      <c r="AM38" t="s">
        <v>476</v>
      </c>
      <c r="AN38" t="s">
        <v>481</v>
      </c>
      <c r="AO38" t="s">
        <v>482</v>
      </c>
      <c r="AP38" t="s">
        <v>483</v>
      </c>
      <c r="AQ38" s="1">
        <v>45725</v>
      </c>
      <c r="AR38" s="33">
        <v>0.79166666666666663</v>
      </c>
      <c r="AS38" s="33">
        <v>0.8125</v>
      </c>
      <c r="AT38" t="s">
        <v>458</v>
      </c>
      <c r="AU38" t="s">
        <v>461</v>
      </c>
      <c r="AV38">
        <v>11</v>
      </c>
      <c r="AW38">
        <v>3</v>
      </c>
      <c r="AX38">
        <v>9</v>
      </c>
      <c r="AY38">
        <v>68</v>
      </c>
      <c r="AZ38" s="2">
        <v>45725.8125</v>
      </c>
      <c r="BA38" s="32" t="s">
        <v>505</v>
      </c>
    </row>
    <row r="39" spans="1:53" x14ac:dyDescent="0.3">
      <c r="A39" t="s">
        <v>529</v>
      </c>
      <c r="B39" t="s">
        <v>530</v>
      </c>
      <c r="C39" t="s">
        <v>172</v>
      </c>
      <c r="D39" t="s">
        <v>531</v>
      </c>
      <c r="E39" t="s">
        <v>132</v>
      </c>
      <c r="F39" t="s">
        <v>132</v>
      </c>
      <c r="G39" t="s">
        <v>59</v>
      </c>
      <c r="H39" t="s">
        <v>59</v>
      </c>
      <c r="I39" t="s">
        <v>532</v>
      </c>
      <c r="J39" t="s">
        <v>283</v>
      </c>
      <c r="K39">
        <v>8</v>
      </c>
      <c r="L39" t="s">
        <v>533</v>
      </c>
      <c r="W39" t="s">
        <v>534</v>
      </c>
      <c r="X39" t="s">
        <v>67</v>
      </c>
      <c r="Y39" t="s">
        <v>219</v>
      </c>
      <c r="Z39" t="s">
        <v>159</v>
      </c>
      <c r="AA39" t="s">
        <v>106</v>
      </c>
      <c r="AB39" t="s">
        <v>123</v>
      </c>
      <c r="AC39" t="s">
        <v>137</v>
      </c>
      <c r="AD39">
        <v>9</v>
      </c>
      <c r="AE39" s="1">
        <v>45726</v>
      </c>
      <c r="AF39" s="2">
        <v>4.6527777777777779E-2</v>
      </c>
      <c r="AG39" s="1">
        <v>45726</v>
      </c>
      <c r="AH39" s="2">
        <v>0.16180555555555556</v>
      </c>
      <c r="AI39" s="1">
        <v>45727</v>
      </c>
      <c r="AJ39" s="2">
        <v>0.44234953703703705</v>
      </c>
      <c r="AK39">
        <v>2025</v>
      </c>
      <c r="AL39">
        <v>1</v>
      </c>
      <c r="AM39" t="s">
        <v>533</v>
      </c>
      <c r="AO39" t="s">
        <v>535</v>
      </c>
      <c r="AP39" t="s">
        <v>59</v>
      </c>
      <c r="AQ39" s="1">
        <v>45726</v>
      </c>
      <c r="AR39" s="33">
        <v>4.1666666666666664E-2</v>
      </c>
      <c r="AS39" s="33">
        <v>4.6527777777777779E-2</v>
      </c>
      <c r="AT39" t="s">
        <v>450</v>
      </c>
      <c r="AU39" t="s">
        <v>461</v>
      </c>
      <c r="AV39">
        <v>11</v>
      </c>
      <c r="AW39">
        <v>3</v>
      </c>
      <c r="AX39">
        <v>10</v>
      </c>
      <c r="AY39">
        <v>69</v>
      </c>
      <c r="AZ39" s="2">
        <v>45726.046527777777</v>
      </c>
      <c r="BA39" s="32" t="s">
        <v>505</v>
      </c>
    </row>
    <row r="40" spans="1:53" x14ac:dyDescent="0.3">
      <c r="A40" t="s">
        <v>516</v>
      </c>
      <c r="B40" t="s">
        <v>517</v>
      </c>
      <c r="C40" t="s">
        <v>76</v>
      </c>
      <c r="D40" t="s">
        <v>518</v>
      </c>
      <c r="E40" t="s">
        <v>58</v>
      </c>
      <c r="F40" t="s">
        <v>58</v>
      </c>
      <c r="G40" t="s">
        <v>59</v>
      </c>
      <c r="H40" t="s">
        <v>59</v>
      </c>
      <c r="I40" t="s">
        <v>519</v>
      </c>
      <c r="J40" t="s">
        <v>84</v>
      </c>
      <c r="K40">
        <v>8</v>
      </c>
      <c r="L40" t="s">
        <v>520</v>
      </c>
      <c r="O40" t="s">
        <v>521</v>
      </c>
      <c r="P40" t="s">
        <v>522</v>
      </c>
      <c r="Q40" t="s">
        <v>523</v>
      </c>
      <c r="R40" t="s">
        <v>65</v>
      </c>
      <c r="W40" t="s">
        <v>416</v>
      </c>
      <c r="X40" t="s">
        <v>67</v>
      </c>
      <c r="Y40" t="s">
        <v>158</v>
      </c>
      <c r="Z40" t="s">
        <v>159</v>
      </c>
      <c r="AA40" t="s">
        <v>524</v>
      </c>
      <c r="AB40" t="s">
        <v>123</v>
      </c>
      <c r="AC40" t="s">
        <v>72</v>
      </c>
      <c r="AD40">
        <v>9</v>
      </c>
      <c r="AE40" s="1">
        <v>45727</v>
      </c>
      <c r="AF40" s="2">
        <v>0.60416666666666663</v>
      </c>
      <c r="AG40" s="1"/>
      <c r="AH40" s="2"/>
      <c r="AI40" s="1">
        <v>45727</v>
      </c>
      <c r="AJ40" s="2">
        <v>0.69039351851851849</v>
      </c>
      <c r="AK40">
        <v>2025</v>
      </c>
      <c r="AL40">
        <v>123</v>
      </c>
      <c r="AM40" t="s">
        <v>520</v>
      </c>
      <c r="AN40" t="s">
        <v>525</v>
      </c>
      <c r="AO40" t="s">
        <v>526</v>
      </c>
      <c r="AP40" t="s">
        <v>527</v>
      </c>
      <c r="AQ40" s="1">
        <v>45727</v>
      </c>
      <c r="AR40" s="33">
        <v>0.58333333333333337</v>
      </c>
      <c r="AS40" s="33">
        <v>0.60416666666666663</v>
      </c>
      <c r="AT40" t="s">
        <v>451</v>
      </c>
      <c r="AU40" t="s">
        <v>461</v>
      </c>
      <c r="AV40">
        <v>11</v>
      </c>
      <c r="AW40">
        <v>3</v>
      </c>
      <c r="AX40">
        <v>11</v>
      </c>
      <c r="AY40">
        <v>70</v>
      </c>
      <c r="AZ40" s="2">
        <v>45727.604166666664</v>
      </c>
      <c r="BA40" s="32" t="s">
        <v>528</v>
      </c>
    </row>
    <row r="41" spans="1:53" x14ac:dyDescent="0.3">
      <c r="A41" t="s">
        <v>537</v>
      </c>
      <c r="B41" t="s">
        <v>357</v>
      </c>
      <c r="C41" t="s">
        <v>304</v>
      </c>
      <c r="D41" t="s">
        <v>538</v>
      </c>
      <c r="E41" t="s">
        <v>539</v>
      </c>
      <c r="F41" t="s">
        <v>440</v>
      </c>
      <c r="G41" t="s">
        <v>132</v>
      </c>
      <c r="H41" t="s">
        <v>59</v>
      </c>
      <c r="I41" t="s">
        <v>540</v>
      </c>
      <c r="J41" t="s">
        <v>363</v>
      </c>
      <c r="K41">
        <v>9</v>
      </c>
      <c r="L41" t="s">
        <v>541</v>
      </c>
      <c r="O41" t="s">
        <v>542</v>
      </c>
      <c r="P41" t="s">
        <v>543</v>
      </c>
      <c r="Q41" t="s">
        <v>544</v>
      </c>
      <c r="R41" t="s">
        <v>65</v>
      </c>
      <c r="X41" t="s">
        <v>67</v>
      </c>
      <c r="Y41" t="s">
        <v>545</v>
      </c>
      <c r="Z41" t="s">
        <v>546</v>
      </c>
      <c r="AD41">
        <v>9</v>
      </c>
      <c r="AE41" s="1"/>
      <c r="AF41" s="2"/>
      <c r="AG41" s="1">
        <v>45734</v>
      </c>
      <c r="AH41" s="2">
        <v>0.22916666666666666</v>
      </c>
      <c r="AI41" s="1">
        <v>45734</v>
      </c>
      <c r="AJ41" s="2">
        <v>0.27405092592592595</v>
      </c>
      <c r="AK41">
        <v>2025</v>
      </c>
      <c r="AL41">
        <v>414</v>
      </c>
      <c r="AM41" t="s">
        <v>541</v>
      </c>
      <c r="AN41" t="s">
        <v>547</v>
      </c>
      <c r="AO41" t="s">
        <v>59</v>
      </c>
      <c r="AP41" t="s">
        <v>59</v>
      </c>
      <c r="AQ41" s="1">
        <v>45734</v>
      </c>
      <c r="AR41" s="33">
        <v>0.20833333333333334</v>
      </c>
      <c r="AS41" s="33">
        <v>0.22916666666666666</v>
      </c>
      <c r="AT41" t="s">
        <v>451</v>
      </c>
      <c r="AU41" t="s">
        <v>461</v>
      </c>
      <c r="AV41">
        <v>12</v>
      </c>
      <c r="AW41">
        <v>4</v>
      </c>
      <c r="AX41">
        <v>18</v>
      </c>
      <c r="AY41">
        <v>77</v>
      </c>
      <c r="AZ41" s="2">
        <v>45734.229166666664</v>
      </c>
      <c r="BA41" s="32" t="s">
        <v>548</v>
      </c>
    </row>
    <row r="42" spans="1:53" x14ac:dyDescent="0.3">
      <c r="A42" t="s">
        <v>549</v>
      </c>
      <c r="B42" t="s">
        <v>550</v>
      </c>
      <c r="C42" t="s">
        <v>304</v>
      </c>
      <c r="D42" t="s">
        <v>551</v>
      </c>
      <c r="E42" t="s">
        <v>213</v>
      </c>
      <c r="F42" t="s">
        <v>213</v>
      </c>
      <c r="G42" t="s">
        <v>59</v>
      </c>
      <c r="H42" t="s">
        <v>59</v>
      </c>
      <c r="I42" t="s">
        <v>552</v>
      </c>
      <c r="J42" t="s">
        <v>261</v>
      </c>
      <c r="K42">
        <v>6</v>
      </c>
      <c r="L42" t="s">
        <v>553</v>
      </c>
      <c r="O42" t="s">
        <v>554</v>
      </c>
      <c r="P42" t="s">
        <v>555</v>
      </c>
      <c r="R42" t="s">
        <v>65</v>
      </c>
      <c r="W42" t="s">
        <v>468</v>
      </c>
      <c r="X42" t="s">
        <v>67</v>
      </c>
      <c r="Y42" t="s">
        <v>147</v>
      </c>
      <c r="Z42" t="s">
        <v>90</v>
      </c>
      <c r="AA42" t="s">
        <v>180</v>
      </c>
      <c r="AB42" t="s">
        <v>181</v>
      </c>
      <c r="AD42">
        <v>9</v>
      </c>
      <c r="AE42" s="1">
        <v>45737</v>
      </c>
      <c r="AF42" s="2">
        <v>0.32500000000000001</v>
      </c>
      <c r="AG42" s="1"/>
      <c r="AH42" s="2"/>
      <c r="AI42" s="1">
        <v>45737</v>
      </c>
      <c r="AJ42" s="2">
        <v>0.59714120370370372</v>
      </c>
      <c r="AK42">
        <v>2025</v>
      </c>
      <c r="AL42">
        <v>171</v>
      </c>
      <c r="AM42" t="s">
        <v>553</v>
      </c>
      <c r="AN42" t="s">
        <v>556</v>
      </c>
      <c r="AO42" t="s">
        <v>557</v>
      </c>
      <c r="AP42" t="s">
        <v>558</v>
      </c>
      <c r="AQ42" s="1">
        <v>45737</v>
      </c>
      <c r="AR42" s="33">
        <v>0.29166666666666669</v>
      </c>
      <c r="AS42" s="33">
        <v>0.32500000000000001</v>
      </c>
      <c r="AT42" t="s">
        <v>454</v>
      </c>
      <c r="AU42" t="s">
        <v>461</v>
      </c>
      <c r="AV42">
        <v>12</v>
      </c>
      <c r="AW42">
        <v>4</v>
      </c>
      <c r="AX42">
        <v>21</v>
      </c>
      <c r="AY42">
        <v>80</v>
      </c>
      <c r="AZ42" s="2">
        <v>45737.324999999997</v>
      </c>
      <c r="BA42" s="32" t="s">
        <v>548</v>
      </c>
    </row>
    <row r="43" spans="1:53" x14ac:dyDescent="0.3">
      <c r="A43" t="s">
        <v>559</v>
      </c>
      <c r="B43" t="s">
        <v>560</v>
      </c>
      <c r="C43" t="s">
        <v>304</v>
      </c>
      <c r="D43" t="s">
        <v>561</v>
      </c>
      <c r="E43" t="s">
        <v>562</v>
      </c>
      <c r="F43" t="s">
        <v>58</v>
      </c>
      <c r="G43" t="s">
        <v>563</v>
      </c>
      <c r="H43" t="s">
        <v>59</v>
      </c>
      <c r="I43" t="s">
        <v>564</v>
      </c>
      <c r="J43" t="s">
        <v>250</v>
      </c>
      <c r="K43">
        <v>5</v>
      </c>
      <c r="L43" t="s">
        <v>565</v>
      </c>
      <c r="O43" t="s">
        <v>566</v>
      </c>
      <c r="P43" t="s">
        <v>117</v>
      </c>
      <c r="Q43" t="s">
        <v>567</v>
      </c>
      <c r="R43" t="s">
        <v>65</v>
      </c>
      <c r="W43" t="s">
        <v>568</v>
      </c>
      <c r="X43" t="s">
        <v>67</v>
      </c>
      <c r="Y43" t="s">
        <v>105</v>
      </c>
      <c r="Z43" t="s">
        <v>69</v>
      </c>
      <c r="AA43" t="s">
        <v>122</v>
      </c>
      <c r="AB43" t="s">
        <v>123</v>
      </c>
      <c r="AD43">
        <v>9</v>
      </c>
      <c r="AE43" s="1">
        <v>45739</v>
      </c>
      <c r="AF43" s="2">
        <v>0.1736111111111111</v>
      </c>
      <c r="AG43" s="1">
        <v>45739</v>
      </c>
      <c r="AH43" s="2">
        <v>0.18055555555555555</v>
      </c>
      <c r="AI43" s="1">
        <v>45739</v>
      </c>
      <c r="AJ43" s="2">
        <v>0.20511574074074074</v>
      </c>
      <c r="AK43">
        <v>2025</v>
      </c>
      <c r="AL43">
        <v>24</v>
      </c>
      <c r="AM43" t="s">
        <v>565</v>
      </c>
      <c r="AN43" t="s">
        <v>569</v>
      </c>
      <c r="AO43" t="s">
        <v>570</v>
      </c>
      <c r="AP43" t="s">
        <v>571</v>
      </c>
      <c r="AQ43" s="1">
        <v>45739</v>
      </c>
      <c r="AR43" s="33">
        <v>0.16666666666666666</v>
      </c>
      <c r="AS43" s="33">
        <v>0.1736111111111111</v>
      </c>
      <c r="AT43" t="s">
        <v>458</v>
      </c>
      <c r="AU43" t="s">
        <v>461</v>
      </c>
      <c r="AV43">
        <v>13</v>
      </c>
      <c r="AW43">
        <v>5</v>
      </c>
      <c r="AX43">
        <v>23</v>
      </c>
      <c r="AY43">
        <v>82</v>
      </c>
      <c r="AZ43" s="2">
        <v>45739.173611111109</v>
      </c>
      <c r="BA43" s="32" t="s">
        <v>548</v>
      </c>
    </row>
    <row r="44" spans="1:53" x14ac:dyDescent="0.3">
      <c r="A44" t="s">
        <v>678</v>
      </c>
      <c r="B44" t="s">
        <v>357</v>
      </c>
      <c r="C44" t="s">
        <v>150</v>
      </c>
      <c r="D44" t="s">
        <v>358</v>
      </c>
      <c r="E44" t="s">
        <v>686</v>
      </c>
      <c r="F44" t="s">
        <v>347</v>
      </c>
      <c r="G44" t="s">
        <v>82</v>
      </c>
      <c r="H44" t="s">
        <v>687</v>
      </c>
      <c r="I44" t="s">
        <v>362</v>
      </c>
      <c r="J44" t="s">
        <v>363</v>
      </c>
      <c r="K44">
        <v>9</v>
      </c>
      <c r="L44" t="s">
        <v>688</v>
      </c>
      <c r="O44" t="s">
        <v>689</v>
      </c>
      <c r="P44" t="s">
        <v>522</v>
      </c>
      <c r="Q44" t="s">
        <v>690</v>
      </c>
      <c r="R44" t="s">
        <v>65</v>
      </c>
      <c r="W44" t="s">
        <v>157</v>
      </c>
      <c r="X44" t="s">
        <v>67</v>
      </c>
      <c r="Y44" t="s">
        <v>647</v>
      </c>
      <c r="Z44" t="s">
        <v>351</v>
      </c>
      <c r="AA44" t="s">
        <v>160</v>
      </c>
      <c r="AB44" t="s">
        <v>123</v>
      </c>
      <c r="AD44">
        <v>9</v>
      </c>
      <c r="AE44" s="1">
        <v>45741</v>
      </c>
      <c r="AF44" s="2">
        <v>0.48402777777777778</v>
      </c>
      <c r="AG44" s="1"/>
      <c r="AH44" s="2"/>
      <c r="AI44" s="1">
        <v>45741</v>
      </c>
      <c r="AJ44" s="2">
        <v>0.50343749999999998</v>
      </c>
      <c r="AK44">
        <v>2025</v>
      </c>
      <c r="AL44">
        <v>450</v>
      </c>
      <c r="AM44" t="s">
        <v>688</v>
      </c>
      <c r="AN44" t="s">
        <v>691</v>
      </c>
      <c r="AO44" t="s">
        <v>692</v>
      </c>
      <c r="AP44" t="s">
        <v>693</v>
      </c>
      <c r="AQ44" s="1">
        <v>45741</v>
      </c>
      <c r="AR44" s="33">
        <v>0.45833333333333331</v>
      </c>
      <c r="AS44" s="33">
        <v>0.48402777777777778</v>
      </c>
      <c r="AT44" t="s">
        <v>451</v>
      </c>
      <c r="AU44" t="s">
        <v>461</v>
      </c>
      <c r="AV44">
        <v>13</v>
      </c>
      <c r="AW44">
        <v>5</v>
      </c>
      <c r="AX44">
        <v>25</v>
      </c>
      <c r="AY44">
        <v>84</v>
      </c>
      <c r="AZ44" s="2">
        <v>45741.484027777777</v>
      </c>
      <c r="BA44" s="32" t="s">
        <v>581</v>
      </c>
    </row>
    <row r="45" spans="1:53" x14ac:dyDescent="0.3">
      <c r="A45" t="s">
        <v>573</v>
      </c>
      <c r="B45" t="s">
        <v>485</v>
      </c>
      <c r="C45" t="s">
        <v>109</v>
      </c>
      <c r="D45" t="s">
        <v>574</v>
      </c>
      <c r="E45" t="s">
        <v>575</v>
      </c>
      <c r="F45" t="s">
        <v>165</v>
      </c>
      <c r="G45" t="s">
        <v>576</v>
      </c>
      <c r="H45" t="s">
        <v>360</v>
      </c>
      <c r="I45" t="s">
        <v>577</v>
      </c>
      <c r="J45" t="s">
        <v>261</v>
      </c>
      <c r="K45">
        <v>6</v>
      </c>
      <c r="L45" t="s">
        <v>578</v>
      </c>
      <c r="W45" t="s">
        <v>416</v>
      </c>
      <c r="X45" t="s">
        <v>67</v>
      </c>
      <c r="Y45" t="s">
        <v>579</v>
      </c>
      <c r="Z45" t="s">
        <v>121</v>
      </c>
      <c r="AA45" t="s">
        <v>378</v>
      </c>
      <c r="AB45" t="s">
        <v>123</v>
      </c>
      <c r="AD45">
        <v>9</v>
      </c>
      <c r="AE45" s="1">
        <v>45743</v>
      </c>
      <c r="AF45" s="2">
        <v>0.94666666666666666</v>
      </c>
      <c r="AG45" s="1"/>
      <c r="AH45" s="2"/>
      <c r="AI45" s="1">
        <v>45743</v>
      </c>
      <c r="AJ45" s="2">
        <v>0.94666666666666666</v>
      </c>
      <c r="AK45">
        <v>2025</v>
      </c>
      <c r="AL45">
        <v>211</v>
      </c>
      <c r="AM45" t="s">
        <v>578</v>
      </c>
      <c r="AO45" t="s">
        <v>59</v>
      </c>
      <c r="AP45" t="s">
        <v>580</v>
      </c>
      <c r="AQ45" s="1">
        <v>45743</v>
      </c>
      <c r="AR45" s="33">
        <v>0.91666666666666663</v>
      </c>
      <c r="AS45" s="33">
        <v>0.94666666666666666</v>
      </c>
      <c r="AT45" t="s">
        <v>536</v>
      </c>
      <c r="AU45" t="s">
        <v>461</v>
      </c>
      <c r="AV45">
        <v>13</v>
      </c>
      <c r="AW45">
        <v>5</v>
      </c>
      <c r="AX45">
        <v>27</v>
      </c>
      <c r="AY45">
        <v>86</v>
      </c>
      <c r="AZ45" s="2">
        <v>45743.946527777778</v>
      </c>
      <c r="BA45" s="32" t="s">
        <v>581</v>
      </c>
    </row>
    <row r="46" spans="1:53" x14ac:dyDescent="0.3">
      <c r="A46" t="s">
        <v>582</v>
      </c>
      <c r="B46" t="s">
        <v>530</v>
      </c>
      <c r="C46" t="s">
        <v>109</v>
      </c>
      <c r="D46" t="s">
        <v>583</v>
      </c>
      <c r="E46" t="s">
        <v>132</v>
      </c>
      <c r="F46" t="s">
        <v>132</v>
      </c>
      <c r="G46" t="s">
        <v>59</v>
      </c>
      <c r="H46" t="s">
        <v>59</v>
      </c>
      <c r="I46" t="s">
        <v>584</v>
      </c>
      <c r="J46" t="s">
        <v>283</v>
      </c>
      <c r="K46">
        <v>8</v>
      </c>
      <c r="L46" t="s">
        <v>585</v>
      </c>
      <c r="M46">
        <v>50300</v>
      </c>
      <c r="W46" t="s">
        <v>157</v>
      </c>
      <c r="X46" t="s">
        <v>67</v>
      </c>
      <c r="Y46" t="s">
        <v>480</v>
      </c>
      <c r="Z46" t="s">
        <v>351</v>
      </c>
      <c r="AA46" t="s">
        <v>586</v>
      </c>
      <c r="AB46" t="s">
        <v>123</v>
      </c>
      <c r="AD46">
        <v>9</v>
      </c>
      <c r="AE46" s="1">
        <v>45743</v>
      </c>
      <c r="AF46" s="2">
        <v>0.97916666666666663</v>
      </c>
      <c r="AG46" s="1">
        <v>45744</v>
      </c>
      <c r="AH46" s="2">
        <v>2.5000000000000001E-2</v>
      </c>
      <c r="AI46" s="1">
        <v>45744</v>
      </c>
      <c r="AJ46" s="2">
        <v>0.46781250000000002</v>
      </c>
      <c r="AK46">
        <v>2025</v>
      </c>
      <c r="AL46">
        <v>2</v>
      </c>
      <c r="AM46" t="s">
        <v>585</v>
      </c>
      <c r="AO46" t="s">
        <v>587</v>
      </c>
      <c r="AP46" t="s">
        <v>588</v>
      </c>
      <c r="AQ46" s="1">
        <v>45743</v>
      </c>
      <c r="AR46" s="33">
        <v>0.95833333333333337</v>
      </c>
      <c r="AS46" s="33">
        <v>0.97916666666666663</v>
      </c>
      <c r="AT46" t="s">
        <v>536</v>
      </c>
      <c r="AU46" t="s">
        <v>461</v>
      </c>
      <c r="AV46">
        <v>13</v>
      </c>
      <c r="AW46">
        <v>5</v>
      </c>
      <c r="AX46">
        <v>27</v>
      </c>
      <c r="AY46">
        <v>86</v>
      </c>
      <c r="AZ46" s="2">
        <v>45743.979166666664</v>
      </c>
      <c r="BA46" s="32" t="s">
        <v>581</v>
      </c>
    </row>
    <row r="47" spans="1:53" x14ac:dyDescent="0.3">
      <c r="A47" t="s">
        <v>694</v>
      </c>
      <c r="B47" t="s">
        <v>695</v>
      </c>
      <c r="C47" t="s">
        <v>304</v>
      </c>
      <c r="D47" t="s">
        <v>696</v>
      </c>
      <c r="E47" t="s">
        <v>697</v>
      </c>
      <c r="F47" t="s">
        <v>176</v>
      </c>
      <c r="G47" t="s">
        <v>698</v>
      </c>
      <c r="H47" t="s">
        <v>59</v>
      </c>
      <c r="I47" t="s">
        <v>699</v>
      </c>
      <c r="J47" t="s">
        <v>273</v>
      </c>
      <c r="K47">
        <v>6</v>
      </c>
      <c r="L47" t="s">
        <v>700</v>
      </c>
      <c r="O47" t="s">
        <v>701</v>
      </c>
      <c r="P47" t="s">
        <v>634</v>
      </c>
      <c r="Q47" t="s">
        <v>635</v>
      </c>
      <c r="R47" t="s">
        <v>65</v>
      </c>
      <c r="W47" t="s">
        <v>568</v>
      </c>
      <c r="X47" t="s">
        <v>67</v>
      </c>
      <c r="Y47" t="s">
        <v>579</v>
      </c>
      <c r="Z47" t="s">
        <v>121</v>
      </c>
      <c r="AD47">
        <v>9</v>
      </c>
      <c r="AE47" s="1">
        <v>45745</v>
      </c>
      <c r="AF47" s="2">
        <v>0.20515046296296297</v>
      </c>
      <c r="AG47" s="1"/>
      <c r="AH47" s="2"/>
      <c r="AI47" s="1">
        <v>45745</v>
      </c>
      <c r="AJ47" s="2">
        <v>0.20931712962962962</v>
      </c>
      <c r="AK47">
        <v>2025</v>
      </c>
      <c r="AL47">
        <v>15</v>
      </c>
      <c r="AM47" t="s">
        <v>700</v>
      </c>
      <c r="AN47" t="s">
        <v>702</v>
      </c>
      <c r="AO47" t="s">
        <v>703</v>
      </c>
      <c r="AP47" t="s">
        <v>704</v>
      </c>
      <c r="AQ47" s="1">
        <v>45745</v>
      </c>
      <c r="AR47" s="33">
        <v>0.16666666666666666</v>
      </c>
      <c r="AS47" s="33">
        <v>0.20515046296296297</v>
      </c>
      <c r="AT47" t="s">
        <v>455</v>
      </c>
      <c r="AU47" t="s">
        <v>461</v>
      </c>
      <c r="AV47">
        <v>13</v>
      </c>
      <c r="AW47">
        <v>5</v>
      </c>
      <c r="AX47">
        <v>29</v>
      </c>
      <c r="AY47">
        <v>88</v>
      </c>
      <c r="AZ47" s="2">
        <v>45745.204861111109</v>
      </c>
      <c r="BA47" s="32" t="s">
        <v>581</v>
      </c>
    </row>
    <row r="48" spans="1:53" x14ac:dyDescent="0.3">
      <c r="A48" t="s">
        <v>628</v>
      </c>
      <c r="B48" t="s">
        <v>629</v>
      </c>
      <c r="C48" t="s">
        <v>109</v>
      </c>
      <c r="D48" t="s">
        <v>630</v>
      </c>
      <c r="E48" t="s">
        <v>213</v>
      </c>
      <c r="F48" t="s">
        <v>213</v>
      </c>
      <c r="G48" t="s">
        <v>59</v>
      </c>
      <c r="H48" t="s">
        <v>59</v>
      </c>
      <c r="I48" t="s">
        <v>631</v>
      </c>
      <c r="J48" t="s">
        <v>426</v>
      </c>
      <c r="K48">
        <v>8</v>
      </c>
      <c r="L48" t="s">
        <v>632</v>
      </c>
      <c r="O48" t="s">
        <v>633</v>
      </c>
      <c r="P48" t="s">
        <v>634</v>
      </c>
      <c r="Q48" t="s">
        <v>635</v>
      </c>
      <c r="R48" t="s">
        <v>65</v>
      </c>
      <c r="W48" t="s">
        <v>568</v>
      </c>
      <c r="X48" t="s">
        <v>67</v>
      </c>
      <c r="Y48" t="s">
        <v>636</v>
      </c>
      <c r="Z48" t="s">
        <v>637</v>
      </c>
      <c r="AD48">
        <v>9</v>
      </c>
      <c r="AE48" s="1">
        <v>45744</v>
      </c>
      <c r="AF48" s="2">
        <v>0.85416666666666663</v>
      </c>
      <c r="AG48" s="1">
        <v>45745</v>
      </c>
      <c r="AH48" s="2">
        <v>0.41666666666666669</v>
      </c>
      <c r="AI48" s="1">
        <v>45745</v>
      </c>
      <c r="AJ48" s="2">
        <v>0.42986111111111114</v>
      </c>
      <c r="AK48">
        <v>2025</v>
      </c>
      <c r="AL48">
        <v>296</v>
      </c>
      <c r="AM48" t="s">
        <v>632</v>
      </c>
      <c r="AN48" t="s">
        <v>638</v>
      </c>
      <c r="AO48" t="s">
        <v>59</v>
      </c>
      <c r="AP48" t="s">
        <v>639</v>
      </c>
      <c r="AQ48" s="1">
        <v>45744</v>
      </c>
      <c r="AR48" s="33">
        <v>0.83333333333333337</v>
      </c>
      <c r="AS48" s="33">
        <v>0.85416666666666663</v>
      </c>
      <c r="AT48" t="s">
        <v>454</v>
      </c>
      <c r="AU48" t="s">
        <v>461</v>
      </c>
      <c r="AV48">
        <v>13</v>
      </c>
      <c r="AW48">
        <v>5</v>
      </c>
      <c r="AX48">
        <v>28</v>
      </c>
      <c r="AY48">
        <v>87</v>
      </c>
      <c r="AZ48" s="2">
        <v>45744.854166666664</v>
      </c>
      <c r="BA48" s="32" t="s">
        <v>581</v>
      </c>
    </row>
    <row r="49" spans="1:53" x14ac:dyDescent="0.3">
      <c r="A49" t="s">
        <v>589</v>
      </c>
      <c r="B49" t="s">
        <v>257</v>
      </c>
      <c r="C49" t="s">
        <v>76</v>
      </c>
      <c r="D49" t="s">
        <v>590</v>
      </c>
      <c r="E49" t="s">
        <v>132</v>
      </c>
      <c r="F49" t="s">
        <v>132</v>
      </c>
      <c r="G49" t="s">
        <v>59</v>
      </c>
      <c r="H49" t="s">
        <v>59</v>
      </c>
      <c r="I49" t="s">
        <v>591</v>
      </c>
      <c r="J49" t="s">
        <v>592</v>
      </c>
      <c r="K49">
        <v>7</v>
      </c>
      <c r="L49" t="s">
        <v>593</v>
      </c>
      <c r="W49" t="s">
        <v>568</v>
      </c>
      <c r="X49" t="s">
        <v>67</v>
      </c>
      <c r="Y49" t="s">
        <v>594</v>
      </c>
      <c r="Z49" t="s">
        <v>90</v>
      </c>
      <c r="AD49">
        <v>9</v>
      </c>
      <c r="AE49" s="1">
        <v>45747</v>
      </c>
      <c r="AF49" s="2">
        <v>0.5</v>
      </c>
      <c r="AG49" s="1"/>
      <c r="AH49" s="2"/>
      <c r="AI49" s="1">
        <v>45747</v>
      </c>
      <c r="AJ49" s="2">
        <v>0.54355324074074074</v>
      </c>
      <c r="AK49">
        <v>2025</v>
      </c>
      <c r="AL49">
        <v>100</v>
      </c>
      <c r="AM49" t="s">
        <v>593</v>
      </c>
      <c r="AO49" t="s">
        <v>595</v>
      </c>
      <c r="AP49" t="s">
        <v>596</v>
      </c>
      <c r="AQ49" s="1">
        <v>45747</v>
      </c>
      <c r="AR49" s="33">
        <v>0.5</v>
      </c>
      <c r="AS49" s="33">
        <v>0.5</v>
      </c>
      <c r="AT49" t="s">
        <v>450</v>
      </c>
      <c r="AU49" t="s">
        <v>461</v>
      </c>
      <c r="AV49">
        <v>14</v>
      </c>
      <c r="AW49">
        <v>6</v>
      </c>
      <c r="AX49">
        <v>31</v>
      </c>
      <c r="AY49">
        <v>90</v>
      </c>
      <c r="AZ49" s="2">
        <v>45747.5</v>
      </c>
      <c r="BA49" s="32" t="s">
        <v>581</v>
      </c>
    </row>
    <row r="50" spans="1:53" x14ac:dyDescent="0.3">
      <c r="A50" t="s">
        <v>705</v>
      </c>
      <c r="B50" t="s">
        <v>706</v>
      </c>
      <c r="C50" t="s">
        <v>95</v>
      </c>
      <c r="D50" t="s">
        <v>706</v>
      </c>
      <c r="E50" t="s">
        <v>707</v>
      </c>
      <c r="F50" t="s">
        <v>58</v>
      </c>
      <c r="G50" t="s">
        <v>82</v>
      </c>
      <c r="H50" t="s">
        <v>708</v>
      </c>
      <c r="I50" t="s">
        <v>709</v>
      </c>
      <c r="J50" t="s">
        <v>134</v>
      </c>
      <c r="K50">
        <v>7</v>
      </c>
      <c r="L50" t="s">
        <v>710</v>
      </c>
      <c r="O50" t="s">
        <v>711</v>
      </c>
      <c r="P50" t="s">
        <v>712</v>
      </c>
      <c r="Q50" t="s">
        <v>713</v>
      </c>
      <c r="R50" t="s">
        <v>65</v>
      </c>
      <c r="W50" t="s">
        <v>468</v>
      </c>
      <c r="X50" t="s">
        <v>67</v>
      </c>
      <c r="Y50" t="s">
        <v>714</v>
      </c>
      <c r="Z50" t="s">
        <v>90</v>
      </c>
      <c r="AD50">
        <v>9</v>
      </c>
      <c r="AE50" s="1">
        <v>45747</v>
      </c>
      <c r="AF50" s="2">
        <v>0.77777777777777779</v>
      </c>
      <c r="AG50" s="1">
        <v>45747</v>
      </c>
      <c r="AH50" s="2">
        <v>0.91666666666666663</v>
      </c>
      <c r="AI50" s="1">
        <v>45747</v>
      </c>
      <c r="AJ50" s="2">
        <v>0.93032407407407403</v>
      </c>
      <c r="AK50">
        <v>2025</v>
      </c>
      <c r="AM50" t="s">
        <v>710</v>
      </c>
      <c r="AN50" t="s">
        <v>715</v>
      </c>
      <c r="AO50" t="s">
        <v>59</v>
      </c>
      <c r="AP50" t="s">
        <v>716</v>
      </c>
      <c r="AQ50" s="1">
        <v>45747</v>
      </c>
      <c r="AR50" s="33">
        <v>0.75</v>
      </c>
      <c r="AS50" s="33">
        <v>0.77777777777777779</v>
      </c>
      <c r="AT50" t="s">
        <v>450</v>
      </c>
      <c r="AU50" t="s">
        <v>461</v>
      </c>
      <c r="AV50">
        <v>14</v>
      </c>
      <c r="AW50">
        <v>6</v>
      </c>
      <c r="AX50">
        <v>31</v>
      </c>
      <c r="AY50">
        <v>90</v>
      </c>
      <c r="AZ50" s="2">
        <v>45747.777777777781</v>
      </c>
      <c r="BA50" s="32" t="s">
        <v>581</v>
      </c>
    </row>
    <row r="51" spans="1:53" x14ac:dyDescent="0.3">
      <c r="A51" t="s">
        <v>615</v>
      </c>
      <c r="B51" t="s">
        <v>211</v>
      </c>
      <c r="C51" t="s">
        <v>109</v>
      </c>
      <c r="D51" t="s">
        <v>606</v>
      </c>
      <c r="E51" t="s">
        <v>58</v>
      </c>
      <c r="F51" t="s">
        <v>58</v>
      </c>
      <c r="G51" t="s">
        <v>59</v>
      </c>
      <c r="H51" t="s">
        <v>59</v>
      </c>
      <c r="I51" t="s">
        <v>607</v>
      </c>
      <c r="J51" t="s">
        <v>215</v>
      </c>
      <c r="K51">
        <v>9</v>
      </c>
      <c r="L51" t="s">
        <v>616</v>
      </c>
      <c r="M51">
        <v>5</v>
      </c>
      <c r="N51">
        <v>0</v>
      </c>
      <c r="O51" t="s">
        <v>617</v>
      </c>
      <c r="P51" t="s">
        <v>253</v>
      </c>
      <c r="Q51" t="s">
        <v>618</v>
      </c>
      <c r="R51" t="s">
        <v>65</v>
      </c>
      <c r="W51" t="s">
        <v>468</v>
      </c>
      <c r="X51" t="s">
        <v>67</v>
      </c>
      <c r="Y51" t="s">
        <v>611</v>
      </c>
      <c r="Z51" t="s">
        <v>612</v>
      </c>
      <c r="AA51" t="s">
        <v>160</v>
      </c>
      <c r="AB51" t="s">
        <v>123</v>
      </c>
      <c r="AC51" t="s">
        <v>613</v>
      </c>
      <c r="AD51">
        <v>9</v>
      </c>
      <c r="AE51" s="1">
        <v>45747</v>
      </c>
      <c r="AF51" s="2">
        <v>0.83333333333333337</v>
      </c>
      <c r="AG51" s="1"/>
      <c r="AH51" s="2"/>
      <c r="AI51" s="1">
        <v>45747</v>
      </c>
      <c r="AJ51" s="2">
        <v>0.99899305555555551</v>
      </c>
      <c r="AK51">
        <v>2025</v>
      </c>
      <c r="AL51">
        <v>310</v>
      </c>
      <c r="AM51" t="s">
        <v>616</v>
      </c>
      <c r="AN51" t="s">
        <v>619</v>
      </c>
      <c r="AO51" t="s">
        <v>59</v>
      </c>
      <c r="AP51" t="s">
        <v>59</v>
      </c>
      <c r="AQ51" s="1">
        <v>45747</v>
      </c>
      <c r="AR51" s="33">
        <v>0.83333333333333337</v>
      </c>
      <c r="AS51" s="33">
        <v>0.83333333333333337</v>
      </c>
      <c r="AT51" t="s">
        <v>450</v>
      </c>
      <c r="AU51" t="s">
        <v>461</v>
      </c>
      <c r="AV51">
        <v>14</v>
      </c>
      <c r="AW51">
        <v>6</v>
      </c>
      <c r="AX51">
        <v>31</v>
      </c>
      <c r="AY51">
        <v>90</v>
      </c>
      <c r="AZ51" s="2">
        <v>45747.833333333336</v>
      </c>
      <c r="BA51" s="32" t="s">
        <v>581</v>
      </c>
    </row>
    <row r="52" spans="1:53" x14ac:dyDescent="0.3">
      <c r="A52" t="s">
        <v>605</v>
      </c>
      <c r="B52" t="s">
        <v>211</v>
      </c>
      <c r="C52" t="s">
        <v>95</v>
      </c>
      <c r="D52" t="s">
        <v>606</v>
      </c>
      <c r="E52" t="s">
        <v>58</v>
      </c>
      <c r="F52" t="s">
        <v>58</v>
      </c>
      <c r="G52" t="s">
        <v>59</v>
      </c>
      <c r="H52" t="s">
        <v>59</v>
      </c>
      <c r="I52" t="s">
        <v>607</v>
      </c>
      <c r="J52" t="s">
        <v>215</v>
      </c>
      <c r="L52" t="s">
        <v>608</v>
      </c>
      <c r="M52">
        <v>2</v>
      </c>
      <c r="N52">
        <v>0</v>
      </c>
      <c r="O52" t="s">
        <v>609</v>
      </c>
      <c r="P52" t="s">
        <v>253</v>
      </c>
      <c r="Q52" t="s">
        <v>610</v>
      </c>
      <c r="R52" t="s">
        <v>65</v>
      </c>
      <c r="W52" t="s">
        <v>468</v>
      </c>
      <c r="X52" t="s">
        <v>67</v>
      </c>
      <c r="Y52" t="s">
        <v>611</v>
      </c>
      <c r="Z52" t="s">
        <v>612</v>
      </c>
      <c r="AA52" t="s">
        <v>160</v>
      </c>
      <c r="AB52" t="s">
        <v>123</v>
      </c>
      <c r="AC52" t="s">
        <v>613</v>
      </c>
      <c r="AD52">
        <v>9</v>
      </c>
      <c r="AE52" s="1">
        <v>45747</v>
      </c>
      <c r="AF52" s="2">
        <v>0.75</v>
      </c>
      <c r="AG52" s="1"/>
      <c r="AH52" s="2"/>
      <c r="AI52" s="1">
        <v>45748</v>
      </c>
      <c r="AJ52" s="2">
        <v>3.6863425925925924E-2</v>
      </c>
      <c r="AK52">
        <v>2025</v>
      </c>
      <c r="AL52">
        <v>310</v>
      </c>
      <c r="AM52" t="s">
        <v>608</v>
      </c>
      <c r="AN52" t="s">
        <v>614</v>
      </c>
      <c r="AO52" t="s">
        <v>59</v>
      </c>
      <c r="AP52" t="s">
        <v>59</v>
      </c>
      <c r="AQ52" s="1">
        <v>45747</v>
      </c>
      <c r="AR52" s="33">
        <v>0.75</v>
      </c>
      <c r="AS52" s="33">
        <v>0.75</v>
      </c>
      <c r="AT52" t="s">
        <v>450</v>
      </c>
      <c r="AU52" t="s">
        <v>461</v>
      </c>
      <c r="AV52">
        <v>14</v>
      </c>
      <c r="AW52">
        <v>6</v>
      </c>
      <c r="AX52">
        <v>31</v>
      </c>
      <c r="AY52">
        <v>90</v>
      </c>
      <c r="AZ52" s="2">
        <v>45747.75</v>
      </c>
      <c r="BA52" s="32" t="s">
        <v>581</v>
      </c>
    </row>
    <row r="53" spans="1:53" x14ac:dyDescent="0.3">
      <c r="A53" t="s">
        <v>620</v>
      </c>
      <c r="B53" t="s">
        <v>56</v>
      </c>
      <c r="C53" t="s">
        <v>109</v>
      </c>
      <c r="D53" t="s">
        <v>621</v>
      </c>
      <c r="E53" t="s">
        <v>58</v>
      </c>
      <c r="F53" t="s">
        <v>58</v>
      </c>
      <c r="G53" t="s">
        <v>59</v>
      </c>
      <c r="H53" t="s">
        <v>59</v>
      </c>
      <c r="I53" t="s">
        <v>622</v>
      </c>
      <c r="J53" t="s">
        <v>327</v>
      </c>
      <c r="K53">
        <v>7</v>
      </c>
      <c r="L53" t="s">
        <v>623</v>
      </c>
      <c r="O53" t="s">
        <v>624</v>
      </c>
      <c r="P53" t="s">
        <v>625</v>
      </c>
      <c r="Q53" t="s">
        <v>626</v>
      </c>
      <c r="R53" t="s">
        <v>65</v>
      </c>
      <c r="W53" t="s">
        <v>66</v>
      </c>
      <c r="X53" t="s">
        <v>67</v>
      </c>
      <c r="Y53" t="s">
        <v>330</v>
      </c>
      <c r="Z53" t="s">
        <v>69</v>
      </c>
      <c r="AA53" t="s">
        <v>160</v>
      </c>
      <c r="AB53" t="s">
        <v>71</v>
      </c>
      <c r="AD53">
        <v>9</v>
      </c>
      <c r="AE53" s="1">
        <v>45748</v>
      </c>
      <c r="AF53" s="2">
        <v>0.85324074074074074</v>
      </c>
      <c r="AG53" s="1"/>
      <c r="AH53" s="2"/>
      <c r="AI53" s="1">
        <v>45748</v>
      </c>
      <c r="AJ53" s="2">
        <v>0.85324074074074074</v>
      </c>
      <c r="AK53">
        <v>2025</v>
      </c>
      <c r="AL53">
        <v>77</v>
      </c>
      <c r="AM53" t="s">
        <v>623</v>
      </c>
      <c r="AN53" t="s">
        <v>627</v>
      </c>
      <c r="AO53" t="s">
        <v>59</v>
      </c>
      <c r="AP53" t="s">
        <v>59</v>
      </c>
      <c r="AQ53" s="1">
        <v>45748</v>
      </c>
      <c r="AR53" s="33">
        <v>0.83333333333333337</v>
      </c>
      <c r="AS53" s="33">
        <v>0.85324074074074074</v>
      </c>
      <c r="AT53" t="s">
        <v>451</v>
      </c>
      <c r="AU53" t="s">
        <v>598</v>
      </c>
      <c r="AV53">
        <v>14</v>
      </c>
      <c r="AW53">
        <v>1</v>
      </c>
      <c r="AX53">
        <v>1</v>
      </c>
      <c r="AY53">
        <v>91</v>
      </c>
      <c r="AZ53" s="2">
        <v>45748.852777777778</v>
      </c>
      <c r="BA53" s="32" t="s">
        <v>604</v>
      </c>
    </row>
    <row r="54" spans="1:53" x14ac:dyDescent="0.3">
      <c r="A54" t="s">
        <v>640</v>
      </c>
      <c r="B54" t="s">
        <v>641</v>
      </c>
      <c r="C54" t="s">
        <v>109</v>
      </c>
      <c r="D54" t="s">
        <v>642</v>
      </c>
      <c r="E54" t="s">
        <v>643</v>
      </c>
      <c r="F54" t="s">
        <v>644</v>
      </c>
      <c r="G54" t="s">
        <v>412</v>
      </c>
      <c r="H54" t="s">
        <v>400</v>
      </c>
      <c r="I54" t="s">
        <v>645</v>
      </c>
      <c r="J54" t="s">
        <v>101</v>
      </c>
      <c r="K54">
        <v>8</v>
      </c>
      <c r="L54" t="s">
        <v>646</v>
      </c>
      <c r="W54" t="s">
        <v>157</v>
      </c>
      <c r="X54" t="s">
        <v>67</v>
      </c>
      <c r="Y54" t="s">
        <v>647</v>
      </c>
      <c r="Z54" t="s">
        <v>351</v>
      </c>
      <c r="AA54" t="s">
        <v>352</v>
      </c>
      <c r="AB54" t="s">
        <v>418</v>
      </c>
      <c r="AD54">
        <v>9</v>
      </c>
      <c r="AE54" s="1">
        <v>45749</v>
      </c>
      <c r="AF54" s="2">
        <v>0.89930555555555558</v>
      </c>
      <c r="AG54" s="1"/>
      <c r="AH54" s="2"/>
      <c r="AI54" s="1">
        <v>45749</v>
      </c>
      <c r="AJ54" s="2">
        <v>0.90325231481481483</v>
      </c>
      <c r="AK54">
        <v>2025</v>
      </c>
      <c r="AL54">
        <v>260</v>
      </c>
      <c r="AM54" t="s">
        <v>646</v>
      </c>
      <c r="AO54" t="s">
        <v>59</v>
      </c>
      <c r="AP54" t="s">
        <v>59</v>
      </c>
      <c r="AQ54" s="1">
        <v>45749</v>
      </c>
      <c r="AR54" s="33">
        <v>0.875</v>
      </c>
      <c r="AS54" s="33">
        <v>0.89930555555555558</v>
      </c>
      <c r="AT54" t="s">
        <v>452</v>
      </c>
      <c r="AU54" t="s">
        <v>598</v>
      </c>
      <c r="AV54">
        <v>14</v>
      </c>
      <c r="AW54">
        <v>1</v>
      </c>
      <c r="AX54">
        <v>2</v>
      </c>
      <c r="AY54">
        <v>92</v>
      </c>
      <c r="AZ54" s="2">
        <v>45749.899305555555</v>
      </c>
      <c r="BA54" s="32" t="s">
        <v>604</v>
      </c>
    </row>
    <row r="55" spans="1:53" x14ac:dyDescent="0.3">
      <c r="A55" t="s">
        <v>597</v>
      </c>
      <c r="B55" t="s">
        <v>599</v>
      </c>
      <c r="C55" t="s">
        <v>76</v>
      </c>
      <c r="D55" t="s">
        <v>600</v>
      </c>
      <c r="E55" t="s">
        <v>132</v>
      </c>
      <c r="F55" t="s">
        <v>132</v>
      </c>
      <c r="G55" t="s">
        <v>59</v>
      </c>
      <c r="H55" t="s">
        <v>59</v>
      </c>
      <c r="I55" t="s">
        <v>601</v>
      </c>
      <c r="J55" t="s">
        <v>145</v>
      </c>
      <c r="K55">
        <v>5</v>
      </c>
      <c r="L55" t="s">
        <v>602</v>
      </c>
      <c r="W55" t="s">
        <v>157</v>
      </c>
      <c r="X55" t="s">
        <v>67</v>
      </c>
      <c r="Y55" t="s">
        <v>603</v>
      </c>
      <c r="Z55" t="s">
        <v>206</v>
      </c>
      <c r="AA55" t="s">
        <v>524</v>
      </c>
      <c r="AB55" t="s">
        <v>123</v>
      </c>
      <c r="AD55">
        <v>9</v>
      </c>
      <c r="AE55" s="1">
        <v>45748</v>
      </c>
      <c r="AF55" s="2">
        <v>0.5</v>
      </c>
      <c r="AG55" s="1">
        <v>45751</v>
      </c>
      <c r="AH55" s="2">
        <v>0.52083333333333337</v>
      </c>
      <c r="AI55" s="1">
        <v>45751</v>
      </c>
      <c r="AJ55" s="2">
        <v>0.54546296296296293</v>
      </c>
      <c r="AK55">
        <v>2025</v>
      </c>
      <c r="AL55">
        <v>75</v>
      </c>
      <c r="AM55" t="s">
        <v>602</v>
      </c>
      <c r="AO55" t="s">
        <v>59</v>
      </c>
      <c r="AP55" t="s">
        <v>59</v>
      </c>
      <c r="AQ55" s="1">
        <v>45748</v>
      </c>
      <c r="AR55" s="33">
        <v>0.5</v>
      </c>
      <c r="AS55" s="33">
        <v>0.5</v>
      </c>
      <c r="AT55" t="s">
        <v>451</v>
      </c>
      <c r="AU55" t="s">
        <v>598</v>
      </c>
      <c r="AV55">
        <v>14</v>
      </c>
      <c r="AW55">
        <v>1</v>
      </c>
      <c r="AX55">
        <v>1</v>
      </c>
      <c r="AY55">
        <v>91</v>
      </c>
      <c r="AZ55" s="2">
        <v>45748.5</v>
      </c>
      <c r="BA55" s="32" t="s">
        <v>604</v>
      </c>
    </row>
    <row r="56" spans="1:53" x14ac:dyDescent="0.3">
      <c r="A56" t="s">
        <v>717</v>
      </c>
      <c r="B56" t="s">
        <v>718</v>
      </c>
      <c r="C56" t="s">
        <v>172</v>
      </c>
      <c r="D56" t="s">
        <v>719</v>
      </c>
      <c r="E56" t="s">
        <v>720</v>
      </c>
      <c r="F56" t="s">
        <v>58</v>
      </c>
      <c r="G56" t="s">
        <v>361</v>
      </c>
      <c r="H56" t="s">
        <v>721</v>
      </c>
      <c r="I56" t="s">
        <v>722</v>
      </c>
      <c r="J56" t="s">
        <v>592</v>
      </c>
      <c r="K56">
        <v>7</v>
      </c>
      <c r="L56" t="s">
        <v>723</v>
      </c>
      <c r="O56" t="s">
        <v>724</v>
      </c>
      <c r="P56" t="s">
        <v>500</v>
      </c>
      <c r="Q56" t="s">
        <v>725</v>
      </c>
      <c r="R56" t="s">
        <v>65</v>
      </c>
      <c r="W56" t="s">
        <v>726</v>
      </c>
      <c r="X56" t="s">
        <v>67</v>
      </c>
      <c r="Y56" t="s">
        <v>89</v>
      </c>
      <c r="Z56" t="s">
        <v>90</v>
      </c>
      <c r="AD56">
        <v>9</v>
      </c>
      <c r="AE56" s="1">
        <v>45755</v>
      </c>
      <c r="AF56" s="2">
        <v>3.2638888888888891E-2</v>
      </c>
      <c r="AG56" s="1"/>
      <c r="AH56" s="2"/>
      <c r="AI56" s="1">
        <v>45755</v>
      </c>
      <c r="AJ56" s="2">
        <v>3.6493055555555556E-2</v>
      </c>
      <c r="AK56">
        <v>2025</v>
      </c>
      <c r="AL56">
        <v>120</v>
      </c>
      <c r="AM56" t="s">
        <v>723</v>
      </c>
      <c r="AN56" t="s">
        <v>727</v>
      </c>
      <c r="AO56" t="s">
        <v>728</v>
      </c>
      <c r="AP56" t="s">
        <v>729</v>
      </c>
      <c r="AQ56" s="1">
        <v>45755</v>
      </c>
      <c r="AR56" s="33">
        <v>0</v>
      </c>
      <c r="AS56" s="33">
        <v>3.2638888888888891E-2</v>
      </c>
      <c r="AT56" t="s">
        <v>451</v>
      </c>
      <c r="AU56" t="s">
        <v>598</v>
      </c>
      <c r="AV56">
        <v>15</v>
      </c>
      <c r="AW56">
        <v>2</v>
      </c>
      <c r="AX56">
        <v>8</v>
      </c>
      <c r="AY56">
        <v>98</v>
      </c>
      <c r="AZ56" s="2">
        <v>45755.032638888886</v>
      </c>
      <c r="BA56" s="32" t="s">
        <v>730</v>
      </c>
    </row>
    <row r="57" spans="1:53" x14ac:dyDescent="0.3">
      <c r="A57" t="s">
        <v>799</v>
      </c>
      <c r="B57" t="s">
        <v>800</v>
      </c>
      <c r="C57" t="s">
        <v>109</v>
      </c>
      <c r="D57" t="s">
        <v>801</v>
      </c>
      <c r="E57" t="s">
        <v>58</v>
      </c>
      <c r="F57" t="s">
        <v>58</v>
      </c>
      <c r="G57" t="s">
        <v>59</v>
      </c>
      <c r="H57" t="s">
        <v>59</v>
      </c>
      <c r="I57" t="s">
        <v>802</v>
      </c>
      <c r="J57" t="s">
        <v>155</v>
      </c>
      <c r="K57">
        <v>8</v>
      </c>
      <c r="L57" t="s">
        <v>803</v>
      </c>
      <c r="O57" t="s">
        <v>804</v>
      </c>
      <c r="P57" t="s">
        <v>555</v>
      </c>
      <c r="Q57" t="s">
        <v>805</v>
      </c>
      <c r="R57" t="s">
        <v>65</v>
      </c>
      <c r="W57" t="s">
        <v>416</v>
      </c>
      <c r="X57" t="s">
        <v>67</v>
      </c>
      <c r="Y57" t="s">
        <v>244</v>
      </c>
      <c r="Z57" t="s">
        <v>206</v>
      </c>
      <c r="AA57" t="s">
        <v>524</v>
      </c>
      <c r="AB57" t="s">
        <v>123</v>
      </c>
      <c r="AD57">
        <v>9</v>
      </c>
      <c r="AE57" s="1">
        <v>45756</v>
      </c>
      <c r="AF57" s="2">
        <v>0.96527777777777779</v>
      </c>
      <c r="AG57" s="1">
        <v>45756</v>
      </c>
      <c r="AH57" s="2">
        <v>0.96597222222222223</v>
      </c>
      <c r="AI57" s="1">
        <v>45757</v>
      </c>
      <c r="AJ57" s="2">
        <v>0.57611111111111113</v>
      </c>
      <c r="AK57">
        <v>2025</v>
      </c>
      <c r="AL57">
        <v>283</v>
      </c>
      <c r="AM57" t="s">
        <v>803</v>
      </c>
      <c r="AN57" t="s">
        <v>806</v>
      </c>
      <c r="AO57" t="s">
        <v>807</v>
      </c>
      <c r="AP57" t="s">
        <v>808</v>
      </c>
      <c r="AQ57" s="1">
        <v>45756</v>
      </c>
      <c r="AR57" s="33">
        <v>0.95833333333333337</v>
      </c>
      <c r="AS57" s="33">
        <v>0.96527777777777779</v>
      </c>
      <c r="AT57" t="s">
        <v>452</v>
      </c>
      <c r="AU57" t="s">
        <v>598</v>
      </c>
      <c r="AV57">
        <v>15</v>
      </c>
      <c r="AW57">
        <v>2</v>
      </c>
      <c r="AX57">
        <v>9</v>
      </c>
      <c r="AY57">
        <v>99</v>
      </c>
      <c r="AZ57" s="2">
        <v>45756.965277777781</v>
      </c>
      <c r="BA57" s="32" t="s">
        <v>730</v>
      </c>
    </row>
    <row r="58" spans="1:53" x14ac:dyDescent="0.3">
      <c r="A58" t="s">
        <v>819</v>
      </c>
      <c r="B58" t="s">
        <v>294</v>
      </c>
      <c r="C58" t="s">
        <v>76</v>
      </c>
      <c r="D58" t="s">
        <v>820</v>
      </c>
      <c r="E58" t="s">
        <v>132</v>
      </c>
      <c r="F58" t="s">
        <v>132</v>
      </c>
      <c r="G58" t="s">
        <v>59</v>
      </c>
      <c r="H58" t="s">
        <v>59</v>
      </c>
      <c r="I58" t="s">
        <v>821</v>
      </c>
      <c r="J58" t="s">
        <v>145</v>
      </c>
      <c r="K58">
        <v>5</v>
      </c>
      <c r="L58" t="s">
        <v>822</v>
      </c>
      <c r="W58" t="s">
        <v>416</v>
      </c>
      <c r="X58" t="s">
        <v>67</v>
      </c>
      <c r="Y58" t="s">
        <v>579</v>
      </c>
      <c r="Z58" t="s">
        <v>121</v>
      </c>
      <c r="AA58" t="s">
        <v>106</v>
      </c>
      <c r="AB58" t="s">
        <v>123</v>
      </c>
      <c r="AD58">
        <v>9</v>
      </c>
      <c r="AE58" s="1">
        <v>45755</v>
      </c>
      <c r="AF58" s="2">
        <v>0.5</v>
      </c>
      <c r="AG58" s="1">
        <v>45759</v>
      </c>
      <c r="AH58" s="2">
        <v>0.5</v>
      </c>
      <c r="AI58" s="1">
        <v>45755</v>
      </c>
      <c r="AJ58" s="2">
        <v>0.5269907407407407</v>
      </c>
      <c r="AK58">
        <v>2025</v>
      </c>
      <c r="AL58">
        <v>140</v>
      </c>
      <c r="AM58" t="s">
        <v>822</v>
      </c>
      <c r="AO58" t="s">
        <v>59</v>
      </c>
      <c r="AP58" t="s">
        <v>823</v>
      </c>
      <c r="AQ58" s="1">
        <v>45755</v>
      </c>
      <c r="AR58" s="33">
        <v>0.5</v>
      </c>
      <c r="AS58" s="33">
        <v>0.5</v>
      </c>
      <c r="AT58" t="s">
        <v>451</v>
      </c>
      <c r="AU58" t="s">
        <v>598</v>
      </c>
      <c r="AV58">
        <v>15</v>
      </c>
      <c r="AW58">
        <v>2</v>
      </c>
      <c r="AX58">
        <v>8</v>
      </c>
      <c r="AY58">
        <v>98</v>
      </c>
      <c r="AZ58" s="2">
        <v>45755.5</v>
      </c>
      <c r="BA58" s="32" t="s">
        <v>730</v>
      </c>
    </row>
    <row r="59" spans="1:53" x14ac:dyDescent="0.3">
      <c r="A59" t="s">
        <v>824</v>
      </c>
      <c r="B59" t="s">
        <v>825</v>
      </c>
      <c r="C59" t="s">
        <v>95</v>
      </c>
      <c r="D59" t="s">
        <v>826</v>
      </c>
      <c r="E59" t="s">
        <v>827</v>
      </c>
      <c r="F59" t="s">
        <v>58</v>
      </c>
      <c r="G59" t="s">
        <v>828</v>
      </c>
      <c r="H59" t="s">
        <v>59</v>
      </c>
      <c r="I59" t="s">
        <v>829</v>
      </c>
      <c r="J59" t="s">
        <v>134</v>
      </c>
      <c r="K59">
        <v>7</v>
      </c>
      <c r="L59" t="s">
        <v>830</v>
      </c>
      <c r="O59" t="s">
        <v>831</v>
      </c>
      <c r="P59" t="s">
        <v>63</v>
      </c>
      <c r="Q59" t="s">
        <v>218</v>
      </c>
      <c r="R59" t="s">
        <v>65</v>
      </c>
      <c r="S59" t="s">
        <v>832</v>
      </c>
      <c r="T59" t="s">
        <v>65</v>
      </c>
      <c r="U59" t="s">
        <v>117</v>
      </c>
      <c r="V59" t="s">
        <v>833</v>
      </c>
      <c r="W59" t="s">
        <v>157</v>
      </c>
      <c r="X59" t="s">
        <v>67</v>
      </c>
      <c r="Y59" t="s">
        <v>834</v>
      </c>
      <c r="Z59" t="s">
        <v>159</v>
      </c>
      <c r="AA59" t="s">
        <v>160</v>
      </c>
      <c r="AB59" t="s">
        <v>435</v>
      </c>
      <c r="AD59">
        <v>9</v>
      </c>
      <c r="AE59" s="1"/>
      <c r="AF59" s="2"/>
      <c r="AG59" s="1">
        <v>45760</v>
      </c>
      <c r="AH59" s="2">
        <v>0.6875</v>
      </c>
      <c r="AI59" s="1">
        <v>45761</v>
      </c>
      <c r="AJ59" s="2">
        <v>0.69084490740740745</v>
      </c>
      <c r="AK59">
        <v>2025</v>
      </c>
      <c r="AL59">
        <v>157</v>
      </c>
      <c r="AM59" t="s">
        <v>830</v>
      </c>
      <c r="AN59" t="s">
        <v>835</v>
      </c>
      <c r="AO59" t="s">
        <v>836</v>
      </c>
      <c r="AP59" t="s">
        <v>837</v>
      </c>
      <c r="AQ59" s="1">
        <v>45760</v>
      </c>
      <c r="AR59" s="33">
        <v>0.66666666666666663</v>
      </c>
      <c r="AS59" s="33">
        <v>0.6875</v>
      </c>
      <c r="AT59" t="s">
        <v>458</v>
      </c>
      <c r="AU59" t="s">
        <v>598</v>
      </c>
      <c r="AV59">
        <v>16</v>
      </c>
      <c r="AW59">
        <v>3</v>
      </c>
      <c r="AX59">
        <v>13</v>
      </c>
      <c r="AY59">
        <v>103</v>
      </c>
      <c r="AZ59" s="2">
        <v>45760.6875</v>
      </c>
      <c r="BA59" s="32" t="s">
        <v>730</v>
      </c>
    </row>
    <row r="60" spans="1:53" x14ac:dyDescent="0.3">
      <c r="A60" t="s">
        <v>838</v>
      </c>
      <c r="B60" t="s">
        <v>56</v>
      </c>
      <c r="C60" t="s">
        <v>95</v>
      </c>
      <c r="D60" t="s">
        <v>839</v>
      </c>
      <c r="E60" t="s">
        <v>840</v>
      </c>
      <c r="F60" t="s">
        <v>132</v>
      </c>
      <c r="G60" t="s">
        <v>841</v>
      </c>
      <c r="H60" t="s">
        <v>708</v>
      </c>
      <c r="I60" t="s">
        <v>842</v>
      </c>
      <c r="J60" t="s">
        <v>327</v>
      </c>
      <c r="K60">
        <v>7</v>
      </c>
      <c r="L60" t="s">
        <v>843</v>
      </c>
      <c r="W60" t="s">
        <v>157</v>
      </c>
      <c r="X60" t="s">
        <v>67</v>
      </c>
      <c r="Y60" t="s">
        <v>147</v>
      </c>
      <c r="Z60" t="s">
        <v>90</v>
      </c>
      <c r="AA60" t="s">
        <v>160</v>
      </c>
      <c r="AB60" t="s">
        <v>435</v>
      </c>
      <c r="AD60">
        <v>9</v>
      </c>
      <c r="AE60" s="1">
        <v>45760</v>
      </c>
      <c r="AF60" s="2">
        <v>0.78115740740740736</v>
      </c>
      <c r="AG60" s="1"/>
      <c r="AH60" s="2"/>
      <c r="AI60" s="1">
        <v>45759</v>
      </c>
      <c r="AJ60" s="2">
        <v>0.78115740740740736</v>
      </c>
      <c r="AK60">
        <v>2025</v>
      </c>
      <c r="AL60">
        <v>64</v>
      </c>
      <c r="AM60" t="s">
        <v>843</v>
      </c>
      <c r="AO60" t="s">
        <v>59</v>
      </c>
      <c r="AP60" t="s">
        <v>844</v>
      </c>
      <c r="AQ60" s="1">
        <v>45760</v>
      </c>
      <c r="AR60" s="33">
        <v>0.75</v>
      </c>
      <c r="AS60" s="33">
        <v>0.78115740740740736</v>
      </c>
      <c r="AT60" t="s">
        <v>458</v>
      </c>
      <c r="AU60" t="s">
        <v>598</v>
      </c>
      <c r="AV60">
        <v>16</v>
      </c>
      <c r="AW60">
        <v>3</v>
      </c>
      <c r="AX60">
        <v>13</v>
      </c>
      <c r="AY60">
        <v>103</v>
      </c>
      <c r="AZ60" s="2">
        <v>45760.780555555553</v>
      </c>
      <c r="BA60" s="32" t="s">
        <v>730</v>
      </c>
    </row>
    <row r="61" spans="1:53" x14ac:dyDescent="0.3">
      <c r="A61" t="s">
        <v>845</v>
      </c>
      <c r="B61" t="s">
        <v>846</v>
      </c>
      <c r="C61" t="s">
        <v>76</v>
      </c>
      <c r="D61" t="s">
        <v>847</v>
      </c>
      <c r="E61" t="s">
        <v>398</v>
      </c>
      <c r="F61" t="s">
        <v>398</v>
      </c>
      <c r="G61" t="s">
        <v>59</v>
      </c>
      <c r="H61" t="s">
        <v>59</v>
      </c>
      <c r="I61" t="s">
        <v>848</v>
      </c>
      <c r="J61" t="s">
        <v>849</v>
      </c>
      <c r="K61">
        <v>9</v>
      </c>
      <c r="L61" t="s">
        <v>850</v>
      </c>
      <c r="W61" t="s">
        <v>851</v>
      </c>
      <c r="X61" t="s">
        <v>67</v>
      </c>
      <c r="Y61" t="s">
        <v>852</v>
      </c>
      <c r="Z61" t="s">
        <v>69</v>
      </c>
      <c r="AA61" t="s">
        <v>122</v>
      </c>
      <c r="AB61" t="s">
        <v>123</v>
      </c>
      <c r="AD61">
        <v>9</v>
      </c>
      <c r="AE61" s="1">
        <v>45739</v>
      </c>
      <c r="AF61" s="2">
        <v>0.62013888888888891</v>
      </c>
      <c r="AG61" s="1">
        <v>45739</v>
      </c>
      <c r="AH61" s="2">
        <v>0.64166666666666672</v>
      </c>
      <c r="AI61" s="1">
        <v>45737</v>
      </c>
      <c r="AJ61" s="2">
        <v>0.49540509259259258</v>
      </c>
      <c r="AK61">
        <v>2025</v>
      </c>
      <c r="AL61">
        <v>2</v>
      </c>
      <c r="AM61" t="s">
        <v>850</v>
      </c>
      <c r="AO61" t="s">
        <v>853</v>
      </c>
      <c r="AP61" t="s">
        <v>854</v>
      </c>
      <c r="AQ61" s="1">
        <v>45739</v>
      </c>
      <c r="AR61" s="33">
        <v>0.58333333333333337</v>
      </c>
      <c r="AS61" s="33">
        <v>0.62013888888888891</v>
      </c>
      <c r="AT61" t="s">
        <v>458</v>
      </c>
      <c r="AU61" t="s">
        <v>461</v>
      </c>
      <c r="AV61">
        <v>13</v>
      </c>
      <c r="AW61">
        <v>5</v>
      </c>
      <c r="AX61">
        <v>23</v>
      </c>
      <c r="AY61">
        <v>82</v>
      </c>
      <c r="AZ61" s="2">
        <v>45739.620138888888</v>
      </c>
      <c r="BA61" s="32" t="s">
        <v>548</v>
      </c>
    </row>
  </sheetData>
  <conditionalFormatting sqref="A2:A61">
    <cfRule type="duplicateValues" dxfId="1" priority="1"/>
  </conditionalFormatting>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60297-A9AE-4D69-A79A-FDFC880AA012}">
  <dimension ref="A1"/>
  <sheetViews>
    <sheetView workbookViewId="0"/>
  </sheetViews>
  <sheetFormatPr defaultRowHeight="14.4" x14ac:dyDescent="0.3"/>
  <sheetData>
    <row r="1" spans="1:1" x14ac:dyDescent="0.3">
      <c r="A1" t="s">
        <v>891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32AB-6214-4DE5-892C-6E0F89E34DE7}">
  <sheetPr codeName="Sheet12">
    <tabColor theme="3"/>
  </sheetPr>
  <dimension ref="A1:CO717"/>
  <sheetViews>
    <sheetView tabSelected="1" workbookViewId="0">
      <selection sqref="A1:AK717"/>
    </sheetView>
  </sheetViews>
  <sheetFormatPr defaultColWidth="8.88671875" defaultRowHeight="15.6" x14ac:dyDescent="0.3"/>
  <cols>
    <col min="1" max="1" width="43.44140625" style="3" bestFit="1" customWidth="1"/>
    <col min="2" max="2" width="11.33203125" style="3" bestFit="1" customWidth="1"/>
    <col min="3" max="3" width="15" style="3" bestFit="1" customWidth="1"/>
    <col min="4" max="4" width="15.109375" style="3" bestFit="1" customWidth="1"/>
    <col min="5" max="5" width="14.6640625" style="3" bestFit="1" customWidth="1"/>
    <col min="6" max="6" width="76.21875" style="3" bestFit="1" customWidth="1"/>
    <col min="7" max="8" width="14.44140625" style="3" bestFit="1" customWidth="1"/>
    <col min="9" max="9" width="14.6640625" style="3" bestFit="1" customWidth="1"/>
    <col min="10" max="10" width="23" style="3" bestFit="1" customWidth="1"/>
    <col min="11" max="11" width="23.21875" style="3" bestFit="1" customWidth="1"/>
    <col min="12" max="12" width="13.21875" style="3" bestFit="1" customWidth="1"/>
    <col min="13" max="13" width="13.44140625" style="3" bestFit="1" customWidth="1"/>
    <col min="14" max="14" width="29.6640625" style="3" bestFit="1" customWidth="1"/>
    <col min="15" max="15" width="33.88671875" style="3" bestFit="1" customWidth="1"/>
    <col min="16" max="16" width="28.33203125" style="3" bestFit="1" customWidth="1"/>
    <col min="17" max="17" width="65.44140625" style="3" bestFit="1" customWidth="1"/>
    <col min="18" max="18" width="6.6640625" style="3" bestFit="1" customWidth="1"/>
    <col min="19" max="19" width="7.44140625" style="3" bestFit="1" customWidth="1"/>
    <col min="20" max="20" width="80.88671875" style="3" bestFit="1" customWidth="1"/>
    <col min="21" max="21" width="18.5546875" style="3" bestFit="1" customWidth="1"/>
    <col min="22" max="22" width="20.109375" style="3" bestFit="1" customWidth="1"/>
    <col min="23" max="23" width="14.6640625" style="3" bestFit="1" customWidth="1"/>
    <col min="24" max="24" width="9" style="3" bestFit="1" customWidth="1"/>
    <col min="25" max="25" width="9.6640625" style="3" bestFit="1" customWidth="1"/>
    <col min="26" max="26" width="12.5546875" style="3" bestFit="1" customWidth="1"/>
    <col min="27" max="27" width="14.6640625" style="3" bestFit="1" customWidth="1"/>
    <col min="28" max="28" width="12.5546875" style="3" bestFit="1" customWidth="1"/>
    <col min="29" max="29" width="9" style="3" bestFit="1" customWidth="1"/>
    <col min="30" max="30" width="9.6640625" style="3" bestFit="1" customWidth="1"/>
    <col min="31" max="31" width="13.88671875" style="3" bestFit="1" customWidth="1"/>
    <col min="32" max="32" width="14.77734375" style="3" bestFit="1" customWidth="1"/>
    <col min="33" max="33" width="26" style="3" bestFit="1" customWidth="1"/>
    <col min="34" max="34" width="8.5546875" style="3" bestFit="1" customWidth="1"/>
    <col min="35" max="35" width="25" style="3" bestFit="1" customWidth="1"/>
    <col min="36" max="36" width="26.109375" style="3" bestFit="1" customWidth="1"/>
    <col min="37" max="37" width="42.44140625" style="3" bestFit="1" customWidth="1"/>
    <col min="38" max="38" width="13" style="3" bestFit="1" customWidth="1"/>
    <col min="39" max="39" width="7" style="3" bestFit="1" customWidth="1"/>
    <col min="40" max="40" width="20.109375" style="14" bestFit="1" customWidth="1"/>
    <col min="41" max="41" width="16" style="20" bestFit="1" customWidth="1"/>
    <col min="42" max="42" width="24.33203125" style="16" bestFit="1" customWidth="1"/>
    <col min="43" max="43" width="18.77734375" style="22" bestFit="1" customWidth="1"/>
    <col min="44" max="44" width="15.44140625" style="22" bestFit="1" customWidth="1"/>
    <col min="45" max="45" width="16.21875" style="3" bestFit="1" customWidth="1"/>
    <col min="46" max="46" width="19" style="3" bestFit="1" customWidth="1"/>
    <col min="47" max="48" width="36.5546875" style="3" bestFit="1" customWidth="1"/>
    <col min="49" max="49" width="66.33203125" style="3" bestFit="1" customWidth="1"/>
    <col min="50" max="50" width="27.77734375" style="3" bestFit="1" customWidth="1"/>
    <col min="51" max="51" width="28" style="3" bestFit="1" customWidth="1"/>
    <col min="52" max="52" width="22.21875" style="3" bestFit="1" customWidth="1"/>
    <col min="53" max="53" width="72.77734375" style="3" bestFit="1" customWidth="1"/>
    <col min="54" max="54" width="10" style="14" bestFit="1" customWidth="1"/>
    <col min="55" max="55" width="10.6640625" style="14" bestFit="1" customWidth="1"/>
    <col min="56" max="56" width="80.88671875" style="3" bestFit="1" customWidth="1"/>
    <col min="57" max="57" width="24.44140625" style="14" bestFit="1" customWidth="1"/>
    <col min="58" max="58" width="26.44140625" style="14" bestFit="1" customWidth="1"/>
    <col min="59" max="59" width="20.21875" style="14" bestFit="1" customWidth="1"/>
    <col min="60" max="60" width="12.44140625" style="14" bestFit="1" customWidth="1"/>
    <col min="61" max="61" width="13.33203125" style="14" bestFit="1" customWidth="1"/>
    <col min="62" max="62" width="17.109375" style="14" bestFit="1" customWidth="1"/>
    <col min="63" max="63" width="20.21875" style="14" bestFit="1" customWidth="1"/>
    <col min="64" max="64" width="17.109375" style="14" bestFit="1" customWidth="1"/>
    <col min="65" max="65" width="12.44140625" style="14" bestFit="1" customWidth="1"/>
    <col min="66" max="66" width="13.33203125" style="14" bestFit="1" customWidth="1"/>
    <col min="67" max="67" width="18.88671875" style="3" bestFit="1" customWidth="1"/>
    <col min="68" max="68" width="20.88671875" style="3" bestFit="1" customWidth="1"/>
    <col min="69" max="69" width="28.44140625" style="3" bestFit="1" customWidth="1"/>
    <col min="70" max="70" width="12" style="14" bestFit="1" customWidth="1"/>
    <col min="71" max="71" width="27.33203125" style="3" bestFit="1" customWidth="1"/>
    <col min="72" max="72" width="28.44140625" style="3" bestFit="1" customWidth="1"/>
    <col min="73" max="73" width="46.21875" style="3" bestFit="1" customWidth="1"/>
    <col min="74" max="74" width="31.6640625" style="14" bestFit="1" customWidth="1"/>
    <col min="75" max="75" width="19.6640625" style="31" bestFit="1" customWidth="1"/>
    <col min="76" max="76" width="19.88671875" style="23" bestFit="1" customWidth="1"/>
    <col min="77" max="77" width="30.33203125" style="31" bestFit="1" customWidth="1"/>
    <col min="78" max="78" width="30.5546875" style="23" bestFit="1" customWidth="1"/>
    <col min="79" max="79" width="18.109375" style="31" bestFit="1" customWidth="1"/>
    <col min="80" max="80" width="18.33203125" style="23" bestFit="1" customWidth="1"/>
    <col min="81" max="81" width="10.21875" style="14" bestFit="1" customWidth="1"/>
    <col min="82" max="82" width="19.33203125" style="25" bestFit="1" customWidth="1"/>
    <col min="83" max="83" width="21.21875" style="25" bestFit="1" customWidth="1"/>
    <col min="84" max="84" width="9.44140625" style="25" bestFit="1" customWidth="1"/>
    <col min="85" max="85" width="17.21875" style="27" bestFit="1" customWidth="1"/>
    <col min="86" max="86" width="28.109375" style="29" bestFit="1" customWidth="1"/>
    <col min="87" max="87" width="8.77734375" style="14" bestFit="1" customWidth="1"/>
    <col min="88" max="88" width="80.88671875" style="3" bestFit="1" customWidth="1"/>
    <col min="89" max="89" width="65.77734375" style="3" bestFit="1" customWidth="1"/>
    <col min="90" max="91" width="80.88671875" style="3" bestFit="1" customWidth="1"/>
    <col min="92" max="92" width="22.33203125" style="14" bestFit="1" customWidth="1"/>
    <col min="93" max="93" width="25.77734375" style="14" bestFit="1" customWidth="1"/>
    <col min="94" max="94" width="26.88671875" style="3" bestFit="1" customWidth="1"/>
    <col min="95" max="95" width="80.88671875" style="3" bestFit="1" customWidth="1"/>
    <col min="96" max="16384" width="8.88671875" style="3"/>
  </cols>
  <sheetData>
    <row r="1" spans="1:93" s="17" customFormat="1" ht="18" x14ac:dyDescent="0.35">
      <c r="A1" t="s">
        <v>863</v>
      </c>
      <c r="B1" t="s">
        <v>864</v>
      </c>
      <c r="C1" t="s">
        <v>865</v>
      </c>
      <c r="D1" t="s">
        <v>866</v>
      </c>
      <c r="E1" t="s">
        <v>867</v>
      </c>
      <c r="F1" t="s">
        <v>868</v>
      </c>
      <c r="G1" t="s">
        <v>0</v>
      </c>
      <c r="H1" t="s">
        <v>35</v>
      </c>
      <c r="I1" t="s">
        <v>36</v>
      </c>
      <c r="J1" t="s">
        <v>37</v>
      </c>
      <c r="K1" t="s">
        <v>38</v>
      </c>
      <c r="L1" t="s">
        <v>39</v>
      </c>
      <c r="M1" t="s">
        <v>40</v>
      </c>
      <c r="N1" t="s">
        <v>9</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row>
    <row r="2" spans="1:93" x14ac:dyDescent="0.3">
      <c r="A2" t="s">
        <v>869</v>
      </c>
      <c r="B2" t="s">
        <v>870</v>
      </c>
      <c r="C2" s="2">
        <v>45764.926232511571</v>
      </c>
      <c r="D2" s="2">
        <v>45712.700470138887</v>
      </c>
      <c r="E2" s="2">
        <v>45760.800313252315</v>
      </c>
      <c r="F2" t="s">
        <v>871</v>
      </c>
      <c r="G2" t="s">
        <v>210</v>
      </c>
      <c r="H2">
        <v>45660</v>
      </c>
      <c r="I2">
        <v>0.89583333333333337</v>
      </c>
      <c r="J2">
        <v>45661</v>
      </c>
      <c r="K2">
        <v>0.26736111111111116</v>
      </c>
      <c r="L2">
        <v>45661</v>
      </c>
      <c r="M2">
        <v>0.4577430555555555</v>
      </c>
      <c r="N2" t="s">
        <v>892</v>
      </c>
      <c r="O2"/>
      <c r="P2"/>
      <c r="Q2" t="s">
        <v>214</v>
      </c>
      <c r="R2" t="s">
        <v>215</v>
      </c>
      <c r="S2" t="s">
        <v>893</v>
      </c>
      <c r="T2" t="s">
        <v>894</v>
      </c>
      <c r="U2"/>
      <c r="V2"/>
      <c r="W2" t="s">
        <v>895</v>
      </c>
      <c r="X2" t="s">
        <v>896</v>
      </c>
      <c r="Y2" t="s">
        <v>218</v>
      </c>
      <c r="Z2" t="s">
        <v>65</v>
      </c>
      <c r="AA2"/>
      <c r="AB2"/>
      <c r="AC2"/>
      <c r="AD2"/>
      <c r="AE2" t="s">
        <v>897</v>
      </c>
      <c r="AF2" t="s">
        <v>67</v>
      </c>
      <c r="AG2" t="s">
        <v>219</v>
      </c>
      <c r="AH2" t="s">
        <v>206</v>
      </c>
      <c r="AI2" t="s">
        <v>220</v>
      </c>
      <c r="AJ2" t="s">
        <v>71</v>
      </c>
      <c r="AK2" t="s">
        <v>221</v>
      </c>
      <c r="AN2" s="3"/>
      <c r="AO2" s="3"/>
      <c r="AP2" s="3"/>
      <c r="AQ2" s="3"/>
      <c r="AR2" s="3"/>
      <c r="BB2" s="3"/>
      <c r="BC2" s="3"/>
      <c r="BE2" s="3"/>
      <c r="BF2" s="3"/>
      <c r="BG2" s="3"/>
      <c r="BH2" s="3"/>
      <c r="BI2" s="3"/>
      <c r="BJ2" s="3"/>
      <c r="BK2" s="3"/>
      <c r="BL2" s="3"/>
      <c r="BM2" s="3"/>
      <c r="BN2" s="3"/>
      <c r="BR2" s="3"/>
      <c r="BV2" s="3"/>
      <c r="BW2" s="3"/>
      <c r="BX2" s="3"/>
      <c r="BY2" s="3"/>
      <c r="BZ2" s="3"/>
      <c r="CA2" s="3"/>
      <c r="CB2" s="3"/>
      <c r="CC2" s="3"/>
      <c r="CD2" s="3"/>
      <c r="CE2" s="3"/>
      <c r="CF2" s="3"/>
      <c r="CG2" s="3"/>
      <c r="CH2" s="3"/>
      <c r="CI2" s="3"/>
      <c r="CN2" s="3"/>
      <c r="CO2" s="3"/>
    </row>
    <row r="3" spans="1:93" x14ac:dyDescent="0.3">
      <c r="A3" t="s">
        <v>869</v>
      </c>
      <c r="B3" t="s">
        <v>870</v>
      </c>
      <c r="C3" s="2">
        <v>45764.926232511571</v>
      </c>
      <c r="D3" s="2">
        <v>45712.700470138887</v>
      </c>
      <c r="E3" s="2">
        <v>45760.800313252315</v>
      </c>
      <c r="F3" t="s">
        <v>871</v>
      </c>
      <c r="G3" t="s">
        <v>395</v>
      </c>
      <c r="H3">
        <v>45664</v>
      </c>
      <c r="I3">
        <v>0.58333333333333337</v>
      </c>
      <c r="J3"/>
      <c r="K3"/>
      <c r="L3">
        <v>45667</v>
      </c>
      <c r="M3">
        <v>0.59781250000000008</v>
      </c>
      <c r="N3" t="s">
        <v>898</v>
      </c>
      <c r="O3" t="s">
        <v>400</v>
      </c>
      <c r="P3"/>
      <c r="Q3" t="s">
        <v>401</v>
      </c>
      <c r="R3" t="s">
        <v>134</v>
      </c>
      <c r="S3" t="s">
        <v>899</v>
      </c>
      <c r="T3" t="s">
        <v>900</v>
      </c>
      <c r="U3"/>
      <c r="V3"/>
      <c r="W3"/>
      <c r="X3"/>
      <c r="Y3"/>
      <c r="Z3"/>
      <c r="AA3"/>
      <c r="AB3"/>
      <c r="AC3"/>
      <c r="AD3"/>
      <c r="AE3" t="s">
        <v>901</v>
      </c>
      <c r="AF3" t="s">
        <v>67</v>
      </c>
      <c r="AG3" t="s">
        <v>404</v>
      </c>
      <c r="AH3" t="s">
        <v>405</v>
      </c>
      <c r="AI3" t="s">
        <v>406</v>
      </c>
      <c r="AJ3" t="s">
        <v>71</v>
      </c>
      <c r="AK3" t="s">
        <v>407</v>
      </c>
      <c r="AN3" s="3"/>
      <c r="AO3" s="3"/>
      <c r="AP3" s="3"/>
      <c r="AQ3" s="3"/>
      <c r="AR3" s="3"/>
      <c r="BB3" s="3"/>
      <c r="BC3" s="3"/>
      <c r="BE3" s="3"/>
      <c r="BF3" s="3"/>
      <c r="BG3" s="3"/>
      <c r="BH3" s="3"/>
      <c r="BI3" s="3"/>
      <c r="BJ3" s="3"/>
      <c r="BK3" s="3"/>
      <c r="BL3" s="3"/>
      <c r="BM3" s="3"/>
      <c r="BN3" s="3"/>
      <c r="BR3" s="3"/>
      <c r="BV3" s="3"/>
      <c r="BW3" s="3"/>
      <c r="BX3" s="3"/>
      <c r="BY3" s="3"/>
      <c r="BZ3" s="3"/>
      <c r="CA3" s="3"/>
      <c r="CB3" s="3"/>
      <c r="CC3" s="3"/>
      <c r="CD3" s="3"/>
      <c r="CE3" s="3"/>
      <c r="CF3" s="3"/>
      <c r="CG3" s="3"/>
      <c r="CH3" s="3"/>
      <c r="CI3" s="3"/>
      <c r="CN3" s="3"/>
      <c r="CO3" s="3"/>
    </row>
    <row r="4" spans="1:93" x14ac:dyDescent="0.3">
      <c r="A4" t="s">
        <v>869</v>
      </c>
      <c r="B4" t="s">
        <v>870</v>
      </c>
      <c r="C4" s="2">
        <v>45764.926232511571</v>
      </c>
      <c r="D4" s="2">
        <v>45712.700470138887</v>
      </c>
      <c r="E4" s="2">
        <v>45760.800313252315</v>
      </c>
      <c r="F4" t="s">
        <v>871</v>
      </c>
      <c r="G4" t="s">
        <v>53</v>
      </c>
      <c r="H4">
        <v>45663</v>
      </c>
      <c r="I4">
        <v>0.64583333333333337</v>
      </c>
      <c r="J4">
        <v>45667</v>
      </c>
      <c r="K4"/>
      <c r="L4">
        <v>45667</v>
      </c>
      <c r="M4">
        <v>0.82629629629629631</v>
      </c>
      <c r="N4" t="s">
        <v>902</v>
      </c>
      <c r="O4"/>
      <c r="P4"/>
      <c r="Q4" t="s">
        <v>60</v>
      </c>
      <c r="R4"/>
      <c r="S4" t="s">
        <v>899</v>
      </c>
      <c r="T4" t="s">
        <v>903</v>
      </c>
      <c r="U4"/>
      <c r="V4"/>
      <c r="W4" t="s">
        <v>62</v>
      </c>
      <c r="X4" t="s">
        <v>896</v>
      </c>
      <c r="Y4" t="s">
        <v>64</v>
      </c>
      <c r="Z4" t="s">
        <v>65</v>
      </c>
      <c r="AA4"/>
      <c r="AB4"/>
      <c r="AC4"/>
      <c r="AD4"/>
      <c r="AE4" t="s">
        <v>904</v>
      </c>
      <c r="AF4" t="s">
        <v>67</v>
      </c>
      <c r="AG4" t="s">
        <v>68</v>
      </c>
      <c r="AH4" t="s">
        <v>69</v>
      </c>
      <c r="AI4" t="s">
        <v>70</v>
      </c>
      <c r="AJ4" t="s">
        <v>71</v>
      </c>
      <c r="AK4" t="s">
        <v>72</v>
      </c>
      <c r="AN4" s="3"/>
      <c r="AO4" s="3"/>
      <c r="AP4" s="3"/>
      <c r="AQ4" s="3"/>
      <c r="AR4" s="3"/>
      <c r="BB4" s="3"/>
      <c r="BC4" s="3"/>
      <c r="BE4" s="3"/>
      <c r="BF4" s="3"/>
      <c r="BG4" s="3"/>
      <c r="BH4" s="3"/>
      <c r="BI4" s="3"/>
      <c r="BJ4" s="3"/>
      <c r="BK4" s="3"/>
      <c r="BL4" s="3"/>
      <c r="BM4" s="3"/>
      <c r="BN4" s="3"/>
      <c r="BR4" s="3"/>
      <c r="BV4" s="3"/>
      <c r="BW4" s="3"/>
      <c r="BX4" s="3"/>
      <c r="BY4" s="3"/>
      <c r="BZ4" s="3"/>
      <c r="CA4" s="3"/>
      <c r="CB4" s="3"/>
      <c r="CC4" s="3"/>
      <c r="CD4" s="3"/>
      <c r="CE4" s="3"/>
      <c r="CF4" s="3"/>
      <c r="CG4" s="3"/>
      <c r="CH4" s="3"/>
      <c r="CI4" s="3"/>
      <c r="CN4" s="3"/>
      <c r="CO4" s="3"/>
    </row>
    <row r="5" spans="1:93" x14ac:dyDescent="0.3">
      <c r="A5" t="s">
        <v>869</v>
      </c>
      <c r="B5" t="s">
        <v>870</v>
      </c>
      <c r="C5" s="2">
        <v>45764.926232511571</v>
      </c>
      <c r="D5" s="2">
        <v>45712.700470138887</v>
      </c>
      <c r="E5" s="2">
        <v>45760.800313252315</v>
      </c>
      <c r="F5" t="s">
        <v>871</v>
      </c>
      <c r="G5" t="s">
        <v>341</v>
      </c>
      <c r="H5">
        <v>45670</v>
      </c>
      <c r="I5">
        <v>0.50347222222222221</v>
      </c>
      <c r="J5"/>
      <c r="K5"/>
      <c r="L5">
        <v>45670</v>
      </c>
      <c r="M5">
        <v>0.50537037037037047</v>
      </c>
      <c r="N5" t="s">
        <v>344</v>
      </c>
      <c r="O5" t="s">
        <v>905</v>
      </c>
      <c r="P5" t="s">
        <v>906</v>
      </c>
      <c r="Q5" t="s">
        <v>348</v>
      </c>
      <c r="R5" t="s">
        <v>84</v>
      </c>
      <c r="S5" t="s">
        <v>907</v>
      </c>
      <c r="T5" t="s">
        <v>908</v>
      </c>
      <c r="U5"/>
      <c r="V5"/>
      <c r="W5"/>
      <c r="X5"/>
      <c r="Y5"/>
      <c r="Z5"/>
      <c r="AA5"/>
      <c r="AB5"/>
      <c r="AC5"/>
      <c r="AD5"/>
      <c r="AE5" t="s">
        <v>897</v>
      </c>
      <c r="AF5" t="s">
        <v>67</v>
      </c>
      <c r="AG5" t="s">
        <v>350</v>
      </c>
      <c r="AH5" t="s">
        <v>351</v>
      </c>
      <c r="AI5" t="s">
        <v>352</v>
      </c>
      <c r="AJ5" t="s">
        <v>123</v>
      </c>
      <c r="AK5" t="s">
        <v>353</v>
      </c>
      <c r="AN5" s="3"/>
      <c r="AO5" s="3"/>
      <c r="AP5" s="3"/>
      <c r="AQ5" s="3"/>
      <c r="AR5" s="3"/>
      <c r="BB5" s="3"/>
      <c r="BC5" s="3"/>
      <c r="BE5" s="3"/>
      <c r="BF5" s="3"/>
      <c r="BG5" s="3"/>
      <c r="BH5" s="3"/>
      <c r="BI5" s="3"/>
      <c r="BJ5" s="3"/>
      <c r="BK5" s="3"/>
      <c r="BL5" s="3"/>
      <c r="BM5" s="3"/>
      <c r="BN5" s="3"/>
      <c r="BR5" s="3"/>
      <c r="BV5" s="3"/>
      <c r="BW5" s="3"/>
      <c r="BX5" s="3"/>
      <c r="BY5" s="3"/>
      <c r="BZ5" s="3"/>
      <c r="CA5" s="3"/>
      <c r="CB5" s="3"/>
      <c r="CC5" s="3"/>
      <c r="CD5" s="3"/>
      <c r="CE5" s="3"/>
      <c r="CF5" s="3"/>
      <c r="CG5" s="3"/>
      <c r="CH5" s="3"/>
      <c r="CI5" s="3"/>
      <c r="CN5" s="3"/>
      <c r="CO5" s="3"/>
    </row>
    <row r="6" spans="1:93" x14ac:dyDescent="0.3">
      <c r="A6" t="s">
        <v>869</v>
      </c>
      <c r="B6" t="s">
        <v>870</v>
      </c>
      <c r="C6" s="2">
        <v>45764.926232511571</v>
      </c>
      <c r="D6" s="2">
        <v>45712.700470138887</v>
      </c>
      <c r="E6" s="2">
        <v>45760.800313252315</v>
      </c>
      <c r="F6" t="s">
        <v>871</v>
      </c>
      <c r="G6" t="s">
        <v>356</v>
      </c>
      <c r="H6">
        <v>45671</v>
      </c>
      <c r="I6">
        <v>0.64067129629629627</v>
      </c>
      <c r="J6"/>
      <c r="K6"/>
      <c r="L6">
        <v>45671</v>
      </c>
      <c r="M6">
        <v>0.64067129629629638</v>
      </c>
      <c r="N6" t="s">
        <v>906</v>
      </c>
      <c r="O6" t="s">
        <v>909</v>
      </c>
      <c r="P6" t="s">
        <v>361</v>
      </c>
      <c r="Q6" t="s">
        <v>362</v>
      </c>
      <c r="R6" t="s">
        <v>363</v>
      </c>
      <c r="S6" t="s">
        <v>893</v>
      </c>
      <c r="T6" t="s">
        <v>910</v>
      </c>
      <c r="U6"/>
      <c r="V6"/>
      <c r="W6" t="s">
        <v>911</v>
      </c>
      <c r="X6" t="s">
        <v>912</v>
      </c>
      <c r="Y6" t="s">
        <v>367</v>
      </c>
      <c r="Z6" t="s">
        <v>65</v>
      </c>
      <c r="AA6"/>
      <c r="AB6"/>
      <c r="AC6"/>
      <c r="AD6"/>
      <c r="AE6" t="s">
        <v>913</v>
      </c>
      <c r="AF6" t="s">
        <v>67</v>
      </c>
      <c r="AG6" t="s">
        <v>219</v>
      </c>
      <c r="AH6" t="s">
        <v>368</v>
      </c>
      <c r="AI6" t="s">
        <v>160</v>
      </c>
      <c r="AJ6" t="s">
        <v>123</v>
      </c>
      <c r="AK6" t="s">
        <v>353</v>
      </c>
      <c r="AN6" s="3"/>
      <c r="AO6" s="3"/>
      <c r="AP6" s="3"/>
      <c r="AQ6" s="3"/>
      <c r="AR6" s="3"/>
      <c r="BB6" s="3"/>
      <c r="BC6" s="3"/>
      <c r="BE6" s="3"/>
      <c r="BF6" s="3"/>
      <c r="BG6" s="3"/>
      <c r="BH6" s="3"/>
      <c r="BI6" s="3"/>
      <c r="BJ6" s="3"/>
      <c r="BK6" s="3"/>
      <c r="BL6" s="3"/>
      <c r="BM6" s="3"/>
      <c r="BN6" s="3"/>
      <c r="BR6" s="3"/>
      <c r="BV6" s="3"/>
      <c r="BW6" s="3"/>
      <c r="BX6" s="3"/>
      <c r="BY6" s="3"/>
      <c r="BZ6" s="3"/>
      <c r="CA6" s="3"/>
      <c r="CB6" s="3"/>
      <c r="CC6" s="3"/>
      <c r="CD6" s="3"/>
      <c r="CE6" s="3"/>
      <c r="CF6" s="3"/>
      <c r="CG6" s="3"/>
      <c r="CH6" s="3"/>
      <c r="CI6" s="3"/>
      <c r="CN6" s="3"/>
      <c r="CO6" s="3"/>
    </row>
    <row r="7" spans="1:93" x14ac:dyDescent="0.3">
      <c r="A7" t="s">
        <v>869</v>
      </c>
      <c r="B7" t="s">
        <v>870</v>
      </c>
      <c r="C7" s="2">
        <v>45764.926232511571</v>
      </c>
      <c r="D7" s="2">
        <v>45712.700470138887</v>
      </c>
      <c r="E7" s="2">
        <v>45760.800313252315</v>
      </c>
      <c r="F7" t="s">
        <v>871</v>
      </c>
      <c r="G7" t="s">
        <v>224</v>
      </c>
      <c r="H7">
        <v>45672</v>
      </c>
      <c r="I7">
        <v>0.53988425925925931</v>
      </c>
      <c r="J7"/>
      <c r="K7"/>
      <c r="L7">
        <v>45672</v>
      </c>
      <c r="M7">
        <v>0.5398842592592592</v>
      </c>
      <c r="N7" t="s">
        <v>892</v>
      </c>
      <c r="O7"/>
      <c r="P7"/>
      <c r="Q7" t="s">
        <v>227</v>
      </c>
      <c r="R7" t="s">
        <v>84</v>
      </c>
      <c r="S7" t="s">
        <v>907</v>
      </c>
      <c r="T7" t="s">
        <v>914</v>
      </c>
      <c r="U7"/>
      <c r="V7"/>
      <c r="W7" t="s">
        <v>229</v>
      </c>
      <c r="X7" t="s">
        <v>896</v>
      </c>
      <c r="Y7" t="s">
        <v>230</v>
      </c>
      <c r="Z7" t="s">
        <v>65</v>
      </c>
      <c r="AA7"/>
      <c r="AB7"/>
      <c r="AC7"/>
      <c r="AD7"/>
      <c r="AE7" t="s">
        <v>913</v>
      </c>
      <c r="AF7" t="s">
        <v>67</v>
      </c>
      <c r="AG7" t="s">
        <v>231</v>
      </c>
      <c r="AH7" t="s">
        <v>232</v>
      </c>
      <c r="AI7" t="s">
        <v>70</v>
      </c>
      <c r="AJ7" t="s">
        <v>71</v>
      </c>
      <c r="AK7" t="s">
        <v>221</v>
      </c>
      <c r="AN7" s="3"/>
      <c r="AO7" s="3"/>
      <c r="AP7" s="3"/>
      <c r="AQ7" s="3"/>
      <c r="AR7" s="3"/>
      <c r="BB7" s="3"/>
      <c r="BC7" s="3"/>
      <c r="BE7" s="3"/>
      <c r="BF7" s="3"/>
      <c r="BG7" s="3"/>
      <c r="BH7" s="3"/>
      <c r="BI7" s="3"/>
      <c r="BJ7" s="3"/>
      <c r="BK7" s="3"/>
      <c r="BL7" s="3"/>
      <c r="BM7" s="3"/>
      <c r="BN7" s="3"/>
      <c r="BR7" s="3"/>
      <c r="BV7" s="3"/>
      <c r="BW7" s="3"/>
      <c r="BX7" s="3"/>
      <c r="BY7" s="3"/>
      <c r="BZ7" s="3"/>
      <c r="CA7" s="3"/>
      <c r="CB7" s="3"/>
      <c r="CC7" s="3"/>
      <c r="CD7" s="3"/>
      <c r="CE7" s="3"/>
      <c r="CF7" s="3"/>
      <c r="CG7" s="3"/>
      <c r="CH7" s="3"/>
      <c r="CI7" s="3"/>
      <c r="CN7" s="3"/>
      <c r="CO7" s="3"/>
    </row>
    <row r="8" spans="1:93" x14ac:dyDescent="0.3">
      <c r="A8" t="s">
        <v>869</v>
      </c>
      <c r="B8" t="s">
        <v>870</v>
      </c>
      <c r="C8" s="2">
        <v>45764.926232511571</v>
      </c>
      <c r="D8" s="2">
        <v>45712.700470138887</v>
      </c>
      <c r="E8" s="2">
        <v>45760.800313252315</v>
      </c>
      <c r="F8" t="s">
        <v>871</v>
      </c>
      <c r="G8" t="s">
        <v>129</v>
      </c>
      <c r="H8">
        <v>45673</v>
      </c>
      <c r="I8">
        <v>0.5</v>
      </c>
      <c r="J8">
        <v>45673</v>
      </c>
      <c r="K8">
        <v>0.75</v>
      </c>
      <c r="L8">
        <v>45673</v>
      </c>
      <c r="M8">
        <v>0.81587962962962957</v>
      </c>
      <c r="N8" t="s">
        <v>915</v>
      </c>
      <c r="O8"/>
      <c r="P8"/>
      <c r="Q8" t="s">
        <v>133</v>
      </c>
      <c r="R8" t="s">
        <v>134</v>
      </c>
      <c r="S8" t="s">
        <v>899</v>
      </c>
      <c r="T8" t="s">
        <v>916</v>
      </c>
      <c r="U8"/>
      <c r="V8"/>
      <c r="W8"/>
      <c r="X8"/>
      <c r="Y8"/>
      <c r="Z8"/>
      <c r="AA8"/>
      <c r="AB8"/>
      <c r="AC8"/>
      <c r="AD8"/>
      <c r="AE8" t="s">
        <v>904</v>
      </c>
      <c r="AF8" t="s">
        <v>67</v>
      </c>
      <c r="AG8" t="s">
        <v>136</v>
      </c>
      <c r="AH8" t="s">
        <v>69</v>
      </c>
      <c r="AI8" t="s">
        <v>70</v>
      </c>
      <c r="AJ8" t="s">
        <v>71</v>
      </c>
      <c r="AK8" t="s">
        <v>137</v>
      </c>
      <c r="AN8" s="3"/>
      <c r="AO8" s="3"/>
      <c r="AP8" s="3"/>
      <c r="AQ8" s="3"/>
      <c r="AR8" s="3"/>
      <c r="BB8" s="3"/>
      <c r="BC8" s="3"/>
      <c r="BE8" s="3"/>
      <c r="BF8" s="3"/>
      <c r="BG8" s="3"/>
      <c r="BH8" s="3"/>
      <c r="BI8" s="3"/>
      <c r="BJ8" s="3"/>
      <c r="BK8" s="3"/>
      <c r="BL8" s="3"/>
      <c r="BM8" s="3"/>
      <c r="BN8" s="3"/>
      <c r="BR8" s="3"/>
      <c r="BV8" s="3"/>
      <c r="BW8" s="3"/>
      <c r="BX8" s="3"/>
      <c r="BY8" s="3"/>
      <c r="BZ8" s="3"/>
      <c r="CA8" s="3"/>
      <c r="CB8" s="3"/>
      <c r="CC8" s="3"/>
      <c r="CD8" s="3"/>
      <c r="CE8" s="3"/>
      <c r="CF8" s="3"/>
      <c r="CG8" s="3"/>
      <c r="CH8" s="3"/>
      <c r="CI8" s="3"/>
      <c r="CN8" s="3"/>
      <c r="CO8" s="3"/>
    </row>
    <row r="9" spans="1:93" x14ac:dyDescent="0.3">
      <c r="A9" t="s">
        <v>869</v>
      </c>
      <c r="B9" t="s">
        <v>870</v>
      </c>
      <c r="C9" s="2">
        <v>45764.926232511571</v>
      </c>
      <c r="D9" s="2">
        <v>45712.700470138887</v>
      </c>
      <c r="E9" s="2">
        <v>45760.800313252315</v>
      </c>
      <c r="F9" t="s">
        <v>871</v>
      </c>
      <c r="G9" t="s">
        <v>371</v>
      </c>
      <c r="H9">
        <v>45673</v>
      </c>
      <c r="I9">
        <v>0.87708333333333333</v>
      </c>
      <c r="J9">
        <v>45673</v>
      </c>
      <c r="K9">
        <v>0.88611111111111107</v>
      </c>
      <c r="L9">
        <v>45674</v>
      </c>
      <c r="M9">
        <v>0.51179398148148159</v>
      </c>
      <c r="N9" t="s">
        <v>906</v>
      </c>
      <c r="O9"/>
      <c r="P9"/>
      <c r="Q9" t="s">
        <v>374</v>
      </c>
      <c r="R9" t="s">
        <v>178</v>
      </c>
      <c r="S9" t="s">
        <v>893</v>
      </c>
      <c r="T9" t="s">
        <v>917</v>
      </c>
      <c r="U9"/>
      <c r="V9"/>
      <c r="W9"/>
      <c r="X9" t="s">
        <v>918</v>
      </c>
      <c r="Y9" t="s">
        <v>919</v>
      </c>
      <c r="Z9"/>
      <c r="AA9"/>
      <c r="AB9"/>
      <c r="AC9"/>
      <c r="AD9"/>
      <c r="AE9" t="s">
        <v>904</v>
      </c>
      <c r="AF9" t="s">
        <v>67</v>
      </c>
      <c r="AG9" t="s">
        <v>89</v>
      </c>
      <c r="AH9" t="s">
        <v>90</v>
      </c>
      <c r="AI9" t="s">
        <v>378</v>
      </c>
      <c r="AJ9" t="s">
        <v>195</v>
      </c>
      <c r="AK9" t="s">
        <v>353</v>
      </c>
      <c r="AN9" s="3"/>
      <c r="AO9" s="3"/>
      <c r="AP9" s="3"/>
      <c r="AQ9" s="3"/>
      <c r="AR9" s="3"/>
      <c r="BB9" s="3"/>
      <c r="BC9" s="3"/>
      <c r="BE9" s="3"/>
      <c r="BF9" s="3"/>
      <c r="BG9" s="3"/>
      <c r="BH9" s="3"/>
      <c r="BI9" s="3"/>
      <c r="BJ9" s="3"/>
      <c r="BK9" s="3"/>
      <c r="BL9" s="3"/>
      <c r="BM9" s="3"/>
      <c r="BN9" s="3"/>
      <c r="BR9" s="3"/>
      <c r="BV9" s="3"/>
      <c r="BW9" s="3"/>
      <c r="BX9" s="3"/>
      <c r="BY9" s="3"/>
      <c r="BZ9" s="3"/>
      <c r="CA9" s="3"/>
      <c r="CB9" s="3"/>
      <c r="CC9" s="3"/>
      <c r="CD9" s="3"/>
      <c r="CE9" s="3"/>
      <c r="CF9" s="3"/>
      <c r="CG9" s="3"/>
      <c r="CH9" s="3"/>
      <c r="CI9" s="3"/>
      <c r="CN9" s="3"/>
      <c r="CO9" s="3"/>
    </row>
    <row r="10" spans="1:93" x14ac:dyDescent="0.3">
      <c r="A10" t="s">
        <v>869</v>
      </c>
      <c r="B10" t="s">
        <v>870</v>
      </c>
      <c r="C10" s="2">
        <v>45764.926232511571</v>
      </c>
      <c r="D10" s="2">
        <v>45712.700470138887</v>
      </c>
      <c r="E10" s="2">
        <v>45760.800313252315</v>
      </c>
      <c r="F10" t="s">
        <v>871</v>
      </c>
      <c r="G10" t="s">
        <v>236</v>
      </c>
      <c r="H10">
        <v>45678</v>
      </c>
      <c r="I10">
        <v>0.79166666666666663</v>
      </c>
      <c r="J10">
        <v>45679</v>
      </c>
      <c r="K10">
        <v>0.13125000000000009</v>
      </c>
      <c r="L10">
        <v>45679</v>
      </c>
      <c r="M10">
        <v>0.13255787037037048</v>
      </c>
      <c r="N10" t="s">
        <v>892</v>
      </c>
      <c r="O10"/>
      <c r="P10"/>
      <c r="Q10" t="s">
        <v>239</v>
      </c>
      <c r="R10" t="s">
        <v>178</v>
      </c>
      <c r="S10" t="s">
        <v>893</v>
      </c>
      <c r="T10" t="s">
        <v>920</v>
      </c>
      <c r="U10"/>
      <c r="V10"/>
      <c r="W10" t="s">
        <v>241</v>
      </c>
      <c r="X10" t="s">
        <v>63</v>
      </c>
      <c r="Y10" t="s">
        <v>242</v>
      </c>
      <c r="Z10" t="s">
        <v>65</v>
      </c>
      <c r="AA10"/>
      <c r="AB10"/>
      <c r="AC10"/>
      <c r="AD10"/>
      <c r="AE10" t="s">
        <v>921</v>
      </c>
      <c r="AF10" t="s">
        <v>67</v>
      </c>
      <c r="AG10" t="s">
        <v>244</v>
      </c>
      <c r="AH10" t="s">
        <v>206</v>
      </c>
      <c r="AI10" t="s">
        <v>160</v>
      </c>
      <c r="AJ10" t="s">
        <v>71</v>
      </c>
      <c r="AK10" t="s">
        <v>221</v>
      </c>
      <c r="AN10" s="3"/>
      <c r="AO10" s="3"/>
      <c r="AP10" s="3"/>
      <c r="AQ10" s="3"/>
      <c r="AR10" s="3"/>
      <c r="BB10" s="3"/>
      <c r="BC10" s="3"/>
      <c r="BE10" s="3"/>
      <c r="BF10" s="3"/>
      <c r="BG10" s="3"/>
      <c r="BH10" s="3"/>
      <c r="BI10" s="3"/>
      <c r="BJ10" s="3"/>
      <c r="BK10" s="3"/>
      <c r="BL10" s="3"/>
      <c r="BM10" s="3"/>
      <c r="BN10" s="3"/>
      <c r="BR10" s="3"/>
      <c r="BV10" s="3"/>
      <c r="BW10" s="3"/>
      <c r="BX10" s="3"/>
      <c r="BY10" s="3"/>
      <c r="BZ10" s="3"/>
      <c r="CA10" s="3"/>
      <c r="CB10" s="3"/>
      <c r="CC10" s="3"/>
      <c r="CD10" s="3"/>
      <c r="CE10" s="3"/>
      <c r="CF10" s="3"/>
      <c r="CG10" s="3"/>
      <c r="CH10" s="3"/>
      <c r="CI10" s="3"/>
      <c r="CN10" s="3"/>
      <c r="CO10" s="3"/>
    </row>
    <row r="11" spans="1:93" x14ac:dyDescent="0.3">
      <c r="A11" t="s">
        <v>869</v>
      </c>
      <c r="B11" t="s">
        <v>870</v>
      </c>
      <c r="C11" s="2">
        <v>45764.926232511571</v>
      </c>
      <c r="D11" s="2">
        <v>45712.700470138887</v>
      </c>
      <c r="E11" s="2">
        <v>45760.800313252315</v>
      </c>
      <c r="F11" t="s">
        <v>871</v>
      </c>
      <c r="G11" t="s">
        <v>246</v>
      </c>
      <c r="H11">
        <v>45679</v>
      </c>
      <c r="I11">
        <v>0.33333333333333331</v>
      </c>
      <c r="J11">
        <v>45679</v>
      </c>
      <c r="K11">
        <v>0.80069444444444438</v>
      </c>
      <c r="L11">
        <v>45679</v>
      </c>
      <c r="M11">
        <v>0.8020370370370371</v>
      </c>
      <c r="N11" t="s">
        <v>892</v>
      </c>
      <c r="O11"/>
      <c r="P11"/>
      <c r="Q11" t="s">
        <v>249</v>
      </c>
      <c r="R11" t="s">
        <v>250</v>
      </c>
      <c r="S11" t="s">
        <v>922</v>
      </c>
      <c r="T11" t="s">
        <v>923</v>
      </c>
      <c r="U11"/>
      <c r="V11"/>
      <c r="W11" t="s">
        <v>252</v>
      </c>
      <c r="X11" t="s">
        <v>924</v>
      </c>
      <c r="Y11" t="s">
        <v>254</v>
      </c>
      <c r="Z11" t="s">
        <v>65</v>
      </c>
      <c r="AA11"/>
      <c r="AB11"/>
      <c r="AC11"/>
      <c r="AD11"/>
      <c r="AE11" t="s">
        <v>913</v>
      </c>
      <c r="AF11" t="s">
        <v>67</v>
      </c>
      <c r="AG11" t="s">
        <v>244</v>
      </c>
      <c r="AH11" t="s">
        <v>206</v>
      </c>
      <c r="AI11" t="s">
        <v>122</v>
      </c>
      <c r="AJ11" t="s">
        <v>71</v>
      </c>
      <c r="AK11" t="s">
        <v>221</v>
      </c>
      <c r="AN11" s="3"/>
      <c r="AO11" s="3"/>
      <c r="AP11" s="3"/>
      <c r="AQ11" s="3"/>
      <c r="AR11" s="3"/>
      <c r="BB11" s="3"/>
      <c r="BC11" s="3"/>
      <c r="BE11" s="3"/>
      <c r="BF11" s="3"/>
      <c r="BG11" s="3"/>
      <c r="BH11" s="3"/>
      <c r="BI11" s="3"/>
      <c r="BJ11" s="3"/>
      <c r="BK11" s="3"/>
      <c r="BL11" s="3"/>
      <c r="BM11" s="3"/>
      <c r="BN11" s="3"/>
      <c r="BR11" s="3"/>
      <c r="BV11" s="3"/>
      <c r="BW11" s="3"/>
      <c r="BX11" s="3"/>
      <c r="BY11" s="3"/>
      <c r="BZ11" s="3"/>
      <c r="CA11" s="3"/>
      <c r="CB11" s="3"/>
      <c r="CC11" s="3"/>
      <c r="CD11" s="3"/>
      <c r="CE11" s="3"/>
      <c r="CF11" s="3"/>
      <c r="CG11" s="3"/>
      <c r="CH11" s="3"/>
      <c r="CI11" s="3"/>
      <c r="CN11" s="3"/>
      <c r="CO11" s="3"/>
    </row>
    <row r="12" spans="1:93" x14ac:dyDescent="0.3">
      <c r="A12" t="s">
        <v>869</v>
      </c>
      <c r="B12" t="s">
        <v>870</v>
      </c>
      <c r="C12" s="2">
        <v>45764.926232511571</v>
      </c>
      <c r="D12" s="2">
        <v>45712.700470138887</v>
      </c>
      <c r="E12" s="2">
        <v>45760.800313252315</v>
      </c>
      <c r="F12" t="s">
        <v>871</v>
      </c>
      <c r="G12" t="s">
        <v>409</v>
      </c>
      <c r="H12">
        <v>45680</v>
      </c>
      <c r="I12">
        <v>0.625</v>
      </c>
      <c r="J12"/>
      <c r="K12"/>
      <c r="L12">
        <v>45680</v>
      </c>
      <c r="M12">
        <v>0.66545138888888888</v>
      </c>
      <c r="N12" t="s">
        <v>925</v>
      </c>
      <c r="O12" t="s">
        <v>400</v>
      </c>
      <c r="P12"/>
      <c r="Q12" t="s">
        <v>414</v>
      </c>
      <c r="R12" t="s">
        <v>84</v>
      </c>
      <c r="S12" t="s">
        <v>907</v>
      </c>
      <c r="T12" t="s">
        <v>926</v>
      </c>
      <c r="U12"/>
      <c r="V12"/>
      <c r="W12"/>
      <c r="X12"/>
      <c r="Y12"/>
      <c r="Z12"/>
      <c r="AA12"/>
      <c r="AB12"/>
      <c r="AC12"/>
      <c r="AD12"/>
      <c r="AE12" t="s">
        <v>927</v>
      </c>
      <c r="AF12" t="s">
        <v>67</v>
      </c>
      <c r="AG12" t="s">
        <v>352</v>
      </c>
      <c r="AH12" t="s">
        <v>417</v>
      </c>
      <c r="AI12" t="s">
        <v>406</v>
      </c>
      <c r="AJ12" t="s">
        <v>418</v>
      </c>
      <c r="AK12"/>
      <c r="AN12" s="3"/>
      <c r="AO12" s="3"/>
      <c r="AP12" s="3"/>
      <c r="AQ12" s="3"/>
      <c r="AR12" s="3"/>
      <c r="BB12" s="3"/>
      <c r="BC12" s="3"/>
      <c r="BE12" s="3"/>
      <c r="BF12" s="3"/>
      <c r="BG12" s="3"/>
      <c r="BH12" s="3"/>
      <c r="BI12" s="3"/>
      <c r="BJ12" s="3"/>
      <c r="BK12" s="3"/>
      <c r="BL12" s="3"/>
      <c r="BM12" s="3"/>
      <c r="BN12" s="3"/>
      <c r="BR12" s="3"/>
      <c r="BV12" s="3"/>
      <c r="BW12" s="3"/>
      <c r="BX12" s="3"/>
      <c r="BY12" s="3"/>
      <c r="BZ12" s="3"/>
      <c r="CA12" s="3"/>
      <c r="CB12" s="3"/>
      <c r="CC12" s="3"/>
      <c r="CD12" s="3"/>
      <c r="CE12" s="3"/>
      <c r="CF12" s="3"/>
      <c r="CG12" s="3"/>
      <c r="CH12" s="3"/>
      <c r="CI12" s="3"/>
      <c r="CN12" s="3"/>
      <c r="CO12" s="3"/>
    </row>
    <row r="13" spans="1:93" x14ac:dyDescent="0.3">
      <c r="A13" t="s">
        <v>869</v>
      </c>
      <c r="B13" t="s">
        <v>870</v>
      </c>
      <c r="C13" s="2">
        <v>45764.926232511571</v>
      </c>
      <c r="D13" s="2">
        <v>45712.700470138887</v>
      </c>
      <c r="E13" s="2">
        <v>45760.800313252315</v>
      </c>
      <c r="F13" t="s">
        <v>871</v>
      </c>
      <c r="G13" t="s">
        <v>140</v>
      </c>
      <c r="H13">
        <v>45682</v>
      </c>
      <c r="I13">
        <v>0.45833333333333331</v>
      </c>
      <c r="J13">
        <v>45682</v>
      </c>
      <c r="K13">
        <v>0.58333333333333326</v>
      </c>
      <c r="L13">
        <v>45682</v>
      </c>
      <c r="M13">
        <v>0.58054398148148145</v>
      </c>
      <c r="N13" t="s">
        <v>915</v>
      </c>
      <c r="O13"/>
      <c r="P13"/>
      <c r="Q13" t="s">
        <v>144</v>
      </c>
      <c r="R13" t="s">
        <v>145</v>
      </c>
      <c r="S13" t="s">
        <v>922</v>
      </c>
      <c r="T13" t="s">
        <v>928</v>
      </c>
      <c r="U13"/>
      <c r="V13"/>
      <c r="W13"/>
      <c r="X13"/>
      <c r="Y13"/>
      <c r="Z13"/>
      <c r="AA13"/>
      <c r="AB13"/>
      <c r="AC13"/>
      <c r="AD13"/>
      <c r="AE13" t="s">
        <v>929</v>
      </c>
      <c r="AF13" t="s">
        <v>67</v>
      </c>
      <c r="AG13" t="s">
        <v>147</v>
      </c>
      <c r="AH13" t="s">
        <v>90</v>
      </c>
      <c r="AI13" t="s">
        <v>70</v>
      </c>
      <c r="AJ13" t="s">
        <v>123</v>
      </c>
      <c r="AK13" t="s">
        <v>137</v>
      </c>
      <c r="AN13" s="3"/>
      <c r="AO13" s="3"/>
      <c r="AP13" s="3"/>
      <c r="AQ13" s="3"/>
      <c r="AR13" s="3"/>
      <c r="BB13" s="3"/>
      <c r="BC13" s="3"/>
      <c r="BE13" s="3"/>
      <c r="BF13" s="3"/>
      <c r="BG13" s="3"/>
      <c r="BH13" s="3"/>
      <c r="BI13" s="3"/>
      <c r="BJ13" s="3"/>
      <c r="BK13" s="3"/>
      <c r="BL13" s="3"/>
      <c r="BM13" s="3"/>
      <c r="BN13" s="3"/>
      <c r="BR13" s="3"/>
      <c r="BV13" s="3"/>
      <c r="BW13" s="3"/>
      <c r="BX13" s="3"/>
      <c r="BY13" s="3"/>
      <c r="BZ13" s="3"/>
      <c r="CA13" s="3"/>
      <c r="CB13" s="3"/>
      <c r="CC13" s="3"/>
      <c r="CD13" s="3"/>
      <c r="CE13" s="3"/>
      <c r="CF13" s="3"/>
      <c r="CG13" s="3"/>
      <c r="CH13" s="3"/>
      <c r="CI13" s="3"/>
      <c r="CN13" s="3"/>
      <c r="CO13" s="3"/>
    </row>
    <row r="14" spans="1:93" x14ac:dyDescent="0.3">
      <c r="A14" t="s">
        <v>869</v>
      </c>
      <c r="B14" t="s">
        <v>870</v>
      </c>
      <c r="C14" s="2">
        <v>45764.926232511571</v>
      </c>
      <c r="D14" s="2">
        <v>45712.700470138887</v>
      </c>
      <c r="E14" s="2">
        <v>45760.800313252315</v>
      </c>
      <c r="F14" t="s">
        <v>871</v>
      </c>
      <c r="G14" t="s">
        <v>77</v>
      </c>
      <c r="H14">
        <v>45682</v>
      </c>
      <c r="I14">
        <v>0.76875000000000004</v>
      </c>
      <c r="J14"/>
      <c r="K14"/>
      <c r="L14">
        <v>45683</v>
      </c>
      <c r="M14">
        <v>0.44056712962962963</v>
      </c>
      <c r="N14" t="s">
        <v>902</v>
      </c>
      <c r="O14" t="s">
        <v>930</v>
      </c>
      <c r="P14"/>
      <c r="Q14" t="s">
        <v>83</v>
      </c>
      <c r="R14" t="s">
        <v>84</v>
      </c>
      <c r="S14" t="s">
        <v>907</v>
      </c>
      <c r="T14" t="s">
        <v>931</v>
      </c>
      <c r="U14"/>
      <c r="V14"/>
      <c r="W14" t="s">
        <v>932</v>
      </c>
      <c r="X14" t="s">
        <v>896</v>
      </c>
      <c r="Y14" t="s">
        <v>87</v>
      </c>
      <c r="Z14" t="s">
        <v>65</v>
      </c>
      <c r="AA14"/>
      <c r="AB14"/>
      <c r="AC14"/>
      <c r="AD14"/>
      <c r="AE14" t="s">
        <v>929</v>
      </c>
      <c r="AF14" t="s">
        <v>67</v>
      </c>
      <c r="AG14" t="s">
        <v>89</v>
      </c>
      <c r="AH14" t="s">
        <v>90</v>
      </c>
      <c r="AI14" t="s">
        <v>91</v>
      </c>
      <c r="AJ14" t="s">
        <v>92</v>
      </c>
      <c r="AK14" t="s">
        <v>72</v>
      </c>
      <c r="AN14" s="3"/>
      <c r="AO14" s="3"/>
      <c r="AP14" s="3"/>
      <c r="AQ14" s="3"/>
      <c r="AR14" s="3"/>
      <c r="BB14" s="3"/>
      <c r="BC14" s="3"/>
      <c r="BE14" s="3"/>
      <c r="BF14" s="3"/>
      <c r="BG14" s="3"/>
      <c r="BH14" s="3"/>
      <c r="BI14" s="3"/>
      <c r="BJ14" s="3"/>
      <c r="BK14" s="3"/>
      <c r="BL14" s="3"/>
      <c r="BM14" s="3"/>
      <c r="BN14" s="3"/>
      <c r="BR14" s="3"/>
      <c r="BV14" s="3"/>
      <c r="BW14" s="3"/>
      <c r="BX14" s="3"/>
      <c r="BY14" s="3"/>
      <c r="BZ14" s="3"/>
      <c r="CA14" s="3"/>
      <c r="CB14" s="3"/>
      <c r="CC14" s="3"/>
      <c r="CD14" s="3"/>
      <c r="CE14" s="3"/>
      <c r="CF14" s="3"/>
      <c r="CG14" s="3"/>
      <c r="CH14" s="3"/>
      <c r="CI14" s="3"/>
      <c r="CN14" s="3"/>
      <c r="CO14" s="3"/>
    </row>
    <row r="15" spans="1:93" x14ac:dyDescent="0.3">
      <c r="A15" t="s">
        <v>869</v>
      </c>
      <c r="B15" t="s">
        <v>870</v>
      </c>
      <c r="C15" s="2">
        <v>45764.926232511571</v>
      </c>
      <c r="D15" s="2">
        <v>45712.700470138887</v>
      </c>
      <c r="E15" s="2">
        <v>45760.800313252315</v>
      </c>
      <c r="F15" t="s">
        <v>871</v>
      </c>
      <c r="G15" t="s">
        <v>96</v>
      </c>
      <c r="H15">
        <v>45683</v>
      </c>
      <c r="I15">
        <v>0.84027777777777779</v>
      </c>
      <c r="J15">
        <v>45683</v>
      </c>
      <c r="K15">
        <v>0.84652777777777777</v>
      </c>
      <c r="L15">
        <v>45683</v>
      </c>
      <c r="M15">
        <v>0.85009259259259262</v>
      </c>
      <c r="N15" t="s">
        <v>902</v>
      </c>
      <c r="O15" t="s">
        <v>930</v>
      </c>
      <c r="P15"/>
      <c r="Q15" t="s">
        <v>100</v>
      </c>
      <c r="R15" t="s">
        <v>101</v>
      </c>
      <c r="S15" t="s">
        <v>893</v>
      </c>
      <c r="T15" t="s">
        <v>933</v>
      </c>
      <c r="U15"/>
      <c r="V15"/>
      <c r="W15" t="s">
        <v>934</v>
      </c>
      <c r="X15" t="s">
        <v>896</v>
      </c>
      <c r="Y15" t="s">
        <v>104</v>
      </c>
      <c r="Z15" t="s">
        <v>935</v>
      </c>
      <c r="AA15"/>
      <c r="AB15"/>
      <c r="AC15"/>
      <c r="AD15"/>
      <c r="AE15" t="s">
        <v>904</v>
      </c>
      <c r="AF15" t="s">
        <v>67</v>
      </c>
      <c r="AG15" t="s">
        <v>105</v>
      </c>
      <c r="AH15" t="s">
        <v>69</v>
      </c>
      <c r="AI15" t="s">
        <v>106</v>
      </c>
      <c r="AJ15" t="s">
        <v>71</v>
      </c>
      <c r="AK15" t="s">
        <v>72</v>
      </c>
      <c r="AN15" s="3"/>
      <c r="AO15" s="3"/>
      <c r="AP15" s="3"/>
      <c r="AQ15" s="3"/>
      <c r="AR15" s="3"/>
      <c r="BB15" s="3"/>
      <c r="BC15" s="3"/>
      <c r="BE15" s="3"/>
      <c r="BF15" s="3"/>
      <c r="BG15" s="3"/>
      <c r="BH15" s="3"/>
      <c r="BI15" s="3"/>
      <c r="BJ15" s="3"/>
      <c r="BK15" s="3"/>
      <c r="BL15" s="3"/>
      <c r="BM15" s="3"/>
      <c r="BN15" s="3"/>
      <c r="BR15" s="3"/>
      <c r="BV15" s="3"/>
      <c r="BW15" s="3"/>
      <c r="BX15" s="3"/>
      <c r="BY15" s="3"/>
      <c r="BZ15" s="3"/>
      <c r="CA15" s="3"/>
      <c r="CB15" s="3"/>
      <c r="CC15" s="3"/>
      <c r="CD15" s="3"/>
      <c r="CE15" s="3"/>
      <c r="CF15" s="3"/>
      <c r="CG15" s="3"/>
      <c r="CH15" s="3"/>
      <c r="CI15" s="3"/>
      <c r="CN15" s="3"/>
      <c r="CO15" s="3"/>
    </row>
    <row r="16" spans="1:93" x14ac:dyDescent="0.3">
      <c r="A16" t="s">
        <v>869</v>
      </c>
      <c r="B16" t="s">
        <v>870</v>
      </c>
      <c r="C16" s="2">
        <v>45764.926232511571</v>
      </c>
      <c r="D16" s="2">
        <v>45712.700470138887</v>
      </c>
      <c r="E16" s="2">
        <v>45760.800313252315</v>
      </c>
      <c r="F16" t="s">
        <v>871</v>
      </c>
      <c r="G16" t="s">
        <v>256</v>
      </c>
      <c r="H16">
        <v>45685</v>
      </c>
      <c r="I16">
        <v>0.625</v>
      </c>
      <c r="J16">
        <v>45686</v>
      </c>
      <c r="K16">
        <v>0.91736111111111107</v>
      </c>
      <c r="L16">
        <v>45686</v>
      </c>
      <c r="M16">
        <v>0.91833333333333322</v>
      </c>
      <c r="N16" t="s">
        <v>892</v>
      </c>
      <c r="O16" t="s">
        <v>930</v>
      </c>
      <c r="P16"/>
      <c r="Q16" t="s">
        <v>260</v>
      </c>
      <c r="R16" t="s">
        <v>261</v>
      </c>
      <c r="S16" t="s">
        <v>936</v>
      </c>
      <c r="T16" t="s">
        <v>937</v>
      </c>
      <c r="U16"/>
      <c r="V16"/>
      <c r="W16" t="s">
        <v>938</v>
      </c>
      <c r="X16" t="s">
        <v>939</v>
      </c>
      <c r="Y16" t="s">
        <v>265</v>
      </c>
      <c r="Z16" t="s">
        <v>65</v>
      </c>
      <c r="AA16"/>
      <c r="AB16"/>
      <c r="AC16"/>
      <c r="AD16"/>
      <c r="AE16" t="s">
        <v>940</v>
      </c>
      <c r="AF16" t="s">
        <v>67</v>
      </c>
      <c r="AG16" t="s">
        <v>244</v>
      </c>
      <c r="AH16" t="s">
        <v>206</v>
      </c>
      <c r="AI16" t="s">
        <v>70</v>
      </c>
      <c r="AJ16" t="s">
        <v>266</v>
      </c>
      <c r="AK16" t="s">
        <v>221</v>
      </c>
      <c r="AN16" s="3"/>
      <c r="AO16" s="3"/>
      <c r="AP16" s="3"/>
      <c r="AQ16" s="3"/>
      <c r="AR16" s="3"/>
      <c r="BB16" s="3"/>
      <c r="BC16" s="3"/>
      <c r="BE16" s="3"/>
      <c r="BF16" s="3"/>
      <c r="BG16" s="3"/>
      <c r="BH16" s="3"/>
      <c r="BI16" s="3"/>
      <c r="BJ16" s="3"/>
      <c r="BK16" s="3"/>
      <c r="BL16" s="3"/>
      <c r="BM16" s="3"/>
      <c r="BN16" s="3"/>
      <c r="BR16" s="3"/>
      <c r="BV16" s="3"/>
      <c r="BW16" s="3"/>
      <c r="BX16" s="3"/>
      <c r="BY16" s="3"/>
      <c r="BZ16" s="3"/>
      <c r="CA16" s="3"/>
      <c r="CB16" s="3"/>
      <c r="CC16" s="3"/>
      <c r="CD16" s="3"/>
      <c r="CE16" s="3"/>
      <c r="CF16" s="3"/>
      <c r="CG16" s="3"/>
      <c r="CH16" s="3"/>
      <c r="CI16" s="3"/>
      <c r="CN16" s="3"/>
      <c r="CO16" s="3"/>
    </row>
    <row r="17" spans="1:93" x14ac:dyDescent="0.3">
      <c r="A17" t="s">
        <v>869</v>
      </c>
      <c r="B17" t="s">
        <v>870</v>
      </c>
      <c r="C17" s="2">
        <v>45764.926232511571</v>
      </c>
      <c r="D17" s="2">
        <v>45712.700470138887</v>
      </c>
      <c r="E17" s="2">
        <v>45760.800313252315</v>
      </c>
      <c r="F17" t="s">
        <v>871</v>
      </c>
      <c r="G17" t="s">
        <v>151</v>
      </c>
      <c r="H17">
        <v>45688</v>
      </c>
      <c r="I17">
        <v>0.49988425925925928</v>
      </c>
      <c r="J17"/>
      <c r="K17"/>
      <c r="L17">
        <v>45688</v>
      </c>
      <c r="M17">
        <v>0.49988425925925917</v>
      </c>
      <c r="N17" t="s">
        <v>915</v>
      </c>
      <c r="O17"/>
      <c r="P17"/>
      <c r="Q17" t="s">
        <v>154</v>
      </c>
      <c r="R17" t="s">
        <v>155</v>
      </c>
      <c r="S17" t="s">
        <v>907</v>
      </c>
      <c r="T17" t="s">
        <v>941</v>
      </c>
      <c r="U17"/>
      <c r="V17"/>
      <c r="W17"/>
      <c r="X17"/>
      <c r="Y17"/>
      <c r="Z17"/>
      <c r="AA17"/>
      <c r="AB17"/>
      <c r="AC17"/>
      <c r="AD17"/>
      <c r="AE17" t="s">
        <v>897</v>
      </c>
      <c r="AF17" t="s">
        <v>67</v>
      </c>
      <c r="AG17" t="s">
        <v>158</v>
      </c>
      <c r="AH17" t="s">
        <v>159</v>
      </c>
      <c r="AI17" t="s">
        <v>160</v>
      </c>
      <c r="AJ17" t="s">
        <v>71</v>
      </c>
      <c r="AK17" t="s">
        <v>137</v>
      </c>
      <c r="AN17" s="3"/>
      <c r="AO17" s="3"/>
      <c r="AP17" s="3"/>
      <c r="AQ17" s="3"/>
      <c r="AR17" s="3"/>
      <c r="BB17" s="3"/>
      <c r="BC17" s="3"/>
      <c r="BE17" s="3"/>
      <c r="BF17" s="3"/>
      <c r="BG17" s="3"/>
      <c r="BH17" s="3"/>
      <c r="BI17" s="3"/>
      <c r="BJ17" s="3"/>
      <c r="BK17" s="3"/>
      <c r="BL17" s="3"/>
      <c r="BM17" s="3"/>
      <c r="BN17" s="3"/>
      <c r="BR17" s="3"/>
      <c r="BV17" s="3"/>
      <c r="BW17" s="3"/>
      <c r="BX17" s="3"/>
      <c r="BY17" s="3"/>
      <c r="BZ17" s="3"/>
      <c r="CA17" s="3"/>
      <c r="CB17" s="3"/>
      <c r="CC17" s="3"/>
      <c r="CD17" s="3"/>
      <c r="CE17" s="3"/>
      <c r="CF17" s="3"/>
      <c r="CG17" s="3"/>
      <c r="CH17" s="3"/>
      <c r="CI17" s="3"/>
      <c r="CN17" s="3"/>
      <c r="CO17" s="3"/>
    </row>
    <row r="18" spans="1:93" x14ac:dyDescent="0.3">
      <c r="A18" t="s">
        <v>869</v>
      </c>
      <c r="B18" t="s">
        <v>870</v>
      </c>
      <c r="C18" s="2">
        <v>45764.926232511571</v>
      </c>
      <c r="D18" s="2">
        <v>45712.700470138887</v>
      </c>
      <c r="E18" s="2">
        <v>45760.800313252315</v>
      </c>
      <c r="F18" t="s">
        <v>871</v>
      </c>
      <c r="G18" t="s">
        <v>269</v>
      </c>
      <c r="H18">
        <v>45689</v>
      </c>
      <c r="I18">
        <v>4.1666666666666664E-2</v>
      </c>
      <c r="J18"/>
      <c r="K18">
        <v>0.10416666666666674</v>
      </c>
      <c r="L18">
        <v>45689</v>
      </c>
      <c r="M18">
        <v>0.11982638888888886</v>
      </c>
      <c r="N18" t="s">
        <v>892</v>
      </c>
      <c r="O18"/>
      <c r="P18"/>
      <c r="Q18" t="s">
        <v>272</v>
      </c>
      <c r="R18" t="s">
        <v>273</v>
      </c>
      <c r="S18" t="s">
        <v>936</v>
      </c>
      <c r="T18" t="s">
        <v>942</v>
      </c>
      <c r="U18"/>
      <c r="V18"/>
      <c r="W18" t="s">
        <v>943</v>
      </c>
      <c r="X18" t="s">
        <v>944</v>
      </c>
      <c r="Y18" t="s">
        <v>276</v>
      </c>
      <c r="Z18" t="s">
        <v>65</v>
      </c>
      <c r="AA18"/>
      <c r="AB18"/>
      <c r="AC18"/>
      <c r="AD18"/>
      <c r="AE18" t="s">
        <v>913</v>
      </c>
      <c r="AF18" t="s">
        <v>67</v>
      </c>
      <c r="AG18" t="s">
        <v>244</v>
      </c>
      <c r="AH18" t="s">
        <v>206</v>
      </c>
      <c r="AI18" t="s">
        <v>122</v>
      </c>
      <c r="AJ18" t="s">
        <v>71</v>
      </c>
      <c r="AK18" t="s">
        <v>221</v>
      </c>
      <c r="AN18" s="3"/>
      <c r="AO18" s="3"/>
      <c r="AP18" s="3"/>
      <c r="AQ18" s="3"/>
      <c r="AR18" s="3"/>
      <c r="BB18" s="3"/>
      <c r="BC18" s="3"/>
      <c r="BE18" s="3"/>
      <c r="BF18" s="3"/>
      <c r="BG18" s="3"/>
      <c r="BH18" s="3"/>
      <c r="BI18" s="3"/>
      <c r="BJ18" s="3"/>
      <c r="BK18" s="3"/>
      <c r="BL18" s="3"/>
      <c r="BM18" s="3"/>
      <c r="BN18" s="3"/>
      <c r="BR18" s="3"/>
      <c r="BV18" s="3"/>
      <c r="BW18" s="3"/>
      <c r="BX18" s="3"/>
      <c r="BY18" s="3"/>
      <c r="BZ18" s="3"/>
      <c r="CA18" s="3"/>
      <c r="CB18" s="3"/>
      <c r="CC18" s="3"/>
      <c r="CD18" s="3"/>
      <c r="CE18" s="3"/>
      <c r="CF18" s="3"/>
      <c r="CG18" s="3"/>
      <c r="CH18" s="3"/>
      <c r="CI18" s="3"/>
      <c r="CN18" s="3"/>
      <c r="CO18" s="3"/>
    </row>
    <row r="19" spans="1:93" x14ac:dyDescent="0.3">
      <c r="A19" t="s">
        <v>869</v>
      </c>
      <c r="B19" t="s">
        <v>870</v>
      </c>
      <c r="C19" s="2">
        <v>45764.926232511571</v>
      </c>
      <c r="D19" s="2">
        <v>45712.700470138887</v>
      </c>
      <c r="E19" s="2">
        <v>45760.800313252315</v>
      </c>
      <c r="F19" t="s">
        <v>871</v>
      </c>
      <c r="G19" t="s">
        <v>382</v>
      </c>
      <c r="H19">
        <v>45690</v>
      </c>
      <c r="I19">
        <v>0.72569444444444442</v>
      </c>
      <c r="J19">
        <v>45690</v>
      </c>
      <c r="K19">
        <v>0.75</v>
      </c>
      <c r="L19">
        <v>45691</v>
      </c>
      <c r="M19">
        <v>0.50143518518518526</v>
      </c>
      <c r="N19" t="s">
        <v>176</v>
      </c>
      <c r="O19" t="s">
        <v>906</v>
      </c>
      <c r="P19"/>
      <c r="Q19" t="s">
        <v>385</v>
      </c>
      <c r="R19" t="s">
        <v>145</v>
      </c>
      <c r="S19" t="s">
        <v>922</v>
      </c>
      <c r="T19" t="s">
        <v>945</v>
      </c>
      <c r="U19"/>
      <c r="V19"/>
      <c r="W19"/>
      <c r="X19"/>
      <c r="Y19"/>
      <c r="Z19"/>
      <c r="AA19"/>
      <c r="AB19"/>
      <c r="AC19"/>
      <c r="AD19"/>
      <c r="AE19" t="s">
        <v>904</v>
      </c>
      <c r="AF19" t="s">
        <v>67</v>
      </c>
      <c r="AG19" t="s">
        <v>105</v>
      </c>
      <c r="AH19" t="s">
        <v>69</v>
      </c>
      <c r="AI19" t="s">
        <v>180</v>
      </c>
      <c r="AJ19" t="s">
        <v>92</v>
      </c>
      <c r="AK19"/>
      <c r="AN19" s="3"/>
      <c r="AO19" s="3"/>
      <c r="AP19" s="3"/>
      <c r="AQ19" s="3"/>
      <c r="AR19" s="3"/>
      <c r="BB19" s="3"/>
      <c r="BC19" s="3"/>
      <c r="BE19" s="3"/>
      <c r="BF19" s="3"/>
      <c r="BG19" s="3"/>
      <c r="BH19" s="3"/>
      <c r="BI19" s="3"/>
      <c r="BJ19" s="3"/>
      <c r="BK19" s="3"/>
      <c r="BL19" s="3"/>
      <c r="BM19" s="3"/>
      <c r="BN19" s="3"/>
      <c r="BR19" s="3"/>
      <c r="BV19" s="3"/>
      <c r="BW19" s="3"/>
      <c r="BX19" s="3"/>
      <c r="BY19" s="3"/>
      <c r="BZ19" s="3"/>
      <c r="CA19" s="3"/>
      <c r="CB19" s="3"/>
      <c r="CC19" s="3"/>
      <c r="CD19" s="3"/>
      <c r="CE19" s="3"/>
      <c r="CF19" s="3"/>
      <c r="CG19" s="3"/>
      <c r="CH19" s="3"/>
      <c r="CI19" s="3"/>
      <c r="CN19" s="3"/>
      <c r="CO19" s="3"/>
    </row>
    <row r="20" spans="1:93" x14ac:dyDescent="0.3">
      <c r="A20" t="s">
        <v>869</v>
      </c>
      <c r="B20" t="s">
        <v>870</v>
      </c>
      <c r="C20" s="2">
        <v>45764.926232511571</v>
      </c>
      <c r="D20" s="2">
        <v>45712.700470138887</v>
      </c>
      <c r="E20" s="2">
        <v>45760.800313252315</v>
      </c>
      <c r="F20" t="s">
        <v>871</v>
      </c>
      <c r="G20" t="s">
        <v>388</v>
      </c>
      <c r="H20"/>
      <c r="I20"/>
      <c r="J20"/>
      <c r="K20"/>
      <c r="L20">
        <v>45691</v>
      </c>
      <c r="M20">
        <v>0.69484953703703711</v>
      </c>
      <c r="N20" t="s">
        <v>906</v>
      </c>
      <c r="O20"/>
      <c r="P20"/>
      <c r="Q20" t="s">
        <v>390</v>
      </c>
      <c r="R20" t="s">
        <v>363</v>
      </c>
      <c r="S20" t="s">
        <v>893</v>
      </c>
      <c r="T20" t="s">
        <v>946</v>
      </c>
      <c r="U20"/>
      <c r="V20"/>
      <c r="W20"/>
      <c r="X20"/>
      <c r="Y20"/>
      <c r="Z20"/>
      <c r="AA20"/>
      <c r="AB20"/>
      <c r="AC20"/>
      <c r="AD20"/>
      <c r="AE20" t="s">
        <v>929</v>
      </c>
      <c r="AF20" t="s">
        <v>67</v>
      </c>
      <c r="AG20" t="s">
        <v>136</v>
      </c>
      <c r="AH20" t="s">
        <v>69</v>
      </c>
      <c r="AI20" t="s">
        <v>106</v>
      </c>
      <c r="AJ20" t="s">
        <v>71</v>
      </c>
      <c r="AK20" t="s">
        <v>353</v>
      </c>
      <c r="AN20" s="3"/>
      <c r="AO20" s="3"/>
      <c r="AP20" s="3"/>
      <c r="AQ20" s="3"/>
      <c r="AR20" s="3"/>
      <c r="BB20" s="3"/>
      <c r="BC20" s="3"/>
      <c r="BE20" s="3"/>
      <c r="BF20" s="3"/>
      <c r="BG20" s="3"/>
      <c r="BH20" s="3"/>
      <c r="BI20" s="3"/>
      <c r="BJ20" s="3"/>
      <c r="BK20" s="3"/>
      <c r="BL20" s="3"/>
      <c r="BM20" s="3"/>
      <c r="BN20" s="3"/>
      <c r="BR20" s="3"/>
      <c r="BV20" s="3"/>
      <c r="BW20" s="3"/>
      <c r="BX20" s="3"/>
      <c r="BY20" s="3"/>
      <c r="BZ20" s="3"/>
      <c r="CA20" s="3"/>
      <c r="CB20" s="3"/>
      <c r="CC20" s="3"/>
      <c r="CD20" s="3"/>
      <c r="CE20" s="3"/>
      <c r="CF20" s="3"/>
      <c r="CG20" s="3"/>
      <c r="CH20" s="3"/>
      <c r="CI20" s="3"/>
      <c r="CN20" s="3"/>
      <c r="CO20" s="3"/>
    </row>
    <row r="21" spans="1:93" x14ac:dyDescent="0.3">
      <c r="A21" t="s">
        <v>869</v>
      </c>
      <c r="B21" t="s">
        <v>870</v>
      </c>
      <c r="C21" s="2">
        <v>45764.926232511571</v>
      </c>
      <c r="D21" s="2">
        <v>45712.700470138887</v>
      </c>
      <c r="E21" s="2">
        <v>45760.800313252315</v>
      </c>
      <c r="F21" t="s">
        <v>871</v>
      </c>
      <c r="G21" t="s">
        <v>279</v>
      </c>
      <c r="H21">
        <v>45691</v>
      </c>
      <c r="I21">
        <v>0.77083333333333337</v>
      </c>
      <c r="J21">
        <v>45692</v>
      </c>
      <c r="K21">
        <v>0.79166666666666674</v>
      </c>
      <c r="L21">
        <v>45692</v>
      </c>
      <c r="M21">
        <v>0.53023148148148147</v>
      </c>
      <c r="N21" t="s">
        <v>892</v>
      </c>
      <c r="O21"/>
      <c r="P21"/>
      <c r="Q21" t="s">
        <v>282</v>
      </c>
      <c r="R21" t="s">
        <v>283</v>
      </c>
      <c r="S21" t="s">
        <v>907</v>
      </c>
      <c r="T21" t="s">
        <v>947</v>
      </c>
      <c r="U21"/>
      <c r="V21"/>
      <c r="W21" t="s">
        <v>948</v>
      </c>
      <c r="X21" t="s">
        <v>286</v>
      </c>
      <c r="Y21" t="s">
        <v>949</v>
      </c>
      <c r="Z21" t="s">
        <v>288</v>
      </c>
      <c r="AA21"/>
      <c r="AB21"/>
      <c r="AC21"/>
      <c r="AD21"/>
      <c r="AE21" t="s">
        <v>904</v>
      </c>
      <c r="AF21" t="s">
        <v>67</v>
      </c>
      <c r="AG21" t="s">
        <v>105</v>
      </c>
      <c r="AH21" t="s">
        <v>69</v>
      </c>
      <c r="AI21" t="s">
        <v>70</v>
      </c>
      <c r="AJ21" t="s">
        <v>195</v>
      </c>
      <c r="AK21" t="s">
        <v>221</v>
      </c>
      <c r="AN21" s="3"/>
      <c r="AO21" s="3"/>
      <c r="AP21" s="3"/>
      <c r="AQ21" s="3"/>
      <c r="AR21" s="3"/>
      <c r="BB21" s="3"/>
      <c r="BC21" s="3"/>
      <c r="BE21" s="3"/>
      <c r="BF21" s="3"/>
      <c r="BG21" s="3"/>
      <c r="BH21" s="3"/>
      <c r="BI21" s="3"/>
      <c r="BJ21" s="3"/>
      <c r="BK21" s="3"/>
      <c r="BL21" s="3"/>
      <c r="BM21" s="3"/>
      <c r="BN21" s="3"/>
      <c r="BR21" s="3"/>
      <c r="BV21" s="3"/>
      <c r="BW21" s="3"/>
      <c r="BX21" s="3"/>
      <c r="BY21" s="3"/>
      <c r="BZ21" s="3"/>
      <c r="CA21" s="3"/>
      <c r="CB21" s="3"/>
      <c r="CC21" s="3"/>
      <c r="CD21" s="3"/>
      <c r="CE21" s="3"/>
      <c r="CF21" s="3"/>
      <c r="CG21" s="3"/>
      <c r="CH21" s="3"/>
      <c r="CI21" s="3"/>
      <c r="CN21" s="3"/>
      <c r="CO21" s="3"/>
    </row>
    <row r="22" spans="1:93" x14ac:dyDescent="0.3">
      <c r="A22" t="s">
        <v>869</v>
      </c>
      <c r="B22" t="s">
        <v>870</v>
      </c>
      <c r="C22" s="2">
        <v>45764.926232511571</v>
      </c>
      <c r="D22" s="2">
        <v>45712.700470138887</v>
      </c>
      <c r="E22" s="2">
        <v>45760.800313252315</v>
      </c>
      <c r="F22" t="s">
        <v>871</v>
      </c>
      <c r="G22" t="s">
        <v>161</v>
      </c>
      <c r="H22">
        <v>45693</v>
      </c>
      <c r="I22">
        <v>0.12291666666666666</v>
      </c>
      <c r="J22"/>
      <c r="K22"/>
      <c r="L22">
        <v>45693</v>
      </c>
      <c r="M22">
        <v>0.12339120370370371</v>
      </c>
      <c r="N22" t="s">
        <v>950</v>
      </c>
      <c r="O22" t="s">
        <v>167</v>
      </c>
      <c r="P22"/>
      <c r="Q22" t="s">
        <v>168</v>
      </c>
      <c r="R22" t="s">
        <v>155</v>
      </c>
      <c r="S22" t="s">
        <v>907</v>
      </c>
      <c r="T22" t="s">
        <v>951</v>
      </c>
      <c r="U22"/>
      <c r="V22"/>
      <c r="W22"/>
      <c r="X22"/>
      <c r="Y22"/>
      <c r="Z22"/>
      <c r="AA22"/>
      <c r="AB22"/>
      <c r="AC22"/>
      <c r="AD22"/>
      <c r="AE22" t="s">
        <v>913</v>
      </c>
      <c r="AF22" t="s">
        <v>67</v>
      </c>
      <c r="AG22" t="s">
        <v>170</v>
      </c>
      <c r="AH22" t="s">
        <v>90</v>
      </c>
      <c r="AI22" t="s">
        <v>171</v>
      </c>
      <c r="AJ22" t="s">
        <v>123</v>
      </c>
      <c r="AK22" t="s">
        <v>137</v>
      </c>
      <c r="AN22" s="3"/>
      <c r="AO22" s="3"/>
      <c r="AP22" s="3"/>
      <c r="AQ22" s="3"/>
      <c r="AR22" s="3"/>
      <c r="BB22" s="3"/>
      <c r="BC22" s="3"/>
      <c r="BE22" s="3"/>
      <c r="BF22" s="3"/>
      <c r="BG22" s="3"/>
      <c r="BH22" s="3"/>
      <c r="BI22" s="3"/>
      <c r="BJ22" s="3"/>
      <c r="BK22" s="3"/>
      <c r="BL22" s="3"/>
      <c r="BM22" s="3"/>
      <c r="BN22" s="3"/>
      <c r="BR22" s="3"/>
      <c r="BV22" s="3"/>
      <c r="BW22" s="3"/>
      <c r="BX22" s="3"/>
      <c r="BY22" s="3"/>
      <c r="BZ22" s="3"/>
      <c r="CA22" s="3"/>
      <c r="CB22" s="3"/>
      <c r="CC22" s="3"/>
      <c r="CD22" s="3"/>
      <c r="CE22" s="3"/>
      <c r="CF22" s="3"/>
      <c r="CG22" s="3"/>
      <c r="CH22" s="3"/>
      <c r="CI22" s="3"/>
      <c r="CN22" s="3"/>
      <c r="CO22" s="3"/>
    </row>
    <row r="23" spans="1:93" x14ac:dyDescent="0.3">
      <c r="A23" t="s">
        <v>869</v>
      </c>
      <c r="B23" t="s">
        <v>870</v>
      </c>
      <c r="C23" s="2">
        <v>45764.926232511571</v>
      </c>
      <c r="D23" s="2">
        <v>45712.700470138887</v>
      </c>
      <c r="E23" s="2">
        <v>45760.800313252315</v>
      </c>
      <c r="F23" t="s">
        <v>871</v>
      </c>
      <c r="G23" t="s">
        <v>292</v>
      </c>
      <c r="H23">
        <v>45695</v>
      </c>
      <c r="I23">
        <v>0.27430555555555558</v>
      </c>
      <c r="J23">
        <v>45695</v>
      </c>
      <c r="K23">
        <v>0.28472222222222232</v>
      </c>
      <c r="L23">
        <v>45695</v>
      </c>
      <c r="M23">
        <v>0.30738425925925927</v>
      </c>
      <c r="N23" t="s">
        <v>892</v>
      </c>
      <c r="O23"/>
      <c r="P23"/>
      <c r="Q23" t="s">
        <v>296</v>
      </c>
      <c r="R23" t="s">
        <v>203</v>
      </c>
      <c r="S23" t="s">
        <v>922</v>
      </c>
      <c r="T23" t="s">
        <v>952</v>
      </c>
      <c r="U23"/>
      <c r="V23"/>
      <c r="W23" t="s">
        <v>953</v>
      </c>
      <c r="X23" t="s">
        <v>954</v>
      </c>
      <c r="Y23" t="s">
        <v>300</v>
      </c>
      <c r="Z23" t="s">
        <v>65</v>
      </c>
      <c r="AA23"/>
      <c r="AB23"/>
      <c r="AC23"/>
      <c r="AD23"/>
      <c r="AE23" t="s">
        <v>913</v>
      </c>
      <c r="AF23" t="s">
        <v>67</v>
      </c>
      <c r="AG23" t="s">
        <v>301</v>
      </c>
      <c r="AH23" t="s">
        <v>121</v>
      </c>
      <c r="AI23" t="s">
        <v>180</v>
      </c>
      <c r="AJ23" t="s">
        <v>92</v>
      </c>
      <c r="AK23" t="s">
        <v>221</v>
      </c>
      <c r="AN23" s="3"/>
      <c r="AO23" s="3"/>
      <c r="AP23" s="3"/>
      <c r="AQ23" s="3"/>
      <c r="AR23" s="3"/>
      <c r="BB23" s="3"/>
      <c r="BC23" s="3"/>
      <c r="BE23" s="3"/>
      <c r="BF23" s="3"/>
      <c r="BG23" s="3"/>
      <c r="BH23" s="3"/>
      <c r="BI23" s="3"/>
      <c r="BJ23" s="3"/>
      <c r="BK23" s="3"/>
      <c r="BL23" s="3"/>
      <c r="BM23" s="3"/>
      <c r="BN23" s="3"/>
      <c r="BR23" s="3"/>
      <c r="BV23" s="3"/>
      <c r="BW23" s="3"/>
      <c r="BX23" s="3"/>
      <c r="BY23" s="3"/>
      <c r="BZ23" s="3"/>
      <c r="CA23" s="3"/>
      <c r="CB23" s="3"/>
      <c r="CC23" s="3"/>
      <c r="CD23" s="3"/>
      <c r="CE23" s="3"/>
      <c r="CF23" s="3"/>
      <c r="CG23" s="3"/>
      <c r="CH23" s="3"/>
      <c r="CI23" s="3"/>
      <c r="CN23" s="3"/>
      <c r="CO23" s="3"/>
    </row>
    <row r="24" spans="1:93" x14ac:dyDescent="0.3">
      <c r="A24" t="s">
        <v>869</v>
      </c>
      <c r="B24" t="s">
        <v>870</v>
      </c>
      <c r="C24" s="2">
        <v>45764.926232511571</v>
      </c>
      <c r="D24" s="2">
        <v>45712.700470138887</v>
      </c>
      <c r="E24" s="2">
        <v>45760.800313252315</v>
      </c>
      <c r="F24" t="s">
        <v>871</v>
      </c>
      <c r="G24" t="s">
        <v>305</v>
      </c>
      <c r="H24">
        <v>45688</v>
      </c>
      <c r="I24">
        <v>0.5</v>
      </c>
      <c r="J24">
        <v>45695</v>
      </c>
      <c r="K24">
        <v>0.54166666666666674</v>
      </c>
      <c r="L24">
        <v>45696</v>
      </c>
      <c r="M24">
        <v>0.3903240740740741</v>
      </c>
      <c r="N24" t="s">
        <v>892</v>
      </c>
      <c r="O24"/>
      <c r="P24"/>
      <c r="Q24" t="s">
        <v>308</v>
      </c>
      <c r="R24" t="s">
        <v>250</v>
      </c>
      <c r="S24" t="s">
        <v>922</v>
      </c>
      <c r="T24" t="s">
        <v>955</v>
      </c>
      <c r="U24"/>
      <c r="V24"/>
      <c r="W24" t="s">
        <v>956</v>
      </c>
      <c r="X24"/>
      <c r="Y24" t="s">
        <v>230</v>
      </c>
      <c r="Z24" t="s">
        <v>935</v>
      </c>
      <c r="AA24"/>
      <c r="AB24"/>
      <c r="AC24"/>
      <c r="AD24"/>
      <c r="AE24" t="s">
        <v>913</v>
      </c>
      <c r="AF24" t="s">
        <v>67</v>
      </c>
      <c r="AG24" t="s">
        <v>205</v>
      </c>
      <c r="AH24" t="s">
        <v>206</v>
      </c>
      <c r="AI24" t="s">
        <v>106</v>
      </c>
      <c r="AJ24" t="s">
        <v>71</v>
      </c>
      <c r="AK24" t="s">
        <v>221</v>
      </c>
      <c r="AN24" s="3"/>
      <c r="AO24" s="3"/>
      <c r="AP24" s="3"/>
      <c r="AQ24" s="3"/>
      <c r="AR24" s="3"/>
      <c r="BB24" s="3"/>
      <c r="BC24" s="3"/>
      <c r="BE24" s="3"/>
      <c r="BF24" s="3"/>
      <c r="BG24" s="3"/>
      <c r="BH24" s="3"/>
      <c r="BI24" s="3"/>
      <c r="BJ24" s="3"/>
      <c r="BK24" s="3"/>
      <c r="BL24" s="3"/>
      <c r="BM24" s="3"/>
      <c r="BN24" s="3"/>
      <c r="BR24" s="3"/>
      <c r="BV24" s="3"/>
      <c r="BW24" s="3"/>
      <c r="BX24" s="3"/>
      <c r="BY24" s="3"/>
      <c r="BZ24" s="3"/>
      <c r="CA24" s="3"/>
      <c r="CB24" s="3"/>
      <c r="CC24" s="3"/>
      <c r="CD24" s="3"/>
      <c r="CE24" s="3"/>
      <c r="CF24" s="3"/>
      <c r="CG24" s="3"/>
      <c r="CH24" s="3"/>
      <c r="CI24" s="3"/>
      <c r="CN24" s="3"/>
      <c r="CO24" s="3"/>
    </row>
    <row r="25" spans="1:93" x14ac:dyDescent="0.3">
      <c r="A25" t="s">
        <v>869</v>
      </c>
      <c r="B25" t="s">
        <v>870</v>
      </c>
      <c r="C25" s="2">
        <v>45764.926232511571</v>
      </c>
      <c r="D25" s="2">
        <v>45712.700470138887</v>
      </c>
      <c r="E25" s="2">
        <v>45760.800313252315</v>
      </c>
      <c r="F25" t="s">
        <v>871</v>
      </c>
      <c r="G25" t="s">
        <v>437</v>
      </c>
      <c r="H25">
        <v>45701</v>
      </c>
      <c r="I25">
        <v>8.3333333333333329E-2</v>
      </c>
      <c r="J25"/>
      <c r="K25"/>
      <c r="L25">
        <v>45701</v>
      </c>
      <c r="M25">
        <v>0.51225694444444447</v>
      </c>
      <c r="N25" t="s">
        <v>440</v>
      </c>
      <c r="O25" t="s">
        <v>957</v>
      </c>
      <c r="P25" t="s">
        <v>906</v>
      </c>
      <c r="Q25" t="s">
        <v>443</v>
      </c>
      <c r="R25" t="s">
        <v>191</v>
      </c>
      <c r="S25" t="s">
        <v>893</v>
      </c>
      <c r="T25" t="s">
        <v>958</v>
      </c>
      <c r="U25"/>
      <c r="V25"/>
      <c r="W25"/>
      <c r="X25"/>
      <c r="Y25"/>
      <c r="Z25"/>
      <c r="AA25"/>
      <c r="AB25"/>
      <c r="AC25"/>
      <c r="AD25"/>
      <c r="AE25" t="s">
        <v>959</v>
      </c>
      <c r="AF25" t="s">
        <v>67</v>
      </c>
      <c r="AG25" t="s">
        <v>120</v>
      </c>
      <c r="AH25" t="s">
        <v>121</v>
      </c>
      <c r="AI25" t="s">
        <v>378</v>
      </c>
      <c r="AJ25" t="s">
        <v>446</v>
      </c>
      <c r="AK25"/>
      <c r="AN25" s="3"/>
      <c r="AO25" s="3"/>
      <c r="AP25" s="3"/>
      <c r="AQ25" s="3"/>
      <c r="AR25" s="3"/>
      <c r="BB25" s="3"/>
      <c r="BC25" s="3"/>
      <c r="BE25" s="3"/>
      <c r="BF25" s="3"/>
      <c r="BG25" s="3"/>
      <c r="BH25" s="3"/>
      <c r="BI25" s="3"/>
      <c r="BJ25" s="3"/>
      <c r="BK25" s="3"/>
      <c r="BL25" s="3"/>
      <c r="BM25" s="3"/>
      <c r="BN25" s="3"/>
      <c r="BR25" s="3"/>
      <c r="BV25" s="3"/>
      <c r="BW25" s="3"/>
      <c r="BX25" s="3"/>
      <c r="BY25" s="3"/>
      <c r="BZ25" s="3"/>
      <c r="CA25" s="3"/>
      <c r="CB25" s="3"/>
      <c r="CC25" s="3"/>
      <c r="CD25" s="3"/>
      <c r="CE25" s="3"/>
      <c r="CF25" s="3"/>
      <c r="CG25" s="3"/>
      <c r="CH25" s="3"/>
      <c r="CI25" s="3"/>
      <c r="CN25" s="3"/>
      <c r="CO25" s="3"/>
    </row>
    <row r="26" spans="1:93" x14ac:dyDescent="0.3">
      <c r="A26" t="s">
        <v>869</v>
      </c>
      <c r="B26" t="s">
        <v>870</v>
      </c>
      <c r="C26" s="2">
        <v>45764.926232511571</v>
      </c>
      <c r="D26" s="2">
        <v>45712.700470138887</v>
      </c>
      <c r="E26" s="2">
        <v>45760.800313252315</v>
      </c>
      <c r="F26" t="s">
        <v>871</v>
      </c>
      <c r="G26" t="s">
        <v>110</v>
      </c>
      <c r="H26">
        <v>45701</v>
      </c>
      <c r="I26">
        <v>0.66666666666666663</v>
      </c>
      <c r="J26"/>
      <c r="K26"/>
      <c r="L26">
        <v>45702</v>
      </c>
      <c r="M26">
        <v>0.29906250000000001</v>
      </c>
      <c r="N26" t="s">
        <v>902</v>
      </c>
      <c r="O26"/>
      <c r="P26"/>
      <c r="Q26" t="s">
        <v>113</v>
      </c>
      <c r="R26" t="s">
        <v>114</v>
      </c>
      <c r="S26" t="s">
        <v>936</v>
      </c>
      <c r="T26" t="s">
        <v>960</v>
      </c>
      <c r="U26"/>
      <c r="V26"/>
      <c r="W26" t="s">
        <v>116</v>
      </c>
      <c r="X26" t="s">
        <v>944</v>
      </c>
      <c r="Y26" t="s">
        <v>118</v>
      </c>
      <c r="Z26" t="s">
        <v>65</v>
      </c>
      <c r="AA26"/>
      <c r="AB26"/>
      <c r="AC26"/>
      <c r="AD26"/>
      <c r="AE26" t="s">
        <v>913</v>
      </c>
      <c r="AF26" t="s">
        <v>67</v>
      </c>
      <c r="AG26" t="s">
        <v>120</v>
      </c>
      <c r="AH26" t="s">
        <v>121</v>
      </c>
      <c r="AI26" t="s">
        <v>122</v>
      </c>
      <c r="AJ26" t="s">
        <v>123</v>
      </c>
      <c r="AK26" t="s">
        <v>72</v>
      </c>
      <c r="AN26" s="3"/>
      <c r="AO26" s="3"/>
      <c r="AP26" s="3"/>
      <c r="AQ26" s="3"/>
      <c r="AR26" s="3"/>
      <c r="BB26" s="3"/>
      <c r="BC26" s="3"/>
      <c r="BE26" s="3"/>
      <c r="BF26" s="3"/>
      <c r="BG26" s="3"/>
      <c r="BH26" s="3"/>
      <c r="BI26" s="3"/>
      <c r="BJ26" s="3"/>
      <c r="BK26" s="3"/>
      <c r="BL26" s="3"/>
      <c r="BM26" s="3"/>
      <c r="BN26" s="3"/>
      <c r="BR26" s="3"/>
      <c r="BV26" s="3"/>
      <c r="BW26" s="3"/>
      <c r="BX26" s="3"/>
      <c r="BY26" s="3"/>
      <c r="BZ26" s="3"/>
      <c r="CA26" s="3"/>
      <c r="CB26" s="3"/>
      <c r="CC26" s="3"/>
      <c r="CD26" s="3"/>
      <c r="CE26" s="3"/>
      <c r="CF26" s="3"/>
      <c r="CG26" s="3"/>
      <c r="CH26" s="3"/>
      <c r="CI26" s="3"/>
      <c r="CN26" s="3"/>
      <c r="CO26" s="3"/>
    </row>
    <row r="27" spans="1:93" x14ac:dyDescent="0.3">
      <c r="A27" t="s">
        <v>869</v>
      </c>
      <c r="B27" t="s">
        <v>870</v>
      </c>
      <c r="C27" s="2">
        <v>45764.926232511571</v>
      </c>
      <c r="D27" s="2">
        <v>45712.700470138887</v>
      </c>
      <c r="E27" s="2">
        <v>45760.800313252315</v>
      </c>
      <c r="F27" t="s">
        <v>871</v>
      </c>
      <c r="G27" t="s">
        <v>313</v>
      </c>
      <c r="H27">
        <v>45705</v>
      </c>
      <c r="I27">
        <v>0.34877314814814814</v>
      </c>
      <c r="J27"/>
      <c r="K27"/>
      <c r="L27">
        <v>45705</v>
      </c>
      <c r="M27">
        <v>0.34877314814814819</v>
      </c>
      <c r="N27" t="s">
        <v>892</v>
      </c>
      <c r="O27" t="s">
        <v>317</v>
      </c>
      <c r="P27"/>
      <c r="Q27" t="s">
        <v>318</v>
      </c>
      <c r="R27" t="s">
        <v>134</v>
      </c>
      <c r="S27" t="s">
        <v>899</v>
      </c>
      <c r="T27" t="s">
        <v>961</v>
      </c>
      <c r="U27"/>
      <c r="V27"/>
      <c r="W27" t="s">
        <v>962</v>
      </c>
      <c r="X27" t="s">
        <v>896</v>
      </c>
      <c r="Y27" t="s">
        <v>218</v>
      </c>
      <c r="Z27" t="s">
        <v>65</v>
      </c>
      <c r="AA27"/>
      <c r="AB27"/>
      <c r="AC27"/>
      <c r="AD27"/>
      <c r="AE27" t="s">
        <v>904</v>
      </c>
      <c r="AF27" t="s">
        <v>67</v>
      </c>
      <c r="AG27" t="s">
        <v>68</v>
      </c>
      <c r="AH27" t="s">
        <v>69</v>
      </c>
      <c r="AI27" t="s">
        <v>122</v>
      </c>
      <c r="AJ27" t="s">
        <v>123</v>
      </c>
      <c r="AK27" t="s">
        <v>221</v>
      </c>
      <c r="AN27" s="3"/>
      <c r="AO27" s="3"/>
      <c r="AP27" s="3"/>
      <c r="AQ27" s="3"/>
      <c r="AR27" s="3"/>
      <c r="BB27" s="3"/>
      <c r="BC27" s="3"/>
      <c r="BE27" s="3"/>
      <c r="BF27" s="3"/>
      <c r="BG27" s="3"/>
      <c r="BH27" s="3"/>
      <c r="BI27" s="3"/>
      <c r="BJ27" s="3"/>
      <c r="BK27" s="3"/>
      <c r="BL27" s="3"/>
      <c r="BM27" s="3"/>
      <c r="BN27" s="3"/>
      <c r="BR27" s="3"/>
      <c r="BV27" s="3"/>
      <c r="BW27" s="3"/>
      <c r="BX27" s="3"/>
      <c r="BY27" s="3"/>
      <c r="BZ27" s="3"/>
      <c r="CA27" s="3"/>
      <c r="CB27" s="3"/>
      <c r="CC27" s="3"/>
      <c r="CD27" s="3"/>
      <c r="CE27" s="3"/>
      <c r="CF27" s="3"/>
      <c r="CG27" s="3"/>
      <c r="CH27" s="3"/>
      <c r="CI27" s="3"/>
      <c r="CN27" s="3"/>
      <c r="CO27" s="3"/>
    </row>
    <row r="28" spans="1:93" x14ac:dyDescent="0.3">
      <c r="A28" t="s">
        <v>869</v>
      </c>
      <c r="B28" t="s">
        <v>870</v>
      </c>
      <c r="C28" s="2">
        <v>45764.926232511571</v>
      </c>
      <c r="D28" s="2">
        <v>45712.700470138887</v>
      </c>
      <c r="E28" s="2">
        <v>45760.800313252315</v>
      </c>
      <c r="F28" t="s">
        <v>871</v>
      </c>
      <c r="G28" t="s">
        <v>324</v>
      </c>
      <c r="H28">
        <v>45705</v>
      </c>
      <c r="I28">
        <v>0.39716435185185184</v>
      </c>
      <c r="J28"/>
      <c r="K28"/>
      <c r="L28">
        <v>45705</v>
      </c>
      <c r="M28">
        <v>0.39716435185185195</v>
      </c>
      <c r="N28" t="s">
        <v>892</v>
      </c>
      <c r="O28"/>
      <c r="P28"/>
      <c r="Q28" t="s">
        <v>326</v>
      </c>
      <c r="R28" t="s">
        <v>327</v>
      </c>
      <c r="S28" t="s">
        <v>899</v>
      </c>
      <c r="T28" t="s">
        <v>963</v>
      </c>
      <c r="U28"/>
      <c r="V28"/>
      <c r="W28" t="s">
        <v>964</v>
      </c>
      <c r="X28" t="s">
        <v>896</v>
      </c>
      <c r="Y28" t="s">
        <v>218</v>
      </c>
      <c r="Z28" t="s">
        <v>935</v>
      </c>
      <c r="AA28"/>
      <c r="AB28"/>
      <c r="AC28"/>
      <c r="AD28"/>
      <c r="AE28" t="s">
        <v>904</v>
      </c>
      <c r="AF28" t="s">
        <v>67</v>
      </c>
      <c r="AG28" t="s">
        <v>330</v>
      </c>
      <c r="AH28" t="s">
        <v>69</v>
      </c>
      <c r="AI28" t="s">
        <v>122</v>
      </c>
      <c r="AJ28" t="s">
        <v>71</v>
      </c>
      <c r="AK28" t="s">
        <v>221</v>
      </c>
      <c r="AN28" s="3"/>
      <c r="AO28" s="3"/>
      <c r="AP28" s="3"/>
      <c r="AQ28" s="3"/>
      <c r="AR28" s="3"/>
      <c r="BB28" s="3"/>
      <c r="BC28" s="3"/>
      <c r="BE28" s="3"/>
      <c r="BF28" s="3"/>
      <c r="BG28" s="3"/>
      <c r="BH28" s="3"/>
      <c r="BI28" s="3"/>
      <c r="BJ28" s="3"/>
      <c r="BK28" s="3"/>
      <c r="BL28" s="3"/>
      <c r="BM28" s="3"/>
      <c r="BN28" s="3"/>
      <c r="BR28" s="3"/>
      <c r="BV28" s="3"/>
      <c r="BW28" s="3"/>
      <c r="BX28" s="3"/>
      <c r="BY28" s="3"/>
      <c r="BZ28" s="3"/>
      <c r="CA28" s="3"/>
      <c r="CB28" s="3"/>
      <c r="CC28" s="3"/>
      <c r="CD28" s="3"/>
      <c r="CE28" s="3"/>
      <c r="CF28" s="3"/>
      <c r="CG28" s="3"/>
      <c r="CH28" s="3"/>
      <c r="CI28" s="3"/>
      <c r="CN28" s="3"/>
      <c r="CO28" s="3"/>
    </row>
    <row r="29" spans="1:93" x14ac:dyDescent="0.3">
      <c r="A29" t="s">
        <v>869</v>
      </c>
      <c r="B29" t="s">
        <v>870</v>
      </c>
      <c r="C29" s="2">
        <v>45764.926232511571</v>
      </c>
      <c r="D29" s="2">
        <v>45712.700470138887</v>
      </c>
      <c r="E29" s="2">
        <v>45760.800313252315</v>
      </c>
      <c r="F29" t="s">
        <v>871</v>
      </c>
      <c r="G29" t="s">
        <v>173</v>
      </c>
      <c r="H29">
        <v>45705</v>
      </c>
      <c r="I29">
        <v>0.52497685185185183</v>
      </c>
      <c r="J29"/>
      <c r="K29"/>
      <c r="L29">
        <v>45705</v>
      </c>
      <c r="M29">
        <v>0.52497685185185183</v>
      </c>
      <c r="N29" t="s">
        <v>950</v>
      </c>
      <c r="O29" t="s">
        <v>176</v>
      </c>
      <c r="P29"/>
      <c r="Q29" t="s">
        <v>177</v>
      </c>
      <c r="R29" t="s">
        <v>178</v>
      </c>
      <c r="S29" t="s">
        <v>893</v>
      </c>
      <c r="T29" t="s">
        <v>965</v>
      </c>
      <c r="U29"/>
      <c r="V29"/>
      <c r="W29"/>
      <c r="X29"/>
      <c r="Y29"/>
      <c r="Z29"/>
      <c r="AA29"/>
      <c r="AB29"/>
      <c r="AC29"/>
      <c r="AD29"/>
      <c r="AE29" t="s">
        <v>904</v>
      </c>
      <c r="AF29" t="s">
        <v>67</v>
      </c>
      <c r="AG29" t="s">
        <v>68</v>
      </c>
      <c r="AH29" t="s">
        <v>69</v>
      </c>
      <c r="AI29" t="s">
        <v>180</v>
      </c>
      <c r="AJ29" t="s">
        <v>181</v>
      </c>
      <c r="AK29" t="s">
        <v>137</v>
      </c>
      <c r="AN29" s="3"/>
      <c r="AO29" s="3"/>
      <c r="AP29" s="3"/>
      <c r="AQ29" s="3"/>
      <c r="AR29" s="3"/>
      <c r="BB29" s="3"/>
      <c r="BC29" s="3"/>
      <c r="BE29" s="3"/>
      <c r="BF29" s="3"/>
      <c r="BG29" s="3"/>
      <c r="BH29" s="3"/>
      <c r="BI29" s="3"/>
      <c r="BJ29" s="3"/>
      <c r="BK29" s="3"/>
      <c r="BL29" s="3"/>
      <c r="BM29" s="3"/>
      <c r="BN29" s="3"/>
      <c r="BR29" s="3"/>
      <c r="BV29" s="3"/>
      <c r="BW29" s="3"/>
      <c r="BX29" s="3"/>
      <c r="BY29" s="3"/>
      <c r="BZ29" s="3"/>
      <c r="CA29" s="3"/>
      <c r="CB29" s="3"/>
      <c r="CC29" s="3"/>
      <c r="CD29" s="3"/>
      <c r="CE29" s="3"/>
      <c r="CF29" s="3"/>
      <c r="CG29" s="3"/>
      <c r="CH29" s="3"/>
      <c r="CI29" s="3"/>
      <c r="CN29" s="3"/>
      <c r="CO29" s="3"/>
    </row>
    <row r="30" spans="1:93" x14ac:dyDescent="0.3">
      <c r="A30" t="s">
        <v>869</v>
      </c>
      <c r="B30" t="s">
        <v>870</v>
      </c>
      <c r="C30" s="2">
        <v>45764.926232511571</v>
      </c>
      <c r="D30" s="2">
        <v>45712.700470138887</v>
      </c>
      <c r="E30" s="2">
        <v>45760.800313252315</v>
      </c>
      <c r="F30" t="s">
        <v>871</v>
      </c>
      <c r="G30" t="s">
        <v>420</v>
      </c>
      <c r="H30">
        <v>45705</v>
      </c>
      <c r="I30">
        <v>0.83333333333333337</v>
      </c>
      <c r="J30">
        <v>45705</v>
      </c>
      <c r="K30">
        <v>0.98958333333333326</v>
      </c>
      <c r="L30">
        <v>45706</v>
      </c>
      <c r="M30">
        <v>0.73564814814814805</v>
      </c>
      <c r="N30" t="s">
        <v>423</v>
      </c>
      <c r="O30" t="s">
        <v>925</v>
      </c>
      <c r="P30"/>
      <c r="Q30" t="s">
        <v>425</v>
      </c>
      <c r="R30" t="s">
        <v>426</v>
      </c>
      <c r="S30" t="s">
        <v>907</v>
      </c>
      <c r="T30" t="s">
        <v>966</v>
      </c>
      <c r="U30"/>
      <c r="V30"/>
      <c r="W30"/>
      <c r="X30"/>
      <c r="Y30"/>
      <c r="Z30"/>
      <c r="AA30"/>
      <c r="AB30"/>
      <c r="AC30"/>
      <c r="AD30"/>
      <c r="AE30" t="s">
        <v>927</v>
      </c>
      <c r="AF30" t="s">
        <v>67</v>
      </c>
      <c r="AG30" t="s">
        <v>106</v>
      </c>
      <c r="AH30" t="s">
        <v>417</v>
      </c>
      <c r="AI30" t="s">
        <v>106</v>
      </c>
      <c r="AJ30" t="s">
        <v>266</v>
      </c>
      <c r="AK30"/>
      <c r="AN30" s="3"/>
      <c r="AO30" s="3"/>
      <c r="AP30" s="3"/>
      <c r="AQ30" s="3"/>
      <c r="AR30" s="3"/>
      <c r="BB30" s="3"/>
      <c r="BC30" s="3"/>
      <c r="BE30" s="3"/>
      <c r="BF30" s="3"/>
      <c r="BG30" s="3"/>
      <c r="BH30" s="3"/>
      <c r="BI30" s="3"/>
      <c r="BJ30" s="3"/>
      <c r="BK30" s="3"/>
      <c r="BL30" s="3"/>
      <c r="BM30" s="3"/>
      <c r="BN30" s="3"/>
      <c r="BR30" s="3"/>
      <c r="BV30" s="3"/>
      <c r="BW30" s="3"/>
      <c r="BX30" s="3"/>
      <c r="BY30" s="3"/>
      <c r="BZ30" s="3"/>
      <c r="CA30" s="3"/>
      <c r="CB30" s="3"/>
      <c r="CC30" s="3"/>
      <c r="CD30" s="3"/>
      <c r="CE30" s="3"/>
      <c r="CF30" s="3"/>
      <c r="CG30" s="3"/>
      <c r="CH30" s="3"/>
      <c r="CI30" s="3"/>
      <c r="CN30" s="3"/>
      <c r="CO30" s="3"/>
    </row>
    <row r="31" spans="1:93" x14ac:dyDescent="0.3">
      <c r="A31" t="s">
        <v>869</v>
      </c>
      <c r="B31" t="s">
        <v>870</v>
      </c>
      <c r="C31" s="2">
        <v>45764.926232511571</v>
      </c>
      <c r="D31" s="2">
        <v>45712.700470138887</v>
      </c>
      <c r="E31" s="2">
        <v>45760.800313252315</v>
      </c>
      <c r="F31" t="s">
        <v>871</v>
      </c>
      <c r="G31" t="s">
        <v>429</v>
      </c>
      <c r="H31">
        <v>42906</v>
      </c>
      <c r="I31">
        <v>0.53615740740740736</v>
      </c>
      <c r="J31">
        <v>45555</v>
      </c>
      <c r="K31"/>
      <c r="L31">
        <v>45708</v>
      </c>
      <c r="M31">
        <v>0.53615740740740736</v>
      </c>
      <c r="N31" t="s">
        <v>925</v>
      </c>
      <c r="O31"/>
      <c r="P31"/>
      <c r="Q31" t="s">
        <v>432</v>
      </c>
      <c r="R31" t="s">
        <v>101</v>
      </c>
      <c r="S31" t="s">
        <v>907</v>
      </c>
      <c r="T31" t="s">
        <v>967</v>
      </c>
      <c r="U31"/>
      <c r="V31"/>
      <c r="W31"/>
      <c r="X31"/>
      <c r="Y31"/>
      <c r="Z31"/>
      <c r="AA31"/>
      <c r="AB31"/>
      <c r="AC31"/>
      <c r="AD31"/>
      <c r="AE31" t="s">
        <v>904</v>
      </c>
      <c r="AF31" t="s">
        <v>67</v>
      </c>
      <c r="AG31" t="s">
        <v>434</v>
      </c>
      <c r="AH31" t="s">
        <v>69</v>
      </c>
      <c r="AI31" t="s">
        <v>352</v>
      </c>
      <c r="AJ31" t="s">
        <v>435</v>
      </c>
      <c r="AK31" t="s">
        <v>436</v>
      </c>
      <c r="AN31" s="3"/>
      <c r="AO31" s="3"/>
      <c r="AP31" s="3"/>
      <c r="AQ31" s="3"/>
      <c r="AR31" s="3"/>
      <c r="BB31" s="3"/>
      <c r="BC31" s="3"/>
      <c r="BE31" s="3"/>
      <c r="BF31" s="3"/>
      <c r="BG31" s="3"/>
      <c r="BH31" s="3"/>
      <c r="BI31" s="3"/>
      <c r="BJ31" s="3"/>
      <c r="BK31" s="3"/>
      <c r="BL31" s="3"/>
      <c r="BM31" s="3"/>
      <c r="BN31" s="3"/>
      <c r="BR31" s="3"/>
      <c r="BV31" s="3"/>
      <c r="BW31" s="3"/>
      <c r="BX31" s="3"/>
      <c r="BY31" s="3"/>
      <c r="BZ31" s="3"/>
      <c r="CA31" s="3"/>
      <c r="CB31" s="3"/>
      <c r="CC31" s="3"/>
      <c r="CD31" s="3"/>
      <c r="CE31" s="3"/>
      <c r="CF31" s="3"/>
      <c r="CG31" s="3"/>
      <c r="CH31" s="3"/>
      <c r="CI31" s="3"/>
      <c r="CN31" s="3"/>
      <c r="CO31" s="3"/>
    </row>
    <row r="32" spans="1:93" x14ac:dyDescent="0.3">
      <c r="A32" t="s">
        <v>872</v>
      </c>
      <c r="B32" t="s">
        <v>870</v>
      </c>
      <c r="C32" s="2">
        <v>45764.92623287037</v>
      </c>
      <c r="D32" s="2">
        <v>45762.105451388888</v>
      </c>
      <c r="E32" s="2">
        <v>45712.701344907407</v>
      </c>
      <c r="F32" t="s">
        <v>871</v>
      </c>
      <c r="G32" t="s">
        <v>210</v>
      </c>
      <c r="H32">
        <v>45660</v>
      </c>
      <c r="I32">
        <v>0.89583333333333337</v>
      </c>
      <c r="J32">
        <v>45661</v>
      </c>
      <c r="K32">
        <v>0.26736111111111116</v>
      </c>
      <c r="L32">
        <v>45661</v>
      </c>
      <c r="M32">
        <v>0.4577430555555555</v>
      </c>
      <c r="N32" t="s">
        <v>892</v>
      </c>
      <c r="O32"/>
      <c r="P32"/>
      <c r="Q32" t="s">
        <v>214</v>
      </c>
      <c r="R32" t="s">
        <v>215</v>
      </c>
      <c r="S32" t="s">
        <v>893</v>
      </c>
      <c r="T32" t="s">
        <v>894</v>
      </c>
      <c r="U32"/>
      <c r="V32"/>
      <c r="W32" t="s">
        <v>895</v>
      </c>
      <c r="X32" t="s">
        <v>896</v>
      </c>
      <c r="Y32" t="s">
        <v>218</v>
      </c>
      <c r="Z32" t="s">
        <v>65</v>
      </c>
      <c r="AA32"/>
      <c r="AB32"/>
      <c r="AC32"/>
      <c r="AD32"/>
      <c r="AE32" t="s">
        <v>897</v>
      </c>
      <c r="AF32" t="s">
        <v>67</v>
      </c>
      <c r="AG32" t="s">
        <v>219</v>
      </c>
      <c r="AH32" t="s">
        <v>206</v>
      </c>
      <c r="AI32" t="s">
        <v>220</v>
      </c>
      <c r="AJ32" t="s">
        <v>71</v>
      </c>
      <c r="AK32" t="s">
        <v>221</v>
      </c>
      <c r="AN32" s="3"/>
      <c r="AO32" s="3"/>
      <c r="AP32" s="3"/>
      <c r="AQ32" s="3"/>
      <c r="AR32" s="3"/>
      <c r="BB32" s="3"/>
      <c r="BC32" s="3"/>
      <c r="BE32" s="3"/>
      <c r="BF32" s="3"/>
      <c r="BG32" s="3"/>
      <c r="BH32" s="3"/>
      <c r="BI32" s="3"/>
      <c r="BJ32" s="3"/>
      <c r="BK32" s="3"/>
      <c r="BL32" s="3"/>
      <c r="BM32" s="3"/>
      <c r="BN32" s="3"/>
      <c r="BR32" s="3"/>
      <c r="BV32" s="3"/>
      <c r="BW32" s="3"/>
      <c r="BX32" s="3"/>
      <c r="BY32" s="3"/>
      <c r="BZ32" s="3"/>
      <c r="CA32" s="3"/>
      <c r="CB32" s="3"/>
      <c r="CC32" s="3"/>
      <c r="CD32" s="3"/>
      <c r="CE32" s="3"/>
      <c r="CF32" s="3"/>
      <c r="CG32" s="3"/>
      <c r="CH32" s="3"/>
      <c r="CI32" s="3"/>
      <c r="CN32" s="3"/>
      <c r="CO32" s="3"/>
    </row>
    <row r="33" spans="1:93" x14ac:dyDescent="0.3">
      <c r="A33" t="s">
        <v>872</v>
      </c>
      <c r="B33" t="s">
        <v>870</v>
      </c>
      <c r="C33" s="2">
        <v>45764.92623287037</v>
      </c>
      <c r="D33" s="2">
        <v>45762.105451388888</v>
      </c>
      <c r="E33" s="2">
        <v>45712.701344907407</v>
      </c>
      <c r="F33" t="s">
        <v>871</v>
      </c>
      <c r="G33" t="s">
        <v>395</v>
      </c>
      <c r="H33">
        <v>45664</v>
      </c>
      <c r="I33">
        <v>0.58333333333333337</v>
      </c>
      <c r="J33"/>
      <c r="K33"/>
      <c r="L33">
        <v>45667</v>
      </c>
      <c r="M33">
        <v>0.59781250000000008</v>
      </c>
      <c r="N33" t="s">
        <v>898</v>
      </c>
      <c r="O33" t="s">
        <v>400</v>
      </c>
      <c r="P33"/>
      <c r="Q33" t="s">
        <v>401</v>
      </c>
      <c r="R33" t="s">
        <v>134</v>
      </c>
      <c r="S33" t="s">
        <v>899</v>
      </c>
      <c r="T33" t="s">
        <v>900</v>
      </c>
      <c r="U33"/>
      <c r="V33"/>
      <c r="W33"/>
      <c r="X33"/>
      <c r="Y33"/>
      <c r="Z33"/>
      <c r="AA33"/>
      <c r="AB33"/>
      <c r="AC33"/>
      <c r="AD33"/>
      <c r="AE33" t="s">
        <v>901</v>
      </c>
      <c r="AF33" t="s">
        <v>67</v>
      </c>
      <c r="AG33" t="s">
        <v>404</v>
      </c>
      <c r="AH33" t="s">
        <v>405</v>
      </c>
      <c r="AI33" t="s">
        <v>406</v>
      </c>
      <c r="AJ33" t="s">
        <v>71</v>
      </c>
      <c r="AK33" t="s">
        <v>407</v>
      </c>
      <c r="AN33" s="3"/>
      <c r="AO33" s="3"/>
      <c r="AP33" s="3"/>
      <c r="AQ33" s="3"/>
      <c r="AR33" s="3"/>
      <c r="BB33" s="3"/>
      <c r="BC33" s="3"/>
      <c r="BE33" s="3"/>
      <c r="BF33" s="3"/>
      <c r="BG33" s="3"/>
      <c r="BH33" s="3"/>
      <c r="BI33" s="3"/>
      <c r="BJ33" s="3"/>
      <c r="BK33" s="3"/>
      <c r="BL33" s="3"/>
      <c r="BM33" s="3"/>
      <c r="BN33" s="3"/>
      <c r="BR33" s="3"/>
      <c r="BV33" s="3"/>
      <c r="BW33" s="3"/>
      <c r="BX33" s="3"/>
      <c r="BY33" s="3"/>
      <c r="BZ33" s="3"/>
      <c r="CA33" s="3"/>
      <c r="CB33" s="3"/>
      <c r="CC33" s="3"/>
      <c r="CD33" s="3"/>
      <c r="CE33" s="3"/>
      <c r="CF33" s="3"/>
      <c r="CG33" s="3"/>
      <c r="CH33" s="3"/>
      <c r="CI33" s="3"/>
      <c r="CN33" s="3"/>
      <c r="CO33" s="3"/>
    </row>
    <row r="34" spans="1:93" x14ac:dyDescent="0.3">
      <c r="A34" t="s">
        <v>872</v>
      </c>
      <c r="B34" t="s">
        <v>870</v>
      </c>
      <c r="C34" s="2">
        <v>45764.92623287037</v>
      </c>
      <c r="D34" s="2">
        <v>45762.105451388888</v>
      </c>
      <c r="E34" s="2">
        <v>45712.701344907407</v>
      </c>
      <c r="F34" t="s">
        <v>871</v>
      </c>
      <c r="G34" t="s">
        <v>53</v>
      </c>
      <c r="H34">
        <v>45663</v>
      </c>
      <c r="I34">
        <v>0.64583333333333337</v>
      </c>
      <c r="J34">
        <v>45667</v>
      </c>
      <c r="K34"/>
      <c r="L34">
        <v>45667</v>
      </c>
      <c r="M34">
        <v>0.82629629629629631</v>
      </c>
      <c r="N34" t="s">
        <v>902</v>
      </c>
      <c r="O34"/>
      <c r="P34"/>
      <c r="Q34" t="s">
        <v>60</v>
      </c>
      <c r="R34"/>
      <c r="S34" t="s">
        <v>899</v>
      </c>
      <c r="T34" t="s">
        <v>903</v>
      </c>
      <c r="U34"/>
      <c r="V34"/>
      <c r="W34" t="s">
        <v>62</v>
      </c>
      <c r="X34" t="s">
        <v>896</v>
      </c>
      <c r="Y34" t="s">
        <v>64</v>
      </c>
      <c r="Z34" t="s">
        <v>65</v>
      </c>
      <c r="AA34"/>
      <c r="AB34"/>
      <c r="AC34"/>
      <c r="AD34"/>
      <c r="AE34" t="s">
        <v>904</v>
      </c>
      <c r="AF34" t="s">
        <v>67</v>
      </c>
      <c r="AG34" t="s">
        <v>68</v>
      </c>
      <c r="AH34" t="s">
        <v>69</v>
      </c>
      <c r="AI34" t="s">
        <v>70</v>
      </c>
      <c r="AJ34" t="s">
        <v>71</v>
      </c>
      <c r="AK34" t="s">
        <v>72</v>
      </c>
      <c r="AN34" s="3"/>
      <c r="AO34" s="3"/>
      <c r="AP34" s="3"/>
      <c r="AQ34" s="3"/>
      <c r="AR34" s="3"/>
      <c r="BB34" s="3"/>
      <c r="BC34" s="3"/>
      <c r="BE34" s="3"/>
      <c r="BF34" s="3"/>
      <c r="BG34" s="3"/>
      <c r="BH34" s="3"/>
      <c r="BI34" s="3"/>
      <c r="BJ34" s="3"/>
      <c r="BK34" s="3"/>
      <c r="BL34" s="3"/>
      <c r="BM34" s="3"/>
      <c r="BN34" s="3"/>
      <c r="BR34" s="3"/>
      <c r="BV34" s="3"/>
      <c r="BW34" s="3"/>
      <c r="BX34" s="3"/>
      <c r="BY34" s="3"/>
      <c r="BZ34" s="3"/>
      <c r="CA34" s="3"/>
      <c r="CB34" s="3"/>
      <c r="CC34" s="3"/>
      <c r="CD34" s="3"/>
      <c r="CE34" s="3"/>
      <c r="CF34" s="3"/>
      <c r="CG34" s="3"/>
      <c r="CH34" s="3"/>
      <c r="CI34" s="3"/>
      <c r="CN34" s="3"/>
      <c r="CO34" s="3"/>
    </row>
    <row r="35" spans="1:93" x14ac:dyDescent="0.3">
      <c r="A35" t="s">
        <v>872</v>
      </c>
      <c r="B35" t="s">
        <v>870</v>
      </c>
      <c r="C35" s="2">
        <v>45764.92623287037</v>
      </c>
      <c r="D35" s="2">
        <v>45762.105451388888</v>
      </c>
      <c r="E35" s="2">
        <v>45712.701344907407</v>
      </c>
      <c r="F35" t="s">
        <v>871</v>
      </c>
      <c r="G35" t="s">
        <v>341</v>
      </c>
      <c r="H35">
        <v>45670</v>
      </c>
      <c r="I35">
        <v>0.50347222222222221</v>
      </c>
      <c r="J35"/>
      <c r="K35"/>
      <c r="L35">
        <v>45670</v>
      </c>
      <c r="M35">
        <v>0.50537037037037047</v>
      </c>
      <c r="N35" t="s">
        <v>344</v>
      </c>
      <c r="O35" t="s">
        <v>905</v>
      </c>
      <c r="P35" t="s">
        <v>906</v>
      </c>
      <c r="Q35" t="s">
        <v>348</v>
      </c>
      <c r="R35" t="s">
        <v>84</v>
      </c>
      <c r="S35" t="s">
        <v>907</v>
      </c>
      <c r="T35" t="s">
        <v>908</v>
      </c>
      <c r="U35"/>
      <c r="V35"/>
      <c r="W35"/>
      <c r="X35"/>
      <c r="Y35"/>
      <c r="Z35"/>
      <c r="AA35"/>
      <c r="AB35"/>
      <c r="AC35"/>
      <c r="AD35"/>
      <c r="AE35" t="s">
        <v>897</v>
      </c>
      <c r="AF35" t="s">
        <v>67</v>
      </c>
      <c r="AG35" t="s">
        <v>350</v>
      </c>
      <c r="AH35" t="s">
        <v>351</v>
      </c>
      <c r="AI35" t="s">
        <v>352</v>
      </c>
      <c r="AJ35" t="s">
        <v>123</v>
      </c>
      <c r="AK35" t="s">
        <v>353</v>
      </c>
      <c r="AN35" s="3"/>
      <c r="AO35" s="3"/>
      <c r="AP35" s="3"/>
      <c r="AQ35" s="3"/>
      <c r="AR35" s="3"/>
      <c r="BB35" s="3"/>
      <c r="BC35" s="3"/>
      <c r="BE35" s="3"/>
      <c r="BF35" s="3"/>
      <c r="BG35" s="3"/>
      <c r="BH35" s="3"/>
      <c r="BI35" s="3"/>
      <c r="BJ35" s="3"/>
      <c r="BK35" s="3"/>
      <c r="BL35" s="3"/>
      <c r="BM35" s="3"/>
      <c r="BN35" s="3"/>
      <c r="BR35" s="3"/>
      <c r="BV35" s="3"/>
      <c r="BW35" s="3"/>
      <c r="BX35" s="3"/>
      <c r="BY35" s="3"/>
      <c r="BZ35" s="3"/>
      <c r="CA35" s="3"/>
      <c r="CB35" s="3"/>
      <c r="CC35" s="3"/>
      <c r="CD35" s="3"/>
      <c r="CE35" s="3"/>
      <c r="CF35" s="3"/>
      <c r="CG35" s="3"/>
      <c r="CH35" s="3"/>
      <c r="CI35" s="3"/>
      <c r="CN35" s="3"/>
      <c r="CO35" s="3"/>
    </row>
    <row r="36" spans="1:93" x14ac:dyDescent="0.3">
      <c r="A36" t="s">
        <v>872</v>
      </c>
      <c r="B36" t="s">
        <v>870</v>
      </c>
      <c r="C36" s="2">
        <v>45764.92623287037</v>
      </c>
      <c r="D36" s="2">
        <v>45762.105451388888</v>
      </c>
      <c r="E36" s="2">
        <v>45712.701344907407</v>
      </c>
      <c r="F36" t="s">
        <v>871</v>
      </c>
      <c r="G36" t="s">
        <v>356</v>
      </c>
      <c r="H36">
        <v>45671</v>
      </c>
      <c r="I36">
        <v>0.64067129629629627</v>
      </c>
      <c r="J36"/>
      <c r="K36"/>
      <c r="L36">
        <v>45671</v>
      </c>
      <c r="M36">
        <v>0.64067129629629638</v>
      </c>
      <c r="N36" t="s">
        <v>906</v>
      </c>
      <c r="O36" t="s">
        <v>909</v>
      </c>
      <c r="P36" t="s">
        <v>361</v>
      </c>
      <c r="Q36" t="s">
        <v>362</v>
      </c>
      <c r="R36" t="s">
        <v>363</v>
      </c>
      <c r="S36" t="s">
        <v>893</v>
      </c>
      <c r="T36" t="s">
        <v>910</v>
      </c>
      <c r="U36"/>
      <c r="V36"/>
      <c r="W36" t="s">
        <v>911</v>
      </c>
      <c r="X36" t="s">
        <v>912</v>
      </c>
      <c r="Y36" t="s">
        <v>367</v>
      </c>
      <c r="Z36" t="s">
        <v>65</v>
      </c>
      <c r="AA36"/>
      <c r="AB36"/>
      <c r="AC36"/>
      <c r="AD36"/>
      <c r="AE36" t="s">
        <v>913</v>
      </c>
      <c r="AF36" t="s">
        <v>67</v>
      </c>
      <c r="AG36" t="s">
        <v>219</v>
      </c>
      <c r="AH36" t="s">
        <v>368</v>
      </c>
      <c r="AI36" t="s">
        <v>160</v>
      </c>
      <c r="AJ36" t="s">
        <v>123</v>
      </c>
      <c r="AK36" t="s">
        <v>353</v>
      </c>
      <c r="AN36" s="3"/>
      <c r="AO36" s="3"/>
      <c r="AP36" s="3"/>
      <c r="AQ36" s="3"/>
      <c r="AR36" s="3"/>
      <c r="BB36" s="3"/>
      <c r="BC36" s="3"/>
      <c r="BE36" s="3"/>
      <c r="BF36" s="3"/>
      <c r="BG36" s="3"/>
      <c r="BH36" s="3"/>
      <c r="BI36" s="3"/>
      <c r="BJ36" s="3"/>
      <c r="BK36" s="3"/>
      <c r="BL36" s="3"/>
      <c r="BM36" s="3"/>
      <c r="BN36" s="3"/>
      <c r="BR36" s="3"/>
      <c r="BV36" s="3"/>
      <c r="BW36" s="3"/>
      <c r="BX36" s="3"/>
      <c r="BY36" s="3"/>
      <c r="BZ36" s="3"/>
      <c r="CA36" s="3"/>
      <c r="CB36" s="3"/>
      <c r="CC36" s="3"/>
      <c r="CD36" s="3"/>
      <c r="CE36" s="3"/>
      <c r="CF36" s="3"/>
      <c r="CG36" s="3"/>
      <c r="CH36" s="3"/>
      <c r="CI36" s="3"/>
      <c r="CN36" s="3"/>
      <c r="CO36" s="3"/>
    </row>
    <row r="37" spans="1:93" x14ac:dyDescent="0.3">
      <c r="A37" t="s">
        <v>872</v>
      </c>
      <c r="B37" t="s">
        <v>870</v>
      </c>
      <c r="C37" s="2">
        <v>45764.92623287037</v>
      </c>
      <c r="D37" s="2">
        <v>45762.105451388888</v>
      </c>
      <c r="E37" s="2">
        <v>45712.701344907407</v>
      </c>
      <c r="F37" t="s">
        <v>871</v>
      </c>
      <c r="G37" t="s">
        <v>224</v>
      </c>
      <c r="H37">
        <v>45672</v>
      </c>
      <c r="I37">
        <v>0.53988425925925931</v>
      </c>
      <c r="J37"/>
      <c r="K37"/>
      <c r="L37">
        <v>45672</v>
      </c>
      <c r="M37">
        <v>0.5398842592592592</v>
      </c>
      <c r="N37" t="s">
        <v>892</v>
      </c>
      <c r="O37"/>
      <c r="P37"/>
      <c r="Q37" t="s">
        <v>227</v>
      </c>
      <c r="R37" t="s">
        <v>84</v>
      </c>
      <c r="S37" t="s">
        <v>907</v>
      </c>
      <c r="T37" t="s">
        <v>914</v>
      </c>
      <c r="U37"/>
      <c r="V37"/>
      <c r="W37" t="s">
        <v>229</v>
      </c>
      <c r="X37" t="s">
        <v>896</v>
      </c>
      <c r="Y37" t="s">
        <v>230</v>
      </c>
      <c r="Z37" t="s">
        <v>65</v>
      </c>
      <c r="AA37"/>
      <c r="AB37"/>
      <c r="AC37"/>
      <c r="AD37"/>
      <c r="AE37" t="s">
        <v>913</v>
      </c>
      <c r="AF37" t="s">
        <v>67</v>
      </c>
      <c r="AG37" t="s">
        <v>231</v>
      </c>
      <c r="AH37" t="s">
        <v>232</v>
      </c>
      <c r="AI37" t="s">
        <v>70</v>
      </c>
      <c r="AJ37" t="s">
        <v>71</v>
      </c>
      <c r="AK37" t="s">
        <v>221</v>
      </c>
      <c r="AN37" s="3"/>
      <c r="AO37" s="3"/>
      <c r="AP37" s="3"/>
      <c r="AQ37" s="3"/>
      <c r="AR37" s="3"/>
      <c r="BB37" s="3"/>
      <c r="BC37" s="3"/>
      <c r="BE37" s="3"/>
      <c r="BF37" s="3"/>
      <c r="BG37" s="3"/>
      <c r="BH37" s="3"/>
      <c r="BI37" s="3"/>
      <c r="BJ37" s="3"/>
      <c r="BK37" s="3"/>
      <c r="BL37" s="3"/>
      <c r="BM37" s="3"/>
      <c r="BN37" s="3"/>
      <c r="BR37" s="3"/>
      <c r="BV37" s="3"/>
      <c r="BW37" s="3"/>
      <c r="BX37" s="3"/>
      <c r="BY37" s="3"/>
      <c r="BZ37" s="3"/>
      <c r="CA37" s="3"/>
      <c r="CB37" s="3"/>
      <c r="CC37" s="3"/>
      <c r="CD37" s="3"/>
      <c r="CE37" s="3"/>
      <c r="CF37" s="3"/>
      <c r="CG37" s="3"/>
      <c r="CH37" s="3"/>
      <c r="CI37" s="3"/>
      <c r="CN37" s="3"/>
      <c r="CO37" s="3"/>
    </row>
    <row r="38" spans="1:93" x14ac:dyDescent="0.3">
      <c r="A38" t="s">
        <v>872</v>
      </c>
      <c r="B38" t="s">
        <v>870</v>
      </c>
      <c r="C38" s="2">
        <v>45764.92623287037</v>
      </c>
      <c r="D38" s="2">
        <v>45762.105451388888</v>
      </c>
      <c r="E38" s="2">
        <v>45712.701344907407</v>
      </c>
      <c r="F38" t="s">
        <v>871</v>
      </c>
      <c r="G38" t="s">
        <v>129</v>
      </c>
      <c r="H38">
        <v>45673</v>
      </c>
      <c r="I38">
        <v>0.5</v>
      </c>
      <c r="J38">
        <v>45673</v>
      </c>
      <c r="K38">
        <v>0.75</v>
      </c>
      <c r="L38">
        <v>45673</v>
      </c>
      <c r="M38">
        <v>0.81587962962962957</v>
      </c>
      <c r="N38" t="s">
        <v>915</v>
      </c>
      <c r="O38"/>
      <c r="P38"/>
      <c r="Q38" t="s">
        <v>133</v>
      </c>
      <c r="R38" t="s">
        <v>134</v>
      </c>
      <c r="S38" t="s">
        <v>899</v>
      </c>
      <c r="T38" t="s">
        <v>916</v>
      </c>
      <c r="U38"/>
      <c r="V38"/>
      <c r="W38"/>
      <c r="X38"/>
      <c r="Y38"/>
      <c r="Z38"/>
      <c r="AA38"/>
      <c r="AB38"/>
      <c r="AC38"/>
      <c r="AD38"/>
      <c r="AE38" t="s">
        <v>904</v>
      </c>
      <c r="AF38" t="s">
        <v>67</v>
      </c>
      <c r="AG38" t="s">
        <v>136</v>
      </c>
      <c r="AH38" t="s">
        <v>69</v>
      </c>
      <c r="AI38" t="s">
        <v>70</v>
      </c>
      <c r="AJ38" t="s">
        <v>71</v>
      </c>
      <c r="AK38" t="s">
        <v>137</v>
      </c>
      <c r="AN38" s="3"/>
      <c r="AO38" s="3"/>
      <c r="AP38" s="3"/>
      <c r="AQ38" s="3"/>
      <c r="AR38" s="3"/>
      <c r="BB38" s="3"/>
      <c r="BC38" s="3"/>
      <c r="BE38" s="3"/>
      <c r="BF38" s="3"/>
      <c r="BG38" s="3"/>
      <c r="BH38" s="3"/>
      <c r="BI38" s="3"/>
      <c r="BJ38" s="3"/>
      <c r="BK38" s="3"/>
      <c r="BL38" s="3"/>
      <c r="BM38" s="3"/>
      <c r="BN38" s="3"/>
      <c r="BR38" s="3"/>
      <c r="BV38" s="3"/>
      <c r="BW38" s="3"/>
      <c r="BX38" s="3"/>
      <c r="BY38" s="3"/>
      <c r="BZ38" s="3"/>
      <c r="CA38" s="3"/>
      <c r="CB38" s="3"/>
      <c r="CC38" s="3"/>
      <c r="CD38" s="3"/>
      <c r="CE38" s="3"/>
      <c r="CF38" s="3"/>
      <c r="CG38" s="3"/>
      <c r="CH38" s="3"/>
      <c r="CI38" s="3"/>
      <c r="CN38" s="3"/>
      <c r="CO38" s="3"/>
    </row>
    <row r="39" spans="1:93" x14ac:dyDescent="0.3">
      <c r="A39" t="s">
        <v>872</v>
      </c>
      <c r="B39" t="s">
        <v>870</v>
      </c>
      <c r="C39" s="2">
        <v>45764.92623287037</v>
      </c>
      <c r="D39" s="2">
        <v>45762.105451388888</v>
      </c>
      <c r="E39" s="2">
        <v>45712.701344907407</v>
      </c>
      <c r="F39" t="s">
        <v>871</v>
      </c>
      <c r="G39" t="s">
        <v>371</v>
      </c>
      <c r="H39">
        <v>45673</v>
      </c>
      <c r="I39">
        <v>0.87708333333333333</v>
      </c>
      <c r="J39">
        <v>45673</v>
      </c>
      <c r="K39">
        <v>0.88611111111111107</v>
      </c>
      <c r="L39">
        <v>45674</v>
      </c>
      <c r="M39">
        <v>0.51179398148148159</v>
      </c>
      <c r="N39" t="s">
        <v>906</v>
      </c>
      <c r="O39"/>
      <c r="P39"/>
      <c r="Q39" t="s">
        <v>374</v>
      </c>
      <c r="R39" t="s">
        <v>178</v>
      </c>
      <c r="S39" t="s">
        <v>893</v>
      </c>
      <c r="T39" t="s">
        <v>917</v>
      </c>
      <c r="U39"/>
      <c r="V39"/>
      <c r="W39"/>
      <c r="X39" t="s">
        <v>918</v>
      </c>
      <c r="Y39" t="s">
        <v>919</v>
      </c>
      <c r="Z39"/>
      <c r="AA39"/>
      <c r="AB39"/>
      <c r="AC39"/>
      <c r="AD39"/>
      <c r="AE39" t="s">
        <v>904</v>
      </c>
      <c r="AF39" t="s">
        <v>67</v>
      </c>
      <c r="AG39" t="s">
        <v>89</v>
      </c>
      <c r="AH39" t="s">
        <v>90</v>
      </c>
      <c r="AI39" t="s">
        <v>378</v>
      </c>
      <c r="AJ39" t="s">
        <v>195</v>
      </c>
      <c r="AK39" t="s">
        <v>353</v>
      </c>
      <c r="AN39" s="3"/>
      <c r="AO39" s="3"/>
      <c r="AP39" s="3"/>
      <c r="AQ39" s="3"/>
      <c r="AR39" s="3"/>
      <c r="BB39" s="3"/>
      <c r="BC39" s="3"/>
      <c r="BE39" s="3"/>
      <c r="BF39" s="3"/>
      <c r="BG39" s="3"/>
      <c r="BH39" s="3"/>
      <c r="BI39" s="3"/>
      <c r="BJ39" s="3"/>
      <c r="BK39" s="3"/>
      <c r="BL39" s="3"/>
      <c r="BM39" s="3"/>
      <c r="BN39" s="3"/>
      <c r="BR39" s="3"/>
      <c r="BV39" s="3"/>
      <c r="BW39" s="3"/>
      <c r="BX39" s="3"/>
      <c r="BY39" s="3"/>
      <c r="BZ39" s="3"/>
      <c r="CA39" s="3"/>
      <c r="CB39" s="3"/>
      <c r="CC39" s="3"/>
      <c r="CD39" s="3"/>
      <c r="CE39" s="3"/>
      <c r="CF39" s="3"/>
      <c r="CG39" s="3"/>
      <c r="CH39" s="3"/>
      <c r="CI39" s="3"/>
      <c r="CN39" s="3"/>
      <c r="CO39" s="3"/>
    </row>
    <row r="40" spans="1:93" x14ac:dyDescent="0.3">
      <c r="A40" t="s">
        <v>872</v>
      </c>
      <c r="B40" t="s">
        <v>870</v>
      </c>
      <c r="C40" s="2">
        <v>45764.92623287037</v>
      </c>
      <c r="D40" s="2">
        <v>45762.105451388888</v>
      </c>
      <c r="E40" s="2">
        <v>45712.701344907407</v>
      </c>
      <c r="F40" t="s">
        <v>871</v>
      </c>
      <c r="G40" t="s">
        <v>236</v>
      </c>
      <c r="H40">
        <v>45678</v>
      </c>
      <c r="I40">
        <v>0.79166666666666663</v>
      </c>
      <c r="J40">
        <v>45679</v>
      </c>
      <c r="K40">
        <v>0.13125000000000009</v>
      </c>
      <c r="L40">
        <v>45679</v>
      </c>
      <c r="M40">
        <v>0.13255787037037048</v>
      </c>
      <c r="N40" t="s">
        <v>892</v>
      </c>
      <c r="O40"/>
      <c r="P40"/>
      <c r="Q40" t="s">
        <v>239</v>
      </c>
      <c r="R40" t="s">
        <v>178</v>
      </c>
      <c r="S40" t="s">
        <v>893</v>
      </c>
      <c r="T40" t="s">
        <v>920</v>
      </c>
      <c r="U40"/>
      <c r="V40"/>
      <c r="W40" t="s">
        <v>241</v>
      </c>
      <c r="X40" t="s">
        <v>63</v>
      </c>
      <c r="Y40" t="s">
        <v>242</v>
      </c>
      <c r="Z40" t="s">
        <v>65</v>
      </c>
      <c r="AA40"/>
      <c r="AB40"/>
      <c r="AC40"/>
      <c r="AD40"/>
      <c r="AE40" t="s">
        <v>921</v>
      </c>
      <c r="AF40" t="s">
        <v>67</v>
      </c>
      <c r="AG40" t="s">
        <v>244</v>
      </c>
      <c r="AH40" t="s">
        <v>206</v>
      </c>
      <c r="AI40" t="s">
        <v>160</v>
      </c>
      <c r="AJ40" t="s">
        <v>71</v>
      </c>
      <c r="AK40" t="s">
        <v>221</v>
      </c>
      <c r="AN40" s="3"/>
      <c r="AO40" s="3"/>
      <c r="AP40" s="3"/>
      <c r="AQ40" s="3"/>
      <c r="AR40" s="3"/>
      <c r="BB40" s="3"/>
      <c r="BC40" s="3"/>
      <c r="BE40" s="3"/>
      <c r="BF40" s="3"/>
      <c r="BG40" s="3"/>
      <c r="BH40" s="3"/>
      <c r="BI40" s="3"/>
      <c r="BJ40" s="3"/>
      <c r="BK40" s="3"/>
      <c r="BL40" s="3"/>
      <c r="BM40" s="3"/>
      <c r="BN40" s="3"/>
      <c r="BR40" s="3"/>
      <c r="BV40" s="3"/>
      <c r="BW40" s="3"/>
      <c r="BX40" s="3"/>
      <c r="BY40" s="3"/>
      <c r="BZ40" s="3"/>
      <c r="CA40" s="3"/>
      <c r="CB40" s="3"/>
      <c r="CC40" s="3"/>
      <c r="CD40" s="3"/>
      <c r="CE40" s="3"/>
      <c r="CF40" s="3"/>
      <c r="CG40" s="3"/>
      <c r="CH40" s="3"/>
      <c r="CI40" s="3"/>
      <c r="CN40" s="3"/>
      <c r="CO40" s="3"/>
    </row>
    <row r="41" spans="1:93" x14ac:dyDescent="0.3">
      <c r="A41" t="s">
        <v>872</v>
      </c>
      <c r="B41" t="s">
        <v>870</v>
      </c>
      <c r="C41" s="2">
        <v>45764.92623287037</v>
      </c>
      <c r="D41" s="2">
        <v>45762.105451388888</v>
      </c>
      <c r="E41" s="2">
        <v>45712.701344907407</v>
      </c>
      <c r="F41" t="s">
        <v>871</v>
      </c>
      <c r="G41" t="s">
        <v>246</v>
      </c>
      <c r="H41">
        <v>45679</v>
      </c>
      <c r="I41">
        <v>0.33333333333333331</v>
      </c>
      <c r="J41">
        <v>45679</v>
      </c>
      <c r="K41">
        <v>0.80069444444444438</v>
      </c>
      <c r="L41">
        <v>45679</v>
      </c>
      <c r="M41">
        <v>0.8020370370370371</v>
      </c>
      <c r="N41" t="s">
        <v>892</v>
      </c>
      <c r="O41"/>
      <c r="P41"/>
      <c r="Q41" t="s">
        <v>249</v>
      </c>
      <c r="R41" t="s">
        <v>250</v>
      </c>
      <c r="S41" t="s">
        <v>922</v>
      </c>
      <c r="T41" t="s">
        <v>923</v>
      </c>
      <c r="U41"/>
      <c r="V41"/>
      <c r="W41" t="s">
        <v>252</v>
      </c>
      <c r="X41" t="s">
        <v>924</v>
      </c>
      <c r="Y41" t="s">
        <v>254</v>
      </c>
      <c r="Z41" t="s">
        <v>65</v>
      </c>
      <c r="AA41"/>
      <c r="AB41"/>
      <c r="AC41"/>
      <c r="AD41"/>
      <c r="AE41" t="s">
        <v>913</v>
      </c>
      <c r="AF41" t="s">
        <v>67</v>
      </c>
      <c r="AG41" t="s">
        <v>244</v>
      </c>
      <c r="AH41" t="s">
        <v>206</v>
      </c>
      <c r="AI41" t="s">
        <v>122</v>
      </c>
      <c r="AJ41" t="s">
        <v>71</v>
      </c>
      <c r="AK41" t="s">
        <v>221</v>
      </c>
      <c r="AN41" s="3"/>
      <c r="AO41" s="3"/>
      <c r="AP41" s="3"/>
      <c r="AQ41" s="3"/>
      <c r="AR41" s="3"/>
      <c r="BB41" s="3"/>
      <c r="BC41" s="3"/>
      <c r="BE41" s="3"/>
      <c r="BF41" s="3"/>
      <c r="BG41" s="3"/>
      <c r="BH41" s="3"/>
      <c r="BI41" s="3"/>
      <c r="BJ41" s="3"/>
      <c r="BK41" s="3"/>
      <c r="BL41" s="3"/>
      <c r="BM41" s="3"/>
      <c r="BN41" s="3"/>
      <c r="BR41" s="3"/>
      <c r="BV41" s="3"/>
      <c r="BW41" s="3"/>
      <c r="BX41" s="3"/>
      <c r="BY41" s="3"/>
      <c r="BZ41" s="3"/>
      <c r="CA41" s="3"/>
      <c r="CB41" s="3"/>
      <c r="CC41" s="3"/>
      <c r="CD41" s="3"/>
      <c r="CE41" s="3"/>
      <c r="CF41" s="3"/>
      <c r="CG41" s="3"/>
      <c r="CH41" s="3"/>
      <c r="CI41" s="3"/>
      <c r="CN41" s="3"/>
      <c r="CO41" s="3"/>
    </row>
    <row r="42" spans="1:93" x14ac:dyDescent="0.3">
      <c r="A42" t="s">
        <v>872</v>
      </c>
      <c r="B42" t="s">
        <v>870</v>
      </c>
      <c r="C42" s="2">
        <v>45764.92623287037</v>
      </c>
      <c r="D42" s="2">
        <v>45762.105451388888</v>
      </c>
      <c r="E42" s="2">
        <v>45712.701344907407</v>
      </c>
      <c r="F42" t="s">
        <v>871</v>
      </c>
      <c r="G42" t="s">
        <v>409</v>
      </c>
      <c r="H42">
        <v>45680</v>
      </c>
      <c r="I42">
        <v>0.625</v>
      </c>
      <c r="J42"/>
      <c r="K42"/>
      <c r="L42">
        <v>45680</v>
      </c>
      <c r="M42">
        <v>0.66545138888888888</v>
      </c>
      <c r="N42" t="s">
        <v>925</v>
      </c>
      <c r="O42" t="s">
        <v>400</v>
      </c>
      <c r="P42"/>
      <c r="Q42" t="s">
        <v>414</v>
      </c>
      <c r="R42" t="s">
        <v>84</v>
      </c>
      <c r="S42" t="s">
        <v>907</v>
      </c>
      <c r="T42" t="s">
        <v>926</v>
      </c>
      <c r="U42"/>
      <c r="V42"/>
      <c r="W42"/>
      <c r="X42"/>
      <c r="Y42"/>
      <c r="Z42"/>
      <c r="AA42"/>
      <c r="AB42"/>
      <c r="AC42"/>
      <c r="AD42"/>
      <c r="AE42" t="s">
        <v>927</v>
      </c>
      <c r="AF42" t="s">
        <v>67</v>
      </c>
      <c r="AG42" t="s">
        <v>352</v>
      </c>
      <c r="AH42" t="s">
        <v>417</v>
      </c>
      <c r="AI42" t="s">
        <v>406</v>
      </c>
      <c r="AJ42" t="s">
        <v>418</v>
      </c>
      <c r="AK42"/>
      <c r="AN42" s="3"/>
      <c r="AO42" s="3"/>
      <c r="AP42" s="3"/>
      <c r="AQ42" s="3"/>
      <c r="AR42" s="3"/>
      <c r="BB42" s="3"/>
      <c r="BC42" s="3"/>
      <c r="BE42" s="3"/>
      <c r="BF42" s="3"/>
      <c r="BG42" s="3"/>
      <c r="BH42" s="3"/>
      <c r="BI42" s="3"/>
      <c r="BJ42" s="3"/>
      <c r="BK42" s="3"/>
      <c r="BL42" s="3"/>
      <c r="BM42" s="3"/>
      <c r="BN42" s="3"/>
      <c r="BR42" s="3"/>
      <c r="BV42" s="3"/>
      <c r="BW42" s="3"/>
      <c r="BX42" s="3"/>
      <c r="BY42" s="3"/>
      <c r="BZ42" s="3"/>
      <c r="CA42" s="3"/>
      <c r="CB42" s="3"/>
      <c r="CC42" s="3"/>
      <c r="CD42" s="3"/>
      <c r="CE42" s="3"/>
      <c r="CF42" s="3"/>
      <c r="CG42" s="3"/>
      <c r="CH42" s="3"/>
      <c r="CI42" s="3"/>
      <c r="CN42" s="3"/>
      <c r="CO42" s="3"/>
    </row>
    <row r="43" spans="1:93" x14ac:dyDescent="0.3">
      <c r="A43" t="s">
        <v>872</v>
      </c>
      <c r="B43" t="s">
        <v>870</v>
      </c>
      <c r="C43" s="2">
        <v>45764.92623287037</v>
      </c>
      <c r="D43" s="2">
        <v>45762.105451388888</v>
      </c>
      <c r="E43" s="2">
        <v>45712.701344907407</v>
      </c>
      <c r="F43" t="s">
        <v>871</v>
      </c>
      <c r="G43" t="s">
        <v>140</v>
      </c>
      <c r="H43">
        <v>45682</v>
      </c>
      <c r="I43">
        <v>0.45833333333333331</v>
      </c>
      <c r="J43">
        <v>45682</v>
      </c>
      <c r="K43">
        <v>0.58333333333333326</v>
      </c>
      <c r="L43">
        <v>45682</v>
      </c>
      <c r="M43">
        <v>0.58054398148148145</v>
      </c>
      <c r="N43" t="s">
        <v>915</v>
      </c>
      <c r="O43"/>
      <c r="P43"/>
      <c r="Q43" t="s">
        <v>144</v>
      </c>
      <c r="R43" t="s">
        <v>145</v>
      </c>
      <c r="S43" t="s">
        <v>922</v>
      </c>
      <c r="T43" t="s">
        <v>928</v>
      </c>
      <c r="U43"/>
      <c r="V43"/>
      <c r="W43"/>
      <c r="X43"/>
      <c r="Y43"/>
      <c r="Z43"/>
      <c r="AA43"/>
      <c r="AB43"/>
      <c r="AC43"/>
      <c r="AD43"/>
      <c r="AE43" t="s">
        <v>929</v>
      </c>
      <c r="AF43" t="s">
        <v>67</v>
      </c>
      <c r="AG43" t="s">
        <v>147</v>
      </c>
      <c r="AH43" t="s">
        <v>90</v>
      </c>
      <c r="AI43" t="s">
        <v>70</v>
      </c>
      <c r="AJ43" t="s">
        <v>123</v>
      </c>
      <c r="AK43" t="s">
        <v>137</v>
      </c>
      <c r="AN43" s="3"/>
      <c r="AO43" s="3"/>
      <c r="AP43" s="3"/>
      <c r="AQ43" s="3"/>
      <c r="AR43" s="3"/>
      <c r="BB43" s="3"/>
      <c r="BC43" s="3"/>
      <c r="BE43" s="3"/>
      <c r="BF43" s="3"/>
      <c r="BG43" s="3"/>
      <c r="BH43" s="3"/>
      <c r="BI43" s="3"/>
      <c r="BJ43" s="3"/>
      <c r="BK43" s="3"/>
      <c r="BL43" s="3"/>
      <c r="BM43" s="3"/>
      <c r="BN43" s="3"/>
      <c r="BR43" s="3"/>
      <c r="BV43" s="3"/>
      <c r="BW43" s="3"/>
      <c r="BX43" s="3"/>
      <c r="BY43" s="3"/>
      <c r="BZ43" s="3"/>
      <c r="CA43" s="3"/>
      <c r="CB43" s="3"/>
      <c r="CC43" s="3"/>
      <c r="CD43" s="3"/>
      <c r="CE43" s="3"/>
      <c r="CF43" s="3"/>
      <c r="CG43" s="3"/>
      <c r="CH43" s="3"/>
      <c r="CI43" s="3"/>
      <c r="CN43" s="3"/>
      <c r="CO43" s="3"/>
    </row>
    <row r="44" spans="1:93" x14ac:dyDescent="0.3">
      <c r="A44" t="s">
        <v>872</v>
      </c>
      <c r="B44" t="s">
        <v>870</v>
      </c>
      <c r="C44" s="2">
        <v>45764.92623287037</v>
      </c>
      <c r="D44" s="2">
        <v>45762.105451388888</v>
      </c>
      <c r="E44" s="2">
        <v>45712.701344907407</v>
      </c>
      <c r="F44" t="s">
        <v>871</v>
      </c>
      <c r="G44" t="s">
        <v>77</v>
      </c>
      <c r="H44">
        <v>45682</v>
      </c>
      <c r="I44">
        <v>0.76875000000000004</v>
      </c>
      <c r="J44"/>
      <c r="K44"/>
      <c r="L44">
        <v>45683</v>
      </c>
      <c r="M44">
        <v>0.44056712962962963</v>
      </c>
      <c r="N44" t="s">
        <v>902</v>
      </c>
      <c r="O44" t="s">
        <v>930</v>
      </c>
      <c r="P44"/>
      <c r="Q44" t="s">
        <v>83</v>
      </c>
      <c r="R44" t="s">
        <v>84</v>
      </c>
      <c r="S44" t="s">
        <v>907</v>
      </c>
      <c r="T44" t="s">
        <v>931</v>
      </c>
      <c r="U44"/>
      <c r="V44"/>
      <c r="W44" t="s">
        <v>932</v>
      </c>
      <c r="X44" t="s">
        <v>896</v>
      </c>
      <c r="Y44" t="s">
        <v>87</v>
      </c>
      <c r="Z44" t="s">
        <v>65</v>
      </c>
      <c r="AA44"/>
      <c r="AB44"/>
      <c r="AC44"/>
      <c r="AD44"/>
      <c r="AE44" t="s">
        <v>929</v>
      </c>
      <c r="AF44" t="s">
        <v>67</v>
      </c>
      <c r="AG44" t="s">
        <v>89</v>
      </c>
      <c r="AH44" t="s">
        <v>90</v>
      </c>
      <c r="AI44" t="s">
        <v>91</v>
      </c>
      <c r="AJ44" t="s">
        <v>92</v>
      </c>
      <c r="AK44" t="s">
        <v>72</v>
      </c>
      <c r="AN44" s="3"/>
      <c r="AO44" s="3"/>
      <c r="AP44" s="3"/>
      <c r="AQ44" s="3"/>
      <c r="AR44" s="3"/>
      <c r="BB44" s="3"/>
      <c r="BC44" s="3"/>
      <c r="BE44" s="3"/>
      <c r="BF44" s="3"/>
      <c r="BG44" s="3"/>
      <c r="BH44" s="3"/>
      <c r="BI44" s="3"/>
      <c r="BJ44" s="3"/>
      <c r="BK44" s="3"/>
      <c r="BL44" s="3"/>
      <c r="BM44" s="3"/>
      <c r="BN44" s="3"/>
      <c r="BR44" s="3"/>
      <c r="BV44" s="3"/>
      <c r="BW44" s="3"/>
      <c r="BX44" s="3"/>
      <c r="BY44" s="3"/>
      <c r="BZ44" s="3"/>
      <c r="CA44" s="3"/>
      <c r="CB44" s="3"/>
      <c r="CC44" s="3"/>
      <c r="CD44" s="3"/>
      <c r="CE44" s="3"/>
      <c r="CF44" s="3"/>
      <c r="CG44" s="3"/>
      <c r="CH44" s="3"/>
      <c r="CI44" s="3"/>
      <c r="CN44" s="3"/>
      <c r="CO44" s="3"/>
    </row>
    <row r="45" spans="1:93" x14ac:dyDescent="0.3">
      <c r="A45" t="s">
        <v>872</v>
      </c>
      <c r="B45" t="s">
        <v>870</v>
      </c>
      <c r="C45" s="2">
        <v>45764.92623287037</v>
      </c>
      <c r="D45" s="2">
        <v>45762.105451388888</v>
      </c>
      <c r="E45" s="2">
        <v>45712.701344907407</v>
      </c>
      <c r="F45" t="s">
        <v>871</v>
      </c>
      <c r="G45" t="s">
        <v>96</v>
      </c>
      <c r="H45">
        <v>45683</v>
      </c>
      <c r="I45">
        <v>0.84027777777777779</v>
      </c>
      <c r="J45">
        <v>45683</v>
      </c>
      <c r="K45">
        <v>0.84652777777777777</v>
      </c>
      <c r="L45">
        <v>45683</v>
      </c>
      <c r="M45">
        <v>0.85009259259259262</v>
      </c>
      <c r="N45" t="s">
        <v>902</v>
      </c>
      <c r="O45" t="s">
        <v>930</v>
      </c>
      <c r="P45"/>
      <c r="Q45" t="s">
        <v>100</v>
      </c>
      <c r="R45" t="s">
        <v>101</v>
      </c>
      <c r="S45" t="s">
        <v>893</v>
      </c>
      <c r="T45" t="s">
        <v>933</v>
      </c>
      <c r="U45"/>
      <c r="V45"/>
      <c r="W45" t="s">
        <v>934</v>
      </c>
      <c r="X45" t="s">
        <v>896</v>
      </c>
      <c r="Y45" t="s">
        <v>104</v>
      </c>
      <c r="Z45" t="s">
        <v>935</v>
      </c>
      <c r="AA45"/>
      <c r="AB45"/>
      <c r="AC45"/>
      <c r="AD45"/>
      <c r="AE45" t="s">
        <v>904</v>
      </c>
      <c r="AF45" t="s">
        <v>67</v>
      </c>
      <c r="AG45" t="s">
        <v>105</v>
      </c>
      <c r="AH45" t="s">
        <v>69</v>
      </c>
      <c r="AI45" t="s">
        <v>106</v>
      </c>
      <c r="AJ45" t="s">
        <v>71</v>
      </c>
      <c r="AK45" t="s">
        <v>72</v>
      </c>
      <c r="AN45" s="3"/>
      <c r="AO45" s="3"/>
      <c r="AP45" s="3"/>
      <c r="AQ45" s="3"/>
      <c r="AR45" s="3"/>
      <c r="BB45" s="3"/>
      <c r="BC45" s="3"/>
      <c r="BE45" s="3"/>
      <c r="BF45" s="3"/>
      <c r="BG45" s="3"/>
      <c r="BH45" s="3"/>
      <c r="BI45" s="3"/>
      <c r="BJ45" s="3"/>
      <c r="BK45" s="3"/>
      <c r="BL45" s="3"/>
      <c r="BM45" s="3"/>
      <c r="BN45" s="3"/>
      <c r="BR45" s="3"/>
      <c r="BV45" s="3"/>
      <c r="BW45" s="3"/>
      <c r="BX45" s="3"/>
      <c r="BY45" s="3"/>
      <c r="BZ45" s="3"/>
      <c r="CA45" s="3"/>
      <c r="CB45" s="3"/>
      <c r="CC45" s="3"/>
      <c r="CD45" s="3"/>
      <c r="CE45" s="3"/>
      <c r="CF45" s="3"/>
      <c r="CG45" s="3"/>
      <c r="CH45" s="3"/>
      <c r="CI45" s="3"/>
      <c r="CN45" s="3"/>
      <c r="CO45" s="3"/>
    </row>
    <row r="46" spans="1:93" x14ac:dyDescent="0.3">
      <c r="A46" t="s">
        <v>872</v>
      </c>
      <c r="B46" t="s">
        <v>870</v>
      </c>
      <c r="C46" s="2">
        <v>45764.92623287037</v>
      </c>
      <c r="D46" s="2">
        <v>45762.105451388888</v>
      </c>
      <c r="E46" s="2">
        <v>45712.701344907407</v>
      </c>
      <c r="F46" t="s">
        <v>871</v>
      </c>
      <c r="G46" t="s">
        <v>256</v>
      </c>
      <c r="H46">
        <v>45685</v>
      </c>
      <c r="I46">
        <v>0.625</v>
      </c>
      <c r="J46">
        <v>45686</v>
      </c>
      <c r="K46">
        <v>0.91736111111111107</v>
      </c>
      <c r="L46">
        <v>45686</v>
      </c>
      <c r="M46">
        <v>0.91833333333333322</v>
      </c>
      <c r="N46" t="s">
        <v>892</v>
      </c>
      <c r="O46" t="s">
        <v>930</v>
      </c>
      <c r="P46"/>
      <c r="Q46" t="s">
        <v>260</v>
      </c>
      <c r="R46" t="s">
        <v>261</v>
      </c>
      <c r="S46" t="s">
        <v>936</v>
      </c>
      <c r="T46" t="s">
        <v>937</v>
      </c>
      <c r="U46"/>
      <c r="V46"/>
      <c r="W46" t="s">
        <v>938</v>
      </c>
      <c r="X46" t="s">
        <v>939</v>
      </c>
      <c r="Y46" t="s">
        <v>265</v>
      </c>
      <c r="Z46" t="s">
        <v>65</v>
      </c>
      <c r="AA46"/>
      <c r="AB46"/>
      <c r="AC46"/>
      <c r="AD46"/>
      <c r="AE46" t="s">
        <v>940</v>
      </c>
      <c r="AF46" t="s">
        <v>67</v>
      </c>
      <c r="AG46" t="s">
        <v>244</v>
      </c>
      <c r="AH46" t="s">
        <v>206</v>
      </c>
      <c r="AI46" t="s">
        <v>70</v>
      </c>
      <c r="AJ46" t="s">
        <v>266</v>
      </c>
      <c r="AK46" t="s">
        <v>221</v>
      </c>
      <c r="AN46" s="3"/>
      <c r="AO46" s="3"/>
      <c r="AP46" s="3"/>
      <c r="AQ46" s="3"/>
      <c r="AR46" s="3"/>
      <c r="BB46" s="3"/>
      <c r="BC46" s="3"/>
      <c r="BE46" s="3"/>
      <c r="BF46" s="3"/>
      <c r="BG46" s="3"/>
      <c r="BH46" s="3"/>
      <c r="BI46" s="3"/>
      <c r="BJ46" s="3"/>
      <c r="BK46" s="3"/>
      <c r="BL46" s="3"/>
      <c r="BM46" s="3"/>
      <c r="BN46" s="3"/>
      <c r="BR46" s="3"/>
      <c r="BV46" s="3"/>
      <c r="BW46" s="3"/>
      <c r="BX46" s="3"/>
      <c r="BY46" s="3"/>
      <c r="BZ46" s="3"/>
      <c r="CA46" s="3"/>
      <c r="CB46" s="3"/>
      <c r="CC46" s="3"/>
      <c r="CD46" s="3"/>
      <c r="CE46" s="3"/>
      <c r="CF46" s="3"/>
      <c r="CG46" s="3"/>
      <c r="CH46" s="3"/>
      <c r="CI46" s="3"/>
      <c r="CN46" s="3"/>
      <c r="CO46" s="3"/>
    </row>
    <row r="47" spans="1:93" x14ac:dyDescent="0.3">
      <c r="A47" t="s">
        <v>872</v>
      </c>
      <c r="B47" t="s">
        <v>870</v>
      </c>
      <c r="C47" s="2">
        <v>45764.92623287037</v>
      </c>
      <c r="D47" s="2">
        <v>45762.105451388888</v>
      </c>
      <c r="E47" s="2">
        <v>45712.701344907407</v>
      </c>
      <c r="F47" t="s">
        <v>871</v>
      </c>
      <c r="G47" t="s">
        <v>151</v>
      </c>
      <c r="H47">
        <v>45688</v>
      </c>
      <c r="I47">
        <v>0.49988425925925928</v>
      </c>
      <c r="J47"/>
      <c r="K47"/>
      <c r="L47">
        <v>45688</v>
      </c>
      <c r="M47">
        <v>0.49988425925925917</v>
      </c>
      <c r="N47" t="s">
        <v>915</v>
      </c>
      <c r="O47"/>
      <c r="P47"/>
      <c r="Q47" t="s">
        <v>154</v>
      </c>
      <c r="R47" t="s">
        <v>155</v>
      </c>
      <c r="S47" t="s">
        <v>907</v>
      </c>
      <c r="T47" t="s">
        <v>941</v>
      </c>
      <c r="U47"/>
      <c r="V47"/>
      <c r="W47"/>
      <c r="X47"/>
      <c r="Y47"/>
      <c r="Z47"/>
      <c r="AA47"/>
      <c r="AB47"/>
      <c r="AC47"/>
      <c r="AD47"/>
      <c r="AE47" t="s">
        <v>897</v>
      </c>
      <c r="AF47" t="s">
        <v>67</v>
      </c>
      <c r="AG47" t="s">
        <v>158</v>
      </c>
      <c r="AH47" t="s">
        <v>159</v>
      </c>
      <c r="AI47" t="s">
        <v>160</v>
      </c>
      <c r="AJ47" t="s">
        <v>71</v>
      </c>
      <c r="AK47" t="s">
        <v>137</v>
      </c>
      <c r="AN47" s="3"/>
      <c r="AO47" s="3"/>
      <c r="AP47" s="3"/>
      <c r="AQ47" s="3"/>
      <c r="AR47" s="3"/>
      <c r="BB47" s="3"/>
      <c r="BC47" s="3"/>
      <c r="BE47" s="3"/>
      <c r="BF47" s="3"/>
      <c r="BG47" s="3"/>
      <c r="BH47" s="3"/>
      <c r="BI47" s="3"/>
      <c r="BJ47" s="3"/>
      <c r="BK47" s="3"/>
      <c r="BL47" s="3"/>
      <c r="BM47" s="3"/>
      <c r="BN47" s="3"/>
      <c r="BR47" s="3"/>
      <c r="BV47" s="3"/>
      <c r="BW47" s="3"/>
      <c r="BX47" s="3"/>
      <c r="BY47" s="3"/>
      <c r="BZ47" s="3"/>
      <c r="CA47" s="3"/>
      <c r="CB47" s="3"/>
      <c r="CC47" s="3"/>
      <c r="CD47" s="3"/>
      <c r="CE47" s="3"/>
      <c r="CF47" s="3"/>
      <c r="CG47" s="3"/>
      <c r="CH47" s="3"/>
      <c r="CI47" s="3"/>
      <c r="CN47" s="3"/>
      <c r="CO47" s="3"/>
    </row>
    <row r="48" spans="1:93" x14ac:dyDescent="0.3">
      <c r="A48" t="s">
        <v>872</v>
      </c>
      <c r="B48" t="s">
        <v>870</v>
      </c>
      <c r="C48" s="2">
        <v>45764.92623287037</v>
      </c>
      <c r="D48" s="2">
        <v>45762.105451388888</v>
      </c>
      <c r="E48" s="2">
        <v>45712.701344907407</v>
      </c>
      <c r="F48" t="s">
        <v>871</v>
      </c>
      <c r="G48" t="s">
        <v>269</v>
      </c>
      <c r="H48">
        <v>45689</v>
      </c>
      <c r="I48">
        <v>4.1666666666666664E-2</v>
      </c>
      <c r="J48"/>
      <c r="K48">
        <v>0.10416666666666674</v>
      </c>
      <c r="L48">
        <v>45689</v>
      </c>
      <c r="M48">
        <v>0.11982638888888886</v>
      </c>
      <c r="N48" t="s">
        <v>892</v>
      </c>
      <c r="O48"/>
      <c r="P48"/>
      <c r="Q48" t="s">
        <v>272</v>
      </c>
      <c r="R48" t="s">
        <v>273</v>
      </c>
      <c r="S48" t="s">
        <v>936</v>
      </c>
      <c r="T48" t="s">
        <v>942</v>
      </c>
      <c r="U48"/>
      <c r="V48"/>
      <c r="W48" t="s">
        <v>943</v>
      </c>
      <c r="X48" t="s">
        <v>944</v>
      </c>
      <c r="Y48" t="s">
        <v>276</v>
      </c>
      <c r="Z48" t="s">
        <v>65</v>
      </c>
      <c r="AA48"/>
      <c r="AB48"/>
      <c r="AC48"/>
      <c r="AD48"/>
      <c r="AE48" t="s">
        <v>913</v>
      </c>
      <c r="AF48" t="s">
        <v>67</v>
      </c>
      <c r="AG48" t="s">
        <v>244</v>
      </c>
      <c r="AH48" t="s">
        <v>206</v>
      </c>
      <c r="AI48" t="s">
        <v>122</v>
      </c>
      <c r="AJ48" t="s">
        <v>71</v>
      </c>
      <c r="AK48" t="s">
        <v>221</v>
      </c>
      <c r="AN48" s="3"/>
      <c r="AO48" s="3"/>
      <c r="AP48" s="3"/>
      <c r="AQ48" s="3"/>
      <c r="AR48" s="3"/>
      <c r="BB48" s="3"/>
      <c r="BC48" s="3"/>
      <c r="BE48" s="3"/>
      <c r="BF48" s="3"/>
      <c r="BG48" s="3"/>
      <c r="BH48" s="3"/>
      <c r="BI48" s="3"/>
      <c r="BJ48" s="3"/>
      <c r="BK48" s="3"/>
      <c r="BL48" s="3"/>
      <c r="BM48" s="3"/>
      <c r="BN48" s="3"/>
      <c r="BR48" s="3"/>
      <c r="BV48" s="3"/>
      <c r="BW48" s="3"/>
      <c r="BX48" s="3"/>
      <c r="BY48" s="3"/>
      <c r="BZ48" s="3"/>
      <c r="CA48" s="3"/>
      <c r="CB48" s="3"/>
      <c r="CC48" s="3"/>
      <c r="CD48" s="3"/>
      <c r="CE48" s="3"/>
      <c r="CF48" s="3"/>
      <c r="CG48" s="3"/>
      <c r="CH48" s="3"/>
      <c r="CI48" s="3"/>
      <c r="CN48" s="3"/>
      <c r="CO48" s="3"/>
    </row>
    <row r="49" spans="1:93" x14ac:dyDescent="0.3">
      <c r="A49" t="s">
        <v>872</v>
      </c>
      <c r="B49" t="s">
        <v>870</v>
      </c>
      <c r="C49" s="2">
        <v>45764.92623287037</v>
      </c>
      <c r="D49" s="2">
        <v>45762.105451388888</v>
      </c>
      <c r="E49" s="2">
        <v>45712.701344907407</v>
      </c>
      <c r="F49" t="s">
        <v>871</v>
      </c>
      <c r="G49" t="s">
        <v>382</v>
      </c>
      <c r="H49">
        <v>45690</v>
      </c>
      <c r="I49">
        <v>0.72569444444444442</v>
      </c>
      <c r="J49">
        <v>45690</v>
      </c>
      <c r="K49">
        <v>0.75</v>
      </c>
      <c r="L49">
        <v>45691</v>
      </c>
      <c r="M49">
        <v>0.50143518518518526</v>
      </c>
      <c r="N49" t="s">
        <v>176</v>
      </c>
      <c r="O49" t="s">
        <v>906</v>
      </c>
      <c r="P49"/>
      <c r="Q49" t="s">
        <v>385</v>
      </c>
      <c r="R49" t="s">
        <v>145</v>
      </c>
      <c r="S49" t="s">
        <v>922</v>
      </c>
      <c r="T49" t="s">
        <v>945</v>
      </c>
      <c r="U49"/>
      <c r="V49"/>
      <c r="W49"/>
      <c r="X49"/>
      <c r="Y49"/>
      <c r="Z49"/>
      <c r="AA49"/>
      <c r="AB49"/>
      <c r="AC49"/>
      <c r="AD49"/>
      <c r="AE49" t="s">
        <v>904</v>
      </c>
      <c r="AF49" t="s">
        <v>67</v>
      </c>
      <c r="AG49" t="s">
        <v>105</v>
      </c>
      <c r="AH49" t="s">
        <v>69</v>
      </c>
      <c r="AI49" t="s">
        <v>180</v>
      </c>
      <c r="AJ49" t="s">
        <v>92</v>
      </c>
      <c r="AK49"/>
      <c r="AN49" s="3"/>
      <c r="AO49" s="3"/>
      <c r="AP49" s="3"/>
      <c r="AQ49" s="3"/>
      <c r="AR49" s="3"/>
      <c r="BB49" s="3"/>
      <c r="BC49" s="3"/>
      <c r="BE49" s="3"/>
      <c r="BF49" s="3"/>
      <c r="BG49" s="3"/>
      <c r="BH49" s="3"/>
      <c r="BI49" s="3"/>
      <c r="BJ49" s="3"/>
      <c r="BK49" s="3"/>
      <c r="BL49" s="3"/>
      <c r="BM49" s="3"/>
      <c r="BN49" s="3"/>
      <c r="BR49" s="3"/>
      <c r="BV49" s="3"/>
      <c r="BW49" s="3"/>
      <c r="BX49" s="3"/>
      <c r="BY49" s="3"/>
      <c r="BZ49" s="3"/>
      <c r="CA49" s="3"/>
      <c r="CB49" s="3"/>
      <c r="CC49" s="3"/>
      <c r="CD49" s="3"/>
      <c r="CE49" s="3"/>
      <c r="CF49" s="3"/>
      <c r="CG49" s="3"/>
      <c r="CH49" s="3"/>
      <c r="CI49" s="3"/>
      <c r="CN49" s="3"/>
      <c r="CO49" s="3"/>
    </row>
    <row r="50" spans="1:93" x14ac:dyDescent="0.3">
      <c r="A50" t="s">
        <v>872</v>
      </c>
      <c r="B50" t="s">
        <v>870</v>
      </c>
      <c r="C50" s="2">
        <v>45764.92623287037</v>
      </c>
      <c r="D50" s="2">
        <v>45762.105451388888</v>
      </c>
      <c r="E50" s="2">
        <v>45712.701344907407</v>
      </c>
      <c r="F50" t="s">
        <v>871</v>
      </c>
      <c r="G50" t="s">
        <v>388</v>
      </c>
      <c r="H50"/>
      <c r="I50"/>
      <c r="J50"/>
      <c r="K50"/>
      <c r="L50">
        <v>45691</v>
      </c>
      <c r="M50">
        <v>0.69484953703703711</v>
      </c>
      <c r="N50" t="s">
        <v>906</v>
      </c>
      <c r="O50"/>
      <c r="P50"/>
      <c r="Q50" t="s">
        <v>390</v>
      </c>
      <c r="R50" t="s">
        <v>363</v>
      </c>
      <c r="S50" t="s">
        <v>893</v>
      </c>
      <c r="T50" t="s">
        <v>946</v>
      </c>
      <c r="U50"/>
      <c r="V50"/>
      <c r="W50"/>
      <c r="X50"/>
      <c r="Y50"/>
      <c r="Z50"/>
      <c r="AA50"/>
      <c r="AB50"/>
      <c r="AC50"/>
      <c r="AD50"/>
      <c r="AE50" t="s">
        <v>929</v>
      </c>
      <c r="AF50" t="s">
        <v>67</v>
      </c>
      <c r="AG50" t="s">
        <v>136</v>
      </c>
      <c r="AH50" t="s">
        <v>69</v>
      </c>
      <c r="AI50" t="s">
        <v>106</v>
      </c>
      <c r="AJ50" t="s">
        <v>71</v>
      </c>
      <c r="AK50" t="s">
        <v>353</v>
      </c>
      <c r="AN50" s="3"/>
      <c r="AO50" s="3"/>
      <c r="AP50" s="3"/>
      <c r="AQ50" s="3"/>
      <c r="AR50" s="3"/>
      <c r="BB50" s="3"/>
      <c r="BC50" s="3"/>
      <c r="BE50" s="3"/>
      <c r="BF50" s="3"/>
      <c r="BG50" s="3"/>
      <c r="BH50" s="3"/>
      <c r="BI50" s="3"/>
      <c r="BJ50" s="3"/>
      <c r="BK50" s="3"/>
      <c r="BL50" s="3"/>
      <c r="BM50" s="3"/>
      <c r="BN50" s="3"/>
      <c r="BR50" s="3"/>
      <c r="BV50" s="3"/>
      <c r="BW50" s="3"/>
      <c r="BX50" s="3"/>
      <c r="BY50" s="3"/>
      <c r="BZ50" s="3"/>
      <c r="CA50" s="3"/>
      <c r="CB50" s="3"/>
      <c r="CC50" s="3"/>
      <c r="CD50" s="3"/>
      <c r="CE50" s="3"/>
      <c r="CF50" s="3"/>
      <c r="CG50" s="3"/>
      <c r="CH50" s="3"/>
      <c r="CI50" s="3"/>
      <c r="CN50" s="3"/>
      <c r="CO50" s="3"/>
    </row>
    <row r="51" spans="1:93" x14ac:dyDescent="0.3">
      <c r="A51" t="s">
        <v>872</v>
      </c>
      <c r="B51" t="s">
        <v>870</v>
      </c>
      <c r="C51" s="2">
        <v>45764.92623287037</v>
      </c>
      <c r="D51" s="2">
        <v>45762.105451388888</v>
      </c>
      <c r="E51" s="2">
        <v>45712.701344907407</v>
      </c>
      <c r="F51" t="s">
        <v>871</v>
      </c>
      <c r="G51" t="s">
        <v>279</v>
      </c>
      <c r="H51">
        <v>45691</v>
      </c>
      <c r="I51">
        <v>0.77083333333333337</v>
      </c>
      <c r="J51">
        <v>45692</v>
      </c>
      <c r="K51">
        <v>0.79166666666666674</v>
      </c>
      <c r="L51">
        <v>45692</v>
      </c>
      <c r="M51">
        <v>0.53023148148148147</v>
      </c>
      <c r="N51" t="s">
        <v>892</v>
      </c>
      <c r="O51"/>
      <c r="P51"/>
      <c r="Q51" t="s">
        <v>282</v>
      </c>
      <c r="R51" t="s">
        <v>283</v>
      </c>
      <c r="S51" t="s">
        <v>907</v>
      </c>
      <c r="T51" t="s">
        <v>947</v>
      </c>
      <c r="U51"/>
      <c r="V51"/>
      <c r="W51" t="s">
        <v>948</v>
      </c>
      <c r="X51" t="s">
        <v>286</v>
      </c>
      <c r="Y51" t="s">
        <v>949</v>
      </c>
      <c r="Z51" t="s">
        <v>288</v>
      </c>
      <c r="AA51"/>
      <c r="AB51"/>
      <c r="AC51"/>
      <c r="AD51"/>
      <c r="AE51" t="s">
        <v>904</v>
      </c>
      <c r="AF51" t="s">
        <v>67</v>
      </c>
      <c r="AG51" t="s">
        <v>105</v>
      </c>
      <c r="AH51" t="s">
        <v>69</v>
      </c>
      <c r="AI51" t="s">
        <v>70</v>
      </c>
      <c r="AJ51" t="s">
        <v>195</v>
      </c>
      <c r="AK51" t="s">
        <v>221</v>
      </c>
      <c r="AN51" s="3"/>
      <c r="AO51" s="3"/>
      <c r="AP51" s="3"/>
      <c r="AQ51" s="3"/>
      <c r="AR51" s="3"/>
      <c r="BB51" s="3"/>
      <c r="BC51" s="3"/>
      <c r="BE51" s="3"/>
      <c r="BF51" s="3"/>
      <c r="BG51" s="3"/>
      <c r="BH51" s="3"/>
      <c r="BI51" s="3"/>
      <c r="BJ51" s="3"/>
      <c r="BK51" s="3"/>
      <c r="BL51" s="3"/>
      <c r="BM51" s="3"/>
      <c r="BN51" s="3"/>
      <c r="BR51" s="3"/>
      <c r="BV51" s="3"/>
      <c r="BW51" s="3"/>
      <c r="BX51" s="3"/>
      <c r="BY51" s="3"/>
      <c r="BZ51" s="3"/>
      <c r="CA51" s="3"/>
      <c r="CB51" s="3"/>
      <c r="CC51" s="3"/>
      <c r="CD51" s="3"/>
      <c r="CE51" s="3"/>
      <c r="CF51" s="3"/>
      <c r="CG51" s="3"/>
      <c r="CH51" s="3"/>
      <c r="CI51" s="3"/>
      <c r="CN51" s="3"/>
      <c r="CO51" s="3"/>
    </row>
    <row r="52" spans="1:93" x14ac:dyDescent="0.3">
      <c r="A52" t="s">
        <v>872</v>
      </c>
      <c r="B52" t="s">
        <v>870</v>
      </c>
      <c r="C52" s="2">
        <v>45764.92623287037</v>
      </c>
      <c r="D52" s="2">
        <v>45762.105451388888</v>
      </c>
      <c r="E52" s="2">
        <v>45712.701344907407</v>
      </c>
      <c r="F52" t="s">
        <v>871</v>
      </c>
      <c r="G52" t="s">
        <v>161</v>
      </c>
      <c r="H52">
        <v>45693</v>
      </c>
      <c r="I52">
        <v>0.12291666666666666</v>
      </c>
      <c r="J52"/>
      <c r="K52"/>
      <c r="L52">
        <v>45693</v>
      </c>
      <c r="M52">
        <v>0.12339120370370371</v>
      </c>
      <c r="N52" t="s">
        <v>950</v>
      </c>
      <c r="O52" t="s">
        <v>167</v>
      </c>
      <c r="P52"/>
      <c r="Q52" t="s">
        <v>168</v>
      </c>
      <c r="R52" t="s">
        <v>155</v>
      </c>
      <c r="S52" t="s">
        <v>907</v>
      </c>
      <c r="T52" t="s">
        <v>951</v>
      </c>
      <c r="U52"/>
      <c r="V52"/>
      <c r="W52"/>
      <c r="X52"/>
      <c r="Y52"/>
      <c r="Z52"/>
      <c r="AA52"/>
      <c r="AB52"/>
      <c r="AC52"/>
      <c r="AD52"/>
      <c r="AE52" t="s">
        <v>913</v>
      </c>
      <c r="AF52" t="s">
        <v>67</v>
      </c>
      <c r="AG52" t="s">
        <v>170</v>
      </c>
      <c r="AH52" t="s">
        <v>90</v>
      </c>
      <c r="AI52" t="s">
        <v>171</v>
      </c>
      <c r="AJ52" t="s">
        <v>123</v>
      </c>
      <c r="AK52" t="s">
        <v>137</v>
      </c>
      <c r="AN52" s="3"/>
      <c r="AO52" s="3"/>
      <c r="AP52" s="3"/>
      <c r="AQ52" s="3"/>
      <c r="AR52" s="3"/>
      <c r="BB52" s="3"/>
      <c r="BC52" s="3"/>
      <c r="BE52" s="3"/>
      <c r="BF52" s="3"/>
      <c r="BG52" s="3"/>
      <c r="BH52" s="3"/>
      <c r="BI52" s="3"/>
      <c r="BJ52" s="3"/>
      <c r="BK52" s="3"/>
      <c r="BL52" s="3"/>
      <c r="BM52" s="3"/>
      <c r="BN52" s="3"/>
      <c r="BR52" s="3"/>
      <c r="BV52" s="3"/>
      <c r="BW52" s="3"/>
      <c r="BX52" s="3"/>
      <c r="BY52" s="3"/>
      <c r="BZ52" s="3"/>
      <c r="CA52" s="3"/>
      <c r="CB52" s="3"/>
      <c r="CC52" s="3"/>
      <c r="CD52" s="3"/>
      <c r="CE52" s="3"/>
      <c r="CF52" s="3"/>
      <c r="CG52" s="3"/>
      <c r="CH52" s="3"/>
      <c r="CI52" s="3"/>
      <c r="CN52" s="3"/>
      <c r="CO52" s="3"/>
    </row>
    <row r="53" spans="1:93" x14ac:dyDescent="0.3">
      <c r="A53" t="s">
        <v>872</v>
      </c>
      <c r="B53" t="s">
        <v>870</v>
      </c>
      <c r="C53" s="2">
        <v>45764.92623287037</v>
      </c>
      <c r="D53" s="2">
        <v>45762.105451388888</v>
      </c>
      <c r="E53" s="2">
        <v>45712.701344907407</v>
      </c>
      <c r="F53" t="s">
        <v>871</v>
      </c>
      <c r="G53" t="s">
        <v>292</v>
      </c>
      <c r="H53">
        <v>45695</v>
      </c>
      <c r="I53">
        <v>0.27430555555555558</v>
      </c>
      <c r="J53">
        <v>45695</v>
      </c>
      <c r="K53">
        <v>0.28472222222222232</v>
      </c>
      <c r="L53">
        <v>45695</v>
      </c>
      <c r="M53">
        <v>0.30738425925925927</v>
      </c>
      <c r="N53" t="s">
        <v>892</v>
      </c>
      <c r="O53"/>
      <c r="P53"/>
      <c r="Q53" t="s">
        <v>296</v>
      </c>
      <c r="R53" t="s">
        <v>203</v>
      </c>
      <c r="S53" t="s">
        <v>922</v>
      </c>
      <c r="T53" t="s">
        <v>952</v>
      </c>
      <c r="U53"/>
      <c r="V53"/>
      <c r="W53" t="s">
        <v>953</v>
      </c>
      <c r="X53" t="s">
        <v>954</v>
      </c>
      <c r="Y53" t="s">
        <v>300</v>
      </c>
      <c r="Z53" t="s">
        <v>65</v>
      </c>
      <c r="AA53"/>
      <c r="AB53"/>
      <c r="AC53"/>
      <c r="AD53"/>
      <c r="AE53" t="s">
        <v>913</v>
      </c>
      <c r="AF53" t="s">
        <v>67</v>
      </c>
      <c r="AG53" t="s">
        <v>301</v>
      </c>
      <c r="AH53" t="s">
        <v>121</v>
      </c>
      <c r="AI53" t="s">
        <v>180</v>
      </c>
      <c r="AJ53" t="s">
        <v>92</v>
      </c>
      <c r="AK53" t="s">
        <v>221</v>
      </c>
      <c r="AN53" s="3"/>
      <c r="AO53" s="3"/>
      <c r="AP53" s="3"/>
      <c r="AQ53" s="3"/>
      <c r="AR53" s="3"/>
      <c r="BB53" s="3"/>
      <c r="BC53" s="3"/>
      <c r="BE53" s="3"/>
      <c r="BF53" s="3"/>
      <c r="BG53" s="3"/>
      <c r="BH53" s="3"/>
      <c r="BI53" s="3"/>
      <c r="BJ53" s="3"/>
      <c r="BK53" s="3"/>
      <c r="BL53" s="3"/>
      <c r="BM53" s="3"/>
      <c r="BN53" s="3"/>
      <c r="BR53" s="3"/>
      <c r="BV53" s="3"/>
      <c r="BW53" s="3"/>
      <c r="BX53" s="3"/>
      <c r="BY53" s="3"/>
      <c r="BZ53" s="3"/>
      <c r="CA53" s="3"/>
      <c r="CB53" s="3"/>
      <c r="CC53" s="3"/>
      <c r="CD53" s="3"/>
      <c r="CE53" s="3"/>
      <c r="CF53" s="3"/>
      <c r="CG53" s="3"/>
      <c r="CH53" s="3"/>
      <c r="CI53" s="3"/>
      <c r="CN53" s="3"/>
      <c r="CO53" s="3"/>
    </row>
    <row r="54" spans="1:93" x14ac:dyDescent="0.3">
      <c r="A54" t="s">
        <v>872</v>
      </c>
      <c r="B54" t="s">
        <v>870</v>
      </c>
      <c r="C54" s="2">
        <v>45764.92623287037</v>
      </c>
      <c r="D54" s="2">
        <v>45762.105451388888</v>
      </c>
      <c r="E54" s="2">
        <v>45712.701344907407</v>
      </c>
      <c r="F54" t="s">
        <v>871</v>
      </c>
      <c r="G54" t="s">
        <v>305</v>
      </c>
      <c r="H54">
        <v>45688</v>
      </c>
      <c r="I54">
        <v>0.5</v>
      </c>
      <c r="J54">
        <v>45695</v>
      </c>
      <c r="K54">
        <v>0.54166666666666674</v>
      </c>
      <c r="L54">
        <v>45696</v>
      </c>
      <c r="M54">
        <v>0.3903240740740741</v>
      </c>
      <c r="N54" t="s">
        <v>892</v>
      </c>
      <c r="O54"/>
      <c r="P54"/>
      <c r="Q54" t="s">
        <v>308</v>
      </c>
      <c r="R54" t="s">
        <v>250</v>
      </c>
      <c r="S54" t="s">
        <v>922</v>
      </c>
      <c r="T54" t="s">
        <v>955</v>
      </c>
      <c r="U54"/>
      <c r="V54"/>
      <c r="W54" t="s">
        <v>956</v>
      </c>
      <c r="X54"/>
      <c r="Y54" t="s">
        <v>230</v>
      </c>
      <c r="Z54" t="s">
        <v>935</v>
      </c>
      <c r="AA54"/>
      <c r="AB54"/>
      <c r="AC54"/>
      <c r="AD54"/>
      <c r="AE54" t="s">
        <v>913</v>
      </c>
      <c r="AF54" t="s">
        <v>67</v>
      </c>
      <c r="AG54" t="s">
        <v>205</v>
      </c>
      <c r="AH54" t="s">
        <v>206</v>
      </c>
      <c r="AI54" t="s">
        <v>106</v>
      </c>
      <c r="AJ54" t="s">
        <v>71</v>
      </c>
      <c r="AK54" t="s">
        <v>221</v>
      </c>
      <c r="AN54" s="3"/>
      <c r="AO54" s="3"/>
      <c r="AP54" s="3"/>
      <c r="AQ54" s="3"/>
      <c r="AR54" s="3"/>
      <c r="BB54" s="3"/>
      <c r="BC54" s="3"/>
      <c r="BE54" s="3"/>
      <c r="BF54" s="3"/>
      <c r="BG54" s="3"/>
      <c r="BH54" s="3"/>
      <c r="BI54" s="3"/>
      <c r="BJ54" s="3"/>
      <c r="BK54" s="3"/>
      <c r="BL54" s="3"/>
      <c r="BM54" s="3"/>
      <c r="BN54" s="3"/>
      <c r="BR54" s="3"/>
      <c r="BV54" s="3"/>
      <c r="BW54" s="3"/>
      <c r="BX54" s="3"/>
      <c r="BY54" s="3"/>
      <c r="BZ54" s="3"/>
      <c r="CA54" s="3"/>
      <c r="CB54" s="3"/>
      <c r="CC54" s="3"/>
      <c r="CD54" s="3"/>
      <c r="CE54" s="3"/>
      <c r="CF54" s="3"/>
      <c r="CG54" s="3"/>
      <c r="CH54" s="3"/>
      <c r="CI54" s="3"/>
      <c r="CN54" s="3"/>
      <c r="CO54" s="3"/>
    </row>
    <row r="55" spans="1:93" x14ac:dyDescent="0.3">
      <c r="A55" t="s">
        <v>872</v>
      </c>
      <c r="B55" t="s">
        <v>870</v>
      </c>
      <c r="C55" s="2">
        <v>45764.92623287037</v>
      </c>
      <c r="D55" s="2">
        <v>45762.105451388888</v>
      </c>
      <c r="E55" s="2">
        <v>45712.701344907407</v>
      </c>
      <c r="F55" t="s">
        <v>871</v>
      </c>
      <c r="G55" t="s">
        <v>437</v>
      </c>
      <c r="H55">
        <v>45701</v>
      </c>
      <c r="I55">
        <v>8.3333333333333329E-2</v>
      </c>
      <c r="J55"/>
      <c r="K55"/>
      <c r="L55">
        <v>45701</v>
      </c>
      <c r="M55">
        <v>0.51225694444444447</v>
      </c>
      <c r="N55" t="s">
        <v>440</v>
      </c>
      <c r="O55" t="s">
        <v>957</v>
      </c>
      <c r="P55" t="s">
        <v>906</v>
      </c>
      <c r="Q55" t="s">
        <v>443</v>
      </c>
      <c r="R55" t="s">
        <v>191</v>
      </c>
      <c r="S55" t="s">
        <v>893</v>
      </c>
      <c r="T55" t="s">
        <v>958</v>
      </c>
      <c r="U55"/>
      <c r="V55"/>
      <c r="W55"/>
      <c r="X55"/>
      <c r="Y55"/>
      <c r="Z55"/>
      <c r="AA55"/>
      <c r="AB55"/>
      <c r="AC55"/>
      <c r="AD55"/>
      <c r="AE55" t="s">
        <v>959</v>
      </c>
      <c r="AF55" t="s">
        <v>67</v>
      </c>
      <c r="AG55" t="s">
        <v>120</v>
      </c>
      <c r="AH55" t="s">
        <v>121</v>
      </c>
      <c r="AI55" t="s">
        <v>378</v>
      </c>
      <c r="AJ55" t="s">
        <v>446</v>
      </c>
      <c r="AK55"/>
      <c r="AN55" s="3"/>
      <c r="AO55" s="3"/>
      <c r="AP55" s="3"/>
      <c r="AQ55" s="3"/>
      <c r="AR55" s="3"/>
      <c r="BB55" s="3"/>
      <c r="BC55" s="3"/>
      <c r="BE55" s="3"/>
      <c r="BF55" s="3"/>
      <c r="BG55" s="3"/>
      <c r="BH55" s="3"/>
      <c r="BI55" s="3"/>
      <c r="BJ55" s="3"/>
      <c r="BK55" s="3"/>
      <c r="BL55" s="3"/>
      <c r="BM55" s="3"/>
      <c r="BN55" s="3"/>
      <c r="BR55" s="3"/>
      <c r="BV55" s="3"/>
      <c r="BW55" s="3"/>
      <c r="BX55" s="3"/>
      <c r="BY55" s="3"/>
      <c r="BZ55" s="3"/>
      <c r="CA55" s="3"/>
      <c r="CB55" s="3"/>
      <c r="CC55" s="3"/>
      <c r="CD55" s="3"/>
      <c r="CE55" s="3"/>
      <c r="CF55" s="3"/>
      <c r="CG55" s="3"/>
      <c r="CH55" s="3"/>
      <c r="CI55" s="3"/>
      <c r="CN55" s="3"/>
      <c r="CO55" s="3"/>
    </row>
    <row r="56" spans="1:93" x14ac:dyDescent="0.3">
      <c r="A56" t="s">
        <v>872</v>
      </c>
      <c r="B56" t="s">
        <v>870</v>
      </c>
      <c r="C56" s="2">
        <v>45764.92623287037</v>
      </c>
      <c r="D56" s="2">
        <v>45762.105451388888</v>
      </c>
      <c r="E56" s="2">
        <v>45712.701344907407</v>
      </c>
      <c r="F56" t="s">
        <v>871</v>
      </c>
      <c r="G56" t="s">
        <v>110</v>
      </c>
      <c r="H56">
        <v>45701</v>
      </c>
      <c r="I56">
        <v>0.66666666666666663</v>
      </c>
      <c r="J56"/>
      <c r="K56"/>
      <c r="L56">
        <v>45702</v>
      </c>
      <c r="M56">
        <v>0.29906250000000001</v>
      </c>
      <c r="N56" t="s">
        <v>902</v>
      </c>
      <c r="O56"/>
      <c r="P56"/>
      <c r="Q56" t="s">
        <v>113</v>
      </c>
      <c r="R56" t="s">
        <v>114</v>
      </c>
      <c r="S56" t="s">
        <v>936</v>
      </c>
      <c r="T56" t="s">
        <v>960</v>
      </c>
      <c r="U56"/>
      <c r="V56"/>
      <c r="W56" t="s">
        <v>116</v>
      </c>
      <c r="X56" t="s">
        <v>944</v>
      </c>
      <c r="Y56" t="s">
        <v>118</v>
      </c>
      <c r="Z56" t="s">
        <v>65</v>
      </c>
      <c r="AA56"/>
      <c r="AB56"/>
      <c r="AC56"/>
      <c r="AD56"/>
      <c r="AE56" t="s">
        <v>913</v>
      </c>
      <c r="AF56" t="s">
        <v>67</v>
      </c>
      <c r="AG56" t="s">
        <v>120</v>
      </c>
      <c r="AH56" t="s">
        <v>121</v>
      </c>
      <c r="AI56" t="s">
        <v>122</v>
      </c>
      <c r="AJ56" t="s">
        <v>123</v>
      </c>
      <c r="AK56" t="s">
        <v>72</v>
      </c>
      <c r="AN56" s="3"/>
      <c r="AO56" s="3"/>
      <c r="AP56" s="3"/>
      <c r="AQ56" s="3"/>
      <c r="AR56" s="3"/>
      <c r="BB56" s="3"/>
      <c r="BC56" s="3"/>
      <c r="BE56" s="3"/>
      <c r="BF56" s="3"/>
      <c r="BG56" s="3"/>
      <c r="BH56" s="3"/>
      <c r="BI56" s="3"/>
      <c r="BJ56" s="3"/>
      <c r="BK56" s="3"/>
      <c r="BL56" s="3"/>
      <c r="BM56" s="3"/>
      <c r="BN56" s="3"/>
      <c r="BR56" s="3"/>
      <c r="BV56" s="3"/>
      <c r="BW56" s="3"/>
      <c r="BX56" s="3"/>
      <c r="BY56" s="3"/>
      <c r="BZ56" s="3"/>
      <c r="CA56" s="3"/>
      <c r="CB56" s="3"/>
      <c r="CC56" s="3"/>
      <c r="CD56" s="3"/>
      <c r="CE56" s="3"/>
      <c r="CF56" s="3"/>
      <c r="CG56" s="3"/>
      <c r="CH56" s="3"/>
      <c r="CI56" s="3"/>
      <c r="CN56" s="3"/>
      <c r="CO56" s="3"/>
    </row>
    <row r="57" spans="1:93" x14ac:dyDescent="0.3">
      <c r="A57" t="s">
        <v>872</v>
      </c>
      <c r="B57" t="s">
        <v>870</v>
      </c>
      <c r="C57" s="2">
        <v>45764.92623287037</v>
      </c>
      <c r="D57" s="2">
        <v>45762.105451388888</v>
      </c>
      <c r="E57" s="2">
        <v>45712.701344907407</v>
      </c>
      <c r="F57" t="s">
        <v>871</v>
      </c>
      <c r="G57" t="s">
        <v>313</v>
      </c>
      <c r="H57">
        <v>45705</v>
      </c>
      <c r="I57">
        <v>0.34877314814814814</v>
      </c>
      <c r="J57"/>
      <c r="K57"/>
      <c r="L57">
        <v>45705</v>
      </c>
      <c r="M57">
        <v>0.34877314814814819</v>
      </c>
      <c r="N57" t="s">
        <v>892</v>
      </c>
      <c r="O57" t="s">
        <v>317</v>
      </c>
      <c r="P57"/>
      <c r="Q57" t="s">
        <v>318</v>
      </c>
      <c r="R57" t="s">
        <v>134</v>
      </c>
      <c r="S57" t="s">
        <v>899</v>
      </c>
      <c r="T57" t="s">
        <v>961</v>
      </c>
      <c r="U57"/>
      <c r="V57"/>
      <c r="W57" t="s">
        <v>962</v>
      </c>
      <c r="X57" t="s">
        <v>896</v>
      </c>
      <c r="Y57" t="s">
        <v>218</v>
      </c>
      <c r="Z57" t="s">
        <v>65</v>
      </c>
      <c r="AA57"/>
      <c r="AB57"/>
      <c r="AC57"/>
      <c r="AD57"/>
      <c r="AE57" t="s">
        <v>904</v>
      </c>
      <c r="AF57" t="s">
        <v>67</v>
      </c>
      <c r="AG57" t="s">
        <v>68</v>
      </c>
      <c r="AH57" t="s">
        <v>69</v>
      </c>
      <c r="AI57" t="s">
        <v>122</v>
      </c>
      <c r="AJ57" t="s">
        <v>123</v>
      </c>
      <c r="AK57" t="s">
        <v>221</v>
      </c>
      <c r="AN57" s="3"/>
      <c r="AO57" s="3"/>
      <c r="AP57" s="3"/>
      <c r="AQ57" s="3"/>
      <c r="AR57" s="3"/>
      <c r="BB57" s="3"/>
      <c r="BC57" s="3"/>
      <c r="BE57" s="3"/>
      <c r="BF57" s="3"/>
      <c r="BG57" s="3"/>
      <c r="BH57" s="3"/>
      <c r="BI57" s="3"/>
      <c r="BJ57" s="3"/>
      <c r="BK57" s="3"/>
      <c r="BL57" s="3"/>
      <c r="BM57" s="3"/>
      <c r="BN57" s="3"/>
      <c r="BR57" s="3"/>
      <c r="BV57" s="3"/>
      <c r="BW57" s="3"/>
      <c r="BX57" s="3"/>
      <c r="BY57" s="3"/>
      <c r="BZ57" s="3"/>
      <c r="CA57" s="3"/>
      <c r="CB57" s="3"/>
      <c r="CC57" s="3"/>
      <c r="CD57" s="3"/>
      <c r="CE57" s="3"/>
      <c r="CF57" s="3"/>
      <c r="CG57" s="3"/>
      <c r="CH57" s="3"/>
      <c r="CI57" s="3"/>
      <c r="CN57" s="3"/>
      <c r="CO57" s="3"/>
    </row>
    <row r="58" spans="1:93" x14ac:dyDescent="0.3">
      <c r="A58" t="s">
        <v>872</v>
      </c>
      <c r="B58" t="s">
        <v>870</v>
      </c>
      <c r="C58" s="2">
        <v>45764.92623287037</v>
      </c>
      <c r="D58" s="2">
        <v>45762.105451388888</v>
      </c>
      <c r="E58" s="2">
        <v>45712.701344907407</v>
      </c>
      <c r="F58" t="s">
        <v>871</v>
      </c>
      <c r="G58" t="s">
        <v>324</v>
      </c>
      <c r="H58">
        <v>45705</v>
      </c>
      <c r="I58">
        <v>0.39716435185185184</v>
      </c>
      <c r="J58"/>
      <c r="K58"/>
      <c r="L58">
        <v>45705</v>
      </c>
      <c r="M58">
        <v>0.39716435185185195</v>
      </c>
      <c r="N58" t="s">
        <v>892</v>
      </c>
      <c r="O58"/>
      <c r="P58"/>
      <c r="Q58" t="s">
        <v>326</v>
      </c>
      <c r="R58" t="s">
        <v>327</v>
      </c>
      <c r="S58" t="s">
        <v>899</v>
      </c>
      <c r="T58" t="s">
        <v>963</v>
      </c>
      <c r="U58"/>
      <c r="V58"/>
      <c r="W58" t="s">
        <v>964</v>
      </c>
      <c r="X58" t="s">
        <v>896</v>
      </c>
      <c r="Y58" t="s">
        <v>218</v>
      </c>
      <c r="Z58" t="s">
        <v>935</v>
      </c>
      <c r="AA58"/>
      <c r="AB58"/>
      <c r="AC58"/>
      <c r="AD58"/>
      <c r="AE58" t="s">
        <v>904</v>
      </c>
      <c r="AF58" t="s">
        <v>67</v>
      </c>
      <c r="AG58" t="s">
        <v>330</v>
      </c>
      <c r="AH58" t="s">
        <v>69</v>
      </c>
      <c r="AI58" t="s">
        <v>122</v>
      </c>
      <c r="AJ58" t="s">
        <v>71</v>
      </c>
      <c r="AK58" t="s">
        <v>221</v>
      </c>
      <c r="AN58" s="3"/>
      <c r="AO58" s="3"/>
      <c r="AP58" s="3"/>
      <c r="AQ58" s="3"/>
      <c r="AR58" s="3"/>
      <c r="BB58" s="3"/>
      <c r="BC58" s="3"/>
      <c r="BE58" s="3"/>
      <c r="BF58" s="3"/>
      <c r="BG58" s="3"/>
      <c r="BH58" s="3"/>
      <c r="BI58" s="3"/>
      <c r="BJ58" s="3"/>
      <c r="BK58" s="3"/>
      <c r="BL58" s="3"/>
      <c r="BM58" s="3"/>
      <c r="BN58" s="3"/>
      <c r="BR58" s="3"/>
      <c r="BV58" s="3"/>
      <c r="BW58" s="3"/>
      <c r="BX58" s="3"/>
      <c r="BY58" s="3"/>
      <c r="BZ58" s="3"/>
      <c r="CA58" s="3"/>
      <c r="CB58" s="3"/>
      <c r="CC58" s="3"/>
      <c r="CD58" s="3"/>
      <c r="CE58" s="3"/>
      <c r="CF58" s="3"/>
      <c r="CG58" s="3"/>
      <c r="CH58" s="3"/>
      <c r="CI58" s="3"/>
      <c r="CN58" s="3"/>
      <c r="CO58" s="3"/>
    </row>
    <row r="59" spans="1:93" x14ac:dyDescent="0.3">
      <c r="A59" t="s">
        <v>872</v>
      </c>
      <c r="B59" t="s">
        <v>870</v>
      </c>
      <c r="C59" s="2">
        <v>45764.92623287037</v>
      </c>
      <c r="D59" s="2">
        <v>45762.105451388888</v>
      </c>
      <c r="E59" s="2">
        <v>45712.701344907407</v>
      </c>
      <c r="F59" t="s">
        <v>871</v>
      </c>
      <c r="G59" t="s">
        <v>173</v>
      </c>
      <c r="H59">
        <v>45705</v>
      </c>
      <c r="I59">
        <v>0.52497685185185183</v>
      </c>
      <c r="J59"/>
      <c r="K59"/>
      <c r="L59">
        <v>45705</v>
      </c>
      <c r="M59">
        <v>0.52497685185185183</v>
      </c>
      <c r="N59" t="s">
        <v>950</v>
      </c>
      <c r="O59" t="s">
        <v>176</v>
      </c>
      <c r="P59"/>
      <c r="Q59" t="s">
        <v>177</v>
      </c>
      <c r="R59" t="s">
        <v>178</v>
      </c>
      <c r="S59" t="s">
        <v>893</v>
      </c>
      <c r="T59" t="s">
        <v>965</v>
      </c>
      <c r="U59"/>
      <c r="V59"/>
      <c r="W59"/>
      <c r="X59"/>
      <c r="Y59"/>
      <c r="Z59"/>
      <c r="AA59"/>
      <c r="AB59"/>
      <c r="AC59"/>
      <c r="AD59"/>
      <c r="AE59" t="s">
        <v>904</v>
      </c>
      <c r="AF59" t="s">
        <v>67</v>
      </c>
      <c r="AG59" t="s">
        <v>68</v>
      </c>
      <c r="AH59" t="s">
        <v>69</v>
      </c>
      <c r="AI59" t="s">
        <v>180</v>
      </c>
      <c r="AJ59" t="s">
        <v>181</v>
      </c>
      <c r="AK59" t="s">
        <v>137</v>
      </c>
      <c r="AN59" s="3"/>
      <c r="AO59" s="3"/>
      <c r="AP59" s="3"/>
      <c r="AQ59" s="3"/>
      <c r="AR59" s="3"/>
      <c r="BB59" s="3"/>
      <c r="BC59" s="3"/>
      <c r="BE59" s="3"/>
      <c r="BF59" s="3"/>
      <c r="BG59" s="3"/>
      <c r="BH59" s="3"/>
      <c r="BI59" s="3"/>
      <c r="BJ59" s="3"/>
      <c r="BK59" s="3"/>
      <c r="BL59" s="3"/>
      <c r="BM59" s="3"/>
      <c r="BN59" s="3"/>
      <c r="BR59" s="3"/>
      <c r="BV59" s="3"/>
      <c r="BW59" s="3"/>
      <c r="BX59" s="3"/>
      <c r="BY59" s="3"/>
      <c r="BZ59" s="3"/>
      <c r="CA59" s="3"/>
      <c r="CB59" s="3"/>
      <c r="CC59" s="3"/>
      <c r="CD59" s="3"/>
      <c r="CE59" s="3"/>
      <c r="CF59" s="3"/>
      <c r="CG59" s="3"/>
      <c r="CH59" s="3"/>
      <c r="CI59" s="3"/>
      <c r="CN59" s="3"/>
      <c r="CO59" s="3"/>
    </row>
    <row r="60" spans="1:93" x14ac:dyDescent="0.3">
      <c r="A60" t="s">
        <v>872</v>
      </c>
      <c r="B60" t="s">
        <v>870</v>
      </c>
      <c r="C60" s="2">
        <v>45764.92623287037</v>
      </c>
      <c r="D60" s="2">
        <v>45762.105451388888</v>
      </c>
      <c r="E60" s="2">
        <v>45712.701344907407</v>
      </c>
      <c r="F60" t="s">
        <v>871</v>
      </c>
      <c r="G60" t="s">
        <v>420</v>
      </c>
      <c r="H60">
        <v>45705</v>
      </c>
      <c r="I60">
        <v>0.83333333333333337</v>
      </c>
      <c r="J60">
        <v>45705</v>
      </c>
      <c r="K60">
        <v>0.98958333333333326</v>
      </c>
      <c r="L60">
        <v>45706</v>
      </c>
      <c r="M60">
        <v>0.73564814814814805</v>
      </c>
      <c r="N60" t="s">
        <v>423</v>
      </c>
      <c r="O60" t="s">
        <v>925</v>
      </c>
      <c r="P60"/>
      <c r="Q60" t="s">
        <v>425</v>
      </c>
      <c r="R60" t="s">
        <v>426</v>
      </c>
      <c r="S60" t="s">
        <v>907</v>
      </c>
      <c r="T60" t="s">
        <v>966</v>
      </c>
      <c r="U60"/>
      <c r="V60"/>
      <c r="W60"/>
      <c r="X60"/>
      <c r="Y60"/>
      <c r="Z60"/>
      <c r="AA60"/>
      <c r="AB60"/>
      <c r="AC60"/>
      <c r="AD60"/>
      <c r="AE60" t="s">
        <v>927</v>
      </c>
      <c r="AF60" t="s">
        <v>67</v>
      </c>
      <c r="AG60" t="s">
        <v>106</v>
      </c>
      <c r="AH60" t="s">
        <v>417</v>
      </c>
      <c r="AI60" t="s">
        <v>106</v>
      </c>
      <c r="AJ60" t="s">
        <v>266</v>
      </c>
      <c r="AK60"/>
      <c r="AN60" s="3"/>
      <c r="AO60" s="3"/>
      <c r="AP60" s="3"/>
      <c r="AQ60" s="3"/>
      <c r="AR60" s="3"/>
      <c r="BB60" s="3"/>
      <c r="BC60" s="3"/>
      <c r="BE60" s="3"/>
      <c r="BF60" s="3"/>
      <c r="BG60" s="3"/>
      <c r="BH60" s="3"/>
      <c r="BI60" s="3"/>
      <c r="BJ60" s="3"/>
      <c r="BK60" s="3"/>
      <c r="BL60" s="3"/>
      <c r="BM60" s="3"/>
      <c r="BN60" s="3"/>
      <c r="BR60" s="3"/>
      <c r="BV60" s="3"/>
      <c r="BW60" s="3"/>
      <c r="BX60" s="3"/>
      <c r="BY60" s="3"/>
      <c r="BZ60" s="3"/>
      <c r="CA60" s="3"/>
      <c r="CB60" s="3"/>
      <c r="CC60" s="3"/>
      <c r="CD60" s="3"/>
      <c r="CE60" s="3"/>
      <c r="CF60" s="3"/>
      <c r="CG60" s="3"/>
      <c r="CH60" s="3"/>
      <c r="CI60" s="3"/>
      <c r="CN60" s="3"/>
      <c r="CO60" s="3"/>
    </row>
    <row r="61" spans="1:93" x14ac:dyDescent="0.3">
      <c r="A61" t="s">
        <v>872</v>
      </c>
      <c r="B61" t="s">
        <v>870</v>
      </c>
      <c r="C61" s="2">
        <v>45764.92623287037</v>
      </c>
      <c r="D61" s="2">
        <v>45762.105451388888</v>
      </c>
      <c r="E61" s="2">
        <v>45712.701344907407</v>
      </c>
      <c r="F61" t="s">
        <v>871</v>
      </c>
      <c r="G61" t="s">
        <v>429</v>
      </c>
      <c r="H61">
        <v>42906</v>
      </c>
      <c r="I61">
        <v>0.53615740740740736</v>
      </c>
      <c r="J61">
        <v>45555</v>
      </c>
      <c r="K61"/>
      <c r="L61">
        <v>45708</v>
      </c>
      <c r="M61">
        <v>0.53615740740740736</v>
      </c>
      <c r="N61" t="s">
        <v>925</v>
      </c>
      <c r="O61"/>
      <c r="P61"/>
      <c r="Q61" t="s">
        <v>432</v>
      </c>
      <c r="R61" t="s">
        <v>101</v>
      </c>
      <c r="S61" t="s">
        <v>907</v>
      </c>
      <c r="T61" t="s">
        <v>967</v>
      </c>
      <c r="U61"/>
      <c r="V61"/>
      <c r="W61"/>
      <c r="X61"/>
      <c r="Y61"/>
      <c r="Z61"/>
      <c r="AA61"/>
      <c r="AB61"/>
      <c r="AC61"/>
      <c r="AD61"/>
      <c r="AE61" t="s">
        <v>904</v>
      </c>
      <c r="AF61" t="s">
        <v>67</v>
      </c>
      <c r="AG61" t="s">
        <v>434</v>
      </c>
      <c r="AH61" t="s">
        <v>69</v>
      </c>
      <c r="AI61" t="s">
        <v>352</v>
      </c>
      <c r="AJ61" t="s">
        <v>435</v>
      </c>
      <c r="AK61" t="s">
        <v>436</v>
      </c>
    </row>
    <row r="62" spans="1:93" x14ac:dyDescent="0.3">
      <c r="A62" t="s">
        <v>873</v>
      </c>
      <c r="B62" t="s">
        <v>870</v>
      </c>
      <c r="C62" s="2">
        <v>45764.926232893522</v>
      </c>
      <c r="D62" s="2">
        <v>45713.280072384259</v>
      </c>
      <c r="E62" s="2">
        <v>45713.279440312501</v>
      </c>
      <c r="F62" t="s">
        <v>871</v>
      </c>
      <c r="G62" t="s">
        <v>210</v>
      </c>
      <c r="H62">
        <v>45660</v>
      </c>
      <c r="I62">
        <v>0.89583333333333337</v>
      </c>
      <c r="J62">
        <v>45661</v>
      </c>
      <c r="K62">
        <v>0.26736111111111116</v>
      </c>
      <c r="L62">
        <v>45661</v>
      </c>
      <c r="M62">
        <v>0.4577430555555555</v>
      </c>
      <c r="N62" t="s">
        <v>892</v>
      </c>
      <c r="O62"/>
      <c r="P62"/>
      <c r="Q62" t="s">
        <v>214</v>
      </c>
      <c r="R62" t="s">
        <v>215</v>
      </c>
      <c r="S62" t="s">
        <v>893</v>
      </c>
      <c r="T62" t="s">
        <v>894</v>
      </c>
      <c r="U62"/>
      <c r="V62"/>
      <c r="W62" t="s">
        <v>895</v>
      </c>
      <c r="X62" t="s">
        <v>896</v>
      </c>
      <c r="Y62" t="s">
        <v>218</v>
      </c>
      <c r="Z62" t="s">
        <v>65</v>
      </c>
      <c r="AA62"/>
      <c r="AB62"/>
      <c r="AC62"/>
      <c r="AD62"/>
      <c r="AE62" t="s">
        <v>897</v>
      </c>
      <c r="AF62" t="s">
        <v>67</v>
      </c>
      <c r="AG62" t="s">
        <v>219</v>
      </c>
      <c r="AH62" t="s">
        <v>206</v>
      </c>
      <c r="AI62" t="s">
        <v>220</v>
      </c>
      <c r="AJ62" t="s">
        <v>71</v>
      </c>
      <c r="AK62" t="s">
        <v>221</v>
      </c>
    </row>
    <row r="63" spans="1:93" x14ac:dyDescent="0.3">
      <c r="A63" t="s">
        <v>873</v>
      </c>
      <c r="B63" t="s">
        <v>870</v>
      </c>
      <c r="C63" s="2">
        <v>45764.926232893522</v>
      </c>
      <c r="D63" s="2">
        <v>45713.280072384259</v>
      </c>
      <c r="E63" s="2">
        <v>45713.279440312501</v>
      </c>
      <c r="F63" t="s">
        <v>871</v>
      </c>
      <c r="G63" t="s">
        <v>395</v>
      </c>
      <c r="H63">
        <v>45664</v>
      </c>
      <c r="I63">
        <v>0.58333333333333337</v>
      </c>
      <c r="J63"/>
      <c r="K63"/>
      <c r="L63">
        <v>45667</v>
      </c>
      <c r="M63">
        <v>0.59781250000000008</v>
      </c>
      <c r="N63" t="s">
        <v>898</v>
      </c>
      <c r="O63" t="s">
        <v>400</v>
      </c>
      <c r="P63"/>
      <c r="Q63" t="s">
        <v>401</v>
      </c>
      <c r="R63" t="s">
        <v>134</v>
      </c>
      <c r="S63" t="s">
        <v>899</v>
      </c>
      <c r="T63" t="s">
        <v>900</v>
      </c>
      <c r="U63"/>
      <c r="V63"/>
      <c r="W63"/>
      <c r="X63"/>
      <c r="Y63"/>
      <c r="Z63"/>
      <c r="AA63"/>
      <c r="AB63"/>
      <c r="AC63"/>
      <c r="AD63"/>
      <c r="AE63" t="s">
        <v>901</v>
      </c>
      <c r="AF63" t="s">
        <v>67</v>
      </c>
      <c r="AG63" t="s">
        <v>404</v>
      </c>
      <c r="AH63" t="s">
        <v>405</v>
      </c>
      <c r="AI63" t="s">
        <v>406</v>
      </c>
      <c r="AJ63" t="s">
        <v>71</v>
      </c>
      <c r="AK63" t="s">
        <v>407</v>
      </c>
    </row>
    <row r="64" spans="1:93" x14ac:dyDescent="0.3">
      <c r="A64" t="s">
        <v>873</v>
      </c>
      <c r="B64" t="s">
        <v>870</v>
      </c>
      <c r="C64" s="2">
        <v>45764.926232893522</v>
      </c>
      <c r="D64" s="2">
        <v>45713.280072384259</v>
      </c>
      <c r="E64" s="2">
        <v>45713.279440312501</v>
      </c>
      <c r="F64" t="s">
        <v>871</v>
      </c>
      <c r="G64" t="s">
        <v>53</v>
      </c>
      <c r="H64">
        <v>45663</v>
      </c>
      <c r="I64">
        <v>0.64583333333333337</v>
      </c>
      <c r="J64">
        <v>45667</v>
      </c>
      <c r="K64"/>
      <c r="L64">
        <v>45667</v>
      </c>
      <c r="M64">
        <v>0.82629629629629631</v>
      </c>
      <c r="N64" t="s">
        <v>902</v>
      </c>
      <c r="O64"/>
      <c r="P64"/>
      <c r="Q64" t="s">
        <v>60</v>
      </c>
      <c r="R64"/>
      <c r="S64" t="s">
        <v>899</v>
      </c>
      <c r="T64" t="s">
        <v>903</v>
      </c>
      <c r="U64"/>
      <c r="V64"/>
      <c r="W64" t="s">
        <v>62</v>
      </c>
      <c r="X64" t="s">
        <v>896</v>
      </c>
      <c r="Y64" t="s">
        <v>64</v>
      </c>
      <c r="Z64" t="s">
        <v>65</v>
      </c>
      <c r="AA64"/>
      <c r="AB64"/>
      <c r="AC64"/>
      <c r="AD64"/>
      <c r="AE64" t="s">
        <v>904</v>
      </c>
      <c r="AF64" t="s">
        <v>67</v>
      </c>
      <c r="AG64" t="s">
        <v>68</v>
      </c>
      <c r="AH64" t="s">
        <v>69</v>
      </c>
      <c r="AI64" t="s">
        <v>70</v>
      </c>
      <c r="AJ64" t="s">
        <v>71</v>
      </c>
      <c r="AK64" t="s">
        <v>72</v>
      </c>
    </row>
    <row r="65" spans="1:37" x14ac:dyDescent="0.3">
      <c r="A65" t="s">
        <v>873</v>
      </c>
      <c r="B65" t="s">
        <v>870</v>
      </c>
      <c r="C65" s="2">
        <v>45764.926232893522</v>
      </c>
      <c r="D65" s="2">
        <v>45713.280072384259</v>
      </c>
      <c r="E65" s="2">
        <v>45713.279440312501</v>
      </c>
      <c r="F65" t="s">
        <v>871</v>
      </c>
      <c r="G65" t="s">
        <v>341</v>
      </c>
      <c r="H65">
        <v>45670</v>
      </c>
      <c r="I65">
        <v>0.50347222222222221</v>
      </c>
      <c r="J65"/>
      <c r="K65"/>
      <c r="L65">
        <v>45670</v>
      </c>
      <c r="M65">
        <v>0.50537037037037047</v>
      </c>
      <c r="N65" t="s">
        <v>344</v>
      </c>
      <c r="O65" t="s">
        <v>905</v>
      </c>
      <c r="P65" t="s">
        <v>906</v>
      </c>
      <c r="Q65" t="s">
        <v>348</v>
      </c>
      <c r="R65" t="s">
        <v>84</v>
      </c>
      <c r="S65" t="s">
        <v>907</v>
      </c>
      <c r="T65" t="s">
        <v>908</v>
      </c>
      <c r="U65"/>
      <c r="V65"/>
      <c r="W65"/>
      <c r="X65"/>
      <c r="Y65"/>
      <c r="Z65"/>
      <c r="AA65"/>
      <c r="AB65"/>
      <c r="AC65"/>
      <c r="AD65"/>
      <c r="AE65" t="s">
        <v>897</v>
      </c>
      <c r="AF65" t="s">
        <v>67</v>
      </c>
      <c r="AG65" t="s">
        <v>350</v>
      </c>
      <c r="AH65" t="s">
        <v>351</v>
      </c>
      <c r="AI65" t="s">
        <v>352</v>
      </c>
      <c r="AJ65" t="s">
        <v>123</v>
      </c>
      <c r="AK65" t="s">
        <v>353</v>
      </c>
    </row>
    <row r="66" spans="1:37" x14ac:dyDescent="0.3">
      <c r="A66" t="s">
        <v>873</v>
      </c>
      <c r="B66" t="s">
        <v>870</v>
      </c>
      <c r="C66" s="2">
        <v>45764.926232893522</v>
      </c>
      <c r="D66" s="2">
        <v>45713.280072384259</v>
      </c>
      <c r="E66" s="2">
        <v>45713.279440312501</v>
      </c>
      <c r="F66" t="s">
        <v>871</v>
      </c>
      <c r="G66" t="s">
        <v>184</v>
      </c>
      <c r="H66">
        <v>45671</v>
      </c>
      <c r="I66">
        <v>0.46388888888888891</v>
      </c>
      <c r="J66"/>
      <c r="K66"/>
      <c r="L66">
        <v>45671</v>
      </c>
      <c r="M66">
        <v>0.46740740740740749</v>
      </c>
      <c r="N66" t="s">
        <v>915</v>
      </c>
      <c r="O66" t="s">
        <v>968</v>
      </c>
      <c r="P66" t="s">
        <v>969</v>
      </c>
      <c r="Q66" t="s">
        <v>190</v>
      </c>
      <c r="R66" t="s">
        <v>191</v>
      </c>
      <c r="S66" t="s">
        <v>893</v>
      </c>
      <c r="T66" t="s">
        <v>970</v>
      </c>
      <c r="U66"/>
      <c r="V66"/>
      <c r="W66"/>
      <c r="X66"/>
      <c r="Y66"/>
      <c r="Z66"/>
      <c r="AA66"/>
      <c r="AB66"/>
      <c r="AC66"/>
      <c r="AD66"/>
      <c r="AE66" t="s">
        <v>971</v>
      </c>
      <c r="AF66" t="s">
        <v>67</v>
      </c>
      <c r="AG66" t="s">
        <v>194</v>
      </c>
      <c r="AH66" t="s">
        <v>159</v>
      </c>
      <c r="AI66" t="s">
        <v>160</v>
      </c>
      <c r="AJ66" t="s">
        <v>195</v>
      </c>
      <c r="AK66" t="s">
        <v>137</v>
      </c>
    </row>
    <row r="67" spans="1:37" x14ac:dyDescent="0.3">
      <c r="A67" t="s">
        <v>873</v>
      </c>
      <c r="B67" t="s">
        <v>870</v>
      </c>
      <c r="C67" s="2">
        <v>45764.926232893522</v>
      </c>
      <c r="D67" s="2">
        <v>45713.280072384259</v>
      </c>
      <c r="E67" s="2">
        <v>45713.279440312501</v>
      </c>
      <c r="F67" t="s">
        <v>871</v>
      </c>
      <c r="G67" t="s">
        <v>356</v>
      </c>
      <c r="H67">
        <v>45671</v>
      </c>
      <c r="I67">
        <v>0.64067129629629627</v>
      </c>
      <c r="J67"/>
      <c r="K67"/>
      <c r="L67">
        <v>45671</v>
      </c>
      <c r="M67">
        <v>0.64067129629629638</v>
      </c>
      <c r="N67" t="s">
        <v>906</v>
      </c>
      <c r="O67" t="s">
        <v>909</v>
      </c>
      <c r="P67" t="s">
        <v>361</v>
      </c>
      <c r="Q67" t="s">
        <v>362</v>
      </c>
      <c r="R67" t="s">
        <v>363</v>
      </c>
      <c r="S67" t="s">
        <v>893</v>
      </c>
      <c r="T67" t="s">
        <v>910</v>
      </c>
      <c r="U67"/>
      <c r="V67"/>
      <c r="W67" t="s">
        <v>911</v>
      </c>
      <c r="X67" t="s">
        <v>912</v>
      </c>
      <c r="Y67" t="s">
        <v>367</v>
      </c>
      <c r="Z67" t="s">
        <v>65</v>
      </c>
      <c r="AA67"/>
      <c r="AB67"/>
      <c r="AC67"/>
      <c r="AD67"/>
      <c r="AE67" t="s">
        <v>913</v>
      </c>
      <c r="AF67" t="s">
        <v>67</v>
      </c>
      <c r="AG67" t="s">
        <v>219</v>
      </c>
      <c r="AH67" t="s">
        <v>368</v>
      </c>
      <c r="AI67" t="s">
        <v>160</v>
      </c>
      <c r="AJ67" t="s">
        <v>123</v>
      </c>
      <c r="AK67" t="s">
        <v>353</v>
      </c>
    </row>
    <row r="68" spans="1:37" x14ac:dyDescent="0.3">
      <c r="A68" t="s">
        <v>873</v>
      </c>
      <c r="B68" t="s">
        <v>870</v>
      </c>
      <c r="C68" s="2">
        <v>45764.926232893522</v>
      </c>
      <c r="D68" s="2">
        <v>45713.280072384259</v>
      </c>
      <c r="E68" s="2">
        <v>45713.279440312501</v>
      </c>
      <c r="F68" t="s">
        <v>871</v>
      </c>
      <c r="G68" t="s">
        <v>224</v>
      </c>
      <c r="H68">
        <v>45672</v>
      </c>
      <c r="I68">
        <v>0.53988425925925931</v>
      </c>
      <c r="J68"/>
      <c r="K68"/>
      <c r="L68">
        <v>45672</v>
      </c>
      <c r="M68">
        <v>0.5398842592592592</v>
      </c>
      <c r="N68" t="s">
        <v>892</v>
      </c>
      <c r="O68"/>
      <c r="P68"/>
      <c r="Q68" t="s">
        <v>227</v>
      </c>
      <c r="R68" t="s">
        <v>84</v>
      </c>
      <c r="S68" t="s">
        <v>907</v>
      </c>
      <c r="T68" t="s">
        <v>914</v>
      </c>
      <c r="U68"/>
      <c r="V68"/>
      <c r="W68" t="s">
        <v>229</v>
      </c>
      <c r="X68" t="s">
        <v>896</v>
      </c>
      <c r="Y68" t="s">
        <v>230</v>
      </c>
      <c r="Z68" t="s">
        <v>65</v>
      </c>
      <c r="AA68"/>
      <c r="AB68"/>
      <c r="AC68"/>
      <c r="AD68"/>
      <c r="AE68" t="s">
        <v>913</v>
      </c>
      <c r="AF68" t="s">
        <v>67</v>
      </c>
      <c r="AG68" t="s">
        <v>231</v>
      </c>
      <c r="AH68" t="s">
        <v>232</v>
      </c>
      <c r="AI68" t="s">
        <v>70</v>
      </c>
      <c r="AJ68" t="s">
        <v>71</v>
      </c>
      <c r="AK68" t="s">
        <v>221</v>
      </c>
    </row>
    <row r="69" spans="1:37" x14ac:dyDescent="0.3">
      <c r="A69" t="s">
        <v>873</v>
      </c>
      <c r="B69" t="s">
        <v>870</v>
      </c>
      <c r="C69" s="2">
        <v>45764.926232893522</v>
      </c>
      <c r="D69" s="2">
        <v>45713.280072384259</v>
      </c>
      <c r="E69" s="2">
        <v>45713.279440312501</v>
      </c>
      <c r="F69" t="s">
        <v>871</v>
      </c>
      <c r="G69" t="s">
        <v>197</v>
      </c>
      <c r="H69">
        <v>45673</v>
      </c>
      <c r="I69">
        <v>0.83333333333333337</v>
      </c>
      <c r="J69"/>
      <c r="K69"/>
      <c r="L69">
        <v>45673</v>
      </c>
      <c r="M69">
        <v>9.0057870370370274E-2</v>
      </c>
      <c r="N69" t="s">
        <v>200</v>
      </c>
      <c r="O69" t="s">
        <v>915</v>
      </c>
      <c r="P69" t="s">
        <v>968</v>
      </c>
      <c r="Q69" t="s">
        <v>202</v>
      </c>
      <c r="R69" t="s">
        <v>203</v>
      </c>
      <c r="S69" t="s">
        <v>922</v>
      </c>
      <c r="T69" t="s">
        <v>972</v>
      </c>
      <c r="U69"/>
      <c r="V69"/>
      <c r="W69"/>
      <c r="X69"/>
      <c r="Y69"/>
      <c r="Z69"/>
      <c r="AA69"/>
      <c r="AB69"/>
      <c r="AC69"/>
      <c r="AD69"/>
      <c r="AE69" t="s">
        <v>929</v>
      </c>
      <c r="AF69" t="s">
        <v>67</v>
      </c>
      <c r="AG69" t="s">
        <v>205</v>
      </c>
      <c r="AH69" t="s">
        <v>206</v>
      </c>
      <c r="AI69"/>
      <c r="AJ69"/>
      <c r="AK69" t="s">
        <v>137</v>
      </c>
    </row>
    <row r="70" spans="1:37" x14ac:dyDescent="0.3">
      <c r="A70" t="s">
        <v>873</v>
      </c>
      <c r="B70" t="s">
        <v>870</v>
      </c>
      <c r="C70" s="2">
        <v>45764.926232893522</v>
      </c>
      <c r="D70" s="2">
        <v>45713.280072384259</v>
      </c>
      <c r="E70" s="2">
        <v>45713.279440312501</v>
      </c>
      <c r="F70" t="s">
        <v>871</v>
      </c>
      <c r="G70" t="s">
        <v>129</v>
      </c>
      <c r="H70">
        <v>45673</v>
      </c>
      <c r="I70">
        <v>0.5</v>
      </c>
      <c r="J70">
        <v>45673</v>
      </c>
      <c r="K70">
        <v>0.75</v>
      </c>
      <c r="L70">
        <v>45673</v>
      </c>
      <c r="M70">
        <v>0.81587962962962957</v>
      </c>
      <c r="N70" t="s">
        <v>915</v>
      </c>
      <c r="O70"/>
      <c r="P70"/>
      <c r="Q70" t="s">
        <v>133</v>
      </c>
      <c r="R70" t="s">
        <v>134</v>
      </c>
      <c r="S70" t="s">
        <v>899</v>
      </c>
      <c r="T70" t="s">
        <v>916</v>
      </c>
      <c r="U70"/>
      <c r="V70"/>
      <c r="W70"/>
      <c r="X70"/>
      <c r="Y70"/>
      <c r="Z70"/>
      <c r="AA70"/>
      <c r="AB70"/>
      <c r="AC70"/>
      <c r="AD70"/>
      <c r="AE70" t="s">
        <v>904</v>
      </c>
      <c r="AF70" t="s">
        <v>67</v>
      </c>
      <c r="AG70" t="s">
        <v>136</v>
      </c>
      <c r="AH70" t="s">
        <v>69</v>
      </c>
      <c r="AI70" t="s">
        <v>70</v>
      </c>
      <c r="AJ70" t="s">
        <v>71</v>
      </c>
      <c r="AK70" t="s">
        <v>137</v>
      </c>
    </row>
    <row r="71" spans="1:37" x14ac:dyDescent="0.3">
      <c r="A71" t="s">
        <v>873</v>
      </c>
      <c r="B71" t="s">
        <v>870</v>
      </c>
      <c r="C71" s="2">
        <v>45764.926232893522</v>
      </c>
      <c r="D71" s="2">
        <v>45713.280072384259</v>
      </c>
      <c r="E71" s="2">
        <v>45713.279440312501</v>
      </c>
      <c r="F71" t="s">
        <v>871</v>
      </c>
      <c r="G71" t="s">
        <v>371</v>
      </c>
      <c r="H71">
        <v>45673</v>
      </c>
      <c r="I71">
        <v>0.87708333333333333</v>
      </c>
      <c r="J71">
        <v>45673</v>
      </c>
      <c r="K71">
        <v>0.88611111111111107</v>
      </c>
      <c r="L71">
        <v>45674</v>
      </c>
      <c r="M71">
        <v>0.51179398148148159</v>
      </c>
      <c r="N71" t="s">
        <v>906</v>
      </c>
      <c r="O71"/>
      <c r="P71"/>
      <c r="Q71" t="s">
        <v>374</v>
      </c>
      <c r="R71" t="s">
        <v>178</v>
      </c>
      <c r="S71" t="s">
        <v>893</v>
      </c>
      <c r="T71" t="s">
        <v>917</v>
      </c>
      <c r="U71"/>
      <c r="V71"/>
      <c r="W71"/>
      <c r="X71" t="s">
        <v>918</v>
      </c>
      <c r="Y71" t="s">
        <v>919</v>
      </c>
      <c r="Z71"/>
      <c r="AA71"/>
      <c r="AB71"/>
      <c r="AC71"/>
      <c r="AD71"/>
      <c r="AE71" t="s">
        <v>904</v>
      </c>
      <c r="AF71" t="s">
        <v>67</v>
      </c>
      <c r="AG71" t="s">
        <v>89</v>
      </c>
      <c r="AH71" t="s">
        <v>90</v>
      </c>
      <c r="AI71" t="s">
        <v>378</v>
      </c>
      <c r="AJ71" t="s">
        <v>195</v>
      </c>
      <c r="AK71" t="s">
        <v>353</v>
      </c>
    </row>
    <row r="72" spans="1:37" x14ac:dyDescent="0.3">
      <c r="A72" t="s">
        <v>873</v>
      </c>
      <c r="B72" t="s">
        <v>870</v>
      </c>
      <c r="C72" s="2">
        <v>45764.926232893522</v>
      </c>
      <c r="D72" s="2">
        <v>45713.280072384259</v>
      </c>
      <c r="E72" s="2">
        <v>45713.279440312501</v>
      </c>
      <c r="F72" t="s">
        <v>871</v>
      </c>
      <c r="G72" t="s">
        <v>236</v>
      </c>
      <c r="H72">
        <v>45678</v>
      </c>
      <c r="I72">
        <v>0.79166666666666663</v>
      </c>
      <c r="J72">
        <v>45679</v>
      </c>
      <c r="K72">
        <v>0.13125000000000009</v>
      </c>
      <c r="L72">
        <v>45679</v>
      </c>
      <c r="M72">
        <v>0.13255787037037048</v>
      </c>
      <c r="N72" t="s">
        <v>892</v>
      </c>
      <c r="O72"/>
      <c r="P72"/>
      <c r="Q72" t="s">
        <v>239</v>
      </c>
      <c r="R72" t="s">
        <v>178</v>
      </c>
      <c r="S72" t="s">
        <v>893</v>
      </c>
      <c r="T72" t="s">
        <v>920</v>
      </c>
      <c r="U72"/>
      <c r="V72"/>
      <c r="W72" t="s">
        <v>241</v>
      </c>
      <c r="X72" t="s">
        <v>63</v>
      </c>
      <c r="Y72" t="s">
        <v>242</v>
      </c>
      <c r="Z72" t="s">
        <v>65</v>
      </c>
      <c r="AA72"/>
      <c r="AB72"/>
      <c r="AC72"/>
      <c r="AD72"/>
      <c r="AE72" t="s">
        <v>921</v>
      </c>
      <c r="AF72" t="s">
        <v>67</v>
      </c>
      <c r="AG72" t="s">
        <v>244</v>
      </c>
      <c r="AH72" t="s">
        <v>206</v>
      </c>
      <c r="AI72" t="s">
        <v>160</v>
      </c>
      <c r="AJ72" t="s">
        <v>71</v>
      </c>
      <c r="AK72" t="s">
        <v>221</v>
      </c>
    </row>
    <row r="73" spans="1:37" x14ac:dyDescent="0.3">
      <c r="A73" t="s">
        <v>873</v>
      </c>
      <c r="B73" t="s">
        <v>870</v>
      </c>
      <c r="C73" s="2">
        <v>45764.926232893522</v>
      </c>
      <c r="D73" s="2">
        <v>45713.280072384259</v>
      </c>
      <c r="E73" s="2">
        <v>45713.279440312501</v>
      </c>
      <c r="F73" t="s">
        <v>871</v>
      </c>
      <c r="G73" t="s">
        <v>246</v>
      </c>
      <c r="H73">
        <v>45679</v>
      </c>
      <c r="I73">
        <v>0.33333333333333331</v>
      </c>
      <c r="J73">
        <v>45679</v>
      </c>
      <c r="K73">
        <v>0.80069444444444438</v>
      </c>
      <c r="L73">
        <v>45679</v>
      </c>
      <c r="M73">
        <v>0.8020370370370371</v>
      </c>
      <c r="N73" t="s">
        <v>892</v>
      </c>
      <c r="O73"/>
      <c r="P73"/>
      <c r="Q73" t="s">
        <v>249</v>
      </c>
      <c r="R73" t="s">
        <v>250</v>
      </c>
      <c r="S73" t="s">
        <v>922</v>
      </c>
      <c r="T73" t="s">
        <v>923</v>
      </c>
      <c r="U73"/>
      <c r="V73"/>
      <c r="W73" t="s">
        <v>252</v>
      </c>
      <c r="X73" t="s">
        <v>924</v>
      </c>
      <c r="Y73" t="s">
        <v>254</v>
      </c>
      <c r="Z73" t="s">
        <v>65</v>
      </c>
      <c r="AA73"/>
      <c r="AB73"/>
      <c r="AC73"/>
      <c r="AD73"/>
      <c r="AE73" t="s">
        <v>913</v>
      </c>
      <c r="AF73" t="s">
        <v>67</v>
      </c>
      <c r="AG73" t="s">
        <v>244</v>
      </c>
      <c r="AH73" t="s">
        <v>206</v>
      </c>
      <c r="AI73" t="s">
        <v>122</v>
      </c>
      <c r="AJ73" t="s">
        <v>71</v>
      </c>
      <c r="AK73" t="s">
        <v>221</v>
      </c>
    </row>
    <row r="74" spans="1:37" x14ac:dyDescent="0.3">
      <c r="A74" t="s">
        <v>873</v>
      </c>
      <c r="B74" t="s">
        <v>870</v>
      </c>
      <c r="C74" s="2">
        <v>45764.926232893522</v>
      </c>
      <c r="D74" s="2">
        <v>45713.280072384259</v>
      </c>
      <c r="E74" s="2">
        <v>45713.279440312501</v>
      </c>
      <c r="F74" t="s">
        <v>871</v>
      </c>
      <c r="G74" t="s">
        <v>409</v>
      </c>
      <c r="H74">
        <v>45680</v>
      </c>
      <c r="I74">
        <v>0.625</v>
      </c>
      <c r="J74"/>
      <c r="K74"/>
      <c r="L74">
        <v>45680</v>
      </c>
      <c r="M74">
        <v>0.66545138888888888</v>
      </c>
      <c r="N74" t="s">
        <v>925</v>
      </c>
      <c r="O74" t="s">
        <v>400</v>
      </c>
      <c r="P74"/>
      <c r="Q74" t="s">
        <v>414</v>
      </c>
      <c r="R74" t="s">
        <v>84</v>
      </c>
      <c r="S74" t="s">
        <v>907</v>
      </c>
      <c r="T74" t="s">
        <v>926</v>
      </c>
      <c r="U74"/>
      <c r="V74"/>
      <c r="W74"/>
      <c r="X74"/>
      <c r="Y74"/>
      <c r="Z74"/>
      <c r="AA74"/>
      <c r="AB74"/>
      <c r="AC74"/>
      <c r="AD74"/>
      <c r="AE74" t="s">
        <v>927</v>
      </c>
      <c r="AF74" t="s">
        <v>67</v>
      </c>
      <c r="AG74" t="s">
        <v>352</v>
      </c>
      <c r="AH74" t="s">
        <v>417</v>
      </c>
      <c r="AI74" t="s">
        <v>406</v>
      </c>
      <c r="AJ74" t="s">
        <v>418</v>
      </c>
      <c r="AK74"/>
    </row>
    <row r="75" spans="1:37" x14ac:dyDescent="0.3">
      <c r="A75" t="s">
        <v>873</v>
      </c>
      <c r="B75" t="s">
        <v>870</v>
      </c>
      <c r="C75" s="2">
        <v>45764.926232893522</v>
      </c>
      <c r="D75" s="2">
        <v>45713.280072384259</v>
      </c>
      <c r="E75" s="2">
        <v>45713.279440312501</v>
      </c>
      <c r="F75" t="s">
        <v>871</v>
      </c>
      <c r="G75" t="s">
        <v>140</v>
      </c>
      <c r="H75">
        <v>45682</v>
      </c>
      <c r="I75">
        <v>0.45833333333333331</v>
      </c>
      <c r="J75">
        <v>45682</v>
      </c>
      <c r="K75">
        <v>0.58333333333333326</v>
      </c>
      <c r="L75">
        <v>45682</v>
      </c>
      <c r="M75">
        <v>0.58054398148148145</v>
      </c>
      <c r="N75" t="s">
        <v>915</v>
      </c>
      <c r="O75"/>
      <c r="P75"/>
      <c r="Q75" t="s">
        <v>144</v>
      </c>
      <c r="R75" t="s">
        <v>145</v>
      </c>
      <c r="S75" t="s">
        <v>922</v>
      </c>
      <c r="T75" t="s">
        <v>928</v>
      </c>
      <c r="U75"/>
      <c r="V75"/>
      <c r="W75"/>
      <c r="X75"/>
      <c r="Y75"/>
      <c r="Z75"/>
      <c r="AA75"/>
      <c r="AB75"/>
      <c r="AC75"/>
      <c r="AD75"/>
      <c r="AE75" t="s">
        <v>929</v>
      </c>
      <c r="AF75" t="s">
        <v>67</v>
      </c>
      <c r="AG75" t="s">
        <v>147</v>
      </c>
      <c r="AH75" t="s">
        <v>90</v>
      </c>
      <c r="AI75" t="s">
        <v>70</v>
      </c>
      <c r="AJ75" t="s">
        <v>123</v>
      </c>
      <c r="AK75" t="s">
        <v>137</v>
      </c>
    </row>
    <row r="76" spans="1:37" x14ac:dyDescent="0.3">
      <c r="A76" t="s">
        <v>873</v>
      </c>
      <c r="B76" t="s">
        <v>870</v>
      </c>
      <c r="C76" s="2">
        <v>45764.926232893522</v>
      </c>
      <c r="D76" s="2">
        <v>45713.280072384259</v>
      </c>
      <c r="E76" s="2">
        <v>45713.279440312501</v>
      </c>
      <c r="F76" t="s">
        <v>871</v>
      </c>
      <c r="G76" t="s">
        <v>77</v>
      </c>
      <c r="H76">
        <v>45682</v>
      </c>
      <c r="I76">
        <v>0.76875000000000004</v>
      </c>
      <c r="J76"/>
      <c r="K76"/>
      <c r="L76">
        <v>45683</v>
      </c>
      <c r="M76">
        <v>0.44056712962962963</v>
      </c>
      <c r="N76" t="s">
        <v>902</v>
      </c>
      <c r="O76" t="s">
        <v>930</v>
      </c>
      <c r="P76"/>
      <c r="Q76" t="s">
        <v>83</v>
      </c>
      <c r="R76" t="s">
        <v>84</v>
      </c>
      <c r="S76" t="s">
        <v>907</v>
      </c>
      <c r="T76" t="s">
        <v>931</v>
      </c>
      <c r="U76"/>
      <c r="V76"/>
      <c r="W76" t="s">
        <v>932</v>
      </c>
      <c r="X76" t="s">
        <v>896</v>
      </c>
      <c r="Y76" t="s">
        <v>87</v>
      </c>
      <c r="Z76" t="s">
        <v>65</v>
      </c>
      <c r="AA76"/>
      <c r="AB76"/>
      <c r="AC76"/>
      <c r="AD76"/>
      <c r="AE76" t="s">
        <v>929</v>
      </c>
      <c r="AF76" t="s">
        <v>67</v>
      </c>
      <c r="AG76" t="s">
        <v>89</v>
      </c>
      <c r="AH76" t="s">
        <v>90</v>
      </c>
      <c r="AI76" t="s">
        <v>91</v>
      </c>
      <c r="AJ76" t="s">
        <v>92</v>
      </c>
      <c r="AK76" t="s">
        <v>72</v>
      </c>
    </row>
    <row r="77" spans="1:37" x14ac:dyDescent="0.3">
      <c r="A77" t="s">
        <v>873</v>
      </c>
      <c r="B77" t="s">
        <v>870</v>
      </c>
      <c r="C77" s="2">
        <v>45764.926232893522</v>
      </c>
      <c r="D77" s="2">
        <v>45713.280072384259</v>
      </c>
      <c r="E77" s="2">
        <v>45713.279440312501</v>
      </c>
      <c r="F77" t="s">
        <v>871</v>
      </c>
      <c r="G77" t="s">
        <v>96</v>
      </c>
      <c r="H77">
        <v>45683</v>
      </c>
      <c r="I77">
        <v>0.84027777777777779</v>
      </c>
      <c r="J77">
        <v>45683</v>
      </c>
      <c r="K77">
        <v>0.84652777777777777</v>
      </c>
      <c r="L77">
        <v>45683</v>
      </c>
      <c r="M77">
        <v>0.85009259259259262</v>
      </c>
      <c r="N77" t="s">
        <v>902</v>
      </c>
      <c r="O77" t="s">
        <v>930</v>
      </c>
      <c r="P77"/>
      <c r="Q77" t="s">
        <v>100</v>
      </c>
      <c r="R77" t="s">
        <v>101</v>
      </c>
      <c r="S77" t="s">
        <v>893</v>
      </c>
      <c r="T77" t="s">
        <v>933</v>
      </c>
      <c r="U77"/>
      <c r="V77"/>
      <c r="W77" t="s">
        <v>934</v>
      </c>
      <c r="X77" t="s">
        <v>896</v>
      </c>
      <c r="Y77" t="s">
        <v>104</v>
      </c>
      <c r="Z77" t="s">
        <v>935</v>
      </c>
      <c r="AA77"/>
      <c r="AB77"/>
      <c r="AC77"/>
      <c r="AD77"/>
      <c r="AE77" t="s">
        <v>904</v>
      </c>
      <c r="AF77" t="s">
        <v>67</v>
      </c>
      <c r="AG77" t="s">
        <v>105</v>
      </c>
      <c r="AH77" t="s">
        <v>69</v>
      </c>
      <c r="AI77" t="s">
        <v>106</v>
      </c>
      <c r="AJ77" t="s">
        <v>71</v>
      </c>
      <c r="AK77" t="s">
        <v>72</v>
      </c>
    </row>
    <row r="78" spans="1:37" x14ac:dyDescent="0.3">
      <c r="A78" t="s">
        <v>873</v>
      </c>
      <c r="B78" t="s">
        <v>870</v>
      </c>
      <c r="C78" s="2">
        <v>45764.926232893522</v>
      </c>
      <c r="D78" s="2">
        <v>45713.280072384259</v>
      </c>
      <c r="E78" s="2">
        <v>45713.279440312501</v>
      </c>
      <c r="F78" t="s">
        <v>871</v>
      </c>
      <c r="G78" t="s">
        <v>256</v>
      </c>
      <c r="H78">
        <v>45685</v>
      </c>
      <c r="I78">
        <v>0.625</v>
      </c>
      <c r="J78">
        <v>45686</v>
      </c>
      <c r="K78">
        <v>0.91736111111111107</v>
      </c>
      <c r="L78">
        <v>45686</v>
      </c>
      <c r="M78">
        <v>0.91833333333333322</v>
      </c>
      <c r="N78" t="s">
        <v>892</v>
      </c>
      <c r="O78" t="s">
        <v>930</v>
      </c>
      <c r="P78"/>
      <c r="Q78" t="s">
        <v>260</v>
      </c>
      <c r="R78" t="s">
        <v>261</v>
      </c>
      <c r="S78" t="s">
        <v>936</v>
      </c>
      <c r="T78" t="s">
        <v>937</v>
      </c>
      <c r="U78"/>
      <c r="V78"/>
      <c r="W78" t="s">
        <v>938</v>
      </c>
      <c r="X78" t="s">
        <v>939</v>
      </c>
      <c r="Y78" t="s">
        <v>265</v>
      </c>
      <c r="Z78" t="s">
        <v>65</v>
      </c>
      <c r="AA78"/>
      <c r="AB78"/>
      <c r="AC78"/>
      <c r="AD78"/>
      <c r="AE78" t="s">
        <v>940</v>
      </c>
      <c r="AF78" t="s">
        <v>67</v>
      </c>
      <c r="AG78" t="s">
        <v>244</v>
      </c>
      <c r="AH78" t="s">
        <v>206</v>
      </c>
      <c r="AI78" t="s">
        <v>70</v>
      </c>
      <c r="AJ78" t="s">
        <v>266</v>
      </c>
      <c r="AK78" t="s">
        <v>221</v>
      </c>
    </row>
    <row r="79" spans="1:37" x14ac:dyDescent="0.3">
      <c r="A79" t="s">
        <v>873</v>
      </c>
      <c r="B79" t="s">
        <v>870</v>
      </c>
      <c r="C79" s="2">
        <v>45764.926232893522</v>
      </c>
      <c r="D79" s="2">
        <v>45713.280072384259</v>
      </c>
      <c r="E79" s="2">
        <v>45713.279440312501</v>
      </c>
      <c r="F79" t="s">
        <v>871</v>
      </c>
      <c r="G79" t="s">
        <v>151</v>
      </c>
      <c r="H79">
        <v>45688</v>
      </c>
      <c r="I79">
        <v>0.49988425925925928</v>
      </c>
      <c r="J79"/>
      <c r="K79"/>
      <c r="L79">
        <v>45688</v>
      </c>
      <c r="M79">
        <v>0.49988425925925917</v>
      </c>
      <c r="N79" t="s">
        <v>915</v>
      </c>
      <c r="O79"/>
      <c r="P79"/>
      <c r="Q79" t="s">
        <v>154</v>
      </c>
      <c r="R79" t="s">
        <v>155</v>
      </c>
      <c r="S79" t="s">
        <v>907</v>
      </c>
      <c r="T79" t="s">
        <v>941</v>
      </c>
      <c r="U79"/>
      <c r="V79"/>
      <c r="W79"/>
      <c r="X79"/>
      <c r="Y79"/>
      <c r="Z79"/>
      <c r="AA79"/>
      <c r="AB79"/>
      <c r="AC79"/>
      <c r="AD79"/>
      <c r="AE79" t="s">
        <v>897</v>
      </c>
      <c r="AF79" t="s">
        <v>67</v>
      </c>
      <c r="AG79" t="s">
        <v>158</v>
      </c>
      <c r="AH79" t="s">
        <v>159</v>
      </c>
      <c r="AI79" t="s">
        <v>160</v>
      </c>
      <c r="AJ79" t="s">
        <v>71</v>
      </c>
      <c r="AK79" t="s">
        <v>137</v>
      </c>
    </row>
    <row r="80" spans="1:37" x14ac:dyDescent="0.3">
      <c r="A80" t="s">
        <v>873</v>
      </c>
      <c r="B80" t="s">
        <v>870</v>
      </c>
      <c r="C80" s="2">
        <v>45764.926232893522</v>
      </c>
      <c r="D80" s="2">
        <v>45713.280072384259</v>
      </c>
      <c r="E80" s="2">
        <v>45713.279440312501</v>
      </c>
      <c r="F80" t="s">
        <v>871</v>
      </c>
      <c r="G80" t="s">
        <v>269</v>
      </c>
      <c r="H80">
        <v>45689</v>
      </c>
      <c r="I80">
        <v>4.1666666666666664E-2</v>
      </c>
      <c r="J80"/>
      <c r="K80">
        <v>0.10416666666666674</v>
      </c>
      <c r="L80">
        <v>45689</v>
      </c>
      <c r="M80">
        <v>0.11982638888888886</v>
      </c>
      <c r="N80" t="s">
        <v>892</v>
      </c>
      <c r="O80"/>
      <c r="P80"/>
      <c r="Q80" t="s">
        <v>272</v>
      </c>
      <c r="R80" t="s">
        <v>273</v>
      </c>
      <c r="S80" t="s">
        <v>936</v>
      </c>
      <c r="T80" t="s">
        <v>942</v>
      </c>
      <c r="U80"/>
      <c r="V80"/>
      <c r="W80" t="s">
        <v>943</v>
      </c>
      <c r="X80" t="s">
        <v>944</v>
      </c>
      <c r="Y80" t="s">
        <v>276</v>
      </c>
      <c r="Z80" t="s">
        <v>65</v>
      </c>
      <c r="AA80"/>
      <c r="AB80"/>
      <c r="AC80"/>
      <c r="AD80"/>
      <c r="AE80" t="s">
        <v>913</v>
      </c>
      <c r="AF80" t="s">
        <v>67</v>
      </c>
      <c r="AG80" t="s">
        <v>244</v>
      </c>
      <c r="AH80" t="s">
        <v>206</v>
      </c>
      <c r="AI80" t="s">
        <v>122</v>
      </c>
      <c r="AJ80" t="s">
        <v>71</v>
      </c>
      <c r="AK80" t="s">
        <v>221</v>
      </c>
    </row>
    <row r="81" spans="1:37" x14ac:dyDescent="0.3">
      <c r="A81" t="s">
        <v>873</v>
      </c>
      <c r="B81" t="s">
        <v>870</v>
      </c>
      <c r="C81" s="2">
        <v>45764.926232893522</v>
      </c>
      <c r="D81" s="2">
        <v>45713.280072384259</v>
      </c>
      <c r="E81" s="2">
        <v>45713.279440312501</v>
      </c>
      <c r="F81" t="s">
        <v>871</v>
      </c>
      <c r="G81" t="s">
        <v>382</v>
      </c>
      <c r="H81">
        <v>45690</v>
      </c>
      <c r="I81">
        <v>0.72569444444444442</v>
      </c>
      <c r="J81">
        <v>45690</v>
      </c>
      <c r="K81">
        <v>0.75</v>
      </c>
      <c r="L81">
        <v>45691</v>
      </c>
      <c r="M81">
        <v>0.50143518518518526</v>
      </c>
      <c r="N81" t="s">
        <v>176</v>
      </c>
      <c r="O81" t="s">
        <v>906</v>
      </c>
      <c r="P81"/>
      <c r="Q81" t="s">
        <v>385</v>
      </c>
      <c r="R81" t="s">
        <v>145</v>
      </c>
      <c r="S81" t="s">
        <v>922</v>
      </c>
      <c r="T81" t="s">
        <v>945</v>
      </c>
      <c r="U81"/>
      <c r="V81"/>
      <c r="W81"/>
      <c r="X81"/>
      <c r="Y81"/>
      <c r="Z81"/>
      <c r="AA81"/>
      <c r="AB81"/>
      <c r="AC81"/>
      <c r="AD81"/>
      <c r="AE81" t="s">
        <v>904</v>
      </c>
      <c r="AF81" t="s">
        <v>67</v>
      </c>
      <c r="AG81" t="s">
        <v>105</v>
      </c>
      <c r="AH81" t="s">
        <v>69</v>
      </c>
      <c r="AI81" t="s">
        <v>180</v>
      </c>
      <c r="AJ81" t="s">
        <v>92</v>
      </c>
      <c r="AK81"/>
    </row>
    <row r="82" spans="1:37" x14ac:dyDescent="0.3">
      <c r="A82" t="s">
        <v>873</v>
      </c>
      <c r="B82" t="s">
        <v>870</v>
      </c>
      <c r="C82" s="2">
        <v>45764.926232893522</v>
      </c>
      <c r="D82" s="2">
        <v>45713.280072384259</v>
      </c>
      <c r="E82" s="2">
        <v>45713.279440312501</v>
      </c>
      <c r="F82" t="s">
        <v>871</v>
      </c>
      <c r="G82" t="s">
        <v>388</v>
      </c>
      <c r="H82"/>
      <c r="I82"/>
      <c r="J82"/>
      <c r="K82"/>
      <c r="L82">
        <v>45691</v>
      </c>
      <c r="M82">
        <v>0.69484953703703711</v>
      </c>
      <c r="N82" t="s">
        <v>906</v>
      </c>
      <c r="O82"/>
      <c r="P82"/>
      <c r="Q82" t="s">
        <v>390</v>
      </c>
      <c r="R82" t="s">
        <v>363</v>
      </c>
      <c r="S82" t="s">
        <v>893</v>
      </c>
      <c r="T82" t="s">
        <v>946</v>
      </c>
      <c r="U82"/>
      <c r="V82"/>
      <c r="W82"/>
      <c r="X82"/>
      <c r="Y82"/>
      <c r="Z82"/>
      <c r="AA82"/>
      <c r="AB82"/>
      <c r="AC82"/>
      <c r="AD82"/>
      <c r="AE82" t="s">
        <v>929</v>
      </c>
      <c r="AF82" t="s">
        <v>67</v>
      </c>
      <c r="AG82" t="s">
        <v>136</v>
      </c>
      <c r="AH82" t="s">
        <v>69</v>
      </c>
      <c r="AI82" t="s">
        <v>106</v>
      </c>
      <c r="AJ82" t="s">
        <v>71</v>
      </c>
      <c r="AK82" t="s">
        <v>353</v>
      </c>
    </row>
    <row r="83" spans="1:37" x14ac:dyDescent="0.3">
      <c r="A83" t="s">
        <v>873</v>
      </c>
      <c r="B83" t="s">
        <v>870</v>
      </c>
      <c r="C83" s="2">
        <v>45764.926232893522</v>
      </c>
      <c r="D83" s="2">
        <v>45713.280072384259</v>
      </c>
      <c r="E83" s="2">
        <v>45713.279440312501</v>
      </c>
      <c r="F83" t="s">
        <v>871</v>
      </c>
      <c r="G83" t="s">
        <v>279</v>
      </c>
      <c r="H83">
        <v>45691</v>
      </c>
      <c r="I83">
        <v>0.77083333333333337</v>
      </c>
      <c r="J83">
        <v>45692</v>
      </c>
      <c r="K83">
        <v>0.79166666666666674</v>
      </c>
      <c r="L83">
        <v>45692</v>
      </c>
      <c r="M83">
        <v>0.53023148148148147</v>
      </c>
      <c r="N83" t="s">
        <v>892</v>
      </c>
      <c r="O83"/>
      <c r="P83"/>
      <c r="Q83" t="s">
        <v>282</v>
      </c>
      <c r="R83" t="s">
        <v>283</v>
      </c>
      <c r="S83" t="s">
        <v>907</v>
      </c>
      <c r="T83" t="s">
        <v>947</v>
      </c>
      <c r="U83"/>
      <c r="V83"/>
      <c r="W83" t="s">
        <v>948</v>
      </c>
      <c r="X83" t="s">
        <v>286</v>
      </c>
      <c r="Y83" t="s">
        <v>949</v>
      </c>
      <c r="Z83" t="s">
        <v>288</v>
      </c>
      <c r="AA83"/>
      <c r="AB83"/>
      <c r="AC83"/>
      <c r="AD83"/>
      <c r="AE83" t="s">
        <v>904</v>
      </c>
      <c r="AF83" t="s">
        <v>67</v>
      </c>
      <c r="AG83" t="s">
        <v>105</v>
      </c>
      <c r="AH83" t="s">
        <v>69</v>
      </c>
      <c r="AI83" t="s">
        <v>70</v>
      </c>
      <c r="AJ83" t="s">
        <v>195</v>
      </c>
      <c r="AK83" t="s">
        <v>221</v>
      </c>
    </row>
    <row r="84" spans="1:37" x14ac:dyDescent="0.3">
      <c r="A84" t="s">
        <v>873</v>
      </c>
      <c r="B84" t="s">
        <v>870</v>
      </c>
      <c r="C84" s="2">
        <v>45764.926232893522</v>
      </c>
      <c r="D84" s="2">
        <v>45713.280072384259</v>
      </c>
      <c r="E84" s="2">
        <v>45713.279440312501</v>
      </c>
      <c r="F84" t="s">
        <v>871</v>
      </c>
      <c r="G84" t="s">
        <v>161</v>
      </c>
      <c r="H84">
        <v>45693</v>
      </c>
      <c r="I84">
        <v>0.12291666666666666</v>
      </c>
      <c r="J84"/>
      <c r="K84"/>
      <c r="L84">
        <v>45693</v>
      </c>
      <c r="M84">
        <v>0.12339120370370371</v>
      </c>
      <c r="N84" t="s">
        <v>950</v>
      </c>
      <c r="O84" t="s">
        <v>167</v>
      </c>
      <c r="P84"/>
      <c r="Q84" t="s">
        <v>168</v>
      </c>
      <c r="R84" t="s">
        <v>155</v>
      </c>
      <c r="S84" t="s">
        <v>907</v>
      </c>
      <c r="T84" t="s">
        <v>951</v>
      </c>
      <c r="U84"/>
      <c r="V84"/>
      <c r="W84"/>
      <c r="X84"/>
      <c r="Y84"/>
      <c r="Z84"/>
      <c r="AA84"/>
      <c r="AB84"/>
      <c r="AC84"/>
      <c r="AD84"/>
      <c r="AE84" t="s">
        <v>913</v>
      </c>
      <c r="AF84" t="s">
        <v>67</v>
      </c>
      <c r="AG84" t="s">
        <v>170</v>
      </c>
      <c r="AH84" t="s">
        <v>90</v>
      </c>
      <c r="AI84" t="s">
        <v>171</v>
      </c>
      <c r="AJ84" t="s">
        <v>123</v>
      </c>
      <c r="AK84" t="s">
        <v>137</v>
      </c>
    </row>
    <row r="85" spans="1:37" x14ac:dyDescent="0.3">
      <c r="A85" t="s">
        <v>873</v>
      </c>
      <c r="B85" t="s">
        <v>870</v>
      </c>
      <c r="C85" s="2">
        <v>45764.926232893522</v>
      </c>
      <c r="D85" s="2">
        <v>45713.280072384259</v>
      </c>
      <c r="E85" s="2">
        <v>45713.279440312501</v>
      </c>
      <c r="F85" t="s">
        <v>871</v>
      </c>
      <c r="G85" t="s">
        <v>292</v>
      </c>
      <c r="H85">
        <v>45695</v>
      </c>
      <c r="I85">
        <v>0.27430555555555558</v>
      </c>
      <c r="J85">
        <v>45695</v>
      </c>
      <c r="K85">
        <v>0.28472222222222232</v>
      </c>
      <c r="L85">
        <v>45695</v>
      </c>
      <c r="M85">
        <v>0.30738425925925927</v>
      </c>
      <c r="N85" t="s">
        <v>892</v>
      </c>
      <c r="O85"/>
      <c r="P85"/>
      <c r="Q85" t="s">
        <v>296</v>
      </c>
      <c r="R85" t="s">
        <v>203</v>
      </c>
      <c r="S85" t="s">
        <v>922</v>
      </c>
      <c r="T85" t="s">
        <v>952</v>
      </c>
      <c r="U85"/>
      <c r="V85"/>
      <c r="W85" t="s">
        <v>953</v>
      </c>
      <c r="X85" t="s">
        <v>954</v>
      </c>
      <c r="Y85" t="s">
        <v>300</v>
      </c>
      <c r="Z85" t="s">
        <v>65</v>
      </c>
      <c r="AA85"/>
      <c r="AB85"/>
      <c r="AC85"/>
      <c r="AD85"/>
      <c r="AE85" t="s">
        <v>913</v>
      </c>
      <c r="AF85" t="s">
        <v>67</v>
      </c>
      <c r="AG85" t="s">
        <v>301</v>
      </c>
      <c r="AH85" t="s">
        <v>121</v>
      </c>
      <c r="AI85" t="s">
        <v>180</v>
      </c>
      <c r="AJ85" t="s">
        <v>92</v>
      </c>
      <c r="AK85" t="s">
        <v>221</v>
      </c>
    </row>
    <row r="86" spans="1:37" x14ac:dyDescent="0.3">
      <c r="A86" t="s">
        <v>873</v>
      </c>
      <c r="B86" t="s">
        <v>870</v>
      </c>
      <c r="C86" s="2">
        <v>45764.926232893522</v>
      </c>
      <c r="D86" s="2">
        <v>45713.280072384259</v>
      </c>
      <c r="E86" s="2">
        <v>45713.279440312501</v>
      </c>
      <c r="F86" t="s">
        <v>871</v>
      </c>
      <c r="G86" t="s">
        <v>305</v>
      </c>
      <c r="H86">
        <v>45688</v>
      </c>
      <c r="I86">
        <v>0.5</v>
      </c>
      <c r="J86">
        <v>45695</v>
      </c>
      <c r="K86">
        <v>0.54166666666666674</v>
      </c>
      <c r="L86">
        <v>45696</v>
      </c>
      <c r="M86">
        <v>0.3903240740740741</v>
      </c>
      <c r="N86" t="s">
        <v>892</v>
      </c>
      <c r="O86"/>
      <c r="P86"/>
      <c r="Q86" t="s">
        <v>308</v>
      </c>
      <c r="R86" t="s">
        <v>250</v>
      </c>
      <c r="S86" t="s">
        <v>922</v>
      </c>
      <c r="T86" t="s">
        <v>955</v>
      </c>
      <c r="U86"/>
      <c r="V86"/>
      <c r="W86" t="s">
        <v>956</v>
      </c>
      <c r="X86"/>
      <c r="Y86" t="s">
        <v>230</v>
      </c>
      <c r="Z86" t="s">
        <v>935</v>
      </c>
      <c r="AA86"/>
      <c r="AB86"/>
      <c r="AC86"/>
      <c r="AD86"/>
      <c r="AE86" t="s">
        <v>913</v>
      </c>
      <c r="AF86" t="s">
        <v>67</v>
      </c>
      <c r="AG86" t="s">
        <v>205</v>
      </c>
      <c r="AH86" t="s">
        <v>206</v>
      </c>
      <c r="AI86" t="s">
        <v>106</v>
      </c>
      <c r="AJ86" t="s">
        <v>71</v>
      </c>
      <c r="AK86" t="s">
        <v>221</v>
      </c>
    </row>
    <row r="87" spans="1:37" x14ac:dyDescent="0.3">
      <c r="A87" t="s">
        <v>873</v>
      </c>
      <c r="B87" t="s">
        <v>870</v>
      </c>
      <c r="C87" s="2">
        <v>45764.926232893522</v>
      </c>
      <c r="D87" s="2">
        <v>45713.280072384259</v>
      </c>
      <c r="E87" s="2">
        <v>45713.279440312501</v>
      </c>
      <c r="F87" t="s">
        <v>871</v>
      </c>
      <c r="G87" t="s">
        <v>437</v>
      </c>
      <c r="H87">
        <v>45701</v>
      </c>
      <c r="I87">
        <v>8.3333333333333329E-2</v>
      </c>
      <c r="J87"/>
      <c r="K87"/>
      <c r="L87">
        <v>45701</v>
      </c>
      <c r="M87">
        <v>0.51225694444444447</v>
      </c>
      <c r="N87" t="s">
        <v>440</v>
      </c>
      <c r="O87" t="s">
        <v>957</v>
      </c>
      <c r="P87" t="s">
        <v>906</v>
      </c>
      <c r="Q87" t="s">
        <v>443</v>
      </c>
      <c r="R87" t="s">
        <v>191</v>
      </c>
      <c r="S87" t="s">
        <v>893</v>
      </c>
      <c r="T87" t="s">
        <v>958</v>
      </c>
      <c r="U87"/>
      <c r="V87"/>
      <c r="W87"/>
      <c r="X87"/>
      <c r="Y87"/>
      <c r="Z87"/>
      <c r="AA87"/>
      <c r="AB87"/>
      <c r="AC87"/>
      <c r="AD87"/>
      <c r="AE87" t="s">
        <v>959</v>
      </c>
      <c r="AF87" t="s">
        <v>67</v>
      </c>
      <c r="AG87" t="s">
        <v>120</v>
      </c>
      <c r="AH87" t="s">
        <v>121</v>
      </c>
      <c r="AI87" t="s">
        <v>378</v>
      </c>
      <c r="AJ87" t="s">
        <v>446</v>
      </c>
      <c r="AK87"/>
    </row>
    <row r="88" spans="1:37" x14ac:dyDescent="0.3">
      <c r="A88" t="s">
        <v>873</v>
      </c>
      <c r="B88" t="s">
        <v>870</v>
      </c>
      <c r="C88" s="2">
        <v>45764.926232893522</v>
      </c>
      <c r="D88" s="2">
        <v>45713.280072384259</v>
      </c>
      <c r="E88" s="2">
        <v>45713.279440312501</v>
      </c>
      <c r="F88" t="s">
        <v>871</v>
      </c>
      <c r="G88" t="s">
        <v>110</v>
      </c>
      <c r="H88">
        <v>45701</v>
      </c>
      <c r="I88">
        <v>0.66666666666666663</v>
      </c>
      <c r="J88"/>
      <c r="K88"/>
      <c r="L88">
        <v>45702</v>
      </c>
      <c r="M88">
        <v>0.29906250000000001</v>
      </c>
      <c r="N88" t="s">
        <v>902</v>
      </c>
      <c r="O88"/>
      <c r="P88"/>
      <c r="Q88" t="s">
        <v>113</v>
      </c>
      <c r="R88" t="s">
        <v>114</v>
      </c>
      <c r="S88" t="s">
        <v>936</v>
      </c>
      <c r="T88" t="s">
        <v>960</v>
      </c>
      <c r="U88"/>
      <c r="V88"/>
      <c r="W88" t="s">
        <v>116</v>
      </c>
      <c r="X88" t="s">
        <v>944</v>
      </c>
      <c r="Y88" t="s">
        <v>118</v>
      </c>
      <c r="Z88" t="s">
        <v>65</v>
      </c>
      <c r="AA88"/>
      <c r="AB88"/>
      <c r="AC88"/>
      <c r="AD88"/>
      <c r="AE88" t="s">
        <v>913</v>
      </c>
      <c r="AF88" t="s">
        <v>67</v>
      </c>
      <c r="AG88" t="s">
        <v>120</v>
      </c>
      <c r="AH88" t="s">
        <v>121</v>
      </c>
      <c r="AI88" t="s">
        <v>122</v>
      </c>
      <c r="AJ88" t="s">
        <v>123</v>
      </c>
      <c r="AK88" t="s">
        <v>72</v>
      </c>
    </row>
    <row r="89" spans="1:37" x14ac:dyDescent="0.3">
      <c r="A89" t="s">
        <v>873</v>
      </c>
      <c r="B89" t="s">
        <v>870</v>
      </c>
      <c r="C89" s="2">
        <v>45764.926232893522</v>
      </c>
      <c r="D89" s="2">
        <v>45713.280072384259</v>
      </c>
      <c r="E89" s="2">
        <v>45713.279440312501</v>
      </c>
      <c r="F89" t="s">
        <v>871</v>
      </c>
      <c r="G89" t="s">
        <v>313</v>
      </c>
      <c r="H89">
        <v>45705</v>
      </c>
      <c r="I89">
        <v>0.34877314814814814</v>
      </c>
      <c r="J89"/>
      <c r="K89"/>
      <c r="L89">
        <v>45705</v>
      </c>
      <c r="M89">
        <v>0.34877314814814819</v>
      </c>
      <c r="N89" t="s">
        <v>892</v>
      </c>
      <c r="O89" t="s">
        <v>317</v>
      </c>
      <c r="P89"/>
      <c r="Q89" t="s">
        <v>318</v>
      </c>
      <c r="R89" t="s">
        <v>134</v>
      </c>
      <c r="S89" t="s">
        <v>899</v>
      </c>
      <c r="T89" t="s">
        <v>961</v>
      </c>
      <c r="U89"/>
      <c r="V89"/>
      <c r="W89" t="s">
        <v>962</v>
      </c>
      <c r="X89" t="s">
        <v>896</v>
      </c>
      <c r="Y89" t="s">
        <v>218</v>
      </c>
      <c r="Z89" t="s">
        <v>65</v>
      </c>
      <c r="AA89"/>
      <c r="AB89"/>
      <c r="AC89"/>
      <c r="AD89"/>
      <c r="AE89" t="s">
        <v>904</v>
      </c>
      <c r="AF89" t="s">
        <v>67</v>
      </c>
      <c r="AG89" t="s">
        <v>68</v>
      </c>
      <c r="AH89" t="s">
        <v>69</v>
      </c>
      <c r="AI89" t="s">
        <v>122</v>
      </c>
      <c r="AJ89" t="s">
        <v>123</v>
      </c>
      <c r="AK89" t="s">
        <v>221</v>
      </c>
    </row>
    <row r="90" spans="1:37" x14ac:dyDescent="0.3">
      <c r="A90" t="s">
        <v>873</v>
      </c>
      <c r="B90" t="s">
        <v>870</v>
      </c>
      <c r="C90" s="2">
        <v>45764.926232893522</v>
      </c>
      <c r="D90" s="2">
        <v>45713.280072384259</v>
      </c>
      <c r="E90" s="2">
        <v>45713.279440312501</v>
      </c>
      <c r="F90" t="s">
        <v>871</v>
      </c>
      <c r="G90" t="s">
        <v>324</v>
      </c>
      <c r="H90">
        <v>45705</v>
      </c>
      <c r="I90">
        <v>0.39716435185185184</v>
      </c>
      <c r="J90"/>
      <c r="K90"/>
      <c r="L90">
        <v>45705</v>
      </c>
      <c r="M90">
        <v>0.39716435185185195</v>
      </c>
      <c r="N90" t="s">
        <v>892</v>
      </c>
      <c r="O90"/>
      <c r="P90"/>
      <c r="Q90" t="s">
        <v>326</v>
      </c>
      <c r="R90" t="s">
        <v>327</v>
      </c>
      <c r="S90" t="s">
        <v>899</v>
      </c>
      <c r="T90" t="s">
        <v>963</v>
      </c>
      <c r="U90"/>
      <c r="V90"/>
      <c r="W90" t="s">
        <v>964</v>
      </c>
      <c r="X90" t="s">
        <v>896</v>
      </c>
      <c r="Y90" t="s">
        <v>218</v>
      </c>
      <c r="Z90" t="s">
        <v>935</v>
      </c>
      <c r="AA90"/>
      <c r="AB90"/>
      <c r="AC90"/>
      <c r="AD90"/>
      <c r="AE90" t="s">
        <v>904</v>
      </c>
      <c r="AF90" t="s">
        <v>67</v>
      </c>
      <c r="AG90" t="s">
        <v>330</v>
      </c>
      <c r="AH90" t="s">
        <v>69</v>
      </c>
      <c r="AI90" t="s">
        <v>122</v>
      </c>
      <c r="AJ90" t="s">
        <v>71</v>
      </c>
      <c r="AK90" t="s">
        <v>221</v>
      </c>
    </row>
    <row r="91" spans="1:37" x14ac:dyDescent="0.3">
      <c r="A91" t="s">
        <v>873</v>
      </c>
      <c r="B91" t="s">
        <v>870</v>
      </c>
      <c r="C91" s="2">
        <v>45764.926232893522</v>
      </c>
      <c r="D91" s="2">
        <v>45713.280072384259</v>
      </c>
      <c r="E91" s="2">
        <v>45713.279440312501</v>
      </c>
      <c r="F91" t="s">
        <v>871</v>
      </c>
      <c r="G91" t="s">
        <v>173</v>
      </c>
      <c r="H91">
        <v>45705</v>
      </c>
      <c r="I91">
        <v>0.52497685185185183</v>
      </c>
      <c r="J91"/>
      <c r="K91"/>
      <c r="L91">
        <v>45705</v>
      </c>
      <c r="M91">
        <v>0.52497685185185183</v>
      </c>
      <c r="N91" t="s">
        <v>950</v>
      </c>
      <c r="O91" t="s">
        <v>176</v>
      </c>
      <c r="P91"/>
      <c r="Q91" t="s">
        <v>177</v>
      </c>
      <c r="R91" t="s">
        <v>178</v>
      </c>
      <c r="S91" t="s">
        <v>893</v>
      </c>
      <c r="T91" t="s">
        <v>965</v>
      </c>
      <c r="U91"/>
      <c r="V91"/>
      <c r="W91"/>
      <c r="X91"/>
      <c r="Y91"/>
      <c r="Z91"/>
      <c r="AA91"/>
      <c r="AB91"/>
      <c r="AC91"/>
      <c r="AD91"/>
      <c r="AE91" t="s">
        <v>904</v>
      </c>
      <c r="AF91" t="s">
        <v>67</v>
      </c>
      <c r="AG91" t="s">
        <v>68</v>
      </c>
      <c r="AH91" t="s">
        <v>69</v>
      </c>
      <c r="AI91" t="s">
        <v>180</v>
      </c>
      <c r="AJ91" t="s">
        <v>181</v>
      </c>
      <c r="AK91" t="s">
        <v>137</v>
      </c>
    </row>
    <row r="92" spans="1:37" x14ac:dyDescent="0.3">
      <c r="A92" t="s">
        <v>873</v>
      </c>
      <c r="B92" t="s">
        <v>870</v>
      </c>
      <c r="C92" s="2">
        <v>45764.926232893522</v>
      </c>
      <c r="D92" s="2">
        <v>45713.280072384259</v>
      </c>
      <c r="E92" s="2">
        <v>45713.279440312501</v>
      </c>
      <c r="F92" t="s">
        <v>871</v>
      </c>
      <c r="G92" t="s">
        <v>420</v>
      </c>
      <c r="H92">
        <v>45705</v>
      </c>
      <c r="I92">
        <v>0.83333333333333337</v>
      </c>
      <c r="J92">
        <v>45705</v>
      </c>
      <c r="K92">
        <v>0.98958333333333326</v>
      </c>
      <c r="L92">
        <v>45706</v>
      </c>
      <c r="M92">
        <v>0.73564814814814805</v>
      </c>
      <c r="N92" t="s">
        <v>423</v>
      </c>
      <c r="O92" t="s">
        <v>925</v>
      </c>
      <c r="P92"/>
      <c r="Q92" t="s">
        <v>425</v>
      </c>
      <c r="R92" t="s">
        <v>426</v>
      </c>
      <c r="S92" t="s">
        <v>907</v>
      </c>
      <c r="T92" t="s">
        <v>966</v>
      </c>
      <c r="U92"/>
      <c r="V92"/>
      <c r="W92"/>
      <c r="X92"/>
      <c r="Y92"/>
      <c r="Z92"/>
      <c r="AA92"/>
      <c r="AB92"/>
      <c r="AC92"/>
      <c r="AD92"/>
      <c r="AE92" t="s">
        <v>927</v>
      </c>
      <c r="AF92" t="s">
        <v>67</v>
      </c>
      <c r="AG92" t="s">
        <v>106</v>
      </c>
      <c r="AH92" t="s">
        <v>417</v>
      </c>
      <c r="AI92" t="s">
        <v>106</v>
      </c>
      <c r="AJ92" t="s">
        <v>266</v>
      </c>
      <c r="AK92"/>
    </row>
    <row r="93" spans="1:37" x14ac:dyDescent="0.3">
      <c r="A93" t="s">
        <v>873</v>
      </c>
      <c r="B93" t="s">
        <v>870</v>
      </c>
      <c r="C93" s="2">
        <v>45764.926232893522</v>
      </c>
      <c r="D93" s="2">
        <v>45713.280072384259</v>
      </c>
      <c r="E93" s="2">
        <v>45713.279440312501</v>
      </c>
      <c r="F93" t="s">
        <v>871</v>
      </c>
      <c r="G93" t="s">
        <v>429</v>
      </c>
      <c r="H93">
        <v>42906</v>
      </c>
      <c r="I93">
        <v>0.53615740740740736</v>
      </c>
      <c r="J93">
        <v>45555</v>
      </c>
      <c r="K93"/>
      <c r="L93">
        <v>45708</v>
      </c>
      <c r="M93">
        <v>0.53615740740740736</v>
      </c>
      <c r="N93" t="s">
        <v>925</v>
      </c>
      <c r="O93"/>
      <c r="P93"/>
      <c r="Q93" t="s">
        <v>432</v>
      </c>
      <c r="R93" t="s">
        <v>101</v>
      </c>
      <c r="S93" t="s">
        <v>907</v>
      </c>
      <c r="T93" t="s">
        <v>967</v>
      </c>
      <c r="U93"/>
      <c r="V93"/>
      <c r="W93"/>
      <c r="X93"/>
      <c r="Y93"/>
      <c r="Z93"/>
      <c r="AA93"/>
      <c r="AB93"/>
      <c r="AC93"/>
      <c r="AD93"/>
      <c r="AE93" t="s">
        <v>904</v>
      </c>
      <c r="AF93" t="s">
        <v>67</v>
      </c>
      <c r="AG93" t="s">
        <v>434</v>
      </c>
      <c r="AH93" t="s">
        <v>69</v>
      </c>
      <c r="AI93" t="s">
        <v>352</v>
      </c>
      <c r="AJ93" t="s">
        <v>435</v>
      </c>
      <c r="AK93" t="s">
        <v>436</v>
      </c>
    </row>
    <row r="94" spans="1:37" x14ac:dyDescent="0.3">
      <c r="A94" t="s">
        <v>873</v>
      </c>
      <c r="B94" t="s">
        <v>870</v>
      </c>
      <c r="C94" s="2">
        <v>45764.926232893522</v>
      </c>
      <c r="D94" s="2">
        <v>45713.280072384259</v>
      </c>
      <c r="E94" s="2">
        <v>45713.279440312501</v>
      </c>
      <c r="F94" t="s">
        <v>871</v>
      </c>
      <c r="G94" t="s">
        <v>332</v>
      </c>
      <c r="H94">
        <v>45713</v>
      </c>
      <c r="I94">
        <v>0.41666666666666669</v>
      </c>
      <c r="J94">
        <v>45713</v>
      </c>
      <c r="K94">
        <v>0.95833333333333326</v>
      </c>
      <c r="L94">
        <v>45712</v>
      </c>
      <c r="M94">
        <v>0.9913657407407408</v>
      </c>
      <c r="N94" t="s">
        <v>892</v>
      </c>
      <c r="O94"/>
      <c r="P94"/>
      <c r="Q94" t="s">
        <v>335</v>
      </c>
      <c r="R94" t="s">
        <v>250</v>
      </c>
      <c r="S94" t="s">
        <v>922</v>
      </c>
      <c r="T94" t="s">
        <v>973</v>
      </c>
      <c r="U94"/>
      <c r="V94"/>
      <c r="W94" t="s">
        <v>337</v>
      </c>
      <c r="X94" t="s">
        <v>896</v>
      </c>
      <c r="Y94" t="s">
        <v>338</v>
      </c>
      <c r="Z94" t="s">
        <v>339</v>
      </c>
      <c r="AA94"/>
      <c r="AB94"/>
      <c r="AC94"/>
      <c r="AD94"/>
      <c r="AE94" t="s">
        <v>897</v>
      </c>
      <c r="AF94" t="s">
        <v>67</v>
      </c>
      <c r="AG94" t="s">
        <v>158</v>
      </c>
      <c r="AH94" t="s">
        <v>159</v>
      </c>
      <c r="AI94"/>
      <c r="AJ94"/>
      <c r="AK94"/>
    </row>
    <row r="95" spans="1:37" x14ac:dyDescent="0.3">
      <c r="A95" t="s">
        <v>874</v>
      </c>
      <c r="B95" t="s">
        <v>870</v>
      </c>
      <c r="C95" s="2">
        <v>45764.926232939812</v>
      </c>
      <c r="D95" s="2">
        <v>45718.795546296293</v>
      </c>
      <c r="E95" s="2">
        <v>45718.718650277777</v>
      </c>
      <c r="F95" t="s">
        <v>871</v>
      </c>
      <c r="G95" t="s">
        <v>210</v>
      </c>
      <c r="H95">
        <v>45660</v>
      </c>
      <c r="I95">
        <v>0.89583333333333337</v>
      </c>
      <c r="J95">
        <v>45661</v>
      </c>
      <c r="K95">
        <v>0.26736111111111116</v>
      </c>
      <c r="L95">
        <v>45661</v>
      </c>
      <c r="M95">
        <v>0.4577430555555555</v>
      </c>
      <c r="N95" t="s">
        <v>892</v>
      </c>
      <c r="O95"/>
      <c r="P95"/>
      <c r="Q95" t="s">
        <v>214</v>
      </c>
      <c r="R95" t="s">
        <v>215</v>
      </c>
      <c r="S95" t="s">
        <v>893</v>
      </c>
      <c r="T95" t="s">
        <v>894</v>
      </c>
      <c r="U95"/>
      <c r="V95"/>
      <c r="W95" t="s">
        <v>895</v>
      </c>
      <c r="X95" t="s">
        <v>896</v>
      </c>
      <c r="Y95" t="s">
        <v>218</v>
      </c>
      <c r="Z95" t="s">
        <v>65</v>
      </c>
      <c r="AA95"/>
      <c r="AB95"/>
      <c r="AC95"/>
      <c r="AD95"/>
      <c r="AE95" t="s">
        <v>897</v>
      </c>
      <c r="AF95" t="s">
        <v>67</v>
      </c>
      <c r="AG95" t="s">
        <v>219</v>
      </c>
      <c r="AH95" t="s">
        <v>206</v>
      </c>
      <c r="AI95" t="s">
        <v>220</v>
      </c>
      <c r="AJ95" t="s">
        <v>71</v>
      </c>
      <c r="AK95" t="s">
        <v>221</v>
      </c>
    </row>
    <row r="96" spans="1:37" x14ac:dyDescent="0.3">
      <c r="A96" t="s">
        <v>874</v>
      </c>
      <c r="B96" t="s">
        <v>870</v>
      </c>
      <c r="C96" s="2">
        <v>45764.926232939812</v>
      </c>
      <c r="D96" s="2">
        <v>45718.795546296293</v>
      </c>
      <c r="E96" s="2">
        <v>45718.718650277777</v>
      </c>
      <c r="F96" t="s">
        <v>871</v>
      </c>
      <c r="G96" t="s">
        <v>395</v>
      </c>
      <c r="H96">
        <v>45664</v>
      </c>
      <c r="I96">
        <v>0.58333333333333337</v>
      </c>
      <c r="J96"/>
      <c r="K96"/>
      <c r="L96">
        <v>45667</v>
      </c>
      <c r="M96">
        <v>0.59781250000000008</v>
      </c>
      <c r="N96" t="s">
        <v>898</v>
      </c>
      <c r="O96" t="s">
        <v>400</v>
      </c>
      <c r="P96"/>
      <c r="Q96" t="s">
        <v>401</v>
      </c>
      <c r="R96" t="s">
        <v>134</v>
      </c>
      <c r="S96" t="s">
        <v>899</v>
      </c>
      <c r="T96" t="s">
        <v>900</v>
      </c>
      <c r="U96"/>
      <c r="V96"/>
      <c r="W96"/>
      <c r="X96"/>
      <c r="Y96"/>
      <c r="Z96"/>
      <c r="AA96"/>
      <c r="AB96"/>
      <c r="AC96"/>
      <c r="AD96"/>
      <c r="AE96" t="s">
        <v>901</v>
      </c>
      <c r="AF96" t="s">
        <v>67</v>
      </c>
      <c r="AG96" t="s">
        <v>404</v>
      </c>
      <c r="AH96" t="s">
        <v>405</v>
      </c>
      <c r="AI96" t="s">
        <v>406</v>
      </c>
      <c r="AJ96" t="s">
        <v>71</v>
      </c>
      <c r="AK96" t="s">
        <v>407</v>
      </c>
    </row>
    <row r="97" spans="1:37" x14ac:dyDescent="0.3">
      <c r="A97" t="s">
        <v>874</v>
      </c>
      <c r="B97" t="s">
        <v>870</v>
      </c>
      <c r="C97" s="2">
        <v>45764.926232939812</v>
      </c>
      <c r="D97" s="2">
        <v>45718.795546296293</v>
      </c>
      <c r="E97" s="2">
        <v>45718.718650277777</v>
      </c>
      <c r="F97" t="s">
        <v>871</v>
      </c>
      <c r="G97" t="s">
        <v>53</v>
      </c>
      <c r="H97">
        <v>45663</v>
      </c>
      <c r="I97">
        <v>0.64583333333333337</v>
      </c>
      <c r="J97">
        <v>45667</v>
      </c>
      <c r="K97"/>
      <c r="L97">
        <v>45667</v>
      </c>
      <c r="M97">
        <v>0.82629629629629631</v>
      </c>
      <c r="N97" t="s">
        <v>902</v>
      </c>
      <c r="O97"/>
      <c r="P97"/>
      <c r="Q97" t="s">
        <v>60</v>
      </c>
      <c r="R97"/>
      <c r="S97" t="s">
        <v>899</v>
      </c>
      <c r="T97" t="s">
        <v>903</v>
      </c>
      <c r="U97"/>
      <c r="V97"/>
      <c r="W97" t="s">
        <v>62</v>
      </c>
      <c r="X97" t="s">
        <v>896</v>
      </c>
      <c r="Y97" t="s">
        <v>64</v>
      </c>
      <c r="Z97" t="s">
        <v>65</v>
      </c>
      <c r="AA97"/>
      <c r="AB97"/>
      <c r="AC97"/>
      <c r="AD97"/>
      <c r="AE97" t="s">
        <v>904</v>
      </c>
      <c r="AF97" t="s">
        <v>67</v>
      </c>
      <c r="AG97" t="s">
        <v>68</v>
      </c>
      <c r="AH97" t="s">
        <v>69</v>
      </c>
      <c r="AI97" t="s">
        <v>70</v>
      </c>
      <c r="AJ97" t="s">
        <v>71</v>
      </c>
      <c r="AK97" t="s">
        <v>72</v>
      </c>
    </row>
    <row r="98" spans="1:37" x14ac:dyDescent="0.3">
      <c r="A98" t="s">
        <v>874</v>
      </c>
      <c r="B98" t="s">
        <v>870</v>
      </c>
      <c r="C98" s="2">
        <v>45764.926232939812</v>
      </c>
      <c r="D98" s="2">
        <v>45718.795546296293</v>
      </c>
      <c r="E98" s="2">
        <v>45718.718650277777</v>
      </c>
      <c r="F98" t="s">
        <v>871</v>
      </c>
      <c r="G98" t="s">
        <v>341</v>
      </c>
      <c r="H98">
        <v>45670</v>
      </c>
      <c r="I98">
        <v>0.50347222222222221</v>
      </c>
      <c r="J98"/>
      <c r="K98"/>
      <c r="L98">
        <v>45670</v>
      </c>
      <c r="M98">
        <v>0.50537037037037047</v>
      </c>
      <c r="N98" t="s">
        <v>344</v>
      </c>
      <c r="O98" t="s">
        <v>905</v>
      </c>
      <c r="P98" t="s">
        <v>906</v>
      </c>
      <c r="Q98" t="s">
        <v>348</v>
      </c>
      <c r="R98" t="s">
        <v>84</v>
      </c>
      <c r="S98" t="s">
        <v>907</v>
      </c>
      <c r="T98" t="s">
        <v>908</v>
      </c>
      <c r="U98"/>
      <c r="V98"/>
      <c r="W98"/>
      <c r="X98"/>
      <c r="Y98"/>
      <c r="Z98"/>
      <c r="AA98"/>
      <c r="AB98"/>
      <c r="AC98"/>
      <c r="AD98"/>
      <c r="AE98" t="s">
        <v>897</v>
      </c>
      <c r="AF98" t="s">
        <v>67</v>
      </c>
      <c r="AG98" t="s">
        <v>350</v>
      </c>
      <c r="AH98" t="s">
        <v>351</v>
      </c>
      <c r="AI98" t="s">
        <v>352</v>
      </c>
      <c r="AJ98" t="s">
        <v>123</v>
      </c>
      <c r="AK98" t="s">
        <v>353</v>
      </c>
    </row>
    <row r="99" spans="1:37" x14ac:dyDescent="0.3">
      <c r="A99" t="s">
        <v>874</v>
      </c>
      <c r="B99" t="s">
        <v>870</v>
      </c>
      <c r="C99" s="2">
        <v>45764.926232939812</v>
      </c>
      <c r="D99" s="2">
        <v>45718.795546296293</v>
      </c>
      <c r="E99" s="2">
        <v>45718.718650277777</v>
      </c>
      <c r="F99" t="s">
        <v>871</v>
      </c>
      <c r="G99" t="s">
        <v>184</v>
      </c>
      <c r="H99">
        <v>45671</v>
      </c>
      <c r="I99">
        <v>0.46388888888888891</v>
      </c>
      <c r="J99"/>
      <c r="K99"/>
      <c r="L99">
        <v>45671</v>
      </c>
      <c r="M99">
        <v>0.46740740740740749</v>
      </c>
      <c r="N99" t="s">
        <v>915</v>
      </c>
      <c r="O99" t="s">
        <v>968</v>
      </c>
      <c r="P99" t="s">
        <v>969</v>
      </c>
      <c r="Q99" t="s">
        <v>190</v>
      </c>
      <c r="R99" t="s">
        <v>191</v>
      </c>
      <c r="S99" t="s">
        <v>893</v>
      </c>
      <c r="T99" t="s">
        <v>970</v>
      </c>
      <c r="U99"/>
      <c r="V99"/>
      <c r="W99"/>
      <c r="X99"/>
      <c r="Y99"/>
      <c r="Z99"/>
      <c r="AA99"/>
      <c r="AB99"/>
      <c r="AC99"/>
      <c r="AD99"/>
      <c r="AE99" t="s">
        <v>971</v>
      </c>
      <c r="AF99" t="s">
        <v>67</v>
      </c>
      <c r="AG99" t="s">
        <v>194</v>
      </c>
      <c r="AH99" t="s">
        <v>159</v>
      </c>
      <c r="AI99" t="s">
        <v>160</v>
      </c>
      <c r="AJ99" t="s">
        <v>195</v>
      </c>
      <c r="AK99" t="s">
        <v>137</v>
      </c>
    </row>
    <row r="100" spans="1:37" x14ac:dyDescent="0.3">
      <c r="A100" t="s">
        <v>874</v>
      </c>
      <c r="B100" t="s">
        <v>870</v>
      </c>
      <c r="C100" s="2">
        <v>45764.926232939812</v>
      </c>
      <c r="D100" s="2">
        <v>45718.795546296293</v>
      </c>
      <c r="E100" s="2">
        <v>45718.718650277777</v>
      </c>
      <c r="F100" t="s">
        <v>871</v>
      </c>
      <c r="G100" t="s">
        <v>356</v>
      </c>
      <c r="H100">
        <v>45671</v>
      </c>
      <c r="I100">
        <v>0.64067129629629627</v>
      </c>
      <c r="J100"/>
      <c r="K100"/>
      <c r="L100">
        <v>45671</v>
      </c>
      <c r="M100">
        <v>0.64067129629629638</v>
      </c>
      <c r="N100" t="s">
        <v>906</v>
      </c>
      <c r="O100" t="s">
        <v>909</v>
      </c>
      <c r="P100" t="s">
        <v>361</v>
      </c>
      <c r="Q100" t="s">
        <v>362</v>
      </c>
      <c r="R100" t="s">
        <v>363</v>
      </c>
      <c r="S100" t="s">
        <v>893</v>
      </c>
      <c r="T100" t="s">
        <v>910</v>
      </c>
      <c r="U100"/>
      <c r="V100"/>
      <c r="W100" t="s">
        <v>911</v>
      </c>
      <c r="X100" t="s">
        <v>912</v>
      </c>
      <c r="Y100" t="s">
        <v>367</v>
      </c>
      <c r="Z100" t="s">
        <v>65</v>
      </c>
      <c r="AA100"/>
      <c r="AB100"/>
      <c r="AC100"/>
      <c r="AD100"/>
      <c r="AE100" t="s">
        <v>913</v>
      </c>
      <c r="AF100" t="s">
        <v>67</v>
      </c>
      <c r="AG100" t="s">
        <v>219</v>
      </c>
      <c r="AH100" t="s">
        <v>368</v>
      </c>
      <c r="AI100" t="s">
        <v>160</v>
      </c>
      <c r="AJ100" t="s">
        <v>123</v>
      </c>
      <c r="AK100" t="s">
        <v>353</v>
      </c>
    </row>
    <row r="101" spans="1:37" x14ac:dyDescent="0.3">
      <c r="A101" t="s">
        <v>874</v>
      </c>
      <c r="B101" t="s">
        <v>870</v>
      </c>
      <c r="C101" s="2">
        <v>45764.926232939812</v>
      </c>
      <c r="D101" s="2">
        <v>45718.795546296293</v>
      </c>
      <c r="E101" s="2">
        <v>45718.718650277777</v>
      </c>
      <c r="F101" t="s">
        <v>871</v>
      </c>
      <c r="G101" t="s">
        <v>224</v>
      </c>
      <c r="H101">
        <v>45672</v>
      </c>
      <c r="I101">
        <v>0.53988425925925931</v>
      </c>
      <c r="J101"/>
      <c r="K101"/>
      <c r="L101">
        <v>45672</v>
      </c>
      <c r="M101">
        <v>0.5398842592592592</v>
      </c>
      <c r="N101" t="s">
        <v>892</v>
      </c>
      <c r="O101"/>
      <c r="P101"/>
      <c r="Q101" t="s">
        <v>227</v>
      </c>
      <c r="R101" t="s">
        <v>84</v>
      </c>
      <c r="S101" t="s">
        <v>907</v>
      </c>
      <c r="T101" t="s">
        <v>914</v>
      </c>
      <c r="U101"/>
      <c r="V101"/>
      <c r="W101" t="s">
        <v>229</v>
      </c>
      <c r="X101" t="s">
        <v>896</v>
      </c>
      <c r="Y101" t="s">
        <v>230</v>
      </c>
      <c r="Z101" t="s">
        <v>65</v>
      </c>
      <c r="AA101"/>
      <c r="AB101"/>
      <c r="AC101"/>
      <c r="AD101"/>
      <c r="AE101" t="s">
        <v>913</v>
      </c>
      <c r="AF101" t="s">
        <v>67</v>
      </c>
      <c r="AG101" t="s">
        <v>231</v>
      </c>
      <c r="AH101" t="s">
        <v>232</v>
      </c>
      <c r="AI101" t="s">
        <v>70</v>
      </c>
      <c r="AJ101" t="s">
        <v>71</v>
      </c>
      <c r="AK101" t="s">
        <v>221</v>
      </c>
    </row>
    <row r="102" spans="1:37" x14ac:dyDescent="0.3">
      <c r="A102" t="s">
        <v>874</v>
      </c>
      <c r="B102" t="s">
        <v>870</v>
      </c>
      <c r="C102" s="2">
        <v>45764.926232939812</v>
      </c>
      <c r="D102" s="2">
        <v>45718.795546296293</v>
      </c>
      <c r="E102" s="2">
        <v>45718.718650277777</v>
      </c>
      <c r="F102" t="s">
        <v>871</v>
      </c>
      <c r="G102" t="s">
        <v>197</v>
      </c>
      <c r="H102">
        <v>45673</v>
      </c>
      <c r="I102">
        <v>0.83333333333333337</v>
      </c>
      <c r="J102"/>
      <c r="K102"/>
      <c r="L102">
        <v>45673</v>
      </c>
      <c r="M102">
        <v>9.0057870370370274E-2</v>
      </c>
      <c r="N102" t="s">
        <v>200</v>
      </c>
      <c r="O102" t="s">
        <v>915</v>
      </c>
      <c r="P102" t="s">
        <v>968</v>
      </c>
      <c r="Q102" t="s">
        <v>202</v>
      </c>
      <c r="R102" t="s">
        <v>203</v>
      </c>
      <c r="S102" t="s">
        <v>922</v>
      </c>
      <c r="T102" t="s">
        <v>972</v>
      </c>
      <c r="U102"/>
      <c r="V102"/>
      <c r="W102"/>
      <c r="X102"/>
      <c r="Y102"/>
      <c r="Z102"/>
      <c r="AA102"/>
      <c r="AB102"/>
      <c r="AC102"/>
      <c r="AD102"/>
      <c r="AE102" t="s">
        <v>929</v>
      </c>
      <c r="AF102" t="s">
        <v>67</v>
      </c>
      <c r="AG102" t="s">
        <v>205</v>
      </c>
      <c r="AH102" t="s">
        <v>206</v>
      </c>
      <c r="AI102"/>
      <c r="AJ102"/>
      <c r="AK102" t="s">
        <v>137</v>
      </c>
    </row>
    <row r="103" spans="1:37" x14ac:dyDescent="0.3">
      <c r="A103" t="s">
        <v>874</v>
      </c>
      <c r="B103" t="s">
        <v>870</v>
      </c>
      <c r="C103" s="2">
        <v>45764.926232939812</v>
      </c>
      <c r="D103" s="2">
        <v>45718.795546296293</v>
      </c>
      <c r="E103" s="2">
        <v>45718.718650277777</v>
      </c>
      <c r="F103" t="s">
        <v>871</v>
      </c>
      <c r="G103" t="s">
        <v>129</v>
      </c>
      <c r="H103">
        <v>45673</v>
      </c>
      <c r="I103">
        <v>0.5</v>
      </c>
      <c r="J103">
        <v>45673</v>
      </c>
      <c r="K103">
        <v>0.75</v>
      </c>
      <c r="L103">
        <v>45673</v>
      </c>
      <c r="M103">
        <v>0.81587962962962957</v>
      </c>
      <c r="N103" t="s">
        <v>915</v>
      </c>
      <c r="O103"/>
      <c r="P103"/>
      <c r="Q103" t="s">
        <v>133</v>
      </c>
      <c r="R103" t="s">
        <v>134</v>
      </c>
      <c r="S103" t="s">
        <v>899</v>
      </c>
      <c r="T103" t="s">
        <v>916</v>
      </c>
      <c r="U103"/>
      <c r="V103"/>
      <c r="W103"/>
      <c r="X103"/>
      <c r="Y103"/>
      <c r="Z103"/>
      <c r="AA103"/>
      <c r="AB103"/>
      <c r="AC103"/>
      <c r="AD103"/>
      <c r="AE103" t="s">
        <v>904</v>
      </c>
      <c r="AF103" t="s">
        <v>67</v>
      </c>
      <c r="AG103" t="s">
        <v>136</v>
      </c>
      <c r="AH103" t="s">
        <v>69</v>
      </c>
      <c r="AI103" t="s">
        <v>70</v>
      </c>
      <c r="AJ103" t="s">
        <v>71</v>
      </c>
      <c r="AK103" t="s">
        <v>137</v>
      </c>
    </row>
    <row r="104" spans="1:37" x14ac:dyDescent="0.3">
      <c r="A104" t="s">
        <v>874</v>
      </c>
      <c r="B104" t="s">
        <v>870</v>
      </c>
      <c r="C104" s="2">
        <v>45764.926232939812</v>
      </c>
      <c r="D104" s="2">
        <v>45718.795546296293</v>
      </c>
      <c r="E104" s="2">
        <v>45718.718650277777</v>
      </c>
      <c r="F104" t="s">
        <v>871</v>
      </c>
      <c r="G104" t="s">
        <v>371</v>
      </c>
      <c r="H104">
        <v>45673</v>
      </c>
      <c r="I104">
        <v>0.87708333333333333</v>
      </c>
      <c r="J104">
        <v>45673</v>
      </c>
      <c r="K104">
        <v>0.88611111111111107</v>
      </c>
      <c r="L104">
        <v>45674</v>
      </c>
      <c r="M104">
        <v>0.51179398148148159</v>
      </c>
      <c r="N104" t="s">
        <v>906</v>
      </c>
      <c r="O104"/>
      <c r="P104"/>
      <c r="Q104" t="s">
        <v>374</v>
      </c>
      <c r="R104" t="s">
        <v>178</v>
      </c>
      <c r="S104" t="s">
        <v>893</v>
      </c>
      <c r="T104" t="s">
        <v>917</v>
      </c>
      <c r="U104"/>
      <c r="V104"/>
      <c r="W104"/>
      <c r="X104" t="s">
        <v>918</v>
      </c>
      <c r="Y104" t="s">
        <v>919</v>
      </c>
      <c r="Z104"/>
      <c r="AA104"/>
      <c r="AB104"/>
      <c r="AC104"/>
      <c r="AD104"/>
      <c r="AE104" t="s">
        <v>904</v>
      </c>
      <c r="AF104" t="s">
        <v>67</v>
      </c>
      <c r="AG104" t="s">
        <v>89</v>
      </c>
      <c r="AH104" t="s">
        <v>90</v>
      </c>
      <c r="AI104" t="s">
        <v>378</v>
      </c>
      <c r="AJ104" t="s">
        <v>435</v>
      </c>
      <c r="AK104" t="s">
        <v>353</v>
      </c>
    </row>
    <row r="105" spans="1:37" x14ac:dyDescent="0.3">
      <c r="A105" t="s">
        <v>874</v>
      </c>
      <c r="B105" t="s">
        <v>870</v>
      </c>
      <c r="C105" s="2">
        <v>45764.926232939812</v>
      </c>
      <c r="D105" s="2">
        <v>45718.795546296293</v>
      </c>
      <c r="E105" s="2">
        <v>45718.718650277777</v>
      </c>
      <c r="F105" t="s">
        <v>871</v>
      </c>
      <c r="G105" t="s">
        <v>236</v>
      </c>
      <c r="H105">
        <v>45678</v>
      </c>
      <c r="I105">
        <v>0.79166666666666663</v>
      </c>
      <c r="J105">
        <v>45679</v>
      </c>
      <c r="K105">
        <v>0.13125000000000009</v>
      </c>
      <c r="L105">
        <v>45679</v>
      </c>
      <c r="M105">
        <v>0.13255787037037048</v>
      </c>
      <c r="N105" t="s">
        <v>892</v>
      </c>
      <c r="O105"/>
      <c r="P105"/>
      <c r="Q105" t="s">
        <v>239</v>
      </c>
      <c r="R105" t="s">
        <v>178</v>
      </c>
      <c r="S105" t="s">
        <v>893</v>
      </c>
      <c r="T105" t="s">
        <v>920</v>
      </c>
      <c r="U105"/>
      <c r="V105"/>
      <c r="W105" t="s">
        <v>241</v>
      </c>
      <c r="X105" t="s">
        <v>63</v>
      </c>
      <c r="Y105" t="s">
        <v>242</v>
      </c>
      <c r="Z105" t="s">
        <v>65</v>
      </c>
      <c r="AA105"/>
      <c r="AB105"/>
      <c r="AC105"/>
      <c r="AD105"/>
      <c r="AE105" t="s">
        <v>921</v>
      </c>
      <c r="AF105" t="s">
        <v>67</v>
      </c>
      <c r="AG105" t="s">
        <v>244</v>
      </c>
      <c r="AH105" t="s">
        <v>206</v>
      </c>
      <c r="AI105" t="s">
        <v>160</v>
      </c>
      <c r="AJ105" t="s">
        <v>71</v>
      </c>
      <c r="AK105" t="s">
        <v>221</v>
      </c>
    </row>
    <row r="106" spans="1:37" x14ac:dyDescent="0.3">
      <c r="A106" t="s">
        <v>874</v>
      </c>
      <c r="B106" t="s">
        <v>870</v>
      </c>
      <c r="C106" s="2">
        <v>45764.926232939812</v>
      </c>
      <c r="D106" s="2">
        <v>45718.795546296293</v>
      </c>
      <c r="E106" s="2">
        <v>45718.718650277777</v>
      </c>
      <c r="F106" t="s">
        <v>871</v>
      </c>
      <c r="G106" t="s">
        <v>246</v>
      </c>
      <c r="H106">
        <v>45679</v>
      </c>
      <c r="I106">
        <v>0.33333333333333331</v>
      </c>
      <c r="J106">
        <v>45679</v>
      </c>
      <c r="K106">
        <v>0.80069444444444438</v>
      </c>
      <c r="L106">
        <v>45679</v>
      </c>
      <c r="M106">
        <v>0.8020370370370371</v>
      </c>
      <c r="N106" t="s">
        <v>892</v>
      </c>
      <c r="O106"/>
      <c r="P106"/>
      <c r="Q106" t="s">
        <v>249</v>
      </c>
      <c r="R106" t="s">
        <v>250</v>
      </c>
      <c r="S106" t="s">
        <v>922</v>
      </c>
      <c r="T106" t="s">
        <v>923</v>
      </c>
      <c r="U106"/>
      <c r="V106"/>
      <c r="W106" t="s">
        <v>252</v>
      </c>
      <c r="X106" t="s">
        <v>924</v>
      </c>
      <c r="Y106" t="s">
        <v>254</v>
      </c>
      <c r="Z106" t="s">
        <v>65</v>
      </c>
      <c r="AA106"/>
      <c r="AB106"/>
      <c r="AC106"/>
      <c r="AD106"/>
      <c r="AE106" t="s">
        <v>913</v>
      </c>
      <c r="AF106" t="s">
        <v>67</v>
      </c>
      <c r="AG106" t="s">
        <v>244</v>
      </c>
      <c r="AH106" t="s">
        <v>206</v>
      </c>
      <c r="AI106" t="s">
        <v>122</v>
      </c>
      <c r="AJ106" t="s">
        <v>71</v>
      </c>
      <c r="AK106" t="s">
        <v>221</v>
      </c>
    </row>
    <row r="107" spans="1:37" x14ac:dyDescent="0.3">
      <c r="A107" t="s">
        <v>874</v>
      </c>
      <c r="B107" t="s">
        <v>870</v>
      </c>
      <c r="C107" s="2">
        <v>45764.926232939812</v>
      </c>
      <c r="D107" s="2">
        <v>45718.795546296293</v>
      </c>
      <c r="E107" s="2">
        <v>45718.718650277777</v>
      </c>
      <c r="F107" t="s">
        <v>871</v>
      </c>
      <c r="G107" t="s">
        <v>409</v>
      </c>
      <c r="H107">
        <v>45680</v>
      </c>
      <c r="I107">
        <v>0.625</v>
      </c>
      <c r="J107"/>
      <c r="K107"/>
      <c r="L107">
        <v>45680</v>
      </c>
      <c r="M107">
        <v>0.66545138888888888</v>
      </c>
      <c r="N107" t="s">
        <v>925</v>
      </c>
      <c r="O107" t="s">
        <v>400</v>
      </c>
      <c r="P107"/>
      <c r="Q107" t="s">
        <v>414</v>
      </c>
      <c r="R107" t="s">
        <v>84</v>
      </c>
      <c r="S107" t="s">
        <v>907</v>
      </c>
      <c r="T107" t="s">
        <v>926</v>
      </c>
      <c r="U107"/>
      <c r="V107"/>
      <c r="W107"/>
      <c r="X107"/>
      <c r="Y107"/>
      <c r="Z107"/>
      <c r="AA107"/>
      <c r="AB107"/>
      <c r="AC107"/>
      <c r="AD107"/>
      <c r="AE107" t="s">
        <v>927</v>
      </c>
      <c r="AF107" t="s">
        <v>67</v>
      </c>
      <c r="AG107" t="s">
        <v>352</v>
      </c>
      <c r="AH107" t="s">
        <v>417</v>
      </c>
      <c r="AI107" t="s">
        <v>406</v>
      </c>
      <c r="AJ107" t="s">
        <v>418</v>
      </c>
      <c r="AK107"/>
    </row>
    <row r="108" spans="1:37" x14ac:dyDescent="0.3">
      <c r="A108" t="s">
        <v>874</v>
      </c>
      <c r="B108" t="s">
        <v>870</v>
      </c>
      <c r="C108" s="2">
        <v>45764.926232939812</v>
      </c>
      <c r="D108" s="2">
        <v>45718.795546296293</v>
      </c>
      <c r="E108" s="2">
        <v>45718.718650277777</v>
      </c>
      <c r="F108" t="s">
        <v>871</v>
      </c>
      <c r="G108" t="s">
        <v>140</v>
      </c>
      <c r="H108">
        <v>45682</v>
      </c>
      <c r="I108">
        <v>0.45833333333333331</v>
      </c>
      <c r="J108">
        <v>45682</v>
      </c>
      <c r="K108">
        <v>0.58333333333333326</v>
      </c>
      <c r="L108">
        <v>45682</v>
      </c>
      <c r="M108">
        <v>0.58054398148148145</v>
      </c>
      <c r="N108" t="s">
        <v>915</v>
      </c>
      <c r="O108"/>
      <c r="P108"/>
      <c r="Q108" t="s">
        <v>144</v>
      </c>
      <c r="R108" t="s">
        <v>145</v>
      </c>
      <c r="S108" t="s">
        <v>922</v>
      </c>
      <c r="T108" t="s">
        <v>928</v>
      </c>
      <c r="U108"/>
      <c r="V108"/>
      <c r="W108"/>
      <c r="X108"/>
      <c r="Y108"/>
      <c r="Z108"/>
      <c r="AA108"/>
      <c r="AB108"/>
      <c r="AC108"/>
      <c r="AD108"/>
      <c r="AE108" t="s">
        <v>929</v>
      </c>
      <c r="AF108" t="s">
        <v>67</v>
      </c>
      <c r="AG108" t="s">
        <v>147</v>
      </c>
      <c r="AH108" t="s">
        <v>90</v>
      </c>
      <c r="AI108" t="s">
        <v>70</v>
      </c>
      <c r="AJ108" t="s">
        <v>123</v>
      </c>
      <c r="AK108" t="s">
        <v>137</v>
      </c>
    </row>
    <row r="109" spans="1:37" x14ac:dyDescent="0.3">
      <c r="A109" t="s">
        <v>874</v>
      </c>
      <c r="B109" t="s">
        <v>870</v>
      </c>
      <c r="C109" s="2">
        <v>45764.926232939812</v>
      </c>
      <c r="D109" s="2">
        <v>45718.795546296293</v>
      </c>
      <c r="E109" s="2">
        <v>45718.718650277777</v>
      </c>
      <c r="F109" t="s">
        <v>871</v>
      </c>
      <c r="G109" t="s">
        <v>77</v>
      </c>
      <c r="H109">
        <v>45682</v>
      </c>
      <c r="I109">
        <v>0.76875000000000004</v>
      </c>
      <c r="J109"/>
      <c r="K109"/>
      <c r="L109">
        <v>45683</v>
      </c>
      <c r="M109">
        <v>0.44056712962962963</v>
      </c>
      <c r="N109" t="s">
        <v>902</v>
      </c>
      <c r="O109" t="s">
        <v>930</v>
      </c>
      <c r="P109"/>
      <c r="Q109" t="s">
        <v>83</v>
      </c>
      <c r="R109" t="s">
        <v>84</v>
      </c>
      <c r="S109" t="s">
        <v>907</v>
      </c>
      <c r="T109" t="s">
        <v>931</v>
      </c>
      <c r="U109"/>
      <c r="V109"/>
      <c r="W109" t="s">
        <v>932</v>
      </c>
      <c r="X109" t="s">
        <v>896</v>
      </c>
      <c r="Y109" t="s">
        <v>87</v>
      </c>
      <c r="Z109" t="s">
        <v>65</v>
      </c>
      <c r="AA109"/>
      <c r="AB109"/>
      <c r="AC109"/>
      <c r="AD109"/>
      <c r="AE109" t="s">
        <v>929</v>
      </c>
      <c r="AF109" t="s">
        <v>67</v>
      </c>
      <c r="AG109" t="s">
        <v>89</v>
      </c>
      <c r="AH109" t="s">
        <v>90</v>
      </c>
      <c r="AI109" t="s">
        <v>91</v>
      </c>
      <c r="AJ109" t="s">
        <v>92</v>
      </c>
      <c r="AK109" t="s">
        <v>72</v>
      </c>
    </row>
    <row r="110" spans="1:37" x14ac:dyDescent="0.3">
      <c r="A110" t="s">
        <v>874</v>
      </c>
      <c r="B110" t="s">
        <v>870</v>
      </c>
      <c r="C110" s="2">
        <v>45764.926232939812</v>
      </c>
      <c r="D110" s="2">
        <v>45718.795546296293</v>
      </c>
      <c r="E110" s="2">
        <v>45718.718650277777</v>
      </c>
      <c r="F110" t="s">
        <v>871</v>
      </c>
      <c r="G110" t="s">
        <v>96</v>
      </c>
      <c r="H110">
        <v>45683</v>
      </c>
      <c r="I110">
        <v>0.84027777777777779</v>
      </c>
      <c r="J110">
        <v>45683</v>
      </c>
      <c r="K110">
        <v>0.84652777777777777</v>
      </c>
      <c r="L110">
        <v>45683</v>
      </c>
      <c r="M110">
        <v>0.85009259259259262</v>
      </c>
      <c r="N110" t="s">
        <v>902</v>
      </c>
      <c r="O110" t="s">
        <v>930</v>
      </c>
      <c r="P110"/>
      <c r="Q110" t="s">
        <v>100</v>
      </c>
      <c r="R110" t="s">
        <v>101</v>
      </c>
      <c r="S110" t="s">
        <v>893</v>
      </c>
      <c r="T110" t="s">
        <v>933</v>
      </c>
      <c r="U110"/>
      <c r="V110"/>
      <c r="W110" t="s">
        <v>934</v>
      </c>
      <c r="X110" t="s">
        <v>896</v>
      </c>
      <c r="Y110" t="s">
        <v>104</v>
      </c>
      <c r="Z110" t="s">
        <v>935</v>
      </c>
      <c r="AA110"/>
      <c r="AB110"/>
      <c r="AC110"/>
      <c r="AD110"/>
      <c r="AE110" t="s">
        <v>904</v>
      </c>
      <c r="AF110" t="s">
        <v>67</v>
      </c>
      <c r="AG110" t="s">
        <v>105</v>
      </c>
      <c r="AH110" t="s">
        <v>69</v>
      </c>
      <c r="AI110" t="s">
        <v>106</v>
      </c>
      <c r="AJ110" t="s">
        <v>71</v>
      </c>
      <c r="AK110" t="s">
        <v>72</v>
      </c>
    </row>
    <row r="111" spans="1:37" x14ac:dyDescent="0.3">
      <c r="A111" t="s">
        <v>874</v>
      </c>
      <c r="B111" t="s">
        <v>870</v>
      </c>
      <c r="C111" s="2">
        <v>45764.926232939812</v>
      </c>
      <c r="D111" s="2">
        <v>45718.795546296293</v>
      </c>
      <c r="E111" s="2">
        <v>45718.718650277777</v>
      </c>
      <c r="F111" t="s">
        <v>871</v>
      </c>
      <c r="G111" t="s">
        <v>256</v>
      </c>
      <c r="H111">
        <v>45685</v>
      </c>
      <c r="I111">
        <v>0.625</v>
      </c>
      <c r="J111">
        <v>45686</v>
      </c>
      <c r="K111">
        <v>0.91736111111111107</v>
      </c>
      <c r="L111">
        <v>45686</v>
      </c>
      <c r="M111">
        <v>0.91833333333333322</v>
      </c>
      <c r="N111" t="s">
        <v>892</v>
      </c>
      <c r="O111" t="s">
        <v>930</v>
      </c>
      <c r="P111"/>
      <c r="Q111" t="s">
        <v>260</v>
      </c>
      <c r="R111" t="s">
        <v>261</v>
      </c>
      <c r="S111" t="s">
        <v>936</v>
      </c>
      <c r="T111" t="s">
        <v>937</v>
      </c>
      <c r="U111"/>
      <c r="V111"/>
      <c r="W111" t="s">
        <v>938</v>
      </c>
      <c r="X111" t="s">
        <v>939</v>
      </c>
      <c r="Y111" t="s">
        <v>265</v>
      </c>
      <c r="Z111" t="s">
        <v>65</v>
      </c>
      <c r="AA111"/>
      <c r="AB111"/>
      <c r="AC111"/>
      <c r="AD111"/>
      <c r="AE111" t="s">
        <v>940</v>
      </c>
      <c r="AF111" t="s">
        <v>67</v>
      </c>
      <c r="AG111" t="s">
        <v>244</v>
      </c>
      <c r="AH111" t="s">
        <v>206</v>
      </c>
      <c r="AI111" t="s">
        <v>70</v>
      </c>
      <c r="AJ111" t="s">
        <v>266</v>
      </c>
      <c r="AK111" t="s">
        <v>221</v>
      </c>
    </row>
    <row r="112" spans="1:37" x14ac:dyDescent="0.3">
      <c r="A112" t="s">
        <v>874</v>
      </c>
      <c r="B112" t="s">
        <v>870</v>
      </c>
      <c r="C112" s="2">
        <v>45764.926232939812</v>
      </c>
      <c r="D112" s="2">
        <v>45718.795546296293</v>
      </c>
      <c r="E112" s="2">
        <v>45718.718650277777</v>
      </c>
      <c r="F112" t="s">
        <v>871</v>
      </c>
      <c r="G112" t="s">
        <v>151</v>
      </c>
      <c r="H112">
        <v>45688</v>
      </c>
      <c r="I112">
        <v>0.49988425925925928</v>
      </c>
      <c r="J112"/>
      <c r="K112"/>
      <c r="L112">
        <v>45688</v>
      </c>
      <c r="M112">
        <v>0.49988425925925917</v>
      </c>
      <c r="N112" t="s">
        <v>915</v>
      </c>
      <c r="O112"/>
      <c r="P112"/>
      <c r="Q112" t="s">
        <v>154</v>
      </c>
      <c r="R112" t="s">
        <v>155</v>
      </c>
      <c r="S112" t="s">
        <v>907</v>
      </c>
      <c r="T112" t="s">
        <v>941</v>
      </c>
      <c r="U112"/>
      <c r="V112"/>
      <c r="W112"/>
      <c r="X112"/>
      <c r="Y112"/>
      <c r="Z112"/>
      <c r="AA112"/>
      <c r="AB112"/>
      <c r="AC112"/>
      <c r="AD112"/>
      <c r="AE112" t="s">
        <v>897</v>
      </c>
      <c r="AF112" t="s">
        <v>67</v>
      </c>
      <c r="AG112" t="s">
        <v>158</v>
      </c>
      <c r="AH112" t="s">
        <v>159</v>
      </c>
      <c r="AI112" t="s">
        <v>160</v>
      </c>
      <c r="AJ112" t="s">
        <v>71</v>
      </c>
      <c r="AK112" t="s">
        <v>137</v>
      </c>
    </row>
    <row r="113" spans="1:37" x14ac:dyDescent="0.3">
      <c r="A113" t="s">
        <v>874</v>
      </c>
      <c r="B113" t="s">
        <v>870</v>
      </c>
      <c r="C113" s="2">
        <v>45764.926232939812</v>
      </c>
      <c r="D113" s="2">
        <v>45718.795546296293</v>
      </c>
      <c r="E113" s="2">
        <v>45718.718650277777</v>
      </c>
      <c r="F113" t="s">
        <v>871</v>
      </c>
      <c r="G113" t="s">
        <v>269</v>
      </c>
      <c r="H113">
        <v>45689</v>
      </c>
      <c r="I113">
        <v>4.1666666666666664E-2</v>
      </c>
      <c r="J113"/>
      <c r="K113">
        <v>0.10416666666666674</v>
      </c>
      <c r="L113">
        <v>45689</v>
      </c>
      <c r="M113">
        <v>0.11982638888888886</v>
      </c>
      <c r="N113" t="s">
        <v>892</v>
      </c>
      <c r="O113"/>
      <c r="P113"/>
      <c r="Q113" t="s">
        <v>272</v>
      </c>
      <c r="R113" t="s">
        <v>273</v>
      </c>
      <c r="S113" t="s">
        <v>936</v>
      </c>
      <c r="T113" t="s">
        <v>942</v>
      </c>
      <c r="U113"/>
      <c r="V113"/>
      <c r="W113" t="s">
        <v>943</v>
      </c>
      <c r="X113" t="s">
        <v>944</v>
      </c>
      <c r="Y113" t="s">
        <v>276</v>
      </c>
      <c r="Z113" t="s">
        <v>65</v>
      </c>
      <c r="AA113"/>
      <c r="AB113"/>
      <c r="AC113"/>
      <c r="AD113"/>
      <c r="AE113" t="s">
        <v>913</v>
      </c>
      <c r="AF113" t="s">
        <v>67</v>
      </c>
      <c r="AG113" t="s">
        <v>244</v>
      </c>
      <c r="AH113" t="s">
        <v>206</v>
      </c>
      <c r="AI113" t="s">
        <v>122</v>
      </c>
      <c r="AJ113" t="s">
        <v>71</v>
      </c>
      <c r="AK113" t="s">
        <v>221</v>
      </c>
    </row>
    <row r="114" spans="1:37" x14ac:dyDescent="0.3">
      <c r="A114" t="s">
        <v>874</v>
      </c>
      <c r="B114" t="s">
        <v>870</v>
      </c>
      <c r="C114" s="2">
        <v>45764.926232939812</v>
      </c>
      <c r="D114" s="2">
        <v>45718.795546296293</v>
      </c>
      <c r="E114" s="2">
        <v>45718.718650277777</v>
      </c>
      <c r="F114" t="s">
        <v>871</v>
      </c>
      <c r="G114" t="s">
        <v>382</v>
      </c>
      <c r="H114">
        <v>45690</v>
      </c>
      <c r="I114">
        <v>0.72569444444444442</v>
      </c>
      <c r="J114">
        <v>45690</v>
      </c>
      <c r="K114">
        <v>0.75</v>
      </c>
      <c r="L114">
        <v>45691</v>
      </c>
      <c r="M114">
        <v>0.50143518518518526</v>
      </c>
      <c r="N114" t="s">
        <v>176</v>
      </c>
      <c r="O114" t="s">
        <v>906</v>
      </c>
      <c r="P114"/>
      <c r="Q114" t="s">
        <v>385</v>
      </c>
      <c r="R114" t="s">
        <v>145</v>
      </c>
      <c r="S114" t="s">
        <v>922</v>
      </c>
      <c r="T114" t="s">
        <v>945</v>
      </c>
      <c r="U114"/>
      <c r="V114"/>
      <c r="W114"/>
      <c r="X114"/>
      <c r="Y114"/>
      <c r="Z114"/>
      <c r="AA114"/>
      <c r="AB114"/>
      <c r="AC114"/>
      <c r="AD114"/>
      <c r="AE114" t="s">
        <v>904</v>
      </c>
      <c r="AF114" t="s">
        <v>67</v>
      </c>
      <c r="AG114" t="s">
        <v>105</v>
      </c>
      <c r="AH114" t="s">
        <v>69</v>
      </c>
      <c r="AI114" t="s">
        <v>180</v>
      </c>
      <c r="AJ114" t="s">
        <v>92</v>
      </c>
      <c r="AK114"/>
    </row>
    <row r="115" spans="1:37" x14ac:dyDescent="0.3">
      <c r="A115" t="s">
        <v>874</v>
      </c>
      <c r="B115" t="s">
        <v>870</v>
      </c>
      <c r="C115" s="2">
        <v>45764.926232939812</v>
      </c>
      <c r="D115" s="2">
        <v>45718.795546296293</v>
      </c>
      <c r="E115" s="2">
        <v>45718.718650277777</v>
      </c>
      <c r="F115" t="s">
        <v>871</v>
      </c>
      <c r="G115" t="s">
        <v>388</v>
      </c>
      <c r="H115"/>
      <c r="I115"/>
      <c r="J115"/>
      <c r="K115"/>
      <c r="L115">
        <v>45691</v>
      </c>
      <c r="M115">
        <v>0.69484953703703711</v>
      </c>
      <c r="N115" t="s">
        <v>906</v>
      </c>
      <c r="O115"/>
      <c r="P115"/>
      <c r="Q115" t="s">
        <v>390</v>
      </c>
      <c r="R115" t="s">
        <v>363</v>
      </c>
      <c r="S115" t="s">
        <v>893</v>
      </c>
      <c r="T115" t="s">
        <v>946</v>
      </c>
      <c r="U115"/>
      <c r="V115"/>
      <c r="W115"/>
      <c r="X115"/>
      <c r="Y115"/>
      <c r="Z115"/>
      <c r="AA115"/>
      <c r="AB115"/>
      <c r="AC115"/>
      <c r="AD115"/>
      <c r="AE115" t="s">
        <v>929</v>
      </c>
      <c r="AF115" t="s">
        <v>67</v>
      </c>
      <c r="AG115" t="s">
        <v>136</v>
      </c>
      <c r="AH115" t="s">
        <v>69</v>
      </c>
      <c r="AI115" t="s">
        <v>106</v>
      </c>
      <c r="AJ115" t="s">
        <v>71</v>
      </c>
      <c r="AK115" t="s">
        <v>353</v>
      </c>
    </row>
    <row r="116" spans="1:37" x14ac:dyDescent="0.3">
      <c r="A116" t="s">
        <v>874</v>
      </c>
      <c r="B116" t="s">
        <v>870</v>
      </c>
      <c r="C116" s="2">
        <v>45764.926232939812</v>
      </c>
      <c r="D116" s="2">
        <v>45718.795546296293</v>
      </c>
      <c r="E116" s="2">
        <v>45718.718650277777</v>
      </c>
      <c r="F116" t="s">
        <v>871</v>
      </c>
      <c r="G116" t="s">
        <v>279</v>
      </c>
      <c r="H116">
        <v>45691</v>
      </c>
      <c r="I116">
        <v>0.77083333333333337</v>
      </c>
      <c r="J116">
        <v>45692</v>
      </c>
      <c r="K116">
        <v>0.79166666666666674</v>
      </c>
      <c r="L116">
        <v>45692</v>
      </c>
      <c r="M116">
        <v>0.53023148148148147</v>
      </c>
      <c r="N116" t="s">
        <v>892</v>
      </c>
      <c r="O116"/>
      <c r="P116"/>
      <c r="Q116" t="s">
        <v>282</v>
      </c>
      <c r="R116" t="s">
        <v>283</v>
      </c>
      <c r="S116" t="s">
        <v>907</v>
      </c>
      <c r="T116" t="s">
        <v>947</v>
      </c>
      <c r="U116"/>
      <c r="V116"/>
      <c r="W116" t="s">
        <v>948</v>
      </c>
      <c r="X116" t="s">
        <v>286</v>
      </c>
      <c r="Y116" t="s">
        <v>949</v>
      </c>
      <c r="Z116" t="s">
        <v>288</v>
      </c>
      <c r="AA116"/>
      <c r="AB116"/>
      <c r="AC116"/>
      <c r="AD116"/>
      <c r="AE116" t="s">
        <v>904</v>
      </c>
      <c r="AF116" t="s">
        <v>67</v>
      </c>
      <c r="AG116" t="s">
        <v>105</v>
      </c>
      <c r="AH116" t="s">
        <v>69</v>
      </c>
      <c r="AI116" t="s">
        <v>70</v>
      </c>
      <c r="AJ116" t="s">
        <v>195</v>
      </c>
      <c r="AK116" t="s">
        <v>221</v>
      </c>
    </row>
    <row r="117" spans="1:37" x14ac:dyDescent="0.3">
      <c r="A117" t="s">
        <v>874</v>
      </c>
      <c r="B117" t="s">
        <v>870</v>
      </c>
      <c r="C117" s="2">
        <v>45764.926232939812</v>
      </c>
      <c r="D117" s="2">
        <v>45718.795546296293</v>
      </c>
      <c r="E117" s="2">
        <v>45718.718650277777</v>
      </c>
      <c r="F117" t="s">
        <v>871</v>
      </c>
      <c r="G117" t="s">
        <v>161</v>
      </c>
      <c r="H117">
        <v>45693</v>
      </c>
      <c r="I117">
        <v>0.12291666666666666</v>
      </c>
      <c r="J117"/>
      <c r="K117"/>
      <c r="L117">
        <v>45693</v>
      </c>
      <c r="M117">
        <v>0.12339120370370371</v>
      </c>
      <c r="N117" t="s">
        <v>950</v>
      </c>
      <c r="O117" t="s">
        <v>167</v>
      </c>
      <c r="P117"/>
      <c r="Q117" t="s">
        <v>168</v>
      </c>
      <c r="R117" t="s">
        <v>155</v>
      </c>
      <c r="S117" t="s">
        <v>907</v>
      </c>
      <c r="T117" t="s">
        <v>951</v>
      </c>
      <c r="U117"/>
      <c r="V117"/>
      <c r="W117"/>
      <c r="X117"/>
      <c r="Y117"/>
      <c r="Z117"/>
      <c r="AA117"/>
      <c r="AB117"/>
      <c r="AC117"/>
      <c r="AD117"/>
      <c r="AE117" t="s">
        <v>913</v>
      </c>
      <c r="AF117" t="s">
        <v>67</v>
      </c>
      <c r="AG117" t="s">
        <v>170</v>
      </c>
      <c r="AH117" t="s">
        <v>90</v>
      </c>
      <c r="AI117" t="s">
        <v>171</v>
      </c>
      <c r="AJ117" t="s">
        <v>123</v>
      </c>
      <c r="AK117" t="s">
        <v>137</v>
      </c>
    </row>
    <row r="118" spans="1:37" x14ac:dyDescent="0.3">
      <c r="A118" t="s">
        <v>874</v>
      </c>
      <c r="B118" t="s">
        <v>870</v>
      </c>
      <c r="C118" s="2">
        <v>45764.926232939812</v>
      </c>
      <c r="D118" s="2">
        <v>45718.795546296293</v>
      </c>
      <c r="E118" s="2">
        <v>45718.718650277777</v>
      </c>
      <c r="F118" t="s">
        <v>871</v>
      </c>
      <c r="G118" t="s">
        <v>292</v>
      </c>
      <c r="H118">
        <v>45695</v>
      </c>
      <c r="I118">
        <v>0.27430555555555558</v>
      </c>
      <c r="J118">
        <v>45695</v>
      </c>
      <c r="K118">
        <v>0.28472222222222232</v>
      </c>
      <c r="L118">
        <v>45695</v>
      </c>
      <c r="M118">
        <v>0.30738425925925927</v>
      </c>
      <c r="N118" t="s">
        <v>892</v>
      </c>
      <c r="O118"/>
      <c r="P118"/>
      <c r="Q118" t="s">
        <v>296</v>
      </c>
      <c r="R118" t="s">
        <v>203</v>
      </c>
      <c r="S118" t="s">
        <v>922</v>
      </c>
      <c r="T118" t="s">
        <v>952</v>
      </c>
      <c r="U118"/>
      <c r="V118"/>
      <c r="W118" t="s">
        <v>953</v>
      </c>
      <c r="X118" t="s">
        <v>954</v>
      </c>
      <c r="Y118" t="s">
        <v>300</v>
      </c>
      <c r="Z118" t="s">
        <v>65</v>
      </c>
      <c r="AA118"/>
      <c r="AB118"/>
      <c r="AC118"/>
      <c r="AD118"/>
      <c r="AE118" t="s">
        <v>913</v>
      </c>
      <c r="AF118" t="s">
        <v>67</v>
      </c>
      <c r="AG118" t="s">
        <v>301</v>
      </c>
      <c r="AH118" t="s">
        <v>121</v>
      </c>
      <c r="AI118" t="s">
        <v>180</v>
      </c>
      <c r="AJ118" t="s">
        <v>92</v>
      </c>
      <c r="AK118" t="s">
        <v>221</v>
      </c>
    </row>
    <row r="119" spans="1:37" x14ac:dyDescent="0.3">
      <c r="A119" t="s">
        <v>874</v>
      </c>
      <c r="B119" t="s">
        <v>870</v>
      </c>
      <c r="C119" s="2">
        <v>45764.926232939812</v>
      </c>
      <c r="D119" s="2">
        <v>45718.795546296293</v>
      </c>
      <c r="E119" s="2">
        <v>45718.718650277777</v>
      </c>
      <c r="F119" t="s">
        <v>871</v>
      </c>
      <c r="G119" t="s">
        <v>305</v>
      </c>
      <c r="H119">
        <v>45688</v>
      </c>
      <c r="I119">
        <v>0.5</v>
      </c>
      <c r="J119">
        <v>45695</v>
      </c>
      <c r="K119">
        <v>0.54166666666666674</v>
      </c>
      <c r="L119">
        <v>45696</v>
      </c>
      <c r="M119">
        <v>0.3903240740740741</v>
      </c>
      <c r="N119" t="s">
        <v>892</v>
      </c>
      <c r="O119"/>
      <c r="P119"/>
      <c r="Q119" t="s">
        <v>308</v>
      </c>
      <c r="R119" t="s">
        <v>250</v>
      </c>
      <c r="S119" t="s">
        <v>922</v>
      </c>
      <c r="T119" t="s">
        <v>955</v>
      </c>
      <c r="U119"/>
      <c r="V119"/>
      <c r="W119" t="s">
        <v>956</v>
      </c>
      <c r="X119"/>
      <c r="Y119" t="s">
        <v>230</v>
      </c>
      <c r="Z119" t="s">
        <v>935</v>
      </c>
      <c r="AA119"/>
      <c r="AB119"/>
      <c r="AC119"/>
      <c r="AD119"/>
      <c r="AE119" t="s">
        <v>913</v>
      </c>
      <c r="AF119" t="s">
        <v>67</v>
      </c>
      <c r="AG119" t="s">
        <v>205</v>
      </c>
      <c r="AH119" t="s">
        <v>206</v>
      </c>
      <c r="AI119" t="s">
        <v>106</v>
      </c>
      <c r="AJ119" t="s">
        <v>71</v>
      </c>
      <c r="AK119" t="s">
        <v>221</v>
      </c>
    </row>
    <row r="120" spans="1:37" x14ac:dyDescent="0.3">
      <c r="A120" t="s">
        <v>874</v>
      </c>
      <c r="B120" t="s">
        <v>870</v>
      </c>
      <c r="C120" s="2">
        <v>45764.926232939812</v>
      </c>
      <c r="D120" s="2">
        <v>45718.795546296293</v>
      </c>
      <c r="E120" s="2">
        <v>45718.718650277777</v>
      </c>
      <c r="F120" t="s">
        <v>871</v>
      </c>
      <c r="G120" t="s">
        <v>437</v>
      </c>
      <c r="H120">
        <v>45701</v>
      </c>
      <c r="I120">
        <v>8.3333333333333329E-2</v>
      </c>
      <c r="J120"/>
      <c r="K120"/>
      <c r="L120">
        <v>45701</v>
      </c>
      <c r="M120">
        <v>0.51225694444444447</v>
      </c>
      <c r="N120" t="s">
        <v>440</v>
      </c>
      <c r="O120" t="s">
        <v>957</v>
      </c>
      <c r="P120" t="s">
        <v>906</v>
      </c>
      <c r="Q120" t="s">
        <v>443</v>
      </c>
      <c r="R120" t="s">
        <v>191</v>
      </c>
      <c r="S120" t="s">
        <v>893</v>
      </c>
      <c r="T120" t="s">
        <v>958</v>
      </c>
      <c r="U120"/>
      <c r="V120"/>
      <c r="W120"/>
      <c r="X120"/>
      <c r="Y120"/>
      <c r="Z120"/>
      <c r="AA120"/>
      <c r="AB120"/>
      <c r="AC120"/>
      <c r="AD120"/>
      <c r="AE120" t="s">
        <v>959</v>
      </c>
      <c r="AF120" t="s">
        <v>67</v>
      </c>
      <c r="AG120" t="s">
        <v>120</v>
      </c>
      <c r="AH120" t="s">
        <v>121</v>
      </c>
      <c r="AI120" t="s">
        <v>378</v>
      </c>
      <c r="AJ120" t="s">
        <v>446</v>
      </c>
      <c r="AK120"/>
    </row>
    <row r="121" spans="1:37" x14ac:dyDescent="0.3">
      <c r="A121" t="s">
        <v>874</v>
      </c>
      <c r="B121" t="s">
        <v>870</v>
      </c>
      <c r="C121" s="2">
        <v>45764.926232939812</v>
      </c>
      <c r="D121" s="2">
        <v>45718.795546296293</v>
      </c>
      <c r="E121" s="2">
        <v>45718.718650277777</v>
      </c>
      <c r="F121" t="s">
        <v>871</v>
      </c>
      <c r="G121" t="s">
        <v>110</v>
      </c>
      <c r="H121">
        <v>45701</v>
      </c>
      <c r="I121">
        <v>0.66666666666666663</v>
      </c>
      <c r="J121"/>
      <c r="K121"/>
      <c r="L121">
        <v>45702</v>
      </c>
      <c r="M121">
        <v>0.29906250000000001</v>
      </c>
      <c r="N121" t="s">
        <v>902</v>
      </c>
      <c r="O121"/>
      <c r="P121"/>
      <c r="Q121" t="s">
        <v>113</v>
      </c>
      <c r="R121" t="s">
        <v>114</v>
      </c>
      <c r="S121" t="s">
        <v>936</v>
      </c>
      <c r="T121" t="s">
        <v>960</v>
      </c>
      <c r="U121"/>
      <c r="V121"/>
      <c r="W121" t="s">
        <v>116</v>
      </c>
      <c r="X121" t="s">
        <v>944</v>
      </c>
      <c r="Y121" t="s">
        <v>118</v>
      </c>
      <c r="Z121" t="s">
        <v>65</v>
      </c>
      <c r="AA121"/>
      <c r="AB121"/>
      <c r="AC121"/>
      <c r="AD121"/>
      <c r="AE121" t="s">
        <v>913</v>
      </c>
      <c r="AF121" t="s">
        <v>67</v>
      </c>
      <c r="AG121" t="s">
        <v>120</v>
      </c>
      <c r="AH121" t="s">
        <v>121</v>
      </c>
      <c r="AI121" t="s">
        <v>122</v>
      </c>
      <c r="AJ121" t="s">
        <v>71</v>
      </c>
      <c r="AK121" t="s">
        <v>72</v>
      </c>
    </row>
    <row r="122" spans="1:37" x14ac:dyDescent="0.3">
      <c r="A122" t="s">
        <v>874</v>
      </c>
      <c r="B122" t="s">
        <v>870</v>
      </c>
      <c r="C122" s="2">
        <v>45764.926232939812</v>
      </c>
      <c r="D122" s="2">
        <v>45718.795546296293</v>
      </c>
      <c r="E122" s="2">
        <v>45718.718650277777</v>
      </c>
      <c r="F122" t="s">
        <v>871</v>
      </c>
      <c r="G122" t="s">
        <v>313</v>
      </c>
      <c r="H122">
        <v>45705</v>
      </c>
      <c r="I122">
        <v>0.34877314814814814</v>
      </c>
      <c r="J122"/>
      <c r="K122"/>
      <c r="L122">
        <v>45705</v>
      </c>
      <c r="M122">
        <v>0.34877314814814819</v>
      </c>
      <c r="N122" t="s">
        <v>892</v>
      </c>
      <c r="O122" t="s">
        <v>317</v>
      </c>
      <c r="P122"/>
      <c r="Q122" t="s">
        <v>318</v>
      </c>
      <c r="R122" t="s">
        <v>134</v>
      </c>
      <c r="S122" t="s">
        <v>899</v>
      </c>
      <c r="T122" t="s">
        <v>961</v>
      </c>
      <c r="U122"/>
      <c r="V122"/>
      <c r="W122" t="s">
        <v>962</v>
      </c>
      <c r="X122" t="s">
        <v>896</v>
      </c>
      <c r="Y122" t="s">
        <v>218</v>
      </c>
      <c r="Z122" t="s">
        <v>65</v>
      </c>
      <c r="AA122"/>
      <c r="AB122"/>
      <c r="AC122"/>
      <c r="AD122"/>
      <c r="AE122" t="s">
        <v>904</v>
      </c>
      <c r="AF122" t="s">
        <v>67</v>
      </c>
      <c r="AG122" t="s">
        <v>68</v>
      </c>
      <c r="AH122" t="s">
        <v>69</v>
      </c>
      <c r="AI122" t="s">
        <v>122</v>
      </c>
      <c r="AJ122" t="s">
        <v>123</v>
      </c>
      <c r="AK122" t="s">
        <v>221</v>
      </c>
    </row>
    <row r="123" spans="1:37" x14ac:dyDescent="0.3">
      <c r="A123" t="s">
        <v>874</v>
      </c>
      <c r="B123" t="s">
        <v>870</v>
      </c>
      <c r="C123" s="2">
        <v>45764.926232939812</v>
      </c>
      <c r="D123" s="2">
        <v>45718.795546296293</v>
      </c>
      <c r="E123" s="2">
        <v>45718.718650277777</v>
      </c>
      <c r="F123" t="s">
        <v>871</v>
      </c>
      <c r="G123" t="s">
        <v>324</v>
      </c>
      <c r="H123">
        <v>45705</v>
      </c>
      <c r="I123">
        <v>0.39716435185185184</v>
      </c>
      <c r="J123"/>
      <c r="K123"/>
      <c r="L123">
        <v>45705</v>
      </c>
      <c r="M123">
        <v>0.39716435185185195</v>
      </c>
      <c r="N123" t="s">
        <v>892</v>
      </c>
      <c r="O123"/>
      <c r="P123"/>
      <c r="Q123" t="s">
        <v>326</v>
      </c>
      <c r="R123" t="s">
        <v>327</v>
      </c>
      <c r="S123" t="s">
        <v>899</v>
      </c>
      <c r="T123" t="s">
        <v>963</v>
      </c>
      <c r="U123"/>
      <c r="V123"/>
      <c r="W123" t="s">
        <v>964</v>
      </c>
      <c r="X123" t="s">
        <v>896</v>
      </c>
      <c r="Y123" t="s">
        <v>218</v>
      </c>
      <c r="Z123" t="s">
        <v>935</v>
      </c>
      <c r="AA123"/>
      <c r="AB123"/>
      <c r="AC123"/>
      <c r="AD123"/>
      <c r="AE123" t="s">
        <v>904</v>
      </c>
      <c r="AF123" t="s">
        <v>67</v>
      </c>
      <c r="AG123" t="s">
        <v>330</v>
      </c>
      <c r="AH123" t="s">
        <v>69</v>
      </c>
      <c r="AI123" t="s">
        <v>122</v>
      </c>
      <c r="AJ123" t="s">
        <v>71</v>
      </c>
      <c r="AK123" t="s">
        <v>221</v>
      </c>
    </row>
    <row r="124" spans="1:37" x14ac:dyDescent="0.3">
      <c r="A124" t="s">
        <v>874</v>
      </c>
      <c r="B124" t="s">
        <v>870</v>
      </c>
      <c r="C124" s="2">
        <v>45764.926232939812</v>
      </c>
      <c r="D124" s="2">
        <v>45718.795546296293</v>
      </c>
      <c r="E124" s="2">
        <v>45718.718650277777</v>
      </c>
      <c r="F124" t="s">
        <v>871</v>
      </c>
      <c r="G124" t="s">
        <v>173</v>
      </c>
      <c r="H124">
        <v>45705</v>
      </c>
      <c r="I124">
        <v>0.52497685185185183</v>
      </c>
      <c r="J124"/>
      <c r="K124"/>
      <c r="L124">
        <v>45705</v>
      </c>
      <c r="M124">
        <v>0.52497685185185183</v>
      </c>
      <c r="N124" t="s">
        <v>950</v>
      </c>
      <c r="O124" t="s">
        <v>176</v>
      </c>
      <c r="P124"/>
      <c r="Q124" t="s">
        <v>177</v>
      </c>
      <c r="R124" t="s">
        <v>178</v>
      </c>
      <c r="S124" t="s">
        <v>893</v>
      </c>
      <c r="T124" t="s">
        <v>965</v>
      </c>
      <c r="U124"/>
      <c r="V124"/>
      <c r="W124"/>
      <c r="X124"/>
      <c r="Y124"/>
      <c r="Z124"/>
      <c r="AA124"/>
      <c r="AB124"/>
      <c r="AC124"/>
      <c r="AD124"/>
      <c r="AE124" t="s">
        <v>904</v>
      </c>
      <c r="AF124" t="s">
        <v>67</v>
      </c>
      <c r="AG124" t="s">
        <v>68</v>
      </c>
      <c r="AH124" t="s">
        <v>69</v>
      </c>
      <c r="AI124" t="s">
        <v>180</v>
      </c>
      <c r="AJ124" t="s">
        <v>71</v>
      </c>
      <c r="AK124" t="s">
        <v>137</v>
      </c>
    </row>
    <row r="125" spans="1:37" x14ac:dyDescent="0.3">
      <c r="A125" t="s">
        <v>874</v>
      </c>
      <c r="B125" t="s">
        <v>870</v>
      </c>
      <c r="C125" s="2">
        <v>45764.926232939812</v>
      </c>
      <c r="D125" s="2">
        <v>45718.795546296293</v>
      </c>
      <c r="E125" s="2">
        <v>45718.718650277777</v>
      </c>
      <c r="F125" t="s">
        <v>871</v>
      </c>
      <c r="G125" t="s">
        <v>420</v>
      </c>
      <c r="H125">
        <v>45705</v>
      </c>
      <c r="I125">
        <v>0.83333333333333337</v>
      </c>
      <c r="J125">
        <v>45705</v>
      </c>
      <c r="K125">
        <v>0.98958333333333326</v>
      </c>
      <c r="L125">
        <v>45706</v>
      </c>
      <c r="M125">
        <v>0.73564814814814805</v>
      </c>
      <c r="N125" t="s">
        <v>423</v>
      </c>
      <c r="O125" t="s">
        <v>925</v>
      </c>
      <c r="P125"/>
      <c r="Q125" t="s">
        <v>425</v>
      </c>
      <c r="R125" t="s">
        <v>426</v>
      </c>
      <c r="S125" t="s">
        <v>907</v>
      </c>
      <c r="T125" t="s">
        <v>966</v>
      </c>
      <c r="U125"/>
      <c r="V125"/>
      <c r="W125"/>
      <c r="X125"/>
      <c r="Y125"/>
      <c r="Z125"/>
      <c r="AA125"/>
      <c r="AB125"/>
      <c r="AC125"/>
      <c r="AD125"/>
      <c r="AE125" t="s">
        <v>927</v>
      </c>
      <c r="AF125" t="s">
        <v>67</v>
      </c>
      <c r="AG125" t="s">
        <v>106</v>
      </c>
      <c r="AH125" t="s">
        <v>417</v>
      </c>
      <c r="AI125" t="s">
        <v>106</v>
      </c>
      <c r="AJ125" t="s">
        <v>266</v>
      </c>
      <c r="AK125"/>
    </row>
    <row r="126" spans="1:37" x14ac:dyDescent="0.3">
      <c r="A126" t="s">
        <v>874</v>
      </c>
      <c r="B126" t="s">
        <v>870</v>
      </c>
      <c r="C126" s="2">
        <v>45764.926232939812</v>
      </c>
      <c r="D126" s="2">
        <v>45718.795546296293</v>
      </c>
      <c r="E126" s="2">
        <v>45718.718650277777</v>
      </c>
      <c r="F126" t="s">
        <v>871</v>
      </c>
      <c r="G126" t="s">
        <v>429</v>
      </c>
      <c r="H126">
        <v>42906</v>
      </c>
      <c r="I126">
        <v>0.53615740740740736</v>
      </c>
      <c r="J126">
        <v>45555</v>
      </c>
      <c r="K126"/>
      <c r="L126">
        <v>45708</v>
      </c>
      <c r="M126">
        <v>0.53615740740740736</v>
      </c>
      <c r="N126" t="s">
        <v>925</v>
      </c>
      <c r="O126"/>
      <c r="P126"/>
      <c r="Q126" t="s">
        <v>432</v>
      </c>
      <c r="R126" t="s">
        <v>101</v>
      </c>
      <c r="S126" t="s">
        <v>907</v>
      </c>
      <c r="T126" t="s">
        <v>974</v>
      </c>
      <c r="U126"/>
      <c r="V126"/>
      <c r="W126"/>
      <c r="X126"/>
      <c r="Y126"/>
      <c r="Z126"/>
      <c r="AA126"/>
      <c r="AB126"/>
      <c r="AC126"/>
      <c r="AD126"/>
      <c r="AE126" t="s">
        <v>904</v>
      </c>
      <c r="AF126" t="s">
        <v>67</v>
      </c>
      <c r="AG126" t="s">
        <v>434</v>
      </c>
      <c r="AH126" t="s">
        <v>69</v>
      </c>
      <c r="AI126" t="s">
        <v>352</v>
      </c>
      <c r="AJ126" t="s">
        <v>435</v>
      </c>
      <c r="AK126" t="s">
        <v>436</v>
      </c>
    </row>
    <row r="127" spans="1:37" x14ac:dyDescent="0.3">
      <c r="A127" t="s">
        <v>874</v>
      </c>
      <c r="B127" t="s">
        <v>870</v>
      </c>
      <c r="C127" s="2">
        <v>45764.926232939812</v>
      </c>
      <c r="D127" s="2">
        <v>45718.795546296293</v>
      </c>
      <c r="E127" s="2">
        <v>45718.718650277777</v>
      </c>
      <c r="F127" t="s">
        <v>871</v>
      </c>
      <c r="G127" t="s">
        <v>332</v>
      </c>
      <c r="H127">
        <v>45713</v>
      </c>
      <c r="I127">
        <v>0.41666666666666669</v>
      </c>
      <c r="J127">
        <v>45713</v>
      </c>
      <c r="K127">
        <v>0.95833333333333326</v>
      </c>
      <c r="L127">
        <v>45712</v>
      </c>
      <c r="M127">
        <v>0.9913657407407408</v>
      </c>
      <c r="N127" t="s">
        <v>892</v>
      </c>
      <c r="O127"/>
      <c r="P127"/>
      <c r="Q127" t="s">
        <v>335</v>
      </c>
      <c r="R127" t="s">
        <v>250</v>
      </c>
      <c r="S127" t="s">
        <v>922</v>
      </c>
      <c r="T127" t="s">
        <v>973</v>
      </c>
      <c r="U127"/>
      <c r="V127"/>
      <c r="W127" t="s">
        <v>337</v>
      </c>
      <c r="X127" t="s">
        <v>896</v>
      </c>
      <c r="Y127" t="s">
        <v>338</v>
      </c>
      <c r="Z127" t="s">
        <v>339</v>
      </c>
      <c r="AA127"/>
      <c r="AB127"/>
      <c r="AC127"/>
      <c r="AD127"/>
      <c r="AE127" t="s">
        <v>897</v>
      </c>
      <c r="AF127" t="s">
        <v>67</v>
      </c>
      <c r="AG127" t="s">
        <v>158</v>
      </c>
      <c r="AH127" t="s">
        <v>159</v>
      </c>
      <c r="AI127" t="s">
        <v>160</v>
      </c>
      <c r="AJ127" t="s">
        <v>266</v>
      </c>
      <c r="AK127" t="s">
        <v>221</v>
      </c>
    </row>
    <row r="128" spans="1:37" x14ac:dyDescent="0.3">
      <c r="A128" t="s">
        <v>875</v>
      </c>
      <c r="B128" t="s">
        <v>870</v>
      </c>
      <c r="C128" s="2">
        <v>45764.926232962964</v>
      </c>
      <c r="D128" s="2">
        <v>45719.849751562499</v>
      </c>
      <c r="E128" s="2">
        <v>45719.843069849536</v>
      </c>
      <c r="F128" t="s">
        <v>871</v>
      </c>
      <c r="G128" t="s">
        <v>210</v>
      </c>
      <c r="H128">
        <v>45660</v>
      </c>
      <c r="I128">
        <v>0.89583333333333337</v>
      </c>
      <c r="J128">
        <v>45661</v>
      </c>
      <c r="K128">
        <v>0.26736111111111116</v>
      </c>
      <c r="L128">
        <v>45661</v>
      </c>
      <c r="M128">
        <v>0.4577430555555555</v>
      </c>
      <c r="N128" t="s">
        <v>892</v>
      </c>
      <c r="O128"/>
      <c r="P128"/>
      <c r="Q128" t="s">
        <v>214</v>
      </c>
      <c r="R128" t="s">
        <v>215</v>
      </c>
      <c r="S128" t="s">
        <v>893</v>
      </c>
      <c r="T128" t="s">
        <v>894</v>
      </c>
      <c r="U128"/>
      <c r="V128"/>
      <c r="W128" t="s">
        <v>895</v>
      </c>
      <c r="X128" t="s">
        <v>896</v>
      </c>
      <c r="Y128" t="s">
        <v>218</v>
      </c>
      <c r="Z128" t="s">
        <v>65</v>
      </c>
      <c r="AA128"/>
      <c r="AB128"/>
      <c r="AC128"/>
      <c r="AD128"/>
      <c r="AE128" t="s">
        <v>897</v>
      </c>
      <c r="AF128" t="s">
        <v>67</v>
      </c>
      <c r="AG128" t="s">
        <v>219</v>
      </c>
      <c r="AH128" t="s">
        <v>206</v>
      </c>
      <c r="AI128" t="s">
        <v>220</v>
      </c>
      <c r="AJ128" t="s">
        <v>71</v>
      </c>
      <c r="AK128" t="s">
        <v>221</v>
      </c>
    </row>
    <row r="129" spans="1:37" x14ac:dyDescent="0.3">
      <c r="A129" t="s">
        <v>875</v>
      </c>
      <c r="B129" t="s">
        <v>870</v>
      </c>
      <c r="C129" s="2">
        <v>45764.926232962964</v>
      </c>
      <c r="D129" s="2">
        <v>45719.849751562499</v>
      </c>
      <c r="E129" s="2">
        <v>45719.843069849536</v>
      </c>
      <c r="F129" t="s">
        <v>871</v>
      </c>
      <c r="G129" t="s">
        <v>395</v>
      </c>
      <c r="H129">
        <v>45664</v>
      </c>
      <c r="I129">
        <v>0.58333333333333337</v>
      </c>
      <c r="J129"/>
      <c r="K129"/>
      <c r="L129">
        <v>45667</v>
      </c>
      <c r="M129">
        <v>0.59781250000000008</v>
      </c>
      <c r="N129" t="s">
        <v>898</v>
      </c>
      <c r="O129" t="s">
        <v>400</v>
      </c>
      <c r="P129"/>
      <c r="Q129" t="s">
        <v>401</v>
      </c>
      <c r="R129" t="s">
        <v>134</v>
      </c>
      <c r="S129" t="s">
        <v>899</v>
      </c>
      <c r="T129" t="s">
        <v>900</v>
      </c>
      <c r="U129"/>
      <c r="V129"/>
      <c r="W129"/>
      <c r="X129"/>
      <c r="Y129"/>
      <c r="Z129"/>
      <c r="AA129"/>
      <c r="AB129"/>
      <c r="AC129"/>
      <c r="AD129"/>
      <c r="AE129" t="s">
        <v>901</v>
      </c>
      <c r="AF129" t="s">
        <v>67</v>
      </c>
      <c r="AG129" t="s">
        <v>404</v>
      </c>
      <c r="AH129" t="s">
        <v>405</v>
      </c>
      <c r="AI129" t="s">
        <v>406</v>
      </c>
      <c r="AJ129" t="s">
        <v>71</v>
      </c>
      <c r="AK129" t="s">
        <v>407</v>
      </c>
    </row>
    <row r="130" spans="1:37" x14ac:dyDescent="0.3">
      <c r="A130" t="s">
        <v>875</v>
      </c>
      <c r="B130" t="s">
        <v>870</v>
      </c>
      <c r="C130" s="2">
        <v>45764.926232962964</v>
      </c>
      <c r="D130" s="2">
        <v>45719.849751562499</v>
      </c>
      <c r="E130" s="2">
        <v>45719.843069849536</v>
      </c>
      <c r="F130" t="s">
        <v>871</v>
      </c>
      <c r="G130" t="s">
        <v>53</v>
      </c>
      <c r="H130">
        <v>45663</v>
      </c>
      <c r="I130">
        <v>0.64583333333333337</v>
      </c>
      <c r="J130">
        <v>45667</v>
      </c>
      <c r="K130"/>
      <c r="L130">
        <v>45667</v>
      </c>
      <c r="M130">
        <v>0.82629629629629631</v>
      </c>
      <c r="N130" t="s">
        <v>902</v>
      </c>
      <c r="O130"/>
      <c r="P130"/>
      <c r="Q130" t="s">
        <v>60</v>
      </c>
      <c r="R130"/>
      <c r="S130" t="s">
        <v>899</v>
      </c>
      <c r="T130" t="s">
        <v>903</v>
      </c>
      <c r="U130"/>
      <c r="V130"/>
      <c r="W130" t="s">
        <v>62</v>
      </c>
      <c r="X130" t="s">
        <v>896</v>
      </c>
      <c r="Y130" t="s">
        <v>64</v>
      </c>
      <c r="Z130" t="s">
        <v>65</v>
      </c>
      <c r="AA130"/>
      <c r="AB130"/>
      <c r="AC130"/>
      <c r="AD130"/>
      <c r="AE130" t="s">
        <v>904</v>
      </c>
      <c r="AF130" t="s">
        <v>67</v>
      </c>
      <c r="AG130" t="s">
        <v>68</v>
      </c>
      <c r="AH130" t="s">
        <v>69</v>
      </c>
      <c r="AI130" t="s">
        <v>70</v>
      </c>
      <c r="AJ130" t="s">
        <v>71</v>
      </c>
      <c r="AK130" t="s">
        <v>72</v>
      </c>
    </row>
    <row r="131" spans="1:37" x14ac:dyDescent="0.3">
      <c r="A131" t="s">
        <v>875</v>
      </c>
      <c r="B131" t="s">
        <v>870</v>
      </c>
      <c r="C131" s="2">
        <v>45764.926232962964</v>
      </c>
      <c r="D131" s="2">
        <v>45719.849751562499</v>
      </c>
      <c r="E131" s="2">
        <v>45719.843069849536</v>
      </c>
      <c r="F131" t="s">
        <v>871</v>
      </c>
      <c r="G131" t="s">
        <v>341</v>
      </c>
      <c r="H131">
        <v>45670</v>
      </c>
      <c r="I131">
        <v>0.50347222222222221</v>
      </c>
      <c r="J131"/>
      <c r="K131"/>
      <c r="L131">
        <v>45670</v>
      </c>
      <c r="M131">
        <v>0.50537037037037047</v>
      </c>
      <c r="N131" t="s">
        <v>344</v>
      </c>
      <c r="O131" t="s">
        <v>905</v>
      </c>
      <c r="P131" t="s">
        <v>906</v>
      </c>
      <c r="Q131" t="s">
        <v>348</v>
      </c>
      <c r="R131" t="s">
        <v>84</v>
      </c>
      <c r="S131" t="s">
        <v>907</v>
      </c>
      <c r="T131" t="s">
        <v>908</v>
      </c>
      <c r="U131"/>
      <c r="V131"/>
      <c r="W131"/>
      <c r="X131"/>
      <c r="Y131"/>
      <c r="Z131"/>
      <c r="AA131"/>
      <c r="AB131"/>
      <c r="AC131"/>
      <c r="AD131"/>
      <c r="AE131" t="s">
        <v>897</v>
      </c>
      <c r="AF131" t="s">
        <v>67</v>
      </c>
      <c r="AG131" t="s">
        <v>350</v>
      </c>
      <c r="AH131" t="s">
        <v>351</v>
      </c>
      <c r="AI131" t="s">
        <v>352</v>
      </c>
      <c r="AJ131" t="s">
        <v>123</v>
      </c>
      <c r="AK131" t="s">
        <v>353</v>
      </c>
    </row>
    <row r="132" spans="1:37" x14ac:dyDescent="0.3">
      <c r="A132" t="s">
        <v>875</v>
      </c>
      <c r="B132" t="s">
        <v>870</v>
      </c>
      <c r="C132" s="2">
        <v>45764.926232962964</v>
      </c>
      <c r="D132" s="2">
        <v>45719.849751562499</v>
      </c>
      <c r="E132" s="2">
        <v>45719.843069849536</v>
      </c>
      <c r="F132" t="s">
        <v>871</v>
      </c>
      <c r="G132" t="s">
        <v>184</v>
      </c>
      <c r="H132">
        <v>45671</v>
      </c>
      <c r="I132">
        <v>0.46388888888888891</v>
      </c>
      <c r="J132"/>
      <c r="K132"/>
      <c r="L132">
        <v>45671</v>
      </c>
      <c r="M132">
        <v>0.46740740740740749</v>
      </c>
      <c r="N132" t="s">
        <v>915</v>
      </c>
      <c r="O132" t="s">
        <v>968</v>
      </c>
      <c r="P132" t="s">
        <v>969</v>
      </c>
      <c r="Q132" t="s">
        <v>190</v>
      </c>
      <c r="R132" t="s">
        <v>191</v>
      </c>
      <c r="S132" t="s">
        <v>893</v>
      </c>
      <c r="T132" t="s">
        <v>970</v>
      </c>
      <c r="U132"/>
      <c r="V132"/>
      <c r="W132"/>
      <c r="X132"/>
      <c r="Y132"/>
      <c r="Z132"/>
      <c r="AA132"/>
      <c r="AB132"/>
      <c r="AC132"/>
      <c r="AD132"/>
      <c r="AE132" t="s">
        <v>971</v>
      </c>
      <c r="AF132" t="s">
        <v>67</v>
      </c>
      <c r="AG132" t="s">
        <v>194</v>
      </c>
      <c r="AH132" t="s">
        <v>159</v>
      </c>
      <c r="AI132" t="s">
        <v>160</v>
      </c>
      <c r="AJ132" t="s">
        <v>195</v>
      </c>
      <c r="AK132" t="s">
        <v>137</v>
      </c>
    </row>
    <row r="133" spans="1:37" x14ac:dyDescent="0.3">
      <c r="A133" t="s">
        <v>875</v>
      </c>
      <c r="B133" t="s">
        <v>870</v>
      </c>
      <c r="C133" s="2">
        <v>45764.926232962964</v>
      </c>
      <c r="D133" s="2">
        <v>45719.849751562499</v>
      </c>
      <c r="E133" s="2">
        <v>45719.843069849536</v>
      </c>
      <c r="F133" t="s">
        <v>871</v>
      </c>
      <c r="G133" t="s">
        <v>356</v>
      </c>
      <c r="H133">
        <v>45671</v>
      </c>
      <c r="I133">
        <v>0.64067129629629627</v>
      </c>
      <c r="J133"/>
      <c r="K133"/>
      <c r="L133">
        <v>45671</v>
      </c>
      <c r="M133">
        <v>0.64067129629629638</v>
      </c>
      <c r="N133" t="s">
        <v>906</v>
      </c>
      <c r="O133" t="s">
        <v>909</v>
      </c>
      <c r="P133" t="s">
        <v>361</v>
      </c>
      <c r="Q133" t="s">
        <v>362</v>
      </c>
      <c r="R133" t="s">
        <v>363</v>
      </c>
      <c r="S133" t="s">
        <v>893</v>
      </c>
      <c r="T133" t="s">
        <v>910</v>
      </c>
      <c r="U133"/>
      <c r="V133"/>
      <c r="W133" t="s">
        <v>911</v>
      </c>
      <c r="X133" t="s">
        <v>912</v>
      </c>
      <c r="Y133" t="s">
        <v>367</v>
      </c>
      <c r="Z133" t="s">
        <v>65</v>
      </c>
      <c r="AA133"/>
      <c r="AB133"/>
      <c r="AC133"/>
      <c r="AD133"/>
      <c r="AE133" t="s">
        <v>913</v>
      </c>
      <c r="AF133" t="s">
        <v>67</v>
      </c>
      <c r="AG133" t="s">
        <v>219</v>
      </c>
      <c r="AH133" t="s">
        <v>368</v>
      </c>
      <c r="AI133" t="s">
        <v>160</v>
      </c>
      <c r="AJ133" t="s">
        <v>123</v>
      </c>
      <c r="AK133" t="s">
        <v>353</v>
      </c>
    </row>
    <row r="134" spans="1:37" x14ac:dyDescent="0.3">
      <c r="A134" t="s">
        <v>875</v>
      </c>
      <c r="B134" t="s">
        <v>870</v>
      </c>
      <c r="C134" s="2">
        <v>45764.926232962964</v>
      </c>
      <c r="D134" s="2">
        <v>45719.849751562499</v>
      </c>
      <c r="E134" s="2">
        <v>45719.843069849536</v>
      </c>
      <c r="F134" t="s">
        <v>871</v>
      </c>
      <c r="G134" t="s">
        <v>224</v>
      </c>
      <c r="H134">
        <v>45672</v>
      </c>
      <c r="I134">
        <v>0.53988425925925931</v>
      </c>
      <c r="J134"/>
      <c r="K134"/>
      <c r="L134">
        <v>45672</v>
      </c>
      <c r="M134">
        <v>0.5398842592592592</v>
      </c>
      <c r="N134" t="s">
        <v>892</v>
      </c>
      <c r="O134"/>
      <c r="P134"/>
      <c r="Q134" t="s">
        <v>227</v>
      </c>
      <c r="R134" t="s">
        <v>84</v>
      </c>
      <c r="S134" t="s">
        <v>907</v>
      </c>
      <c r="T134" t="s">
        <v>914</v>
      </c>
      <c r="U134"/>
      <c r="V134"/>
      <c r="W134" t="s">
        <v>229</v>
      </c>
      <c r="X134" t="s">
        <v>896</v>
      </c>
      <c r="Y134" t="s">
        <v>230</v>
      </c>
      <c r="Z134" t="s">
        <v>65</v>
      </c>
      <c r="AA134"/>
      <c r="AB134"/>
      <c r="AC134"/>
      <c r="AD134"/>
      <c r="AE134" t="s">
        <v>913</v>
      </c>
      <c r="AF134" t="s">
        <v>67</v>
      </c>
      <c r="AG134" t="s">
        <v>231</v>
      </c>
      <c r="AH134" t="s">
        <v>232</v>
      </c>
      <c r="AI134" t="s">
        <v>70</v>
      </c>
      <c r="AJ134" t="s">
        <v>71</v>
      </c>
      <c r="AK134" t="s">
        <v>221</v>
      </c>
    </row>
    <row r="135" spans="1:37" x14ac:dyDescent="0.3">
      <c r="A135" t="s">
        <v>875</v>
      </c>
      <c r="B135" t="s">
        <v>870</v>
      </c>
      <c r="C135" s="2">
        <v>45764.926232962964</v>
      </c>
      <c r="D135" s="2">
        <v>45719.849751562499</v>
      </c>
      <c r="E135" s="2">
        <v>45719.843069849536</v>
      </c>
      <c r="F135" t="s">
        <v>871</v>
      </c>
      <c r="G135" t="s">
        <v>197</v>
      </c>
      <c r="H135">
        <v>45673</v>
      </c>
      <c r="I135">
        <v>0.83333333333333337</v>
      </c>
      <c r="J135"/>
      <c r="K135"/>
      <c r="L135">
        <v>45673</v>
      </c>
      <c r="M135">
        <v>9.0057870370370274E-2</v>
      </c>
      <c r="N135" t="s">
        <v>200</v>
      </c>
      <c r="O135" t="s">
        <v>915</v>
      </c>
      <c r="P135" t="s">
        <v>968</v>
      </c>
      <c r="Q135" t="s">
        <v>202</v>
      </c>
      <c r="R135" t="s">
        <v>203</v>
      </c>
      <c r="S135" t="s">
        <v>922</v>
      </c>
      <c r="T135" t="s">
        <v>972</v>
      </c>
      <c r="U135"/>
      <c r="V135"/>
      <c r="W135"/>
      <c r="X135"/>
      <c r="Y135"/>
      <c r="Z135"/>
      <c r="AA135"/>
      <c r="AB135"/>
      <c r="AC135"/>
      <c r="AD135"/>
      <c r="AE135" t="s">
        <v>929</v>
      </c>
      <c r="AF135" t="s">
        <v>67</v>
      </c>
      <c r="AG135" t="s">
        <v>205</v>
      </c>
      <c r="AH135" t="s">
        <v>206</v>
      </c>
      <c r="AI135"/>
      <c r="AJ135"/>
      <c r="AK135" t="s">
        <v>137</v>
      </c>
    </row>
    <row r="136" spans="1:37" x14ac:dyDescent="0.3">
      <c r="A136" t="s">
        <v>875</v>
      </c>
      <c r="B136" t="s">
        <v>870</v>
      </c>
      <c r="C136" s="2">
        <v>45764.926232962964</v>
      </c>
      <c r="D136" s="2">
        <v>45719.849751562499</v>
      </c>
      <c r="E136" s="2">
        <v>45719.843069849536</v>
      </c>
      <c r="F136" t="s">
        <v>871</v>
      </c>
      <c r="G136" t="s">
        <v>129</v>
      </c>
      <c r="H136">
        <v>45673</v>
      </c>
      <c r="I136">
        <v>0.5</v>
      </c>
      <c r="J136">
        <v>45673</v>
      </c>
      <c r="K136">
        <v>0.75</v>
      </c>
      <c r="L136">
        <v>45673</v>
      </c>
      <c r="M136">
        <v>0.81587962962962957</v>
      </c>
      <c r="N136" t="s">
        <v>915</v>
      </c>
      <c r="O136"/>
      <c r="P136"/>
      <c r="Q136" t="s">
        <v>133</v>
      </c>
      <c r="R136" t="s">
        <v>134</v>
      </c>
      <c r="S136" t="s">
        <v>899</v>
      </c>
      <c r="T136" t="s">
        <v>916</v>
      </c>
      <c r="U136"/>
      <c r="V136"/>
      <c r="W136"/>
      <c r="X136"/>
      <c r="Y136"/>
      <c r="Z136"/>
      <c r="AA136"/>
      <c r="AB136"/>
      <c r="AC136"/>
      <c r="AD136"/>
      <c r="AE136" t="s">
        <v>904</v>
      </c>
      <c r="AF136" t="s">
        <v>67</v>
      </c>
      <c r="AG136" t="s">
        <v>136</v>
      </c>
      <c r="AH136" t="s">
        <v>69</v>
      </c>
      <c r="AI136" t="s">
        <v>70</v>
      </c>
      <c r="AJ136" t="s">
        <v>71</v>
      </c>
      <c r="AK136" t="s">
        <v>137</v>
      </c>
    </row>
    <row r="137" spans="1:37" x14ac:dyDescent="0.3">
      <c r="A137" t="s">
        <v>875</v>
      </c>
      <c r="B137" t="s">
        <v>870</v>
      </c>
      <c r="C137" s="2">
        <v>45764.926232962964</v>
      </c>
      <c r="D137" s="2">
        <v>45719.849751562499</v>
      </c>
      <c r="E137" s="2">
        <v>45719.843069849536</v>
      </c>
      <c r="F137" t="s">
        <v>871</v>
      </c>
      <c r="G137" t="s">
        <v>371</v>
      </c>
      <c r="H137">
        <v>45673</v>
      </c>
      <c r="I137">
        <v>0.87708333333333333</v>
      </c>
      <c r="J137">
        <v>45673</v>
      </c>
      <c r="K137">
        <v>0.88611111111111107</v>
      </c>
      <c r="L137">
        <v>45674</v>
      </c>
      <c r="M137">
        <v>0.51179398148148159</v>
      </c>
      <c r="N137" t="s">
        <v>906</v>
      </c>
      <c r="O137"/>
      <c r="P137"/>
      <c r="Q137" t="s">
        <v>374</v>
      </c>
      <c r="R137" t="s">
        <v>178</v>
      </c>
      <c r="S137" t="s">
        <v>893</v>
      </c>
      <c r="T137" t="s">
        <v>917</v>
      </c>
      <c r="U137"/>
      <c r="V137"/>
      <c r="W137"/>
      <c r="X137" t="s">
        <v>918</v>
      </c>
      <c r="Y137" t="s">
        <v>919</v>
      </c>
      <c r="Z137"/>
      <c r="AA137"/>
      <c r="AB137"/>
      <c r="AC137"/>
      <c r="AD137"/>
      <c r="AE137" t="s">
        <v>904</v>
      </c>
      <c r="AF137" t="s">
        <v>67</v>
      </c>
      <c r="AG137" t="s">
        <v>89</v>
      </c>
      <c r="AH137" t="s">
        <v>90</v>
      </c>
      <c r="AI137" t="s">
        <v>378</v>
      </c>
      <c r="AJ137" t="s">
        <v>435</v>
      </c>
      <c r="AK137" t="s">
        <v>353</v>
      </c>
    </row>
    <row r="138" spans="1:37" x14ac:dyDescent="0.3">
      <c r="A138" t="s">
        <v>875</v>
      </c>
      <c r="B138" t="s">
        <v>870</v>
      </c>
      <c r="C138" s="2">
        <v>45764.926232962964</v>
      </c>
      <c r="D138" s="2">
        <v>45719.849751562499</v>
      </c>
      <c r="E138" s="2">
        <v>45719.843069849536</v>
      </c>
      <c r="F138" t="s">
        <v>871</v>
      </c>
      <c r="G138" t="s">
        <v>236</v>
      </c>
      <c r="H138">
        <v>45678</v>
      </c>
      <c r="I138">
        <v>0.79166666666666663</v>
      </c>
      <c r="J138">
        <v>45679</v>
      </c>
      <c r="K138">
        <v>0.13125000000000009</v>
      </c>
      <c r="L138">
        <v>45679</v>
      </c>
      <c r="M138">
        <v>0.13255787037037048</v>
      </c>
      <c r="N138" t="s">
        <v>892</v>
      </c>
      <c r="O138"/>
      <c r="P138"/>
      <c r="Q138" t="s">
        <v>239</v>
      </c>
      <c r="R138" t="s">
        <v>178</v>
      </c>
      <c r="S138" t="s">
        <v>893</v>
      </c>
      <c r="T138" t="s">
        <v>920</v>
      </c>
      <c r="U138"/>
      <c r="V138"/>
      <c r="W138" t="s">
        <v>241</v>
      </c>
      <c r="X138" t="s">
        <v>63</v>
      </c>
      <c r="Y138" t="s">
        <v>242</v>
      </c>
      <c r="Z138" t="s">
        <v>65</v>
      </c>
      <c r="AA138"/>
      <c r="AB138"/>
      <c r="AC138"/>
      <c r="AD138"/>
      <c r="AE138" t="s">
        <v>921</v>
      </c>
      <c r="AF138" t="s">
        <v>67</v>
      </c>
      <c r="AG138" t="s">
        <v>244</v>
      </c>
      <c r="AH138" t="s">
        <v>206</v>
      </c>
      <c r="AI138" t="s">
        <v>160</v>
      </c>
      <c r="AJ138" t="s">
        <v>71</v>
      </c>
      <c r="AK138" t="s">
        <v>221</v>
      </c>
    </row>
    <row r="139" spans="1:37" x14ac:dyDescent="0.3">
      <c r="A139" t="s">
        <v>875</v>
      </c>
      <c r="B139" t="s">
        <v>870</v>
      </c>
      <c r="C139" s="2">
        <v>45764.926232962964</v>
      </c>
      <c r="D139" s="2">
        <v>45719.849751562499</v>
      </c>
      <c r="E139" s="2">
        <v>45719.843069849536</v>
      </c>
      <c r="F139" t="s">
        <v>871</v>
      </c>
      <c r="G139" t="s">
        <v>246</v>
      </c>
      <c r="H139">
        <v>45679</v>
      </c>
      <c r="I139">
        <v>0.33333333333333331</v>
      </c>
      <c r="J139">
        <v>45679</v>
      </c>
      <c r="K139">
        <v>0.80069444444444438</v>
      </c>
      <c r="L139">
        <v>45679</v>
      </c>
      <c r="M139">
        <v>0.8020370370370371</v>
      </c>
      <c r="N139" t="s">
        <v>892</v>
      </c>
      <c r="O139"/>
      <c r="P139"/>
      <c r="Q139" t="s">
        <v>249</v>
      </c>
      <c r="R139" t="s">
        <v>250</v>
      </c>
      <c r="S139" t="s">
        <v>922</v>
      </c>
      <c r="T139" t="s">
        <v>923</v>
      </c>
      <c r="U139"/>
      <c r="V139"/>
      <c r="W139" t="s">
        <v>252</v>
      </c>
      <c r="X139" t="s">
        <v>924</v>
      </c>
      <c r="Y139" t="s">
        <v>254</v>
      </c>
      <c r="Z139" t="s">
        <v>65</v>
      </c>
      <c r="AA139"/>
      <c r="AB139"/>
      <c r="AC139"/>
      <c r="AD139"/>
      <c r="AE139" t="s">
        <v>913</v>
      </c>
      <c r="AF139" t="s">
        <v>67</v>
      </c>
      <c r="AG139" t="s">
        <v>244</v>
      </c>
      <c r="AH139" t="s">
        <v>206</v>
      </c>
      <c r="AI139" t="s">
        <v>122</v>
      </c>
      <c r="AJ139" t="s">
        <v>71</v>
      </c>
      <c r="AK139" t="s">
        <v>221</v>
      </c>
    </row>
    <row r="140" spans="1:37" x14ac:dyDescent="0.3">
      <c r="A140" t="s">
        <v>875</v>
      </c>
      <c r="B140" t="s">
        <v>870</v>
      </c>
      <c r="C140" s="2">
        <v>45764.926232962964</v>
      </c>
      <c r="D140" s="2">
        <v>45719.849751562499</v>
      </c>
      <c r="E140" s="2">
        <v>45719.843069849536</v>
      </c>
      <c r="F140" t="s">
        <v>871</v>
      </c>
      <c r="G140" t="s">
        <v>409</v>
      </c>
      <c r="H140">
        <v>45680</v>
      </c>
      <c r="I140">
        <v>0.625</v>
      </c>
      <c r="J140"/>
      <c r="K140"/>
      <c r="L140">
        <v>45680</v>
      </c>
      <c r="M140">
        <v>0.66545138888888888</v>
      </c>
      <c r="N140" t="s">
        <v>925</v>
      </c>
      <c r="O140" t="s">
        <v>400</v>
      </c>
      <c r="P140"/>
      <c r="Q140" t="s">
        <v>414</v>
      </c>
      <c r="R140" t="s">
        <v>84</v>
      </c>
      <c r="S140" t="s">
        <v>907</v>
      </c>
      <c r="T140" t="s">
        <v>926</v>
      </c>
      <c r="U140"/>
      <c r="V140"/>
      <c r="W140"/>
      <c r="X140"/>
      <c r="Y140"/>
      <c r="Z140"/>
      <c r="AA140"/>
      <c r="AB140"/>
      <c r="AC140"/>
      <c r="AD140"/>
      <c r="AE140" t="s">
        <v>927</v>
      </c>
      <c r="AF140" t="s">
        <v>67</v>
      </c>
      <c r="AG140" t="s">
        <v>352</v>
      </c>
      <c r="AH140" t="s">
        <v>417</v>
      </c>
      <c r="AI140" t="s">
        <v>406</v>
      </c>
      <c r="AJ140" t="s">
        <v>418</v>
      </c>
      <c r="AK140"/>
    </row>
    <row r="141" spans="1:37" x14ac:dyDescent="0.3">
      <c r="A141" t="s">
        <v>875</v>
      </c>
      <c r="B141" t="s">
        <v>870</v>
      </c>
      <c r="C141" s="2">
        <v>45764.926232962964</v>
      </c>
      <c r="D141" s="2">
        <v>45719.849751562499</v>
      </c>
      <c r="E141" s="2">
        <v>45719.843069849536</v>
      </c>
      <c r="F141" t="s">
        <v>871</v>
      </c>
      <c r="G141" t="s">
        <v>140</v>
      </c>
      <c r="H141">
        <v>45682</v>
      </c>
      <c r="I141">
        <v>0.45833333333333331</v>
      </c>
      <c r="J141">
        <v>45682</v>
      </c>
      <c r="K141">
        <v>0.58333333333333326</v>
      </c>
      <c r="L141">
        <v>45682</v>
      </c>
      <c r="M141">
        <v>0.58054398148148145</v>
      </c>
      <c r="N141" t="s">
        <v>915</v>
      </c>
      <c r="O141"/>
      <c r="P141"/>
      <c r="Q141" t="s">
        <v>144</v>
      </c>
      <c r="R141" t="s">
        <v>145</v>
      </c>
      <c r="S141" t="s">
        <v>922</v>
      </c>
      <c r="T141" t="s">
        <v>928</v>
      </c>
      <c r="U141"/>
      <c r="V141"/>
      <c r="W141"/>
      <c r="X141"/>
      <c r="Y141"/>
      <c r="Z141"/>
      <c r="AA141"/>
      <c r="AB141"/>
      <c r="AC141"/>
      <c r="AD141"/>
      <c r="AE141" t="s">
        <v>929</v>
      </c>
      <c r="AF141" t="s">
        <v>67</v>
      </c>
      <c r="AG141" t="s">
        <v>147</v>
      </c>
      <c r="AH141" t="s">
        <v>90</v>
      </c>
      <c r="AI141" t="s">
        <v>70</v>
      </c>
      <c r="AJ141" t="s">
        <v>123</v>
      </c>
      <c r="AK141" t="s">
        <v>137</v>
      </c>
    </row>
    <row r="142" spans="1:37" x14ac:dyDescent="0.3">
      <c r="A142" t="s">
        <v>875</v>
      </c>
      <c r="B142" t="s">
        <v>870</v>
      </c>
      <c r="C142" s="2">
        <v>45764.926232962964</v>
      </c>
      <c r="D142" s="2">
        <v>45719.849751562499</v>
      </c>
      <c r="E142" s="2">
        <v>45719.843069849536</v>
      </c>
      <c r="F142" t="s">
        <v>871</v>
      </c>
      <c r="G142" t="s">
        <v>77</v>
      </c>
      <c r="H142">
        <v>45682</v>
      </c>
      <c r="I142">
        <v>0.76875000000000004</v>
      </c>
      <c r="J142"/>
      <c r="K142"/>
      <c r="L142">
        <v>45683</v>
      </c>
      <c r="M142">
        <v>0.44056712962962963</v>
      </c>
      <c r="N142" t="s">
        <v>902</v>
      </c>
      <c r="O142" t="s">
        <v>930</v>
      </c>
      <c r="P142"/>
      <c r="Q142" t="s">
        <v>83</v>
      </c>
      <c r="R142" t="s">
        <v>84</v>
      </c>
      <c r="S142" t="s">
        <v>907</v>
      </c>
      <c r="T142" t="s">
        <v>931</v>
      </c>
      <c r="U142"/>
      <c r="V142"/>
      <c r="W142" t="s">
        <v>932</v>
      </c>
      <c r="X142" t="s">
        <v>896</v>
      </c>
      <c r="Y142" t="s">
        <v>87</v>
      </c>
      <c r="Z142" t="s">
        <v>65</v>
      </c>
      <c r="AA142"/>
      <c r="AB142"/>
      <c r="AC142"/>
      <c r="AD142"/>
      <c r="AE142" t="s">
        <v>929</v>
      </c>
      <c r="AF142" t="s">
        <v>67</v>
      </c>
      <c r="AG142" t="s">
        <v>89</v>
      </c>
      <c r="AH142" t="s">
        <v>90</v>
      </c>
      <c r="AI142" t="s">
        <v>91</v>
      </c>
      <c r="AJ142" t="s">
        <v>92</v>
      </c>
      <c r="AK142" t="s">
        <v>72</v>
      </c>
    </row>
    <row r="143" spans="1:37" x14ac:dyDescent="0.3">
      <c r="A143" t="s">
        <v>875</v>
      </c>
      <c r="B143" t="s">
        <v>870</v>
      </c>
      <c r="C143" s="2">
        <v>45764.926232962964</v>
      </c>
      <c r="D143" s="2">
        <v>45719.849751562499</v>
      </c>
      <c r="E143" s="2">
        <v>45719.843069849536</v>
      </c>
      <c r="F143" t="s">
        <v>871</v>
      </c>
      <c r="G143" t="s">
        <v>96</v>
      </c>
      <c r="H143">
        <v>45683</v>
      </c>
      <c r="I143">
        <v>0.84027777777777779</v>
      </c>
      <c r="J143">
        <v>45683</v>
      </c>
      <c r="K143">
        <v>0.84652777777777777</v>
      </c>
      <c r="L143">
        <v>45683</v>
      </c>
      <c r="M143">
        <v>0.85009259259259262</v>
      </c>
      <c r="N143" t="s">
        <v>902</v>
      </c>
      <c r="O143" t="s">
        <v>930</v>
      </c>
      <c r="P143"/>
      <c r="Q143" t="s">
        <v>100</v>
      </c>
      <c r="R143" t="s">
        <v>101</v>
      </c>
      <c r="S143" t="s">
        <v>893</v>
      </c>
      <c r="T143" t="s">
        <v>933</v>
      </c>
      <c r="U143"/>
      <c r="V143"/>
      <c r="W143" t="s">
        <v>934</v>
      </c>
      <c r="X143" t="s">
        <v>896</v>
      </c>
      <c r="Y143" t="s">
        <v>104</v>
      </c>
      <c r="Z143" t="s">
        <v>935</v>
      </c>
      <c r="AA143"/>
      <c r="AB143"/>
      <c r="AC143"/>
      <c r="AD143"/>
      <c r="AE143" t="s">
        <v>904</v>
      </c>
      <c r="AF143" t="s">
        <v>67</v>
      </c>
      <c r="AG143" t="s">
        <v>105</v>
      </c>
      <c r="AH143" t="s">
        <v>69</v>
      </c>
      <c r="AI143" t="s">
        <v>106</v>
      </c>
      <c r="AJ143" t="s">
        <v>71</v>
      </c>
      <c r="AK143" t="s">
        <v>72</v>
      </c>
    </row>
    <row r="144" spans="1:37" x14ac:dyDescent="0.3">
      <c r="A144" t="s">
        <v>875</v>
      </c>
      <c r="B144" t="s">
        <v>870</v>
      </c>
      <c r="C144" s="2">
        <v>45764.926232962964</v>
      </c>
      <c r="D144" s="2">
        <v>45719.849751562499</v>
      </c>
      <c r="E144" s="2">
        <v>45719.843069849536</v>
      </c>
      <c r="F144" t="s">
        <v>871</v>
      </c>
      <c r="G144" t="s">
        <v>256</v>
      </c>
      <c r="H144">
        <v>45685</v>
      </c>
      <c r="I144">
        <v>0.625</v>
      </c>
      <c r="J144">
        <v>45686</v>
      </c>
      <c r="K144">
        <v>0.91736111111111107</v>
      </c>
      <c r="L144">
        <v>45686</v>
      </c>
      <c r="M144">
        <v>0.91833333333333322</v>
      </c>
      <c r="N144" t="s">
        <v>892</v>
      </c>
      <c r="O144" t="s">
        <v>930</v>
      </c>
      <c r="P144"/>
      <c r="Q144" t="s">
        <v>260</v>
      </c>
      <c r="R144" t="s">
        <v>261</v>
      </c>
      <c r="S144" t="s">
        <v>936</v>
      </c>
      <c r="T144" t="s">
        <v>937</v>
      </c>
      <c r="U144"/>
      <c r="V144"/>
      <c r="W144" t="s">
        <v>938</v>
      </c>
      <c r="X144" t="s">
        <v>939</v>
      </c>
      <c r="Y144" t="s">
        <v>265</v>
      </c>
      <c r="Z144" t="s">
        <v>65</v>
      </c>
      <c r="AA144"/>
      <c r="AB144"/>
      <c r="AC144"/>
      <c r="AD144"/>
      <c r="AE144" t="s">
        <v>940</v>
      </c>
      <c r="AF144" t="s">
        <v>67</v>
      </c>
      <c r="AG144" t="s">
        <v>244</v>
      </c>
      <c r="AH144" t="s">
        <v>206</v>
      </c>
      <c r="AI144" t="s">
        <v>70</v>
      </c>
      <c r="AJ144" t="s">
        <v>266</v>
      </c>
      <c r="AK144" t="s">
        <v>221</v>
      </c>
    </row>
    <row r="145" spans="1:37" x14ac:dyDescent="0.3">
      <c r="A145" t="s">
        <v>875</v>
      </c>
      <c r="B145" t="s">
        <v>870</v>
      </c>
      <c r="C145" s="2">
        <v>45764.926232962964</v>
      </c>
      <c r="D145" s="2">
        <v>45719.849751562499</v>
      </c>
      <c r="E145" s="2">
        <v>45719.843069849536</v>
      </c>
      <c r="F145" t="s">
        <v>871</v>
      </c>
      <c r="G145" t="s">
        <v>151</v>
      </c>
      <c r="H145">
        <v>45688</v>
      </c>
      <c r="I145">
        <v>0.49988425925925928</v>
      </c>
      <c r="J145"/>
      <c r="K145"/>
      <c r="L145">
        <v>45688</v>
      </c>
      <c r="M145">
        <v>0.49988425925925917</v>
      </c>
      <c r="N145" t="s">
        <v>915</v>
      </c>
      <c r="O145"/>
      <c r="P145"/>
      <c r="Q145" t="s">
        <v>154</v>
      </c>
      <c r="R145" t="s">
        <v>155</v>
      </c>
      <c r="S145" t="s">
        <v>907</v>
      </c>
      <c r="T145" t="s">
        <v>941</v>
      </c>
      <c r="U145"/>
      <c r="V145"/>
      <c r="W145"/>
      <c r="X145"/>
      <c r="Y145"/>
      <c r="Z145"/>
      <c r="AA145"/>
      <c r="AB145"/>
      <c r="AC145"/>
      <c r="AD145"/>
      <c r="AE145" t="s">
        <v>897</v>
      </c>
      <c r="AF145" t="s">
        <v>67</v>
      </c>
      <c r="AG145" t="s">
        <v>158</v>
      </c>
      <c r="AH145" t="s">
        <v>159</v>
      </c>
      <c r="AI145" t="s">
        <v>160</v>
      </c>
      <c r="AJ145" t="s">
        <v>71</v>
      </c>
      <c r="AK145" t="s">
        <v>137</v>
      </c>
    </row>
    <row r="146" spans="1:37" x14ac:dyDescent="0.3">
      <c r="A146" t="s">
        <v>875</v>
      </c>
      <c r="B146" t="s">
        <v>870</v>
      </c>
      <c r="C146" s="2">
        <v>45764.926232962964</v>
      </c>
      <c r="D146" s="2">
        <v>45719.849751562499</v>
      </c>
      <c r="E146" s="2">
        <v>45719.843069849536</v>
      </c>
      <c r="F146" t="s">
        <v>871</v>
      </c>
      <c r="G146" t="s">
        <v>269</v>
      </c>
      <c r="H146">
        <v>45689</v>
      </c>
      <c r="I146">
        <v>4.1666666666666664E-2</v>
      </c>
      <c r="J146"/>
      <c r="K146">
        <v>0.10416666666666674</v>
      </c>
      <c r="L146">
        <v>45689</v>
      </c>
      <c r="M146">
        <v>0.11982638888888886</v>
      </c>
      <c r="N146" t="s">
        <v>892</v>
      </c>
      <c r="O146"/>
      <c r="P146"/>
      <c r="Q146" t="s">
        <v>272</v>
      </c>
      <c r="R146" t="s">
        <v>273</v>
      </c>
      <c r="S146" t="s">
        <v>936</v>
      </c>
      <c r="T146" t="s">
        <v>942</v>
      </c>
      <c r="U146"/>
      <c r="V146"/>
      <c r="W146" t="s">
        <v>943</v>
      </c>
      <c r="X146" t="s">
        <v>944</v>
      </c>
      <c r="Y146" t="s">
        <v>276</v>
      </c>
      <c r="Z146" t="s">
        <v>65</v>
      </c>
      <c r="AA146"/>
      <c r="AB146"/>
      <c r="AC146"/>
      <c r="AD146"/>
      <c r="AE146" t="s">
        <v>913</v>
      </c>
      <c r="AF146" t="s">
        <v>67</v>
      </c>
      <c r="AG146" t="s">
        <v>244</v>
      </c>
      <c r="AH146" t="s">
        <v>206</v>
      </c>
      <c r="AI146" t="s">
        <v>122</v>
      </c>
      <c r="AJ146" t="s">
        <v>71</v>
      </c>
      <c r="AK146" t="s">
        <v>221</v>
      </c>
    </row>
    <row r="147" spans="1:37" x14ac:dyDescent="0.3">
      <c r="A147" t="s">
        <v>875</v>
      </c>
      <c r="B147" t="s">
        <v>870</v>
      </c>
      <c r="C147" s="2">
        <v>45764.926232962964</v>
      </c>
      <c r="D147" s="2">
        <v>45719.849751562499</v>
      </c>
      <c r="E147" s="2">
        <v>45719.843069849536</v>
      </c>
      <c r="F147" t="s">
        <v>871</v>
      </c>
      <c r="G147" t="s">
        <v>382</v>
      </c>
      <c r="H147">
        <v>45690</v>
      </c>
      <c r="I147">
        <v>0.72569444444444442</v>
      </c>
      <c r="J147">
        <v>45690</v>
      </c>
      <c r="K147">
        <v>0.75</v>
      </c>
      <c r="L147">
        <v>45691</v>
      </c>
      <c r="M147">
        <v>0.50143518518518526</v>
      </c>
      <c r="N147" t="s">
        <v>176</v>
      </c>
      <c r="O147" t="s">
        <v>906</v>
      </c>
      <c r="P147"/>
      <c r="Q147" t="s">
        <v>385</v>
      </c>
      <c r="R147" t="s">
        <v>145</v>
      </c>
      <c r="S147" t="s">
        <v>922</v>
      </c>
      <c r="T147" t="s">
        <v>945</v>
      </c>
      <c r="U147"/>
      <c r="V147"/>
      <c r="W147"/>
      <c r="X147"/>
      <c r="Y147"/>
      <c r="Z147"/>
      <c r="AA147"/>
      <c r="AB147"/>
      <c r="AC147"/>
      <c r="AD147"/>
      <c r="AE147" t="s">
        <v>904</v>
      </c>
      <c r="AF147" t="s">
        <v>67</v>
      </c>
      <c r="AG147" t="s">
        <v>105</v>
      </c>
      <c r="AH147" t="s">
        <v>69</v>
      </c>
      <c r="AI147" t="s">
        <v>180</v>
      </c>
      <c r="AJ147" t="s">
        <v>92</v>
      </c>
      <c r="AK147"/>
    </row>
    <row r="148" spans="1:37" x14ac:dyDescent="0.3">
      <c r="A148" t="s">
        <v>875</v>
      </c>
      <c r="B148" t="s">
        <v>870</v>
      </c>
      <c r="C148" s="2">
        <v>45764.926232962964</v>
      </c>
      <c r="D148" s="2">
        <v>45719.849751562499</v>
      </c>
      <c r="E148" s="2">
        <v>45719.843069849536</v>
      </c>
      <c r="F148" t="s">
        <v>871</v>
      </c>
      <c r="G148" t="s">
        <v>388</v>
      </c>
      <c r="H148"/>
      <c r="I148"/>
      <c r="J148"/>
      <c r="K148"/>
      <c r="L148">
        <v>45691</v>
      </c>
      <c r="M148">
        <v>0.69484953703703711</v>
      </c>
      <c r="N148" t="s">
        <v>906</v>
      </c>
      <c r="O148"/>
      <c r="P148"/>
      <c r="Q148" t="s">
        <v>390</v>
      </c>
      <c r="R148" t="s">
        <v>363</v>
      </c>
      <c r="S148" t="s">
        <v>893</v>
      </c>
      <c r="T148" t="s">
        <v>946</v>
      </c>
      <c r="U148"/>
      <c r="V148"/>
      <c r="W148"/>
      <c r="X148"/>
      <c r="Y148"/>
      <c r="Z148"/>
      <c r="AA148"/>
      <c r="AB148"/>
      <c r="AC148"/>
      <c r="AD148"/>
      <c r="AE148" t="s">
        <v>929</v>
      </c>
      <c r="AF148" t="s">
        <v>67</v>
      </c>
      <c r="AG148" t="s">
        <v>136</v>
      </c>
      <c r="AH148" t="s">
        <v>69</v>
      </c>
      <c r="AI148" t="s">
        <v>106</v>
      </c>
      <c r="AJ148" t="s">
        <v>71</v>
      </c>
      <c r="AK148" t="s">
        <v>353</v>
      </c>
    </row>
    <row r="149" spans="1:37" x14ac:dyDescent="0.3">
      <c r="A149" t="s">
        <v>875</v>
      </c>
      <c r="B149" t="s">
        <v>870</v>
      </c>
      <c r="C149" s="2">
        <v>45764.926232962964</v>
      </c>
      <c r="D149" s="2">
        <v>45719.849751562499</v>
      </c>
      <c r="E149" s="2">
        <v>45719.843069849536</v>
      </c>
      <c r="F149" t="s">
        <v>871</v>
      </c>
      <c r="G149" t="s">
        <v>279</v>
      </c>
      <c r="H149">
        <v>45691</v>
      </c>
      <c r="I149">
        <v>0.77083333333333337</v>
      </c>
      <c r="J149">
        <v>45692</v>
      </c>
      <c r="K149">
        <v>0.79166666666666674</v>
      </c>
      <c r="L149">
        <v>45692</v>
      </c>
      <c r="M149">
        <v>0.53023148148148147</v>
      </c>
      <c r="N149" t="s">
        <v>892</v>
      </c>
      <c r="O149"/>
      <c r="P149"/>
      <c r="Q149" t="s">
        <v>282</v>
      </c>
      <c r="R149" t="s">
        <v>283</v>
      </c>
      <c r="S149" t="s">
        <v>907</v>
      </c>
      <c r="T149" t="s">
        <v>947</v>
      </c>
      <c r="U149"/>
      <c r="V149"/>
      <c r="W149" t="s">
        <v>948</v>
      </c>
      <c r="X149" t="s">
        <v>286</v>
      </c>
      <c r="Y149" t="s">
        <v>949</v>
      </c>
      <c r="Z149" t="s">
        <v>288</v>
      </c>
      <c r="AA149"/>
      <c r="AB149"/>
      <c r="AC149"/>
      <c r="AD149"/>
      <c r="AE149" t="s">
        <v>904</v>
      </c>
      <c r="AF149" t="s">
        <v>67</v>
      </c>
      <c r="AG149" t="s">
        <v>105</v>
      </c>
      <c r="AH149" t="s">
        <v>69</v>
      </c>
      <c r="AI149" t="s">
        <v>70</v>
      </c>
      <c r="AJ149" t="s">
        <v>195</v>
      </c>
      <c r="AK149" t="s">
        <v>221</v>
      </c>
    </row>
    <row r="150" spans="1:37" x14ac:dyDescent="0.3">
      <c r="A150" t="s">
        <v>875</v>
      </c>
      <c r="B150" t="s">
        <v>870</v>
      </c>
      <c r="C150" s="2">
        <v>45764.926232962964</v>
      </c>
      <c r="D150" s="2">
        <v>45719.849751562499</v>
      </c>
      <c r="E150" s="2">
        <v>45719.843069849536</v>
      </c>
      <c r="F150" t="s">
        <v>871</v>
      </c>
      <c r="G150" t="s">
        <v>161</v>
      </c>
      <c r="H150">
        <v>45693</v>
      </c>
      <c r="I150">
        <v>0.12291666666666666</v>
      </c>
      <c r="J150"/>
      <c r="K150"/>
      <c r="L150">
        <v>45693</v>
      </c>
      <c r="M150">
        <v>0.12339120370370371</v>
      </c>
      <c r="N150" t="s">
        <v>950</v>
      </c>
      <c r="O150" t="s">
        <v>167</v>
      </c>
      <c r="P150"/>
      <c r="Q150" t="s">
        <v>168</v>
      </c>
      <c r="R150" t="s">
        <v>155</v>
      </c>
      <c r="S150" t="s">
        <v>907</v>
      </c>
      <c r="T150" t="s">
        <v>951</v>
      </c>
      <c r="U150"/>
      <c r="V150"/>
      <c r="W150"/>
      <c r="X150"/>
      <c r="Y150"/>
      <c r="Z150"/>
      <c r="AA150"/>
      <c r="AB150"/>
      <c r="AC150"/>
      <c r="AD150"/>
      <c r="AE150" t="s">
        <v>913</v>
      </c>
      <c r="AF150" t="s">
        <v>67</v>
      </c>
      <c r="AG150" t="s">
        <v>170</v>
      </c>
      <c r="AH150" t="s">
        <v>90</v>
      </c>
      <c r="AI150" t="s">
        <v>171</v>
      </c>
      <c r="AJ150" t="s">
        <v>123</v>
      </c>
      <c r="AK150" t="s">
        <v>137</v>
      </c>
    </row>
    <row r="151" spans="1:37" x14ac:dyDescent="0.3">
      <c r="A151" t="s">
        <v>875</v>
      </c>
      <c r="B151" t="s">
        <v>870</v>
      </c>
      <c r="C151" s="2">
        <v>45764.926232962964</v>
      </c>
      <c r="D151" s="2">
        <v>45719.849751562499</v>
      </c>
      <c r="E151" s="2">
        <v>45719.843069849536</v>
      </c>
      <c r="F151" t="s">
        <v>871</v>
      </c>
      <c r="G151" t="s">
        <v>292</v>
      </c>
      <c r="H151">
        <v>45695</v>
      </c>
      <c r="I151">
        <v>0.27430555555555558</v>
      </c>
      <c r="J151">
        <v>45695</v>
      </c>
      <c r="K151">
        <v>0.28472222222222232</v>
      </c>
      <c r="L151">
        <v>45695</v>
      </c>
      <c r="M151">
        <v>0.30738425925925927</v>
      </c>
      <c r="N151" t="s">
        <v>892</v>
      </c>
      <c r="O151"/>
      <c r="P151"/>
      <c r="Q151" t="s">
        <v>296</v>
      </c>
      <c r="R151" t="s">
        <v>203</v>
      </c>
      <c r="S151" t="s">
        <v>922</v>
      </c>
      <c r="T151" t="s">
        <v>952</v>
      </c>
      <c r="U151"/>
      <c r="V151"/>
      <c r="W151" t="s">
        <v>953</v>
      </c>
      <c r="X151" t="s">
        <v>954</v>
      </c>
      <c r="Y151" t="s">
        <v>300</v>
      </c>
      <c r="Z151" t="s">
        <v>65</v>
      </c>
      <c r="AA151"/>
      <c r="AB151"/>
      <c r="AC151"/>
      <c r="AD151"/>
      <c r="AE151" t="s">
        <v>913</v>
      </c>
      <c r="AF151" t="s">
        <v>67</v>
      </c>
      <c r="AG151" t="s">
        <v>301</v>
      </c>
      <c r="AH151" t="s">
        <v>121</v>
      </c>
      <c r="AI151" t="s">
        <v>180</v>
      </c>
      <c r="AJ151" t="s">
        <v>92</v>
      </c>
      <c r="AK151" t="s">
        <v>221</v>
      </c>
    </row>
    <row r="152" spans="1:37" x14ac:dyDescent="0.3">
      <c r="A152" t="s">
        <v>875</v>
      </c>
      <c r="B152" t="s">
        <v>870</v>
      </c>
      <c r="C152" s="2">
        <v>45764.926232962964</v>
      </c>
      <c r="D152" s="2">
        <v>45719.849751562499</v>
      </c>
      <c r="E152" s="2">
        <v>45719.843069849536</v>
      </c>
      <c r="F152" t="s">
        <v>871</v>
      </c>
      <c r="G152" t="s">
        <v>305</v>
      </c>
      <c r="H152">
        <v>45688</v>
      </c>
      <c r="I152">
        <v>0.5</v>
      </c>
      <c r="J152">
        <v>45695</v>
      </c>
      <c r="K152">
        <v>0.54166666666666674</v>
      </c>
      <c r="L152">
        <v>45696</v>
      </c>
      <c r="M152">
        <v>0.3903240740740741</v>
      </c>
      <c r="N152" t="s">
        <v>892</v>
      </c>
      <c r="O152"/>
      <c r="P152"/>
      <c r="Q152" t="s">
        <v>308</v>
      </c>
      <c r="R152" t="s">
        <v>250</v>
      </c>
      <c r="S152" t="s">
        <v>922</v>
      </c>
      <c r="T152" t="s">
        <v>955</v>
      </c>
      <c r="U152"/>
      <c r="V152"/>
      <c r="W152" t="s">
        <v>956</v>
      </c>
      <c r="X152"/>
      <c r="Y152" t="s">
        <v>230</v>
      </c>
      <c r="Z152" t="s">
        <v>935</v>
      </c>
      <c r="AA152"/>
      <c r="AB152"/>
      <c r="AC152"/>
      <c r="AD152"/>
      <c r="AE152" t="s">
        <v>913</v>
      </c>
      <c r="AF152" t="s">
        <v>67</v>
      </c>
      <c r="AG152" t="s">
        <v>205</v>
      </c>
      <c r="AH152" t="s">
        <v>206</v>
      </c>
      <c r="AI152" t="s">
        <v>106</v>
      </c>
      <c r="AJ152" t="s">
        <v>71</v>
      </c>
      <c r="AK152" t="s">
        <v>221</v>
      </c>
    </row>
    <row r="153" spans="1:37" x14ac:dyDescent="0.3">
      <c r="A153" t="s">
        <v>875</v>
      </c>
      <c r="B153" t="s">
        <v>870</v>
      </c>
      <c r="C153" s="2">
        <v>45764.926232962964</v>
      </c>
      <c r="D153" s="2">
        <v>45719.849751562499</v>
      </c>
      <c r="E153" s="2">
        <v>45719.843069849536</v>
      </c>
      <c r="F153" t="s">
        <v>871</v>
      </c>
      <c r="G153" t="s">
        <v>437</v>
      </c>
      <c r="H153">
        <v>45701</v>
      </c>
      <c r="I153">
        <v>8.3333333333333329E-2</v>
      </c>
      <c r="J153"/>
      <c r="K153"/>
      <c r="L153">
        <v>45701</v>
      </c>
      <c r="M153">
        <v>0.51225694444444447</v>
      </c>
      <c r="N153" t="s">
        <v>440</v>
      </c>
      <c r="O153" t="s">
        <v>957</v>
      </c>
      <c r="P153" t="s">
        <v>906</v>
      </c>
      <c r="Q153" t="s">
        <v>443</v>
      </c>
      <c r="R153" t="s">
        <v>191</v>
      </c>
      <c r="S153" t="s">
        <v>893</v>
      </c>
      <c r="T153" t="s">
        <v>958</v>
      </c>
      <c r="U153"/>
      <c r="V153"/>
      <c r="W153"/>
      <c r="X153"/>
      <c r="Y153"/>
      <c r="Z153"/>
      <c r="AA153"/>
      <c r="AB153"/>
      <c r="AC153"/>
      <c r="AD153"/>
      <c r="AE153" t="s">
        <v>959</v>
      </c>
      <c r="AF153" t="s">
        <v>67</v>
      </c>
      <c r="AG153" t="s">
        <v>120</v>
      </c>
      <c r="AH153" t="s">
        <v>121</v>
      </c>
      <c r="AI153" t="s">
        <v>378</v>
      </c>
      <c r="AJ153" t="s">
        <v>446</v>
      </c>
      <c r="AK153"/>
    </row>
    <row r="154" spans="1:37" x14ac:dyDescent="0.3">
      <c r="A154" t="s">
        <v>875</v>
      </c>
      <c r="B154" t="s">
        <v>870</v>
      </c>
      <c r="C154" s="2">
        <v>45764.926232962964</v>
      </c>
      <c r="D154" s="2">
        <v>45719.849751562499</v>
      </c>
      <c r="E154" s="2">
        <v>45719.843069849536</v>
      </c>
      <c r="F154" t="s">
        <v>871</v>
      </c>
      <c r="G154" t="s">
        <v>110</v>
      </c>
      <c r="H154">
        <v>45701</v>
      </c>
      <c r="I154">
        <v>0.66666666666666663</v>
      </c>
      <c r="J154"/>
      <c r="K154"/>
      <c r="L154">
        <v>45702</v>
      </c>
      <c r="M154">
        <v>0.29906250000000001</v>
      </c>
      <c r="N154" t="s">
        <v>902</v>
      </c>
      <c r="O154"/>
      <c r="P154"/>
      <c r="Q154" t="s">
        <v>113</v>
      </c>
      <c r="R154" t="s">
        <v>114</v>
      </c>
      <c r="S154" t="s">
        <v>936</v>
      </c>
      <c r="T154" t="s">
        <v>960</v>
      </c>
      <c r="U154"/>
      <c r="V154"/>
      <c r="W154" t="s">
        <v>116</v>
      </c>
      <c r="X154" t="s">
        <v>944</v>
      </c>
      <c r="Y154" t="s">
        <v>118</v>
      </c>
      <c r="Z154" t="s">
        <v>65</v>
      </c>
      <c r="AA154"/>
      <c r="AB154"/>
      <c r="AC154"/>
      <c r="AD154"/>
      <c r="AE154" t="s">
        <v>913</v>
      </c>
      <c r="AF154" t="s">
        <v>67</v>
      </c>
      <c r="AG154" t="s">
        <v>120</v>
      </c>
      <c r="AH154" t="s">
        <v>121</v>
      </c>
      <c r="AI154" t="s">
        <v>122</v>
      </c>
      <c r="AJ154" t="s">
        <v>71</v>
      </c>
      <c r="AK154" t="s">
        <v>72</v>
      </c>
    </row>
    <row r="155" spans="1:37" x14ac:dyDescent="0.3">
      <c r="A155" t="s">
        <v>875</v>
      </c>
      <c r="B155" t="s">
        <v>870</v>
      </c>
      <c r="C155" s="2">
        <v>45764.926232962964</v>
      </c>
      <c r="D155" s="2">
        <v>45719.849751562499</v>
      </c>
      <c r="E155" s="2">
        <v>45719.843069849536</v>
      </c>
      <c r="F155" t="s">
        <v>871</v>
      </c>
      <c r="G155" t="s">
        <v>313</v>
      </c>
      <c r="H155">
        <v>45705</v>
      </c>
      <c r="I155">
        <v>0.34877314814814814</v>
      </c>
      <c r="J155"/>
      <c r="K155"/>
      <c r="L155">
        <v>45705</v>
      </c>
      <c r="M155">
        <v>0.34877314814814819</v>
      </c>
      <c r="N155" t="s">
        <v>892</v>
      </c>
      <c r="O155" t="s">
        <v>317</v>
      </c>
      <c r="P155"/>
      <c r="Q155" t="s">
        <v>318</v>
      </c>
      <c r="R155" t="s">
        <v>134</v>
      </c>
      <c r="S155" t="s">
        <v>899</v>
      </c>
      <c r="T155" t="s">
        <v>961</v>
      </c>
      <c r="U155"/>
      <c r="V155"/>
      <c r="W155" t="s">
        <v>962</v>
      </c>
      <c r="X155" t="s">
        <v>896</v>
      </c>
      <c r="Y155" t="s">
        <v>218</v>
      </c>
      <c r="Z155" t="s">
        <v>65</v>
      </c>
      <c r="AA155"/>
      <c r="AB155"/>
      <c r="AC155"/>
      <c r="AD155"/>
      <c r="AE155" t="s">
        <v>904</v>
      </c>
      <c r="AF155" t="s">
        <v>67</v>
      </c>
      <c r="AG155" t="s">
        <v>68</v>
      </c>
      <c r="AH155" t="s">
        <v>69</v>
      </c>
      <c r="AI155" t="s">
        <v>122</v>
      </c>
      <c r="AJ155" t="s">
        <v>71</v>
      </c>
      <c r="AK155" t="s">
        <v>221</v>
      </c>
    </row>
    <row r="156" spans="1:37" x14ac:dyDescent="0.3">
      <c r="A156" t="s">
        <v>875</v>
      </c>
      <c r="B156" t="s">
        <v>870</v>
      </c>
      <c r="C156" s="2">
        <v>45764.926232962964</v>
      </c>
      <c r="D156" s="2">
        <v>45719.849751562499</v>
      </c>
      <c r="E156" s="2">
        <v>45719.843069849536</v>
      </c>
      <c r="F156" t="s">
        <v>871</v>
      </c>
      <c r="G156" t="s">
        <v>324</v>
      </c>
      <c r="H156">
        <v>45705</v>
      </c>
      <c r="I156">
        <v>0.39716435185185184</v>
      </c>
      <c r="J156"/>
      <c r="K156"/>
      <c r="L156">
        <v>45705</v>
      </c>
      <c r="M156">
        <v>0.39716435185185195</v>
      </c>
      <c r="N156" t="s">
        <v>892</v>
      </c>
      <c r="O156"/>
      <c r="P156"/>
      <c r="Q156" t="s">
        <v>326</v>
      </c>
      <c r="R156" t="s">
        <v>327</v>
      </c>
      <c r="S156" t="s">
        <v>899</v>
      </c>
      <c r="T156" t="s">
        <v>963</v>
      </c>
      <c r="U156"/>
      <c r="V156"/>
      <c r="W156" t="s">
        <v>964</v>
      </c>
      <c r="X156" t="s">
        <v>896</v>
      </c>
      <c r="Y156" t="s">
        <v>218</v>
      </c>
      <c r="Z156" t="s">
        <v>935</v>
      </c>
      <c r="AA156"/>
      <c r="AB156"/>
      <c r="AC156"/>
      <c r="AD156"/>
      <c r="AE156" t="s">
        <v>904</v>
      </c>
      <c r="AF156" t="s">
        <v>67</v>
      </c>
      <c r="AG156" t="s">
        <v>330</v>
      </c>
      <c r="AH156" t="s">
        <v>69</v>
      </c>
      <c r="AI156" t="s">
        <v>122</v>
      </c>
      <c r="AJ156" t="s">
        <v>71</v>
      </c>
      <c r="AK156" t="s">
        <v>221</v>
      </c>
    </row>
    <row r="157" spans="1:37" x14ac:dyDescent="0.3">
      <c r="A157" t="s">
        <v>875</v>
      </c>
      <c r="B157" t="s">
        <v>870</v>
      </c>
      <c r="C157" s="2">
        <v>45764.926232962964</v>
      </c>
      <c r="D157" s="2">
        <v>45719.849751562499</v>
      </c>
      <c r="E157" s="2">
        <v>45719.843069849536</v>
      </c>
      <c r="F157" t="s">
        <v>871</v>
      </c>
      <c r="G157" t="s">
        <v>173</v>
      </c>
      <c r="H157">
        <v>45705</v>
      </c>
      <c r="I157">
        <v>0.52497685185185183</v>
      </c>
      <c r="J157"/>
      <c r="K157"/>
      <c r="L157">
        <v>45705</v>
      </c>
      <c r="M157">
        <v>0.52497685185185183</v>
      </c>
      <c r="N157" t="s">
        <v>950</v>
      </c>
      <c r="O157" t="s">
        <v>176</v>
      </c>
      <c r="P157"/>
      <c r="Q157" t="s">
        <v>177</v>
      </c>
      <c r="R157" t="s">
        <v>178</v>
      </c>
      <c r="S157" t="s">
        <v>893</v>
      </c>
      <c r="T157" t="s">
        <v>965</v>
      </c>
      <c r="U157"/>
      <c r="V157"/>
      <c r="W157"/>
      <c r="X157"/>
      <c r="Y157"/>
      <c r="Z157"/>
      <c r="AA157"/>
      <c r="AB157"/>
      <c r="AC157"/>
      <c r="AD157"/>
      <c r="AE157" t="s">
        <v>904</v>
      </c>
      <c r="AF157" t="s">
        <v>67</v>
      </c>
      <c r="AG157" t="s">
        <v>68</v>
      </c>
      <c r="AH157" t="s">
        <v>69</v>
      </c>
      <c r="AI157" t="s">
        <v>180</v>
      </c>
      <c r="AJ157" t="s">
        <v>71</v>
      </c>
      <c r="AK157" t="s">
        <v>137</v>
      </c>
    </row>
    <row r="158" spans="1:37" x14ac:dyDescent="0.3">
      <c r="A158" t="s">
        <v>875</v>
      </c>
      <c r="B158" t="s">
        <v>870</v>
      </c>
      <c r="C158" s="2">
        <v>45764.926232962964</v>
      </c>
      <c r="D158" s="2">
        <v>45719.849751562499</v>
      </c>
      <c r="E158" s="2">
        <v>45719.843069849536</v>
      </c>
      <c r="F158" t="s">
        <v>871</v>
      </c>
      <c r="G158" t="s">
        <v>420</v>
      </c>
      <c r="H158">
        <v>45705</v>
      </c>
      <c r="I158">
        <v>0.83333333333333337</v>
      </c>
      <c r="J158">
        <v>45705</v>
      </c>
      <c r="K158">
        <v>0.98958333333333326</v>
      </c>
      <c r="L158">
        <v>45706</v>
      </c>
      <c r="M158">
        <v>0.73564814814814805</v>
      </c>
      <c r="N158" t="s">
        <v>423</v>
      </c>
      <c r="O158" t="s">
        <v>925</v>
      </c>
      <c r="P158"/>
      <c r="Q158" t="s">
        <v>425</v>
      </c>
      <c r="R158" t="s">
        <v>426</v>
      </c>
      <c r="S158" t="s">
        <v>907</v>
      </c>
      <c r="T158" t="s">
        <v>966</v>
      </c>
      <c r="U158"/>
      <c r="V158"/>
      <c r="W158"/>
      <c r="X158"/>
      <c r="Y158"/>
      <c r="Z158"/>
      <c r="AA158"/>
      <c r="AB158"/>
      <c r="AC158"/>
      <c r="AD158"/>
      <c r="AE158" t="s">
        <v>927</v>
      </c>
      <c r="AF158" t="s">
        <v>67</v>
      </c>
      <c r="AG158" t="s">
        <v>106</v>
      </c>
      <c r="AH158" t="s">
        <v>417</v>
      </c>
      <c r="AI158" t="s">
        <v>106</v>
      </c>
      <c r="AJ158" t="s">
        <v>266</v>
      </c>
      <c r="AK158"/>
    </row>
    <row r="159" spans="1:37" x14ac:dyDescent="0.3">
      <c r="A159" t="s">
        <v>875</v>
      </c>
      <c r="B159" t="s">
        <v>870</v>
      </c>
      <c r="C159" s="2">
        <v>45764.926232962964</v>
      </c>
      <c r="D159" s="2">
        <v>45719.849751562499</v>
      </c>
      <c r="E159" s="2">
        <v>45719.843069849536</v>
      </c>
      <c r="F159" t="s">
        <v>871</v>
      </c>
      <c r="G159" t="s">
        <v>429</v>
      </c>
      <c r="H159">
        <v>42906</v>
      </c>
      <c r="I159">
        <v>0.53615740740740736</v>
      </c>
      <c r="J159">
        <v>45555</v>
      </c>
      <c r="K159"/>
      <c r="L159">
        <v>45708</v>
      </c>
      <c r="M159">
        <v>0.53615740740740736</v>
      </c>
      <c r="N159" t="s">
        <v>925</v>
      </c>
      <c r="O159"/>
      <c r="P159"/>
      <c r="Q159" t="s">
        <v>432</v>
      </c>
      <c r="R159" t="s">
        <v>101</v>
      </c>
      <c r="S159" t="s">
        <v>907</v>
      </c>
      <c r="T159" t="s">
        <v>974</v>
      </c>
      <c r="U159"/>
      <c r="V159"/>
      <c r="W159"/>
      <c r="X159"/>
      <c r="Y159"/>
      <c r="Z159"/>
      <c r="AA159"/>
      <c r="AB159"/>
      <c r="AC159"/>
      <c r="AD159"/>
      <c r="AE159" t="s">
        <v>904</v>
      </c>
      <c r="AF159" t="s">
        <v>67</v>
      </c>
      <c r="AG159" t="s">
        <v>434</v>
      </c>
      <c r="AH159" t="s">
        <v>69</v>
      </c>
      <c r="AI159" t="s">
        <v>352</v>
      </c>
      <c r="AJ159" t="s">
        <v>435</v>
      </c>
      <c r="AK159" t="s">
        <v>436</v>
      </c>
    </row>
    <row r="160" spans="1:37" x14ac:dyDescent="0.3">
      <c r="A160" t="s">
        <v>875</v>
      </c>
      <c r="B160" t="s">
        <v>870</v>
      </c>
      <c r="C160" s="2">
        <v>45764.926232962964</v>
      </c>
      <c r="D160" s="2">
        <v>45719.849751562499</v>
      </c>
      <c r="E160" s="2">
        <v>45719.843069849536</v>
      </c>
      <c r="F160" t="s">
        <v>871</v>
      </c>
      <c r="G160" t="s">
        <v>332</v>
      </c>
      <c r="H160">
        <v>45713</v>
      </c>
      <c r="I160">
        <v>0.41666666666666669</v>
      </c>
      <c r="J160">
        <v>45713</v>
      </c>
      <c r="K160">
        <v>0.95833333333333326</v>
      </c>
      <c r="L160">
        <v>45712</v>
      </c>
      <c r="M160">
        <v>0.9913657407407408</v>
      </c>
      <c r="N160" t="s">
        <v>892</v>
      </c>
      <c r="O160"/>
      <c r="P160"/>
      <c r="Q160" t="s">
        <v>335</v>
      </c>
      <c r="R160" t="s">
        <v>250</v>
      </c>
      <c r="S160" t="s">
        <v>922</v>
      </c>
      <c r="T160" t="s">
        <v>973</v>
      </c>
      <c r="U160"/>
      <c r="V160"/>
      <c r="W160" t="s">
        <v>337</v>
      </c>
      <c r="X160" t="s">
        <v>896</v>
      </c>
      <c r="Y160" t="s">
        <v>338</v>
      </c>
      <c r="Z160" t="s">
        <v>339</v>
      </c>
      <c r="AA160"/>
      <c r="AB160"/>
      <c r="AC160"/>
      <c r="AD160"/>
      <c r="AE160" t="s">
        <v>897</v>
      </c>
      <c r="AF160" t="s">
        <v>67</v>
      </c>
      <c r="AG160" t="s">
        <v>158</v>
      </c>
      <c r="AH160" t="s">
        <v>159</v>
      </c>
      <c r="AI160" t="s">
        <v>160</v>
      </c>
      <c r="AJ160" t="s">
        <v>266</v>
      </c>
      <c r="AK160" t="s">
        <v>221</v>
      </c>
    </row>
    <row r="161" spans="1:37" x14ac:dyDescent="0.3">
      <c r="A161" t="s">
        <v>876</v>
      </c>
      <c r="B161" t="s">
        <v>870</v>
      </c>
      <c r="C161" s="2">
        <v>45764.926233009261</v>
      </c>
      <c r="D161" s="2">
        <v>45726.855289895837</v>
      </c>
      <c r="E161" s="2">
        <v>45726.854633692128</v>
      </c>
      <c r="F161" t="s">
        <v>871</v>
      </c>
      <c r="G161" t="s">
        <v>210</v>
      </c>
      <c r="H161">
        <v>45660</v>
      </c>
      <c r="I161">
        <v>0.89583333333333337</v>
      </c>
      <c r="J161">
        <v>45661</v>
      </c>
      <c r="K161">
        <v>0.26736111111111116</v>
      </c>
      <c r="L161">
        <v>45661</v>
      </c>
      <c r="M161">
        <v>0.4577430555555555</v>
      </c>
      <c r="N161" t="s">
        <v>892</v>
      </c>
      <c r="O161"/>
      <c r="P161"/>
      <c r="Q161" t="s">
        <v>214</v>
      </c>
      <c r="R161" t="s">
        <v>215</v>
      </c>
      <c r="S161" t="s">
        <v>893</v>
      </c>
      <c r="T161" t="s">
        <v>894</v>
      </c>
      <c r="U161"/>
      <c r="V161"/>
      <c r="W161" t="s">
        <v>895</v>
      </c>
      <c r="X161" t="s">
        <v>896</v>
      </c>
      <c r="Y161" t="s">
        <v>218</v>
      </c>
      <c r="Z161" t="s">
        <v>65</v>
      </c>
      <c r="AA161"/>
      <c r="AB161"/>
      <c r="AC161"/>
      <c r="AD161"/>
      <c r="AE161" t="s">
        <v>897</v>
      </c>
      <c r="AF161" t="s">
        <v>67</v>
      </c>
      <c r="AG161" t="s">
        <v>219</v>
      </c>
      <c r="AH161" t="s">
        <v>206</v>
      </c>
      <c r="AI161" t="s">
        <v>220</v>
      </c>
      <c r="AJ161" t="s">
        <v>71</v>
      </c>
      <c r="AK161" t="s">
        <v>221</v>
      </c>
    </row>
    <row r="162" spans="1:37" x14ac:dyDescent="0.3">
      <c r="A162" t="s">
        <v>876</v>
      </c>
      <c r="B162" t="s">
        <v>870</v>
      </c>
      <c r="C162" s="2">
        <v>45764.926233009261</v>
      </c>
      <c r="D162" s="2">
        <v>45726.855289895837</v>
      </c>
      <c r="E162" s="2">
        <v>45726.854633692128</v>
      </c>
      <c r="F162" t="s">
        <v>871</v>
      </c>
      <c r="G162" t="s">
        <v>395</v>
      </c>
      <c r="H162">
        <v>45664</v>
      </c>
      <c r="I162">
        <v>0.58333333333333337</v>
      </c>
      <c r="J162"/>
      <c r="K162"/>
      <c r="L162">
        <v>45667</v>
      </c>
      <c r="M162">
        <v>0.59781250000000008</v>
      </c>
      <c r="N162" t="s">
        <v>898</v>
      </c>
      <c r="O162" t="s">
        <v>400</v>
      </c>
      <c r="P162"/>
      <c r="Q162" t="s">
        <v>401</v>
      </c>
      <c r="R162" t="s">
        <v>134</v>
      </c>
      <c r="S162" t="s">
        <v>899</v>
      </c>
      <c r="T162" t="s">
        <v>900</v>
      </c>
      <c r="U162"/>
      <c r="V162"/>
      <c r="W162"/>
      <c r="X162"/>
      <c r="Y162"/>
      <c r="Z162"/>
      <c r="AA162"/>
      <c r="AB162"/>
      <c r="AC162"/>
      <c r="AD162"/>
      <c r="AE162" t="s">
        <v>901</v>
      </c>
      <c r="AF162" t="s">
        <v>67</v>
      </c>
      <c r="AG162" t="s">
        <v>404</v>
      </c>
      <c r="AH162" t="s">
        <v>405</v>
      </c>
      <c r="AI162" t="s">
        <v>406</v>
      </c>
      <c r="AJ162" t="s">
        <v>71</v>
      </c>
      <c r="AK162" t="s">
        <v>407</v>
      </c>
    </row>
    <row r="163" spans="1:37" x14ac:dyDescent="0.3">
      <c r="A163" t="s">
        <v>876</v>
      </c>
      <c r="B163" t="s">
        <v>870</v>
      </c>
      <c r="C163" s="2">
        <v>45764.926233009261</v>
      </c>
      <c r="D163" s="2">
        <v>45726.855289895837</v>
      </c>
      <c r="E163" s="2">
        <v>45726.854633692128</v>
      </c>
      <c r="F163" t="s">
        <v>871</v>
      </c>
      <c r="G163" t="s">
        <v>53</v>
      </c>
      <c r="H163">
        <v>45663</v>
      </c>
      <c r="I163">
        <v>0.64583333333333337</v>
      </c>
      <c r="J163">
        <v>45667</v>
      </c>
      <c r="K163"/>
      <c r="L163">
        <v>45667</v>
      </c>
      <c r="M163">
        <v>0.82629629629629631</v>
      </c>
      <c r="N163" t="s">
        <v>902</v>
      </c>
      <c r="O163"/>
      <c r="P163"/>
      <c r="Q163" t="s">
        <v>60</v>
      </c>
      <c r="R163"/>
      <c r="S163" t="s">
        <v>899</v>
      </c>
      <c r="T163" t="s">
        <v>903</v>
      </c>
      <c r="U163"/>
      <c r="V163"/>
      <c r="W163" t="s">
        <v>62</v>
      </c>
      <c r="X163" t="s">
        <v>896</v>
      </c>
      <c r="Y163" t="s">
        <v>64</v>
      </c>
      <c r="Z163" t="s">
        <v>65</v>
      </c>
      <c r="AA163"/>
      <c r="AB163"/>
      <c r="AC163"/>
      <c r="AD163"/>
      <c r="AE163" t="s">
        <v>904</v>
      </c>
      <c r="AF163" t="s">
        <v>67</v>
      </c>
      <c r="AG163" t="s">
        <v>68</v>
      </c>
      <c r="AH163" t="s">
        <v>69</v>
      </c>
      <c r="AI163" t="s">
        <v>70</v>
      </c>
      <c r="AJ163" t="s">
        <v>71</v>
      </c>
      <c r="AK163" t="s">
        <v>72</v>
      </c>
    </row>
    <row r="164" spans="1:37" x14ac:dyDescent="0.3">
      <c r="A164" t="s">
        <v>876</v>
      </c>
      <c r="B164" t="s">
        <v>870</v>
      </c>
      <c r="C164" s="2">
        <v>45764.926233009261</v>
      </c>
      <c r="D164" s="2">
        <v>45726.855289895837</v>
      </c>
      <c r="E164" s="2">
        <v>45726.854633692128</v>
      </c>
      <c r="F164" t="s">
        <v>871</v>
      </c>
      <c r="G164" t="s">
        <v>341</v>
      </c>
      <c r="H164">
        <v>45670</v>
      </c>
      <c r="I164">
        <v>0.50347222222222221</v>
      </c>
      <c r="J164"/>
      <c r="K164"/>
      <c r="L164">
        <v>45670</v>
      </c>
      <c r="M164">
        <v>0.50537037037037047</v>
      </c>
      <c r="N164" t="s">
        <v>344</v>
      </c>
      <c r="O164" t="s">
        <v>905</v>
      </c>
      <c r="P164" t="s">
        <v>906</v>
      </c>
      <c r="Q164" t="s">
        <v>348</v>
      </c>
      <c r="R164" t="s">
        <v>84</v>
      </c>
      <c r="S164" t="s">
        <v>907</v>
      </c>
      <c r="T164" t="s">
        <v>908</v>
      </c>
      <c r="U164"/>
      <c r="V164"/>
      <c r="W164"/>
      <c r="X164"/>
      <c r="Y164"/>
      <c r="Z164"/>
      <c r="AA164"/>
      <c r="AB164"/>
      <c r="AC164"/>
      <c r="AD164"/>
      <c r="AE164" t="s">
        <v>897</v>
      </c>
      <c r="AF164" t="s">
        <v>67</v>
      </c>
      <c r="AG164" t="s">
        <v>350</v>
      </c>
      <c r="AH164" t="s">
        <v>351</v>
      </c>
      <c r="AI164" t="s">
        <v>352</v>
      </c>
      <c r="AJ164" t="s">
        <v>123</v>
      </c>
      <c r="AK164" t="s">
        <v>353</v>
      </c>
    </row>
    <row r="165" spans="1:37" x14ac:dyDescent="0.3">
      <c r="A165" t="s">
        <v>876</v>
      </c>
      <c r="B165" t="s">
        <v>870</v>
      </c>
      <c r="C165" s="2">
        <v>45764.926233009261</v>
      </c>
      <c r="D165" s="2">
        <v>45726.855289895837</v>
      </c>
      <c r="E165" s="2">
        <v>45726.854633692128</v>
      </c>
      <c r="F165" t="s">
        <v>871</v>
      </c>
      <c r="G165" t="s">
        <v>184</v>
      </c>
      <c r="H165">
        <v>45671</v>
      </c>
      <c r="I165">
        <v>0.46388888888888891</v>
      </c>
      <c r="J165"/>
      <c r="K165"/>
      <c r="L165">
        <v>45671</v>
      </c>
      <c r="M165">
        <v>0.46740740740740749</v>
      </c>
      <c r="N165" t="s">
        <v>915</v>
      </c>
      <c r="O165" t="s">
        <v>968</v>
      </c>
      <c r="P165" t="s">
        <v>969</v>
      </c>
      <c r="Q165" t="s">
        <v>190</v>
      </c>
      <c r="R165" t="s">
        <v>191</v>
      </c>
      <c r="S165" t="s">
        <v>893</v>
      </c>
      <c r="T165" t="s">
        <v>970</v>
      </c>
      <c r="U165"/>
      <c r="V165"/>
      <c r="W165"/>
      <c r="X165"/>
      <c r="Y165"/>
      <c r="Z165"/>
      <c r="AA165"/>
      <c r="AB165"/>
      <c r="AC165"/>
      <c r="AD165"/>
      <c r="AE165" t="s">
        <v>971</v>
      </c>
      <c r="AF165" t="s">
        <v>67</v>
      </c>
      <c r="AG165" t="s">
        <v>194</v>
      </c>
      <c r="AH165" t="s">
        <v>159</v>
      </c>
      <c r="AI165" t="s">
        <v>160</v>
      </c>
      <c r="AJ165" t="s">
        <v>195</v>
      </c>
      <c r="AK165" t="s">
        <v>137</v>
      </c>
    </row>
    <row r="166" spans="1:37" x14ac:dyDescent="0.3">
      <c r="A166" t="s">
        <v>876</v>
      </c>
      <c r="B166" t="s">
        <v>870</v>
      </c>
      <c r="C166" s="2">
        <v>45764.926233009261</v>
      </c>
      <c r="D166" s="2">
        <v>45726.855289895837</v>
      </c>
      <c r="E166" s="2">
        <v>45726.854633692128</v>
      </c>
      <c r="F166" t="s">
        <v>871</v>
      </c>
      <c r="G166" t="s">
        <v>356</v>
      </c>
      <c r="H166">
        <v>45671</v>
      </c>
      <c r="I166">
        <v>0.64067129629629627</v>
      </c>
      <c r="J166"/>
      <c r="K166"/>
      <c r="L166">
        <v>45671</v>
      </c>
      <c r="M166">
        <v>0.64067129629629638</v>
      </c>
      <c r="N166" t="s">
        <v>906</v>
      </c>
      <c r="O166" t="s">
        <v>909</v>
      </c>
      <c r="P166" t="s">
        <v>361</v>
      </c>
      <c r="Q166" t="s">
        <v>362</v>
      </c>
      <c r="R166" t="s">
        <v>363</v>
      </c>
      <c r="S166" t="s">
        <v>893</v>
      </c>
      <c r="T166" t="s">
        <v>910</v>
      </c>
      <c r="U166"/>
      <c r="V166"/>
      <c r="W166" t="s">
        <v>911</v>
      </c>
      <c r="X166" t="s">
        <v>912</v>
      </c>
      <c r="Y166" t="s">
        <v>367</v>
      </c>
      <c r="Z166" t="s">
        <v>65</v>
      </c>
      <c r="AA166"/>
      <c r="AB166"/>
      <c r="AC166"/>
      <c r="AD166"/>
      <c r="AE166" t="s">
        <v>913</v>
      </c>
      <c r="AF166" t="s">
        <v>67</v>
      </c>
      <c r="AG166" t="s">
        <v>219</v>
      </c>
      <c r="AH166" t="s">
        <v>368</v>
      </c>
      <c r="AI166" t="s">
        <v>160</v>
      </c>
      <c r="AJ166" t="s">
        <v>123</v>
      </c>
      <c r="AK166" t="s">
        <v>353</v>
      </c>
    </row>
    <row r="167" spans="1:37" x14ac:dyDescent="0.3">
      <c r="A167" t="s">
        <v>876</v>
      </c>
      <c r="B167" t="s">
        <v>870</v>
      </c>
      <c r="C167" s="2">
        <v>45764.926233009261</v>
      </c>
      <c r="D167" s="2">
        <v>45726.855289895837</v>
      </c>
      <c r="E167" s="2">
        <v>45726.854633692128</v>
      </c>
      <c r="F167" t="s">
        <v>871</v>
      </c>
      <c r="G167" t="s">
        <v>224</v>
      </c>
      <c r="H167">
        <v>45672</v>
      </c>
      <c r="I167">
        <v>0.53988425925925931</v>
      </c>
      <c r="J167"/>
      <c r="K167"/>
      <c r="L167">
        <v>45672</v>
      </c>
      <c r="M167">
        <v>0.5398842592592592</v>
      </c>
      <c r="N167" t="s">
        <v>892</v>
      </c>
      <c r="O167"/>
      <c r="P167"/>
      <c r="Q167" t="s">
        <v>227</v>
      </c>
      <c r="R167" t="s">
        <v>84</v>
      </c>
      <c r="S167" t="s">
        <v>907</v>
      </c>
      <c r="T167" t="s">
        <v>914</v>
      </c>
      <c r="U167"/>
      <c r="V167"/>
      <c r="W167" t="s">
        <v>229</v>
      </c>
      <c r="X167" t="s">
        <v>896</v>
      </c>
      <c r="Y167" t="s">
        <v>230</v>
      </c>
      <c r="Z167" t="s">
        <v>65</v>
      </c>
      <c r="AA167"/>
      <c r="AB167"/>
      <c r="AC167"/>
      <c r="AD167"/>
      <c r="AE167" t="s">
        <v>913</v>
      </c>
      <c r="AF167" t="s">
        <v>67</v>
      </c>
      <c r="AG167" t="s">
        <v>231</v>
      </c>
      <c r="AH167" t="s">
        <v>232</v>
      </c>
      <c r="AI167" t="s">
        <v>70</v>
      </c>
      <c r="AJ167" t="s">
        <v>71</v>
      </c>
      <c r="AK167" t="s">
        <v>221</v>
      </c>
    </row>
    <row r="168" spans="1:37" x14ac:dyDescent="0.3">
      <c r="A168" t="s">
        <v>876</v>
      </c>
      <c r="B168" t="s">
        <v>870</v>
      </c>
      <c r="C168" s="2">
        <v>45764.926233009261</v>
      </c>
      <c r="D168" s="2">
        <v>45726.855289895837</v>
      </c>
      <c r="E168" s="2">
        <v>45726.854633692128</v>
      </c>
      <c r="F168" t="s">
        <v>871</v>
      </c>
      <c r="G168" t="s">
        <v>197</v>
      </c>
      <c r="H168">
        <v>45673</v>
      </c>
      <c r="I168">
        <v>0.83333333333333337</v>
      </c>
      <c r="J168"/>
      <c r="K168"/>
      <c r="L168">
        <v>45673</v>
      </c>
      <c r="M168">
        <v>9.0057870370370274E-2</v>
      </c>
      <c r="N168" t="s">
        <v>200</v>
      </c>
      <c r="O168" t="s">
        <v>915</v>
      </c>
      <c r="P168" t="s">
        <v>968</v>
      </c>
      <c r="Q168" t="s">
        <v>202</v>
      </c>
      <c r="R168" t="s">
        <v>203</v>
      </c>
      <c r="S168" t="s">
        <v>922</v>
      </c>
      <c r="T168" t="s">
        <v>972</v>
      </c>
      <c r="U168"/>
      <c r="V168"/>
      <c r="W168"/>
      <c r="X168"/>
      <c r="Y168"/>
      <c r="Z168"/>
      <c r="AA168"/>
      <c r="AB168"/>
      <c r="AC168"/>
      <c r="AD168"/>
      <c r="AE168" t="s">
        <v>929</v>
      </c>
      <c r="AF168" t="s">
        <v>67</v>
      </c>
      <c r="AG168" t="s">
        <v>205</v>
      </c>
      <c r="AH168" t="s">
        <v>206</v>
      </c>
      <c r="AI168"/>
      <c r="AJ168"/>
      <c r="AK168" t="s">
        <v>137</v>
      </c>
    </row>
    <row r="169" spans="1:37" x14ac:dyDescent="0.3">
      <c r="A169" t="s">
        <v>876</v>
      </c>
      <c r="B169" t="s">
        <v>870</v>
      </c>
      <c r="C169" s="2">
        <v>45764.926233009261</v>
      </c>
      <c r="D169" s="2">
        <v>45726.855289895837</v>
      </c>
      <c r="E169" s="2">
        <v>45726.854633692128</v>
      </c>
      <c r="F169" t="s">
        <v>871</v>
      </c>
      <c r="G169" t="s">
        <v>129</v>
      </c>
      <c r="H169">
        <v>45673</v>
      </c>
      <c r="I169">
        <v>0.5</v>
      </c>
      <c r="J169">
        <v>45673</v>
      </c>
      <c r="K169">
        <v>0.75</v>
      </c>
      <c r="L169">
        <v>45673</v>
      </c>
      <c r="M169">
        <v>0.81587962962962957</v>
      </c>
      <c r="N169" t="s">
        <v>915</v>
      </c>
      <c r="O169"/>
      <c r="P169"/>
      <c r="Q169" t="s">
        <v>133</v>
      </c>
      <c r="R169" t="s">
        <v>134</v>
      </c>
      <c r="S169" t="s">
        <v>899</v>
      </c>
      <c r="T169" t="s">
        <v>916</v>
      </c>
      <c r="U169"/>
      <c r="V169"/>
      <c r="W169"/>
      <c r="X169"/>
      <c r="Y169"/>
      <c r="Z169"/>
      <c r="AA169"/>
      <c r="AB169"/>
      <c r="AC169"/>
      <c r="AD169"/>
      <c r="AE169" t="s">
        <v>904</v>
      </c>
      <c r="AF169" t="s">
        <v>67</v>
      </c>
      <c r="AG169" t="s">
        <v>136</v>
      </c>
      <c r="AH169" t="s">
        <v>69</v>
      </c>
      <c r="AI169" t="s">
        <v>70</v>
      </c>
      <c r="AJ169" t="s">
        <v>71</v>
      </c>
      <c r="AK169" t="s">
        <v>137</v>
      </c>
    </row>
    <row r="170" spans="1:37" x14ac:dyDescent="0.3">
      <c r="A170" t="s">
        <v>876</v>
      </c>
      <c r="B170" t="s">
        <v>870</v>
      </c>
      <c r="C170" s="2">
        <v>45764.926233009261</v>
      </c>
      <c r="D170" s="2">
        <v>45726.855289895837</v>
      </c>
      <c r="E170" s="2">
        <v>45726.854633692128</v>
      </c>
      <c r="F170" t="s">
        <v>871</v>
      </c>
      <c r="G170" t="s">
        <v>371</v>
      </c>
      <c r="H170">
        <v>45673</v>
      </c>
      <c r="I170">
        <v>0.87708333333333333</v>
      </c>
      <c r="J170">
        <v>45673</v>
      </c>
      <c r="K170">
        <v>0.88611111111111107</v>
      </c>
      <c r="L170">
        <v>45674</v>
      </c>
      <c r="M170">
        <v>0.51179398148148159</v>
      </c>
      <c r="N170" t="s">
        <v>906</v>
      </c>
      <c r="O170"/>
      <c r="P170"/>
      <c r="Q170" t="s">
        <v>374</v>
      </c>
      <c r="R170" t="s">
        <v>178</v>
      </c>
      <c r="S170" t="s">
        <v>893</v>
      </c>
      <c r="T170" t="s">
        <v>917</v>
      </c>
      <c r="U170"/>
      <c r="V170"/>
      <c r="W170"/>
      <c r="X170" t="s">
        <v>918</v>
      </c>
      <c r="Y170" t="s">
        <v>919</v>
      </c>
      <c r="Z170"/>
      <c r="AA170"/>
      <c r="AB170"/>
      <c r="AC170"/>
      <c r="AD170"/>
      <c r="AE170" t="s">
        <v>904</v>
      </c>
      <c r="AF170" t="s">
        <v>67</v>
      </c>
      <c r="AG170" t="s">
        <v>89</v>
      </c>
      <c r="AH170" t="s">
        <v>90</v>
      </c>
      <c r="AI170" t="s">
        <v>378</v>
      </c>
      <c r="AJ170" t="s">
        <v>435</v>
      </c>
      <c r="AK170" t="s">
        <v>353</v>
      </c>
    </row>
    <row r="171" spans="1:37" x14ac:dyDescent="0.3">
      <c r="A171" t="s">
        <v>876</v>
      </c>
      <c r="B171" t="s">
        <v>870</v>
      </c>
      <c r="C171" s="2">
        <v>45764.926233009261</v>
      </c>
      <c r="D171" s="2">
        <v>45726.855289895837</v>
      </c>
      <c r="E171" s="2">
        <v>45726.854633692128</v>
      </c>
      <c r="F171" t="s">
        <v>871</v>
      </c>
      <c r="G171" t="s">
        <v>236</v>
      </c>
      <c r="H171">
        <v>45678</v>
      </c>
      <c r="I171">
        <v>0.79166666666666663</v>
      </c>
      <c r="J171">
        <v>45679</v>
      </c>
      <c r="K171">
        <v>0.13125000000000009</v>
      </c>
      <c r="L171">
        <v>45679</v>
      </c>
      <c r="M171">
        <v>0.13255787037037048</v>
      </c>
      <c r="N171" t="s">
        <v>892</v>
      </c>
      <c r="O171"/>
      <c r="P171"/>
      <c r="Q171" t="s">
        <v>239</v>
      </c>
      <c r="R171" t="s">
        <v>178</v>
      </c>
      <c r="S171" t="s">
        <v>893</v>
      </c>
      <c r="T171" t="s">
        <v>920</v>
      </c>
      <c r="U171"/>
      <c r="V171"/>
      <c r="W171" t="s">
        <v>241</v>
      </c>
      <c r="X171" t="s">
        <v>63</v>
      </c>
      <c r="Y171" t="s">
        <v>242</v>
      </c>
      <c r="Z171" t="s">
        <v>65</v>
      </c>
      <c r="AA171"/>
      <c r="AB171"/>
      <c r="AC171"/>
      <c r="AD171"/>
      <c r="AE171" t="s">
        <v>921</v>
      </c>
      <c r="AF171" t="s">
        <v>67</v>
      </c>
      <c r="AG171" t="s">
        <v>244</v>
      </c>
      <c r="AH171" t="s">
        <v>206</v>
      </c>
      <c r="AI171" t="s">
        <v>160</v>
      </c>
      <c r="AJ171" t="s">
        <v>71</v>
      </c>
      <c r="AK171" t="s">
        <v>221</v>
      </c>
    </row>
    <row r="172" spans="1:37" x14ac:dyDescent="0.3">
      <c r="A172" t="s">
        <v>876</v>
      </c>
      <c r="B172" t="s">
        <v>870</v>
      </c>
      <c r="C172" s="2">
        <v>45764.926233009261</v>
      </c>
      <c r="D172" s="2">
        <v>45726.855289895837</v>
      </c>
      <c r="E172" s="2">
        <v>45726.854633692128</v>
      </c>
      <c r="F172" t="s">
        <v>871</v>
      </c>
      <c r="G172" t="s">
        <v>246</v>
      </c>
      <c r="H172">
        <v>45679</v>
      </c>
      <c r="I172">
        <v>0.33333333333333331</v>
      </c>
      <c r="J172">
        <v>45679</v>
      </c>
      <c r="K172">
        <v>0.80069444444444438</v>
      </c>
      <c r="L172">
        <v>45679</v>
      </c>
      <c r="M172">
        <v>0.8020370370370371</v>
      </c>
      <c r="N172" t="s">
        <v>892</v>
      </c>
      <c r="O172"/>
      <c r="P172"/>
      <c r="Q172" t="s">
        <v>249</v>
      </c>
      <c r="R172" t="s">
        <v>250</v>
      </c>
      <c r="S172" t="s">
        <v>922</v>
      </c>
      <c r="T172" t="s">
        <v>923</v>
      </c>
      <c r="U172"/>
      <c r="V172"/>
      <c r="W172" t="s">
        <v>252</v>
      </c>
      <c r="X172" t="s">
        <v>924</v>
      </c>
      <c r="Y172" t="s">
        <v>254</v>
      </c>
      <c r="Z172" t="s">
        <v>65</v>
      </c>
      <c r="AA172"/>
      <c r="AB172"/>
      <c r="AC172"/>
      <c r="AD172"/>
      <c r="AE172" t="s">
        <v>913</v>
      </c>
      <c r="AF172" t="s">
        <v>67</v>
      </c>
      <c r="AG172" t="s">
        <v>244</v>
      </c>
      <c r="AH172" t="s">
        <v>206</v>
      </c>
      <c r="AI172" t="s">
        <v>122</v>
      </c>
      <c r="AJ172" t="s">
        <v>71</v>
      </c>
      <c r="AK172" t="s">
        <v>221</v>
      </c>
    </row>
    <row r="173" spans="1:37" x14ac:dyDescent="0.3">
      <c r="A173" t="s">
        <v>876</v>
      </c>
      <c r="B173" t="s">
        <v>870</v>
      </c>
      <c r="C173" s="2">
        <v>45764.926233009261</v>
      </c>
      <c r="D173" s="2">
        <v>45726.855289895837</v>
      </c>
      <c r="E173" s="2">
        <v>45726.854633692128</v>
      </c>
      <c r="F173" t="s">
        <v>871</v>
      </c>
      <c r="G173" t="s">
        <v>409</v>
      </c>
      <c r="H173">
        <v>45680</v>
      </c>
      <c r="I173">
        <v>0.625</v>
      </c>
      <c r="J173"/>
      <c r="K173"/>
      <c r="L173">
        <v>45680</v>
      </c>
      <c r="M173">
        <v>0.66545138888888888</v>
      </c>
      <c r="N173" t="s">
        <v>925</v>
      </c>
      <c r="O173" t="s">
        <v>400</v>
      </c>
      <c r="P173"/>
      <c r="Q173" t="s">
        <v>414</v>
      </c>
      <c r="R173" t="s">
        <v>84</v>
      </c>
      <c r="S173" t="s">
        <v>907</v>
      </c>
      <c r="T173" t="s">
        <v>926</v>
      </c>
      <c r="U173"/>
      <c r="V173"/>
      <c r="W173"/>
      <c r="X173"/>
      <c r="Y173"/>
      <c r="Z173"/>
      <c r="AA173"/>
      <c r="AB173"/>
      <c r="AC173"/>
      <c r="AD173"/>
      <c r="AE173" t="s">
        <v>927</v>
      </c>
      <c r="AF173" t="s">
        <v>67</v>
      </c>
      <c r="AG173" t="s">
        <v>352</v>
      </c>
      <c r="AH173" t="s">
        <v>417</v>
      </c>
      <c r="AI173" t="s">
        <v>406</v>
      </c>
      <c r="AJ173" t="s">
        <v>418</v>
      </c>
      <c r="AK173"/>
    </row>
    <row r="174" spans="1:37" x14ac:dyDescent="0.3">
      <c r="A174" t="s">
        <v>876</v>
      </c>
      <c r="B174" t="s">
        <v>870</v>
      </c>
      <c r="C174" s="2">
        <v>45764.926233009261</v>
      </c>
      <c r="D174" s="2">
        <v>45726.855289895837</v>
      </c>
      <c r="E174" s="2">
        <v>45726.854633692128</v>
      </c>
      <c r="F174" t="s">
        <v>871</v>
      </c>
      <c r="G174" t="s">
        <v>140</v>
      </c>
      <c r="H174">
        <v>45682</v>
      </c>
      <c r="I174">
        <v>0.45833333333333331</v>
      </c>
      <c r="J174">
        <v>45682</v>
      </c>
      <c r="K174">
        <v>0.58333333333333326</v>
      </c>
      <c r="L174">
        <v>45682</v>
      </c>
      <c r="M174">
        <v>0.58054398148148145</v>
      </c>
      <c r="N174" t="s">
        <v>915</v>
      </c>
      <c r="O174"/>
      <c r="P174"/>
      <c r="Q174" t="s">
        <v>144</v>
      </c>
      <c r="R174" t="s">
        <v>145</v>
      </c>
      <c r="S174" t="s">
        <v>922</v>
      </c>
      <c r="T174" t="s">
        <v>928</v>
      </c>
      <c r="U174"/>
      <c r="V174"/>
      <c r="W174"/>
      <c r="X174"/>
      <c r="Y174"/>
      <c r="Z174"/>
      <c r="AA174"/>
      <c r="AB174"/>
      <c r="AC174"/>
      <c r="AD174"/>
      <c r="AE174" t="s">
        <v>929</v>
      </c>
      <c r="AF174" t="s">
        <v>67</v>
      </c>
      <c r="AG174" t="s">
        <v>147</v>
      </c>
      <c r="AH174" t="s">
        <v>90</v>
      </c>
      <c r="AI174" t="s">
        <v>70</v>
      </c>
      <c r="AJ174" t="s">
        <v>123</v>
      </c>
      <c r="AK174" t="s">
        <v>137</v>
      </c>
    </row>
    <row r="175" spans="1:37" x14ac:dyDescent="0.3">
      <c r="A175" t="s">
        <v>876</v>
      </c>
      <c r="B175" t="s">
        <v>870</v>
      </c>
      <c r="C175" s="2">
        <v>45764.926233009261</v>
      </c>
      <c r="D175" s="2">
        <v>45726.855289895837</v>
      </c>
      <c r="E175" s="2">
        <v>45726.854633692128</v>
      </c>
      <c r="F175" t="s">
        <v>871</v>
      </c>
      <c r="G175" t="s">
        <v>77</v>
      </c>
      <c r="H175">
        <v>45682</v>
      </c>
      <c r="I175">
        <v>0.76875000000000004</v>
      </c>
      <c r="J175"/>
      <c r="K175"/>
      <c r="L175">
        <v>45683</v>
      </c>
      <c r="M175">
        <v>0.44056712962962963</v>
      </c>
      <c r="N175" t="s">
        <v>902</v>
      </c>
      <c r="O175" t="s">
        <v>930</v>
      </c>
      <c r="P175"/>
      <c r="Q175" t="s">
        <v>83</v>
      </c>
      <c r="R175" t="s">
        <v>84</v>
      </c>
      <c r="S175" t="s">
        <v>907</v>
      </c>
      <c r="T175" t="s">
        <v>931</v>
      </c>
      <c r="U175"/>
      <c r="V175"/>
      <c r="W175" t="s">
        <v>932</v>
      </c>
      <c r="X175" t="s">
        <v>896</v>
      </c>
      <c r="Y175" t="s">
        <v>87</v>
      </c>
      <c r="Z175" t="s">
        <v>65</v>
      </c>
      <c r="AA175"/>
      <c r="AB175"/>
      <c r="AC175"/>
      <c r="AD175"/>
      <c r="AE175" t="s">
        <v>929</v>
      </c>
      <c r="AF175" t="s">
        <v>67</v>
      </c>
      <c r="AG175" t="s">
        <v>89</v>
      </c>
      <c r="AH175" t="s">
        <v>90</v>
      </c>
      <c r="AI175" t="s">
        <v>91</v>
      </c>
      <c r="AJ175" t="s">
        <v>92</v>
      </c>
      <c r="AK175" t="s">
        <v>72</v>
      </c>
    </row>
    <row r="176" spans="1:37" x14ac:dyDescent="0.3">
      <c r="A176" t="s">
        <v>876</v>
      </c>
      <c r="B176" t="s">
        <v>870</v>
      </c>
      <c r="C176" s="2">
        <v>45764.926233009261</v>
      </c>
      <c r="D176" s="2">
        <v>45726.855289895837</v>
      </c>
      <c r="E176" s="2">
        <v>45726.854633692128</v>
      </c>
      <c r="F176" t="s">
        <v>871</v>
      </c>
      <c r="G176" t="s">
        <v>96</v>
      </c>
      <c r="H176">
        <v>45683</v>
      </c>
      <c r="I176">
        <v>0.84027777777777779</v>
      </c>
      <c r="J176">
        <v>45683</v>
      </c>
      <c r="K176">
        <v>0.84652777777777777</v>
      </c>
      <c r="L176">
        <v>45683</v>
      </c>
      <c r="M176">
        <v>0.85009259259259262</v>
      </c>
      <c r="N176" t="s">
        <v>902</v>
      </c>
      <c r="O176" t="s">
        <v>930</v>
      </c>
      <c r="P176"/>
      <c r="Q176" t="s">
        <v>100</v>
      </c>
      <c r="R176" t="s">
        <v>101</v>
      </c>
      <c r="S176" t="s">
        <v>893</v>
      </c>
      <c r="T176" t="s">
        <v>933</v>
      </c>
      <c r="U176"/>
      <c r="V176"/>
      <c r="W176" t="s">
        <v>934</v>
      </c>
      <c r="X176" t="s">
        <v>896</v>
      </c>
      <c r="Y176" t="s">
        <v>104</v>
      </c>
      <c r="Z176" t="s">
        <v>935</v>
      </c>
      <c r="AA176"/>
      <c r="AB176"/>
      <c r="AC176"/>
      <c r="AD176"/>
      <c r="AE176" t="s">
        <v>904</v>
      </c>
      <c r="AF176" t="s">
        <v>67</v>
      </c>
      <c r="AG176" t="s">
        <v>105</v>
      </c>
      <c r="AH176" t="s">
        <v>69</v>
      </c>
      <c r="AI176" t="s">
        <v>106</v>
      </c>
      <c r="AJ176" t="s">
        <v>71</v>
      </c>
      <c r="AK176" t="s">
        <v>72</v>
      </c>
    </row>
    <row r="177" spans="1:37" x14ac:dyDescent="0.3">
      <c r="A177" t="s">
        <v>876</v>
      </c>
      <c r="B177" t="s">
        <v>870</v>
      </c>
      <c r="C177" s="2">
        <v>45764.926233009261</v>
      </c>
      <c r="D177" s="2">
        <v>45726.855289895837</v>
      </c>
      <c r="E177" s="2">
        <v>45726.854633692128</v>
      </c>
      <c r="F177" t="s">
        <v>871</v>
      </c>
      <c r="G177" t="s">
        <v>256</v>
      </c>
      <c r="H177">
        <v>45685</v>
      </c>
      <c r="I177">
        <v>0.625</v>
      </c>
      <c r="J177">
        <v>45686</v>
      </c>
      <c r="K177">
        <v>0.91736111111111107</v>
      </c>
      <c r="L177">
        <v>45686</v>
      </c>
      <c r="M177">
        <v>0.91833333333333322</v>
      </c>
      <c r="N177" t="s">
        <v>892</v>
      </c>
      <c r="O177" t="s">
        <v>930</v>
      </c>
      <c r="P177"/>
      <c r="Q177" t="s">
        <v>260</v>
      </c>
      <c r="R177" t="s">
        <v>261</v>
      </c>
      <c r="S177" t="s">
        <v>936</v>
      </c>
      <c r="T177" t="s">
        <v>937</v>
      </c>
      <c r="U177"/>
      <c r="V177"/>
      <c r="W177" t="s">
        <v>938</v>
      </c>
      <c r="X177" t="s">
        <v>939</v>
      </c>
      <c r="Y177" t="s">
        <v>265</v>
      </c>
      <c r="Z177" t="s">
        <v>65</v>
      </c>
      <c r="AA177"/>
      <c r="AB177"/>
      <c r="AC177"/>
      <c r="AD177"/>
      <c r="AE177" t="s">
        <v>940</v>
      </c>
      <c r="AF177" t="s">
        <v>67</v>
      </c>
      <c r="AG177" t="s">
        <v>244</v>
      </c>
      <c r="AH177" t="s">
        <v>206</v>
      </c>
      <c r="AI177" t="s">
        <v>70</v>
      </c>
      <c r="AJ177" t="s">
        <v>266</v>
      </c>
      <c r="AK177" t="s">
        <v>221</v>
      </c>
    </row>
    <row r="178" spans="1:37" x14ac:dyDescent="0.3">
      <c r="A178" t="s">
        <v>876</v>
      </c>
      <c r="B178" t="s">
        <v>870</v>
      </c>
      <c r="C178" s="2">
        <v>45764.926233009261</v>
      </c>
      <c r="D178" s="2">
        <v>45726.855289895837</v>
      </c>
      <c r="E178" s="2">
        <v>45726.854633692128</v>
      </c>
      <c r="F178" t="s">
        <v>871</v>
      </c>
      <c r="G178" t="s">
        <v>151</v>
      </c>
      <c r="H178">
        <v>45688</v>
      </c>
      <c r="I178">
        <v>0.49988425925925928</v>
      </c>
      <c r="J178"/>
      <c r="K178"/>
      <c r="L178">
        <v>45688</v>
      </c>
      <c r="M178">
        <v>0.49988425925925917</v>
      </c>
      <c r="N178" t="s">
        <v>915</v>
      </c>
      <c r="O178"/>
      <c r="P178"/>
      <c r="Q178" t="s">
        <v>154</v>
      </c>
      <c r="R178" t="s">
        <v>155</v>
      </c>
      <c r="S178" t="s">
        <v>907</v>
      </c>
      <c r="T178" t="s">
        <v>941</v>
      </c>
      <c r="U178"/>
      <c r="V178"/>
      <c r="W178"/>
      <c r="X178"/>
      <c r="Y178"/>
      <c r="Z178"/>
      <c r="AA178"/>
      <c r="AB178"/>
      <c r="AC178"/>
      <c r="AD178"/>
      <c r="AE178" t="s">
        <v>897</v>
      </c>
      <c r="AF178" t="s">
        <v>67</v>
      </c>
      <c r="AG178" t="s">
        <v>158</v>
      </c>
      <c r="AH178" t="s">
        <v>159</v>
      </c>
      <c r="AI178" t="s">
        <v>160</v>
      </c>
      <c r="AJ178" t="s">
        <v>71</v>
      </c>
      <c r="AK178" t="s">
        <v>137</v>
      </c>
    </row>
    <row r="179" spans="1:37" x14ac:dyDescent="0.3">
      <c r="A179" t="s">
        <v>876</v>
      </c>
      <c r="B179" t="s">
        <v>870</v>
      </c>
      <c r="C179" s="2">
        <v>45764.926233009261</v>
      </c>
      <c r="D179" s="2">
        <v>45726.855289895837</v>
      </c>
      <c r="E179" s="2">
        <v>45726.854633692128</v>
      </c>
      <c r="F179" t="s">
        <v>871</v>
      </c>
      <c r="G179" t="s">
        <v>269</v>
      </c>
      <c r="H179">
        <v>45689</v>
      </c>
      <c r="I179">
        <v>4.1666666666666664E-2</v>
      </c>
      <c r="J179"/>
      <c r="K179">
        <v>0.10416666666666674</v>
      </c>
      <c r="L179">
        <v>45689</v>
      </c>
      <c r="M179">
        <v>0.11982638888888886</v>
      </c>
      <c r="N179" t="s">
        <v>892</v>
      </c>
      <c r="O179"/>
      <c r="P179"/>
      <c r="Q179" t="s">
        <v>272</v>
      </c>
      <c r="R179" t="s">
        <v>273</v>
      </c>
      <c r="S179" t="s">
        <v>936</v>
      </c>
      <c r="T179" t="s">
        <v>942</v>
      </c>
      <c r="U179"/>
      <c r="V179"/>
      <c r="W179" t="s">
        <v>943</v>
      </c>
      <c r="X179" t="s">
        <v>944</v>
      </c>
      <c r="Y179" t="s">
        <v>276</v>
      </c>
      <c r="Z179" t="s">
        <v>65</v>
      </c>
      <c r="AA179"/>
      <c r="AB179"/>
      <c r="AC179"/>
      <c r="AD179"/>
      <c r="AE179" t="s">
        <v>913</v>
      </c>
      <c r="AF179" t="s">
        <v>67</v>
      </c>
      <c r="AG179" t="s">
        <v>244</v>
      </c>
      <c r="AH179" t="s">
        <v>206</v>
      </c>
      <c r="AI179" t="s">
        <v>122</v>
      </c>
      <c r="AJ179" t="s">
        <v>71</v>
      </c>
      <c r="AK179" t="s">
        <v>221</v>
      </c>
    </row>
    <row r="180" spans="1:37" x14ac:dyDescent="0.3">
      <c r="A180" t="s">
        <v>876</v>
      </c>
      <c r="B180" t="s">
        <v>870</v>
      </c>
      <c r="C180" s="2">
        <v>45764.926233009261</v>
      </c>
      <c r="D180" s="2">
        <v>45726.855289895837</v>
      </c>
      <c r="E180" s="2">
        <v>45726.854633692128</v>
      </c>
      <c r="F180" t="s">
        <v>871</v>
      </c>
      <c r="G180" t="s">
        <v>382</v>
      </c>
      <c r="H180">
        <v>45690</v>
      </c>
      <c r="I180">
        <v>0.72569444444444442</v>
      </c>
      <c r="J180">
        <v>45690</v>
      </c>
      <c r="K180">
        <v>0.75</v>
      </c>
      <c r="L180">
        <v>45691</v>
      </c>
      <c r="M180">
        <v>0.50143518518518526</v>
      </c>
      <c r="N180" t="s">
        <v>176</v>
      </c>
      <c r="O180" t="s">
        <v>906</v>
      </c>
      <c r="P180"/>
      <c r="Q180" t="s">
        <v>385</v>
      </c>
      <c r="R180" t="s">
        <v>145</v>
      </c>
      <c r="S180" t="s">
        <v>922</v>
      </c>
      <c r="T180" t="s">
        <v>945</v>
      </c>
      <c r="U180"/>
      <c r="V180"/>
      <c r="W180"/>
      <c r="X180"/>
      <c r="Y180"/>
      <c r="Z180"/>
      <c r="AA180"/>
      <c r="AB180"/>
      <c r="AC180"/>
      <c r="AD180"/>
      <c r="AE180" t="s">
        <v>904</v>
      </c>
      <c r="AF180" t="s">
        <v>67</v>
      </c>
      <c r="AG180" t="s">
        <v>105</v>
      </c>
      <c r="AH180" t="s">
        <v>69</v>
      </c>
      <c r="AI180" t="s">
        <v>180</v>
      </c>
      <c r="AJ180" t="s">
        <v>92</v>
      </c>
      <c r="AK180"/>
    </row>
    <row r="181" spans="1:37" x14ac:dyDescent="0.3">
      <c r="A181" t="s">
        <v>876</v>
      </c>
      <c r="B181" t="s">
        <v>870</v>
      </c>
      <c r="C181" s="2">
        <v>45764.926233009261</v>
      </c>
      <c r="D181" s="2">
        <v>45726.855289895837</v>
      </c>
      <c r="E181" s="2">
        <v>45726.854633692128</v>
      </c>
      <c r="F181" t="s">
        <v>871</v>
      </c>
      <c r="G181" t="s">
        <v>388</v>
      </c>
      <c r="H181"/>
      <c r="I181"/>
      <c r="J181"/>
      <c r="K181"/>
      <c r="L181">
        <v>45691</v>
      </c>
      <c r="M181">
        <v>0.69484953703703711</v>
      </c>
      <c r="N181" t="s">
        <v>906</v>
      </c>
      <c r="O181"/>
      <c r="P181"/>
      <c r="Q181" t="s">
        <v>390</v>
      </c>
      <c r="R181" t="s">
        <v>363</v>
      </c>
      <c r="S181" t="s">
        <v>893</v>
      </c>
      <c r="T181" t="s">
        <v>946</v>
      </c>
      <c r="U181"/>
      <c r="V181"/>
      <c r="W181"/>
      <c r="X181"/>
      <c r="Y181"/>
      <c r="Z181"/>
      <c r="AA181"/>
      <c r="AB181"/>
      <c r="AC181"/>
      <c r="AD181"/>
      <c r="AE181" t="s">
        <v>929</v>
      </c>
      <c r="AF181" t="s">
        <v>67</v>
      </c>
      <c r="AG181" t="s">
        <v>136</v>
      </c>
      <c r="AH181" t="s">
        <v>69</v>
      </c>
      <c r="AI181" t="s">
        <v>106</v>
      </c>
      <c r="AJ181" t="s">
        <v>71</v>
      </c>
      <c r="AK181" t="s">
        <v>353</v>
      </c>
    </row>
    <row r="182" spans="1:37" x14ac:dyDescent="0.3">
      <c r="A182" t="s">
        <v>876</v>
      </c>
      <c r="B182" t="s">
        <v>870</v>
      </c>
      <c r="C182" s="2">
        <v>45764.926233009261</v>
      </c>
      <c r="D182" s="2">
        <v>45726.855289895837</v>
      </c>
      <c r="E182" s="2">
        <v>45726.854633692128</v>
      </c>
      <c r="F182" t="s">
        <v>871</v>
      </c>
      <c r="G182" t="s">
        <v>279</v>
      </c>
      <c r="H182">
        <v>45691</v>
      </c>
      <c r="I182">
        <v>0.77083333333333337</v>
      </c>
      <c r="J182">
        <v>45692</v>
      </c>
      <c r="K182">
        <v>0.79166666666666674</v>
      </c>
      <c r="L182">
        <v>45692</v>
      </c>
      <c r="M182">
        <v>0.53023148148148147</v>
      </c>
      <c r="N182" t="s">
        <v>892</v>
      </c>
      <c r="O182"/>
      <c r="P182"/>
      <c r="Q182" t="s">
        <v>282</v>
      </c>
      <c r="R182" t="s">
        <v>283</v>
      </c>
      <c r="S182" t="s">
        <v>907</v>
      </c>
      <c r="T182" t="s">
        <v>947</v>
      </c>
      <c r="U182"/>
      <c r="V182"/>
      <c r="W182" t="s">
        <v>948</v>
      </c>
      <c r="X182" t="s">
        <v>286</v>
      </c>
      <c r="Y182" t="s">
        <v>949</v>
      </c>
      <c r="Z182" t="s">
        <v>288</v>
      </c>
      <c r="AA182"/>
      <c r="AB182"/>
      <c r="AC182"/>
      <c r="AD182"/>
      <c r="AE182" t="s">
        <v>904</v>
      </c>
      <c r="AF182" t="s">
        <v>67</v>
      </c>
      <c r="AG182" t="s">
        <v>105</v>
      </c>
      <c r="AH182" t="s">
        <v>69</v>
      </c>
      <c r="AI182" t="s">
        <v>70</v>
      </c>
      <c r="AJ182" t="s">
        <v>195</v>
      </c>
      <c r="AK182" t="s">
        <v>221</v>
      </c>
    </row>
    <row r="183" spans="1:37" x14ac:dyDescent="0.3">
      <c r="A183" t="s">
        <v>876</v>
      </c>
      <c r="B183" t="s">
        <v>870</v>
      </c>
      <c r="C183" s="2">
        <v>45764.926233009261</v>
      </c>
      <c r="D183" s="2">
        <v>45726.855289895837</v>
      </c>
      <c r="E183" s="2">
        <v>45726.854633692128</v>
      </c>
      <c r="F183" t="s">
        <v>871</v>
      </c>
      <c r="G183" t="s">
        <v>161</v>
      </c>
      <c r="H183">
        <v>45693</v>
      </c>
      <c r="I183">
        <v>0.12291666666666666</v>
      </c>
      <c r="J183"/>
      <c r="K183"/>
      <c r="L183">
        <v>45693</v>
      </c>
      <c r="M183">
        <v>0.12339120370370371</v>
      </c>
      <c r="N183" t="s">
        <v>950</v>
      </c>
      <c r="O183" t="s">
        <v>167</v>
      </c>
      <c r="P183"/>
      <c r="Q183" t="s">
        <v>168</v>
      </c>
      <c r="R183" t="s">
        <v>155</v>
      </c>
      <c r="S183" t="s">
        <v>907</v>
      </c>
      <c r="T183" t="s">
        <v>951</v>
      </c>
      <c r="U183"/>
      <c r="V183"/>
      <c r="W183"/>
      <c r="X183"/>
      <c r="Y183"/>
      <c r="Z183"/>
      <c r="AA183"/>
      <c r="AB183"/>
      <c r="AC183"/>
      <c r="AD183"/>
      <c r="AE183" t="s">
        <v>913</v>
      </c>
      <c r="AF183" t="s">
        <v>67</v>
      </c>
      <c r="AG183" t="s">
        <v>170</v>
      </c>
      <c r="AH183" t="s">
        <v>90</v>
      </c>
      <c r="AI183" t="s">
        <v>171</v>
      </c>
      <c r="AJ183" t="s">
        <v>123</v>
      </c>
      <c r="AK183" t="s">
        <v>137</v>
      </c>
    </row>
    <row r="184" spans="1:37" x14ac:dyDescent="0.3">
      <c r="A184" t="s">
        <v>876</v>
      </c>
      <c r="B184" t="s">
        <v>870</v>
      </c>
      <c r="C184" s="2">
        <v>45764.926233009261</v>
      </c>
      <c r="D184" s="2">
        <v>45726.855289895837</v>
      </c>
      <c r="E184" s="2">
        <v>45726.854633692128</v>
      </c>
      <c r="F184" t="s">
        <v>871</v>
      </c>
      <c r="G184" t="s">
        <v>292</v>
      </c>
      <c r="H184">
        <v>45695</v>
      </c>
      <c r="I184">
        <v>0.27430555555555558</v>
      </c>
      <c r="J184">
        <v>45695</v>
      </c>
      <c r="K184">
        <v>0.28472222222222232</v>
      </c>
      <c r="L184">
        <v>45695</v>
      </c>
      <c r="M184">
        <v>0.30738425925925927</v>
      </c>
      <c r="N184" t="s">
        <v>892</v>
      </c>
      <c r="O184"/>
      <c r="P184"/>
      <c r="Q184" t="s">
        <v>296</v>
      </c>
      <c r="R184" t="s">
        <v>203</v>
      </c>
      <c r="S184" t="s">
        <v>922</v>
      </c>
      <c r="T184" t="s">
        <v>952</v>
      </c>
      <c r="U184"/>
      <c r="V184"/>
      <c r="W184" t="s">
        <v>953</v>
      </c>
      <c r="X184" t="s">
        <v>954</v>
      </c>
      <c r="Y184" t="s">
        <v>300</v>
      </c>
      <c r="Z184" t="s">
        <v>65</v>
      </c>
      <c r="AA184"/>
      <c r="AB184"/>
      <c r="AC184"/>
      <c r="AD184"/>
      <c r="AE184" t="s">
        <v>913</v>
      </c>
      <c r="AF184" t="s">
        <v>67</v>
      </c>
      <c r="AG184" t="s">
        <v>301</v>
      </c>
      <c r="AH184" t="s">
        <v>121</v>
      </c>
      <c r="AI184" t="s">
        <v>180</v>
      </c>
      <c r="AJ184" t="s">
        <v>92</v>
      </c>
      <c r="AK184" t="s">
        <v>221</v>
      </c>
    </row>
    <row r="185" spans="1:37" x14ac:dyDescent="0.3">
      <c r="A185" t="s">
        <v>876</v>
      </c>
      <c r="B185" t="s">
        <v>870</v>
      </c>
      <c r="C185" s="2">
        <v>45764.926233009261</v>
      </c>
      <c r="D185" s="2">
        <v>45726.855289895837</v>
      </c>
      <c r="E185" s="2">
        <v>45726.854633692128</v>
      </c>
      <c r="F185" t="s">
        <v>871</v>
      </c>
      <c r="G185" t="s">
        <v>305</v>
      </c>
      <c r="H185">
        <v>45688</v>
      </c>
      <c r="I185">
        <v>0.5</v>
      </c>
      <c r="J185">
        <v>45695</v>
      </c>
      <c r="K185">
        <v>0.54166666666666674</v>
      </c>
      <c r="L185">
        <v>45696</v>
      </c>
      <c r="M185">
        <v>0.3903240740740741</v>
      </c>
      <c r="N185" t="s">
        <v>892</v>
      </c>
      <c r="O185"/>
      <c r="P185"/>
      <c r="Q185" t="s">
        <v>308</v>
      </c>
      <c r="R185" t="s">
        <v>250</v>
      </c>
      <c r="S185" t="s">
        <v>922</v>
      </c>
      <c r="T185" t="s">
        <v>955</v>
      </c>
      <c r="U185"/>
      <c r="V185"/>
      <c r="W185" t="s">
        <v>956</v>
      </c>
      <c r="X185"/>
      <c r="Y185" t="s">
        <v>230</v>
      </c>
      <c r="Z185" t="s">
        <v>935</v>
      </c>
      <c r="AA185"/>
      <c r="AB185"/>
      <c r="AC185"/>
      <c r="AD185"/>
      <c r="AE185" t="s">
        <v>913</v>
      </c>
      <c r="AF185" t="s">
        <v>67</v>
      </c>
      <c r="AG185" t="s">
        <v>205</v>
      </c>
      <c r="AH185" t="s">
        <v>206</v>
      </c>
      <c r="AI185" t="s">
        <v>106</v>
      </c>
      <c r="AJ185" t="s">
        <v>71</v>
      </c>
      <c r="AK185" t="s">
        <v>221</v>
      </c>
    </row>
    <row r="186" spans="1:37" x14ac:dyDescent="0.3">
      <c r="A186" t="s">
        <v>876</v>
      </c>
      <c r="B186" t="s">
        <v>870</v>
      </c>
      <c r="C186" s="2">
        <v>45764.926233009261</v>
      </c>
      <c r="D186" s="2">
        <v>45726.855289895837</v>
      </c>
      <c r="E186" s="2">
        <v>45726.854633692128</v>
      </c>
      <c r="F186" t="s">
        <v>871</v>
      </c>
      <c r="G186" t="s">
        <v>437</v>
      </c>
      <c r="H186">
        <v>45701</v>
      </c>
      <c r="I186">
        <v>8.3333333333333329E-2</v>
      </c>
      <c r="J186"/>
      <c r="K186"/>
      <c r="L186">
        <v>45701</v>
      </c>
      <c r="M186">
        <v>0.51225694444444447</v>
      </c>
      <c r="N186" t="s">
        <v>440</v>
      </c>
      <c r="O186" t="s">
        <v>957</v>
      </c>
      <c r="P186" t="s">
        <v>906</v>
      </c>
      <c r="Q186" t="s">
        <v>443</v>
      </c>
      <c r="R186" t="s">
        <v>191</v>
      </c>
      <c r="S186" t="s">
        <v>893</v>
      </c>
      <c r="T186" t="s">
        <v>958</v>
      </c>
      <c r="U186"/>
      <c r="V186"/>
      <c r="W186"/>
      <c r="X186"/>
      <c r="Y186"/>
      <c r="Z186"/>
      <c r="AA186"/>
      <c r="AB186"/>
      <c r="AC186"/>
      <c r="AD186"/>
      <c r="AE186" t="s">
        <v>959</v>
      </c>
      <c r="AF186" t="s">
        <v>67</v>
      </c>
      <c r="AG186" t="s">
        <v>120</v>
      </c>
      <c r="AH186" t="s">
        <v>121</v>
      </c>
      <c r="AI186" t="s">
        <v>378</v>
      </c>
      <c r="AJ186" t="s">
        <v>446</v>
      </c>
      <c r="AK186"/>
    </row>
    <row r="187" spans="1:37" x14ac:dyDescent="0.3">
      <c r="A187" t="s">
        <v>876</v>
      </c>
      <c r="B187" t="s">
        <v>870</v>
      </c>
      <c r="C187" s="2">
        <v>45764.926233009261</v>
      </c>
      <c r="D187" s="2">
        <v>45726.855289895837</v>
      </c>
      <c r="E187" s="2">
        <v>45726.854633692128</v>
      </c>
      <c r="F187" t="s">
        <v>871</v>
      </c>
      <c r="G187" t="s">
        <v>110</v>
      </c>
      <c r="H187">
        <v>45701</v>
      </c>
      <c r="I187">
        <v>0.66666666666666663</v>
      </c>
      <c r="J187"/>
      <c r="K187"/>
      <c r="L187">
        <v>45702</v>
      </c>
      <c r="M187">
        <v>0.29906250000000001</v>
      </c>
      <c r="N187" t="s">
        <v>902</v>
      </c>
      <c r="O187"/>
      <c r="P187"/>
      <c r="Q187" t="s">
        <v>113</v>
      </c>
      <c r="R187" t="s">
        <v>114</v>
      </c>
      <c r="S187" t="s">
        <v>936</v>
      </c>
      <c r="T187" t="s">
        <v>960</v>
      </c>
      <c r="U187"/>
      <c r="V187"/>
      <c r="W187" t="s">
        <v>116</v>
      </c>
      <c r="X187" t="s">
        <v>944</v>
      </c>
      <c r="Y187" t="s">
        <v>118</v>
      </c>
      <c r="Z187" t="s">
        <v>65</v>
      </c>
      <c r="AA187"/>
      <c r="AB187"/>
      <c r="AC187"/>
      <c r="AD187"/>
      <c r="AE187" t="s">
        <v>913</v>
      </c>
      <c r="AF187" t="s">
        <v>67</v>
      </c>
      <c r="AG187" t="s">
        <v>120</v>
      </c>
      <c r="AH187" t="s">
        <v>121</v>
      </c>
      <c r="AI187" t="s">
        <v>122</v>
      </c>
      <c r="AJ187" t="s">
        <v>71</v>
      </c>
      <c r="AK187" t="s">
        <v>72</v>
      </c>
    </row>
    <row r="188" spans="1:37" x14ac:dyDescent="0.3">
      <c r="A188" t="s">
        <v>876</v>
      </c>
      <c r="B188" t="s">
        <v>870</v>
      </c>
      <c r="C188" s="2">
        <v>45764.926233009261</v>
      </c>
      <c r="D188" s="2">
        <v>45726.855289895837</v>
      </c>
      <c r="E188" s="2">
        <v>45726.854633692128</v>
      </c>
      <c r="F188" t="s">
        <v>871</v>
      </c>
      <c r="G188" t="s">
        <v>313</v>
      </c>
      <c r="H188">
        <v>45705</v>
      </c>
      <c r="I188">
        <v>0.34877314814814814</v>
      </c>
      <c r="J188"/>
      <c r="K188"/>
      <c r="L188">
        <v>45705</v>
      </c>
      <c r="M188">
        <v>0.34877314814814819</v>
      </c>
      <c r="N188" t="s">
        <v>892</v>
      </c>
      <c r="O188" t="s">
        <v>317</v>
      </c>
      <c r="P188"/>
      <c r="Q188" t="s">
        <v>318</v>
      </c>
      <c r="R188" t="s">
        <v>134</v>
      </c>
      <c r="S188" t="s">
        <v>899</v>
      </c>
      <c r="T188" t="s">
        <v>961</v>
      </c>
      <c r="U188"/>
      <c r="V188"/>
      <c r="W188" t="s">
        <v>962</v>
      </c>
      <c r="X188" t="s">
        <v>896</v>
      </c>
      <c r="Y188" t="s">
        <v>218</v>
      </c>
      <c r="Z188" t="s">
        <v>65</v>
      </c>
      <c r="AA188"/>
      <c r="AB188"/>
      <c r="AC188"/>
      <c r="AD188"/>
      <c r="AE188" t="s">
        <v>904</v>
      </c>
      <c r="AF188" t="s">
        <v>67</v>
      </c>
      <c r="AG188" t="s">
        <v>68</v>
      </c>
      <c r="AH188" t="s">
        <v>69</v>
      </c>
      <c r="AI188" t="s">
        <v>122</v>
      </c>
      <c r="AJ188" t="s">
        <v>71</v>
      </c>
      <c r="AK188" t="s">
        <v>221</v>
      </c>
    </row>
    <row r="189" spans="1:37" x14ac:dyDescent="0.3">
      <c r="A189" t="s">
        <v>876</v>
      </c>
      <c r="B189" t="s">
        <v>870</v>
      </c>
      <c r="C189" s="2">
        <v>45764.926233009261</v>
      </c>
      <c r="D189" s="2">
        <v>45726.855289895837</v>
      </c>
      <c r="E189" s="2">
        <v>45726.854633692128</v>
      </c>
      <c r="F189" t="s">
        <v>871</v>
      </c>
      <c r="G189" t="s">
        <v>324</v>
      </c>
      <c r="H189">
        <v>45705</v>
      </c>
      <c r="I189">
        <v>0.39716435185185184</v>
      </c>
      <c r="J189"/>
      <c r="K189"/>
      <c r="L189">
        <v>45705</v>
      </c>
      <c r="M189">
        <v>0.39716435185185195</v>
      </c>
      <c r="N189" t="s">
        <v>892</v>
      </c>
      <c r="O189"/>
      <c r="P189"/>
      <c r="Q189" t="s">
        <v>326</v>
      </c>
      <c r="R189" t="s">
        <v>327</v>
      </c>
      <c r="S189" t="s">
        <v>899</v>
      </c>
      <c r="T189" t="s">
        <v>963</v>
      </c>
      <c r="U189"/>
      <c r="V189"/>
      <c r="W189" t="s">
        <v>964</v>
      </c>
      <c r="X189" t="s">
        <v>896</v>
      </c>
      <c r="Y189" t="s">
        <v>218</v>
      </c>
      <c r="Z189" t="s">
        <v>935</v>
      </c>
      <c r="AA189"/>
      <c r="AB189"/>
      <c r="AC189"/>
      <c r="AD189"/>
      <c r="AE189" t="s">
        <v>904</v>
      </c>
      <c r="AF189" t="s">
        <v>67</v>
      </c>
      <c r="AG189" t="s">
        <v>330</v>
      </c>
      <c r="AH189" t="s">
        <v>69</v>
      </c>
      <c r="AI189" t="s">
        <v>122</v>
      </c>
      <c r="AJ189" t="s">
        <v>71</v>
      </c>
      <c r="AK189" t="s">
        <v>221</v>
      </c>
    </row>
    <row r="190" spans="1:37" x14ac:dyDescent="0.3">
      <c r="A190" t="s">
        <v>876</v>
      </c>
      <c r="B190" t="s">
        <v>870</v>
      </c>
      <c r="C190" s="2">
        <v>45764.926233009261</v>
      </c>
      <c r="D190" s="2">
        <v>45726.855289895837</v>
      </c>
      <c r="E190" s="2">
        <v>45726.854633692128</v>
      </c>
      <c r="F190" t="s">
        <v>871</v>
      </c>
      <c r="G190" t="s">
        <v>173</v>
      </c>
      <c r="H190">
        <v>45705</v>
      </c>
      <c r="I190">
        <v>0.52497685185185183</v>
      </c>
      <c r="J190"/>
      <c r="K190"/>
      <c r="L190">
        <v>45705</v>
      </c>
      <c r="M190">
        <v>0.52497685185185183</v>
      </c>
      <c r="N190" t="s">
        <v>950</v>
      </c>
      <c r="O190" t="s">
        <v>176</v>
      </c>
      <c r="P190"/>
      <c r="Q190" t="s">
        <v>177</v>
      </c>
      <c r="R190" t="s">
        <v>178</v>
      </c>
      <c r="S190" t="s">
        <v>893</v>
      </c>
      <c r="T190" t="s">
        <v>965</v>
      </c>
      <c r="U190"/>
      <c r="V190"/>
      <c r="W190"/>
      <c r="X190"/>
      <c r="Y190"/>
      <c r="Z190"/>
      <c r="AA190"/>
      <c r="AB190"/>
      <c r="AC190"/>
      <c r="AD190"/>
      <c r="AE190" t="s">
        <v>904</v>
      </c>
      <c r="AF190" t="s">
        <v>67</v>
      </c>
      <c r="AG190" t="s">
        <v>68</v>
      </c>
      <c r="AH190" t="s">
        <v>69</v>
      </c>
      <c r="AI190" t="s">
        <v>180</v>
      </c>
      <c r="AJ190" t="s">
        <v>71</v>
      </c>
      <c r="AK190" t="s">
        <v>137</v>
      </c>
    </row>
    <row r="191" spans="1:37" x14ac:dyDescent="0.3">
      <c r="A191" t="s">
        <v>876</v>
      </c>
      <c r="B191" t="s">
        <v>870</v>
      </c>
      <c r="C191" s="2">
        <v>45764.926233009261</v>
      </c>
      <c r="D191" s="2">
        <v>45726.855289895837</v>
      </c>
      <c r="E191" s="2">
        <v>45726.854633692128</v>
      </c>
      <c r="F191" t="s">
        <v>871</v>
      </c>
      <c r="G191" t="s">
        <v>420</v>
      </c>
      <c r="H191">
        <v>45705</v>
      </c>
      <c r="I191">
        <v>0.83333333333333337</v>
      </c>
      <c r="J191">
        <v>45705</v>
      </c>
      <c r="K191">
        <v>0.98958333333333326</v>
      </c>
      <c r="L191">
        <v>45706</v>
      </c>
      <c r="M191">
        <v>0.73564814814814805</v>
      </c>
      <c r="N191" t="s">
        <v>423</v>
      </c>
      <c r="O191" t="s">
        <v>925</v>
      </c>
      <c r="P191"/>
      <c r="Q191" t="s">
        <v>425</v>
      </c>
      <c r="R191" t="s">
        <v>426</v>
      </c>
      <c r="S191" t="s">
        <v>907</v>
      </c>
      <c r="T191" t="s">
        <v>966</v>
      </c>
      <c r="U191"/>
      <c r="V191"/>
      <c r="W191"/>
      <c r="X191"/>
      <c r="Y191"/>
      <c r="Z191"/>
      <c r="AA191"/>
      <c r="AB191"/>
      <c r="AC191"/>
      <c r="AD191"/>
      <c r="AE191" t="s">
        <v>927</v>
      </c>
      <c r="AF191" t="s">
        <v>67</v>
      </c>
      <c r="AG191" t="s">
        <v>106</v>
      </c>
      <c r="AH191" t="s">
        <v>417</v>
      </c>
      <c r="AI191" t="s">
        <v>106</v>
      </c>
      <c r="AJ191" t="s">
        <v>266</v>
      </c>
      <c r="AK191"/>
    </row>
    <row r="192" spans="1:37" x14ac:dyDescent="0.3">
      <c r="A192" t="s">
        <v>876</v>
      </c>
      <c r="B192" t="s">
        <v>870</v>
      </c>
      <c r="C192" s="2">
        <v>45764.926233009261</v>
      </c>
      <c r="D192" s="2">
        <v>45726.855289895837</v>
      </c>
      <c r="E192" s="2">
        <v>45726.854633692128</v>
      </c>
      <c r="F192" t="s">
        <v>871</v>
      </c>
      <c r="G192" t="s">
        <v>429</v>
      </c>
      <c r="H192">
        <v>42906</v>
      </c>
      <c r="I192">
        <v>0.53615740740740736</v>
      </c>
      <c r="J192">
        <v>45555</v>
      </c>
      <c r="K192"/>
      <c r="L192">
        <v>45708</v>
      </c>
      <c r="M192">
        <v>0.53615740740740736</v>
      </c>
      <c r="N192" t="s">
        <v>925</v>
      </c>
      <c r="O192"/>
      <c r="P192"/>
      <c r="Q192" t="s">
        <v>432</v>
      </c>
      <c r="R192" t="s">
        <v>101</v>
      </c>
      <c r="S192" t="s">
        <v>907</v>
      </c>
      <c r="T192" t="s">
        <v>974</v>
      </c>
      <c r="U192"/>
      <c r="V192"/>
      <c r="W192"/>
      <c r="X192"/>
      <c r="Y192"/>
      <c r="Z192"/>
      <c r="AA192"/>
      <c r="AB192"/>
      <c r="AC192"/>
      <c r="AD192"/>
      <c r="AE192" t="s">
        <v>904</v>
      </c>
      <c r="AF192" t="s">
        <v>67</v>
      </c>
      <c r="AG192" t="s">
        <v>434</v>
      </c>
      <c r="AH192" t="s">
        <v>69</v>
      </c>
      <c r="AI192" t="s">
        <v>352</v>
      </c>
      <c r="AJ192" t="s">
        <v>435</v>
      </c>
      <c r="AK192" t="s">
        <v>436</v>
      </c>
    </row>
    <row r="193" spans="1:37" x14ac:dyDescent="0.3">
      <c r="A193" t="s">
        <v>876</v>
      </c>
      <c r="B193" t="s">
        <v>870</v>
      </c>
      <c r="C193" s="2">
        <v>45764.926233009261</v>
      </c>
      <c r="D193" s="2">
        <v>45726.855289895837</v>
      </c>
      <c r="E193" s="2">
        <v>45726.854633692128</v>
      </c>
      <c r="F193" t="s">
        <v>871</v>
      </c>
      <c r="G193" t="s">
        <v>332</v>
      </c>
      <c r="H193">
        <v>45713</v>
      </c>
      <c r="I193">
        <v>0.41666666666666669</v>
      </c>
      <c r="J193">
        <v>45713</v>
      </c>
      <c r="K193">
        <v>0.95833333333333326</v>
      </c>
      <c r="L193">
        <v>45712</v>
      </c>
      <c r="M193">
        <v>0.9913657407407408</v>
      </c>
      <c r="N193" t="s">
        <v>892</v>
      </c>
      <c r="O193"/>
      <c r="P193"/>
      <c r="Q193" t="s">
        <v>335</v>
      </c>
      <c r="R193" t="s">
        <v>250</v>
      </c>
      <c r="S193" t="s">
        <v>922</v>
      </c>
      <c r="T193" t="s">
        <v>973</v>
      </c>
      <c r="U193"/>
      <c r="V193"/>
      <c r="W193" t="s">
        <v>337</v>
      </c>
      <c r="X193" t="s">
        <v>896</v>
      </c>
      <c r="Y193" t="s">
        <v>338</v>
      </c>
      <c r="Z193" t="s">
        <v>339</v>
      </c>
      <c r="AA193"/>
      <c r="AB193"/>
      <c r="AC193"/>
      <c r="AD193"/>
      <c r="AE193" t="s">
        <v>897</v>
      </c>
      <c r="AF193" t="s">
        <v>67</v>
      </c>
      <c r="AG193" t="s">
        <v>158</v>
      </c>
      <c r="AH193" t="s">
        <v>159</v>
      </c>
      <c r="AI193" t="s">
        <v>160</v>
      </c>
      <c r="AJ193" t="s">
        <v>975</v>
      </c>
      <c r="AK193" t="s">
        <v>221</v>
      </c>
    </row>
    <row r="194" spans="1:37" x14ac:dyDescent="0.3">
      <c r="A194" t="s">
        <v>876</v>
      </c>
      <c r="B194" t="s">
        <v>870</v>
      </c>
      <c r="C194" s="2">
        <v>45764.926233009261</v>
      </c>
      <c r="D194" s="2">
        <v>45726.855289895837</v>
      </c>
      <c r="E194" s="2">
        <v>45726.854633692128</v>
      </c>
      <c r="F194" t="s">
        <v>871</v>
      </c>
      <c r="G194" t="s">
        <v>492</v>
      </c>
      <c r="H194">
        <v>45720</v>
      </c>
      <c r="I194">
        <v>0.64097222222222228</v>
      </c>
      <c r="J194"/>
      <c r="K194"/>
      <c r="L194">
        <v>45720</v>
      </c>
      <c r="M194">
        <v>0.64444444444444438</v>
      </c>
      <c r="N194" t="s">
        <v>906</v>
      </c>
      <c r="O194" t="s">
        <v>976</v>
      </c>
      <c r="P194" t="s">
        <v>344</v>
      </c>
      <c r="Q194" t="s">
        <v>497</v>
      </c>
      <c r="R194" t="s">
        <v>84</v>
      </c>
      <c r="S194" t="s">
        <v>907</v>
      </c>
      <c r="T194" t="s">
        <v>977</v>
      </c>
      <c r="U194"/>
      <c r="V194"/>
      <c r="W194" t="s">
        <v>499</v>
      </c>
      <c r="X194" t="s">
        <v>500</v>
      </c>
      <c r="Y194" t="s">
        <v>501</v>
      </c>
      <c r="Z194" t="s">
        <v>65</v>
      </c>
      <c r="AA194"/>
      <c r="AB194"/>
      <c r="AC194"/>
      <c r="AD194"/>
      <c r="AE194" t="s">
        <v>978</v>
      </c>
      <c r="AF194" t="s">
        <v>67</v>
      </c>
      <c r="AG194" t="s">
        <v>502</v>
      </c>
      <c r="AH194" t="s">
        <v>159</v>
      </c>
      <c r="AI194" t="s">
        <v>378</v>
      </c>
      <c r="AJ194" t="s">
        <v>195</v>
      </c>
      <c r="AK194" t="s">
        <v>353</v>
      </c>
    </row>
    <row r="195" spans="1:37" x14ac:dyDescent="0.3">
      <c r="A195" t="s">
        <v>876</v>
      </c>
      <c r="B195" t="s">
        <v>870</v>
      </c>
      <c r="C195" s="2">
        <v>45764.926233009261</v>
      </c>
      <c r="D195" s="2">
        <v>45726.855289895837</v>
      </c>
      <c r="E195" s="2">
        <v>45726.854633692128</v>
      </c>
      <c r="F195" t="s">
        <v>871</v>
      </c>
      <c r="G195" t="s">
        <v>484</v>
      </c>
      <c r="H195">
        <v>45720</v>
      </c>
      <c r="I195">
        <v>0.79126157407407405</v>
      </c>
      <c r="J195"/>
      <c r="K195"/>
      <c r="L195">
        <v>45720</v>
      </c>
      <c r="M195">
        <v>0.79126157407407405</v>
      </c>
      <c r="N195" t="s">
        <v>906</v>
      </c>
      <c r="O195"/>
      <c r="P195"/>
      <c r="Q195" t="s">
        <v>487</v>
      </c>
      <c r="R195" t="s">
        <v>261</v>
      </c>
      <c r="S195" t="s">
        <v>936</v>
      </c>
      <c r="T195" t="s">
        <v>979</v>
      </c>
      <c r="U195"/>
      <c r="V195"/>
      <c r="W195"/>
      <c r="X195"/>
      <c r="Y195"/>
      <c r="Z195"/>
      <c r="AA195"/>
      <c r="AB195"/>
      <c r="AC195"/>
      <c r="AD195"/>
      <c r="AE195" t="s">
        <v>978</v>
      </c>
      <c r="AF195" t="s">
        <v>67</v>
      </c>
      <c r="AG195" t="s">
        <v>489</v>
      </c>
      <c r="AH195" t="s">
        <v>206</v>
      </c>
      <c r="AI195" t="s">
        <v>70</v>
      </c>
      <c r="AJ195" t="s">
        <v>123</v>
      </c>
      <c r="AK195" t="s">
        <v>353</v>
      </c>
    </row>
    <row r="196" spans="1:37" x14ac:dyDescent="0.3">
      <c r="A196" t="s">
        <v>876</v>
      </c>
      <c r="B196" t="s">
        <v>870</v>
      </c>
      <c r="C196" s="2">
        <v>45764.926233009261</v>
      </c>
      <c r="D196" s="2">
        <v>45726.855289895837</v>
      </c>
      <c r="E196" s="2">
        <v>45726.854633692128</v>
      </c>
      <c r="F196" t="s">
        <v>871</v>
      </c>
      <c r="G196" t="s">
        <v>460</v>
      </c>
      <c r="H196">
        <v>45722</v>
      </c>
      <c r="I196">
        <v>0.94149305555555551</v>
      </c>
      <c r="J196"/>
      <c r="K196"/>
      <c r="L196">
        <v>45722</v>
      </c>
      <c r="M196">
        <v>0.94149305555555562</v>
      </c>
      <c r="N196" t="s">
        <v>902</v>
      </c>
      <c r="O196"/>
      <c r="P196"/>
      <c r="Q196" t="s">
        <v>464</v>
      </c>
      <c r="R196" t="s">
        <v>84</v>
      </c>
      <c r="S196" t="s">
        <v>907</v>
      </c>
      <c r="T196" t="s">
        <v>980</v>
      </c>
      <c r="U196"/>
      <c r="V196"/>
      <c r="W196" t="s">
        <v>466</v>
      </c>
      <c r="X196" t="s">
        <v>944</v>
      </c>
      <c r="Y196" t="s">
        <v>467</v>
      </c>
      <c r="Z196" t="s">
        <v>65</v>
      </c>
      <c r="AA196"/>
      <c r="AB196"/>
      <c r="AC196"/>
      <c r="AD196"/>
      <c r="AE196" t="s">
        <v>981</v>
      </c>
      <c r="AF196" t="s">
        <v>67</v>
      </c>
      <c r="AG196" t="s">
        <v>68</v>
      </c>
      <c r="AH196" t="s">
        <v>69</v>
      </c>
      <c r="AI196" t="s">
        <v>160</v>
      </c>
      <c r="AJ196" t="s">
        <v>123</v>
      </c>
      <c r="AK196"/>
    </row>
    <row r="197" spans="1:37" x14ac:dyDescent="0.3">
      <c r="A197" t="s">
        <v>876</v>
      </c>
      <c r="B197" t="s">
        <v>870</v>
      </c>
      <c r="C197" s="2">
        <v>45764.926233009261</v>
      </c>
      <c r="D197" s="2">
        <v>45726.855289895837</v>
      </c>
      <c r="E197" s="2">
        <v>45726.854633692128</v>
      </c>
      <c r="F197" t="s">
        <v>871</v>
      </c>
      <c r="G197" t="s">
        <v>472</v>
      </c>
      <c r="H197">
        <v>45725</v>
      </c>
      <c r="I197">
        <v>0.8125</v>
      </c>
      <c r="J197">
        <v>45726</v>
      </c>
      <c r="K197">
        <v>0.35416666666666674</v>
      </c>
      <c r="L197">
        <v>45726</v>
      </c>
      <c r="M197">
        <v>0.37046296296296299</v>
      </c>
      <c r="N197" t="s">
        <v>902</v>
      </c>
      <c r="O197"/>
      <c r="P197"/>
      <c r="Q197" t="s">
        <v>475</v>
      </c>
      <c r="R197" t="s">
        <v>134</v>
      </c>
      <c r="S197" t="s">
        <v>899</v>
      </c>
      <c r="T197" t="s">
        <v>982</v>
      </c>
      <c r="U197"/>
      <c r="V197"/>
      <c r="W197" t="s">
        <v>477</v>
      </c>
      <c r="X197" t="s">
        <v>478</v>
      </c>
      <c r="Y197" t="s">
        <v>479</v>
      </c>
      <c r="Z197" t="s">
        <v>65</v>
      </c>
      <c r="AA197"/>
      <c r="AB197"/>
      <c r="AC197"/>
      <c r="AD197"/>
      <c r="AE197" t="s">
        <v>897</v>
      </c>
      <c r="AF197" t="s">
        <v>67</v>
      </c>
      <c r="AG197" t="s">
        <v>480</v>
      </c>
      <c r="AH197" t="s">
        <v>351</v>
      </c>
      <c r="AI197"/>
      <c r="AJ197"/>
      <c r="AK197"/>
    </row>
    <row r="198" spans="1:37" x14ac:dyDescent="0.3">
      <c r="A198" t="s">
        <v>877</v>
      </c>
      <c r="B198" t="s">
        <v>870</v>
      </c>
      <c r="C198" s="2">
        <v>45764.926233043981</v>
      </c>
      <c r="D198" s="2">
        <v>45727.548935185187</v>
      </c>
      <c r="E198" s="2">
        <v>45727.863046261577</v>
      </c>
      <c r="F198" t="s">
        <v>871</v>
      </c>
      <c r="G198" t="s">
        <v>210</v>
      </c>
      <c r="H198">
        <v>45660</v>
      </c>
      <c r="I198">
        <v>0.89583333333333337</v>
      </c>
      <c r="J198">
        <v>45661</v>
      </c>
      <c r="K198">
        <v>0.26736111111111116</v>
      </c>
      <c r="L198">
        <v>45661</v>
      </c>
      <c r="M198">
        <v>0.4577430555555555</v>
      </c>
      <c r="N198" t="s">
        <v>892</v>
      </c>
      <c r="O198"/>
      <c r="P198"/>
      <c r="Q198" t="s">
        <v>214</v>
      </c>
      <c r="R198" t="s">
        <v>215</v>
      </c>
      <c r="S198" t="s">
        <v>893</v>
      </c>
      <c r="T198" t="s">
        <v>894</v>
      </c>
      <c r="U198"/>
      <c r="V198"/>
      <c r="W198" t="s">
        <v>895</v>
      </c>
      <c r="X198" t="s">
        <v>896</v>
      </c>
      <c r="Y198" t="s">
        <v>218</v>
      </c>
      <c r="Z198" t="s">
        <v>65</v>
      </c>
      <c r="AA198"/>
      <c r="AB198"/>
      <c r="AC198"/>
      <c r="AD198"/>
      <c r="AE198" t="s">
        <v>897</v>
      </c>
      <c r="AF198" t="s">
        <v>67</v>
      </c>
      <c r="AG198" t="s">
        <v>219</v>
      </c>
      <c r="AH198" t="s">
        <v>206</v>
      </c>
      <c r="AI198" t="s">
        <v>220</v>
      </c>
      <c r="AJ198" t="s">
        <v>71</v>
      </c>
      <c r="AK198" t="s">
        <v>221</v>
      </c>
    </row>
    <row r="199" spans="1:37" x14ac:dyDescent="0.3">
      <c r="A199" t="s">
        <v>877</v>
      </c>
      <c r="B199" t="s">
        <v>870</v>
      </c>
      <c r="C199" s="2">
        <v>45764.926233043981</v>
      </c>
      <c r="D199" s="2">
        <v>45727.548935185187</v>
      </c>
      <c r="E199" s="2">
        <v>45727.863046261577</v>
      </c>
      <c r="F199" t="s">
        <v>871</v>
      </c>
      <c r="G199" t="s">
        <v>395</v>
      </c>
      <c r="H199">
        <v>45664</v>
      </c>
      <c r="I199">
        <v>0.58333333333333337</v>
      </c>
      <c r="J199"/>
      <c r="K199"/>
      <c r="L199">
        <v>45667</v>
      </c>
      <c r="M199">
        <v>0.59781250000000008</v>
      </c>
      <c r="N199" t="s">
        <v>898</v>
      </c>
      <c r="O199" t="s">
        <v>400</v>
      </c>
      <c r="P199"/>
      <c r="Q199" t="s">
        <v>401</v>
      </c>
      <c r="R199" t="s">
        <v>134</v>
      </c>
      <c r="S199" t="s">
        <v>899</v>
      </c>
      <c r="T199" t="s">
        <v>900</v>
      </c>
      <c r="U199"/>
      <c r="V199"/>
      <c r="W199"/>
      <c r="X199"/>
      <c r="Y199"/>
      <c r="Z199"/>
      <c r="AA199"/>
      <c r="AB199"/>
      <c r="AC199"/>
      <c r="AD199"/>
      <c r="AE199" t="s">
        <v>901</v>
      </c>
      <c r="AF199" t="s">
        <v>67</v>
      </c>
      <c r="AG199" t="s">
        <v>404</v>
      </c>
      <c r="AH199" t="s">
        <v>405</v>
      </c>
      <c r="AI199" t="s">
        <v>406</v>
      </c>
      <c r="AJ199" t="s">
        <v>71</v>
      </c>
      <c r="AK199" t="s">
        <v>407</v>
      </c>
    </row>
    <row r="200" spans="1:37" x14ac:dyDescent="0.3">
      <c r="A200" t="s">
        <v>877</v>
      </c>
      <c r="B200" t="s">
        <v>870</v>
      </c>
      <c r="C200" s="2">
        <v>45764.926233043981</v>
      </c>
      <c r="D200" s="2">
        <v>45727.548935185187</v>
      </c>
      <c r="E200" s="2">
        <v>45727.863046261577</v>
      </c>
      <c r="F200" t="s">
        <v>871</v>
      </c>
      <c r="G200" t="s">
        <v>53</v>
      </c>
      <c r="H200">
        <v>45663</v>
      </c>
      <c r="I200">
        <v>0.64583333333333337</v>
      </c>
      <c r="J200">
        <v>45667</v>
      </c>
      <c r="K200"/>
      <c r="L200">
        <v>45667</v>
      </c>
      <c r="M200">
        <v>0.82629629629629631</v>
      </c>
      <c r="N200" t="s">
        <v>902</v>
      </c>
      <c r="O200"/>
      <c r="P200"/>
      <c r="Q200" t="s">
        <v>60</v>
      </c>
      <c r="R200"/>
      <c r="S200" t="s">
        <v>899</v>
      </c>
      <c r="T200" t="s">
        <v>903</v>
      </c>
      <c r="U200"/>
      <c r="V200"/>
      <c r="W200" t="s">
        <v>62</v>
      </c>
      <c r="X200" t="s">
        <v>896</v>
      </c>
      <c r="Y200" t="s">
        <v>64</v>
      </c>
      <c r="Z200" t="s">
        <v>65</v>
      </c>
      <c r="AA200"/>
      <c r="AB200"/>
      <c r="AC200"/>
      <c r="AD200"/>
      <c r="AE200" t="s">
        <v>904</v>
      </c>
      <c r="AF200" t="s">
        <v>67</v>
      </c>
      <c r="AG200" t="s">
        <v>68</v>
      </c>
      <c r="AH200" t="s">
        <v>69</v>
      </c>
      <c r="AI200" t="s">
        <v>70</v>
      </c>
      <c r="AJ200" t="s">
        <v>71</v>
      </c>
      <c r="AK200" t="s">
        <v>72</v>
      </c>
    </row>
    <row r="201" spans="1:37" x14ac:dyDescent="0.3">
      <c r="A201" t="s">
        <v>877</v>
      </c>
      <c r="B201" t="s">
        <v>870</v>
      </c>
      <c r="C201" s="2">
        <v>45764.926233043981</v>
      </c>
      <c r="D201" s="2">
        <v>45727.548935185187</v>
      </c>
      <c r="E201" s="2">
        <v>45727.863046261577</v>
      </c>
      <c r="F201" t="s">
        <v>871</v>
      </c>
      <c r="G201" t="s">
        <v>341</v>
      </c>
      <c r="H201">
        <v>45670</v>
      </c>
      <c r="I201">
        <v>0.50347222222222221</v>
      </c>
      <c r="J201"/>
      <c r="K201"/>
      <c r="L201">
        <v>45670</v>
      </c>
      <c r="M201">
        <v>0.50537037037037047</v>
      </c>
      <c r="N201" t="s">
        <v>344</v>
      </c>
      <c r="O201" t="s">
        <v>905</v>
      </c>
      <c r="P201" t="s">
        <v>906</v>
      </c>
      <c r="Q201" t="s">
        <v>348</v>
      </c>
      <c r="R201" t="s">
        <v>84</v>
      </c>
      <c r="S201" t="s">
        <v>907</v>
      </c>
      <c r="T201" t="s">
        <v>908</v>
      </c>
      <c r="U201"/>
      <c r="V201"/>
      <c r="W201"/>
      <c r="X201"/>
      <c r="Y201"/>
      <c r="Z201"/>
      <c r="AA201"/>
      <c r="AB201"/>
      <c r="AC201"/>
      <c r="AD201"/>
      <c r="AE201" t="s">
        <v>897</v>
      </c>
      <c r="AF201" t="s">
        <v>67</v>
      </c>
      <c r="AG201" t="s">
        <v>350</v>
      </c>
      <c r="AH201" t="s">
        <v>351</v>
      </c>
      <c r="AI201" t="s">
        <v>352</v>
      </c>
      <c r="AJ201" t="s">
        <v>123</v>
      </c>
      <c r="AK201" t="s">
        <v>353</v>
      </c>
    </row>
    <row r="202" spans="1:37" x14ac:dyDescent="0.3">
      <c r="A202" t="s">
        <v>877</v>
      </c>
      <c r="B202" t="s">
        <v>870</v>
      </c>
      <c r="C202" s="2">
        <v>45764.926233043981</v>
      </c>
      <c r="D202" s="2">
        <v>45727.548935185187</v>
      </c>
      <c r="E202" s="2">
        <v>45727.863046261577</v>
      </c>
      <c r="F202" t="s">
        <v>871</v>
      </c>
      <c r="G202" t="s">
        <v>356</v>
      </c>
      <c r="H202">
        <v>45671</v>
      </c>
      <c r="I202">
        <v>0.64067129629629627</v>
      </c>
      <c r="J202"/>
      <c r="K202"/>
      <c r="L202">
        <v>45671</v>
      </c>
      <c r="M202">
        <v>0.64067129629629638</v>
      </c>
      <c r="N202" t="s">
        <v>906</v>
      </c>
      <c r="O202" t="s">
        <v>909</v>
      </c>
      <c r="P202" t="s">
        <v>361</v>
      </c>
      <c r="Q202" t="s">
        <v>362</v>
      </c>
      <c r="R202" t="s">
        <v>363</v>
      </c>
      <c r="S202" t="s">
        <v>893</v>
      </c>
      <c r="T202" t="s">
        <v>910</v>
      </c>
      <c r="U202"/>
      <c r="V202"/>
      <c r="W202" t="s">
        <v>911</v>
      </c>
      <c r="X202" t="s">
        <v>912</v>
      </c>
      <c r="Y202" t="s">
        <v>367</v>
      </c>
      <c r="Z202" t="s">
        <v>65</v>
      </c>
      <c r="AA202"/>
      <c r="AB202"/>
      <c r="AC202"/>
      <c r="AD202"/>
      <c r="AE202" t="s">
        <v>913</v>
      </c>
      <c r="AF202" t="s">
        <v>67</v>
      </c>
      <c r="AG202" t="s">
        <v>219</v>
      </c>
      <c r="AH202" t="s">
        <v>368</v>
      </c>
      <c r="AI202" t="s">
        <v>160</v>
      </c>
      <c r="AJ202" t="s">
        <v>123</v>
      </c>
      <c r="AK202" t="s">
        <v>353</v>
      </c>
    </row>
    <row r="203" spans="1:37" x14ac:dyDescent="0.3">
      <c r="A203" t="s">
        <v>877</v>
      </c>
      <c r="B203" t="s">
        <v>870</v>
      </c>
      <c r="C203" s="2">
        <v>45764.926233043981</v>
      </c>
      <c r="D203" s="2">
        <v>45727.548935185187</v>
      </c>
      <c r="E203" s="2">
        <v>45727.863046261577</v>
      </c>
      <c r="F203" t="s">
        <v>871</v>
      </c>
      <c r="G203" t="s">
        <v>224</v>
      </c>
      <c r="H203">
        <v>45672</v>
      </c>
      <c r="I203">
        <v>0.53988425925925931</v>
      </c>
      <c r="J203"/>
      <c r="K203"/>
      <c r="L203">
        <v>45672</v>
      </c>
      <c r="M203">
        <v>0.5398842592592592</v>
      </c>
      <c r="N203" t="s">
        <v>892</v>
      </c>
      <c r="O203"/>
      <c r="P203"/>
      <c r="Q203" t="s">
        <v>227</v>
      </c>
      <c r="R203" t="s">
        <v>84</v>
      </c>
      <c r="S203" t="s">
        <v>907</v>
      </c>
      <c r="T203" t="s">
        <v>914</v>
      </c>
      <c r="U203"/>
      <c r="V203"/>
      <c r="W203" t="s">
        <v>229</v>
      </c>
      <c r="X203" t="s">
        <v>896</v>
      </c>
      <c r="Y203" t="s">
        <v>230</v>
      </c>
      <c r="Z203" t="s">
        <v>65</v>
      </c>
      <c r="AA203"/>
      <c r="AB203"/>
      <c r="AC203"/>
      <c r="AD203"/>
      <c r="AE203" t="s">
        <v>913</v>
      </c>
      <c r="AF203" t="s">
        <v>67</v>
      </c>
      <c r="AG203" t="s">
        <v>231</v>
      </c>
      <c r="AH203" t="s">
        <v>232</v>
      </c>
      <c r="AI203" t="s">
        <v>70</v>
      </c>
      <c r="AJ203" t="s">
        <v>71</v>
      </c>
      <c r="AK203" t="s">
        <v>221</v>
      </c>
    </row>
    <row r="204" spans="1:37" x14ac:dyDescent="0.3">
      <c r="A204" t="s">
        <v>877</v>
      </c>
      <c r="B204" t="s">
        <v>870</v>
      </c>
      <c r="C204" s="2">
        <v>45764.926233043981</v>
      </c>
      <c r="D204" s="2">
        <v>45727.548935185187</v>
      </c>
      <c r="E204" s="2">
        <v>45727.863046261577</v>
      </c>
      <c r="F204" t="s">
        <v>871</v>
      </c>
      <c r="G204" t="s">
        <v>129</v>
      </c>
      <c r="H204">
        <v>45673</v>
      </c>
      <c r="I204">
        <v>0.5</v>
      </c>
      <c r="J204">
        <v>45673</v>
      </c>
      <c r="K204">
        <v>0.75</v>
      </c>
      <c r="L204">
        <v>45673</v>
      </c>
      <c r="M204">
        <v>0.81587962962962957</v>
      </c>
      <c r="N204" t="s">
        <v>915</v>
      </c>
      <c r="O204"/>
      <c r="P204"/>
      <c r="Q204" t="s">
        <v>133</v>
      </c>
      <c r="R204" t="s">
        <v>134</v>
      </c>
      <c r="S204" t="s">
        <v>899</v>
      </c>
      <c r="T204" t="s">
        <v>916</v>
      </c>
      <c r="U204"/>
      <c r="V204"/>
      <c r="W204"/>
      <c r="X204"/>
      <c r="Y204"/>
      <c r="Z204"/>
      <c r="AA204"/>
      <c r="AB204"/>
      <c r="AC204"/>
      <c r="AD204"/>
      <c r="AE204" t="s">
        <v>904</v>
      </c>
      <c r="AF204" t="s">
        <v>67</v>
      </c>
      <c r="AG204" t="s">
        <v>136</v>
      </c>
      <c r="AH204" t="s">
        <v>69</v>
      </c>
      <c r="AI204" t="s">
        <v>70</v>
      </c>
      <c r="AJ204" t="s">
        <v>71</v>
      </c>
      <c r="AK204" t="s">
        <v>137</v>
      </c>
    </row>
    <row r="205" spans="1:37" x14ac:dyDescent="0.3">
      <c r="A205" t="s">
        <v>877</v>
      </c>
      <c r="B205" t="s">
        <v>870</v>
      </c>
      <c r="C205" s="2">
        <v>45764.926233043981</v>
      </c>
      <c r="D205" s="2">
        <v>45727.548935185187</v>
      </c>
      <c r="E205" s="2">
        <v>45727.863046261577</v>
      </c>
      <c r="F205" t="s">
        <v>871</v>
      </c>
      <c r="G205" t="s">
        <v>371</v>
      </c>
      <c r="H205">
        <v>45673</v>
      </c>
      <c r="I205">
        <v>0.87708333333333333</v>
      </c>
      <c r="J205">
        <v>45673</v>
      </c>
      <c r="K205">
        <v>0.88611111111111107</v>
      </c>
      <c r="L205">
        <v>45674</v>
      </c>
      <c r="M205">
        <v>0.51179398148148159</v>
      </c>
      <c r="N205" t="s">
        <v>906</v>
      </c>
      <c r="O205"/>
      <c r="P205"/>
      <c r="Q205" t="s">
        <v>374</v>
      </c>
      <c r="R205" t="s">
        <v>178</v>
      </c>
      <c r="S205" t="s">
        <v>893</v>
      </c>
      <c r="T205" t="s">
        <v>917</v>
      </c>
      <c r="U205"/>
      <c r="V205"/>
      <c r="W205"/>
      <c r="X205" t="s">
        <v>918</v>
      </c>
      <c r="Y205" t="s">
        <v>919</v>
      </c>
      <c r="Z205"/>
      <c r="AA205"/>
      <c r="AB205"/>
      <c r="AC205"/>
      <c r="AD205"/>
      <c r="AE205" t="s">
        <v>904</v>
      </c>
      <c r="AF205" t="s">
        <v>67</v>
      </c>
      <c r="AG205" t="s">
        <v>89</v>
      </c>
      <c r="AH205" t="s">
        <v>90</v>
      </c>
      <c r="AI205" t="s">
        <v>378</v>
      </c>
      <c r="AJ205" t="s">
        <v>435</v>
      </c>
      <c r="AK205" t="s">
        <v>353</v>
      </c>
    </row>
    <row r="206" spans="1:37" x14ac:dyDescent="0.3">
      <c r="A206" t="s">
        <v>877</v>
      </c>
      <c r="B206" t="s">
        <v>870</v>
      </c>
      <c r="C206" s="2">
        <v>45764.926233043981</v>
      </c>
      <c r="D206" s="2">
        <v>45727.548935185187</v>
      </c>
      <c r="E206" s="2">
        <v>45727.863046261577</v>
      </c>
      <c r="F206" t="s">
        <v>871</v>
      </c>
      <c r="G206" t="s">
        <v>236</v>
      </c>
      <c r="H206">
        <v>45678</v>
      </c>
      <c r="I206">
        <v>0.79166666666666663</v>
      </c>
      <c r="J206">
        <v>45679</v>
      </c>
      <c r="K206">
        <v>0.13125000000000009</v>
      </c>
      <c r="L206">
        <v>45679</v>
      </c>
      <c r="M206">
        <v>0.13255787037037048</v>
      </c>
      <c r="N206" t="s">
        <v>892</v>
      </c>
      <c r="O206"/>
      <c r="P206"/>
      <c r="Q206" t="s">
        <v>239</v>
      </c>
      <c r="R206" t="s">
        <v>178</v>
      </c>
      <c r="S206" t="s">
        <v>893</v>
      </c>
      <c r="T206" t="s">
        <v>920</v>
      </c>
      <c r="U206"/>
      <c r="V206"/>
      <c r="W206" t="s">
        <v>241</v>
      </c>
      <c r="X206" t="s">
        <v>63</v>
      </c>
      <c r="Y206" t="s">
        <v>242</v>
      </c>
      <c r="Z206" t="s">
        <v>65</v>
      </c>
      <c r="AA206"/>
      <c r="AB206"/>
      <c r="AC206"/>
      <c r="AD206"/>
      <c r="AE206" t="s">
        <v>921</v>
      </c>
      <c r="AF206" t="s">
        <v>67</v>
      </c>
      <c r="AG206" t="s">
        <v>244</v>
      </c>
      <c r="AH206" t="s">
        <v>206</v>
      </c>
      <c r="AI206" t="s">
        <v>160</v>
      </c>
      <c r="AJ206" t="s">
        <v>71</v>
      </c>
      <c r="AK206" t="s">
        <v>221</v>
      </c>
    </row>
    <row r="207" spans="1:37" x14ac:dyDescent="0.3">
      <c r="A207" t="s">
        <v>877</v>
      </c>
      <c r="B207" t="s">
        <v>870</v>
      </c>
      <c r="C207" s="2">
        <v>45764.926233043981</v>
      </c>
      <c r="D207" s="2">
        <v>45727.548935185187</v>
      </c>
      <c r="E207" s="2">
        <v>45727.863046261577</v>
      </c>
      <c r="F207" t="s">
        <v>871</v>
      </c>
      <c r="G207" t="s">
        <v>246</v>
      </c>
      <c r="H207">
        <v>45679</v>
      </c>
      <c r="I207">
        <v>0.33333333333333331</v>
      </c>
      <c r="J207">
        <v>45679</v>
      </c>
      <c r="K207">
        <v>0.80069444444444438</v>
      </c>
      <c r="L207">
        <v>45679</v>
      </c>
      <c r="M207">
        <v>0.8020370370370371</v>
      </c>
      <c r="N207" t="s">
        <v>892</v>
      </c>
      <c r="O207"/>
      <c r="P207"/>
      <c r="Q207" t="s">
        <v>249</v>
      </c>
      <c r="R207" t="s">
        <v>250</v>
      </c>
      <c r="S207" t="s">
        <v>922</v>
      </c>
      <c r="T207" t="s">
        <v>923</v>
      </c>
      <c r="U207"/>
      <c r="V207"/>
      <c r="W207" t="s">
        <v>252</v>
      </c>
      <c r="X207" t="s">
        <v>924</v>
      </c>
      <c r="Y207" t="s">
        <v>254</v>
      </c>
      <c r="Z207" t="s">
        <v>65</v>
      </c>
      <c r="AA207"/>
      <c r="AB207"/>
      <c r="AC207"/>
      <c r="AD207"/>
      <c r="AE207" t="s">
        <v>913</v>
      </c>
      <c r="AF207" t="s">
        <v>67</v>
      </c>
      <c r="AG207" t="s">
        <v>244</v>
      </c>
      <c r="AH207" t="s">
        <v>206</v>
      </c>
      <c r="AI207" t="s">
        <v>122</v>
      </c>
      <c r="AJ207" t="s">
        <v>71</v>
      </c>
      <c r="AK207" t="s">
        <v>221</v>
      </c>
    </row>
    <row r="208" spans="1:37" x14ac:dyDescent="0.3">
      <c r="A208" t="s">
        <v>877</v>
      </c>
      <c r="B208" t="s">
        <v>870</v>
      </c>
      <c r="C208" s="2">
        <v>45764.926233043981</v>
      </c>
      <c r="D208" s="2">
        <v>45727.548935185187</v>
      </c>
      <c r="E208" s="2">
        <v>45727.863046261577</v>
      </c>
      <c r="F208" t="s">
        <v>871</v>
      </c>
      <c r="G208" t="s">
        <v>409</v>
      </c>
      <c r="H208">
        <v>45680</v>
      </c>
      <c r="I208">
        <v>0.625</v>
      </c>
      <c r="J208"/>
      <c r="K208"/>
      <c r="L208">
        <v>45680</v>
      </c>
      <c r="M208">
        <v>0.66545138888888888</v>
      </c>
      <c r="N208" t="s">
        <v>925</v>
      </c>
      <c r="O208" t="s">
        <v>400</v>
      </c>
      <c r="P208"/>
      <c r="Q208" t="s">
        <v>414</v>
      </c>
      <c r="R208" t="s">
        <v>84</v>
      </c>
      <c r="S208" t="s">
        <v>907</v>
      </c>
      <c r="T208" t="s">
        <v>926</v>
      </c>
      <c r="U208"/>
      <c r="V208"/>
      <c r="W208"/>
      <c r="X208"/>
      <c r="Y208"/>
      <c r="Z208"/>
      <c r="AA208"/>
      <c r="AB208"/>
      <c r="AC208"/>
      <c r="AD208"/>
      <c r="AE208" t="s">
        <v>927</v>
      </c>
      <c r="AF208" t="s">
        <v>67</v>
      </c>
      <c r="AG208" t="s">
        <v>352</v>
      </c>
      <c r="AH208" t="s">
        <v>417</v>
      </c>
      <c r="AI208" t="s">
        <v>406</v>
      </c>
      <c r="AJ208" t="s">
        <v>418</v>
      </c>
      <c r="AK208"/>
    </row>
    <row r="209" spans="1:37" x14ac:dyDescent="0.3">
      <c r="A209" t="s">
        <v>877</v>
      </c>
      <c r="B209" t="s">
        <v>870</v>
      </c>
      <c r="C209" s="2">
        <v>45764.926233043981</v>
      </c>
      <c r="D209" s="2">
        <v>45727.548935185187</v>
      </c>
      <c r="E209" s="2">
        <v>45727.863046261577</v>
      </c>
      <c r="F209" t="s">
        <v>871</v>
      </c>
      <c r="G209" t="s">
        <v>140</v>
      </c>
      <c r="H209">
        <v>45682</v>
      </c>
      <c r="I209">
        <v>0.45833333333333331</v>
      </c>
      <c r="J209">
        <v>45682</v>
      </c>
      <c r="K209">
        <v>0.58333333333333326</v>
      </c>
      <c r="L209">
        <v>45682</v>
      </c>
      <c r="M209">
        <v>0.58054398148148145</v>
      </c>
      <c r="N209" t="s">
        <v>915</v>
      </c>
      <c r="O209"/>
      <c r="P209"/>
      <c r="Q209" t="s">
        <v>144</v>
      </c>
      <c r="R209" t="s">
        <v>145</v>
      </c>
      <c r="S209" t="s">
        <v>922</v>
      </c>
      <c r="T209" t="s">
        <v>928</v>
      </c>
      <c r="U209"/>
      <c r="V209"/>
      <c r="W209"/>
      <c r="X209"/>
      <c r="Y209"/>
      <c r="Z209"/>
      <c r="AA209"/>
      <c r="AB209"/>
      <c r="AC209"/>
      <c r="AD209"/>
      <c r="AE209" t="s">
        <v>929</v>
      </c>
      <c r="AF209" t="s">
        <v>67</v>
      </c>
      <c r="AG209" t="s">
        <v>147</v>
      </c>
      <c r="AH209" t="s">
        <v>90</v>
      </c>
      <c r="AI209" t="s">
        <v>70</v>
      </c>
      <c r="AJ209" t="s">
        <v>123</v>
      </c>
      <c r="AK209" t="s">
        <v>137</v>
      </c>
    </row>
    <row r="210" spans="1:37" x14ac:dyDescent="0.3">
      <c r="A210" t="s">
        <v>877</v>
      </c>
      <c r="B210" t="s">
        <v>870</v>
      </c>
      <c r="C210" s="2">
        <v>45764.926233043981</v>
      </c>
      <c r="D210" s="2">
        <v>45727.548935185187</v>
      </c>
      <c r="E210" s="2">
        <v>45727.863046261577</v>
      </c>
      <c r="F210" t="s">
        <v>871</v>
      </c>
      <c r="G210" t="s">
        <v>77</v>
      </c>
      <c r="H210">
        <v>45682</v>
      </c>
      <c r="I210">
        <v>0.76875000000000004</v>
      </c>
      <c r="J210"/>
      <c r="K210"/>
      <c r="L210">
        <v>45683</v>
      </c>
      <c r="M210">
        <v>0.44056712962962963</v>
      </c>
      <c r="N210" t="s">
        <v>902</v>
      </c>
      <c r="O210" t="s">
        <v>930</v>
      </c>
      <c r="P210"/>
      <c r="Q210" t="s">
        <v>83</v>
      </c>
      <c r="R210" t="s">
        <v>84</v>
      </c>
      <c r="S210" t="s">
        <v>907</v>
      </c>
      <c r="T210" t="s">
        <v>931</v>
      </c>
      <c r="U210"/>
      <c r="V210"/>
      <c r="W210" t="s">
        <v>932</v>
      </c>
      <c r="X210" t="s">
        <v>896</v>
      </c>
      <c r="Y210" t="s">
        <v>87</v>
      </c>
      <c r="Z210" t="s">
        <v>65</v>
      </c>
      <c r="AA210"/>
      <c r="AB210"/>
      <c r="AC210"/>
      <c r="AD210"/>
      <c r="AE210" t="s">
        <v>929</v>
      </c>
      <c r="AF210" t="s">
        <v>67</v>
      </c>
      <c r="AG210" t="s">
        <v>89</v>
      </c>
      <c r="AH210" t="s">
        <v>90</v>
      </c>
      <c r="AI210" t="s">
        <v>91</v>
      </c>
      <c r="AJ210" t="s">
        <v>92</v>
      </c>
      <c r="AK210" t="s">
        <v>72</v>
      </c>
    </row>
    <row r="211" spans="1:37" x14ac:dyDescent="0.3">
      <c r="A211" t="s">
        <v>877</v>
      </c>
      <c r="B211" t="s">
        <v>870</v>
      </c>
      <c r="C211" s="2">
        <v>45764.926233043981</v>
      </c>
      <c r="D211" s="2">
        <v>45727.548935185187</v>
      </c>
      <c r="E211" s="2">
        <v>45727.863046261577</v>
      </c>
      <c r="F211" t="s">
        <v>871</v>
      </c>
      <c r="G211" t="s">
        <v>96</v>
      </c>
      <c r="H211">
        <v>45683</v>
      </c>
      <c r="I211">
        <v>0.84027777777777779</v>
      </c>
      <c r="J211">
        <v>45683</v>
      </c>
      <c r="K211">
        <v>0.84652777777777777</v>
      </c>
      <c r="L211">
        <v>45683</v>
      </c>
      <c r="M211">
        <v>0.85009259259259262</v>
      </c>
      <c r="N211" t="s">
        <v>902</v>
      </c>
      <c r="O211" t="s">
        <v>930</v>
      </c>
      <c r="P211"/>
      <c r="Q211" t="s">
        <v>100</v>
      </c>
      <c r="R211" t="s">
        <v>101</v>
      </c>
      <c r="S211" t="s">
        <v>893</v>
      </c>
      <c r="T211" t="s">
        <v>933</v>
      </c>
      <c r="U211"/>
      <c r="V211"/>
      <c r="W211" t="s">
        <v>934</v>
      </c>
      <c r="X211" t="s">
        <v>896</v>
      </c>
      <c r="Y211" t="s">
        <v>104</v>
      </c>
      <c r="Z211" t="s">
        <v>935</v>
      </c>
      <c r="AA211"/>
      <c r="AB211"/>
      <c r="AC211"/>
      <c r="AD211"/>
      <c r="AE211" t="s">
        <v>904</v>
      </c>
      <c r="AF211" t="s">
        <v>67</v>
      </c>
      <c r="AG211" t="s">
        <v>105</v>
      </c>
      <c r="AH211" t="s">
        <v>69</v>
      </c>
      <c r="AI211" t="s">
        <v>106</v>
      </c>
      <c r="AJ211" t="s">
        <v>71</v>
      </c>
      <c r="AK211" t="s">
        <v>72</v>
      </c>
    </row>
    <row r="212" spans="1:37" x14ac:dyDescent="0.3">
      <c r="A212" t="s">
        <v>877</v>
      </c>
      <c r="B212" t="s">
        <v>870</v>
      </c>
      <c r="C212" s="2">
        <v>45764.926233043981</v>
      </c>
      <c r="D212" s="2">
        <v>45727.548935185187</v>
      </c>
      <c r="E212" s="2">
        <v>45727.863046261577</v>
      </c>
      <c r="F212" t="s">
        <v>871</v>
      </c>
      <c r="G212" t="s">
        <v>256</v>
      </c>
      <c r="H212">
        <v>45685</v>
      </c>
      <c r="I212">
        <v>0.625</v>
      </c>
      <c r="J212">
        <v>45686</v>
      </c>
      <c r="K212">
        <v>0.91736111111111107</v>
      </c>
      <c r="L212">
        <v>45686</v>
      </c>
      <c r="M212">
        <v>0.91833333333333322</v>
      </c>
      <c r="N212" t="s">
        <v>892</v>
      </c>
      <c r="O212" t="s">
        <v>930</v>
      </c>
      <c r="P212"/>
      <c r="Q212" t="s">
        <v>260</v>
      </c>
      <c r="R212" t="s">
        <v>261</v>
      </c>
      <c r="S212" t="s">
        <v>936</v>
      </c>
      <c r="T212" t="s">
        <v>937</v>
      </c>
      <c r="U212"/>
      <c r="V212"/>
      <c r="W212" t="s">
        <v>938</v>
      </c>
      <c r="X212" t="s">
        <v>939</v>
      </c>
      <c r="Y212" t="s">
        <v>265</v>
      </c>
      <c r="Z212" t="s">
        <v>65</v>
      </c>
      <c r="AA212"/>
      <c r="AB212"/>
      <c r="AC212"/>
      <c r="AD212"/>
      <c r="AE212" t="s">
        <v>940</v>
      </c>
      <c r="AF212" t="s">
        <v>67</v>
      </c>
      <c r="AG212" t="s">
        <v>244</v>
      </c>
      <c r="AH212" t="s">
        <v>206</v>
      </c>
      <c r="AI212" t="s">
        <v>70</v>
      </c>
      <c r="AJ212" t="s">
        <v>266</v>
      </c>
      <c r="AK212" t="s">
        <v>221</v>
      </c>
    </row>
    <row r="213" spans="1:37" x14ac:dyDescent="0.3">
      <c r="A213" t="s">
        <v>877</v>
      </c>
      <c r="B213" t="s">
        <v>870</v>
      </c>
      <c r="C213" s="2">
        <v>45764.926233043981</v>
      </c>
      <c r="D213" s="2">
        <v>45727.548935185187</v>
      </c>
      <c r="E213" s="2">
        <v>45727.863046261577</v>
      </c>
      <c r="F213" t="s">
        <v>871</v>
      </c>
      <c r="G213" t="s">
        <v>151</v>
      </c>
      <c r="H213">
        <v>45688</v>
      </c>
      <c r="I213">
        <v>0.49988425925925928</v>
      </c>
      <c r="J213"/>
      <c r="K213"/>
      <c r="L213">
        <v>45688</v>
      </c>
      <c r="M213">
        <v>0.49988425925925917</v>
      </c>
      <c r="N213" t="s">
        <v>915</v>
      </c>
      <c r="O213"/>
      <c r="P213"/>
      <c r="Q213" t="s">
        <v>154</v>
      </c>
      <c r="R213" t="s">
        <v>155</v>
      </c>
      <c r="S213" t="s">
        <v>907</v>
      </c>
      <c r="T213" t="s">
        <v>941</v>
      </c>
      <c r="U213"/>
      <c r="V213"/>
      <c r="W213"/>
      <c r="X213"/>
      <c r="Y213"/>
      <c r="Z213"/>
      <c r="AA213"/>
      <c r="AB213"/>
      <c r="AC213"/>
      <c r="AD213"/>
      <c r="AE213" t="s">
        <v>897</v>
      </c>
      <c r="AF213" t="s">
        <v>67</v>
      </c>
      <c r="AG213" t="s">
        <v>158</v>
      </c>
      <c r="AH213" t="s">
        <v>159</v>
      </c>
      <c r="AI213" t="s">
        <v>160</v>
      </c>
      <c r="AJ213" t="s">
        <v>71</v>
      </c>
      <c r="AK213" t="s">
        <v>137</v>
      </c>
    </row>
    <row r="214" spans="1:37" x14ac:dyDescent="0.3">
      <c r="A214" t="s">
        <v>877</v>
      </c>
      <c r="B214" t="s">
        <v>870</v>
      </c>
      <c r="C214" s="2">
        <v>45764.926233043981</v>
      </c>
      <c r="D214" s="2">
        <v>45727.548935185187</v>
      </c>
      <c r="E214" s="2">
        <v>45727.863046261577</v>
      </c>
      <c r="F214" t="s">
        <v>871</v>
      </c>
      <c r="G214" t="s">
        <v>269</v>
      </c>
      <c r="H214">
        <v>45689</v>
      </c>
      <c r="I214">
        <v>4.1666666666666664E-2</v>
      </c>
      <c r="J214"/>
      <c r="K214">
        <v>0.10416666666666674</v>
      </c>
      <c r="L214">
        <v>45689</v>
      </c>
      <c r="M214">
        <v>0.11982638888888886</v>
      </c>
      <c r="N214" t="s">
        <v>892</v>
      </c>
      <c r="O214"/>
      <c r="P214"/>
      <c r="Q214" t="s">
        <v>272</v>
      </c>
      <c r="R214" t="s">
        <v>273</v>
      </c>
      <c r="S214" t="s">
        <v>936</v>
      </c>
      <c r="T214" t="s">
        <v>942</v>
      </c>
      <c r="U214"/>
      <c r="V214"/>
      <c r="W214" t="s">
        <v>943</v>
      </c>
      <c r="X214" t="s">
        <v>944</v>
      </c>
      <c r="Y214" t="s">
        <v>276</v>
      </c>
      <c r="Z214" t="s">
        <v>65</v>
      </c>
      <c r="AA214"/>
      <c r="AB214"/>
      <c r="AC214"/>
      <c r="AD214"/>
      <c r="AE214" t="s">
        <v>913</v>
      </c>
      <c r="AF214" t="s">
        <v>67</v>
      </c>
      <c r="AG214" t="s">
        <v>244</v>
      </c>
      <c r="AH214" t="s">
        <v>206</v>
      </c>
      <c r="AI214" t="s">
        <v>122</v>
      </c>
      <c r="AJ214" t="s">
        <v>71</v>
      </c>
      <c r="AK214" t="s">
        <v>221</v>
      </c>
    </row>
    <row r="215" spans="1:37" x14ac:dyDescent="0.3">
      <c r="A215" t="s">
        <v>877</v>
      </c>
      <c r="B215" t="s">
        <v>870</v>
      </c>
      <c r="C215" s="2">
        <v>45764.926233043981</v>
      </c>
      <c r="D215" s="2">
        <v>45727.548935185187</v>
      </c>
      <c r="E215" s="2">
        <v>45727.863046261577</v>
      </c>
      <c r="F215" t="s">
        <v>871</v>
      </c>
      <c r="G215" t="s">
        <v>382</v>
      </c>
      <c r="H215">
        <v>45690</v>
      </c>
      <c r="I215">
        <v>0.72569444444444442</v>
      </c>
      <c r="J215">
        <v>45690</v>
      </c>
      <c r="K215">
        <v>0.75</v>
      </c>
      <c r="L215">
        <v>45691</v>
      </c>
      <c r="M215">
        <v>0.50143518518518526</v>
      </c>
      <c r="N215" t="s">
        <v>176</v>
      </c>
      <c r="O215" t="s">
        <v>906</v>
      </c>
      <c r="P215"/>
      <c r="Q215" t="s">
        <v>385</v>
      </c>
      <c r="R215" t="s">
        <v>145</v>
      </c>
      <c r="S215" t="s">
        <v>922</v>
      </c>
      <c r="T215" t="s">
        <v>945</v>
      </c>
      <c r="U215"/>
      <c r="V215"/>
      <c r="W215"/>
      <c r="X215"/>
      <c r="Y215"/>
      <c r="Z215"/>
      <c r="AA215"/>
      <c r="AB215"/>
      <c r="AC215"/>
      <c r="AD215"/>
      <c r="AE215" t="s">
        <v>904</v>
      </c>
      <c r="AF215" t="s">
        <v>67</v>
      </c>
      <c r="AG215" t="s">
        <v>105</v>
      </c>
      <c r="AH215" t="s">
        <v>69</v>
      </c>
      <c r="AI215" t="s">
        <v>180</v>
      </c>
      <c r="AJ215" t="s">
        <v>92</v>
      </c>
      <c r="AK215"/>
    </row>
    <row r="216" spans="1:37" x14ac:dyDescent="0.3">
      <c r="A216" t="s">
        <v>877</v>
      </c>
      <c r="B216" t="s">
        <v>870</v>
      </c>
      <c r="C216" s="2">
        <v>45764.926233043981</v>
      </c>
      <c r="D216" s="2">
        <v>45727.548935185187</v>
      </c>
      <c r="E216" s="2">
        <v>45727.863046261577</v>
      </c>
      <c r="F216" t="s">
        <v>871</v>
      </c>
      <c r="G216" t="s">
        <v>388</v>
      </c>
      <c r="H216"/>
      <c r="I216"/>
      <c r="J216"/>
      <c r="K216"/>
      <c r="L216">
        <v>45691</v>
      </c>
      <c r="M216">
        <v>0.69484953703703711</v>
      </c>
      <c r="N216" t="s">
        <v>906</v>
      </c>
      <c r="O216"/>
      <c r="P216"/>
      <c r="Q216" t="s">
        <v>390</v>
      </c>
      <c r="R216" t="s">
        <v>363</v>
      </c>
      <c r="S216" t="s">
        <v>893</v>
      </c>
      <c r="T216" t="s">
        <v>946</v>
      </c>
      <c r="U216"/>
      <c r="V216"/>
      <c r="W216"/>
      <c r="X216"/>
      <c r="Y216"/>
      <c r="Z216"/>
      <c r="AA216"/>
      <c r="AB216"/>
      <c r="AC216"/>
      <c r="AD216"/>
      <c r="AE216" t="s">
        <v>929</v>
      </c>
      <c r="AF216" t="s">
        <v>67</v>
      </c>
      <c r="AG216" t="s">
        <v>136</v>
      </c>
      <c r="AH216" t="s">
        <v>69</v>
      </c>
      <c r="AI216" t="s">
        <v>106</v>
      </c>
      <c r="AJ216" t="s">
        <v>71</v>
      </c>
      <c r="AK216" t="s">
        <v>353</v>
      </c>
    </row>
    <row r="217" spans="1:37" x14ac:dyDescent="0.3">
      <c r="A217" t="s">
        <v>877</v>
      </c>
      <c r="B217" t="s">
        <v>870</v>
      </c>
      <c r="C217" s="2">
        <v>45764.926233043981</v>
      </c>
      <c r="D217" s="2">
        <v>45727.548935185187</v>
      </c>
      <c r="E217" s="2">
        <v>45727.863046261577</v>
      </c>
      <c r="F217" t="s">
        <v>871</v>
      </c>
      <c r="G217" t="s">
        <v>279</v>
      </c>
      <c r="H217">
        <v>45691</v>
      </c>
      <c r="I217">
        <v>0.77083333333333337</v>
      </c>
      <c r="J217">
        <v>45692</v>
      </c>
      <c r="K217">
        <v>0.79166666666666674</v>
      </c>
      <c r="L217">
        <v>45692</v>
      </c>
      <c r="M217">
        <v>0.53023148148148147</v>
      </c>
      <c r="N217" t="s">
        <v>892</v>
      </c>
      <c r="O217"/>
      <c r="P217"/>
      <c r="Q217" t="s">
        <v>282</v>
      </c>
      <c r="R217" t="s">
        <v>283</v>
      </c>
      <c r="S217" t="s">
        <v>907</v>
      </c>
      <c r="T217" t="s">
        <v>947</v>
      </c>
      <c r="U217"/>
      <c r="V217"/>
      <c r="W217" t="s">
        <v>948</v>
      </c>
      <c r="X217" t="s">
        <v>286</v>
      </c>
      <c r="Y217" t="s">
        <v>949</v>
      </c>
      <c r="Z217" t="s">
        <v>288</v>
      </c>
      <c r="AA217"/>
      <c r="AB217"/>
      <c r="AC217"/>
      <c r="AD217"/>
      <c r="AE217" t="s">
        <v>904</v>
      </c>
      <c r="AF217" t="s">
        <v>67</v>
      </c>
      <c r="AG217" t="s">
        <v>105</v>
      </c>
      <c r="AH217" t="s">
        <v>69</v>
      </c>
      <c r="AI217" t="s">
        <v>70</v>
      </c>
      <c r="AJ217" t="s">
        <v>195</v>
      </c>
      <c r="AK217" t="s">
        <v>221</v>
      </c>
    </row>
    <row r="218" spans="1:37" x14ac:dyDescent="0.3">
      <c r="A218" t="s">
        <v>877</v>
      </c>
      <c r="B218" t="s">
        <v>870</v>
      </c>
      <c r="C218" s="2">
        <v>45764.926233043981</v>
      </c>
      <c r="D218" s="2">
        <v>45727.548935185187</v>
      </c>
      <c r="E218" s="2">
        <v>45727.863046261577</v>
      </c>
      <c r="F218" t="s">
        <v>871</v>
      </c>
      <c r="G218" t="s">
        <v>161</v>
      </c>
      <c r="H218">
        <v>45693</v>
      </c>
      <c r="I218">
        <v>0.12291666666666666</v>
      </c>
      <c r="J218"/>
      <c r="K218"/>
      <c r="L218">
        <v>45693</v>
      </c>
      <c r="M218">
        <v>0.12339120370370371</v>
      </c>
      <c r="N218" t="s">
        <v>950</v>
      </c>
      <c r="O218" t="s">
        <v>167</v>
      </c>
      <c r="P218"/>
      <c r="Q218" t="s">
        <v>168</v>
      </c>
      <c r="R218" t="s">
        <v>155</v>
      </c>
      <c r="S218" t="s">
        <v>907</v>
      </c>
      <c r="T218" t="s">
        <v>951</v>
      </c>
      <c r="U218"/>
      <c r="V218"/>
      <c r="W218"/>
      <c r="X218"/>
      <c r="Y218"/>
      <c r="Z218"/>
      <c r="AA218"/>
      <c r="AB218"/>
      <c r="AC218"/>
      <c r="AD218"/>
      <c r="AE218" t="s">
        <v>913</v>
      </c>
      <c r="AF218" t="s">
        <v>67</v>
      </c>
      <c r="AG218" t="s">
        <v>170</v>
      </c>
      <c r="AH218" t="s">
        <v>90</v>
      </c>
      <c r="AI218" t="s">
        <v>171</v>
      </c>
      <c r="AJ218" t="s">
        <v>123</v>
      </c>
      <c r="AK218" t="s">
        <v>137</v>
      </c>
    </row>
    <row r="219" spans="1:37" x14ac:dyDescent="0.3">
      <c r="A219" t="s">
        <v>877</v>
      </c>
      <c r="B219" t="s">
        <v>870</v>
      </c>
      <c r="C219" s="2">
        <v>45764.926233043981</v>
      </c>
      <c r="D219" s="2">
        <v>45727.548935185187</v>
      </c>
      <c r="E219" s="2">
        <v>45727.863046261577</v>
      </c>
      <c r="F219" t="s">
        <v>871</v>
      </c>
      <c r="G219" t="s">
        <v>292</v>
      </c>
      <c r="H219">
        <v>45695</v>
      </c>
      <c r="I219">
        <v>0.27430555555555558</v>
      </c>
      <c r="J219">
        <v>45695</v>
      </c>
      <c r="K219">
        <v>0.28472222222222232</v>
      </c>
      <c r="L219">
        <v>45695</v>
      </c>
      <c r="M219">
        <v>0.30738425925925927</v>
      </c>
      <c r="N219" t="s">
        <v>892</v>
      </c>
      <c r="O219"/>
      <c r="P219"/>
      <c r="Q219" t="s">
        <v>296</v>
      </c>
      <c r="R219" t="s">
        <v>203</v>
      </c>
      <c r="S219" t="s">
        <v>922</v>
      </c>
      <c r="T219" t="s">
        <v>952</v>
      </c>
      <c r="U219"/>
      <c r="V219"/>
      <c r="W219" t="s">
        <v>953</v>
      </c>
      <c r="X219" t="s">
        <v>954</v>
      </c>
      <c r="Y219" t="s">
        <v>300</v>
      </c>
      <c r="Z219" t="s">
        <v>65</v>
      </c>
      <c r="AA219"/>
      <c r="AB219"/>
      <c r="AC219"/>
      <c r="AD219"/>
      <c r="AE219" t="s">
        <v>913</v>
      </c>
      <c r="AF219" t="s">
        <v>67</v>
      </c>
      <c r="AG219" t="s">
        <v>301</v>
      </c>
      <c r="AH219" t="s">
        <v>121</v>
      </c>
      <c r="AI219" t="s">
        <v>180</v>
      </c>
      <c r="AJ219" t="s">
        <v>92</v>
      </c>
      <c r="AK219" t="s">
        <v>221</v>
      </c>
    </row>
    <row r="220" spans="1:37" x14ac:dyDescent="0.3">
      <c r="A220" t="s">
        <v>877</v>
      </c>
      <c r="B220" t="s">
        <v>870</v>
      </c>
      <c r="C220" s="2">
        <v>45764.926233043981</v>
      </c>
      <c r="D220" s="2">
        <v>45727.548935185187</v>
      </c>
      <c r="E220" s="2">
        <v>45727.863046261577</v>
      </c>
      <c r="F220" t="s">
        <v>871</v>
      </c>
      <c r="G220" t="s">
        <v>305</v>
      </c>
      <c r="H220">
        <v>45688</v>
      </c>
      <c r="I220">
        <v>0.5</v>
      </c>
      <c r="J220">
        <v>45695</v>
      </c>
      <c r="K220">
        <v>0.54166666666666674</v>
      </c>
      <c r="L220">
        <v>45696</v>
      </c>
      <c r="M220">
        <v>0.3903240740740741</v>
      </c>
      <c r="N220" t="s">
        <v>892</v>
      </c>
      <c r="O220"/>
      <c r="P220"/>
      <c r="Q220" t="s">
        <v>308</v>
      </c>
      <c r="R220" t="s">
        <v>250</v>
      </c>
      <c r="S220" t="s">
        <v>922</v>
      </c>
      <c r="T220" t="s">
        <v>955</v>
      </c>
      <c r="U220"/>
      <c r="V220"/>
      <c r="W220" t="s">
        <v>956</v>
      </c>
      <c r="X220"/>
      <c r="Y220" t="s">
        <v>230</v>
      </c>
      <c r="Z220" t="s">
        <v>935</v>
      </c>
      <c r="AA220"/>
      <c r="AB220"/>
      <c r="AC220"/>
      <c r="AD220"/>
      <c r="AE220" t="s">
        <v>913</v>
      </c>
      <c r="AF220" t="s">
        <v>67</v>
      </c>
      <c r="AG220" t="s">
        <v>205</v>
      </c>
      <c r="AH220" t="s">
        <v>206</v>
      </c>
      <c r="AI220" t="s">
        <v>106</v>
      </c>
      <c r="AJ220" t="s">
        <v>71</v>
      </c>
      <c r="AK220" t="s">
        <v>221</v>
      </c>
    </row>
    <row r="221" spans="1:37" x14ac:dyDescent="0.3">
      <c r="A221" t="s">
        <v>877</v>
      </c>
      <c r="B221" t="s">
        <v>870</v>
      </c>
      <c r="C221" s="2">
        <v>45764.926233043981</v>
      </c>
      <c r="D221" s="2">
        <v>45727.548935185187</v>
      </c>
      <c r="E221" s="2">
        <v>45727.863046261577</v>
      </c>
      <c r="F221" t="s">
        <v>871</v>
      </c>
      <c r="G221" t="s">
        <v>437</v>
      </c>
      <c r="H221">
        <v>45701</v>
      </c>
      <c r="I221">
        <v>8.3333333333333329E-2</v>
      </c>
      <c r="J221"/>
      <c r="K221"/>
      <c r="L221">
        <v>45701</v>
      </c>
      <c r="M221">
        <v>0.51225694444444447</v>
      </c>
      <c r="N221" t="s">
        <v>440</v>
      </c>
      <c r="O221" t="s">
        <v>957</v>
      </c>
      <c r="P221" t="s">
        <v>906</v>
      </c>
      <c r="Q221" t="s">
        <v>443</v>
      </c>
      <c r="R221" t="s">
        <v>191</v>
      </c>
      <c r="S221" t="s">
        <v>893</v>
      </c>
      <c r="T221" t="s">
        <v>958</v>
      </c>
      <c r="U221"/>
      <c r="V221"/>
      <c r="W221"/>
      <c r="X221"/>
      <c r="Y221"/>
      <c r="Z221"/>
      <c r="AA221"/>
      <c r="AB221"/>
      <c r="AC221"/>
      <c r="AD221"/>
      <c r="AE221" t="s">
        <v>959</v>
      </c>
      <c r="AF221" t="s">
        <v>67</v>
      </c>
      <c r="AG221" t="s">
        <v>120</v>
      </c>
      <c r="AH221" t="s">
        <v>121</v>
      </c>
      <c r="AI221" t="s">
        <v>378</v>
      </c>
      <c r="AJ221" t="s">
        <v>446</v>
      </c>
      <c r="AK221"/>
    </row>
    <row r="222" spans="1:37" x14ac:dyDescent="0.3">
      <c r="A222" t="s">
        <v>877</v>
      </c>
      <c r="B222" t="s">
        <v>870</v>
      </c>
      <c r="C222" s="2">
        <v>45764.926233043981</v>
      </c>
      <c r="D222" s="2">
        <v>45727.548935185187</v>
      </c>
      <c r="E222" s="2">
        <v>45727.863046261577</v>
      </c>
      <c r="F222" t="s">
        <v>871</v>
      </c>
      <c r="G222" t="s">
        <v>110</v>
      </c>
      <c r="H222">
        <v>45701</v>
      </c>
      <c r="I222">
        <v>0.66666666666666663</v>
      </c>
      <c r="J222"/>
      <c r="K222"/>
      <c r="L222">
        <v>45702</v>
      </c>
      <c r="M222">
        <v>0.29906250000000001</v>
      </c>
      <c r="N222" t="s">
        <v>902</v>
      </c>
      <c r="O222"/>
      <c r="P222"/>
      <c r="Q222" t="s">
        <v>113</v>
      </c>
      <c r="R222" t="s">
        <v>114</v>
      </c>
      <c r="S222" t="s">
        <v>936</v>
      </c>
      <c r="T222" t="s">
        <v>960</v>
      </c>
      <c r="U222"/>
      <c r="V222"/>
      <c r="W222" t="s">
        <v>116</v>
      </c>
      <c r="X222" t="s">
        <v>944</v>
      </c>
      <c r="Y222" t="s">
        <v>118</v>
      </c>
      <c r="Z222" t="s">
        <v>65</v>
      </c>
      <c r="AA222"/>
      <c r="AB222"/>
      <c r="AC222"/>
      <c r="AD222"/>
      <c r="AE222" t="s">
        <v>913</v>
      </c>
      <c r="AF222" t="s">
        <v>67</v>
      </c>
      <c r="AG222" t="s">
        <v>120</v>
      </c>
      <c r="AH222" t="s">
        <v>121</v>
      </c>
      <c r="AI222" t="s">
        <v>122</v>
      </c>
      <c r="AJ222" t="s">
        <v>71</v>
      </c>
      <c r="AK222" t="s">
        <v>72</v>
      </c>
    </row>
    <row r="223" spans="1:37" x14ac:dyDescent="0.3">
      <c r="A223" t="s">
        <v>877</v>
      </c>
      <c r="B223" t="s">
        <v>870</v>
      </c>
      <c r="C223" s="2">
        <v>45764.926233043981</v>
      </c>
      <c r="D223" s="2">
        <v>45727.548935185187</v>
      </c>
      <c r="E223" s="2">
        <v>45727.863046261577</v>
      </c>
      <c r="F223" t="s">
        <v>871</v>
      </c>
      <c r="G223" t="s">
        <v>313</v>
      </c>
      <c r="H223">
        <v>45705</v>
      </c>
      <c r="I223">
        <v>0.34877314814814814</v>
      </c>
      <c r="J223"/>
      <c r="K223"/>
      <c r="L223">
        <v>45705</v>
      </c>
      <c r="M223">
        <v>0.34877314814814819</v>
      </c>
      <c r="N223" t="s">
        <v>892</v>
      </c>
      <c r="O223" t="s">
        <v>317</v>
      </c>
      <c r="P223"/>
      <c r="Q223" t="s">
        <v>318</v>
      </c>
      <c r="R223" t="s">
        <v>134</v>
      </c>
      <c r="S223" t="s">
        <v>899</v>
      </c>
      <c r="T223" t="s">
        <v>961</v>
      </c>
      <c r="U223"/>
      <c r="V223"/>
      <c r="W223" t="s">
        <v>962</v>
      </c>
      <c r="X223" t="s">
        <v>896</v>
      </c>
      <c r="Y223" t="s">
        <v>218</v>
      </c>
      <c r="Z223" t="s">
        <v>65</v>
      </c>
      <c r="AA223"/>
      <c r="AB223"/>
      <c r="AC223"/>
      <c r="AD223"/>
      <c r="AE223" t="s">
        <v>904</v>
      </c>
      <c r="AF223" t="s">
        <v>67</v>
      </c>
      <c r="AG223" t="s">
        <v>68</v>
      </c>
      <c r="AH223" t="s">
        <v>69</v>
      </c>
      <c r="AI223" t="s">
        <v>122</v>
      </c>
      <c r="AJ223" t="s">
        <v>71</v>
      </c>
      <c r="AK223" t="s">
        <v>221</v>
      </c>
    </row>
    <row r="224" spans="1:37" x14ac:dyDescent="0.3">
      <c r="A224" t="s">
        <v>877</v>
      </c>
      <c r="B224" t="s">
        <v>870</v>
      </c>
      <c r="C224" s="2">
        <v>45764.926233043981</v>
      </c>
      <c r="D224" s="2">
        <v>45727.548935185187</v>
      </c>
      <c r="E224" s="2">
        <v>45727.863046261577</v>
      </c>
      <c r="F224" t="s">
        <v>871</v>
      </c>
      <c r="G224" t="s">
        <v>324</v>
      </c>
      <c r="H224">
        <v>45705</v>
      </c>
      <c r="I224">
        <v>0.39716435185185184</v>
      </c>
      <c r="J224"/>
      <c r="K224"/>
      <c r="L224">
        <v>45705</v>
      </c>
      <c r="M224">
        <v>0.39716435185185195</v>
      </c>
      <c r="N224" t="s">
        <v>892</v>
      </c>
      <c r="O224"/>
      <c r="P224"/>
      <c r="Q224" t="s">
        <v>326</v>
      </c>
      <c r="R224" t="s">
        <v>327</v>
      </c>
      <c r="S224" t="s">
        <v>899</v>
      </c>
      <c r="T224" t="s">
        <v>963</v>
      </c>
      <c r="U224"/>
      <c r="V224"/>
      <c r="W224" t="s">
        <v>964</v>
      </c>
      <c r="X224" t="s">
        <v>896</v>
      </c>
      <c r="Y224" t="s">
        <v>218</v>
      </c>
      <c r="Z224" t="s">
        <v>935</v>
      </c>
      <c r="AA224"/>
      <c r="AB224"/>
      <c r="AC224"/>
      <c r="AD224"/>
      <c r="AE224" t="s">
        <v>904</v>
      </c>
      <c r="AF224" t="s">
        <v>67</v>
      </c>
      <c r="AG224" t="s">
        <v>330</v>
      </c>
      <c r="AH224" t="s">
        <v>69</v>
      </c>
      <c r="AI224" t="s">
        <v>122</v>
      </c>
      <c r="AJ224" t="s">
        <v>71</v>
      </c>
      <c r="AK224" t="s">
        <v>221</v>
      </c>
    </row>
    <row r="225" spans="1:37" x14ac:dyDescent="0.3">
      <c r="A225" t="s">
        <v>877</v>
      </c>
      <c r="B225" t="s">
        <v>870</v>
      </c>
      <c r="C225" s="2">
        <v>45764.926233043981</v>
      </c>
      <c r="D225" s="2">
        <v>45727.548935185187</v>
      </c>
      <c r="E225" s="2">
        <v>45727.863046261577</v>
      </c>
      <c r="F225" t="s">
        <v>871</v>
      </c>
      <c r="G225" t="s">
        <v>173</v>
      </c>
      <c r="H225">
        <v>45705</v>
      </c>
      <c r="I225">
        <v>0.52497685185185183</v>
      </c>
      <c r="J225"/>
      <c r="K225"/>
      <c r="L225">
        <v>45705</v>
      </c>
      <c r="M225">
        <v>0.52497685185185183</v>
      </c>
      <c r="N225" t="s">
        <v>950</v>
      </c>
      <c r="O225" t="s">
        <v>176</v>
      </c>
      <c r="P225"/>
      <c r="Q225" t="s">
        <v>177</v>
      </c>
      <c r="R225" t="s">
        <v>178</v>
      </c>
      <c r="S225" t="s">
        <v>893</v>
      </c>
      <c r="T225" t="s">
        <v>965</v>
      </c>
      <c r="U225"/>
      <c r="V225"/>
      <c r="W225"/>
      <c r="X225"/>
      <c r="Y225"/>
      <c r="Z225"/>
      <c r="AA225"/>
      <c r="AB225"/>
      <c r="AC225"/>
      <c r="AD225"/>
      <c r="AE225" t="s">
        <v>904</v>
      </c>
      <c r="AF225" t="s">
        <v>67</v>
      </c>
      <c r="AG225" t="s">
        <v>68</v>
      </c>
      <c r="AH225" t="s">
        <v>69</v>
      </c>
      <c r="AI225" t="s">
        <v>180</v>
      </c>
      <c r="AJ225" t="s">
        <v>71</v>
      </c>
      <c r="AK225" t="s">
        <v>137</v>
      </c>
    </row>
    <row r="226" spans="1:37" x14ac:dyDescent="0.3">
      <c r="A226" t="s">
        <v>877</v>
      </c>
      <c r="B226" t="s">
        <v>870</v>
      </c>
      <c r="C226" s="2">
        <v>45764.926233043981</v>
      </c>
      <c r="D226" s="2">
        <v>45727.548935185187</v>
      </c>
      <c r="E226" s="2">
        <v>45727.863046261577</v>
      </c>
      <c r="F226" t="s">
        <v>871</v>
      </c>
      <c r="G226" t="s">
        <v>420</v>
      </c>
      <c r="H226">
        <v>45705</v>
      </c>
      <c r="I226">
        <v>0.83333333333333337</v>
      </c>
      <c r="J226">
        <v>45705</v>
      </c>
      <c r="K226">
        <v>0.98958333333333326</v>
      </c>
      <c r="L226">
        <v>45706</v>
      </c>
      <c r="M226">
        <v>0.73564814814814805</v>
      </c>
      <c r="N226" t="s">
        <v>423</v>
      </c>
      <c r="O226" t="s">
        <v>925</v>
      </c>
      <c r="P226"/>
      <c r="Q226" t="s">
        <v>425</v>
      </c>
      <c r="R226" t="s">
        <v>426</v>
      </c>
      <c r="S226" t="s">
        <v>907</v>
      </c>
      <c r="T226" t="s">
        <v>966</v>
      </c>
      <c r="U226"/>
      <c r="V226"/>
      <c r="W226"/>
      <c r="X226"/>
      <c r="Y226"/>
      <c r="Z226"/>
      <c r="AA226"/>
      <c r="AB226"/>
      <c r="AC226"/>
      <c r="AD226"/>
      <c r="AE226" t="s">
        <v>927</v>
      </c>
      <c r="AF226" t="s">
        <v>67</v>
      </c>
      <c r="AG226" t="s">
        <v>106</v>
      </c>
      <c r="AH226" t="s">
        <v>417</v>
      </c>
      <c r="AI226" t="s">
        <v>106</v>
      </c>
      <c r="AJ226" t="s">
        <v>266</v>
      </c>
      <c r="AK226"/>
    </row>
    <row r="227" spans="1:37" x14ac:dyDescent="0.3">
      <c r="A227" t="s">
        <v>877</v>
      </c>
      <c r="B227" t="s">
        <v>870</v>
      </c>
      <c r="C227" s="2">
        <v>45764.926233043981</v>
      </c>
      <c r="D227" s="2">
        <v>45727.548935185187</v>
      </c>
      <c r="E227" s="2">
        <v>45727.863046261577</v>
      </c>
      <c r="F227" t="s">
        <v>871</v>
      </c>
      <c r="G227" t="s">
        <v>429</v>
      </c>
      <c r="H227">
        <v>42906</v>
      </c>
      <c r="I227">
        <v>0.53615740740740736</v>
      </c>
      <c r="J227">
        <v>45555</v>
      </c>
      <c r="K227"/>
      <c r="L227">
        <v>45708</v>
      </c>
      <c r="M227">
        <v>0.53615740740740736</v>
      </c>
      <c r="N227" t="s">
        <v>925</v>
      </c>
      <c r="O227"/>
      <c r="P227"/>
      <c r="Q227" t="s">
        <v>432</v>
      </c>
      <c r="R227" t="s">
        <v>101</v>
      </c>
      <c r="S227" t="s">
        <v>907</v>
      </c>
      <c r="T227" t="s">
        <v>974</v>
      </c>
      <c r="U227"/>
      <c r="V227"/>
      <c r="W227"/>
      <c r="X227"/>
      <c r="Y227"/>
      <c r="Z227"/>
      <c r="AA227"/>
      <c r="AB227"/>
      <c r="AC227"/>
      <c r="AD227"/>
      <c r="AE227" t="s">
        <v>904</v>
      </c>
      <c r="AF227" t="s">
        <v>67</v>
      </c>
      <c r="AG227" t="s">
        <v>434</v>
      </c>
      <c r="AH227" t="s">
        <v>69</v>
      </c>
      <c r="AI227" t="s">
        <v>352</v>
      </c>
      <c r="AJ227" t="s">
        <v>435</v>
      </c>
      <c r="AK227" t="s">
        <v>436</v>
      </c>
    </row>
    <row r="228" spans="1:37" x14ac:dyDescent="0.3">
      <c r="A228" t="s">
        <v>877</v>
      </c>
      <c r="B228" t="s">
        <v>870</v>
      </c>
      <c r="C228" s="2">
        <v>45764.926233043981</v>
      </c>
      <c r="D228" s="2">
        <v>45727.548935185187</v>
      </c>
      <c r="E228" s="2">
        <v>45727.863046261577</v>
      </c>
      <c r="F228" t="s">
        <v>871</v>
      </c>
      <c r="G228" t="s">
        <v>332</v>
      </c>
      <c r="H228">
        <v>45713</v>
      </c>
      <c r="I228">
        <v>0.41666666666666669</v>
      </c>
      <c r="J228">
        <v>45713</v>
      </c>
      <c r="K228">
        <v>0.95833333333333326</v>
      </c>
      <c r="L228">
        <v>45712</v>
      </c>
      <c r="M228">
        <v>0.9913657407407408</v>
      </c>
      <c r="N228" t="s">
        <v>892</v>
      </c>
      <c r="O228"/>
      <c r="P228"/>
      <c r="Q228" t="s">
        <v>335</v>
      </c>
      <c r="R228" t="s">
        <v>250</v>
      </c>
      <c r="S228" t="s">
        <v>922</v>
      </c>
      <c r="T228" t="s">
        <v>973</v>
      </c>
      <c r="U228"/>
      <c r="V228"/>
      <c r="W228" t="s">
        <v>337</v>
      </c>
      <c r="X228" t="s">
        <v>896</v>
      </c>
      <c r="Y228" t="s">
        <v>338</v>
      </c>
      <c r="Z228" t="s">
        <v>339</v>
      </c>
      <c r="AA228"/>
      <c r="AB228"/>
      <c r="AC228"/>
      <c r="AD228"/>
      <c r="AE228" t="s">
        <v>897</v>
      </c>
      <c r="AF228" t="s">
        <v>67</v>
      </c>
      <c r="AG228" t="s">
        <v>158</v>
      </c>
      <c r="AH228" t="s">
        <v>159</v>
      </c>
      <c r="AI228" t="s">
        <v>160</v>
      </c>
      <c r="AJ228" t="s">
        <v>975</v>
      </c>
      <c r="AK228" t="s">
        <v>221</v>
      </c>
    </row>
    <row r="229" spans="1:37" x14ac:dyDescent="0.3">
      <c r="A229" t="s">
        <v>877</v>
      </c>
      <c r="B229" t="s">
        <v>870</v>
      </c>
      <c r="C229" s="2">
        <v>45764.926233043981</v>
      </c>
      <c r="D229" s="2">
        <v>45727.548935185187</v>
      </c>
      <c r="E229" s="2">
        <v>45727.863046261577</v>
      </c>
      <c r="F229" t="s">
        <v>871</v>
      </c>
      <c r="G229" t="s">
        <v>492</v>
      </c>
      <c r="H229">
        <v>45720</v>
      </c>
      <c r="I229">
        <v>0.64097222222222228</v>
      </c>
      <c r="J229"/>
      <c r="K229"/>
      <c r="L229">
        <v>45720</v>
      </c>
      <c r="M229">
        <v>0.64444444444444438</v>
      </c>
      <c r="N229" t="s">
        <v>906</v>
      </c>
      <c r="O229" t="s">
        <v>976</v>
      </c>
      <c r="P229" t="s">
        <v>344</v>
      </c>
      <c r="Q229" t="s">
        <v>497</v>
      </c>
      <c r="R229" t="s">
        <v>84</v>
      </c>
      <c r="S229" t="s">
        <v>907</v>
      </c>
      <c r="T229" t="s">
        <v>977</v>
      </c>
      <c r="U229"/>
      <c r="V229"/>
      <c r="W229" t="s">
        <v>499</v>
      </c>
      <c r="X229" t="s">
        <v>500</v>
      </c>
      <c r="Y229" t="s">
        <v>501</v>
      </c>
      <c r="Z229" t="s">
        <v>65</v>
      </c>
      <c r="AA229"/>
      <c r="AB229"/>
      <c r="AC229"/>
      <c r="AD229"/>
      <c r="AE229" t="s">
        <v>978</v>
      </c>
      <c r="AF229" t="s">
        <v>67</v>
      </c>
      <c r="AG229" t="s">
        <v>502</v>
      </c>
      <c r="AH229" t="s">
        <v>159</v>
      </c>
      <c r="AI229" t="s">
        <v>378</v>
      </c>
      <c r="AJ229" t="s">
        <v>195</v>
      </c>
      <c r="AK229" t="s">
        <v>353</v>
      </c>
    </row>
    <row r="230" spans="1:37" x14ac:dyDescent="0.3">
      <c r="A230" t="s">
        <v>877</v>
      </c>
      <c r="B230" t="s">
        <v>870</v>
      </c>
      <c r="C230" s="2">
        <v>45764.926233043981</v>
      </c>
      <c r="D230" s="2">
        <v>45727.548935185187</v>
      </c>
      <c r="E230" s="2">
        <v>45727.863046261577</v>
      </c>
      <c r="F230" t="s">
        <v>871</v>
      </c>
      <c r="G230" t="s">
        <v>484</v>
      </c>
      <c r="H230">
        <v>45720</v>
      </c>
      <c r="I230">
        <v>0.79126157407407405</v>
      </c>
      <c r="J230"/>
      <c r="K230"/>
      <c r="L230">
        <v>45720</v>
      </c>
      <c r="M230">
        <v>0.79126157407407405</v>
      </c>
      <c r="N230" t="s">
        <v>906</v>
      </c>
      <c r="O230"/>
      <c r="P230"/>
      <c r="Q230" t="s">
        <v>487</v>
      </c>
      <c r="R230" t="s">
        <v>261</v>
      </c>
      <c r="S230" t="s">
        <v>936</v>
      </c>
      <c r="T230" t="s">
        <v>979</v>
      </c>
      <c r="U230"/>
      <c r="V230"/>
      <c r="W230"/>
      <c r="X230"/>
      <c r="Y230"/>
      <c r="Z230"/>
      <c r="AA230"/>
      <c r="AB230"/>
      <c r="AC230"/>
      <c r="AD230"/>
      <c r="AE230" t="s">
        <v>978</v>
      </c>
      <c r="AF230" t="s">
        <v>67</v>
      </c>
      <c r="AG230" t="s">
        <v>489</v>
      </c>
      <c r="AH230" t="s">
        <v>206</v>
      </c>
      <c r="AI230" t="s">
        <v>70</v>
      </c>
      <c r="AJ230" t="s">
        <v>123</v>
      </c>
      <c r="AK230" t="s">
        <v>353</v>
      </c>
    </row>
    <row r="231" spans="1:37" x14ac:dyDescent="0.3">
      <c r="A231" t="s">
        <v>877</v>
      </c>
      <c r="B231" t="s">
        <v>870</v>
      </c>
      <c r="C231" s="2">
        <v>45764.926233043981</v>
      </c>
      <c r="D231" s="2">
        <v>45727.548935185187</v>
      </c>
      <c r="E231" s="2">
        <v>45727.863046261577</v>
      </c>
      <c r="F231" t="s">
        <v>871</v>
      </c>
      <c r="G231" t="s">
        <v>460</v>
      </c>
      <c r="H231">
        <v>45722</v>
      </c>
      <c r="I231">
        <v>0.94149305555555551</v>
      </c>
      <c r="J231"/>
      <c r="K231"/>
      <c r="L231">
        <v>45722</v>
      </c>
      <c r="M231">
        <v>0.94149305555555562</v>
      </c>
      <c r="N231" t="s">
        <v>902</v>
      </c>
      <c r="O231"/>
      <c r="P231"/>
      <c r="Q231" t="s">
        <v>464</v>
      </c>
      <c r="R231" t="s">
        <v>84</v>
      </c>
      <c r="S231" t="s">
        <v>907</v>
      </c>
      <c r="T231" t="s">
        <v>980</v>
      </c>
      <c r="U231"/>
      <c r="V231"/>
      <c r="W231" t="s">
        <v>466</v>
      </c>
      <c r="X231" t="s">
        <v>944</v>
      </c>
      <c r="Y231" t="s">
        <v>467</v>
      </c>
      <c r="Z231" t="s">
        <v>65</v>
      </c>
      <c r="AA231"/>
      <c r="AB231"/>
      <c r="AC231"/>
      <c r="AD231"/>
      <c r="AE231" t="s">
        <v>981</v>
      </c>
      <c r="AF231" t="s">
        <v>67</v>
      </c>
      <c r="AG231" t="s">
        <v>68</v>
      </c>
      <c r="AH231" t="s">
        <v>69</v>
      </c>
      <c r="AI231" t="s">
        <v>160</v>
      </c>
      <c r="AJ231" t="s">
        <v>123</v>
      </c>
      <c r="AK231"/>
    </row>
    <row r="232" spans="1:37" x14ac:dyDescent="0.3">
      <c r="A232" t="s">
        <v>877</v>
      </c>
      <c r="B232" t="s">
        <v>870</v>
      </c>
      <c r="C232" s="2">
        <v>45764.926233043981</v>
      </c>
      <c r="D232" s="2">
        <v>45727.548935185187</v>
      </c>
      <c r="E232" s="2">
        <v>45727.863046261577</v>
      </c>
      <c r="F232" t="s">
        <v>871</v>
      </c>
      <c r="G232" t="s">
        <v>472</v>
      </c>
      <c r="H232">
        <v>45725</v>
      </c>
      <c r="I232">
        <v>0.8125</v>
      </c>
      <c r="J232">
        <v>45726</v>
      </c>
      <c r="K232">
        <v>0.35416666666666674</v>
      </c>
      <c r="L232">
        <v>45726</v>
      </c>
      <c r="M232">
        <v>0.37046296296296299</v>
      </c>
      <c r="N232" t="s">
        <v>902</v>
      </c>
      <c r="O232"/>
      <c r="P232"/>
      <c r="Q232" t="s">
        <v>475</v>
      </c>
      <c r="R232" t="s">
        <v>134</v>
      </c>
      <c r="S232" t="s">
        <v>899</v>
      </c>
      <c r="T232" t="s">
        <v>982</v>
      </c>
      <c r="U232"/>
      <c r="V232"/>
      <c r="W232" t="s">
        <v>477</v>
      </c>
      <c r="X232" t="s">
        <v>478</v>
      </c>
      <c r="Y232" t="s">
        <v>479</v>
      </c>
      <c r="Z232" t="s">
        <v>65</v>
      </c>
      <c r="AA232"/>
      <c r="AB232"/>
      <c r="AC232"/>
      <c r="AD232"/>
      <c r="AE232" t="s">
        <v>897</v>
      </c>
      <c r="AF232" t="s">
        <v>67</v>
      </c>
      <c r="AG232" t="s">
        <v>480</v>
      </c>
      <c r="AH232" t="s">
        <v>351</v>
      </c>
      <c r="AI232" t="s">
        <v>122</v>
      </c>
      <c r="AJ232" t="s">
        <v>123</v>
      </c>
      <c r="AK232"/>
    </row>
    <row r="233" spans="1:37" x14ac:dyDescent="0.3">
      <c r="A233" t="s">
        <v>878</v>
      </c>
      <c r="B233" t="s">
        <v>870</v>
      </c>
      <c r="C233" s="2">
        <v>45764.926233067126</v>
      </c>
      <c r="D233" s="2">
        <v>45730.674745370372</v>
      </c>
      <c r="E233" s="2">
        <v>45733.885847592595</v>
      </c>
      <c r="F233" t="s">
        <v>871</v>
      </c>
      <c r="G233" t="s">
        <v>210</v>
      </c>
      <c r="H233">
        <v>45660</v>
      </c>
      <c r="I233">
        <v>0.89583333333333337</v>
      </c>
      <c r="J233">
        <v>45661</v>
      </c>
      <c r="K233">
        <v>0.26736111111111116</v>
      </c>
      <c r="L233">
        <v>45661</v>
      </c>
      <c r="M233">
        <v>0.4577430555555555</v>
      </c>
      <c r="N233" t="s">
        <v>892</v>
      </c>
      <c r="O233"/>
      <c r="P233"/>
      <c r="Q233" t="s">
        <v>214</v>
      </c>
      <c r="R233" t="s">
        <v>215</v>
      </c>
      <c r="S233" t="s">
        <v>893</v>
      </c>
      <c r="T233" t="s">
        <v>894</v>
      </c>
      <c r="U233"/>
      <c r="V233"/>
      <c r="W233" t="s">
        <v>895</v>
      </c>
      <c r="X233" t="s">
        <v>896</v>
      </c>
      <c r="Y233" t="s">
        <v>218</v>
      </c>
      <c r="Z233" t="s">
        <v>65</v>
      </c>
      <c r="AA233"/>
      <c r="AB233"/>
      <c r="AC233"/>
      <c r="AD233"/>
      <c r="AE233" t="s">
        <v>897</v>
      </c>
      <c r="AF233" t="s">
        <v>67</v>
      </c>
      <c r="AG233" t="s">
        <v>219</v>
      </c>
      <c r="AH233" t="s">
        <v>206</v>
      </c>
      <c r="AI233" t="s">
        <v>220</v>
      </c>
      <c r="AJ233" t="s">
        <v>71</v>
      </c>
      <c r="AK233" t="s">
        <v>221</v>
      </c>
    </row>
    <row r="234" spans="1:37" x14ac:dyDescent="0.3">
      <c r="A234" t="s">
        <v>878</v>
      </c>
      <c r="B234" t="s">
        <v>870</v>
      </c>
      <c r="C234" s="2">
        <v>45764.926233067126</v>
      </c>
      <c r="D234" s="2">
        <v>45730.674745370372</v>
      </c>
      <c r="E234" s="2">
        <v>45733.885847592595</v>
      </c>
      <c r="F234" t="s">
        <v>871</v>
      </c>
      <c r="G234" t="s">
        <v>395</v>
      </c>
      <c r="H234">
        <v>45664</v>
      </c>
      <c r="I234">
        <v>0.58333333333333337</v>
      </c>
      <c r="J234"/>
      <c r="K234"/>
      <c r="L234">
        <v>45667</v>
      </c>
      <c r="M234">
        <v>0.59781250000000008</v>
      </c>
      <c r="N234" t="s">
        <v>898</v>
      </c>
      <c r="O234" t="s">
        <v>400</v>
      </c>
      <c r="P234"/>
      <c r="Q234" t="s">
        <v>401</v>
      </c>
      <c r="R234" t="s">
        <v>134</v>
      </c>
      <c r="S234" t="s">
        <v>899</v>
      </c>
      <c r="T234" t="s">
        <v>900</v>
      </c>
      <c r="U234"/>
      <c r="V234"/>
      <c r="W234"/>
      <c r="X234"/>
      <c r="Y234"/>
      <c r="Z234"/>
      <c r="AA234"/>
      <c r="AB234"/>
      <c r="AC234"/>
      <c r="AD234"/>
      <c r="AE234" t="s">
        <v>901</v>
      </c>
      <c r="AF234" t="s">
        <v>67</v>
      </c>
      <c r="AG234" t="s">
        <v>404</v>
      </c>
      <c r="AH234" t="s">
        <v>405</v>
      </c>
      <c r="AI234" t="s">
        <v>406</v>
      </c>
      <c r="AJ234" t="s">
        <v>71</v>
      </c>
      <c r="AK234" t="s">
        <v>407</v>
      </c>
    </row>
    <row r="235" spans="1:37" x14ac:dyDescent="0.3">
      <c r="A235" t="s">
        <v>878</v>
      </c>
      <c r="B235" t="s">
        <v>870</v>
      </c>
      <c r="C235" s="2">
        <v>45764.926233067126</v>
      </c>
      <c r="D235" s="2">
        <v>45730.674745370372</v>
      </c>
      <c r="E235" s="2">
        <v>45733.885847592595</v>
      </c>
      <c r="F235" t="s">
        <v>871</v>
      </c>
      <c r="G235" t="s">
        <v>53</v>
      </c>
      <c r="H235">
        <v>45663</v>
      </c>
      <c r="I235">
        <v>0.64583333333333337</v>
      </c>
      <c r="J235">
        <v>45667</v>
      </c>
      <c r="K235"/>
      <c r="L235">
        <v>45667</v>
      </c>
      <c r="M235">
        <v>0.82629629629629631</v>
      </c>
      <c r="N235" t="s">
        <v>902</v>
      </c>
      <c r="O235"/>
      <c r="P235"/>
      <c r="Q235" t="s">
        <v>60</v>
      </c>
      <c r="R235"/>
      <c r="S235" t="s">
        <v>899</v>
      </c>
      <c r="T235" t="s">
        <v>903</v>
      </c>
      <c r="U235"/>
      <c r="V235"/>
      <c r="W235" t="s">
        <v>62</v>
      </c>
      <c r="X235" t="s">
        <v>896</v>
      </c>
      <c r="Y235" t="s">
        <v>64</v>
      </c>
      <c r="Z235" t="s">
        <v>65</v>
      </c>
      <c r="AA235"/>
      <c r="AB235"/>
      <c r="AC235"/>
      <c r="AD235"/>
      <c r="AE235" t="s">
        <v>904</v>
      </c>
      <c r="AF235" t="s">
        <v>67</v>
      </c>
      <c r="AG235" t="s">
        <v>68</v>
      </c>
      <c r="AH235" t="s">
        <v>69</v>
      </c>
      <c r="AI235" t="s">
        <v>70</v>
      </c>
      <c r="AJ235" t="s">
        <v>71</v>
      </c>
      <c r="AK235" t="s">
        <v>72</v>
      </c>
    </row>
    <row r="236" spans="1:37" x14ac:dyDescent="0.3">
      <c r="A236" t="s">
        <v>878</v>
      </c>
      <c r="B236" t="s">
        <v>870</v>
      </c>
      <c r="C236" s="2">
        <v>45764.926233067126</v>
      </c>
      <c r="D236" s="2">
        <v>45730.674745370372</v>
      </c>
      <c r="E236" s="2">
        <v>45733.885847592595</v>
      </c>
      <c r="F236" t="s">
        <v>871</v>
      </c>
      <c r="G236" t="s">
        <v>341</v>
      </c>
      <c r="H236">
        <v>45670</v>
      </c>
      <c r="I236">
        <v>0.50347222222222221</v>
      </c>
      <c r="J236"/>
      <c r="K236"/>
      <c r="L236">
        <v>45670</v>
      </c>
      <c r="M236">
        <v>0.50537037037037047</v>
      </c>
      <c r="N236" t="s">
        <v>344</v>
      </c>
      <c r="O236" t="s">
        <v>905</v>
      </c>
      <c r="P236" t="s">
        <v>906</v>
      </c>
      <c r="Q236" t="s">
        <v>348</v>
      </c>
      <c r="R236" t="s">
        <v>84</v>
      </c>
      <c r="S236" t="s">
        <v>907</v>
      </c>
      <c r="T236" t="s">
        <v>908</v>
      </c>
      <c r="U236"/>
      <c r="V236"/>
      <c r="W236"/>
      <c r="X236"/>
      <c r="Y236"/>
      <c r="Z236"/>
      <c r="AA236"/>
      <c r="AB236"/>
      <c r="AC236"/>
      <c r="AD236"/>
      <c r="AE236" t="s">
        <v>897</v>
      </c>
      <c r="AF236" t="s">
        <v>67</v>
      </c>
      <c r="AG236" t="s">
        <v>350</v>
      </c>
      <c r="AH236" t="s">
        <v>351</v>
      </c>
      <c r="AI236" t="s">
        <v>352</v>
      </c>
      <c r="AJ236" t="s">
        <v>123</v>
      </c>
      <c r="AK236" t="s">
        <v>353</v>
      </c>
    </row>
    <row r="237" spans="1:37" x14ac:dyDescent="0.3">
      <c r="A237" t="s">
        <v>878</v>
      </c>
      <c r="B237" t="s">
        <v>870</v>
      </c>
      <c r="C237" s="2">
        <v>45764.926233067126</v>
      </c>
      <c r="D237" s="2">
        <v>45730.674745370372</v>
      </c>
      <c r="E237" s="2">
        <v>45733.885847592595</v>
      </c>
      <c r="F237" t="s">
        <v>871</v>
      </c>
      <c r="G237" t="s">
        <v>356</v>
      </c>
      <c r="H237">
        <v>45671</v>
      </c>
      <c r="I237">
        <v>0.64067129629629627</v>
      </c>
      <c r="J237"/>
      <c r="K237"/>
      <c r="L237">
        <v>45671</v>
      </c>
      <c r="M237">
        <v>0.64067129629629638</v>
      </c>
      <c r="N237" t="s">
        <v>906</v>
      </c>
      <c r="O237" t="s">
        <v>909</v>
      </c>
      <c r="P237" t="s">
        <v>361</v>
      </c>
      <c r="Q237" t="s">
        <v>362</v>
      </c>
      <c r="R237" t="s">
        <v>363</v>
      </c>
      <c r="S237" t="s">
        <v>893</v>
      </c>
      <c r="T237" t="s">
        <v>910</v>
      </c>
      <c r="U237"/>
      <c r="V237"/>
      <c r="W237" t="s">
        <v>911</v>
      </c>
      <c r="X237" t="s">
        <v>912</v>
      </c>
      <c r="Y237" t="s">
        <v>367</v>
      </c>
      <c r="Z237" t="s">
        <v>65</v>
      </c>
      <c r="AA237"/>
      <c r="AB237"/>
      <c r="AC237"/>
      <c r="AD237"/>
      <c r="AE237" t="s">
        <v>913</v>
      </c>
      <c r="AF237" t="s">
        <v>67</v>
      </c>
      <c r="AG237" t="s">
        <v>219</v>
      </c>
      <c r="AH237" t="s">
        <v>368</v>
      </c>
      <c r="AI237" t="s">
        <v>160</v>
      </c>
      <c r="AJ237" t="s">
        <v>123</v>
      </c>
      <c r="AK237" t="s">
        <v>353</v>
      </c>
    </row>
    <row r="238" spans="1:37" x14ac:dyDescent="0.3">
      <c r="A238" t="s">
        <v>878</v>
      </c>
      <c r="B238" t="s">
        <v>870</v>
      </c>
      <c r="C238" s="2">
        <v>45764.926233067126</v>
      </c>
      <c r="D238" s="2">
        <v>45730.674745370372</v>
      </c>
      <c r="E238" s="2">
        <v>45733.885847592595</v>
      </c>
      <c r="F238" t="s">
        <v>871</v>
      </c>
      <c r="G238" t="s">
        <v>224</v>
      </c>
      <c r="H238">
        <v>45672</v>
      </c>
      <c r="I238">
        <v>0.53988425925925931</v>
      </c>
      <c r="J238"/>
      <c r="K238"/>
      <c r="L238">
        <v>45672</v>
      </c>
      <c r="M238">
        <v>0.5398842592592592</v>
      </c>
      <c r="N238" t="s">
        <v>892</v>
      </c>
      <c r="O238"/>
      <c r="P238"/>
      <c r="Q238" t="s">
        <v>227</v>
      </c>
      <c r="R238" t="s">
        <v>84</v>
      </c>
      <c r="S238" t="s">
        <v>907</v>
      </c>
      <c r="T238" t="s">
        <v>914</v>
      </c>
      <c r="U238"/>
      <c r="V238"/>
      <c r="W238" t="s">
        <v>229</v>
      </c>
      <c r="X238" t="s">
        <v>896</v>
      </c>
      <c r="Y238" t="s">
        <v>230</v>
      </c>
      <c r="Z238" t="s">
        <v>65</v>
      </c>
      <c r="AA238"/>
      <c r="AB238"/>
      <c r="AC238"/>
      <c r="AD238"/>
      <c r="AE238" t="s">
        <v>913</v>
      </c>
      <c r="AF238" t="s">
        <v>67</v>
      </c>
      <c r="AG238" t="s">
        <v>231</v>
      </c>
      <c r="AH238" t="s">
        <v>232</v>
      </c>
      <c r="AI238" t="s">
        <v>70</v>
      </c>
      <c r="AJ238" t="s">
        <v>71</v>
      </c>
      <c r="AK238" t="s">
        <v>221</v>
      </c>
    </row>
    <row r="239" spans="1:37" x14ac:dyDescent="0.3">
      <c r="A239" t="s">
        <v>878</v>
      </c>
      <c r="B239" t="s">
        <v>870</v>
      </c>
      <c r="C239" s="2">
        <v>45764.926233067126</v>
      </c>
      <c r="D239" s="2">
        <v>45730.674745370372</v>
      </c>
      <c r="E239" s="2">
        <v>45733.885847592595</v>
      </c>
      <c r="F239" t="s">
        <v>871</v>
      </c>
      <c r="G239" t="s">
        <v>129</v>
      </c>
      <c r="H239">
        <v>45673</v>
      </c>
      <c r="I239">
        <v>0.5</v>
      </c>
      <c r="J239">
        <v>45673</v>
      </c>
      <c r="K239">
        <v>0.75</v>
      </c>
      <c r="L239">
        <v>45673</v>
      </c>
      <c r="M239">
        <v>0.81587962962962957</v>
      </c>
      <c r="N239" t="s">
        <v>915</v>
      </c>
      <c r="O239"/>
      <c r="P239"/>
      <c r="Q239" t="s">
        <v>133</v>
      </c>
      <c r="R239" t="s">
        <v>134</v>
      </c>
      <c r="S239" t="s">
        <v>899</v>
      </c>
      <c r="T239" t="s">
        <v>916</v>
      </c>
      <c r="U239"/>
      <c r="V239"/>
      <c r="W239"/>
      <c r="X239"/>
      <c r="Y239"/>
      <c r="Z239"/>
      <c r="AA239"/>
      <c r="AB239"/>
      <c r="AC239"/>
      <c r="AD239"/>
      <c r="AE239" t="s">
        <v>904</v>
      </c>
      <c r="AF239" t="s">
        <v>67</v>
      </c>
      <c r="AG239" t="s">
        <v>136</v>
      </c>
      <c r="AH239" t="s">
        <v>69</v>
      </c>
      <c r="AI239" t="s">
        <v>70</v>
      </c>
      <c r="AJ239" t="s">
        <v>71</v>
      </c>
      <c r="AK239" t="s">
        <v>137</v>
      </c>
    </row>
    <row r="240" spans="1:37" x14ac:dyDescent="0.3">
      <c r="A240" t="s">
        <v>878</v>
      </c>
      <c r="B240" t="s">
        <v>870</v>
      </c>
      <c r="C240" s="2">
        <v>45764.926233067126</v>
      </c>
      <c r="D240" s="2">
        <v>45730.674745370372</v>
      </c>
      <c r="E240" s="2">
        <v>45733.885847592595</v>
      </c>
      <c r="F240" t="s">
        <v>871</v>
      </c>
      <c r="G240" t="s">
        <v>371</v>
      </c>
      <c r="H240">
        <v>45673</v>
      </c>
      <c r="I240">
        <v>0.87708333333333333</v>
      </c>
      <c r="J240">
        <v>45673</v>
      </c>
      <c r="K240">
        <v>0.88611111111111107</v>
      </c>
      <c r="L240">
        <v>45674</v>
      </c>
      <c r="M240">
        <v>0.51179398148148159</v>
      </c>
      <c r="N240" t="s">
        <v>906</v>
      </c>
      <c r="O240"/>
      <c r="P240"/>
      <c r="Q240" t="s">
        <v>374</v>
      </c>
      <c r="R240" t="s">
        <v>178</v>
      </c>
      <c r="S240" t="s">
        <v>893</v>
      </c>
      <c r="T240" t="s">
        <v>917</v>
      </c>
      <c r="U240"/>
      <c r="V240"/>
      <c r="W240"/>
      <c r="X240" t="s">
        <v>918</v>
      </c>
      <c r="Y240" t="s">
        <v>919</v>
      </c>
      <c r="Z240"/>
      <c r="AA240"/>
      <c r="AB240"/>
      <c r="AC240"/>
      <c r="AD240"/>
      <c r="AE240" t="s">
        <v>904</v>
      </c>
      <c r="AF240" t="s">
        <v>67</v>
      </c>
      <c r="AG240" t="s">
        <v>89</v>
      </c>
      <c r="AH240" t="s">
        <v>90</v>
      </c>
      <c r="AI240" t="s">
        <v>378</v>
      </c>
      <c r="AJ240" t="s">
        <v>435</v>
      </c>
      <c r="AK240" t="s">
        <v>353</v>
      </c>
    </row>
    <row r="241" spans="1:37" x14ac:dyDescent="0.3">
      <c r="A241" t="s">
        <v>878</v>
      </c>
      <c r="B241" t="s">
        <v>870</v>
      </c>
      <c r="C241" s="2">
        <v>45764.926233067126</v>
      </c>
      <c r="D241" s="2">
        <v>45730.674745370372</v>
      </c>
      <c r="E241" s="2">
        <v>45733.885847592595</v>
      </c>
      <c r="F241" t="s">
        <v>871</v>
      </c>
      <c r="G241" t="s">
        <v>236</v>
      </c>
      <c r="H241">
        <v>45678</v>
      </c>
      <c r="I241">
        <v>0.79166666666666663</v>
      </c>
      <c r="J241">
        <v>45679</v>
      </c>
      <c r="K241">
        <v>0.13125000000000009</v>
      </c>
      <c r="L241">
        <v>45679</v>
      </c>
      <c r="M241">
        <v>0.13255787037037048</v>
      </c>
      <c r="N241" t="s">
        <v>892</v>
      </c>
      <c r="O241"/>
      <c r="P241"/>
      <c r="Q241" t="s">
        <v>239</v>
      </c>
      <c r="R241" t="s">
        <v>178</v>
      </c>
      <c r="S241" t="s">
        <v>893</v>
      </c>
      <c r="T241" t="s">
        <v>920</v>
      </c>
      <c r="U241"/>
      <c r="V241"/>
      <c r="W241" t="s">
        <v>241</v>
      </c>
      <c r="X241" t="s">
        <v>63</v>
      </c>
      <c r="Y241" t="s">
        <v>242</v>
      </c>
      <c r="Z241" t="s">
        <v>65</v>
      </c>
      <c r="AA241"/>
      <c r="AB241"/>
      <c r="AC241"/>
      <c r="AD241"/>
      <c r="AE241" t="s">
        <v>921</v>
      </c>
      <c r="AF241" t="s">
        <v>67</v>
      </c>
      <c r="AG241" t="s">
        <v>244</v>
      </c>
      <c r="AH241" t="s">
        <v>206</v>
      </c>
      <c r="AI241" t="s">
        <v>160</v>
      </c>
      <c r="AJ241" t="s">
        <v>71</v>
      </c>
      <c r="AK241" t="s">
        <v>221</v>
      </c>
    </row>
    <row r="242" spans="1:37" x14ac:dyDescent="0.3">
      <c r="A242" t="s">
        <v>878</v>
      </c>
      <c r="B242" t="s">
        <v>870</v>
      </c>
      <c r="C242" s="2">
        <v>45764.926233067126</v>
      </c>
      <c r="D242" s="2">
        <v>45730.674745370372</v>
      </c>
      <c r="E242" s="2">
        <v>45733.885847592595</v>
      </c>
      <c r="F242" t="s">
        <v>871</v>
      </c>
      <c r="G242" t="s">
        <v>246</v>
      </c>
      <c r="H242">
        <v>45679</v>
      </c>
      <c r="I242">
        <v>0.33333333333333331</v>
      </c>
      <c r="J242">
        <v>45679</v>
      </c>
      <c r="K242">
        <v>0.80069444444444438</v>
      </c>
      <c r="L242">
        <v>45679</v>
      </c>
      <c r="M242">
        <v>0.8020370370370371</v>
      </c>
      <c r="N242" t="s">
        <v>892</v>
      </c>
      <c r="O242"/>
      <c r="P242"/>
      <c r="Q242" t="s">
        <v>249</v>
      </c>
      <c r="R242" t="s">
        <v>250</v>
      </c>
      <c r="S242" t="s">
        <v>922</v>
      </c>
      <c r="T242" t="s">
        <v>923</v>
      </c>
      <c r="U242"/>
      <c r="V242"/>
      <c r="W242" t="s">
        <v>252</v>
      </c>
      <c r="X242" t="s">
        <v>924</v>
      </c>
      <c r="Y242" t="s">
        <v>254</v>
      </c>
      <c r="Z242" t="s">
        <v>65</v>
      </c>
      <c r="AA242"/>
      <c r="AB242"/>
      <c r="AC242"/>
      <c r="AD242"/>
      <c r="AE242" t="s">
        <v>913</v>
      </c>
      <c r="AF242" t="s">
        <v>67</v>
      </c>
      <c r="AG242" t="s">
        <v>244</v>
      </c>
      <c r="AH242" t="s">
        <v>206</v>
      </c>
      <c r="AI242" t="s">
        <v>122</v>
      </c>
      <c r="AJ242" t="s">
        <v>71</v>
      </c>
      <c r="AK242" t="s">
        <v>221</v>
      </c>
    </row>
    <row r="243" spans="1:37" x14ac:dyDescent="0.3">
      <c r="A243" t="s">
        <v>878</v>
      </c>
      <c r="B243" t="s">
        <v>870</v>
      </c>
      <c r="C243" s="2">
        <v>45764.926233067126</v>
      </c>
      <c r="D243" s="2">
        <v>45730.674745370372</v>
      </c>
      <c r="E243" s="2">
        <v>45733.885847592595</v>
      </c>
      <c r="F243" t="s">
        <v>871</v>
      </c>
      <c r="G243" t="s">
        <v>409</v>
      </c>
      <c r="H243">
        <v>45680</v>
      </c>
      <c r="I243">
        <v>0.625</v>
      </c>
      <c r="J243"/>
      <c r="K243"/>
      <c r="L243">
        <v>45680</v>
      </c>
      <c r="M243">
        <v>0.66545138888888888</v>
      </c>
      <c r="N243" t="s">
        <v>925</v>
      </c>
      <c r="O243" t="s">
        <v>400</v>
      </c>
      <c r="P243"/>
      <c r="Q243" t="s">
        <v>414</v>
      </c>
      <c r="R243" t="s">
        <v>84</v>
      </c>
      <c r="S243" t="s">
        <v>907</v>
      </c>
      <c r="T243" t="s">
        <v>926</v>
      </c>
      <c r="U243"/>
      <c r="V243"/>
      <c r="W243"/>
      <c r="X243"/>
      <c r="Y243"/>
      <c r="Z243"/>
      <c r="AA243"/>
      <c r="AB243"/>
      <c r="AC243"/>
      <c r="AD243"/>
      <c r="AE243" t="s">
        <v>927</v>
      </c>
      <c r="AF243" t="s">
        <v>67</v>
      </c>
      <c r="AG243" t="s">
        <v>352</v>
      </c>
      <c r="AH243" t="s">
        <v>417</v>
      </c>
      <c r="AI243" t="s">
        <v>406</v>
      </c>
      <c r="AJ243" t="s">
        <v>418</v>
      </c>
      <c r="AK243"/>
    </row>
    <row r="244" spans="1:37" x14ac:dyDescent="0.3">
      <c r="A244" t="s">
        <v>878</v>
      </c>
      <c r="B244" t="s">
        <v>870</v>
      </c>
      <c r="C244" s="2">
        <v>45764.926233067126</v>
      </c>
      <c r="D244" s="2">
        <v>45730.674745370372</v>
      </c>
      <c r="E244" s="2">
        <v>45733.885847592595</v>
      </c>
      <c r="F244" t="s">
        <v>871</v>
      </c>
      <c r="G244" t="s">
        <v>140</v>
      </c>
      <c r="H244">
        <v>45682</v>
      </c>
      <c r="I244">
        <v>0.45833333333333331</v>
      </c>
      <c r="J244">
        <v>45682</v>
      </c>
      <c r="K244">
        <v>0.58333333333333326</v>
      </c>
      <c r="L244">
        <v>45682</v>
      </c>
      <c r="M244">
        <v>0.58054398148148145</v>
      </c>
      <c r="N244" t="s">
        <v>915</v>
      </c>
      <c r="O244"/>
      <c r="P244"/>
      <c r="Q244" t="s">
        <v>144</v>
      </c>
      <c r="R244" t="s">
        <v>145</v>
      </c>
      <c r="S244" t="s">
        <v>922</v>
      </c>
      <c r="T244" t="s">
        <v>928</v>
      </c>
      <c r="U244"/>
      <c r="V244"/>
      <c r="W244"/>
      <c r="X244"/>
      <c r="Y244"/>
      <c r="Z244"/>
      <c r="AA244"/>
      <c r="AB244"/>
      <c r="AC244"/>
      <c r="AD244"/>
      <c r="AE244" t="s">
        <v>929</v>
      </c>
      <c r="AF244" t="s">
        <v>67</v>
      </c>
      <c r="AG244" t="s">
        <v>147</v>
      </c>
      <c r="AH244" t="s">
        <v>90</v>
      </c>
      <c r="AI244" t="s">
        <v>70</v>
      </c>
      <c r="AJ244" t="s">
        <v>71</v>
      </c>
      <c r="AK244" t="s">
        <v>137</v>
      </c>
    </row>
    <row r="245" spans="1:37" x14ac:dyDescent="0.3">
      <c r="A245" t="s">
        <v>878</v>
      </c>
      <c r="B245" t="s">
        <v>870</v>
      </c>
      <c r="C245" s="2">
        <v>45764.926233067126</v>
      </c>
      <c r="D245" s="2">
        <v>45730.674745370372</v>
      </c>
      <c r="E245" s="2">
        <v>45733.885847592595</v>
      </c>
      <c r="F245" t="s">
        <v>871</v>
      </c>
      <c r="G245" t="s">
        <v>77</v>
      </c>
      <c r="H245">
        <v>45682</v>
      </c>
      <c r="I245">
        <v>0.76875000000000004</v>
      </c>
      <c r="J245"/>
      <c r="K245"/>
      <c r="L245">
        <v>45683</v>
      </c>
      <c r="M245">
        <v>0.44056712962962963</v>
      </c>
      <c r="N245" t="s">
        <v>902</v>
      </c>
      <c r="O245" t="s">
        <v>930</v>
      </c>
      <c r="P245"/>
      <c r="Q245" t="s">
        <v>83</v>
      </c>
      <c r="R245" t="s">
        <v>84</v>
      </c>
      <c r="S245" t="s">
        <v>907</v>
      </c>
      <c r="T245" t="s">
        <v>931</v>
      </c>
      <c r="U245"/>
      <c r="V245"/>
      <c r="W245" t="s">
        <v>932</v>
      </c>
      <c r="X245" t="s">
        <v>896</v>
      </c>
      <c r="Y245" t="s">
        <v>87</v>
      </c>
      <c r="Z245" t="s">
        <v>65</v>
      </c>
      <c r="AA245"/>
      <c r="AB245"/>
      <c r="AC245"/>
      <c r="AD245"/>
      <c r="AE245" t="s">
        <v>929</v>
      </c>
      <c r="AF245" t="s">
        <v>67</v>
      </c>
      <c r="AG245" t="s">
        <v>89</v>
      </c>
      <c r="AH245" t="s">
        <v>90</v>
      </c>
      <c r="AI245" t="s">
        <v>91</v>
      </c>
      <c r="AJ245" t="s">
        <v>92</v>
      </c>
      <c r="AK245" t="s">
        <v>72</v>
      </c>
    </row>
    <row r="246" spans="1:37" x14ac:dyDescent="0.3">
      <c r="A246" t="s">
        <v>878</v>
      </c>
      <c r="B246" t="s">
        <v>870</v>
      </c>
      <c r="C246" s="2">
        <v>45764.926233067126</v>
      </c>
      <c r="D246" s="2">
        <v>45730.674745370372</v>
      </c>
      <c r="E246" s="2">
        <v>45733.885847592595</v>
      </c>
      <c r="F246" t="s">
        <v>871</v>
      </c>
      <c r="G246" t="s">
        <v>96</v>
      </c>
      <c r="H246">
        <v>45683</v>
      </c>
      <c r="I246">
        <v>0.84027777777777779</v>
      </c>
      <c r="J246">
        <v>45683</v>
      </c>
      <c r="K246">
        <v>0.84652777777777777</v>
      </c>
      <c r="L246">
        <v>45683</v>
      </c>
      <c r="M246">
        <v>0.85009259259259262</v>
      </c>
      <c r="N246" t="s">
        <v>902</v>
      </c>
      <c r="O246" t="s">
        <v>930</v>
      </c>
      <c r="P246"/>
      <c r="Q246" t="s">
        <v>100</v>
      </c>
      <c r="R246" t="s">
        <v>101</v>
      </c>
      <c r="S246" t="s">
        <v>893</v>
      </c>
      <c r="T246" t="s">
        <v>933</v>
      </c>
      <c r="U246"/>
      <c r="V246"/>
      <c r="W246" t="s">
        <v>934</v>
      </c>
      <c r="X246" t="s">
        <v>896</v>
      </c>
      <c r="Y246" t="s">
        <v>104</v>
      </c>
      <c r="Z246" t="s">
        <v>935</v>
      </c>
      <c r="AA246"/>
      <c r="AB246"/>
      <c r="AC246"/>
      <c r="AD246"/>
      <c r="AE246" t="s">
        <v>904</v>
      </c>
      <c r="AF246" t="s">
        <v>67</v>
      </c>
      <c r="AG246" t="s">
        <v>105</v>
      </c>
      <c r="AH246" t="s">
        <v>69</v>
      </c>
      <c r="AI246" t="s">
        <v>106</v>
      </c>
      <c r="AJ246" t="s">
        <v>71</v>
      </c>
      <c r="AK246" t="s">
        <v>72</v>
      </c>
    </row>
    <row r="247" spans="1:37" x14ac:dyDescent="0.3">
      <c r="A247" t="s">
        <v>878</v>
      </c>
      <c r="B247" t="s">
        <v>870</v>
      </c>
      <c r="C247" s="2">
        <v>45764.926233067126</v>
      </c>
      <c r="D247" s="2">
        <v>45730.674745370372</v>
      </c>
      <c r="E247" s="2">
        <v>45733.885847592595</v>
      </c>
      <c r="F247" t="s">
        <v>871</v>
      </c>
      <c r="G247" t="s">
        <v>256</v>
      </c>
      <c r="H247">
        <v>45685</v>
      </c>
      <c r="I247">
        <v>0.625</v>
      </c>
      <c r="J247">
        <v>45686</v>
      </c>
      <c r="K247">
        <v>0.91736111111111107</v>
      </c>
      <c r="L247">
        <v>45686</v>
      </c>
      <c r="M247">
        <v>0.91833333333333322</v>
      </c>
      <c r="N247" t="s">
        <v>892</v>
      </c>
      <c r="O247" t="s">
        <v>930</v>
      </c>
      <c r="P247"/>
      <c r="Q247" t="s">
        <v>260</v>
      </c>
      <c r="R247" t="s">
        <v>261</v>
      </c>
      <c r="S247" t="s">
        <v>936</v>
      </c>
      <c r="T247" t="s">
        <v>937</v>
      </c>
      <c r="U247"/>
      <c r="V247"/>
      <c r="W247" t="s">
        <v>938</v>
      </c>
      <c r="X247" t="s">
        <v>939</v>
      </c>
      <c r="Y247" t="s">
        <v>265</v>
      </c>
      <c r="Z247" t="s">
        <v>65</v>
      </c>
      <c r="AA247"/>
      <c r="AB247"/>
      <c r="AC247"/>
      <c r="AD247"/>
      <c r="AE247" t="s">
        <v>940</v>
      </c>
      <c r="AF247" t="s">
        <v>67</v>
      </c>
      <c r="AG247" t="s">
        <v>244</v>
      </c>
      <c r="AH247" t="s">
        <v>206</v>
      </c>
      <c r="AI247" t="s">
        <v>70</v>
      </c>
      <c r="AJ247" t="s">
        <v>266</v>
      </c>
      <c r="AK247" t="s">
        <v>221</v>
      </c>
    </row>
    <row r="248" spans="1:37" x14ac:dyDescent="0.3">
      <c r="A248" t="s">
        <v>878</v>
      </c>
      <c r="B248" t="s">
        <v>870</v>
      </c>
      <c r="C248" s="2">
        <v>45764.926233067126</v>
      </c>
      <c r="D248" s="2">
        <v>45730.674745370372</v>
      </c>
      <c r="E248" s="2">
        <v>45733.885847592595</v>
      </c>
      <c r="F248" t="s">
        <v>871</v>
      </c>
      <c r="G248" t="s">
        <v>151</v>
      </c>
      <c r="H248">
        <v>45688</v>
      </c>
      <c r="I248">
        <v>0.49988425925925928</v>
      </c>
      <c r="J248"/>
      <c r="K248"/>
      <c r="L248">
        <v>45688</v>
      </c>
      <c r="M248">
        <v>0.49988425925925917</v>
      </c>
      <c r="N248" t="s">
        <v>915</v>
      </c>
      <c r="O248"/>
      <c r="P248"/>
      <c r="Q248" t="s">
        <v>154</v>
      </c>
      <c r="R248" t="s">
        <v>155</v>
      </c>
      <c r="S248" t="s">
        <v>907</v>
      </c>
      <c r="T248" t="s">
        <v>941</v>
      </c>
      <c r="U248"/>
      <c r="V248"/>
      <c r="W248"/>
      <c r="X248"/>
      <c r="Y248"/>
      <c r="Z248"/>
      <c r="AA248"/>
      <c r="AB248"/>
      <c r="AC248"/>
      <c r="AD248"/>
      <c r="AE248" t="s">
        <v>897</v>
      </c>
      <c r="AF248" t="s">
        <v>67</v>
      </c>
      <c r="AG248" t="s">
        <v>158</v>
      </c>
      <c r="AH248" t="s">
        <v>159</v>
      </c>
      <c r="AI248" t="s">
        <v>160</v>
      </c>
      <c r="AJ248" t="s">
        <v>71</v>
      </c>
      <c r="AK248" t="s">
        <v>137</v>
      </c>
    </row>
    <row r="249" spans="1:37" x14ac:dyDescent="0.3">
      <c r="A249" t="s">
        <v>878</v>
      </c>
      <c r="B249" t="s">
        <v>870</v>
      </c>
      <c r="C249" s="2">
        <v>45764.926233067126</v>
      </c>
      <c r="D249" s="2">
        <v>45730.674745370372</v>
      </c>
      <c r="E249" s="2">
        <v>45733.885847592595</v>
      </c>
      <c r="F249" t="s">
        <v>871</v>
      </c>
      <c r="G249" t="s">
        <v>269</v>
      </c>
      <c r="H249">
        <v>45689</v>
      </c>
      <c r="I249">
        <v>4.1666666666666664E-2</v>
      </c>
      <c r="J249"/>
      <c r="K249">
        <v>0.10416666666666674</v>
      </c>
      <c r="L249">
        <v>45689</v>
      </c>
      <c r="M249">
        <v>0.11982638888888886</v>
      </c>
      <c r="N249" t="s">
        <v>892</v>
      </c>
      <c r="O249"/>
      <c r="P249"/>
      <c r="Q249" t="s">
        <v>272</v>
      </c>
      <c r="R249" t="s">
        <v>273</v>
      </c>
      <c r="S249" t="s">
        <v>936</v>
      </c>
      <c r="T249" t="s">
        <v>942</v>
      </c>
      <c r="U249"/>
      <c r="V249"/>
      <c r="W249" t="s">
        <v>943</v>
      </c>
      <c r="X249" t="s">
        <v>944</v>
      </c>
      <c r="Y249" t="s">
        <v>276</v>
      </c>
      <c r="Z249" t="s">
        <v>65</v>
      </c>
      <c r="AA249"/>
      <c r="AB249"/>
      <c r="AC249"/>
      <c r="AD249"/>
      <c r="AE249" t="s">
        <v>913</v>
      </c>
      <c r="AF249" t="s">
        <v>67</v>
      </c>
      <c r="AG249" t="s">
        <v>244</v>
      </c>
      <c r="AH249" t="s">
        <v>206</v>
      </c>
      <c r="AI249" t="s">
        <v>122</v>
      </c>
      <c r="AJ249" t="s">
        <v>71</v>
      </c>
      <c r="AK249" t="s">
        <v>221</v>
      </c>
    </row>
    <row r="250" spans="1:37" x14ac:dyDescent="0.3">
      <c r="A250" t="s">
        <v>878</v>
      </c>
      <c r="B250" t="s">
        <v>870</v>
      </c>
      <c r="C250" s="2">
        <v>45764.926233067126</v>
      </c>
      <c r="D250" s="2">
        <v>45730.674745370372</v>
      </c>
      <c r="E250" s="2">
        <v>45733.885847592595</v>
      </c>
      <c r="F250" t="s">
        <v>871</v>
      </c>
      <c r="G250" t="s">
        <v>382</v>
      </c>
      <c r="H250">
        <v>45690</v>
      </c>
      <c r="I250">
        <v>0.72569444444444442</v>
      </c>
      <c r="J250">
        <v>45690</v>
      </c>
      <c r="K250">
        <v>0.75</v>
      </c>
      <c r="L250">
        <v>45691</v>
      </c>
      <c r="M250">
        <v>0.50143518518518526</v>
      </c>
      <c r="N250" t="s">
        <v>176</v>
      </c>
      <c r="O250" t="s">
        <v>906</v>
      </c>
      <c r="P250"/>
      <c r="Q250" t="s">
        <v>385</v>
      </c>
      <c r="R250" t="s">
        <v>145</v>
      </c>
      <c r="S250" t="s">
        <v>922</v>
      </c>
      <c r="T250" t="s">
        <v>945</v>
      </c>
      <c r="U250"/>
      <c r="V250"/>
      <c r="W250"/>
      <c r="X250"/>
      <c r="Y250"/>
      <c r="Z250"/>
      <c r="AA250"/>
      <c r="AB250"/>
      <c r="AC250"/>
      <c r="AD250"/>
      <c r="AE250" t="s">
        <v>904</v>
      </c>
      <c r="AF250" t="s">
        <v>67</v>
      </c>
      <c r="AG250" t="s">
        <v>105</v>
      </c>
      <c r="AH250" t="s">
        <v>69</v>
      </c>
      <c r="AI250" t="s">
        <v>180</v>
      </c>
      <c r="AJ250" t="s">
        <v>92</v>
      </c>
      <c r="AK250"/>
    </row>
    <row r="251" spans="1:37" x14ac:dyDescent="0.3">
      <c r="A251" t="s">
        <v>878</v>
      </c>
      <c r="B251" t="s">
        <v>870</v>
      </c>
      <c r="C251" s="2">
        <v>45764.926233067126</v>
      </c>
      <c r="D251" s="2">
        <v>45730.674745370372</v>
      </c>
      <c r="E251" s="2">
        <v>45733.885847592595</v>
      </c>
      <c r="F251" t="s">
        <v>871</v>
      </c>
      <c r="G251" t="s">
        <v>388</v>
      </c>
      <c r="H251"/>
      <c r="I251"/>
      <c r="J251"/>
      <c r="K251"/>
      <c r="L251">
        <v>45691</v>
      </c>
      <c r="M251">
        <v>0.69484953703703711</v>
      </c>
      <c r="N251" t="s">
        <v>906</v>
      </c>
      <c r="O251"/>
      <c r="P251"/>
      <c r="Q251" t="s">
        <v>390</v>
      </c>
      <c r="R251" t="s">
        <v>363</v>
      </c>
      <c r="S251" t="s">
        <v>893</v>
      </c>
      <c r="T251" t="s">
        <v>946</v>
      </c>
      <c r="U251"/>
      <c r="V251"/>
      <c r="W251"/>
      <c r="X251"/>
      <c r="Y251"/>
      <c r="Z251"/>
      <c r="AA251"/>
      <c r="AB251"/>
      <c r="AC251"/>
      <c r="AD251"/>
      <c r="AE251" t="s">
        <v>929</v>
      </c>
      <c r="AF251" t="s">
        <v>67</v>
      </c>
      <c r="AG251" t="s">
        <v>136</v>
      </c>
      <c r="AH251" t="s">
        <v>69</v>
      </c>
      <c r="AI251" t="s">
        <v>106</v>
      </c>
      <c r="AJ251" t="s">
        <v>71</v>
      </c>
      <c r="AK251" t="s">
        <v>353</v>
      </c>
    </row>
    <row r="252" spans="1:37" x14ac:dyDescent="0.3">
      <c r="A252" t="s">
        <v>878</v>
      </c>
      <c r="B252" t="s">
        <v>870</v>
      </c>
      <c r="C252" s="2">
        <v>45764.926233067126</v>
      </c>
      <c r="D252" s="2">
        <v>45730.674745370372</v>
      </c>
      <c r="E252" s="2">
        <v>45733.885847592595</v>
      </c>
      <c r="F252" t="s">
        <v>871</v>
      </c>
      <c r="G252" t="s">
        <v>279</v>
      </c>
      <c r="H252">
        <v>45691</v>
      </c>
      <c r="I252">
        <v>0.77083333333333337</v>
      </c>
      <c r="J252">
        <v>45692</v>
      </c>
      <c r="K252">
        <v>0.79166666666666674</v>
      </c>
      <c r="L252">
        <v>45692</v>
      </c>
      <c r="M252">
        <v>0.53023148148148147</v>
      </c>
      <c r="N252" t="s">
        <v>892</v>
      </c>
      <c r="O252"/>
      <c r="P252"/>
      <c r="Q252" t="s">
        <v>282</v>
      </c>
      <c r="R252" t="s">
        <v>283</v>
      </c>
      <c r="S252" t="s">
        <v>907</v>
      </c>
      <c r="T252" t="s">
        <v>947</v>
      </c>
      <c r="U252"/>
      <c r="V252"/>
      <c r="W252" t="s">
        <v>948</v>
      </c>
      <c r="X252" t="s">
        <v>286</v>
      </c>
      <c r="Y252" t="s">
        <v>949</v>
      </c>
      <c r="Z252" t="s">
        <v>288</v>
      </c>
      <c r="AA252"/>
      <c r="AB252"/>
      <c r="AC252"/>
      <c r="AD252"/>
      <c r="AE252" t="s">
        <v>904</v>
      </c>
      <c r="AF252" t="s">
        <v>67</v>
      </c>
      <c r="AG252" t="s">
        <v>105</v>
      </c>
      <c r="AH252" t="s">
        <v>69</v>
      </c>
      <c r="AI252" t="s">
        <v>70</v>
      </c>
      <c r="AJ252" t="s">
        <v>195</v>
      </c>
      <c r="AK252" t="s">
        <v>221</v>
      </c>
    </row>
    <row r="253" spans="1:37" x14ac:dyDescent="0.3">
      <c r="A253" t="s">
        <v>878</v>
      </c>
      <c r="B253" t="s">
        <v>870</v>
      </c>
      <c r="C253" s="2">
        <v>45764.926233067126</v>
      </c>
      <c r="D253" s="2">
        <v>45730.674745370372</v>
      </c>
      <c r="E253" s="2">
        <v>45733.885847592595</v>
      </c>
      <c r="F253" t="s">
        <v>871</v>
      </c>
      <c r="G253" t="s">
        <v>161</v>
      </c>
      <c r="H253">
        <v>45693</v>
      </c>
      <c r="I253">
        <v>0.12291666666666666</v>
      </c>
      <c r="J253"/>
      <c r="K253"/>
      <c r="L253">
        <v>45693</v>
      </c>
      <c r="M253">
        <v>0.12339120370370371</v>
      </c>
      <c r="N253" t="s">
        <v>950</v>
      </c>
      <c r="O253" t="s">
        <v>167</v>
      </c>
      <c r="P253"/>
      <c r="Q253" t="s">
        <v>168</v>
      </c>
      <c r="R253" t="s">
        <v>155</v>
      </c>
      <c r="S253" t="s">
        <v>907</v>
      </c>
      <c r="T253" t="s">
        <v>951</v>
      </c>
      <c r="U253"/>
      <c r="V253"/>
      <c r="W253"/>
      <c r="X253"/>
      <c r="Y253"/>
      <c r="Z253"/>
      <c r="AA253"/>
      <c r="AB253"/>
      <c r="AC253"/>
      <c r="AD253"/>
      <c r="AE253" t="s">
        <v>913</v>
      </c>
      <c r="AF253" t="s">
        <v>67</v>
      </c>
      <c r="AG253" t="s">
        <v>170</v>
      </c>
      <c r="AH253" t="s">
        <v>90</v>
      </c>
      <c r="AI253" t="s">
        <v>171</v>
      </c>
      <c r="AJ253" t="s">
        <v>123</v>
      </c>
      <c r="AK253" t="s">
        <v>137</v>
      </c>
    </row>
    <row r="254" spans="1:37" x14ac:dyDescent="0.3">
      <c r="A254" t="s">
        <v>878</v>
      </c>
      <c r="B254" t="s">
        <v>870</v>
      </c>
      <c r="C254" s="2">
        <v>45764.926233067126</v>
      </c>
      <c r="D254" s="2">
        <v>45730.674745370372</v>
      </c>
      <c r="E254" s="2">
        <v>45733.885847592595</v>
      </c>
      <c r="F254" t="s">
        <v>871</v>
      </c>
      <c r="G254" t="s">
        <v>292</v>
      </c>
      <c r="H254">
        <v>45695</v>
      </c>
      <c r="I254">
        <v>0.27430555555555558</v>
      </c>
      <c r="J254">
        <v>45695</v>
      </c>
      <c r="K254">
        <v>0.28472222222222232</v>
      </c>
      <c r="L254">
        <v>45695</v>
      </c>
      <c r="M254">
        <v>0.30738425925925927</v>
      </c>
      <c r="N254" t="s">
        <v>892</v>
      </c>
      <c r="O254"/>
      <c r="P254"/>
      <c r="Q254" t="s">
        <v>296</v>
      </c>
      <c r="R254" t="s">
        <v>203</v>
      </c>
      <c r="S254" t="s">
        <v>922</v>
      </c>
      <c r="T254" t="s">
        <v>952</v>
      </c>
      <c r="U254"/>
      <c r="V254"/>
      <c r="W254" t="s">
        <v>953</v>
      </c>
      <c r="X254" t="s">
        <v>954</v>
      </c>
      <c r="Y254" t="s">
        <v>300</v>
      </c>
      <c r="Z254" t="s">
        <v>65</v>
      </c>
      <c r="AA254"/>
      <c r="AB254"/>
      <c r="AC254"/>
      <c r="AD254"/>
      <c r="AE254" t="s">
        <v>913</v>
      </c>
      <c r="AF254" t="s">
        <v>67</v>
      </c>
      <c r="AG254" t="s">
        <v>301</v>
      </c>
      <c r="AH254" t="s">
        <v>121</v>
      </c>
      <c r="AI254" t="s">
        <v>180</v>
      </c>
      <c r="AJ254" t="s">
        <v>92</v>
      </c>
      <c r="AK254" t="s">
        <v>221</v>
      </c>
    </row>
    <row r="255" spans="1:37" x14ac:dyDescent="0.3">
      <c r="A255" t="s">
        <v>878</v>
      </c>
      <c r="B255" t="s">
        <v>870</v>
      </c>
      <c r="C255" s="2">
        <v>45764.926233067126</v>
      </c>
      <c r="D255" s="2">
        <v>45730.674745370372</v>
      </c>
      <c r="E255" s="2">
        <v>45733.885847592595</v>
      </c>
      <c r="F255" t="s">
        <v>871</v>
      </c>
      <c r="G255" t="s">
        <v>305</v>
      </c>
      <c r="H255">
        <v>45688</v>
      </c>
      <c r="I255">
        <v>0.5</v>
      </c>
      <c r="J255">
        <v>45695</v>
      </c>
      <c r="K255">
        <v>0.54166666666666674</v>
      </c>
      <c r="L255">
        <v>45696</v>
      </c>
      <c r="M255">
        <v>0.3903240740740741</v>
      </c>
      <c r="N255" t="s">
        <v>892</v>
      </c>
      <c r="O255"/>
      <c r="P255"/>
      <c r="Q255" t="s">
        <v>308</v>
      </c>
      <c r="R255" t="s">
        <v>250</v>
      </c>
      <c r="S255" t="s">
        <v>922</v>
      </c>
      <c r="T255" t="s">
        <v>955</v>
      </c>
      <c r="U255"/>
      <c r="V255"/>
      <c r="W255" t="s">
        <v>956</v>
      </c>
      <c r="X255"/>
      <c r="Y255" t="s">
        <v>230</v>
      </c>
      <c r="Z255" t="s">
        <v>935</v>
      </c>
      <c r="AA255"/>
      <c r="AB255"/>
      <c r="AC255"/>
      <c r="AD255"/>
      <c r="AE255" t="s">
        <v>913</v>
      </c>
      <c r="AF255" t="s">
        <v>67</v>
      </c>
      <c r="AG255" t="s">
        <v>205</v>
      </c>
      <c r="AH255" t="s">
        <v>206</v>
      </c>
      <c r="AI255" t="s">
        <v>106</v>
      </c>
      <c r="AJ255" t="s">
        <v>71</v>
      </c>
      <c r="AK255" t="s">
        <v>221</v>
      </c>
    </row>
    <row r="256" spans="1:37" x14ac:dyDescent="0.3">
      <c r="A256" t="s">
        <v>878</v>
      </c>
      <c r="B256" t="s">
        <v>870</v>
      </c>
      <c r="C256" s="2">
        <v>45764.926233067126</v>
      </c>
      <c r="D256" s="2">
        <v>45730.674745370372</v>
      </c>
      <c r="E256" s="2">
        <v>45733.885847592595</v>
      </c>
      <c r="F256" t="s">
        <v>871</v>
      </c>
      <c r="G256" t="s">
        <v>437</v>
      </c>
      <c r="H256">
        <v>45701</v>
      </c>
      <c r="I256">
        <v>8.3333333333333329E-2</v>
      </c>
      <c r="J256"/>
      <c r="K256"/>
      <c r="L256">
        <v>45701</v>
      </c>
      <c r="M256">
        <v>0.51225694444444447</v>
      </c>
      <c r="N256" t="s">
        <v>440</v>
      </c>
      <c r="O256" t="s">
        <v>957</v>
      </c>
      <c r="P256" t="s">
        <v>906</v>
      </c>
      <c r="Q256" t="s">
        <v>443</v>
      </c>
      <c r="R256" t="s">
        <v>191</v>
      </c>
      <c r="S256" t="s">
        <v>893</v>
      </c>
      <c r="T256" t="s">
        <v>958</v>
      </c>
      <c r="U256"/>
      <c r="V256"/>
      <c r="W256"/>
      <c r="X256"/>
      <c r="Y256"/>
      <c r="Z256"/>
      <c r="AA256"/>
      <c r="AB256"/>
      <c r="AC256"/>
      <c r="AD256"/>
      <c r="AE256" t="s">
        <v>959</v>
      </c>
      <c r="AF256" t="s">
        <v>67</v>
      </c>
      <c r="AG256" t="s">
        <v>120</v>
      </c>
      <c r="AH256" t="s">
        <v>121</v>
      </c>
      <c r="AI256" t="s">
        <v>378</v>
      </c>
      <c r="AJ256" t="s">
        <v>446</v>
      </c>
      <c r="AK256"/>
    </row>
    <row r="257" spans="1:37" x14ac:dyDescent="0.3">
      <c r="A257" t="s">
        <v>878</v>
      </c>
      <c r="B257" t="s">
        <v>870</v>
      </c>
      <c r="C257" s="2">
        <v>45764.926233067126</v>
      </c>
      <c r="D257" s="2">
        <v>45730.674745370372</v>
      </c>
      <c r="E257" s="2">
        <v>45733.885847592595</v>
      </c>
      <c r="F257" t="s">
        <v>871</v>
      </c>
      <c r="G257" t="s">
        <v>110</v>
      </c>
      <c r="H257">
        <v>45701</v>
      </c>
      <c r="I257">
        <v>0.66666666666666663</v>
      </c>
      <c r="J257"/>
      <c r="K257"/>
      <c r="L257">
        <v>45702</v>
      </c>
      <c r="M257">
        <v>0.29906250000000001</v>
      </c>
      <c r="N257" t="s">
        <v>902</v>
      </c>
      <c r="O257"/>
      <c r="P257"/>
      <c r="Q257" t="s">
        <v>113</v>
      </c>
      <c r="R257" t="s">
        <v>114</v>
      </c>
      <c r="S257" t="s">
        <v>936</v>
      </c>
      <c r="T257" t="s">
        <v>960</v>
      </c>
      <c r="U257"/>
      <c r="V257"/>
      <c r="W257" t="s">
        <v>116</v>
      </c>
      <c r="X257" t="s">
        <v>944</v>
      </c>
      <c r="Y257" t="s">
        <v>118</v>
      </c>
      <c r="Z257" t="s">
        <v>65</v>
      </c>
      <c r="AA257"/>
      <c r="AB257"/>
      <c r="AC257"/>
      <c r="AD257"/>
      <c r="AE257" t="s">
        <v>913</v>
      </c>
      <c r="AF257" t="s">
        <v>67</v>
      </c>
      <c r="AG257" t="s">
        <v>120</v>
      </c>
      <c r="AH257" t="s">
        <v>121</v>
      </c>
      <c r="AI257" t="s">
        <v>122</v>
      </c>
      <c r="AJ257" t="s">
        <v>71</v>
      </c>
      <c r="AK257" t="s">
        <v>72</v>
      </c>
    </row>
    <row r="258" spans="1:37" x14ac:dyDescent="0.3">
      <c r="A258" t="s">
        <v>878</v>
      </c>
      <c r="B258" t="s">
        <v>870</v>
      </c>
      <c r="C258" s="2">
        <v>45764.926233067126</v>
      </c>
      <c r="D258" s="2">
        <v>45730.674745370372</v>
      </c>
      <c r="E258" s="2">
        <v>45733.885847592595</v>
      </c>
      <c r="F258" t="s">
        <v>871</v>
      </c>
      <c r="G258" t="s">
        <v>313</v>
      </c>
      <c r="H258">
        <v>45705</v>
      </c>
      <c r="I258">
        <v>0.34877314814814814</v>
      </c>
      <c r="J258"/>
      <c r="K258"/>
      <c r="L258">
        <v>45705</v>
      </c>
      <c r="M258">
        <v>0.34877314814814819</v>
      </c>
      <c r="N258" t="s">
        <v>892</v>
      </c>
      <c r="O258" t="s">
        <v>317</v>
      </c>
      <c r="P258"/>
      <c r="Q258" t="s">
        <v>318</v>
      </c>
      <c r="R258" t="s">
        <v>134</v>
      </c>
      <c r="S258" t="s">
        <v>899</v>
      </c>
      <c r="T258" t="s">
        <v>961</v>
      </c>
      <c r="U258"/>
      <c r="V258"/>
      <c r="W258" t="s">
        <v>962</v>
      </c>
      <c r="X258" t="s">
        <v>896</v>
      </c>
      <c r="Y258" t="s">
        <v>218</v>
      </c>
      <c r="Z258" t="s">
        <v>65</v>
      </c>
      <c r="AA258"/>
      <c r="AB258"/>
      <c r="AC258"/>
      <c r="AD258"/>
      <c r="AE258" t="s">
        <v>904</v>
      </c>
      <c r="AF258" t="s">
        <v>67</v>
      </c>
      <c r="AG258" t="s">
        <v>68</v>
      </c>
      <c r="AH258" t="s">
        <v>69</v>
      </c>
      <c r="AI258" t="s">
        <v>122</v>
      </c>
      <c r="AJ258" t="s">
        <v>71</v>
      </c>
      <c r="AK258" t="s">
        <v>221</v>
      </c>
    </row>
    <row r="259" spans="1:37" x14ac:dyDescent="0.3">
      <c r="A259" t="s">
        <v>878</v>
      </c>
      <c r="B259" t="s">
        <v>870</v>
      </c>
      <c r="C259" s="2">
        <v>45764.926233067126</v>
      </c>
      <c r="D259" s="2">
        <v>45730.674745370372</v>
      </c>
      <c r="E259" s="2">
        <v>45733.885847592595</v>
      </c>
      <c r="F259" t="s">
        <v>871</v>
      </c>
      <c r="G259" t="s">
        <v>324</v>
      </c>
      <c r="H259">
        <v>45705</v>
      </c>
      <c r="I259">
        <v>0.39716435185185184</v>
      </c>
      <c r="J259"/>
      <c r="K259"/>
      <c r="L259">
        <v>45705</v>
      </c>
      <c r="M259">
        <v>0.39716435185185195</v>
      </c>
      <c r="N259" t="s">
        <v>892</v>
      </c>
      <c r="O259"/>
      <c r="P259"/>
      <c r="Q259" t="s">
        <v>326</v>
      </c>
      <c r="R259" t="s">
        <v>327</v>
      </c>
      <c r="S259" t="s">
        <v>899</v>
      </c>
      <c r="T259" t="s">
        <v>963</v>
      </c>
      <c r="U259"/>
      <c r="V259"/>
      <c r="W259" t="s">
        <v>964</v>
      </c>
      <c r="X259" t="s">
        <v>896</v>
      </c>
      <c r="Y259" t="s">
        <v>218</v>
      </c>
      <c r="Z259" t="s">
        <v>935</v>
      </c>
      <c r="AA259"/>
      <c r="AB259"/>
      <c r="AC259"/>
      <c r="AD259"/>
      <c r="AE259" t="s">
        <v>904</v>
      </c>
      <c r="AF259" t="s">
        <v>67</v>
      </c>
      <c r="AG259" t="s">
        <v>330</v>
      </c>
      <c r="AH259" t="s">
        <v>69</v>
      </c>
      <c r="AI259" t="s">
        <v>122</v>
      </c>
      <c r="AJ259" t="s">
        <v>71</v>
      </c>
      <c r="AK259" t="s">
        <v>221</v>
      </c>
    </row>
    <row r="260" spans="1:37" x14ac:dyDescent="0.3">
      <c r="A260" t="s">
        <v>878</v>
      </c>
      <c r="B260" t="s">
        <v>870</v>
      </c>
      <c r="C260" s="2">
        <v>45764.926233067126</v>
      </c>
      <c r="D260" s="2">
        <v>45730.674745370372</v>
      </c>
      <c r="E260" s="2">
        <v>45733.885847592595</v>
      </c>
      <c r="F260" t="s">
        <v>871</v>
      </c>
      <c r="G260" t="s">
        <v>173</v>
      </c>
      <c r="H260">
        <v>45705</v>
      </c>
      <c r="I260">
        <v>0.52497685185185183</v>
      </c>
      <c r="J260"/>
      <c r="K260"/>
      <c r="L260">
        <v>45705</v>
      </c>
      <c r="M260">
        <v>0.52497685185185183</v>
      </c>
      <c r="N260" t="s">
        <v>950</v>
      </c>
      <c r="O260" t="s">
        <v>176</v>
      </c>
      <c r="P260"/>
      <c r="Q260" t="s">
        <v>177</v>
      </c>
      <c r="R260" t="s">
        <v>178</v>
      </c>
      <c r="S260" t="s">
        <v>893</v>
      </c>
      <c r="T260" t="s">
        <v>965</v>
      </c>
      <c r="U260"/>
      <c r="V260"/>
      <c r="W260"/>
      <c r="X260"/>
      <c r="Y260"/>
      <c r="Z260"/>
      <c r="AA260"/>
      <c r="AB260"/>
      <c r="AC260"/>
      <c r="AD260"/>
      <c r="AE260" t="s">
        <v>904</v>
      </c>
      <c r="AF260" t="s">
        <v>67</v>
      </c>
      <c r="AG260" t="s">
        <v>68</v>
      </c>
      <c r="AH260" t="s">
        <v>69</v>
      </c>
      <c r="AI260" t="s">
        <v>180</v>
      </c>
      <c r="AJ260" t="s">
        <v>71</v>
      </c>
      <c r="AK260" t="s">
        <v>137</v>
      </c>
    </row>
    <row r="261" spans="1:37" x14ac:dyDescent="0.3">
      <c r="A261" t="s">
        <v>878</v>
      </c>
      <c r="B261" t="s">
        <v>870</v>
      </c>
      <c r="C261" s="2">
        <v>45764.926233067126</v>
      </c>
      <c r="D261" s="2">
        <v>45730.674745370372</v>
      </c>
      <c r="E261" s="2">
        <v>45733.885847592595</v>
      </c>
      <c r="F261" t="s">
        <v>871</v>
      </c>
      <c r="G261" t="s">
        <v>420</v>
      </c>
      <c r="H261">
        <v>45705</v>
      </c>
      <c r="I261">
        <v>0.83333333333333337</v>
      </c>
      <c r="J261">
        <v>45705</v>
      </c>
      <c r="K261">
        <v>0.98958333333333326</v>
      </c>
      <c r="L261">
        <v>45706</v>
      </c>
      <c r="M261">
        <v>0.73564814814814805</v>
      </c>
      <c r="N261" t="s">
        <v>423</v>
      </c>
      <c r="O261" t="s">
        <v>925</v>
      </c>
      <c r="P261"/>
      <c r="Q261" t="s">
        <v>425</v>
      </c>
      <c r="R261" t="s">
        <v>426</v>
      </c>
      <c r="S261" t="s">
        <v>907</v>
      </c>
      <c r="T261" t="s">
        <v>966</v>
      </c>
      <c r="U261"/>
      <c r="V261"/>
      <c r="W261"/>
      <c r="X261"/>
      <c r="Y261"/>
      <c r="Z261"/>
      <c r="AA261"/>
      <c r="AB261"/>
      <c r="AC261"/>
      <c r="AD261"/>
      <c r="AE261" t="s">
        <v>927</v>
      </c>
      <c r="AF261" t="s">
        <v>67</v>
      </c>
      <c r="AG261" t="s">
        <v>106</v>
      </c>
      <c r="AH261" t="s">
        <v>417</v>
      </c>
      <c r="AI261" t="s">
        <v>106</v>
      </c>
      <c r="AJ261" t="s">
        <v>266</v>
      </c>
      <c r="AK261"/>
    </row>
    <row r="262" spans="1:37" x14ac:dyDescent="0.3">
      <c r="A262" t="s">
        <v>878</v>
      </c>
      <c r="B262" t="s">
        <v>870</v>
      </c>
      <c r="C262" s="2">
        <v>45764.926233067126</v>
      </c>
      <c r="D262" s="2">
        <v>45730.674745370372</v>
      </c>
      <c r="E262" s="2">
        <v>45733.885847592595</v>
      </c>
      <c r="F262" t="s">
        <v>871</v>
      </c>
      <c r="G262" t="s">
        <v>429</v>
      </c>
      <c r="H262">
        <v>42906</v>
      </c>
      <c r="I262">
        <v>0.53615740740740736</v>
      </c>
      <c r="J262">
        <v>45555</v>
      </c>
      <c r="K262"/>
      <c r="L262">
        <v>45708</v>
      </c>
      <c r="M262">
        <v>0.53615740740740736</v>
      </c>
      <c r="N262" t="s">
        <v>925</v>
      </c>
      <c r="O262"/>
      <c r="P262"/>
      <c r="Q262" t="s">
        <v>432</v>
      </c>
      <c r="R262" t="s">
        <v>101</v>
      </c>
      <c r="S262" t="s">
        <v>907</v>
      </c>
      <c r="T262" t="s">
        <v>974</v>
      </c>
      <c r="U262"/>
      <c r="V262"/>
      <c r="W262"/>
      <c r="X262"/>
      <c r="Y262"/>
      <c r="Z262"/>
      <c r="AA262"/>
      <c r="AB262"/>
      <c r="AC262"/>
      <c r="AD262"/>
      <c r="AE262" t="s">
        <v>904</v>
      </c>
      <c r="AF262" t="s">
        <v>67</v>
      </c>
      <c r="AG262" t="s">
        <v>434</v>
      </c>
      <c r="AH262" t="s">
        <v>69</v>
      </c>
      <c r="AI262" t="s">
        <v>352</v>
      </c>
      <c r="AJ262" t="s">
        <v>435</v>
      </c>
      <c r="AK262" t="s">
        <v>436</v>
      </c>
    </row>
    <row r="263" spans="1:37" x14ac:dyDescent="0.3">
      <c r="A263" t="s">
        <v>878</v>
      </c>
      <c r="B263" t="s">
        <v>870</v>
      </c>
      <c r="C263" s="2">
        <v>45764.926233067126</v>
      </c>
      <c r="D263" s="2">
        <v>45730.674745370372</v>
      </c>
      <c r="E263" s="2">
        <v>45733.885847592595</v>
      </c>
      <c r="F263" t="s">
        <v>871</v>
      </c>
      <c r="G263" t="s">
        <v>332</v>
      </c>
      <c r="H263">
        <v>45713</v>
      </c>
      <c r="I263">
        <v>0.41666666666666669</v>
      </c>
      <c r="J263">
        <v>45713</v>
      </c>
      <c r="K263">
        <v>0.95833333333333326</v>
      </c>
      <c r="L263">
        <v>45712</v>
      </c>
      <c r="M263">
        <v>0.9913657407407408</v>
      </c>
      <c r="N263" t="s">
        <v>892</v>
      </c>
      <c r="O263"/>
      <c r="P263"/>
      <c r="Q263" t="s">
        <v>335</v>
      </c>
      <c r="R263" t="s">
        <v>250</v>
      </c>
      <c r="S263" t="s">
        <v>922</v>
      </c>
      <c r="T263" t="s">
        <v>973</v>
      </c>
      <c r="U263"/>
      <c r="V263"/>
      <c r="W263" t="s">
        <v>337</v>
      </c>
      <c r="X263" t="s">
        <v>896</v>
      </c>
      <c r="Y263" t="s">
        <v>338</v>
      </c>
      <c r="Z263" t="s">
        <v>339</v>
      </c>
      <c r="AA263"/>
      <c r="AB263"/>
      <c r="AC263"/>
      <c r="AD263"/>
      <c r="AE263" t="s">
        <v>897</v>
      </c>
      <c r="AF263" t="s">
        <v>67</v>
      </c>
      <c r="AG263" t="s">
        <v>158</v>
      </c>
      <c r="AH263" t="s">
        <v>159</v>
      </c>
      <c r="AI263" t="s">
        <v>160</v>
      </c>
      <c r="AJ263" t="s">
        <v>975</v>
      </c>
      <c r="AK263" t="s">
        <v>221</v>
      </c>
    </row>
    <row r="264" spans="1:37" x14ac:dyDescent="0.3">
      <c r="A264" t="s">
        <v>878</v>
      </c>
      <c r="B264" t="s">
        <v>870</v>
      </c>
      <c r="C264" s="2">
        <v>45764.926233067126</v>
      </c>
      <c r="D264" s="2">
        <v>45730.674745370372</v>
      </c>
      <c r="E264" s="2">
        <v>45733.885847592595</v>
      </c>
      <c r="F264" t="s">
        <v>871</v>
      </c>
      <c r="G264" t="s">
        <v>492</v>
      </c>
      <c r="H264">
        <v>45720</v>
      </c>
      <c r="I264">
        <v>0.64097222222222228</v>
      </c>
      <c r="J264"/>
      <c r="K264"/>
      <c r="L264">
        <v>45720</v>
      </c>
      <c r="M264">
        <v>0.64444444444444438</v>
      </c>
      <c r="N264" t="s">
        <v>906</v>
      </c>
      <c r="O264" t="s">
        <v>976</v>
      </c>
      <c r="P264" t="s">
        <v>344</v>
      </c>
      <c r="Q264" t="s">
        <v>497</v>
      </c>
      <c r="R264" t="s">
        <v>84</v>
      </c>
      <c r="S264" t="s">
        <v>907</v>
      </c>
      <c r="T264" t="s">
        <v>977</v>
      </c>
      <c r="U264"/>
      <c r="V264"/>
      <c r="W264" t="s">
        <v>499</v>
      </c>
      <c r="X264" t="s">
        <v>500</v>
      </c>
      <c r="Y264" t="s">
        <v>501</v>
      </c>
      <c r="Z264" t="s">
        <v>65</v>
      </c>
      <c r="AA264"/>
      <c r="AB264"/>
      <c r="AC264"/>
      <c r="AD264"/>
      <c r="AE264" t="s">
        <v>978</v>
      </c>
      <c r="AF264" t="s">
        <v>67</v>
      </c>
      <c r="AG264" t="s">
        <v>502</v>
      </c>
      <c r="AH264" t="s">
        <v>159</v>
      </c>
      <c r="AI264" t="s">
        <v>378</v>
      </c>
      <c r="AJ264" t="s">
        <v>195</v>
      </c>
      <c r="AK264" t="s">
        <v>353</v>
      </c>
    </row>
    <row r="265" spans="1:37" x14ac:dyDescent="0.3">
      <c r="A265" t="s">
        <v>878</v>
      </c>
      <c r="B265" t="s">
        <v>870</v>
      </c>
      <c r="C265" s="2">
        <v>45764.926233067126</v>
      </c>
      <c r="D265" s="2">
        <v>45730.674745370372</v>
      </c>
      <c r="E265" s="2">
        <v>45733.885847592595</v>
      </c>
      <c r="F265" t="s">
        <v>871</v>
      </c>
      <c r="G265" t="s">
        <v>484</v>
      </c>
      <c r="H265">
        <v>45720</v>
      </c>
      <c r="I265">
        <v>0.79126157407407405</v>
      </c>
      <c r="J265"/>
      <c r="K265"/>
      <c r="L265">
        <v>45720</v>
      </c>
      <c r="M265">
        <v>0.79126157407407405</v>
      </c>
      <c r="N265" t="s">
        <v>906</v>
      </c>
      <c r="O265"/>
      <c r="P265"/>
      <c r="Q265" t="s">
        <v>487</v>
      </c>
      <c r="R265" t="s">
        <v>261</v>
      </c>
      <c r="S265" t="s">
        <v>936</v>
      </c>
      <c r="T265" t="s">
        <v>979</v>
      </c>
      <c r="U265"/>
      <c r="V265"/>
      <c r="W265"/>
      <c r="X265"/>
      <c r="Y265"/>
      <c r="Z265"/>
      <c r="AA265"/>
      <c r="AB265"/>
      <c r="AC265"/>
      <c r="AD265"/>
      <c r="AE265" t="s">
        <v>978</v>
      </c>
      <c r="AF265" t="s">
        <v>67</v>
      </c>
      <c r="AG265" t="s">
        <v>489</v>
      </c>
      <c r="AH265" t="s">
        <v>206</v>
      </c>
      <c r="AI265" t="s">
        <v>70</v>
      </c>
      <c r="AJ265" t="s">
        <v>195</v>
      </c>
      <c r="AK265" t="s">
        <v>353</v>
      </c>
    </row>
    <row r="266" spans="1:37" x14ac:dyDescent="0.3">
      <c r="A266" t="s">
        <v>878</v>
      </c>
      <c r="B266" t="s">
        <v>870</v>
      </c>
      <c r="C266" s="2">
        <v>45764.926233067126</v>
      </c>
      <c r="D266" s="2">
        <v>45730.674745370372</v>
      </c>
      <c r="E266" s="2">
        <v>45733.885847592595</v>
      </c>
      <c r="F266" t="s">
        <v>871</v>
      </c>
      <c r="G266" t="s">
        <v>460</v>
      </c>
      <c r="H266">
        <v>45722</v>
      </c>
      <c r="I266">
        <v>0.94149305555555551</v>
      </c>
      <c r="J266"/>
      <c r="K266"/>
      <c r="L266">
        <v>45722</v>
      </c>
      <c r="M266">
        <v>0.94149305555555562</v>
      </c>
      <c r="N266" t="s">
        <v>902</v>
      </c>
      <c r="O266"/>
      <c r="P266"/>
      <c r="Q266" t="s">
        <v>464</v>
      </c>
      <c r="R266" t="s">
        <v>84</v>
      </c>
      <c r="S266" t="s">
        <v>907</v>
      </c>
      <c r="T266" t="s">
        <v>980</v>
      </c>
      <c r="U266"/>
      <c r="V266"/>
      <c r="W266" t="s">
        <v>466</v>
      </c>
      <c r="X266" t="s">
        <v>944</v>
      </c>
      <c r="Y266" t="s">
        <v>467</v>
      </c>
      <c r="Z266" t="s">
        <v>65</v>
      </c>
      <c r="AA266"/>
      <c r="AB266"/>
      <c r="AC266"/>
      <c r="AD266"/>
      <c r="AE266" t="s">
        <v>981</v>
      </c>
      <c r="AF266" t="s">
        <v>67</v>
      </c>
      <c r="AG266" t="s">
        <v>68</v>
      </c>
      <c r="AH266" t="s">
        <v>69</v>
      </c>
      <c r="AI266" t="s">
        <v>160</v>
      </c>
      <c r="AJ266" t="s">
        <v>123</v>
      </c>
      <c r="AK266" t="s">
        <v>72</v>
      </c>
    </row>
    <row r="267" spans="1:37" x14ac:dyDescent="0.3">
      <c r="A267" t="s">
        <v>878</v>
      </c>
      <c r="B267" t="s">
        <v>870</v>
      </c>
      <c r="C267" s="2">
        <v>45764.926233067126</v>
      </c>
      <c r="D267" s="2">
        <v>45730.674745370372</v>
      </c>
      <c r="E267" s="2">
        <v>45733.885847592595</v>
      </c>
      <c r="F267" t="s">
        <v>871</v>
      </c>
      <c r="G267" t="s">
        <v>472</v>
      </c>
      <c r="H267">
        <v>45725</v>
      </c>
      <c r="I267">
        <v>0.8125</v>
      </c>
      <c r="J267">
        <v>45726</v>
      </c>
      <c r="K267">
        <v>0.35416666666666674</v>
      </c>
      <c r="L267">
        <v>45726</v>
      </c>
      <c r="M267">
        <v>0.37046296296296299</v>
      </c>
      <c r="N267" t="s">
        <v>902</v>
      </c>
      <c r="O267"/>
      <c r="P267"/>
      <c r="Q267" t="s">
        <v>475</v>
      </c>
      <c r="R267" t="s">
        <v>134</v>
      </c>
      <c r="S267" t="s">
        <v>899</v>
      </c>
      <c r="T267" t="s">
        <v>982</v>
      </c>
      <c r="U267"/>
      <c r="V267"/>
      <c r="W267" t="s">
        <v>477</v>
      </c>
      <c r="X267" t="s">
        <v>478</v>
      </c>
      <c r="Y267" t="s">
        <v>479</v>
      </c>
      <c r="Z267" t="s">
        <v>65</v>
      </c>
      <c r="AA267"/>
      <c r="AB267"/>
      <c r="AC267"/>
      <c r="AD267"/>
      <c r="AE267" t="s">
        <v>897</v>
      </c>
      <c r="AF267" t="s">
        <v>67</v>
      </c>
      <c r="AG267" t="s">
        <v>480</v>
      </c>
      <c r="AH267" t="s">
        <v>351</v>
      </c>
      <c r="AI267" t="s">
        <v>122</v>
      </c>
      <c r="AJ267" t="s">
        <v>71</v>
      </c>
      <c r="AK267" t="s">
        <v>72</v>
      </c>
    </row>
    <row r="268" spans="1:37" x14ac:dyDescent="0.3">
      <c r="A268" t="s">
        <v>878</v>
      </c>
      <c r="B268" t="s">
        <v>870</v>
      </c>
      <c r="C268" s="2">
        <v>45764.926233067126</v>
      </c>
      <c r="D268" s="2">
        <v>45730.674745370372</v>
      </c>
      <c r="E268" s="2">
        <v>45733.885847592595</v>
      </c>
      <c r="F268" t="s">
        <v>871</v>
      </c>
      <c r="G268" t="s">
        <v>529</v>
      </c>
      <c r="H268">
        <v>45726</v>
      </c>
      <c r="I268">
        <v>4.6527777777777779E-2</v>
      </c>
      <c r="J268">
        <v>45726</v>
      </c>
      <c r="K268">
        <v>0.16180555555555554</v>
      </c>
      <c r="L268">
        <v>45727</v>
      </c>
      <c r="M268">
        <v>0.44234953703703694</v>
      </c>
      <c r="N268" t="s">
        <v>915</v>
      </c>
      <c r="O268"/>
      <c r="P268"/>
      <c r="Q268" t="s">
        <v>532</v>
      </c>
      <c r="R268" t="s">
        <v>283</v>
      </c>
      <c r="S268" t="s">
        <v>907</v>
      </c>
      <c r="T268" t="s">
        <v>983</v>
      </c>
      <c r="U268"/>
      <c r="V268"/>
      <c r="W268"/>
      <c r="X268"/>
      <c r="Y268"/>
      <c r="Z268"/>
      <c r="AA268"/>
      <c r="AB268"/>
      <c r="AC268"/>
      <c r="AD268"/>
      <c r="AE268" t="s">
        <v>984</v>
      </c>
      <c r="AF268" t="s">
        <v>67</v>
      </c>
      <c r="AG268" t="s">
        <v>219</v>
      </c>
      <c r="AH268" t="s">
        <v>159</v>
      </c>
      <c r="AI268" t="s">
        <v>106</v>
      </c>
      <c r="AJ268" t="s">
        <v>123</v>
      </c>
      <c r="AK268" t="s">
        <v>137</v>
      </c>
    </row>
    <row r="269" spans="1:37" x14ac:dyDescent="0.3">
      <c r="A269" t="s">
        <v>878</v>
      </c>
      <c r="B269" t="s">
        <v>870</v>
      </c>
      <c r="C269" s="2">
        <v>45764.926233067126</v>
      </c>
      <c r="D269" s="2">
        <v>45730.674745370372</v>
      </c>
      <c r="E269" s="2">
        <v>45733.885847592595</v>
      </c>
      <c r="F269" t="s">
        <v>871</v>
      </c>
      <c r="G269" t="s">
        <v>516</v>
      </c>
      <c r="H269">
        <v>45727</v>
      </c>
      <c r="I269">
        <v>0.60416666666666663</v>
      </c>
      <c r="J269"/>
      <c r="K269"/>
      <c r="L269">
        <v>45727</v>
      </c>
      <c r="M269">
        <v>0.6903935185185186</v>
      </c>
      <c r="N269" t="s">
        <v>902</v>
      </c>
      <c r="O269"/>
      <c r="P269"/>
      <c r="Q269" t="s">
        <v>519</v>
      </c>
      <c r="R269" t="s">
        <v>84</v>
      </c>
      <c r="S269" t="s">
        <v>907</v>
      </c>
      <c r="T269" t="s">
        <v>985</v>
      </c>
      <c r="U269"/>
      <c r="V269"/>
      <c r="W269" t="s">
        <v>521</v>
      </c>
      <c r="X269" t="s">
        <v>986</v>
      </c>
      <c r="Y269" t="s">
        <v>523</v>
      </c>
      <c r="Z269" t="s">
        <v>65</v>
      </c>
      <c r="AA269"/>
      <c r="AB269"/>
      <c r="AC269"/>
      <c r="AD269"/>
      <c r="AE269" t="s">
        <v>927</v>
      </c>
      <c r="AF269" t="s">
        <v>67</v>
      </c>
      <c r="AG269" t="s">
        <v>158</v>
      </c>
      <c r="AH269" t="s">
        <v>159</v>
      </c>
      <c r="AI269" t="s">
        <v>524</v>
      </c>
      <c r="AJ269" t="s">
        <v>123</v>
      </c>
      <c r="AK269" t="s">
        <v>72</v>
      </c>
    </row>
    <row r="270" spans="1:37" x14ac:dyDescent="0.3">
      <c r="A270" t="s">
        <v>879</v>
      </c>
      <c r="B270" t="s">
        <v>870</v>
      </c>
      <c r="C270" s="2">
        <v>45764.926233113423</v>
      </c>
      <c r="D270" s="2">
        <v>45733.745810185188</v>
      </c>
      <c r="E270" s="2">
        <v>45733.885847743055</v>
      </c>
      <c r="F270" t="s">
        <v>871</v>
      </c>
      <c r="G270" t="s">
        <v>492</v>
      </c>
      <c r="H270">
        <v>45720</v>
      </c>
      <c r="I270">
        <v>0.64097222222222228</v>
      </c>
      <c r="J270"/>
      <c r="K270"/>
      <c r="L270">
        <v>45720</v>
      </c>
      <c r="M270">
        <v>0.64444444444444438</v>
      </c>
      <c r="N270" t="s">
        <v>906</v>
      </c>
      <c r="O270" t="s">
        <v>976</v>
      </c>
      <c r="P270" t="s">
        <v>344</v>
      </c>
      <c r="Q270" t="s">
        <v>497</v>
      </c>
      <c r="R270" t="s">
        <v>84</v>
      </c>
      <c r="S270" t="s">
        <v>907</v>
      </c>
      <c r="T270" t="s">
        <v>977</v>
      </c>
      <c r="U270"/>
      <c r="V270"/>
      <c r="W270" t="s">
        <v>499</v>
      </c>
      <c r="X270" t="s">
        <v>500</v>
      </c>
      <c r="Y270" t="s">
        <v>501</v>
      </c>
      <c r="Z270" t="s">
        <v>65</v>
      </c>
      <c r="AA270"/>
      <c r="AB270"/>
      <c r="AC270"/>
      <c r="AD270"/>
      <c r="AE270" t="s">
        <v>978</v>
      </c>
      <c r="AF270" t="s">
        <v>67</v>
      </c>
      <c r="AG270" t="s">
        <v>502</v>
      </c>
      <c r="AH270" t="s">
        <v>159</v>
      </c>
      <c r="AI270" t="s">
        <v>378</v>
      </c>
      <c r="AJ270" t="s">
        <v>195</v>
      </c>
      <c r="AK270" t="s">
        <v>353</v>
      </c>
    </row>
    <row r="271" spans="1:37" x14ac:dyDescent="0.3">
      <c r="A271" t="s">
        <v>879</v>
      </c>
      <c r="B271" t="s">
        <v>870</v>
      </c>
      <c r="C271" s="2">
        <v>45764.926233113423</v>
      </c>
      <c r="D271" s="2">
        <v>45733.745810185188</v>
      </c>
      <c r="E271" s="2">
        <v>45733.885847743055</v>
      </c>
      <c r="F271" t="s">
        <v>871</v>
      </c>
      <c r="G271" t="s">
        <v>484</v>
      </c>
      <c r="H271">
        <v>45720</v>
      </c>
      <c r="I271">
        <v>0.79126157407407405</v>
      </c>
      <c r="J271"/>
      <c r="K271"/>
      <c r="L271">
        <v>45720</v>
      </c>
      <c r="M271">
        <v>0.79126157407407405</v>
      </c>
      <c r="N271" t="s">
        <v>906</v>
      </c>
      <c r="O271"/>
      <c r="P271"/>
      <c r="Q271" t="s">
        <v>487</v>
      </c>
      <c r="R271" t="s">
        <v>261</v>
      </c>
      <c r="S271" t="s">
        <v>936</v>
      </c>
      <c r="T271" t="s">
        <v>979</v>
      </c>
      <c r="U271"/>
      <c r="V271"/>
      <c r="W271"/>
      <c r="X271"/>
      <c r="Y271"/>
      <c r="Z271"/>
      <c r="AA271"/>
      <c r="AB271"/>
      <c r="AC271"/>
      <c r="AD271"/>
      <c r="AE271" t="s">
        <v>978</v>
      </c>
      <c r="AF271" t="s">
        <v>67</v>
      </c>
      <c r="AG271" t="s">
        <v>489</v>
      </c>
      <c r="AH271" t="s">
        <v>206</v>
      </c>
      <c r="AI271" t="s">
        <v>70</v>
      </c>
      <c r="AJ271" t="s">
        <v>195</v>
      </c>
      <c r="AK271" t="s">
        <v>353</v>
      </c>
    </row>
    <row r="272" spans="1:37" x14ac:dyDescent="0.3">
      <c r="A272" t="s">
        <v>879</v>
      </c>
      <c r="B272" t="s">
        <v>870</v>
      </c>
      <c r="C272" s="2">
        <v>45764.926233113423</v>
      </c>
      <c r="D272" s="2">
        <v>45733.745810185188</v>
      </c>
      <c r="E272" s="2">
        <v>45733.885847743055</v>
      </c>
      <c r="F272" t="s">
        <v>871</v>
      </c>
      <c r="G272" t="s">
        <v>460</v>
      </c>
      <c r="H272">
        <v>45722</v>
      </c>
      <c r="I272">
        <v>0.94149305555555551</v>
      </c>
      <c r="J272"/>
      <c r="K272"/>
      <c r="L272">
        <v>45722</v>
      </c>
      <c r="M272">
        <v>0.94149305555555562</v>
      </c>
      <c r="N272" t="s">
        <v>902</v>
      </c>
      <c r="O272"/>
      <c r="P272"/>
      <c r="Q272" t="s">
        <v>464</v>
      </c>
      <c r="R272" t="s">
        <v>84</v>
      </c>
      <c r="S272" t="s">
        <v>907</v>
      </c>
      <c r="T272" t="s">
        <v>980</v>
      </c>
      <c r="U272"/>
      <c r="V272"/>
      <c r="W272" t="s">
        <v>466</v>
      </c>
      <c r="X272" t="s">
        <v>944</v>
      </c>
      <c r="Y272" t="s">
        <v>467</v>
      </c>
      <c r="Z272" t="s">
        <v>65</v>
      </c>
      <c r="AA272"/>
      <c r="AB272"/>
      <c r="AC272"/>
      <c r="AD272"/>
      <c r="AE272" t="s">
        <v>981</v>
      </c>
      <c r="AF272" t="s">
        <v>67</v>
      </c>
      <c r="AG272" t="s">
        <v>68</v>
      </c>
      <c r="AH272" t="s">
        <v>69</v>
      </c>
      <c r="AI272" t="s">
        <v>160</v>
      </c>
      <c r="AJ272" t="s">
        <v>123</v>
      </c>
      <c r="AK272" t="s">
        <v>72</v>
      </c>
    </row>
    <row r="273" spans="1:37" x14ac:dyDescent="0.3">
      <c r="A273" t="s">
        <v>879</v>
      </c>
      <c r="B273" t="s">
        <v>870</v>
      </c>
      <c r="C273" s="2">
        <v>45764.926233113423</v>
      </c>
      <c r="D273" s="2">
        <v>45733.745810185188</v>
      </c>
      <c r="E273" s="2">
        <v>45733.885847743055</v>
      </c>
      <c r="F273" t="s">
        <v>871</v>
      </c>
      <c r="G273" t="s">
        <v>472</v>
      </c>
      <c r="H273">
        <v>45725</v>
      </c>
      <c r="I273">
        <v>0.8125</v>
      </c>
      <c r="J273">
        <v>45726</v>
      </c>
      <c r="K273">
        <v>0.35416666666666674</v>
      </c>
      <c r="L273">
        <v>45726</v>
      </c>
      <c r="M273">
        <v>0.37046296296296299</v>
      </c>
      <c r="N273" t="s">
        <v>902</v>
      </c>
      <c r="O273"/>
      <c r="P273"/>
      <c r="Q273" t="s">
        <v>475</v>
      </c>
      <c r="R273" t="s">
        <v>134</v>
      </c>
      <c r="S273" t="s">
        <v>899</v>
      </c>
      <c r="T273" t="s">
        <v>982</v>
      </c>
      <c r="U273"/>
      <c r="V273"/>
      <c r="W273" t="s">
        <v>477</v>
      </c>
      <c r="X273" t="s">
        <v>478</v>
      </c>
      <c r="Y273" t="s">
        <v>479</v>
      </c>
      <c r="Z273" t="s">
        <v>65</v>
      </c>
      <c r="AA273"/>
      <c r="AB273"/>
      <c r="AC273"/>
      <c r="AD273"/>
      <c r="AE273" t="s">
        <v>897</v>
      </c>
      <c r="AF273" t="s">
        <v>67</v>
      </c>
      <c r="AG273" t="s">
        <v>480</v>
      </c>
      <c r="AH273" t="s">
        <v>351</v>
      </c>
      <c r="AI273" t="s">
        <v>122</v>
      </c>
      <c r="AJ273" t="s">
        <v>71</v>
      </c>
      <c r="AK273" t="s">
        <v>72</v>
      </c>
    </row>
    <row r="274" spans="1:37" x14ac:dyDescent="0.3">
      <c r="A274" t="s">
        <v>879</v>
      </c>
      <c r="B274" t="s">
        <v>870</v>
      </c>
      <c r="C274" s="2">
        <v>45764.926233113423</v>
      </c>
      <c r="D274" s="2">
        <v>45733.745810185188</v>
      </c>
      <c r="E274" s="2">
        <v>45733.885847743055</v>
      </c>
      <c r="F274" t="s">
        <v>871</v>
      </c>
      <c r="G274" t="s">
        <v>529</v>
      </c>
      <c r="H274">
        <v>45726</v>
      </c>
      <c r="I274">
        <v>4.6527777777777779E-2</v>
      </c>
      <c r="J274">
        <v>45726</v>
      </c>
      <c r="K274">
        <v>0.16180555555555554</v>
      </c>
      <c r="L274">
        <v>45727</v>
      </c>
      <c r="M274">
        <v>0.44234953703703694</v>
      </c>
      <c r="N274" t="s">
        <v>915</v>
      </c>
      <c r="O274"/>
      <c r="P274"/>
      <c r="Q274" t="s">
        <v>532</v>
      </c>
      <c r="R274" t="s">
        <v>283</v>
      </c>
      <c r="S274" t="s">
        <v>907</v>
      </c>
      <c r="T274" t="s">
        <v>983</v>
      </c>
      <c r="U274"/>
      <c r="V274"/>
      <c r="W274"/>
      <c r="X274"/>
      <c r="Y274"/>
      <c r="Z274"/>
      <c r="AA274"/>
      <c r="AB274"/>
      <c r="AC274"/>
      <c r="AD274"/>
      <c r="AE274" t="s">
        <v>984</v>
      </c>
      <c r="AF274" t="s">
        <v>67</v>
      </c>
      <c r="AG274" t="s">
        <v>219</v>
      </c>
      <c r="AH274" t="s">
        <v>159</v>
      </c>
      <c r="AI274" t="s">
        <v>106</v>
      </c>
      <c r="AJ274" t="s">
        <v>123</v>
      </c>
      <c r="AK274" t="s">
        <v>137</v>
      </c>
    </row>
    <row r="275" spans="1:37" x14ac:dyDescent="0.3">
      <c r="A275" t="s">
        <v>879</v>
      </c>
      <c r="B275" t="s">
        <v>870</v>
      </c>
      <c r="C275" s="2">
        <v>45764.926233113423</v>
      </c>
      <c r="D275" s="2">
        <v>45733.745810185188</v>
      </c>
      <c r="E275" s="2">
        <v>45733.885847743055</v>
      </c>
      <c r="F275" t="s">
        <v>871</v>
      </c>
      <c r="G275" t="s">
        <v>516</v>
      </c>
      <c r="H275">
        <v>45727</v>
      </c>
      <c r="I275">
        <v>0.60416666666666663</v>
      </c>
      <c r="J275"/>
      <c r="K275"/>
      <c r="L275">
        <v>45727</v>
      </c>
      <c r="M275">
        <v>0.6903935185185186</v>
      </c>
      <c r="N275" t="s">
        <v>902</v>
      </c>
      <c r="O275"/>
      <c r="P275"/>
      <c r="Q275" t="s">
        <v>519</v>
      </c>
      <c r="R275" t="s">
        <v>84</v>
      </c>
      <c r="S275" t="s">
        <v>907</v>
      </c>
      <c r="T275" t="s">
        <v>985</v>
      </c>
      <c r="U275"/>
      <c r="V275"/>
      <c r="W275" t="s">
        <v>521</v>
      </c>
      <c r="X275" t="s">
        <v>986</v>
      </c>
      <c r="Y275" t="s">
        <v>523</v>
      </c>
      <c r="Z275" t="s">
        <v>65</v>
      </c>
      <c r="AA275"/>
      <c r="AB275"/>
      <c r="AC275"/>
      <c r="AD275"/>
      <c r="AE275" t="s">
        <v>927</v>
      </c>
      <c r="AF275" t="s">
        <v>67</v>
      </c>
      <c r="AG275" t="s">
        <v>158</v>
      </c>
      <c r="AH275" t="s">
        <v>159</v>
      </c>
      <c r="AI275" t="s">
        <v>524</v>
      </c>
      <c r="AJ275" t="s">
        <v>123</v>
      </c>
      <c r="AK275" t="s">
        <v>72</v>
      </c>
    </row>
    <row r="276" spans="1:37" x14ac:dyDescent="0.3">
      <c r="A276" t="s">
        <v>880</v>
      </c>
      <c r="B276" t="s">
        <v>870</v>
      </c>
      <c r="C276" s="2">
        <v>45764.926233148151</v>
      </c>
      <c r="D276" s="2">
        <v>45740.441157407404</v>
      </c>
      <c r="E276" s="2">
        <v>45740.915627662034</v>
      </c>
      <c r="F276" t="s">
        <v>871</v>
      </c>
      <c r="G276" t="s">
        <v>210</v>
      </c>
      <c r="H276">
        <v>45660</v>
      </c>
      <c r="I276">
        <v>0.89583333333333337</v>
      </c>
      <c r="J276">
        <v>45661</v>
      </c>
      <c r="K276">
        <v>0.26736111111111116</v>
      </c>
      <c r="L276">
        <v>45661</v>
      </c>
      <c r="M276">
        <v>0.4577430555555555</v>
      </c>
      <c r="N276" t="s">
        <v>892</v>
      </c>
      <c r="O276"/>
      <c r="P276"/>
      <c r="Q276" t="s">
        <v>214</v>
      </c>
      <c r="R276" t="s">
        <v>215</v>
      </c>
      <c r="S276" t="s">
        <v>893</v>
      </c>
      <c r="T276" t="s">
        <v>894</v>
      </c>
      <c r="U276"/>
      <c r="V276"/>
      <c r="W276" t="s">
        <v>895</v>
      </c>
      <c r="X276" t="s">
        <v>896</v>
      </c>
      <c r="Y276" t="s">
        <v>218</v>
      </c>
      <c r="Z276" t="s">
        <v>65</v>
      </c>
      <c r="AA276"/>
      <c r="AB276"/>
      <c r="AC276"/>
      <c r="AD276"/>
      <c r="AE276" t="s">
        <v>897</v>
      </c>
      <c r="AF276" t="s">
        <v>67</v>
      </c>
      <c r="AG276" t="s">
        <v>219</v>
      </c>
      <c r="AH276" t="s">
        <v>206</v>
      </c>
      <c r="AI276" t="s">
        <v>220</v>
      </c>
      <c r="AJ276" t="s">
        <v>71</v>
      </c>
      <c r="AK276" t="s">
        <v>221</v>
      </c>
    </row>
    <row r="277" spans="1:37" x14ac:dyDescent="0.3">
      <c r="A277" t="s">
        <v>880</v>
      </c>
      <c r="B277" t="s">
        <v>870</v>
      </c>
      <c r="C277" s="2">
        <v>45764.926233148151</v>
      </c>
      <c r="D277" s="2">
        <v>45740.441157407404</v>
      </c>
      <c r="E277" s="2">
        <v>45740.915627662034</v>
      </c>
      <c r="F277" t="s">
        <v>871</v>
      </c>
      <c r="G277" t="s">
        <v>395</v>
      </c>
      <c r="H277">
        <v>45664</v>
      </c>
      <c r="I277">
        <v>0.58333333333333337</v>
      </c>
      <c r="J277"/>
      <c r="K277"/>
      <c r="L277">
        <v>45667</v>
      </c>
      <c r="M277">
        <v>0.59781250000000008</v>
      </c>
      <c r="N277" t="s">
        <v>898</v>
      </c>
      <c r="O277" t="s">
        <v>400</v>
      </c>
      <c r="P277"/>
      <c r="Q277" t="s">
        <v>401</v>
      </c>
      <c r="R277" t="s">
        <v>134</v>
      </c>
      <c r="S277" t="s">
        <v>899</v>
      </c>
      <c r="T277" t="s">
        <v>900</v>
      </c>
      <c r="U277"/>
      <c r="V277"/>
      <c r="W277"/>
      <c r="X277"/>
      <c r="Y277"/>
      <c r="Z277"/>
      <c r="AA277"/>
      <c r="AB277"/>
      <c r="AC277"/>
      <c r="AD277"/>
      <c r="AE277" t="s">
        <v>901</v>
      </c>
      <c r="AF277" t="s">
        <v>67</v>
      </c>
      <c r="AG277" t="s">
        <v>404</v>
      </c>
      <c r="AH277" t="s">
        <v>405</v>
      </c>
      <c r="AI277" t="s">
        <v>406</v>
      </c>
      <c r="AJ277" t="s">
        <v>71</v>
      </c>
      <c r="AK277" t="s">
        <v>407</v>
      </c>
    </row>
    <row r="278" spans="1:37" x14ac:dyDescent="0.3">
      <c r="A278" t="s">
        <v>880</v>
      </c>
      <c r="B278" t="s">
        <v>870</v>
      </c>
      <c r="C278" s="2">
        <v>45764.926233148151</v>
      </c>
      <c r="D278" s="2">
        <v>45740.441157407404</v>
      </c>
      <c r="E278" s="2">
        <v>45740.915627662034</v>
      </c>
      <c r="F278" t="s">
        <v>871</v>
      </c>
      <c r="G278" t="s">
        <v>53</v>
      </c>
      <c r="H278">
        <v>45663</v>
      </c>
      <c r="I278">
        <v>0.64583333333333337</v>
      </c>
      <c r="J278">
        <v>45667</v>
      </c>
      <c r="K278"/>
      <c r="L278">
        <v>45667</v>
      </c>
      <c r="M278">
        <v>0.82629629629629631</v>
      </c>
      <c r="N278" t="s">
        <v>902</v>
      </c>
      <c r="O278"/>
      <c r="P278"/>
      <c r="Q278" t="s">
        <v>60</v>
      </c>
      <c r="R278"/>
      <c r="S278" t="s">
        <v>899</v>
      </c>
      <c r="T278" t="s">
        <v>903</v>
      </c>
      <c r="U278"/>
      <c r="V278"/>
      <c r="W278" t="s">
        <v>62</v>
      </c>
      <c r="X278" t="s">
        <v>896</v>
      </c>
      <c r="Y278" t="s">
        <v>64</v>
      </c>
      <c r="Z278" t="s">
        <v>65</v>
      </c>
      <c r="AA278"/>
      <c r="AB278"/>
      <c r="AC278"/>
      <c r="AD278"/>
      <c r="AE278" t="s">
        <v>904</v>
      </c>
      <c r="AF278" t="s">
        <v>67</v>
      </c>
      <c r="AG278" t="s">
        <v>68</v>
      </c>
      <c r="AH278" t="s">
        <v>69</v>
      </c>
      <c r="AI278" t="s">
        <v>70</v>
      </c>
      <c r="AJ278" t="s">
        <v>71</v>
      </c>
      <c r="AK278" t="s">
        <v>72</v>
      </c>
    </row>
    <row r="279" spans="1:37" x14ac:dyDescent="0.3">
      <c r="A279" t="s">
        <v>880</v>
      </c>
      <c r="B279" t="s">
        <v>870</v>
      </c>
      <c r="C279" s="2">
        <v>45764.926233148151</v>
      </c>
      <c r="D279" s="2">
        <v>45740.441157407404</v>
      </c>
      <c r="E279" s="2">
        <v>45740.915627662034</v>
      </c>
      <c r="F279" t="s">
        <v>871</v>
      </c>
      <c r="G279" t="s">
        <v>341</v>
      </c>
      <c r="H279">
        <v>45670</v>
      </c>
      <c r="I279">
        <v>0.50347222222222221</v>
      </c>
      <c r="J279"/>
      <c r="K279"/>
      <c r="L279">
        <v>45670</v>
      </c>
      <c r="M279">
        <v>0.50537037037037047</v>
      </c>
      <c r="N279" t="s">
        <v>344</v>
      </c>
      <c r="O279" t="s">
        <v>905</v>
      </c>
      <c r="P279" t="s">
        <v>906</v>
      </c>
      <c r="Q279" t="s">
        <v>348</v>
      </c>
      <c r="R279" t="s">
        <v>84</v>
      </c>
      <c r="S279" t="s">
        <v>907</v>
      </c>
      <c r="T279" t="s">
        <v>908</v>
      </c>
      <c r="U279"/>
      <c r="V279"/>
      <c r="W279"/>
      <c r="X279"/>
      <c r="Y279"/>
      <c r="Z279"/>
      <c r="AA279"/>
      <c r="AB279"/>
      <c r="AC279"/>
      <c r="AD279"/>
      <c r="AE279" t="s">
        <v>897</v>
      </c>
      <c r="AF279" t="s">
        <v>67</v>
      </c>
      <c r="AG279" t="s">
        <v>350</v>
      </c>
      <c r="AH279" t="s">
        <v>351</v>
      </c>
      <c r="AI279" t="s">
        <v>352</v>
      </c>
      <c r="AJ279" t="s">
        <v>123</v>
      </c>
      <c r="AK279" t="s">
        <v>353</v>
      </c>
    </row>
    <row r="280" spans="1:37" x14ac:dyDescent="0.3">
      <c r="A280" t="s">
        <v>880</v>
      </c>
      <c r="B280" t="s">
        <v>870</v>
      </c>
      <c r="C280" s="2">
        <v>45764.926233148151</v>
      </c>
      <c r="D280" s="2">
        <v>45740.441157407404</v>
      </c>
      <c r="E280" s="2">
        <v>45740.915627662034</v>
      </c>
      <c r="F280" t="s">
        <v>871</v>
      </c>
      <c r="G280" t="s">
        <v>356</v>
      </c>
      <c r="H280">
        <v>45671</v>
      </c>
      <c r="I280">
        <v>0.64067129629629627</v>
      </c>
      <c r="J280"/>
      <c r="K280"/>
      <c r="L280">
        <v>45671</v>
      </c>
      <c r="M280">
        <v>0.64067129629629638</v>
      </c>
      <c r="N280" t="s">
        <v>906</v>
      </c>
      <c r="O280" t="s">
        <v>909</v>
      </c>
      <c r="P280" t="s">
        <v>361</v>
      </c>
      <c r="Q280" t="s">
        <v>362</v>
      </c>
      <c r="R280" t="s">
        <v>363</v>
      </c>
      <c r="S280" t="s">
        <v>893</v>
      </c>
      <c r="T280" t="s">
        <v>910</v>
      </c>
      <c r="U280"/>
      <c r="V280"/>
      <c r="W280" t="s">
        <v>911</v>
      </c>
      <c r="X280" t="s">
        <v>912</v>
      </c>
      <c r="Y280" t="s">
        <v>367</v>
      </c>
      <c r="Z280" t="s">
        <v>65</v>
      </c>
      <c r="AA280"/>
      <c r="AB280"/>
      <c r="AC280"/>
      <c r="AD280"/>
      <c r="AE280" t="s">
        <v>913</v>
      </c>
      <c r="AF280" t="s">
        <v>67</v>
      </c>
      <c r="AG280" t="s">
        <v>219</v>
      </c>
      <c r="AH280" t="s">
        <v>368</v>
      </c>
      <c r="AI280" t="s">
        <v>160</v>
      </c>
      <c r="AJ280" t="s">
        <v>123</v>
      </c>
      <c r="AK280" t="s">
        <v>353</v>
      </c>
    </row>
    <row r="281" spans="1:37" x14ac:dyDescent="0.3">
      <c r="A281" t="s">
        <v>880</v>
      </c>
      <c r="B281" t="s">
        <v>870</v>
      </c>
      <c r="C281" s="2">
        <v>45764.926233148151</v>
      </c>
      <c r="D281" s="2">
        <v>45740.441157407404</v>
      </c>
      <c r="E281" s="2">
        <v>45740.915627662034</v>
      </c>
      <c r="F281" t="s">
        <v>871</v>
      </c>
      <c r="G281" t="s">
        <v>224</v>
      </c>
      <c r="H281">
        <v>45672</v>
      </c>
      <c r="I281">
        <v>0.53988425925925931</v>
      </c>
      <c r="J281"/>
      <c r="K281"/>
      <c r="L281">
        <v>45672</v>
      </c>
      <c r="M281">
        <v>0.5398842592592592</v>
      </c>
      <c r="N281" t="s">
        <v>892</v>
      </c>
      <c r="O281"/>
      <c r="P281"/>
      <c r="Q281" t="s">
        <v>227</v>
      </c>
      <c r="R281" t="s">
        <v>84</v>
      </c>
      <c r="S281" t="s">
        <v>907</v>
      </c>
      <c r="T281" t="s">
        <v>914</v>
      </c>
      <c r="U281"/>
      <c r="V281"/>
      <c r="W281" t="s">
        <v>229</v>
      </c>
      <c r="X281" t="s">
        <v>896</v>
      </c>
      <c r="Y281" t="s">
        <v>230</v>
      </c>
      <c r="Z281" t="s">
        <v>65</v>
      </c>
      <c r="AA281"/>
      <c r="AB281"/>
      <c r="AC281"/>
      <c r="AD281"/>
      <c r="AE281" t="s">
        <v>913</v>
      </c>
      <c r="AF281" t="s">
        <v>67</v>
      </c>
      <c r="AG281" t="s">
        <v>231</v>
      </c>
      <c r="AH281" t="s">
        <v>232</v>
      </c>
      <c r="AI281" t="s">
        <v>70</v>
      </c>
      <c r="AJ281" t="s">
        <v>71</v>
      </c>
      <c r="AK281" t="s">
        <v>221</v>
      </c>
    </row>
    <row r="282" spans="1:37" x14ac:dyDescent="0.3">
      <c r="A282" t="s">
        <v>880</v>
      </c>
      <c r="B282" t="s">
        <v>870</v>
      </c>
      <c r="C282" s="2">
        <v>45764.926233148151</v>
      </c>
      <c r="D282" s="2">
        <v>45740.441157407404</v>
      </c>
      <c r="E282" s="2">
        <v>45740.915627662034</v>
      </c>
      <c r="F282" t="s">
        <v>871</v>
      </c>
      <c r="G282" t="s">
        <v>129</v>
      </c>
      <c r="H282">
        <v>45673</v>
      </c>
      <c r="I282">
        <v>0.5</v>
      </c>
      <c r="J282">
        <v>45673</v>
      </c>
      <c r="K282">
        <v>0.75</v>
      </c>
      <c r="L282">
        <v>45673</v>
      </c>
      <c r="M282">
        <v>0.81587962962962957</v>
      </c>
      <c r="N282" t="s">
        <v>915</v>
      </c>
      <c r="O282"/>
      <c r="P282"/>
      <c r="Q282" t="s">
        <v>133</v>
      </c>
      <c r="R282" t="s">
        <v>134</v>
      </c>
      <c r="S282" t="s">
        <v>899</v>
      </c>
      <c r="T282" t="s">
        <v>916</v>
      </c>
      <c r="U282"/>
      <c r="V282"/>
      <c r="W282"/>
      <c r="X282"/>
      <c r="Y282"/>
      <c r="Z282"/>
      <c r="AA282"/>
      <c r="AB282"/>
      <c r="AC282"/>
      <c r="AD282"/>
      <c r="AE282" t="s">
        <v>904</v>
      </c>
      <c r="AF282" t="s">
        <v>67</v>
      </c>
      <c r="AG282" t="s">
        <v>136</v>
      </c>
      <c r="AH282" t="s">
        <v>69</v>
      </c>
      <c r="AI282" t="s">
        <v>70</v>
      </c>
      <c r="AJ282" t="s">
        <v>71</v>
      </c>
      <c r="AK282" t="s">
        <v>137</v>
      </c>
    </row>
    <row r="283" spans="1:37" x14ac:dyDescent="0.3">
      <c r="A283" t="s">
        <v>880</v>
      </c>
      <c r="B283" t="s">
        <v>870</v>
      </c>
      <c r="C283" s="2">
        <v>45764.926233148151</v>
      </c>
      <c r="D283" s="2">
        <v>45740.441157407404</v>
      </c>
      <c r="E283" s="2">
        <v>45740.915627662034</v>
      </c>
      <c r="F283" t="s">
        <v>871</v>
      </c>
      <c r="G283" t="s">
        <v>371</v>
      </c>
      <c r="H283">
        <v>45673</v>
      </c>
      <c r="I283">
        <v>0.87708333333333333</v>
      </c>
      <c r="J283">
        <v>45673</v>
      </c>
      <c r="K283">
        <v>0.88611111111111107</v>
      </c>
      <c r="L283">
        <v>45674</v>
      </c>
      <c r="M283">
        <v>0.51179398148148159</v>
      </c>
      <c r="N283" t="s">
        <v>906</v>
      </c>
      <c r="O283"/>
      <c r="P283"/>
      <c r="Q283" t="s">
        <v>374</v>
      </c>
      <c r="R283" t="s">
        <v>178</v>
      </c>
      <c r="S283" t="s">
        <v>893</v>
      </c>
      <c r="T283" t="s">
        <v>917</v>
      </c>
      <c r="U283"/>
      <c r="V283"/>
      <c r="W283"/>
      <c r="X283" t="s">
        <v>918</v>
      </c>
      <c r="Y283" t="s">
        <v>919</v>
      </c>
      <c r="Z283"/>
      <c r="AA283"/>
      <c r="AB283"/>
      <c r="AC283"/>
      <c r="AD283"/>
      <c r="AE283" t="s">
        <v>904</v>
      </c>
      <c r="AF283" t="s">
        <v>67</v>
      </c>
      <c r="AG283" t="s">
        <v>89</v>
      </c>
      <c r="AH283" t="s">
        <v>90</v>
      </c>
      <c r="AI283" t="s">
        <v>378</v>
      </c>
      <c r="AJ283" t="s">
        <v>435</v>
      </c>
      <c r="AK283" t="s">
        <v>353</v>
      </c>
    </row>
    <row r="284" spans="1:37" x14ac:dyDescent="0.3">
      <c r="A284" t="s">
        <v>880</v>
      </c>
      <c r="B284" t="s">
        <v>870</v>
      </c>
      <c r="C284" s="2">
        <v>45764.926233148151</v>
      </c>
      <c r="D284" s="2">
        <v>45740.441157407404</v>
      </c>
      <c r="E284" s="2">
        <v>45740.915627662034</v>
      </c>
      <c r="F284" t="s">
        <v>871</v>
      </c>
      <c r="G284" t="s">
        <v>236</v>
      </c>
      <c r="H284">
        <v>45678</v>
      </c>
      <c r="I284">
        <v>0.79166666666666663</v>
      </c>
      <c r="J284">
        <v>45679</v>
      </c>
      <c r="K284">
        <v>0.13125000000000009</v>
      </c>
      <c r="L284">
        <v>45679</v>
      </c>
      <c r="M284">
        <v>0.13255787037037048</v>
      </c>
      <c r="N284" t="s">
        <v>892</v>
      </c>
      <c r="O284"/>
      <c r="P284"/>
      <c r="Q284" t="s">
        <v>239</v>
      </c>
      <c r="R284" t="s">
        <v>178</v>
      </c>
      <c r="S284" t="s">
        <v>893</v>
      </c>
      <c r="T284" t="s">
        <v>920</v>
      </c>
      <c r="U284"/>
      <c r="V284"/>
      <c r="W284" t="s">
        <v>241</v>
      </c>
      <c r="X284" t="s">
        <v>63</v>
      </c>
      <c r="Y284" t="s">
        <v>242</v>
      </c>
      <c r="Z284" t="s">
        <v>65</v>
      </c>
      <c r="AA284"/>
      <c r="AB284"/>
      <c r="AC284"/>
      <c r="AD284"/>
      <c r="AE284" t="s">
        <v>921</v>
      </c>
      <c r="AF284" t="s">
        <v>67</v>
      </c>
      <c r="AG284" t="s">
        <v>244</v>
      </c>
      <c r="AH284" t="s">
        <v>206</v>
      </c>
      <c r="AI284" t="s">
        <v>160</v>
      </c>
      <c r="AJ284" t="s">
        <v>71</v>
      </c>
      <c r="AK284" t="s">
        <v>221</v>
      </c>
    </row>
    <row r="285" spans="1:37" x14ac:dyDescent="0.3">
      <c r="A285" t="s">
        <v>880</v>
      </c>
      <c r="B285" t="s">
        <v>870</v>
      </c>
      <c r="C285" s="2">
        <v>45764.926233148151</v>
      </c>
      <c r="D285" s="2">
        <v>45740.441157407404</v>
      </c>
      <c r="E285" s="2">
        <v>45740.915627662034</v>
      </c>
      <c r="F285" t="s">
        <v>871</v>
      </c>
      <c r="G285" t="s">
        <v>246</v>
      </c>
      <c r="H285">
        <v>45679</v>
      </c>
      <c r="I285">
        <v>0.33333333333333331</v>
      </c>
      <c r="J285">
        <v>45679</v>
      </c>
      <c r="K285">
        <v>0.80069444444444438</v>
      </c>
      <c r="L285">
        <v>45679</v>
      </c>
      <c r="M285">
        <v>0.8020370370370371</v>
      </c>
      <c r="N285" t="s">
        <v>892</v>
      </c>
      <c r="O285"/>
      <c r="P285"/>
      <c r="Q285" t="s">
        <v>249</v>
      </c>
      <c r="R285" t="s">
        <v>250</v>
      </c>
      <c r="S285" t="s">
        <v>922</v>
      </c>
      <c r="T285" t="s">
        <v>923</v>
      </c>
      <c r="U285"/>
      <c r="V285"/>
      <c r="W285" t="s">
        <v>252</v>
      </c>
      <c r="X285" t="s">
        <v>924</v>
      </c>
      <c r="Y285" t="s">
        <v>254</v>
      </c>
      <c r="Z285" t="s">
        <v>65</v>
      </c>
      <c r="AA285"/>
      <c r="AB285"/>
      <c r="AC285"/>
      <c r="AD285"/>
      <c r="AE285" t="s">
        <v>913</v>
      </c>
      <c r="AF285" t="s">
        <v>67</v>
      </c>
      <c r="AG285" t="s">
        <v>244</v>
      </c>
      <c r="AH285" t="s">
        <v>206</v>
      </c>
      <c r="AI285" t="s">
        <v>122</v>
      </c>
      <c r="AJ285" t="s">
        <v>71</v>
      </c>
      <c r="AK285" t="s">
        <v>221</v>
      </c>
    </row>
    <row r="286" spans="1:37" x14ac:dyDescent="0.3">
      <c r="A286" t="s">
        <v>880</v>
      </c>
      <c r="B286" t="s">
        <v>870</v>
      </c>
      <c r="C286" s="2">
        <v>45764.926233148151</v>
      </c>
      <c r="D286" s="2">
        <v>45740.441157407404</v>
      </c>
      <c r="E286" s="2">
        <v>45740.915627662034</v>
      </c>
      <c r="F286" t="s">
        <v>871</v>
      </c>
      <c r="G286" t="s">
        <v>409</v>
      </c>
      <c r="H286">
        <v>45680</v>
      </c>
      <c r="I286">
        <v>0.625</v>
      </c>
      <c r="J286"/>
      <c r="K286"/>
      <c r="L286">
        <v>45680</v>
      </c>
      <c r="M286">
        <v>0.66545138888888888</v>
      </c>
      <c r="N286" t="s">
        <v>925</v>
      </c>
      <c r="O286" t="s">
        <v>400</v>
      </c>
      <c r="P286"/>
      <c r="Q286" t="s">
        <v>414</v>
      </c>
      <c r="R286" t="s">
        <v>84</v>
      </c>
      <c r="S286" t="s">
        <v>907</v>
      </c>
      <c r="T286" t="s">
        <v>926</v>
      </c>
      <c r="U286"/>
      <c r="V286"/>
      <c r="W286"/>
      <c r="X286"/>
      <c r="Y286"/>
      <c r="Z286"/>
      <c r="AA286"/>
      <c r="AB286"/>
      <c r="AC286"/>
      <c r="AD286"/>
      <c r="AE286" t="s">
        <v>927</v>
      </c>
      <c r="AF286" t="s">
        <v>67</v>
      </c>
      <c r="AG286" t="s">
        <v>352</v>
      </c>
      <c r="AH286" t="s">
        <v>417</v>
      </c>
      <c r="AI286" t="s">
        <v>406</v>
      </c>
      <c r="AJ286" t="s">
        <v>418</v>
      </c>
      <c r="AK286"/>
    </row>
    <row r="287" spans="1:37" x14ac:dyDescent="0.3">
      <c r="A287" t="s">
        <v>880</v>
      </c>
      <c r="B287" t="s">
        <v>870</v>
      </c>
      <c r="C287" s="2">
        <v>45764.926233148151</v>
      </c>
      <c r="D287" s="2">
        <v>45740.441157407404</v>
      </c>
      <c r="E287" s="2">
        <v>45740.915627662034</v>
      </c>
      <c r="F287" t="s">
        <v>871</v>
      </c>
      <c r="G287" t="s">
        <v>140</v>
      </c>
      <c r="H287">
        <v>45682</v>
      </c>
      <c r="I287">
        <v>0.45833333333333331</v>
      </c>
      <c r="J287">
        <v>45682</v>
      </c>
      <c r="K287">
        <v>0.58333333333333326</v>
      </c>
      <c r="L287">
        <v>45682</v>
      </c>
      <c r="M287">
        <v>0.58054398148148145</v>
      </c>
      <c r="N287" t="s">
        <v>915</v>
      </c>
      <c r="O287"/>
      <c r="P287"/>
      <c r="Q287" t="s">
        <v>144</v>
      </c>
      <c r="R287" t="s">
        <v>145</v>
      </c>
      <c r="S287" t="s">
        <v>922</v>
      </c>
      <c r="T287" t="s">
        <v>928</v>
      </c>
      <c r="U287"/>
      <c r="V287"/>
      <c r="W287"/>
      <c r="X287"/>
      <c r="Y287"/>
      <c r="Z287"/>
      <c r="AA287"/>
      <c r="AB287"/>
      <c r="AC287"/>
      <c r="AD287"/>
      <c r="AE287" t="s">
        <v>929</v>
      </c>
      <c r="AF287" t="s">
        <v>67</v>
      </c>
      <c r="AG287" t="s">
        <v>147</v>
      </c>
      <c r="AH287" t="s">
        <v>90</v>
      </c>
      <c r="AI287" t="s">
        <v>70</v>
      </c>
      <c r="AJ287" t="s">
        <v>71</v>
      </c>
      <c r="AK287" t="s">
        <v>137</v>
      </c>
    </row>
    <row r="288" spans="1:37" x14ac:dyDescent="0.3">
      <c r="A288" t="s">
        <v>880</v>
      </c>
      <c r="B288" t="s">
        <v>870</v>
      </c>
      <c r="C288" s="2">
        <v>45764.926233148151</v>
      </c>
      <c r="D288" s="2">
        <v>45740.441157407404</v>
      </c>
      <c r="E288" s="2">
        <v>45740.915627662034</v>
      </c>
      <c r="F288" t="s">
        <v>871</v>
      </c>
      <c r="G288" t="s">
        <v>77</v>
      </c>
      <c r="H288">
        <v>45682</v>
      </c>
      <c r="I288">
        <v>0.76875000000000004</v>
      </c>
      <c r="J288"/>
      <c r="K288"/>
      <c r="L288">
        <v>45683</v>
      </c>
      <c r="M288">
        <v>0.44056712962962963</v>
      </c>
      <c r="N288" t="s">
        <v>902</v>
      </c>
      <c r="O288" t="s">
        <v>930</v>
      </c>
      <c r="P288"/>
      <c r="Q288" t="s">
        <v>83</v>
      </c>
      <c r="R288" t="s">
        <v>84</v>
      </c>
      <c r="S288" t="s">
        <v>907</v>
      </c>
      <c r="T288" t="s">
        <v>931</v>
      </c>
      <c r="U288"/>
      <c r="V288"/>
      <c r="W288" t="s">
        <v>932</v>
      </c>
      <c r="X288" t="s">
        <v>896</v>
      </c>
      <c r="Y288" t="s">
        <v>87</v>
      </c>
      <c r="Z288" t="s">
        <v>65</v>
      </c>
      <c r="AA288"/>
      <c r="AB288"/>
      <c r="AC288"/>
      <c r="AD288"/>
      <c r="AE288" t="s">
        <v>929</v>
      </c>
      <c r="AF288" t="s">
        <v>67</v>
      </c>
      <c r="AG288" t="s">
        <v>89</v>
      </c>
      <c r="AH288" t="s">
        <v>90</v>
      </c>
      <c r="AI288" t="s">
        <v>91</v>
      </c>
      <c r="AJ288" t="s">
        <v>92</v>
      </c>
      <c r="AK288" t="s">
        <v>72</v>
      </c>
    </row>
    <row r="289" spans="1:37" x14ac:dyDescent="0.3">
      <c r="A289" t="s">
        <v>880</v>
      </c>
      <c r="B289" t="s">
        <v>870</v>
      </c>
      <c r="C289" s="2">
        <v>45764.926233148151</v>
      </c>
      <c r="D289" s="2">
        <v>45740.441157407404</v>
      </c>
      <c r="E289" s="2">
        <v>45740.915627662034</v>
      </c>
      <c r="F289" t="s">
        <v>871</v>
      </c>
      <c r="G289" t="s">
        <v>96</v>
      </c>
      <c r="H289">
        <v>45683</v>
      </c>
      <c r="I289">
        <v>0.84027777777777779</v>
      </c>
      <c r="J289">
        <v>45683</v>
      </c>
      <c r="K289">
        <v>0.84652777777777777</v>
      </c>
      <c r="L289">
        <v>45683</v>
      </c>
      <c r="M289">
        <v>0.85009259259259262</v>
      </c>
      <c r="N289" t="s">
        <v>902</v>
      </c>
      <c r="O289" t="s">
        <v>930</v>
      </c>
      <c r="P289"/>
      <c r="Q289" t="s">
        <v>100</v>
      </c>
      <c r="R289" t="s">
        <v>101</v>
      </c>
      <c r="S289" t="s">
        <v>893</v>
      </c>
      <c r="T289" t="s">
        <v>933</v>
      </c>
      <c r="U289"/>
      <c r="V289"/>
      <c r="W289" t="s">
        <v>934</v>
      </c>
      <c r="X289" t="s">
        <v>896</v>
      </c>
      <c r="Y289" t="s">
        <v>104</v>
      </c>
      <c r="Z289" t="s">
        <v>935</v>
      </c>
      <c r="AA289"/>
      <c r="AB289"/>
      <c r="AC289"/>
      <c r="AD289"/>
      <c r="AE289" t="s">
        <v>904</v>
      </c>
      <c r="AF289" t="s">
        <v>67</v>
      </c>
      <c r="AG289" t="s">
        <v>105</v>
      </c>
      <c r="AH289" t="s">
        <v>69</v>
      </c>
      <c r="AI289" t="s">
        <v>106</v>
      </c>
      <c r="AJ289" t="s">
        <v>71</v>
      </c>
      <c r="AK289" t="s">
        <v>72</v>
      </c>
    </row>
    <row r="290" spans="1:37" x14ac:dyDescent="0.3">
      <c r="A290" t="s">
        <v>880</v>
      </c>
      <c r="B290" t="s">
        <v>870</v>
      </c>
      <c r="C290" s="2">
        <v>45764.926233148151</v>
      </c>
      <c r="D290" s="2">
        <v>45740.441157407404</v>
      </c>
      <c r="E290" s="2">
        <v>45740.915627662034</v>
      </c>
      <c r="F290" t="s">
        <v>871</v>
      </c>
      <c r="G290" t="s">
        <v>256</v>
      </c>
      <c r="H290">
        <v>45685</v>
      </c>
      <c r="I290">
        <v>0.625</v>
      </c>
      <c r="J290">
        <v>45686</v>
      </c>
      <c r="K290">
        <v>0.91736111111111107</v>
      </c>
      <c r="L290">
        <v>45686</v>
      </c>
      <c r="M290">
        <v>0.91833333333333322</v>
      </c>
      <c r="N290" t="s">
        <v>892</v>
      </c>
      <c r="O290" t="s">
        <v>930</v>
      </c>
      <c r="P290"/>
      <c r="Q290" t="s">
        <v>260</v>
      </c>
      <c r="R290" t="s">
        <v>261</v>
      </c>
      <c r="S290" t="s">
        <v>936</v>
      </c>
      <c r="T290" t="s">
        <v>937</v>
      </c>
      <c r="U290"/>
      <c r="V290"/>
      <c r="W290" t="s">
        <v>938</v>
      </c>
      <c r="X290" t="s">
        <v>939</v>
      </c>
      <c r="Y290" t="s">
        <v>265</v>
      </c>
      <c r="Z290" t="s">
        <v>65</v>
      </c>
      <c r="AA290"/>
      <c r="AB290"/>
      <c r="AC290"/>
      <c r="AD290"/>
      <c r="AE290" t="s">
        <v>940</v>
      </c>
      <c r="AF290" t="s">
        <v>67</v>
      </c>
      <c r="AG290" t="s">
        <v>244</v>
      </c>
      <c r="AH290" t="s">
        <v>206</v>
      </c>
      <c r="AI290" t="s">
        <v>70</v>
      </c>
      <c r="AJ290" t="s">
        <v>266</v>
      </c>
      <c r="AK290" t="s">
        <v>221</v>
      </c>
    </row>
    <row r="291" spans="1:37" x14ac:dyDescent="0.3">
      <c r="A291" t="s">
        <v>880</v>
      </c>
      <c r="B291" t="s">
        <v>870</v>
      </c>
      <c r="C291" s="2">
        <v>45764.926233148151</v>
      </c>
      <c r="D291" s="2">
        <v>45740.441157407404</v>
      </c>
      <c r="E291" s="2">
        <v>45740.915627662034</v>
      </c>
      <c r="F291" t="s">
        <v>871</v>
      </c>
      <c r="G291" t="s">
        <v>151</v>
      </c>
      <c r="H291">
        <v>45688</v>
      </c>
      <c r="I291">
        <v>0.49988425925925928</v>
      </c>
      <c r="J291"/>
      <c r="K291"/>
      <c r="L291">
        <v>45688</v>
      </c>
      <c r="M291">
        <v>0.49988425925925917</v>
      </c>
      <c r="N291" t="s">
        <v>915</v>
      </c>
      <c r="O291"/>
      <c r="P291"/>
      <c r="Q291" t="s">
        <v>154</v>
      </c>
      <c r="R291" t="s">
        <v>155</v>
      </c>
      <c r="S291" t="s">
        <v>907</v>
      </c>
      <c r="T291" t="s">
        <v>941</v>
      </c>
      <c r="U291"/>
      <c r="V291"/>
      <c r="W291"/>
      <c r="X291"/>
      <c r="Y291"/>
      <c r="Z291"/>
      <c r="AA291"/>
      <c r="AB291"/>
      <c r="AC291"/>
      <c r="AD291"/>
      <c r="AE291" t="s">
        <v>897</v>
      </c>
      <c r="AF291" t="s">
        <v>67</v>
      </c>
      <c r="AG291" t="s">
        <v>158</v>
      </c>
      <c r="AH291" t="s">
        <v>159</v>
      </c>
      <c r="AI291" t="s">
        <v>160</v>
      </c>
      <c r="AJ291" t="s">
        <v>71</v>
      </c>
      <c r="AK291" t="s">
        <v>137</v>
      </c>
    </row>
    <row r="292" spans="1:37" x14ac:dyDescent="0.3">
      <c r="A292" t="s">
        <v>880</v>
      </c>
      <c r="B292" t="s">
        <v>870</v>
      </c>
      <c r="C292" s="2">
        <v>45764.926233148151</v>
      </c>
      <c r="D292" s="2">
        <v>45740.441157407404</v>
      </c>
      <c r="E292" s="2">
        <v>45740.915627662034</v>
      </c>
      <c r="F292" t="s">
        <v>871</v>
      </c>
      <c r="G292" t="s">
        <v>269</v>
      </c>
      <c r="H292">
        <v>45689</v>
      </c>
      <c r="I292">
        <v>4.1666666666666664E-2</v>
      </c>
      <c r="J292"/>
      <c r="K292">
        <v>0.10416666666666674</v>
      </c>
      <c r="L292">
        <v>45689</v>
      </c>
      <c r="M292">
        <v>0.11982638888888886</v>
      </c>
      <c r="N292" t="s">
        <v>892</v>
      </c>
      <c r="O292"/>
      <c r="P292"/>
      <c r="Q292" t="s">
        <v>272</v>
      </c>
      <c r="R292" t="s">
        <v>273</v>
      </c>
      <c r="S292" t="s">
        <v>936</v>
      </c>
      <c r="T292" t="s">
        <v>942</v>
      </c>
      <c r="U292"/>
      <c r="V292"/>
      <c r="W292" t="s">
        <v>943</v>
      </c>
      <c r="X292" t="s">
        <v>944</v>
      </c>
      <c r="Y292" t="s">
        <v>276</v>
      </c>
      <c r="Z292" t="s">
        <v>65</v>
      </c>
      <c r="AA292"/>
      <c r="AB292"/>
      <c r="AC292"/>
      <c r="AD292"/>
      <c r="AE292" t="s">
        <v>913</v>
      </c>
      <c r="AF292" t="s">
        <v>67</v>
      </c>
      <c r="AG292" t="s">
        <v>244</v>
      </c>
      <c r="AH292" t="s">
        <v>206</v>
      </c>
      <c r="AI292" t="s">
        <v>122</v>
      </c>
      <c r="AJ292" t="s">
        <v>71</v>
      </c>
      <c r="AK292" t="s">
        <v>221</v>
      </c>
    </row>
    <row r="293" spans="1:37" x14ac:dyDescent="0.3">
      <c r="A293" t="s">
        <v>880</v>
      </c>
      <c r="B293" t="s">
        <v>870</v>
      </c>
      <c r="C293" s="2">
        <v>45764.926233148151</v>
      </c>
      <c r="D293" s="2">
        <v>45740.441157407404</v>
      </c>
      <c r="E293" s="2">
        <v>45740.915627662034</v>
      </c>
      <c r="F293" t="s">
        <v>871</v>
      </c>
      <c r="G293" t="s">
        <v>382</v>
      </c>
      <c r="H293">
        <v>45690</v>
      </c>
      <c r="I293">
        <v>0.72569444444444442</v>
      </c>
      <c r="J293">
        <v>45690</v>
      </c>
      <c r="K293">
        <v>0.75</v>
      </c>
      <c r="L293">
        <v>45691</v>
      </c>
      <c r="M293">
        <v>0.50143518518518526</v>
      </c>
      <c r="N293" t="s">
        <v>176</v>
      </c>
      <c r="O293" t="s">
        <v>906</v>
      </c>
      <c r="P293"/>
      <c r="Q293" t="s">
        <v>385</v>
      </c>
      <c r="R293" t="s">
        <v>145</v>
      </c>
      <c r="S293" t="s">
        <v>922</v>
      </c>
      <c r="T293" t="s">
        <v>945</v>
      </c>
      <c r="U293"/>
      <c r="V293"/>
      <c r="W293"/>
      <c r="X293"/>
      <c r="Y293"/>
      <c r="Z293"/>
      <c r="AA293"/>
      <c r="AB293"/>
      <c r="AC293"/>
      <c r="AD293"/>
      <c r="AE293" t="s">
        <v>904</v>
      </c>
      <c r="AF293" t="s">
        <v>67</v>
      </c>
      <c r="AG293" t="s">
        <v>105</v>
      </c>
      <c r="AH293" t="s">
        <v>69</v>
      </c>
      <c r="AI293" t="s">
        <v>180</v>
      </c>
      <c r="AJ293" t="s">
        <v>92</v>
      </c>
      <c r="AK293"/>
    </row>
    <row r="294" spans="1:37" x14ac:dyDescent="0.3">
      <c r="A294" t="s">
        <v>880</v>
      </c>
      <c r="B294" t="s">
        <v>870</v>
      </c>
      <c r="C294" s="2">
        <v>45764.926233148151</v>
      </c>
      <c r="D294" s="2">
        <v>45740.441157407404</v>
      </c>
      <c r="E294" s="2">
        <v>45740.915627662034</v>
      </c>
      <c r="F294" t="s">
        <v>871</v>
      </c>
      <c r="G294" t="s">
        <v>388</v>
      </c>
      <c r="H294"/>
      <c r="I294"/>
      <c r="J294"/>
      <c r="K294"/>
      <c r="L294">
        <v>45691</v>
      </c>
      <c r="M294">
        <v>0.69484953703703711</v>
      </c>
      <c r="N294" t="s">
        <v>906</v>
      </c>
      <c r="O294"/>
      <c r="P294"/>
      <c r="Q294" t="s">
        <v>390</v>
      </c>
      <c r="R294" t="s">
        <v>363</v>
      </c>
      <c r="S294" t="s">
        <v>893</v>
      </c>
      <c r="T294" t="s">
        <v>946</v>
      </c>
      <c r="U294"/>
      <c r="V294"/>
      <c r="W294"/>
      <c r="X294"/>
      <c r="Y294"/>
      <c r="Z294"/>
      <c r="AA294"/>
      <c r="AB294"/>
      <c r="AC294"/>
      <c r="AD294"/>
      <c r="AE294" t="s">
        <v>929</v>
      </c>
      <c r="AF294" t="s">
        <v>67</v>
      </c>
      <c r="AG294" t="s">
        <v>136</v>
      </c>
      <c r="AH294" t="s">
        <v>69</v>
      </c>
      <c r="AI294" t="s">
        <v>106</v>
      </c>
      <c r="AJ294" t="s">
        <v>71</v>
      </c>
      <c r="AK294" t="s">
        <v>353</v>
      </c>
    </row>
    <row r="295" spans="1:37" x14ac:dyDescent="0.3">
      <c r="A295" t="s">
        <v>880</v>
      </c>
      <c r="B295" t="s">
        <v>870</v>
      </c>
      <c r="C295" s="2">
        <v>45764.926233148151</v>
      </c>
      <c r="D295" s="2">
        <v>45740.441157407404</v>
      </c>
      <c r="E295" s="2">
        <v>45740.915627662034</v>
      </c>
      <c r="F295" t="s">
        <v>871</v>
      </c>
      <c r="G295" t="s">
        <v>279</v>
      </c>
      <c r="H295">
        <v>45691</v>
      </c>
      <c r="I295">
        <v>0.77083333333333337</v>
      </c>
      <c r="J295">
        <v>45692</v>
      </c>
      <c r="K295">
        <v>0.79166666666666674</v>
      </c>
      <c r="L295">
        <v>45692</v>
      </c>
      <c r="M295">
        <v>0.53023148148148147</v>
      </c>
      <c r="N295" t="s">
        <v>892</v>
      </c>
      <c r="O295"/>
      <c r="P295"/>
      <c r="Q295" t="s">
        <v>282</v>
      </c>
      <c r="R295" t="s">
        <v>283</v>
      </c>
      <c r="S295" t="s">
        <v>907</v>
      </c>
      <c r="T295" t="s">
        <v>947</v>
      </c>
      <c r="U295"/>
      <c r="V295"/>
      <c r="W295" t="s">
        <v>948</v>
      </c>
      <c r="X295" t="s">
        <v>286</v>
      </c>
      <c r="Y295" t="s">
        <v>949</v>
      </c>
      <c r="Z295" t="s">
        <v>288</v>
      </c>
      <c r="AA295"/>
      <c r="AB295"/>
      <c r="AC295"/>
      <c r="AD295"/>
      <c r="AE295" t="s">
        <v>904</v>
      </c>
      <c r="AF295" t="s">
        <v>67</v>
      </c>
      <c r="AG295" t="s">
        <v>105</v>
      </c>
      <c r="AH295" t="s">
        <v>69</v>
      </c>
      <c r="AI295" t="s">
        <v>70</v>
      </c>
      <c r="AJ295" t="s">
        <v>195</v>
      </c>
      <c r="AK295" t="s">
        <v>221</v>
      </c>
    </row>
    <row r="296" spans="1:37" x14ac:dyDescent="0.3">
      <c r="A296" t="s">
        <v>880</v>
      </c>
      <c r="B296" t="s">
        <v>870</v>
      </c>
      <c r="C296" s="2">
        <v>45764.926233148151</v>
      </c>
      <c r="D296" s="2">
        <v>45740.441157407404</v>
      </c>
      <c r="E296" s="2">
        <v>45740.915627662034</v>
      </c>
      <c r="F296" t="s">
        <v>871</v>
      </c>
      <c r="G296" t="s">
        <v>161</v>
      </c>
      <c r="H296">
        <v>45693</v>
      </c>
      <c r="I296">
        <v>0.12291666666666666</v>
      </c>
      <c r="J296"/>
      <c r="K296"/>
      <c r="L296">
        <v>45693</v>
      </c>
      <c r="M296">
        <v>0.12339120370370371</v>
      </c>
      <c r="N296" t="s">
        <v>950</v>
      </c>
      <c r="O296" t="s">
        <v>167</v>
      </c>
      <c r="P296"/>
      <c r="Q296" t="s">
        <v>168</v>
      </c>
      <c r="R296" t="s">
        <v>155</v>
      </c>
      <c r="S296" t="s">
        <v>907</v>
      </c>
      <c r="T296" t="s">
        <v>951</v>
      </c>
      <c r="U296"/>
      <c r="V296"/>
      <c r="W296"/>
      <c r="X296"/>
      <c r="Y296"/>
      <c r="Z296"/>
      <c r="AA296"/>
      <c r="AB296"/>
      <c r="AC296"/>
      <c r="AD296"/>
      <c r="AE296" t="s">
        <v>913</v>
      </c>
      <c r="AF296" t="s">
        <v>67</v>
      </c>
      <c r="AG296" t="s">
        <v>170</v>
      </c>
      <c r="AH296" t="s">
        <v>90</v>
      </c>
      <c r="AI296" t="s">
        <v>171</v>
      </c>
      <c r="AJ296" t="s">
        <v>123</v>
      </c>
      <c r="AK296" t="s">
        <v>137</v>
      </c>
    </row>
    <row r="297" spans="1:37" x14ac:dyDescent="0.3">
      <c r="A297" t="s">
        <v>880</v>
      </c>
      <c r="B297" t="s">
        <v>870</v>
      </c>
      <c r="C297" s="2">
        <v>45764.926233148151</v>
      </c>
      <c r="D297" s="2">
        <v>45740.441157407404</v>
      </c>
      <c r="E297" s="2">
        <v>45740.915627662034</v>
      </c>
      <c r="F297" t="s">
        <v>871</v>
      </c>
      <c r="G297" t="s">
        <v>292</v>
      </c>
      <c r="H297">
        <v>45695</v>
      </c>
      <c r="I297">
        <v>0.27430555555555558</v>
      </c>
      <c r="J297">
        <v>45695</v>
      </c>
      <c r="K297">
        <v>0.28472222222222232</v>
      </c>
      <c r="L297">
        <v>45695</v>
      </c>
      <c r="M297">
        <v>0.30738425925925927</v>
      </c>
      <c r="N297" t="s">
        <v>892</v>
      </c>
      <c r="O297"/>
      <c r="P297"/>
      <c r="Q297" t="s">
        <v>296</v>
      </c>
      <c r="R297" t="s">
        <v>203</v>
      </c>
      <c r="S297" t="s">
        <v>922</v>
      </c>
      <c r="T297" t="s">
        <v>952</v>
      </c>
      <c r="U297"/>
      <c r="V297"/>
      <c r="W297" t="s">
        <v>953</v>
      </c>
      <c r="X297" t="s">
        <v>954</v>
      </c>
      <c r="Y297" t="s">
        <v>300</v>
      </c>
      <c r="Z297" t="s">
        <v>65</v>
      </c>
      <c r="AA297"/>
      <c r="AB297"/>
      <c r="AC297"/>
      <c r="AD297"/>
      <c r="AE297" t="s">
        <v>913</v>
      </c>
      <c r="AF297" t="s">
        <v>67</v>
      </c>
      <c r="AG297" t="s">
        <v>301</v>
      </c>
      <c r="AH297" t="s">
        <v>121</v>
      </c>
      <c r="AI297" t="s">
        <v>180</v>
      </c>
      <c r="AJ297" t="s">
        <v>92</v>
      </c>
      <c r="AK297" t="s">
        <v>221</v>
      </c>
    </row>
    <row r="298" spans="1:37" x14ac:dyDescent="0.3">
      <c r="A298" t="s">
        <v>880</v>
      </c>
      <c r="B298" t="s">
        <v>870</v>
      </c>
      <c r="C298" s="2">
        <v>45764.926233148151</v>
      </c>
      <c r="D298" s="2">
        <v>45740.441157407404</v>
      </c>
      <c r="E298" s="2">
        <v>45740.915627662034</v>
      </c>
      <c r="F298" t="s">
        <v>871</v>
      </c>
      <c r="G298" t="s">
        <v>305</v>
      </c>
      <c r="H298">
        <v>45688</v>
      </c>
      <c r="I298">
        <v>0.5</v>
      </c>
      <c r="J298">
        <v>45695</v>
      </c>
      <c r="K298">
        <v>0.54166666666666674</v>
      </c>
      <c r="L298">
        <v>45696</v>
      </c>
      <c r="M298">
        <v>0.3903240740740741</v>
      </c>
      <c r="N298" t="s">
        <v>892</v>
      </c>
      <c r="O298"/>
      <c r="P298"/>
      <c r="Q298" t="s">
        <v>308</v>
      </c>
      <c r="R298" t="s">
        <v>250</v>
      </c>
      <c r="S298" t="s">
        <v>922</v>
      </c>
      <c r="T298" t="s">
        <v>955</v>
      </c>
      <c r="U298"/>
      <c r="V298"/>
      <c r="W298" t="s">
        <v>956</v>
      </c>
      <c r="X298"/>
      <c r="Y298" t="s">
        <v>230</v>
      </c>
      <c r="Z298" t="s">
        <v>935</v>
      </c>
      <c r="AA298"/>
      <c r="AB298"/>
      <c r="AC298"/>
      <c r="AD298"/>
      <c r="AE298" t="s">
        <v>913</v>
      </c>
      <c r="AF298" t="s">
        <v>67</v>
      </c>
      <c r="AG298" t="s">
        <v>205</v>
      </c>
      <c r="AH298" t="s">
        <v>206</v>
      </c>
      <c r="AI298" t="s">
        <v>106</v>
      </c>
      <c r="AJ298" t="s">
        <v>71</v>
      </c>
      <c r="AK298" t="s">
        <v>221</v>
      </c>
    </row>
    <row r="299" spans="1:37" x14ac:dyDescent="0.3">
      <c r="A299" t="s">
        <v>880</v>
      </c>
      <c r="B299" t="s">
        <v>870</v>
      </c>
      <c r="C299" s="2">
        <v>45764.926233148151</v>
      </c>
      <c r="D299" s="2">
        <v>45740.441157407404</v>
      </c>
      <c r="E299" s="2">
        <v>45740.915627662034</v>
      </c>
      <c r="F299" t="s">
        <v>871</v>
      </c>
      <c r="G299" t="s">
        <v>437</v>
      </c>
      <c r="H299">
        <v>45701</v>
      </c>
      <c r="I299">
        <v>8.3333333333333329E-2</v>
      </c>
      <c r="J299"/>
      <c r="K299"/>
      <c r="L299">
        <v>45701</v>
      </c>
      <c r="M299">
        <v>0.51225694444444447</v>
      </c>
      <c r="N299" t="s">
        <v>440</v>
      </c>
      <c r="O299" t="s">
        <v>957</v>
      </c>
      <c r="P299" t="s">
        <v>906</v>
      </c>
      <c r="Q299" t="s">
        <v>443</v>
      </c>
      <c r="R299" t="s">
        <v>191</v>
      </c>
      <c r="S299" t="s">
        <v>893</v>
      </c>
      <c r="T299" t="s">
        <v>958</v>
      </c>
      <c r="U299"/>
      <c r="V299"/>
      <c r="W299"/>
      <c r="X299"/>
      <c r="Y299"/>
      <c r="Z299"/>
      <c r="AA299"/>
      <c r="AB299"/>
      <c r="AC299"/>
      <c r="AD299"/>
      <c r="AE299" t="s">
        <v>959</v>
      </c>
      <c r="AF299" t="s">
        <v>67</v>
      </c>
      <c r="AG299" t="s">
        <v>120</v>
      </c>
      <c r="AH299" t="s">
        <v>121</v>
      </c>
      <c r="AI299" t="s">
        <v>378</v>
      </c>
      <c r="AJ299" t="s">
        <v>446</v>
      </c>
      <c r="AK299"/>
    </row>
    <row r="300" spans="1:37" x14ac:dyDescent="0.3">
      <c r="A300" t="s">
        <v>880</v>
      </c>
      <c r="B300" t="s">
        <v>870</v>
      </c>
      <c r="C300" s="2">
        <v>45764.926233148151</v>
      </c>
      <c r="D300" s="2">
        <v>45740.441157407404</v>
      </c>
      <c r="E300" s="2">
        <v>45740.915627662034</v>
      </c>
      <c r="F300" t="s">
        <v>871</v>
      </c>
      <c r="G300" t="s">
        <v>110</v>
      </c>
      <c r="H300">
        <v>45701</v>
      </c>
      <c r="I300">
        <v>0.66666666666666663</v>
      </c>
      <c r="J300"/>
      <c r="K300"/>
      <c r="L300">
        <v>45702</v>
      </c>
      <c r="M300">
        <v>0.29906250000000001</v>
      </c>
      <c r="N300" t="s">
        <v>902</v>
      </c>
      <c r="O300"/>
      <c r="P300"/>
      <c r="Q300" t="s">
        <v>113</v>
      </c>
      <c r="R300" t="s">
        <v>114</v>
      </c>
      <c r="S300" t="s">
        <v>936</v>
      </c>
      <c r="T300" t="s">
        <v>960</v>
      </c>
      <c r="U300"/>
      <c r="V300"/>
      <c r="W300" t="s">
        <v>116</v>
      </c>
      <c r="X300" t="s">
        <v>944</v>
      </c>
      <c r="Y300" t="s">
        <v>118</v>
      </c>
      <c r="Z300" t="s">
        <v>65</v>
      </c>
      <c r="AA300"/>
      <c r="AB300"/>
      <c r="AC300"/>
      <c r="AD300"/>
      <c r="AE300" t="s">
        <v>913</v>
      </c>
      <c r="AF300" t="s">
        <v>67</v>
      </c>
      <c r="AG300" t="s">
        <v>120</v>
      </c>
      <c r="AH300" t="s">
        <v>121</v>
      </c>
      <c r="AI300" t="s">
        <v>122</v>
      </c>
      <c r="AJ300" t="s">
        <v>71</v>
      </c>
      <c r="AK300" t="s">
        <v>72</v>
      </c>
    </row>
    <row r="301" spans="1:37" x14ac:dyDescent="0.3">
      <c r="A301" t="s">
        <v>880</v>
      </c>
      <c r="B301" t="s">
        <v>870</v>
      </c>
      <c r="C301" s="2">
        <v>45764.926233148151</v>
      </c>
      <c r="D301" s="2">
        <v>45740.441157407404</v>
      </c>
      <c r="E301" s="2">
        <v>45740.915627662034</v>
      </c>
      <c r="F301" t="s">
        <v>871</v>
      </c>
      <c r="G301" t="s">
        <v>313</v>
      </c>
      <c r="H301">
        <v>45705</v>
      </c>
      <c r="I301">
        <v>0.34877314814814814</v>
      </c>
      <c r="J301"/>
      <c r="K301"/>
      <c r="L301">
        <v>45705</v>
      </c>
      <c r="M301">
        <v>0.34877314814814819</v>
      </c>
      <c r="N301" t="s">
        <v>892</v>
      </c>
      <c r="O301" t="s">
        <v>317</v>
      </c>
      <c r="P301"/>
      <c r="Q301" t="s">
        <v>318</v>
      </c>
      <c r="R301" t="s">
        <v>134</v>
      </c>
      <c r="S301" t="s">
        <v>899</v>
      </c>
      <c r="T301" t="s">
        <v>961</v>
      </c>
      <c r="U301"/>
      <c r="V301"/>
      <c r="W301" t="s">
        <v>962</v>
      </c>
      <c r="X301" t="s">
        <v>896</v>
      </c>
      <c r="Y301" t="s">
        <v>218</v>
      </c>
      <c r="Z301" t="s">
        <v>65</v>
      </c>
      <c r="AA301"/>
      <c r="AB301"/>
      <c r="AC301"/>
      <c r="AD301"/>
      <c r="AE301" t="s">
        <v>904</v>
      </c>
      <c r="AF301" t="s">
        <v>67</v>
      </c>
      <c r="AG301" t="s">
        <v>68</v>
      </c>
      <c r="AH301" t="s">
        <v>69</v>
      </c>
      <c r="AI301" t="s">
        <v>122</v>
      </c>
      <c r="AJ301" t="s">
        <v>71</v>
      </c>
      <c r="AK301" t="s">
        <v>221</v>
      </c>
    </row>
    <row r="302" spans="1:37" x14ac:dyDescent="0.3">
      <c r="A302" t="s">
        <v>880</v>
      </c>
      <c r="B302" t="s">
        <v>870</v>
      </c>
      <c r="C302" s="2">
        <v>45764.926233148151</v>
      </c>
      <c r="D302" s="2">
        <v>45740.441157407404</v>
      </c>
      <c r="E302" s="2">
        <v>45740.915627662034</v>
      </c>
      <c r="F302" t="s">
        <v>871</v>
      </c>
      <c r="G302" t="s">
        <v>324</v>
      </c>
      <c r="H302">
        <v>45705</v>
      </c>
      <c r="I302">
        <v>0.39716435185185184</v>
      </c>
      <c r="J302"/>
      <c r="K302"/>
      <c r="L302">
        <v>45705</v>
      </c>
      <c r="M302">
        <v>0.39716435185185195</v>
      </c>
      <c r="N302" t="s">
        <v>892</v>
      </c>
      <c r="O302"/>
      <c r="P302"/>
      <c r="Q302" t="s">
        <v>326</v>
      </c>
      <c r="R302" t="s">
        <v>327</v>
      </c>
      <c r="S302" t="s">
        <v>899</v>
      </c>
      <c r="T302" t="s">
        <v>963</v>
      </c>
      <c r="U302"/>
      <c r="V302"/>
      <c r="W302" t="s">
        <v>964</v>
      </c>
      <c r="X302" t="s">
        <v>896</v>
      </c>
      <c r="Y302" t="s">
        <v>218</v>
      </c>
      <c r="Z302" t="s">
        <v>935</v>
      </c>
      <c r="AA302"/>
      <c r="AB302"/>
      <c r="AC302"/>
      <c r="AD302"/>
      <c r="AE302" t="s">
        <v>904</v>
      </c>
      <c r="AF302" t="s">
        <v>67</v>
      </c>
      <c r="AG302" t="s">
        <v>330</v>
      </c>
      <c r="AH302" t="s">
        <v>69</v>
      </c>
      <c r="AI302" t="s">
        <v>122</v>
      </c>
      <c r="AJ302" t="s">
        <v>71</v>
      </c>
      <c r="AK302" t="s">
        <v>221</v>
      </c>
    </row>
    <row r="303" spans="1:37" x14ac:dyDescent="0.3">
      <c r="A303" t="s">
        <v>880</v>
      </c>
      <c r="B303" t="s">
        <v>870</v>
      </c>
      <c r="C303" s="2">
        <v>45764.926233148151</v>
      </c>
      <c r="D303" s="2">
        <v>45740.441157407404</v>
      </c>
      <c r="E303" s="2">
        <v>45740.915627662034</v>
      </c>
      <c r="F303" t="s">
        <v>871</v>
      </c>
      <c r="G303" t="s">
        <v>173</v>
      </c>
      <c r="H303">
        <v>45705</v>
      </c>
      <c r="I303">
        <v>0.52497685185185183</v>
      </c>
      <c r="J303"/>
      <c r="K303"/>
      <c r="L303">
        <v>45705</v>
      </c>
      <c r="M303">
        <v>0.52497685185185183</v>
      </c>
      <c r="N303" t="s">
        <v>950</v>
      </c>
      <c r="O303" t="s">
        <v>176</v>
      </c>
      <c r="P303"/>
      <c r="Q303" t="s">
        <v>177</v>
      </c>
      <c r="R303" t="s">
        <v>178</v>
      </c>
      <c r="S303" t="s">
        <v>893</v>
      </c>
      <c r="T303" t="s">
        <v>965</v>
      </c>
      <c r="U303"/>
      <c r="V303"/>
      <c r="W303"/>
      <c r="X303"/>
      <c r="Y303"/>
      <c r="Z303"/>
      <c r="AA303"/>
      <c r="AB303"/>
      <c r="AC303"/>
      <c r="AD303"/>
      <c r="AE303" t="s">
        <v>904</v>
      </c>
      <c r="AF303" t="s">
        <v>67</v>
      </c>
      <c r="AG303" t="s">
        <v>68</v>
      </c>
      <c r="AH303" t="s">
        <v>69</v>
      </c>
      <c r="AI303" t="s">
        <v>180</v>
      </c>
      <c r="AJ303" t="s">
        <v>71</v>
      </c>
      <c r="AK303" t="s">
        <v>137</v>
      </c>
    </row>
    <row r="304" spans="1:37" x14ac:dyDescent="0.3">
      <c r="A304" t="s">
        <v>880</v>
      </c>
      <c r="B304" t="s">
        <v>870</v>
      </c>
      <c r="C304" s="2">
        <v>45764.926233148151</v>
      </c>
      <c r="D304" s="2">
        <v>45740.441157407404</v>
      </c>
      <c r="E304" s="2">
        <v>45740.915627662034</v>
      </c>
      <c r="F304" t="s">
        <v>871</v>
      </c>
      <c r="G304" t="s">
        <v>420</v>
      </c>
      <c r="H304">
        <v>45705</v>
      </c>
      <c r="I304">
        <v>0.83333333333333337</v>
      </c>
      <c r="J304">
        <v>45705</v>
      </c>
      <c r="K304">
        <v>0.98958333333333326</v>
      </c>
      <c r="L304">
        <v>45706</v>
      </c>
      <c r="M304">
        <v>0.73564814814814805</v>
      </c>
      <c r="N304" t="s">
        <v>423</v>
      </c>
      <c r="O304" t="s">
        <v>925</v>
      </c>
      <c r="P304"/>
      <c r="Q304" t="s">
        <v>425</v>
      </c>
      <c r="R304" t="s">
        <v>426</v>
      </c>
      <c r="S304" t="s">
        <v>907</v>
      </c>
      <c r="T304" t="s">
        <v>966</v>
      </c>
      <c r="U304"/>
      <c r="V304"/>
      <c r="W304"/>
      <c r="X304"/>
      <c r="Y304"/>
      <c r="Z304"/>
      <c r="AA304"/>
      <c r="AB304"/>
      <c r="AC304"/>
      <c r="AD304"/>
      <c r="AE304" t="s">
        <v>927</v>
      </c>
      <c r="AF304" t="s">
        <v>67</v>
      </c>
      <c r="AG304" t="s">
        <v>106</v>
      </c>
      <c r="AH304" t="s">
        <v>417</v>
      </c>
      <c r="AI304" t="s">
        <v>106</v>
      </c>
      <c r="AJ304" t="s">
        <v>266</v>
      </c>
      <c r="AK304"/>
    </row>
    <row r="305" spans="1:37" x14ac:dyDescent="0.3">
      <c r="A305" t="s">
        <v>880</v>
      </c>
      <c r="B305" t="s">
        <v>870</v>
      </c>
      <c r="C305" s="2">
        <v>45764.926233148151</v>
      </c>
      <c r="D305" s="2">
        <v>45740.441157407404</v>
      </c>
      <c r="E305" s="2">
        <v>45740.915627662034</v>
      </c>
      <c r="F305" t="s">
        <v>871</v>
      </c>
      <c r="G305" t="s">
        <v>429</v>
      </c>
      <c r="H305">
        <v>42906</v>
      </c>
      <c r="I305">
        <v>0.53615740740740736</v>
      </c>
      <c r="J305">
        <v>45555</v>
      </c>
      <c r="K305"/>
      <c r="L305">
        <v>45708</v>
      </c>
      <c r="M305">
        <v>0.53615740740740736</v>
      </c>
      <c r="N305" t="s">
        <v>925</v>
      </c>
      <c r="O305"/>
      <c r="P305"/>
      <c r="Q305" t="s">
        <v>432</v>
      </c>
      <c r="R305" t="s">
        <v>101</v>
      </c>
      <c r="S305" t="s">
        <v>907</v>
      </c>
      <c r="T305" t="s">
        <v>974</v>
      </c>
      <c r="U305"/>
      <c r="V305"/>
      <c r="W305"/>
      <c r="X305"/>
      <c r="Y305"/>
      <c r="Z305"/>
      <c r="AA305"/>
      <c r="AB305"/>
      <c r="AC305"/>
      <c r="AD305"/>
      <c r="AE305" t="s">
        <v>904</v>
      </c>
      <c r="AF305" t="s">
        <v>67</v>
      </c>
      <c r="AG305" t="s">
        <v>434</v>
      </c>
      <c r="AH305" t="s">
        <v>69</v>
      </c>
      <c r="AI305" t="s">
        <v>352</v>
      </c>
      <c r="AJ305" t="s">
        <v>435</v>
      </c>
      <c r="AK305" t="s">
        <v>436</v>
      </c>
    </row>
    <row r="306" spans="1:37" x14ac:dyDescent="0.3">
      <c r="A306" t="s">
        <v>880</v>
      </c>
      <c r="B306" t="s">
        <v>870</v>
      </c>
      <c r="C306" s="2">
        <v>45764.926233148151</v>
      </c>
      <c r="D306" s="2">
        <v>45740.441157407404</v>
      </c>
      <c r="E306" s="2">
        <v>45740.915627662034</v>
      </c>
      <c r="F306" t="s">
        <v>871</v>
      </c>
      <c r="G306" t="s">
        <v>332</v>
      </c>
      <c r="H306">
        <v>45713</v>
      </c>
      <c r="I306">
        <v>0.41666666666666669</v>
      </c>
      <c r="J306">
        <v>45713</v>
      </c>
      <c r="K306">
        <v>0.95833333333333326</v>
      </c>
      <c r="L306">
        <v>45712</v>
      </c>
      <c r="M306">
        <v>0.9913657407407408</v>
      </c>
      <c r="N306" t="s">
        <v>892</v>
      </c>
      <c r="O306"/>
      <c r="P306"/>
      <c r="Q306" t="s">
        <v>335</v>
      </c>
      <c r="R306" t="s">
        <v>250</v>
      </c>
      <c r="S306" t="s">
        <v>922</v>
      </c>
      <c r="T306" t="s">
        <v>973</v>
      </c>
      <c r="U306"/>
      <c r="V306"/>
      <c r="W306" t="s">
        <v>337</v>
      </c>
      <c r="X306" t="s">
        <v>896</v>
      </c>
      <c r="Y306" t="s">
        <v>338</v>
      </c>
      <c r="Z306" t="s">
        <v>339</v>
      </c>
      <c r="AA306"/>
      <c r="AB306"/>
      <c r="AC306"/>
      <c r="AD306"/>
      <c r="AE306" t="s">
        <v>897</v>
      </c>
      <c r="AF306" t="s">
        <v>67</v>
      </c>
      <c r="AG306" t="s">
        <v>158</v>
      </c>
      <c r="AH306" t="s">
        <v>159</v>
      </c>
      <c r="AI306" t="s">
        <v>160</v>
      </c>
      <c r="AJ306" t="s">
        <v>975</v>
      </c>
      <c r="AK306" t="s">
        <v>221</v>
      </c>
    </row>
    <row r="307" spans="1:37" x14ac:dyDescent="0.3">
      <c r="A307" t="s">
        <v>880</v>
      </c>
      <c r="B307" t="s">
        <v>870</v>
      </c>
      <c r="C307" s="2">
        <v>45764.926233148151</v>
      </c>
      <c r="D307" s="2">
        <v>45740.441157407404</v>
      </c>
      <c r="E307" s="2">
        <v>45740.915627662034</v>
      </c>
      <c r="F307" t="s">
        <v>871</v>
      </c>
      <c r="G307" t="s">
        <v>492</v>
      </c>
      <c r="H307">
        <v>45720</v>
      </c>
      <c r="I307">
        <v>0.64097222222222228</v>
      </c>
      <c r="J307"/>
      <c r="K307"/>
      <c r="L307">
        <v>45720</v>
      </c>
      <c r="M307">
        <v>0.64444444444444438</v>
      </c>
      <c r="N307" t="s">
        <v>906</v>
      </c>
      <c r="O307" t="s">
        <v>976</v>
      </c>
      <c r="P307" t="s">
        <v>344</v>
      </c>
      <c r="Q307" t="s">
        <v>497</v>
      </c>
      <c r="R307" t="s">
        <v>84</v>
      </c>
      <c r="S307" t="s">
        <v>907</v>
      </c>
      <c r="T307" t="s">
        <v>977</v>
      </c>
      <c r="U307"/>
      <c r="V307"/>
      <c r="W307" t="s">
        <v>499</v>
      </c>
      <c r="X307" t="s">
        <v>500</v>
      </c>
      <c r="Y307" t="s">
        <v>501</v>
      </c>
      <c r="Z307" t="s">
        <v>65</v>
      </c>
      <c r="AA307"/>
      <c r="AB307"/>
      <c r="AC307"/>
      <c r="AD307"/>
      <c r="AE307" t="s">
        <v>978</v>
      </c>
      <c r="AF307" t="s">
        <v>67</v>
      </c>
      <c r="AG307" t="s">
        <v>502</v>
      </c>
      <c r="AH307" t="s">
        <v>159</v>
      </c>
      <c r="AI307" t="s">
        <v>378</v>
      </c>
      <c r="AJ307" t="s">
        <v>195</v>
      </c>
      <c r="AK307" t="s">
        <v>353</v>
      </c>
    </row>
    <row r="308" spans="1:37" x14ac:dyDescent="0.3">
      <c r="A308" t="s">
        <v>880</v>
      </c>
      <c r="B308" t="s">
        <v>870</v>
      </c>
      <c r="C308" s="2">
        <v>45764.926233148151</v>
      </c>
      <c r="D308" s="2">
        <v>45740.441157407404</v>
      </c>
      <c r="E308" s="2">
        <v>45740.915627662034</v>
      </c>
      <c r="F308" t="s">
        <v>871</v>
      </c>
      <c r="G308" t="s">
        <v>484</v>
      </c>
      <c r="H308">
        <v>45720</v>
      </c>
      <c r="I308">
        <v>0.79126157407407405</v>
      </c>
      <c r="J308"/>
      <c r="K308"/>
      <c r="L308">
        <v>45720</v>
      </c>
      <c r="M308">
        <v>0.79126157407407405</v>
      </c>
      <c r="N308" t="s">
        <v>906</v>
      </c>
      <c r="O308"/>
      <c r="P308"/>
      <c r="Q308" t="s">
        <v>487</v>
      </c>
      <c r="R308" t="s">
        <v>261</v>
      </c>
      <c r="S308" t="s">
        <v>936</v>
      </c>
      <c r="T308" t="s">
        <v>979</v>
      </c>
      <c r="U308"/>
      <c r="V308"/>
      <c r="W308"/>
      <c r="X308"/>
      <c r="Y308"/>
      <c r="Z308"/>
      <c r="AA308"/>
      <c r="AB308"/>
      <c r="AC308"/>
      <c r="AD308"/>
      <c r="AE308" t="s">
        <v>978</v>
      </c>
      <c r="AF308" t="s">
        <v>67</v>
      </c>
      <c r="AG308" t="s">
        <v>489</v>
      </c>
      <c r="AH308" t="s">
        <v>206</v>
      </c>
      <c r="AI308" t="s">
        <v>70</v>
      </c>
      <c r="AJ308" t="s">
        <v>195</v>
      </c>
      <c r="AK308" t="s">
        <v>353</v>
      </c>
    </row>
    <row r="309" spans="1:37" x14ac:dyDescent="0.3">
      <c r="A309" t="s">
        <v>880</v>
      </c>
      <c r="B309" t="s">
        <v>870</v>
      </c>
      <c r="C309" s="2">
        <v>45764.926233148151</v>
      </c>
      <c r="D309" s="2">
        <v>45740.441157407404</v>
      </c>
      <c r="E309" s="2">
        <v>45740.915627662034</v>
      </c>
      <c r="F309" t="s">
        <v>871</v>
      </c>
      <c r="G309" t="s">
        <v>460</v>
      </c>
      <c r="H309">
        <v>45722</v>
      </c>
      <c r="I309">
        <v>0.94149305555555551</v>
      </c>
      <c r="J309"/>
      <c r="K309"/>
      <c r="L309">
        <v>45722</v>
      </c>
      <c r="M309">
        <v>0.94149305555555562</v>
      </c>
      <c r="N309" t="s">
        <v>902</v>
      </c>
      <c r="O309"/>
      <c r="P309"/>
      <c r="Q309" t="s">
        <v>464</v>
      </c>
      <c r="R309" t="s">
        <v>84</v>
      </c>
      <c r="S309" t="s">
        <v>907</v>
      </c>
      <c r="T309" t="s">
        <v>980</v>
      </c>
      <c r="U309"/>
      <c r="V309"/>
      <c r="W309" t="s">
        <v>466</v>
      </c>
      <c r="X309" t="s">
        <v>944</v>
      </c>
      <c r="Y309" t="s">
        <v>467</v>
      </c>
      <c r="Z309" t="s">
        <v>65</v>
      </c>
      <c r="AA309"/>
      <c r="AB309"/>
      <c r="AC309"/>
      <c r="AD309"/>
      <c r="AE309" t="s">
        <v>981</v>
      </c>
      <c r="AF309" t="s">
        <v>67</v>
      </c>
      <c r="AG309" t="s">
        <v>68</v>
      </c>
      <c r="AH309" t="s">
        <v>69</v>
      </c>
      <c r="AI309" t="s">
        <v>160</v>
      </c>
      <c r="AJ309" t="s">
        <v>123</v>
      </c>
      <c r="AK309" t="s">
        <v>72</v>
      </c>
    </row>
    <row r="310" spans="1:37" x14ac:dyDescent="0.3">
      <c r="A310" t="s">
        <v>880</v>
      </c>
      <c r="B310" t="s">
        <v>870</v>
      </c>
      <c r="C310" s="2">
        <v>45764.926233148151</v>
      </c>
      <c r="D310" s="2">
        <v>45740.441157407404</v>
      </c>
      <c r="E310" s="2">
        <v>45740.915627662034</v>
      </c>
      <c r="F310" t="s">
        <v>871</v>
      </c>
      <c r="G310" t="s">
        <v>472</v>
      </c>
      <c r="H310">
        <v>45725</v>
      </c>
      <c r="I310">
        <v>0.8125</v>
      </c>
      <c r="J310">
        <v>45726</v>
      </c>
      <c r="K310">
        <v>0.35416666666666674</v>
      </c>
      <c r="L310">
        <v>45726</v>
      </c>
      <c r="M310">
        <v>0.37046296296296299</v>
      </c>
      <c r="N310" t="s">
        <v>902</v>
      </c>
      <c r="O310"/>
      <c r="P310"/>
      <c r="Q310" t="s">
        <v>475</v>
      </c>
      <c r="R310" t="s">
        <v>134</v>
      </c>
      <c r="S310" t="s">
        <v>899</v>
      </c>
      <c r="T310" t="s">
        <v>982</v>
      </c>
      <c r="U310"/>
      <c r="V310"/>
      <c r="W310" t="s">
        <v>477</v>
      </c>
      <c r="X310" t="s">
        <v>478</v>
      </c>
      <c r="Y310" t="s">
        <v>479</v>
      </c>
      <c r="Z310" t="s">
        <v>65</v>
      </c>
      <c r="AA310"/>
      <c r="AB310"/>
      <c r="AC310"/>
      <c r="AD310"/>
      <c r="AE310" t="s">
        <v>897</v>
      </c>
      <c r="AF310" t="s">
        <v>67</v>
      </c>
      <c r="AG310" t="s">
        <v>480</v>
      </c>
      <c r="AH310" t="s">
        <v>351</v>
      </c>
      <c r="AI310" t="s">
        <v>122</v>
      </c>
      <c r="AJ310" t="s">
        <v>71</v>
      </c>
      <c r="AK310" t="s">
        <v>72</v>
      </c>
    </row>
    <row r="311" spans="1:37" x14ac:dyDescent="0.3">
      <c r="A311" t="s">
        <v>880</v>
      </c>
      <c r="B311" t="s">
        <v>870</v>
      </c>
      <c r="C311" s="2">
        <v>45764.926233148151</v>
      </c>
      <c r="D311" s="2">
        <v>45740.441157407404</v>
      </c>
      <c r="E311" s="2">
        <v>45740.915627662034</v>
      </c>
      <c r="F311" t="s">
        <v>871</v>
      </c>
      <c r="G311" t="s">
        <v>529</v>
      </c>
      <c r="H311">
        <v>45726</v>
      </c>
      <c r="I311">
        <v>4.6527777777777779E-2</v>
      </c>
      <c r="J311">
        <v>45726</v>
      </c>
      <c r="K311">
        <v>0.16180555555555554</v>
      </c>
      <c r="L311">
        <v>45727</v>
      </c>
      <c r="M311">
        <v>0.44234953703703694</v>
      </c>
      <c r="N311" t="s">
        <v>915</v>
      </c>
      <c r="O311"/>
      <c r="P311"/>
      <c r="Q311" t="s">
        <v>532</v>
      </c>
      <c r="R311" t="s">
        <v>283</v>
      </c>
      <c r="S311" t="s">
        <v>907</v>
      </c>
      <c r="T311" t="s">
        <v>983</v>
      </c>
      <c r="U311"/>
      <c r="V311"/>
      <c r="W311"/>
      <c r="X311"/>
      <c r="Y311"/>
      <c r="Z311"/>
      <c r="AA311"/>
      <c r="AB311"/>
      <c r="AC311"/>
      <c r="AD311"/>
      <c r="AE311" t="s">
        <v>984</v>
      </c>
      <c r="AF311" t="s">
        <v>67</v>
      </c>
      <c r="AG311" t="s">
        <v>219</v>
      </c>
      <c r="AH311" t="s">
        <v>159</v>
      </c>
      <c r="AI311" t="s">
        <v>106</v>
      </c>
      <c r="AJ311" t="s">
        <v>123</v>
      </c>
      <c r="AK311" t="s">
        <v>137</v>
      </c>
    </row>
    <row r="312" spans="1:37" x14ac:dyDescent="0.3">
      <c r="A312" t="s">
        <v>880</v>
      </c>
      <c r="B312" t="s">
        <v>870</v>
      </c>
      <c r="C312" s="2">
        <v>45764.926233148151</v>
      </c>
      <c r="D312" s="2">
        <v>45740.441157407404</v>
      </c>
      <c r="E312" s="2">
        <v>45740.915627662034</v>
      </c>
      <c r="F312" t="s">
        <v>871</v>
      </c>
      <c r="G312" t="s">
        <v>516</v>
      </c>
      <c r="H312">
        <v>45727</v>
      </c>
      <c r="I312">
        <v>0.60416666666666663</v>
      </c>
      <c r="J312"/>
      <c r="K312"/>
      <c r="L312">
        <v>45727</v>
      </c>
      <c r="M312">
        <v>0.6903935185185186</v>
      </c>
      <c r="N312" t="s">
        <v>902</v>
      </c>
      <c r="O312"/>
      <c r="P312"/>
      <c r="Q312" t="s">
        <v>519</v>
      </c>
      <c r="R312" t="s">
        <v>84</v>
      </c>
      <c r="S312" t="s">
        <v>907</v>
      </c>
      <c r="T312" t="s">
        <v>985</v>
      </c>
      <c r="U312"/>
      <c r="V312"/>
      <c r="W312" t="s">
        <v>521</v>
      </c>
      <c r="X312" t="s">
        <v>986</v>
      </c>
      <c r="Y312" t="s">
        <v>523</v>
      </c>
      <c r="Z312" t="s">
        <v>65</v>
      </c>
      <c r="AA312"/>
      <c r="AB312"/>
      <c r="AC312"/>
      <c r="AD312"/>
      <c r="AE312" t="s">
        <v>927</v>
      </c>
      <c r="AF312" t="s">
        <v>67</v>
      </c>
      <c r="AG312" t="s">
        <v>158</v>
      </c>
      <c r="AH312" t="s">
        <v>159</v>
      </c>
      <c r="AI312" t="s">
        <v>524</v>
      </c>
      <c r="AJ312" t="s">
        <v>71</v>
      </c>
      <c r="AK312" t="s">
        <v>72</v>
      </c>
    </row>
    <row r="313" spans="1:37" x14ac:dyDescent="0.3">
      <c r="A313" t="s">
        <v>880</v>
      </c>
      <c r="B313" t="s">
        <v>870</v>
      </c>
      <c r="C313" s="2">
        <v>45764.926233148151</v>
      </c>
      <c r="D313" s="2">
        <v>45740.441157407404</v>
      </c>
      <c r="E313" s="2">
        <v>45740.915627662034</v>
      </c>
      <c r="F313" t="s">
        <v>871</v>
      </c>
      <c r="G313" t="s">
        <v>537</v>
      </c>
      <c r="H313"/>
      <c r="I313"/>
      <c r="J313">
        <v>45734</v>
      </c>
      <c r="K313">
        <v>0.22916666666666674</v>
      </c>
      <c r="L313">
        <v>45734</v>
      </c>
      <c r="M313">
        <v>0.27405092592592584</v>
      </c>
      <c r="N313" t="s">
        <v>440</v>
      </c>
      <c r="O313" t="s">
        <v>915</v>
      </c>
      <c r="P313"/>
      <c r="Q313" t="s">
        <v>540</v>
      </c>
      <c r="R313" t="s">
        <v>363</v>
      </c>
      <c r="S313" t="s">
        <v>893</v>
      </c>
      <c r="T313" t="s">
        <v>987</v>
      </c>
      <c r="U313"/>
      <c r="V313"/>
      <c r="W313" t="s">
        <v>988</v>
      </c>
      <c r="X313" t="s">
        <v>543</v>
      </c>
      <c r="Y313" t="s">
        <v>544</v>
      </c>
      <c r="Z313" t="s">
        <v>65</v>
      </c>
      <c r="AA313"/>
      <c r="AB313"/>
      <c r="AC313"/>
      <c r="AD313"/>
      <c r="AE313"/>
      <c r="AF313" t="s">
        <v>67</v>
      </c>
      <c r="AG313" t="s">
        <v>545</v>
      </c>
      <c r="AH313" t="s">
        <v>546</v>
      </c>
      <c r="AI313"/>
      <c r="AJ313"/>
      <c r="AK313"/>
    </row>
    <row r="314" spans="1:37" x14ac:dyDescent="0.3">
      <c r="A314" t="s">
        <v>880</v>
      </c>
      <c r="B314" t="s">
        <v>870</v>
      </c>
      <c r="C314" s="2">
        <v>45764.926233148151</v>
      </c>
      <c r="D314" s="2">
        <v>45740.441157407404</v>
      </c>
      <c r="E314" s="2">
        <v>45740.915627662034</v>
      </c>
      <c r="F314" t="s">
        <v>871</v>
      </c>
      <c r="G314" t="s">
        <v>549</v>
      </c>
      <c r="H314">
        <v>45737</v>
      </c>
      <c r="I314">
        <v>0.32500000000000001</v>
      </c>
      <c r="J314"/>
      <c r="K314"/>
      <c r="L314">
        <v>45737</v>
      </c>
      <c r="M314">
        <v>0.5971412037037036</v>
      </c>
      <c r="N314" t="s">
        <v>892</v>
      </c>
      <c r="O314"/>
      <c r="P314"/>
      <c r="Q314" t="s">
        <v>552</v>
      </c>
      <c r="R314" t="s">
        <v>261</v>
      </c>
      <c r="S314" t="s">
        <v>936</v>
      </c>
      <c r="T314" t="s">
        <v>989</v>
      </c>
      <c r="U314"/>
      <c r="V314"/>
      <c r="W314" t="s">
        <v>554</v>
      </c>
      <c r="X314" t="s">
        <v>990</v>
      </c>
      <c r="Y314"/>
      <c r="Z314" t="s">
        <v>65</v>
      </c>
      <c r="AA314"/>
      <c r="AB314"/>
      <c r="AC314"/>
      <c r="AD314"/>
      <c r="AE314" t="s">
        <v>981</v>
      </c>
      <c r="AF314" t="s">
        <v>67</v>
      </c>
      <c r="AG314" t="s">
        <v>147</v>
      </c>
      <c r="AH314" t="s">
        <v>90</v>
      </c>
      <c r="AI314" t="s">
        <v>180</v>
      </c>
      <c r="AJ314" t="s">
        <v>181</v>
      </c>
      <c r="AK314"/>
    </row>
    <row r="315" spans="1:37" x14ac:dyDescent="0.3">
      <c r="A315" t="s">
        <v>880</v>
      </c>
      <c r="B315" t="s">
        <v>870</v>
      </c>
      <c r="C315" s="2">
        <v>45764.926233148151</v>
      </c>
      <c r="D315" s="2">
        <v>45740.441157407404</v>
      </c>
      <c r="E315" s="2">
        <v>45740.915627662034</v>
      </c>
      <c r="F315" t="s">
        <v>871</v>
      </c>
      <c r="G315" t="s">
        <v>559</v>
      </c>
      <c r="H315">
        <v>45739</v>
      </c>
      <c r="I315">
        <v>0.1736111111111111</v>
      </c>
      <c r="J315">
        <v>45739</v>
      </c>
      <c r="K315">
        <v>0.18055555555555558</v>
      </c>
      <c r="L315">
        <v>45739</v>
      </c>
      <c r="M315">
        <v>0.20511574074074068</v>
      </c>
      <c r="N315" t="s">
        <v>902</v>
      </c>
      <c r="O315" t="s">
        <v>991</v>
      </c>
      <c r="P315"/>
      <c r="Q315" t="s">
        <v>564</v>
      </c>
      <c r="R315" t="s">
        <v>250</v>
      </c>
      <c r="S315" t="s">
        <v>922</v>
      </c>
      <c r="T315" t="s">
        <v>992</v>
      </c>
      <c r="U315"/>
      <c r="V315"/>
      <c r="W315" t="s">
        <v>993</v>
      </c>
      <c r="X315" t="s">
        <v>944</v>
      </c>
      <c r="Y315" t="s">
        <v>567</v>
      </c>
      <c r="Z315" t="s">
        <v>65</v>
      </c>
      <c r="AA315"/>
      <c r="AB315"/>
      <c r="AC315"/>
      <c r="AD315"/>
      <c r="AE315" t="s">
        <v>994</v>
      </c>
      <c r="AF315" t="s">
        <v>67</v>
      </c>
      <c r="AG315" t="s">
        <v>105</v>
      </c>
      <c r="AH315" t="s">
        <v>69</v>
      </c>
      <c r="AI315" t="s">
        <v>122</v>
      </c>
      <c r="AJ315" t="s">
        <v>123</v>
      </c>
      <c r="AK315"/>
    </row>
    <row r="316" spans="1:37" x14ac:dyDescent="0.3">
      <c r="A316" t="s">
        <v>881</v>
      </c>
      <c r="B316" t="s">
        <v>870</v>
      </c>
      <c r="C316" s="2">
        <v>45764.926233182872</v>
      </c>
      <c r="D316" s="2">
        <v>45747.434178240743</v>
      </c>
      <c r="E316" s="2">
        <v>45748.009226284725</v>
      </c>
      <c r="F316" t="s">
        <v>871</v>
      </c>
      <c r="G316" t="s">
        <v>210</v>
      </c>
      <c r="H316">
        <v>45660</v>
      </c>
      <c r="I316">
        <v>0.89583333333333337</v>
      </c>
      <c r="J316">
        <v>45661</v>
      </c>
      <c r="K316">
        <v>0.26736111111111116</v>
      </c>
      <c r="L316">
        <v>45661</v>
      </c>
      <c r="M316">
        <v>0.4577430555555555</v>
      </c>
      <c r="N316" t="s">
        <v>892</v>
      </c>
      <c r="O316"/>
      <c r="P316"/>
      <c r="Q316" t="s">
        <v>214</v>
      </c>
      <c r="R316" t="s">
        <v>215</v>
      </c>
      <c r="S316" t="s">
        <v>893</v>
      </c>
      <c r="T316" t="s">
        <v>894</v>
      </c>
      <c r="U316"/>
      <c r="V316"/>
      <c r="W316" t="s">
        <v>895</v>
      </c>
      <c r="X316" t="s">
        <v>896</v>
      </c>
      <c r="Y316" t="s">
        <v>218</v>
      </c>
      <c r="Z316" t="s">
        <v>65</v>
      </c>
      <c r="AA316"/>
      <c r="AB316"/>
      <c r="AC316"/>
      <c r="AD316"/>
      <c r="AE316" t="s">
        <v>897</v>
      </c>
      <c r="AF316" t="s">
        <v>67</v>
      </c>
      <c r="AG316" t="s">
        <v>219</v>
      </c>
      <c r="AH316" t="s">
        <v>206</v>
      </c>
      <c r="AI316" t="s">
        <v>220</v>
      </c>
      <c r="AJ316" t="s">
        <v>71</v>
      </c>
      <c r="AK316" t="s">
        <v>221</v>
      </c>
    </row>
    <row r="317" spans="1:37" x14ac:dyDescent="0.3">
      <c r="A317" t="s">
        <v>881</v>
      </c>
      <c r="B317" t="s">
        <v>870</v>
      </c>
      <c r="C317" s="2">
        <v>45764.926233182872</v>
      </c>
      <c r="D317" s="2">
        <v>45747.434178240743</v>
      </c>
      <c r="E317" s="2">
        <v>45748.009226284725</v>
      </c>
      <c r="F317" t="s">
        <v>871</v>
      </c>
      <c r="G317" t="s">
        <v>395</v>
      </c>
      <c r="H317">
        <v>45664</v>
      </c>
      <c r="I317">
        <v>0.58333333333333337</v>
      </c>
      <c r="J317"/>
      <c r="K317"/>
      <c r="L317">
        <v>45667</v>
      </c>
      <c r="M317">
        <v>0.59781250000000008</v>
      </c>
      <c r="N317" t="s">
        <v>898</v>
      </c>
      <c r="O317" t="s">
        <v>400</v>
      </c>
      <c r="P317"/>
      <c r="Q317" t="s">
        <v>401</v>
      </c>
      <c r="R317" t="s">
        <v>134</v>
      </c>
      <c r="S317" t="s">
        <v>899</v>
      </c>
      <c r="T317" t="s">
        <v>900</v>
      </c>
      <c r="U317"/>
      <c r="V317"/>
      <c r="W317"/>
      <c r="X317"/>
      <c r="Y317"/>
      <c r="Z317"/>
      <c r="AA317"/>
      <c r="AB317"/>
      <c r="AC317"/>
      <c r="AD317"/>
      <c r="AE317" t="s">
        <v>901</v>
      </c>
      <c r="AF317" t="s">
        <v>67</v>
      </c>
      <c r="AG317" t="s">
        <v>404</v>
      </c>
      <c r="AH317" t="s">
        <v>405</v>
      </c>
      <c r="AI317" t="s">
        <v>406</v>
      </c>
      <c r="AJ317" t="s">
        <v>71</v>
      </c>
      <c r="AK317" t="s">
        <v>407</v>
      </c>
    </row>
    <row r="318" spans="1:37" x14ac:dyDescent="0.3">
      <c r="A318" t="s">
        <v>881</v>
      </c>
      <c r="B318" t="s">
        <v>870</v>
      </c>
      <c r="C318" s="2">
        <v>45764.926233182872</v>
      </c>
      <c r="D318" s="2">
        <v>45747.434178240743</v>
      </c>
      <c r="E318" s="2">
        <v>45748.009226284725</v>
      </c>
      <c r="F318" t="s">
        <v>871</v>
      </c>
      <c r="G318" t="s">
        <v>53</v>
      </c>
      <c r="H318">
        <v>45663</v>
      </c>
      <c r="I318">
        <v>0.64583333333333337</v>
      </c>
      <c r="J318">
        <v>45667</v>
      </c>
      <c r="K318"/>
      <c r="L318">
        <v>45667</v>
      </c>
      <c r="M318">
        <v>0.82629629629629631</v>
      </c>
      <c r="N318" t="s">
        <v>902</v>
      </c>
      <c r="O318"/>
      <c r="P318"/>
      <c r="Q318" t="s">
        <v>60</v>
      </c>
      <c r="R318"/>
      <c r="S318" t="s">
        <v>899</v>
      </c>
      <c r="T318" t="s">
        <v>903</v>
      </c>
      <c r="U318"/>
      <c r="V318"/>
      <c r="W318" t="s">
        <v>62</v>
      </c>
      <c r="X318" t="s">
        <v>896</v>
      </c>
      <c r="Y318" t="s">
        <v>64</v>
      </c>
      <c r="Z318" t="s">
        <v>65</v>
      </c>
      <c r="AA318"/>
      <c r="AB318"/>
      <c r="AC318"/>
      <c r="AD318"/>
      <c r="AE318" t="s">
        <v>904</v>
      </c>
      <c r="AF318" t="s">
        <v>67</v>
      </c>
      <c r="AG318" t="s">
        <v>68</v>
      </c>
      <c r="AH318" t="s">
        <v>69</v>
      </c>
      <c r="AI318" t="s">
        <v>70</v>
      </c>
      <c r="AJ318" t="s">
        <v>123</v>
      </c>
      <c r="AK318" t="s">
        <v>72</v>
      </c>
    </row>
    <row r="319" spans="1:37" x14ac:dyDescent="0.3">
      <c r="A319" t="s">
        <v>881</v>
      </c>
      <c r="B319" t="s">
        <v>870</v>
      </c>
      <c r="C319" s="2">
        <v>45764.926233182872</v>
      </c>
      <c r="D319" s="2">
        <v>45747.434178240743</v>
      </c>
      <c r="E319" s="2">
        <v>45748.009226284725</v>
      </c>
      <c r="F319" t="s">
        <v>871</v>
      </c>
      <c r="G319" t="s">
        <v>341</v>
      </c>
      <c r="H319">
        <v>45670</v>
      </c>
      <c r="I319">
        <v>0.50347222222222221</v>
      </c>
      <c r="J319"/>
      <c r="K319"/>
      <c r="L319">
        <v>45670</v>
      </c>
      <c r="M319">
        <v>0.50537037037037047</v>
      </c>
      <c r="N319" t="s">
        <v>344</v>
      </c>
      <c r="O319" t="s">
        <v>905</v>
      </c>
      <c r="P319" t="s">
        <v>906</v>
      </c>
      <c r="Q319" t="s">
        <v>348</v>
      </c>
      <c r="R319" t="s">
        <v>84</v>
      </c>
      <c r="S319" t="s">
        <v>907</v>
      </c>
      <c r="T319" t="s">
        <v>908</v>
      </c>
      <c r="U319"/>
      <c r="V319"/>
      <c r="W319"/>
      <c r="X319"/>
      <c r="Y319"/>
      <c r="Z319"/>
      <c r="AA319"/>
      <c r="AB319"/>
      <c r="AC319"/>
      <c r="AD319"/>
      <c r="AE319" t="s">
        <v>897</v>
      </c>
      <c r="AF319" t="s">
        <v>67</v>
      </c>
      <c r="AG319" t="s">
        <v>350</v>
      </c>
      <c r="AH319" t="s">
        <v>351</v>
      </c>
      <c r="AI319" t="s">
        <v>352</v>
      </c>
      <c r="AJ319" t="s">
        <v>123</v>
      </c>
      <c r="AK319" t="s">
        <v>353</v>
      </c>
    </row>
    <row r="320" spans="1:37" x14ac:dyDescent="0.3">
      <c r="A320" t="s">
        <v>881</v>
      </c>
      <c r="B320" t="s">
        <v>870</v>
      </c>
      <c r="C320" s="2">
        <v>45764.926233182872</v>
      </c>
      <c r="D320" s="2">
        <v>45747.434178240743</v>
      </c>
      <c r="E320" s="2">
        <v>45748.009226284725</v>
      </c>
      <c r="F320" t="s">
        <v>871</v>
      </c>
      <c r="G320" t="s">
        <v>356</v>
      </c>
      <c r="H320">
        <v>45671</v>
      </c>
      <c r="I320">
        <v>0.64067129629629627</v>
      </c>
      <c r="J320"/>
      <c r="K320"/>
      <c r="L320">
        <v>45671</v>
      </c>
      <c r="M320">
        <v>0.64067129629629638</v>
      </c>
      <c r="N320" t="s">
        <v>906</v>
      </c>
      <c r="O320" t="s">
        <v>909</v>
      </c>
      <c r="P320" t="s">
        <v>361</v>
      </c>
      <c r="Q320" t="s">
        <v>362</v>
      </c>
      <c r="R320" t="s">
        <v>363</v>
      </c>
      <c r="S320" t="s">
        <v>893</v>
      </c>
      <c r="T320" t="s">
        <v>910</v>
      </c>
      <c r="U320"/>
      <c r="V320"/>
      <c r="W320" t="s">
        <v>911</v>
      </c>
      <c r="X320" t="s">
        <v>912</v>
      </c>
      <c r="Y320" t="s">
        <v>367</v>
      </c>
      <c r="Z320" t="s">
        <v>65</v>
      </c>
      <c r="AA320"/>
      <c r="AB320"/>
      <c r="AC320"/>
      <c r="AD320"/>
      <c r="AE320" t="s">
        <v>913</v>
      </c>
      <c r="AF320" t="s">
        <v>67</v>
      </c>
      <c r="AG320" t="s">
        <v>219</v>
      </c>
      <c r="AH320" t="s">
        <v>368</v>
      </c>
      <c r="AI320" t="s">
        <v>160</v>
      </c>
      <c r="AJ320" t="s">
        <v>123</v>
      </c>
      <c r="AK320" t="s">
        <v>353</v>
      </c>
    </row>
    <row r="321" spans="1:37" x14ac:dyDescent="0.3">
      <c r="A321" t="s">
        <v>881</v>
      </c>
      <c r="B321" t="s">
        <v>870</v>
      </c>
      <c r="C321" s="2">
        <v>45764.926233182872</v>
      </c>
      <c r="D321" s="2">
        <v>45747.434178240743</v>
      </c>
      <c r="E321" s="2">
        <v>45748.009226284725</v>
      </c>
      <c r="F321" t="s">
        <v>871</v>
      </c>
      <c r="G321" t="s">
        <v>224</v>
      </c>
      <c r="H321">
        <v>45672</v>
      </c>
      <c r="I321">
        <v>0.53988425925925931</v>
      </c>
      <c r="J321"/>
      <c r="K321"/>
      <c r="L321">
        <v>45672</v>
      </c>
      <c r="M321">
        <v>0.5398842592592592</v>
      </c>
      <c r="N321" t="s">
        <v>892</v>
      </c>
      <c r="O321"/>
      <c r="P321"/>
      <c r="Q321" t="s">
        <v>227</v>
      </c>
      <c r="R321" t="s">
        <v>84</v>
      </c>
      <c r="S321" t="s">
        <v>907</v>
      </c>
      <c r="T321" t="s">
        <v>914</v>
      </c>
      <c r="U321"/>
      <c r="V321"/>
      <c r="W321" t="s">
        <v>229</v>
      </c>
      <c r="X321" t="s">
        <v>896</v>
      </c>
      <c r="Y321" t="s">
        <v>230</v>
      </c>
      <c r="Z321" t="s">
        <v>65</v>
      </c>
      <c r="AA321"/>
      <c r="AB321"/>
      <c r="AC321"/>
      <c r="AD321"/>
      <c r="AE321" t="s">
        <v>913</v>
      </c>
      <c r="AF321" t="s">
        <v>67</v>
      </c>
      <c r="AG321" t="s">
        <v>231</v>
      </c>
      <c r="AH321" t="s">
        <v>232</v>
      </c>
      <c r="AI321" t="s">
        <v>70</v>
      </c>
      <c r="AJ321" t="s">
        <v>71</v>
      </c>
      <c r="AK321" t="s">
        <v>221</v>
      </c>
    </row>
    <row r="322" spans="1:37" x14ac:dyDescent="0.3">
      <c r="A322" t="s">
        <v>881</v>
      </c>
      <c r="B322" t="s">
        <v>870</v>
      </c>
      <c r="C322" s="2">
        <v>45764.926233182872</v>
      </c>
      <c r="D322" s="2">
        <v>45747.434178240743</v>
      </c>
      <c r="E322" s="2">
        <v>45748.009226284725</v>
      </c>
      <c r="F322" t="s">
        <v>871</v>
      </c>
      <c r="G322" t="s">
        <v>129</v>
      </c>
      <c r="H322">
        <v>45673</v>
      </c>
      <c r="I322">
        <v>0.5</v>
      </c>
      <c r="J322">
        <v>45673</v>
      </c>
      <c r="K322">
        <v>0.75</v>
      </c>
      <c r="L322">
        <v>45673</v>
      </c>
      <c r="M322">
        <v>0.81587962962962957</v>
      </c>
      <c r="N322" t="s">
        <v>915</v>
      </c>
      <c r="O322"/>
      <c r="P322"/>
      <c r="Q322" t="s">
        <v>133</v>
      </c>
      <c r="R322" t="s">
        <v>134</v>
      </c>
      <c r="S322" t="s">
        <v>899</v>
      </c>
      <c r="T322" t="s">
        <v>916</v>
      </c>
      <c r="U322"/>
      <c r="V322"/>
      <c r="W322"/>
      <c r="X322"/>
      <c r="Y322"/>
      <c r="Z322"/>
      <c r="AA322"/>
      <c r="AB322"/>
      <c r="AC322"/>
      <c r="AD322"/>
      <c r="AE322" t="s">
        <v>904</v>
      </c>
      <c r="AF322" t="s">
        <v>67</v>
      </c>
      <c r="AG322" t="s">
        <v>136</v>
      </c>
      <c r="AH322" t="s">
        <v>69</v>
      </c>
      <c r="AI322" t="s">
        <v>70</v>
      </c>
      <c r="AJ322" t="s">
        <v>71</v>
      </c>
      <c r="AK322" t="s">
        <v>137</v>
      </c>
    </row>
    <row r="323" spans="1:37" x14ac:dyDescent="0.3">
      <c r="A323" t="s">
        <v>881</v>
      </c>
      <c r="B323" t="s">
        <v>870</v>
      </c>
      <c r="C323" s="2">
        <v>45764.926233182872</v>
      </c>
      <c r="D323" s="2">
        <v>45747.434178240743</v>
      </c>
      <c r="E323" s="2">
        <v>45748.009226284725</v>
      </c>
      <c r="F323" t="s">
        <v>871</v>
      </c>
      <c r="G323" t="s">
        <v>371</v>
      </c>
      <c r="H323">
        <v>45673</v>
      </c>
      <c r="I323">
        <v>0.87708333333333333</v>
      </c>
      <c r="J323">
        <v>45673</v>
      </c>
      <c r="K323">
        <v>0.88611111111111107</v>
      </c>
      <c r="L323">
        <v>45674</v>
      </c>
      <c r="M323">
        <v>0.51179398148148159</v>
      </c>
      <c r="N323" t="s">
        <v>906</v>
      </c>
      <c r="O323"/>
      <c r="P323"/>
      <c r="Q323" t="s">
        <v>374</v>
      </c>
      <c r="R323" t="s">
        <v>178</v>
      </c>
      <c r="S323" t="s">
        <v>893</v>
      </c>
      <c r="T323" t="s">
        <v>917</v>
      </c>
      <c r="U323"/>
      <c r="V323"/>
      <c r="W323"/>
      <c r="X323" t="s">
        <v>918</v>
      </c>
      <c r="Y323" t="s">
        <v>919</v>
      </c>
      <c r="Z323"/>
      <c r="AA323"/>
      <c r="AB323"/>
      <c r="AC323"/>
      <c r="AD323"/>
      <c r="AE323" t="s">
        <v>904</v>
      </c>
      <c r="AF323" t="s">
        <v>67</v>
      </c>
      <c r="AG323" t="s">
        <v>89</v>
      </c>
      <c r="AH323" t="s">
        <v>90</v>
      </c>
      <c r="AI323" t="s">
        <v>378</v>
      </c>
      <c r="AJ323" t="s">
        <v>435</v>
      </c>
      <c r="AK323" t="s">
        <v>353</v>
      </c>
    </row>
    <row r="324" spans="1:37" x14ac:dyDescent="0.3">
      <c r="A324" t="s">
        <v>881</v>
      </c>
      <c r="B324" t="s">
        <v>870</v>
      </c>
      <c r="C324" s="2">
        <v>45764.926233182872</v>
      </c>
      <c r="D324" s="2">
        <v>45747.434178240743</v>
      </c>
      <c r="E324" s="2">
        <v>45748.009226284725</v>
      </c>
      <c r="F324" t="s">
        <v>871</v>
      </c>
      <c r="G324" t="s">
        <v>236</v>
      </c>
      <c r="H324">
        <v>45678</v>
      </c>
      <c r="I324">
        <v>0.79166666666666663</v>
      </c>
      <c r="J324">
        <v>45679</v>
      </c>
      <c r="K324">
        <v>0.13125000000000009</v>
      </c>
      <c r="L324">
        <v>45679</v>
      </c>
      <c r="M324">
        <v>0.13255787037037048</v>
      </c>
      <c r="N324" t="s">
        <v>892</v>
      </c>
      <c r="O324"/>
      <c r="P324"/>
      <c r="Q324" t="s">
        <v>239</v>
      </c>
      <c r="R324" t="s">
        <v>178</v>
      </c>
      <c r="S324" t="s">
        <v>893</v>
      </c>
      <c r="T324" t="s">
        <v>920</v>
      </c>
      <c r="U324"/>
      <c r="V324"/>
      <c r="W324" t="s">
        <v>241</v>
      </c>
      <c r="X324" t="s">
        <v>63</v>
      </c>
      <c r="Y324" t="s">
        <v>242</v>
      </c>
      <c r="Z324" t="s">
        <v>65</v>
      </c>
      <c r="AA324"/>
      <c r="AB324"/>
      <c r="AC324"/>
      <c r="AD324"/>
      <c r="AE324" t="s">
        <v>921</v>
      </c>
      <c r="AF324" t="s">
        <v>67</v>
      </c>
      <c r="AG324" t="s">
        <v>244</v>
      </c>
      <c r="AH324" t="s">
        <v>206</v>
      </c>
      <c r="AI324" t="s">
        <v>160</v>
      </c>
      <c r="AJ324" t="s">
        <v>71</v>
      </c>
      <c r="AK324" t="s">
        <v>221</v>
      </c>
    </row>
    <row r="325" spans="1:37" x14ac:dyDescent="0.3">
      <c r="A325" t="s">
        <v>881</v>
      </c>
      <c r="B325" t="s">
        <v>870</v>
      </c>
      <c r="C325" s="2">
        <v>45764.926233182872</v>
      </c>
      <c r="D325" s="2">
        <v>45747.434178240743</v>
      </c>
      <c r="E325" s="2">
        <v>45748.009226284725</v>
      </c>
      <c r="F325" t="s">
        <v>871</v>
      </c>
      <c r="G325" t="s">
        <v>246</v>
      </c>
      <c r="H325">
        <v>45679</v>
      </c>
      <c r="I325">
        <v>0.33333333333333331</v>
      </c>
      <c r="J325">
        <v>45679</v>
      </c>
      <c r="K325">
        <v>0.80069444444444438</v>
      </c>
      <c r="L325">
        <v>45679</v>
      </c>
      <c r="M325">
        <v>0.8020370370370371</v>
      </c>
      <c r="N325" t="s">
        <v>892</v>
      </c>
      <c r="O325"/>
      <c r="P325"/>
      <c r="Q325" t="s">
        <v>249</v>
      </c>
      <c r="R325" t="s">
        <v>250</v>
      </c>
      <c r="S325" t="s">
        <v>922</v>
      </c>
      <c r="T325" t="s">
        <v>923</v>
      </c>
      <c r="U325"/>
      <c r="V325"/>
      <c r="W325" t="s">
        <v>252</v>
      </c>
      <c r="X325" t="s">
        <v>924</v>
      </c>
      <c r="Y325" t="s">
        <v>254</v>
      </c>
      <c r="Z325" t="s">
        <v>65</v>
      </c>
      <c r="AA325"/>
      <c r="AB325"/>
      <c r="AC325"/>
      <c r="AD325"/>
      <c r="AE325" t="s">
        <v>913</v>
      </c>
      <c r="AF325" t="s">
        <v>67</v>
      </c>
      <c r="AG325" t="s">
        <v>244</v>
      </c>
      <c r="AH325" t="s">
        <v>206</v>
      </c>
      <c r="AI325" t="s">
        <v>122</v>
      </c>
      <c r="AJ325" t="s">
        <v>71</v>
      </c>
      <c r="AK325" t="s">
        <v>221</v>
      </c>
    </row>
    <row r="326" spans="1:37" x14ac:dyDescent="0.3">
      <c r="A326" t="s">
        <v>881</v>
      </c>
      <c r="B326" t="s">
        <v>870</v>
      </c>
      <c r="C326" s="2">
        <v>45764.926233182872</v>
      </c>
      <c r="D326" s="2">
        <v>45747.434178240743</v>
      </c>
      <c r="E326" s="2">
        <v>45748.009226284725</v>
      </c>
      <c r="F326" t="s">
        <v>871</v>
      </c>
      <c r="G326" t="s">
        <v>409</v>
      </c>
      <c r="H326">
        <v>45680</v>
      </c>
      <c r="I326">
        <v>0.625</v>
      </c>
      <c r="J326"/>
      <c r="K326"/>
      <c r="L326">
        <v>45680</v>
      </c>
      <c r="M326">
        <v>0.66545138888888888</v>
      </c>
      <c r="N326" t="s">
        <v>925</v>
      </c>
      <c r="O326" t="s">
        <v>400</v>
      </c>
      <c r="P326"/>
      <c r="Q326" t="s">
        <v>414</v>
      </c>
      <c r="R326" t="s">
        <v>84</v>
      </c>
      <c r="S326" t="s">
        <v>907</v>
      </c>
      <c r="T326" t="s">
        <v>926</v>
      </c>
      <c r="U326"/>
      <c r="V326"/>
      <c r="W326"/>
      <c r="X326"/>
      <c r="Y326"/>
      <c r="Z326"/>
      <c r="AA326"/>
      <c r="AB326"/>
      <c r="AC326"/>
      <c r="AD326"/>
      <c r="AE326" t="s">
        <v>927</v>
      </c>
      <c r="AF326" t="s">
        <v>67</v>
      </c>
      <c r="AG326" t="s">
        <v>352</v>
      </c>
      <c r="AH326" t="s">
        <v>417</v>
      </c>
      <c r="AI326" t="s">
        <v>406</v>
      </c>
      <c r="AJ326" t="s">
        <v>418</v>
      </c>
      <c r="AK326"/>
    </row>
    <row r="327" spans="1:37" x14ac:dyDescent="0.3">
      <c r="A327" t="s">
        <v>881</v>
      </c>
      <c r="B327" t="s">
        <v>870</v>
      </c>
      <c r="C327" s="2">
        <v>45764.926233182872</v>
      </c>
      <c r="D327" s="2">
        <v>45747.434178240743</v>
      </c>
      <c r="E327" s="2">
        <v>45748.009226284725</v>
      </c>
      <c r="F327" t="s">
        <v>871</v>
      </c>
      <c r="G327" t="s">
        <v>140</v>
      </c>
      <c r="H327">
        <v>45682</v>
      </c>
      <c r="I327">
        <v>0.45833333333333331</v>
      </c>
      <c r="J327">
        <v>45682</v>
      </c>
      <c r="K327">
        <v>0.58333333333333326</v>
      </c>
      <c r="L327">
        <v>45682</v>
      </c>
      <c r="M327">
        <v>0.58054398148148145</v>
      </c>
      <c r="N327" t="s">
        <v>915</v>
      </c>
      <c r="O327"/>
      <c r="P327"/>
      <c r="Q327" t="s">
        <v>144</v>
      </c>
      <c r="R327" t="s">
        <v>145</v>
      </c>
      <c r="S327" t="s">
        <v>922</v>
      </c>
      <c r="T327" t="s">
        <v>928</v>
      </c>
      <c r="U327"/>
      <c r="V327"/>
      <c r="W327"/>
      <c r="X327"/>
      <c r="Y327"/>
      <c r="Z327"/>
      <c r="AA327"/>
      <c r="AB327"/>
      <c r="AC327"/>
      <c r="AD327"/>
      <c r="AE327" t="s">
        <v>929</v>
      </c>
      <c r="AF327" t="s">
        <v>67</v>
      </c>
      <c r="AG327" t="s">
        <v>147</v>
      </c>
      <c r="AH327" t="s">
        <v>90</v>
      </c>
      <c r="AI327" t="s">
        <v>70</v>
      </c>
      <c r="AJ327" t="s">
        <v>71</v>
      </c>
      <c r="AK327" t="s">
        <v>137</v>
      </c>
    </row>
    <row r="328" spans="1:37" x14ac:dyDescent="0.3">
      <c r="A328" t="s">
        <v>881</v>
      </c>
      <c r="B328" t="s">
        <v>870</v>
      </c>
      <c r="C328" s="2">
        <v>45764.926233182872</v>
      </c>
      <c r="D328" s="2">
        <v>45747.434178240743</v>
      </c>
      <c r="E328" s="2">
        <v>45748.009226284725</v>
      </c>
      <c r="F328" t="s">
        <v>871</v>
      </c>
      <c r="G328" t="s">
        <v>77</v>
      </c>
      <c r="H328">
        <v>45682</v>
      </c>
      <c r="I328">
        <v>0.76875000000000004</v>
      </c>
      <c r="J328"/>
      <c r="K328"/>
      <c r="L328">
        <v>45683</v>
      </c>
      <c r="M328">
        <v>0.44056712962962963</v>
      </c>
      <c r="N328" t="s">
        <v>902</v>
      </c>
      <c r="O328" t="s">
        <v>930</v>
      </c>
      <c r="P328"/>
      <c r="Q328" t="s">
        <v>83</v>
      </c>
      <c r="R328" t="s">
        <v>84</v>
      </c>
      <c r="S328" t="s">
        <v>907</v>
      </c>
      <c r="T328" t="s">
        <v>931</v>
      </c>
      <c r="U328"/>
      <c r="V328"/>
      <c r="W328" t="s">
        <v>932</v>
      </c>
      <c r="X328" t="s">
        <v>896</v>
      </c>
      <c r="Y328" t="s">
        <v>87</v>
      </c>
      <c r="Z328" t="s">
        <v>65</v>
      </c>
      <c r="AA328"/>
      <c r="AB328"/>
      <c r="AC328"/>
      <c r="AD328"/>
      <c r="AE328" t="s">
        <v>929</v>
      </c>
      <c r="AF328" t="s">
        <v>67</v>
      </c>
      <c r="AG328" t="s">
        <v>89</v>
      </c>
      <c r="AH328" t="s">
        <v>90</v>
      </c>
      <c r="AI328" t="s">
        <v>91</v>
      </c>
      <c r="AJ328" t="s">
        <v>92</v>
      </c>
      <c r="AK328" t="s">
        <v>72</v>
      </c>
    </row>
    <row r="329" spans="1:37" x14ac:dyDescent="0.3">
      <c r="A329" t="s">
        <v>881</v>
      </c>
      <c r="B329" t="s">
        <v>870</v>
      </c>
      <c r="C329" s="2">
        <v>45764.926233182872</v>
      </c>
      <c r="D329" s="2">
        <v>45747.434178240743</v>
      </c>
      <c r="E329" s="2">
        <v>45748.009226284725</v>
      </c>
      <c r="F329" t="s">
        <v>871</v>
      </c>
      <c r="G329" t="s">
        <v>96</v>
      </c>
      <c r="H329">
        <v>45683</v>
      </c>
      <c r="I329">
        <v>0.84027777777777779</v>
      </c>
      <c r="J329">
        <v>45683</v>
      </c>
      <c r="K329">
        <v>0.84652777777777777</v>
      </c>
      <c r="L329">
        <v>45683</v>
      </c>
      <c r="M329">
        <v>0.85009259259259262</v>
      </c>
      <c r="N329" t="s">
        <v>902</v>
      </c>
      <c r="O329" t="s">
        <v>930</v>
      </c>
      <c r="P329"/>
      <c r="Q329" t="s">
        <v>100</v>
      </c>
      <c r="R329" t="s">
        <v>101</v>
      </c>
      <c r="S329" t="s">
        <v>893</v>
      </c>
      <c r="T329" t="s">
        <v>933</v>
      </c>
      <c r="U329"/>
      <c r="V329"/>
      <c r="W329" t="s">
        <v>934</v>
      </c>
      <c r="X329" t="s">
        <v>896</v>
      </c>
      <c r="Y329" t="s">
        <v>104</v>
      </c>
      <c r="Z329" t="s">
        <v>935</v>
      </c>
      <c r="AA329"/>
      <c r="AB329"/>
      <c r="AC329"/>
      <c r="AD329"/>
      <c r="AE329" t="s">
        <v>904</v>
      </c>
      <c r="AF329" t="s">
        <v>67</v>
      </c>
      <c r="AG329" t="s">
        <v>105</v>
      </c>
      <c r="AH329" t="s">
        <v>69</v>
      </c>
      <c r="AI329" t="s">
        <v>106</v>
      </c>
      <c r="AJ329" t="s">
        <v>71</v>
      </c>
      <c r="AK329" t="s">
        <v>72</v>
      </c>
    </row>
    <row r="330" spans="1:37" x14ac:dyDescent="0.3">
      <c r="A330" t="s">
        <v>881</v>
      </c>
      <c r="B330" t="s">
        <v>870</v>
      </c>
      <c r="C330" s="2">
        <v>45764.926233182872</v>
      </c>
      <c r="D330" s="2">
        <v>45747.434178240743</v>
      </c>
      <c r="E330" s="2">
        <v>45748.009226284725</v>
      </c>
      <c r="F330" t="s">
        <v>871</v>
      </c>
      <c r="G330" t="s">
        <v>256</v>
      </c>
      <c r="H330">
        <v>45685</v>
      </c>
      <c r="I330">
        <v>0.625</v>
      </c>
      <c r="J330">
        <v>45686</v>
      </c>
      <c r="K330">
        <v>0.91736111111111107</v>
      </c>
      <c r="L330">
        <v>45686</v>
      </c>
      <c r="M330">
        <v>0.91833333333333322</v>
      </c>
      <c r="N330" t="s">
        <v>892</v>
      </c>
      <c r="O330" t="s">
        <v>930</v>
      </c>
      <c r="P330"/>
      <c r="Q330" t="s">
        <v>260</v>
      </c>
      <c r="R330" t="s">
        <v>261</v>
      </c>
      <c r="S330" t="s">
        <v>936</v>
      </c>
      <c r="T330" t="s">
        <v>937</v>
      </c>
      <c r="U330"/>
      <c r="V330"/>
      <c r="W330" t="s">
        <v>938</v>
      </c>
      <c r="X330" t="s">
        <v>939</v>
      </c>
      <c r="Y330" t="s">
        <v>265</v>
      </c>
      <c r="Z330" t="s">
        <v>65</v>
      </c>
      <c r="AA330"/>
      <c r="AB330"/>
      <c r="AC330"/>
      <c r="AD330"/>
      <c r="AE330" t="s">
        <v>940</v>
      </c>
      <c r="AF330" t="s">
        <v>67</v>
      </c>
      <c r="AG330" t="s">
        <v>244</v>
      </c>
      <c r="AH330" t="s">
        <v>206</v>
      </c>
      <c r="AI330" t="s">
        <v>70</v>
      </c>
      <c r="AJ330" t="s">
        <v>266</v>
      </c>
      <c r="AK330" t="s">
        <v>221</v>
      </c>
    </row>
    <row r="331" spans="1:37" x14ac:dyDescent="0.3">
      <c r="A331" t="s">
        <v>881</v>
      </c>
      <c r="B331" t="s">
        <v>870</v>
      </c>
      <c r="C331" s="2">
        <v>45764.926233182872</v>
      </c>
      <c r="D331" s="2">
        <v>45747.434178240743</v>
      </c>
      <c r="E331" s="2">
        <v>45748.009226284725</v>
      </c>
      <c r="F331" t="s">
        <v>871</v>
      </c>
      <c r="G331" t="s">
        <v>151</v>
      </c>
      <c r="H331">
        <v>45688</v>
      </c>
      <c r="I331">
        <v>0.49988425925925928</v>
      </c>
      <c r="J331"/>
      <c r="K331"/>
      <c r="L331">
        <v>45688</v>
      </c>
      <c r="M331">
        <v>0.49988425925925917</v>
      </c>
      <c r="N331" t="s">
        <v>915</v>
      </c>
      <c r="O331"/>
      <c r="P331"/>
      <c r="Q331" t="s">
        <v>154</v>
      </c>
      <c r="R331" t="s">
        <v>155</v>
      </c>
      <c r="S331" t="s">
        <v>907</v>
      </c>
      <c r="T331" t="s">
        <v>941</v>
      </c>
      <c r="U331"/>
      <c r="V331"/>
      <c r="W331"/>
      <c r="X331"/>
      <c r="Y331"/>
      <c r="Z331"/>
      <c r="AA331"/>
      <c r="AB331"/>
      <c r="AC331"/>
      <c r="AD331"/>
      <c r="AE331" t="s">
        <v>897</v>
      </c>
      <c r="AF331" t="s">
        <v>67</v>
      </c>
      <c r="AG331" t="s">
        <v>158</v>
      </c>
      <c r="AH331" t="s">
        <v>159</v>
      </c>
      <c r="AI331" t="s">
        <v>160</v>
      </c>
      <c r="AJ331" t="s">
        <v>71</v>
      </c>
      <c r="AK331" t="s">
        <v>137</v>
      </c>
    </row>
    <row r="332" spans="1:37" x14ac:dyDescent="0.3">
      <c r="A332" t="s">
        <v>881</v>
      </c>
      <c r="B332" t="s">
        <v>870</v>
      </c>
      <c r="C332" s="2">
        <v>45764.926233182872</v>
      </c>
      <c r="D332" s="2">
        <v>45747.434178240743</v>
      </c>
      <c r="E332" s="2">
        <v>45748.009226284725</v>
      </c>
      <c r="F332" t="s">
        <v>871</v>
      </c>
      <c r="G332" t="s">
        <v>269</v>
      </c>
      <c r="H332">
        <v>45689</v>
      </c>
      <c r="I332">
        <v>4.1666666666666664E-2</v>
      </c>
      <c r="J332"/>
      <c r="K332">
        <v>0.10416666666666674</v>
      </c>
      <c r="L332">
        <v>45689</v>
      </c>
      <c r="M332">
        <v>0.11982638888888886</v>
      </c>
      <c r="N332" t="s">
        <v>892</v>
      </c>
      <c r="O332"/>
      <c r="P332"/>
      <c r="Q332" t="s">
        <v>272</v>
      </c>
      <c r="R332" t="s">
        <v>273</v>
      </c>
      <c r="S332" t="s">
        <v>936</v>
      </c>
      <c r="T332" t="s">
        <v>942</v>
      </c>
      <c r="U332"/>
      <c r="V332"/>
      <c r="W332" t="s">
        <v>943</v>
      </c>
      <c r="X332" t="s">
        <v>944</v>
      </c>
      <c r="Y332" t="s">
        <v>276</v>
      </c>
      <c r="Z332" t="s">
        <v>65</v>
      </c>
      <c r="AA332"/>
      <c r="AB332"/>
      <c r="AC332"/>
      <c r="AD332"/>
      <c r="AE332" t="s">
        <v>913</v>
      </c>
      <c r="AF332" t="s">
        <v>67</v>
      </c>
      <c r="AG332" t="s">
        <v>244</v>
      </c>
      <c r="AH332" t="s">
        <v>206</v>
      </c>
      <c r="AI332" t="s">
        <v>122</v>
      </c>
      <c r="AJ332" t="s">
        <v>71</v>
      </c>
      <c r="AK332" t="s">
        <v>221</v>
      </c>
    </row>
    <row r="333" spans="1:37" x14ac:dyDescent="0.3">
      <c r="A333" t="s">
        <v>881</v>
      </c>
      <c r="B333" t="s">
        <v>870</v>
      </c>
      <c r="C333" s="2">
        <v>45764.926233182872</v>
      </c>
      <c r="D333" s="2">
        <v>45747.434178240743</v>
      </c>
      <c r="E333" s="2">
        <v>45748.009226284725</v>
      </c>
      <c r="F333" t="s">
        <v>871</v>
      </c>
      <c r="G333" t="s">
        <v>382</v>
      </c>
      <c r="H333">
        <v>45690</v>
      </c>
      <c r="I333">
        <v>0.72569444444444442</v>
      </c>
      <c r="J333">
        <v>45690</v>
      </c>
      <c r="K333">
        <v>0.75</v>
      </c>
      <c r="L333">
        <v>45691</v>
      </c>
      <c r="M333">
        <v>0.50143518518518526</v>
      </c>
      <c r="N333" t="s">
        <v>176</v>
      </c>
      <c r="O333" t="s">
        <v>906</v>
      </c>
      <c r="P333"/>
      <c r="Q333" t="s">
        <v>385</v>
      </c>
      <c r="R333" t="s">
        <v>145</v>
      </c>
      <c r="S333" t="s">
        <v>922</v>
      </c>
      <c r="T333" t="s">
        <v>945</v>
      </c>
      <c r="U333"/>
      <c r="V333"/>
      <c r="W333"/>
      <c r="X333"/>
      <c r="Y333"/>
      <c r="Z333"/>
      <c r="AA333"/>
      <c r="AB333"/>
      <c r="AC333"/>
      <c r="AD333"/>
      <c r="AE333" t="s">
        <v>904</v>
      </c>
      <c r="AF333" t="s">
        <v>67</v>
      </c>
      <c r="AG333" t="s">
        <v>105</v>
      </c>
      <c r="AH333" t="s">
        <v>69</v>
      </c>
      <c r="AI333" t="s">
        <v>180</v>
      </c>
      <c r="AJ333" t="s">
        <v>92</v>
      </c>
      <c r="AK333"/>
    </row>
    <row r="334" spans="1:37" x14ac:dyDescent="0.3">
      <c r="A334" t="s">
        <v>881</v>
      </c>
      <c r="B334" t="s">
        <v>870</v>
      </c>
      <c r="C334" s="2">
        <v>45764.926233182872</v>
      </c>
      <c r="D334" s="2">
        <v>45747.434178240743</v>
      </c>
      <c r="E334" s="2">
        <v>45748.009226284725</v>
      </c>
      <c r="F334" t="s">
        <v>871</v>
      </c>
      <c r="G334" t="s">
        <v>388</v>
      </c>
      <c r="H334"/>
      <c r="I334"/>
      <c r="J334"/>
      <c r="K334"/>
      <c r="L334">
        <v>45691</v>
      </c>
      <c r="M334">
        <v>0.69484953703703711</v>
      </c>
      <c r="N334" t="s">
        <v>906</v>
      </c>
      <c r="O334"/>
      <c r="P334"/>
      <c r="Q334" t="s">
        <v>390</v>
      </c>
      <c r="R334" t="s">
        <v>363</v>
      </c>
      <c r="S334" t="s">
        <v>893</v>
      </c>
      <c r="T334" t="s">
        <v>946</v>
      </c>
      <c r="U334"/>
      <c r="V334"/>
      <c r="W334"/>
      <c r="X334"/>
      <c r="Y334"/>
      <c r="Z334"/>
      <c r="AA334"/>
      <c r="AB334"/>
      <c r="AC334"/>
      <c r="AD334"/>
      <c r="AE334" t="s">
        <v>929</v>
      </c>
      <c r="AF334" t="s">
        <v>67</v>
      </c>
      <c r="AG334" t="s">
        <v>136</v>
      </c>
      <c r="AH334" t="s">
        <v>69</v>
      </c>
      <c r="AI334" t="s">
        <v>106</v>
      </c>
      <c r="AJ334" t="s">
        <v>71</v>
      </c>
      <c r="AK334" t="s">
        <v>353</v>
      </c>
    </row>
    <row r="335" spans="1:37" x14ac:dyDescent="0.3">
      <c r="A335" t="s">
        <v>881</v>
      </c>
      <c r="B335" t="s">
        <v>870</v>
      </c>
      <c r="C335" s="2">
        <v>45764.926233182872</v>
      </c>
      <c r="D335" s="2">
        <v>45747.434178240743</v>
      </c>
      <c r="E335" s="2">
        <v>45748.009226284725</v>
      </c>
      <c r="F335" t="s">
        <v>871</v>
      </c>
      <c r="G335" t="s">
        <v>279</v>
      </c>
      <c r="H335">
        <v>45691</v>
      </c>
      <c r="I335">
        <v>0.77083333333333337</v>
      </c>
      <c r="J335">
        <v>45692</v>
      </c>
      <c r="K335">
        <v>0.79166666666666674</v>
      </c>
      <c r="L335">
        <v>45692</v>
      </c>
      <c r="M335">
        <v>0.53023148148148147</v>
      </c>
      <c r="N335" t="s">
        <v>892</v>
      </c>
      <c r="O335"/>
      <c r="P335"/>
      <c r="Q335" t="s">
        <v>282</v>
      </c>
      <c r="R335" t="s">
        <v>283</v>
      </c>
      <c r="S335" t="s">
        <v>907</v>
      </c>
      <c r="T335" t="s">
        <v>947</v>
      </c>
      <c r="U335"/>
      <c r="V335"/>
      <c r="W335" t="s">
        <v>948</v>
      </c>
      <c r="X335" t="s">
        <v>286</v>
      </c>
      <c r="Y335" t="s">
        <v>949</v>
      </c>
      <c r="Z335" t="s">
        <v>288</v>
      </c>
      <c r="AA335"/>
      <c r="AB335"/>
      <c r="AC335"/>
      <c r="AD335"/>
      <c r="AE335" t="s">
        <v>904</v>
      </c>
      <c r="AF335" t="s">
        <v>67</v>
      </c>
      <c r="AG335" t="s">
        <v>105</v>
      </c>
      <c r="AH335" t="s">
        <v>69</v>
      </c>
      <c r="AI335" t="s">
        <v>70</v>
      </c>
      <c r="AJ335" t="s">
        <v>195</v>
      </c>
      <c r="AK335" t="s">
        <v>221</v>
      </c>
    </row>
    <row r="336" spans="1:37" x14ac:dyDescent="0.3">
      <c r="A336" t="s">
        <v>881</v>
      </c>
      <c r="B336" t="s">
        <v>870</v>
      </c>
      <c r="C336" s="2">
        <v>45764.926233182872</v>
      </c>
      <c r="D336" s="2">
        <v>45747.434178240743</v>
      </c>
      <c r="E336" s="2">
        <v>45748.009226284725</v>
      </c>
      <c r="F336" t="s">
        <v>871</v>
      </c>
      <c r="G336" t="s">
        <v>161</v>
      </c>
      <c r="H336">
        <v>45693</v>
      </c>
      <c r="I336">
        <v>0.12291666666666666</v>
      </c>
      <c r="J336"/>
      <c r="K336"/>
      <c r="L336">
        <v>45693</v>
      </c>
      <c r="M336">
        <v>0.12339120370370371</v>
      </c>
      <c r="N336" t="s">
        <v>950</v>
      </c>
      <c r="O336" t="s">
        <v>167</v>
      </c>
      <c r="P336"/>
      <c r="Q336" t="s">
        <v>168</v>
      </c>
      <c r="R336" t="s">
        <v>155</v>
      </c>
      <c r="S336" t="s">
        <v>907</v>
      </c>
      <c r="T336" t="s">
        <v>951</v>
      </c>
      <c r="U336"/>
      <c r="V336"/>
      <c r="W336"/>
      <c r="X336"/>
      <c r="Y336"/>
      <c r="Z336"/>
      <c r="AA336"/>
      <c r="AB336"/>
      <c r="AC336"/>
      <c r="AD336"/>
      <c r="AE336" t="s">
        <v>913</v>
      </c>
      <c r="AF336" t="s">
        <v>67</v>
      </c>
      <c r="AG336" t="s">
        <v>170</v>
      </c>
      <c r="AH336" t="s">
        <v>90</v>
      </c>
      <c r="AI336" t="s">
        <v>171</v>
      </c>
      <c r="AJ336" t="s">
        <v>123</v>
      </c>
      <c r="AK336" t="s">
        <v>137</v>
      </c>
    </row>
    <row r="337" spans="1:37" x14ac:dyDescent="0.3">
      <c r="A337" t="s">
        <v>881</v>
      </c>
      <c r="B337" t="s">
        <v>870</v>
      </c>
      <c r="C337" s="2">
        <v>45764.926233182872</v>
      </c>
      <c r="D337" s="2">
        <v>45747.434178240743</v>
      </c>
      <c r="E337" s="2">
        <v>45748.009226284725</v>
      </c>
      <c r="F337" t="s">
        <v>871</v>
      </c>
      <c r="G337" t="s">
        <v>292</v>
      </c>
      <c r="H337">
        <v>45695</v>
      </c>
      <c r="I337">
        <v>0.27430555555555558</v>
      </c>
      <c r="J337">
        <v>45695</v>
      </c>
      <c r="K337">
        <v>0.28472222222222232</v>
      </c>
      <c r="L337">
        <v>45695</v>
      </c>
      <c r="M337">
        <v>0.30738425925925927</v>
      </c>
      <c r="N337" t="s">
        <v>892</v>
      </c>
      <c r="O337"/>
      <c r="P337"/>
      <c r="Q337" t="s">
        <v>296</v>
      </c>
      <c r="R337" t="s">
        <v>203</v>
      </c>
      <c r="S337" t="s">
        <v>922</v>
      </c>
      <c r="T337" t="s">
        <v>952</v>
      </c>
      <c r="U337"/>
      <c r="V337"/>
      <c r="W337" t="s">
        <v>953</v>
      </c>
      <c r="X337" t="s">
        <v>954</v>
      </c>
      <c r="Y337" t="s">
        <v>300</v>
      </c>
      <c r="Z337" t="s">
        <v>65</v>
      </c>
      <c r="AA337"/>
      <c r="AB337"/>
      <c r="AC337"/>
      <c r="AD337"/>
      <c r="AE337" t="s">
        <v>913</v>
      </c>
      <c r="AF337" t="s">
        <v>67</v>
      </c>
      <c r="AG337" t="s">
        <v>301</v>
      </c>
      <c r="AH337" t="s">
        <v>121</v>
      </c>
      <c r="AI337" t="s">
        <v>180</v>
      </c>
      <c r="AJ337" t="s">
        <v>92</v>
      </c>
      <c r="AK337" t="s">
        <v>221</v>
      </c>
    </row>
    <row r="338" spans="1:37" x14ac:dyDescent="0.3">
      <c r="A338" t="s">
        <v>881</v>
      </c>
      <c r="B338" t="s">
        <v>870</v>
      </c>
      <c r="C338" s="2">
        <v>45764.926233182872</v>
      </c>
      <c r="D338" s="2">
        <v>45747.434178240743</v>
      </c>
      <c r="E338" s="2">
        <v>45748.009226284725</v>
      </c>
      <c r="F338" t="s">
        <v>871</v>
      </c>
      <c r="G338" t="s">
        <v>305</v>
      </c>
      <c r="H338">
        <v>45688</v>
      </c>
      <c r="I338">
        <v>0.5</v>
      </c>
      <c r="J338">
        <v>45695</v>
      </c>
      <c r="K338">
        <v>0.54166666666666674</v>
      </c>
      <c r="L338">
        <v>45696</v>
      </c>
      <c r="M338">
        <v>0.3903240740740741</v>
      </c>
      <c r="N338" t="s">
        <v>892</v>
      </c>
      <c r="O338"/>
      <c r="P338"/>
      <c r="Q338" t="s">
        <v>308</v>
      </c>
      <c r="R338" t="s">
        <v>250</v>
      </c>
      <c r="S338" t="s">
        <v>922</v>
      </c>
      <c r="T338" t="s">
        <v>955</v>
      </c>
      <c r="U338"/>
      <c r="V338"/>
      <c r="W338" t="s">
        <v>956</v>
      </c>
      <c r="X338"/>
      <c r="Y338" t="s">
        <v>230</v>
      </c>
      <c r="Z338" t="s">
        <v>935</v>
      </c>
      <c r="AA338"/>
      <c r="AB338"/>
      <c r="AC338"/>
      <c r="AD338"/>
      <c r="AE338" t="s">
        <v>913</v>
      </c>
      <c r="AF338" t="s">
        <v>67</v>
      </c>
      <c r="AG338" t="s">
        <v>205</v>
      </c>
      <c r="AH338" t="s">
        <v>206</v>
      </c>
      <c r="AI338" t="s">
        <v>106</v>
      </c>
      <c r="AJ338" t="s">
        <v>71</v>
      </c>
      <c r="AK338" t="s">
        <v>221</v>
      </c>
    </row>
    <row r="339" spans="1:37" x14ac:dyDescent="0.3">
      <c r="A339" t="s">
        <v>881</v>
      </c>
      <c r="B339" t="s">
        <v>870</v>
      </c>
      <c r="C339" s="2">
        <v>45764.926233182872</v>
      </c>
      <c r="D339" s="2">
        <v>45747.434178240743</v>
      </c>
      <c r="E339" s="2">
        <v>45748.009226284725</v>
      </c>
      <c r="F339" t="s">
        <v>871</v>
      </c>
      <c r="G339" t="s">
        <v>437</v>
      </c>
      <c r="H339">
        <v>45701</v>
      </c>
      <c r="I339">
        <v>8.3333333333333329E-2</v>
      </c>
      <c r="J339"/>
      <c r="K339"/>
      <c r="L339">
        <v>45701</v>
      </c>
      <c r="M339">
        <v>0.51225694444444447</v>
      </c>
      <c r="N339" t="s">
        <v>440</v>
      </c>
      <c r="O339" t="s">
        <v>957</v>
      </c>
      <c r="P339" t="s">
        <v>906</v>
      </c>
      <c r="Q339" t="s">
        <v>443</v>
      </c>
      <c r="R339" t="s">
        <v>191</v>
      </c>
      <c r="S339" t="s">
        <v>893</v>
      </c>
      <c r="T339" t="s">
        <v>958</v>
      </c>
      <c r="U339"/>
      <c r="V339"/>
      <c r="W339"/>
      <c r="X339"/>
      <c r="Y339"/>
      <c r="Z339"/>
      <c r="AA339"/>
      <c r="AB339"/>
      <c r="AC339"/>
      <c r="AD339"/>
      <c r="AE339" t="s">
        <v>959</v>
      </c>
      <c r="AF339" t="s">
        <v>67</v>
      </c>
      <c r="AG339" t="s">
        <v>120</v>
      </c>
      <c r="AH339" t="s">
        <v>121</v>
      </c>
      <c r="AI339" t="s">
        <v>378</v>
      </c>
      <c r="AJ339" t="s">
        <v>446</v>
      </c>
      <c r="AK339"/>
    </row>
    <row r="340" spans="1:37" x14ac:dyDescent="0.3">
      <c r="A340" t="s">
        <v>881</v>
      </c>
      <c r="B340" t="s">
        <v>870</v>
      </c>
      <c r="C340" s="2">
        <v>45764.926233182872</v>
      </c>
      <c r="D340" s="2">
        <v>45747.434178240743</v>
      </c>
      <c r="E340" s="2">
        <v>45748.009226284725</v>
      </c>
      <c r="F340" t="s">
        <v>871</v>
      </c>
      <c r="G340" t="s">
        <v>110</v>
      </c>
      <c r="H340">
        <v>45701</v>
      </c>
      <c r="I340">
        <v>0.66666666666666663</v>
      </c>
      <c r="J340"/>
      <c r="K340"/>
      <c r="L340">
        <v>45702</v>
      </c>
      <c r="M340">
        <v>0.29906250000000001</v>
      </c>
      <c r="N340" t="s">
        <v>902</v>
      </c>
      <c r="O340"/>
      <c r="P340"/>
      <c r="Q340" t="s">
        <v>113</v>
      </c>
      <c r="R340" t="s">
        <v>114</v>
      </c>
      <c r="S340" t="s">
        <v>936</v>
      </c>
      <c r="T340" t="s">
        <v>960</v>
      </c>
      <c r="U340"/>
      <c r="V340"/>
      <c r="W340" t="s">
        <v>116</v>
      </c>
      <c r="X340" t="s">
        <v>944</v>
      </c>
      <c r="Y340" t="s">
        <v>118</v>
      </c>
      <c r="Z340" t="s">
        <v>65</v>
      </c>
      <c r="AA340"/>
      <c r="AB340"/>
      <c r="AC340"/>
      <c r="AD340"/>
      <c r="AE340" t="s">
        <v>913</v>
      </c>
      <c r="AF340" t="s">
        <v>67</v>
      </c>
      <c r="AG340" t="s">
        <v>120</v>
      </c>
      <c r="AH340" t="s">
        <v>121</v>
      </c>
      <c r="AI340" t="s">
        <v>122</v>
      </c>
      <c r="AJ340" t="s">
        <v>71</v>
      </c>
      <c r="AK340" t="s">
        <v>72</v>
      </c>
    </row>
    <row r="341" spans="1:37" x14ac:dyDescent="0.3">
      <c r="A341" t="s">
        <v>881</v>
      </c>
      <c r="B341" t="s">
        <v>870</v>
      </c>
      <c r="C341" s="2">
        <v>45764.926233182872</v>
      </c>
      <c r="D341" s="2">
        <v>45747.434178240743</v>
      </c>
      <c r="E341" s="2">
        <v>45748.009226284725</v>
      </c>
      <c r="F341" t="s">
        <v>871</v>
      </c>
      <c r="G341" t="s">
        <v>313</v>
      </c>
      <c r="H341">
        <v>45705</v>
      </c>
      <c r="I341">
        <v>0.34877314814814814</v>
      </c>
      <c r="J341"/>
      <c r="K341"/>
      <c r="L341">
        <v>45705</v>
      </c>
      <c r="M341">
        <v>0.34877314814814819</v>
      </c>
      <c r="N341" t="s">
        <v>892</v>
      </c>
      <c r="O341" t="s">
        <v>317</v>
      </c>
      <c r="P341"/>
      <c r="Q341" t="s">
        <v>318</v>
      </c>
      <c r="R341" t="s">
        <v>134</v>
      </c>
      <c r="S341" t="s">
        <v>899</v>
      </c>
      <c r="T341" t="s">
        <v>961</v>
      </c>
      <c r="U341"/>
      <c r="V341"/>
      <c r="W341" t="s">
        <v>962</v>
      </c>
      <c r="X341" t="s">
        <v>896</v>
      </c>
      <c r="Y341" t="s">
        <v>218</v>
      </c>
      <c r="Z341" t="s">
        <v>65</v>
      </c>
      <c r="AA341"/>
      <c r="AB341"/>
      <c r="AC341"/>
      <c r="AD341"/>
      <c r="AE341" t="s">
        <v>904</v>
      </c>
      <c r="AF341" t="s">
        <v>67</v>
      </c>
      <c r="AG341" t="s">
        <v>68</v>
      </c>
      <c r="AH341" t="s">
        <v>69</v>
      </c>
      <c r="AI341" t="s">
        <v>122</v>
      </c>
      <c r="AJ341" t="s">
        <v>71</v>
      </c>
      <c r="AK341" t="s">
        <v>221</v>
      </c>
    </row>
    <row r="342" spans="1:37" x14ac:dyDescent="0.3">
      <c r="A342" t="s">
        <v>881</v>
      </c>
      <c r="B342" t="s">
        <v>870</v>
      </c>
      <c r="C342" s="2">
        <v>45764.926233182872</v>
      </c>
      <c r="D342" s="2">
        <v>45747.434178240743</v>
      </c>
      <c r="E342" s="2">
        <v>45748.009226284725</v>
      </c>
      <c r="F342" t="s">
        <v>871</v>
      </c>
      <c r="G342" t="s">
        <v>324</v>
      </c>
      <c r="H342">
        <v>45705</v>
      </c>
      <c r="I342">
        <v>0.39716435185185184</v>
      </c>
      <c r="J342"/>
      <c r="K342"/>
      <c r="L342">
        <v>45705</v>
      </c>
      <c r="M342">
        <v>0.39716435185185195</v>
      </c>
      <c r="N342" t="s">
        <v>892</v>
      </c>
      <c r="O342"/>
      <c r="P342"/>
      <c r="Q342" t="s">
        <v>326</v>
      </c>
      <c r="R342" t="s">
        <v>327</v>
      </c>
      <c r="S342" t="s">
        <v>899</v>
      </c>
      <c r="T342" t="s">
        <v>963</v>
      </c>
      <c r="U342"/>
      <c r="V342"/>
      <c r="W342" t="s">
        <v>964</v>
      </c>
      <c r="X342" t="s">
        <v>896</v>
      </c>
      <c r="Y342" t="s">
        <v>218</v>
      </c>
      <c r="Z342" t="s">
        <v>935</v>
      </c>
      <c r="AA342"/>
      <c r="AB342"/>
      <c r="AC342"/>
      <c r="AD342"/>
      <c r="AE342" t="s">
        <v>904</v>
      </c>
      <c r="AF342" t="s">
        <v>67</v>
      </c>
      <c r="AG342" t="s">
        <v>330</v>
      </c>
      <c r="AH342" t="s">
        <v>69</v>
      </c>
      <c r="AI342" t="s">
        <v>122</v>
      </c>
      <c r="AJ342" t="s">
        <v>71</v>
      </c>
      <c r="AK342" t="s">
        <v>221</v>
      </c>
    </row>
    <row r="343" spans="1:37" x14ac:dyDescent="0.3">
      <c r="A343" t="s">
        <v>881</v>
      </c>
      <c r="B343" t="s">
        <v>870</v>
      </c>
      <c r="C343" s="2">
        <v>45764.926233182872</v>
      </c>
      <c r="D343" s="2">
        <v>45747.434178240743</v>
      </c>
      <c r="E343" s="2">
        <v>45748.009226284725</v>
      </c>
      <c r="F343" t="s">
        <v>871</v>
      </c>
      <c r="G343" t="s">
        <v>173</v>
      </c>
      <c r="H343">
        <v>45705</v>
      </c>
      <c r="I343">
        <v>0.52497685185185183</v>
      </c>
      <c r="J343"/>
      <c r="K343"/>
      <c r="L343">
        <v>45705</v>
      </c>
      <c r="M343">
        <v>0.52497685185185183</v>
      </c>
      <c r="N343" t="s">
        <v>950</v>
      </c>
      <c r="O343" t="s">
        <v>176</v>
      </c>
      <c r="P343"/>
      <c r="Q343" t="s">
        <v>177</v>
      </c>
      <c r="R343" t="s">
        <v>178</v>
      </c>
      <c r="S343" t="s">
        <v>893</v>
      </c>
      <c r="T343" t="s">
        <v>965</v>
      </c>
      <c r="U343"/>
      <c r="V343"/>
      <c r="W343"/>
      <c r="X343"/>
      <c r="Y343"/>
      <c r="Z343"/>
      <c r="AA343"/>
      <c r="AB343"/>
      <c r="AC343"/>
      <c r="AD343"/>
      <c r="AE343" t="s">
        <v>904</v>
      </c>
      <c r="AF343" t="s">
        <v>67</v>
      </c>
      <c r="AG343" t="s">
        <v>68</v>
      </c>
      <c r="AH343" t="s">
        <v>69</v>
      </c>
      <c r="AI343" t="s">
        <v>180</v>
      </c>
      <c r="AJ343" t="s">
        <v>71</v>
      </c>
      <c r="AK343" t="s">
        <v>137</v>
      </c>
    </row>
    <row r="344" spans="1:37" x14ac:dyDescent="0.3">
      <c r="A344" t="s">
        <v>881</v>
      </c>
      <c r="B344" t="s">
        <v>870</v>
      </c>
      <c r="C344" s="2">
        <v>45764.926233182872</v>
      </c>
      <c r="D344" s="2">
        <v>45747.434178240743</v>
      </c>
      <c r="E344" s="2">
        <v>45748.009226284725</v>
      </c>
      <c r="F344" t="s">
        <v>871</v>
      </c>
      <c r="G344" t="s">
        <v>420</v>
      </c>
      <c r="H344">
        <v>45705</v>
      </c>
      <c r="I344">
        <v>0.83333333333333337</v>
      </c>
      <c r="J344">
        <v>45705</v>
      </c>
      <c r="K344">
        <v>0.98958333333333326</v>
      </c>
      <c r="L344">
        <v>45706</v>
      </c>
      <c r="M344">
        <v>0.73564814814814805</v>
      </c>
      <c r="N344" t="s">
        <v>423</v>
      </c>
      <c r="O344" t="s">
        <v>925</v>
      </c>
      <c r="P344"/>
      <c r="Q344" t="s">
        <v>425</v>
      </c>
      <c r="R344" t="s">
        <v>426</v>
      </c>
      <c r="S344" t="s">
        <v>907</v>
      </c>
      <c r="T344" t="s">
        <v>966</v>
      </c>
      <c r="U344"/>
      <c r="V344"/>
      <c r="W344"/>
      <c r="X344"/>
      <c r="Y344"/>
      <c r="Z344"/>
      <c r="AA344"/>
      <c r="AB344"/>
      <c r="AC344"/>
      <c r="AD344"/>
      <c r="AE344" t="s">
        <v>927</v>
      </c>
      <c r="AF344" t="s">
        <v>67</v>
      </c>
      <c r="AG344" t="s">
        <v>106</v>
      </c>
      <c r="AH344" t="s">
        <v>417</v>
      </c>
      <c r="AI344" t="s">
        <v>106</v>
      </c>
      <c r="AJ344" t="s">
        <v>266</v>
      </c>
      <c r="AK344"/>
    </row>
    <row r="345" spans="1:37" x14ac:dyDescent="0.3">
      <c r="A345" t="s">
        <v>881</v>
      </c>
      <c r="B345" t="s">
        <v>870</v>
      </c>
      <c r="C345" s="2">
        <v>45764.926233182872</v>
      </c>
      <c r="D345" s="2">
        <v>45747.434178240743</v>
      </c>
      <c r="E345" s="2">
        <v>45748.009226284725</v>
      </c>
      <c r="F345" t="s">
        <v>871</v>
      </c>
      <c r="G345" t="s">
        <v>429</v>
      </c>
      <c r="H345">
        <v>42906</v>
      </c>
      <c r="I345">
        <v>0.53615740740740736</v>
      </c>
      <c r="J345">
        <v>45555</v>
      </c>
      <c r="K345"/>
      <c r="L345">
        <v>45708</v>
      </c>
      <c r="M345">
        <v>0.53615740740740736</v>
      </c>
      <c r="N345" t="s">
        <v>925</v>
      </c>
      <c r="O345"/>
      <c r="P345"/>
      <c r="Q345" t="s">
        <v>432</v>
      </c>
      <c r="R345" t="s">
        <v>101</v>
      </c>
      <c r="S345" t="s">
        <v>907</v>
      </c>
      <c r="T345" t="s">
        <v>974</v>
      </c>
      <c r="U345"/>
      <c r="V345"/>
      <c r="W345"/>
      <c r="X345"/>
      <c r="Y345"/>
      <c r="Z345"/>
      <c r="AA345"/>
      <c r="AB345"/>
      <c r="AC345"/>
      <c r="AD345"/>
      <c r="AE345" t="s">
        <v>904</v>
      </c>
      <c r="AF345" t="s">
        <v>67</v>
      </c>
      <c r="AG345" t="s">
        <v>434</v>
      </c>
      <c r="AH345" t="s">
        <v>69</v>
      </c>
      <c r="AI345" t="s">
        <v>352</v>
      </c>
      <c r="AJ345" t="s">
        <v>435</v>
      </c>
      <c r="AK345" t="s">
        <v>436</v>
      </c>
    </row>
    <row r="346" spans="1:37" x14ac:dyDescent="0.3">
      <c r="A346" t="s">
        <v>881</v>
      </c>
      <c r="B346" t="s">
        <v>870</v>
      </c>
      <c r="C346" s="2">
        <v>45764.926233182872</v>
      </c>
      <c r="D346" s="2">
        <v>45747.434178240743</v>
      </c>
      <c r="E346" s="2">
        <v>45748.009226284725</v>
      </c>
      <c r="F346" t="s">
        <v>871</v>
      </c>
      <c r="G346" t="s">
        <v>332</v>
      </c>
      <c r="H346">
        <v>45713</v>
      </c>
      <c r="I346">
        <v>0.41666666666666669</v>
      </c>
      <c r="J346">
        <v>45713</v>
      </c>
      <c r="K346">
        <v>0.95833333333333326</v>
      </c>
      <c r="L346">
        <v>45712</v>
      </c>
      <c r="M346">
        <v>0.9913657407407408</v>
      </c>
      <c r="N346" t="s">
        <v>892</v>
      </c>
      <c r="O346"/>
      <c r="P346"/>
      <c r="Q346" t="s">
        <v>335</v>
      </c>
      <c r="R346" t="s">
        <v>250</v>
      </c>
      <c r="S346" t="s">
        <v>922</v>
      </c>
      <c r="T346" t="s">
        <v>973</v>
      </c>
      <c r="U346"/>
      <c r="V346"/>
      <c r="W346" t="s">
        <v>337</v>
      </c>
      <c r="X346" t="s">
        <v>896</v>
      </c>
      <c r="Y346" t="s">
        <v>338</v>
      </c>
      <c r="Z346" t="s">
        <v>339</v>
      </c>
      <c r="AA346"/>
      <c r="AB346"/>
      <c r="AC346"/>
      <c r="AD346"/>
      <c r="AE346" t="s">
        <v>897</v>
      </c>
      <c r="AF346" t="s">
        <v>67</v>
      </c>
      <c r="AG346" t="s">
        <v>158</v>
      </c>
      <c r="AH346" t="s">
        <v>159</v>
      </c>
      <c r="AI346" t="s">
        <v>160</v>
      </c>
      <c r="AJ346" t="s">
        <v>975</v>
      </c>
      <c r="AK346" t="s">
        <v>221</v>
      </c>
    </row>
    <row r="347" spans="1:37" x14ac:dyDescent="0.3">
      <c r="A347" t="s">
        <v>881</v>
      </c>
      <c r="B347" t="s">
        <v>870</v>
      </c>
      <c r="C347" s="2">
        <v>45764.926233182872</v>
      </c>
      <c r="D347" s="2">
        <v>45747.434178240743</v>
      </c>
      <c r="E347" s="2">
        <v>45748.009226284725</v>
      </c>
      <c r="F347" t="s">
        <v>871</v>
      </c>
      <c r="G347" t="s">
        <v>492</v>
      </c>
      <c r="H347">
        <v>45720</v>
      </c>
      <c r="I347">
        <v>0.64097222222222228</v>
      </c>
      <c r="J347"/>
      <c r="K347"/>
      <c r="L347">
        <v>45720</v>
      </c>
      <c r="M347">
        <v>0.64444444444444438</v>
      </c>
      <c r="N347" t="s">
        <v>906</v>
      </c>
      <c r="O347" t="s">
        <v>976</v>
      </c>
      <c r="P347" t="s">
        <v>344</v>
      </c>
      <c r="Q347" t="s">
        <v>497</v>
      </c>
      <c r="R347" t="s">
        <v>84</v>
      </c>
      <c r="S347" t="s">
        <v>907</v>
      </c>
      <c r="T347" t="s">
        <v>977</v>
      </c>
      <c r="U347"/>
      <c r="V347"/>
      <c r="W347" t="s">
        <v>499</v>
      </c>
      <c r="X347" t="s">
        <v>500</v>
      </c>
      <c r="Y347" t="s">
        <v>501</v>
      </c>
      <c r="Z347" t="s">
        <v>65</v>
      </c>
      <c r="AA347"/>
      <c r="AB347"/>
      <c r="AC347"/>
      <c r="AD347"/>
      <c r="AE347" t="s">
        <v>978</v>
      </c>
      <c r="AF347" t="s">
        <v>67</v>
      </c>
      <c r="AG347" t="s">
        <v>502</v>
      </c>
      <c r="AH347" t="s">
        <v>159</v>
      </c>
      <c r="AI347" t="s">
        <v>378</v>
      </c>
      <c r="AJ347" t="s">
        <v>195</v>
      </c>
      <c r="AK347" t="s">
        <v>353</v>
      </c>
    </row>
    <row r="348" spans="1:37" x14ac:dyDescent="0.3">
      <c r="A348" t="s">
        <v>881</v>
      </c>
      <c r="B348" t="s">
        <v>870</v>
      </c>
      <c r="C348" s="2">
        <v>45764.926233182872</v>
      </c>
      <c r="D348" s="2">
        <v>45747.434178240743</v>
      </c>
      <c r="E348" s="2">
        <v>45748.009226284725</v>
      </c>
      <c r="F348" t="s">
        <v>871</v>
      </c>
      <c r="G348" t="s">
        <v>484</v>
      </c>
      <c r="H348">
        <v>45720</v>
      </c>
      <c r="I348">
        <v>0.79126157407407405</v>
      </c>
      <c r="J348"/>
      <c r="K348"/>
      <c r="L348">
        <v>45720</v>
      </c>
      <c r="M348">
        <v>0.79126157407407405</v>
      </c>
      <c r="N348" t="s">
        <v>906</v>
      </c>
      <c r="O348"/>
      <c r="P348"/>
      <c r="Q348" t="s">
        <v>487</v>
      </c>
      <c r="R348" t="s">
        <v>261</v>
      </c>
      <c r="S348" t="s">
        <v>936</v>
      </c>
      <c r="T348" t="s">
        <v>979</v>
      </c>
      <c r="U348"/>
      <c r="V348"/>
      <c r="W348"/>
      <c r="X348"/>
      <c r="Y348"/>
      <c r="Z348"/>
      <c r="AA348"/>
      <c r="AB348"/>
      <c r="AC348"/>
      <c r="AD348"/>
      <c r="AE348" t="s">
        <v>978</v>
      </c>
      <c r="AF348" t="s">
        <v>67</v>
      </c>
      <c r="AG348" t="s">
        <v>489</v>
      </c>
      <c r="AH348" t="s">
        <v>206</v>
      </c>
      <c r="AI348" t="s">
        <v>70</v>
      </c>
      <c r="AJ348" t="s">
        <v>195</v>
      </c>
      <c r="AK348" t="s">
        <v>353</v>
      </c>
    </row>
    <row r="349" spans="1:37" x14ac:dyDescent="0.3">
      <c r="A349" t="s">
        <v>881</v>
      </c>
      <c r="B349" t="s">
        <v>870</v>
      </c>
      <c r="C349" s="2">
        <v>45764.926233182872</v>
      </c>
      <c r="D349" s="2">
        <v>45747.434178240743</v>
      </c>
      <c r="E349" s="2">
        <v>45748.009226284725</v>
      </c>
      <c r="F349" t="s">
        <v>871</v>
      </c>
      <c r="G349" t="s">
        <v>460</v>
      </c>
      <c r="H349">
        <v>45722</v>
      </c>
      <c r="I349">
        <v>0.94149305555555551</v>
      </c>
      <c r="J349"/>
      <c r="K349"/>
      <c r="L349">
        <v>45722</v>
      </c>
      <c r="M349">
        <v>0.94149305555555562</v>
      </c>
      <c r="N349" t="s">
        <v>902</v>
      </c>
      <c r="O349"/>
      <c r="P349"/>
      <c r="Q349" t="s">
        <v>464</v>
      </c>
      <c r="R349" t="s">
        <v>84</v>
      </c>
      <c r="S349" t="s">
        <v>907</v>
      </c>
      <c r="T349" t="s">
        <v>980</v>
      </c>
      <c r="U349"/>
      <c r="V349"/>
      <c r="W349" t="s">
        <v>466</v>
      </c>
      <c r="X349" t="s">
        <v>944</v>
      </c>
      <c r="Y349" t="s">
        <v>467</v>
      </c>
      <c r="Z349" t="s">
        <v>65</v>
      </c>
      <c r="AA349"/>
      <c r="AB349"/>
      <c r="AC349"/>
      <c r="AD349"/>
      <c r="AE349" t="s">
        <v>981</v>
      </c>
      <c r="AF349" t="s">
        <v>67</v>
      </c>
      <c r="AG349" t="s">
        <v>68</v>
      </c>
      <c r="AH349" t="s">
        <v>69</v>
      </c>
      <c r="AI349" t="s">
        <v>160</v>
      </c>
      <c r="AJ349" t="s">
        <v>123</v>
      </c>
      <c r="AK349" t="s">
        <v>72</v>
      </c>
    </row>
    <row r="350" spans="1:37" x14ac:dyDescent="0.3">
      <c r="A350" t="s">
        <v>881</v>
      </c>
      <c r="B350" t="s">
        <v>870</v>
      </c>
      <c r="C350" s="2">
        <v>45764.926233182872</v>
      </c>
      <c r="D350" s="2">
        <v>45747.434178240743</v>
      </c>
      <c r="E350" s="2">
        <v>45748.009226284725</v>
      </c>
      <c r="F350" t="s">
        <v>871</v>
      </c>
      <c r="G350" t="s">
        <v>472</v>
      </c>
      <c r="H350">
        <v>45725</v>
      </c>
      <c r="I350">
        <v>0.8125</v>
      </c>
      <c r="J350">
        <v>45726</v>
      </c>
      <c r="K350">
        <v>0.35416666666666674</v>
      </c>
      <c r="L350">
        <v>45726</v>
      </c>
      <c r="M350">
        <v>0.37046296296296299</v>
      </c>
      <c r="N350" t="s">
        <v>902</v>
      </c>
      <c r="O350"/>
      <c r="P350"/>
      <c r="Q350" t="s">
        <v>475</v>
      </c>
      <c r="R350" t="s">
        <v>134</v>
      </c>
      <c r="S350" t="s">
        <v>899</v>
      </c>
      <c r="T350" t="s">
        <v>982</v>
      </c>
      <c r="U350"/>
      <c r="V350"/>
      <c r="W350" t="s">
        <v>477</v>
      </c>
      <c r="X350" t="s">
        <v>478</v>
      </c>
      <c r="Y350" t="s">
        <v>479</v>
      </c>
      <c r="Z350" t="s">
        <v>65</v>
      </c>
      <c r="AA350"/>
      <c r="AB350"/>
      <c r="AC350"/>
      <c r="AD350"/>
      <c r="AE350" t="s">
        <v>897</v>
      </c>
      <c r="AF350" t="s">
        <v>67</v>
      </c>
      <c r="AG350" t="s">
        <v>480</v>
      </c>
      <c r="AH350" t="s">
        <v>351</v>
      </c>
      <c r="AI350" t="s">
        <v>122</v>
      </c>
      <c r="AJ350" t="s">
        <v>71</v>
      </c>
      <c r="AK350" t="s">
        <v>72</v>
      </c>
    </row>
    <row r="351" spans="1:37" x14ac:dyDescent="0.3">
      <c r="A351" t="s">
        <v>881</v>
      </c>
      <c r="B351" t="s">
        <v>870</v>
      </c>
      <c r="C351" s="2">
        <v>45764.926233182872</v>
      </c>
      <c r="D351" s="2">
        <v>45747.434178240743</v>
      </c>
      <c r="E351" s="2">
        <v>45748.009226284725</v>
      </c>
      <c r="F351" t="s">
        <v>871</v>
      </c>
      <c r="G351" t="s">
        <v>529</v>
      </c>
      <c r="H351">
        <v>45726</v>
      </c>
      <c r="I351">
        <v>4.6527777777777779E-2</v>
      </c>
      <c r="J351">
        <v>45726</v>
      </c>
      <c r="K351">
        <v>0.16180555555555554</v>
      </c>
      <c r="L351">
        <v>45727</v>
      </c>
      <c r="M351">
        <v>0.44234953703703694</v>
      </c>
      <c r="N351" t="s">
        <v>915</v>
      </c>
      <c r="O351"/>
      <c r="P351"/>
      <c r="Q351" t="s">
        <v>532</v>
      </c>
      <c r="R351" t="s">
        <v>283</v>
      </c>
      <c r="S351" t="s">
        <v>907</v>
      </c>
      <c r="T351" t="s">
        <v>983</v>
      </c>
      <c r="U351"/>
      <c r="V351"/>
      <c r="W351"/>
      <c r="X351"/>
      <c r="Y351"/>
      <c r="Z351"/>
      <c r="AA351"/>
      <c r="AB351"/>
      <c r="AC351"/>
      <c r="AD351"/>
      <c r="AE351" t="s">
        <v>984</v>
      </c>
      <c r="AF351" t="s">
        <v>67</v>
      </c>
      <c r="AG351" t="s">
        <v>219</v>
      </c>
      <c r="AH351" t="s">
        <v>159</v>
      </c>
      <c r="AI351" t="s">
        <v>106</v>
      </c>
      <c r="AJ351" t="s">
        <v>123</v>
      </c>
      <c r="AK351" t="s">
        <v>137</v>
      </c>
    </row>
    <row r="352" spans="1:37" x14ac:dyDescent="0.3">
      <c r="A352" t="s">
        <v>881</v>
      </c>
      <c r="B352" t="s">
        <v>870</v>
      </c>
      <c r="C352" s="2">
        <v>45764.926233182872</v>
      </c>
      <c r="D352" s="2">
        <v>45747.434178240743</v>
      </c>
      <c r="E352" s="2">
        <v>45748.009226284725</v>
      </c>
      <c r="F352" t="s">
        <v>871</v>
      </c>
      <c r="G352" t="s">
        <v>516</v>
      </c>
      <c r="H352">
        <v>45727</v>
      </c>
      <c r="I352">
        <v>0.60416666666666663</v>
      </c>
      <c r="J352"/>
      <c r="K352"/>
      <c r="L352">
        <v>45727</v>
      </c>
      <c r="M352">
        <v>0.6903935185185186</v>
      </c>
      <c r="N352" t="s">
        <v>902</v>
      </c>
      <c r="O352"/>
      <c r="P352"/>
      <c r="Q352" t="s">
        <v>519</v>
      </c>
      <c r="R352" t="s">
        <v>84</v>
      </c>
      <c r="S352" t="s">
        <v>907</v>
      </c>
      <c r="T352" t="s">
        <v>985</v>
      </c>
      <c r="U352"/>
      <c r="V352"/>
      <c r="W352" t="s">
        <v>521</v>
      </c>
      <c r="X352" t="s">
        <v>986</v>
      </c>
      <c r="Y352" t="s">
        <v>523</v>
      </c>
      <c r="Z352" t="s">
        <v>65</v>
      </c>
      <c r="AA352"/>
      <c r="AB352"/>
      <c r="AC352"/>
      <c r="AD352"/>
      <c r="AE352" t="s">
        <v>927</v>
      </c>
      <c r="AF352" t="s">
        <v>67</v>
      </c>
      <c r="AG352" t="s">
        <v>158</v>
      </c>
      <c r="AH352" t="s">
        <v>159</v>
      </c>
      <c r="AI352" t="s">
        <v>524</v>
      </c>
      <c r="AJ352" t="s">
        <v>71</v>
      </c>
      <c r="AK352" t="s">
        <v>72</v>
      </c>
    </row>
    <row r="353" spans="1:37" x14ac:dyDescent="0.3">
      <c r="A353" t="s">
        <v>881</v>
      </c>
      <c r="B353" t="s">
        <v>870</v>
      </c>
      <c r="C353" s="2">
        <v>45764.926233182872</v>
      </c>
      <c r="D353" s="2">
        <v>45747.434178240743</v>
      </c>
      <c r="E353" s="2">
        <v>45748.009226284725</v>
      </c>
      <c r="F353" t="s">
        <v>871</v>
      </c>
      <c r="G353" t="s">
        <v>537</v>
      </c>
      <c r="H353"/>
      <c r="I353"/>
      <c r="J353">
        <v>45734</v>
      </c>
      <c r="K353">
        <v>0.22916666666666674</v>
      </c>
      <c r="L353">
        <v>45734</v>
      </c>
      <c r="M353">
        <v>0.27405092592592584</v>
      </c>
      <c r="N353" t="s">
        <v>440</v>
      </c>
      <c r="O353" t="s">
        <v>915</v>
      </c>
      <c r="P353"/>
      <c r="Q353" t="s">
        <v>540</v>
      </c>
      <c r="R353" t="s">
        <v>363</v>
      </c>
      <c r="S353" t="s">
        <v>893</v>
      </c>
      <c r="T353" t="s">
        <v>987</v>
      </c>
      <c r="U353"/>
      <c r="V353"/>
      <c r="W353" t="s">
        <v>988</v>
      </c>
      <c r="X353" t="s">
        <v>543</v>
      </c>
      <c r="Y353" t="s">
        <v>544</v>
      </c>
      <c r="Z353" t="s">
        <v>65</v>
      </c>
      <c r="AA353"/>
      <c r="AB353"/>
      <c r="AC353"/>
      <c r="AD353"/>
      <c r="AE353"/>
      <c r="AF353" t="s">
        <v>67</v>
      </c>
      <c r="AG353" t="s">
        <v>545</v>
      </c>
      <c r="AH353" t="s">
        <v>546</v>
      </c>
      <c r="AI353"/>
      <c r="AJ353"/>
      <c r="AK353"/>
    </row>
    <row r="354" spans="1:37" x14ac:dyDescent="0.3">
      <c r="A354" t="s">
        <v>881</v>
      </c>
      <c r="B354" t="s">
        <v>870</v>
      </c>
      <c r="C354" s="2">
        <v>45764.926233182872</v>
      </c>
      <c r="D354" s="2">
        <v>45747.434178240743</v>
      </c>
      <c r="E354" s="2">
        <v>45748.009226284725</v>
      </c>
      <c r="F354" t="s">
        <v>871</v>
      </c>
      <c r="G354" t="s">
        <v>549</v>
      </c>
      <c r="H354">
        <v>45737</v>
      </c>
      <c r="I354">
        <v>0.32500000000000001</v>
      </c>
      <c r="J354"/>
      <c r="K354"/>
      <c r="L354">
        <v>45737</v>
      </c>
      <c r="M354">
        <v>0.5971412037037036</v>
      </c>
      <c r="N354" t="s">
        <v>892</v>
      </c>
      <c r="O354"/>
      <c r="P354"/>
      <c r="Q354" t="s">
        <v>552</v>
      </c>
      <c r="R354" t="s">
        <v>261</v>
      </c>
      <c r="S354" t="s">
        <v>936</v>
      </c>
      <c r="T354" t="s">
        <v>989</v>
      </c>
      <c r="U354"/>
      <c r="V354"/>
      <c r="W354" t="s">
        <v>554</v>
      </c>
      <c r="X354" t="s">
        <v>990</v>
      </c>
      <c r="Y354"/>
      <c r="Z354" t="s">
        <v>65</v>
      </c>
      <c r="AA354"/>
      <c r="AB354"/>
      <c r="AC354"/>
      <c r="AD354"/>
      <c r="AE354" t="s">
        <v>981</v>
      </c>
      <c r="AF354" t="s">
        <v>67</v>
      </c>
      <c r="AG354" t="s">
        <v>147</v>
      </c>
      <c r="AH354" t="s">
        <v>90</v>
      </c>
      <c r="AI354" t="s">
        <v>171</v>
      </c>
      <c r="AJ354" t="s">
        <v>123</v>
      </c>
      <c r="AK354" t="s">
        <v>221</v>
      </c>
    </row>
    <row r="355" spans="1:37" x14ac:dyDescent="0.3">
      <c r="A355" t="s">
        <v>881</v>
      </c>
      <c r="B355" t="s">
        <v>870</v>
      </c>
      <c r="C355" s="2">
        <v>45764.926233182872</v>
      </c>
      <c r="D355" s="2">
        <v>45747.434178240743</v>
      </c>
      <c r="E355" s="2">
        <v>45748.009226284725</v>
      </c>
      <c r="F355" t="s">
        <v>871</v>
      </c>
      <c r="G355" t="s">
        <v>559</v>
      </c>
      <c r="H355">
        <v>45739</v>
      </c>
      <c r="I355">
        <v>0.1736111111111111</v>
      </c>
      <c r="J355">
        <v>45739</v>
      </c>
      <c r="K355">
        <v>0.18055555555555558</v>
      </c>
      <c r="L355">
        <v>45739</v>
      </c>
      <c r="M355">
        <v>0.20511574074074068</v>
      </c>
      <c r="N355" t="s">
        <v>902</v>
      </c>
      <c r="O355" t="s">
        <v>991</v>
      </c>
      <c r="P355"/>
      <c r="Q355" t="s">
        <v>564</v>
      </c>
      <c r="R355" t="s">
        <v>250</v>
      </c>
      <c r="S355" t="s">
        <v>922</v>
      </c>
      <c r="T355" t="s">
        <v>992</v>
      </c>
      <c r="U355"/>
      <c r="V355"/>
      <c r="W355" t="s">
        <v>993</v>
      </c>
      <c r="X355" t="s">
        <v>944</v>
      </c>
      <c r="Y355" t="s">
        <v>567</v>
      </c>
      <c r="Z355" t="s">
        <v>65</v>
      </c>
      <c r="AA355"/>
      <c r="AB355"/>
      <c r="AC355"/>
      <c r="AD355"/>
      <c r="AE355" t="s">
        <v>994</v>
      </c>
      <c r="AF355" t="s">
        <v>67</v>
      </c>
      <c r="AG355" t="s">
        <v>105</v>
      </c>
      <c r="AH355" t="s">
        <v>69</v>
      </c>
      <c r="AI355" t="s">
        <v>122</v>
      </c>
      <c r="AJ355" t="s">
        <v>71</v>
      </c>
      <c r="AK355" t="s">
        <v>72</v>
      </c>
    </row>
    <row r="356" spans="1:37" x14ac:dyDescent="0.3">
      <c r="A356" t="s">
        <v>881</v>
      </c>
      <c r="B356" t="s">
        <v>870</v>
      </c>
      <c r="C356" s="2">
        <v>45764.926233182872</v>
      </c>
      <c r="D356" s="2">
        <v>45747.434178240743</v>
      </c>
      <c r="E356" s="2">
        <v>45748.009226284725</v>
      </c>
      <c r="F356" t="s">
        <v>871</v>
      </c>
      <c r="G356" t="s">
        <v>678</v>
      </c>
      <c r="H356">
        <v>45741</v>
      </c>
      <c r="I356">
        <v>0.48402777777777778</v>
      </c>
      <c r="J356"/>
      <c r="K356"/>
      <c r="L356">
        <v>45741</v>
      </c>
      <c r="M356">
        <v>0.50343749999999998</v>
      </c>
      <c r="N356" t="s">
        <v>906</v>
      </c>
      <c r="O356" t="s">
        <v>930</v>
      </c>
      <c r="P356" t="s">
        <v>687</v>
      </c>
      <c r="Q356" t="s">
        <v>362</v>
      </c>
      <c r="R356" t="s">
        <v>363</v>
      </c>
      <c r="S356" t="s">
        <v>893</v>
      </c>
      <c r="T356" t="s">
        <v>995</v>
      </c>
      <c r="U356"/>
      <c r="V356"/>
      <c r="W356" t="s">
        <v>689</v>
      </c>
      <c r="X356" t="s">
        <v>986</v>
      </c>
      <c r="Y356" t="s">
        <v>690</v>
      </c>
      <c r="Z356" t="s">
        <v>65</v>
      </c>
      <c r="AA356"/>
      <c r="AB356"/>
      <c r="AC356"/>
      <c r="AD356"/>
      <c r="AE356" t="s">
        <v>996</v>
      </c>
      <c r="AF356" t="s">
        <v>67</v>
      </c>
      <c r="AG356" t="s">
        <v>647</v>
      </c>
      <c r="AH356" t="s">
        <v>351</v>
      </c>
      <c r="AI356" t="s">
        <v>160</v>
      </c>
      <c r="AJ356" t="s">
        <v>123</v>
      </c>
      <c r="AK356"/>
    </row>
    <row r="357" spans="1:37" x14ac:dyDescent="0.3">
      <c r="A357" t="s">
        <v>881</v>
      </c>
      <c r="B357" t="s">
        <v>870</v>
      </c>
      <c r="C357" s="2">
        <v>45764.926233182872</v>
      </c>
      <c r="D357" s="2">
        <v>45747.434178240743</v>
      </c>
      <c r="E357" s="2">
        <v>45748.009226284725</v>
      </c>
      <c r="F357" t="s">
        <v>871</v>
      </c>
      <c r="G357" t="s">
        <v>573</v>
      </c>
      <c r="H357">
        <v>45743</v>
      </c>
      <c r="I357">
        <v>0.94666666666666666</v>
      </c>
      <c r="J357"/>
      <c r="K357"/>
      <c r="L357">
        <v>45743</v>
      </c>
      <c r="M357">
        <v>0.94666666666666677</v>
      </c>
      <c r="N357" t="s">
        <v>950</v>
      </c>
      <c r="O357" t="s">
        <v>997</v>
      </c>
      <c r="P357" t="s">
        <v>909</v>
      </c>
      <c r="Q357" t="s">
        <v>577</v>
      </c>
      <c r="R357" t="s">
        <v>261</v>
      </c>
      <c r="S357" t="s">
        <v>936</v>
      </c>
      <c r="T357" t="s">
        <v>998</v>
      </c>
      <c r="U357"/>
      <c r="V357"/>
      <c r="W357"/>
      <c r="X357"/>
      <c r="Y357"/>
      <c r="Z357"/>
      <c r="AA357"/>
      <c r="AB357"/>
      <c r="AC357"/>
      <c r="AD357"/>
      <c r="AE357" t="s">
        <v>927</v>
      </c>
      <c r="AF357" t="s">
        <v>67</v>
      </c>
      <c r="AG357" t="s">
        <v>579</v>
      </c>
      <c r="AH357" t="s">
        <v>121</v>
      </c>
      <c r="AI357" t="s">
        <v>378</v>
      </c>
      <c r="AJ357" t="s">
        <v>123</v>
      </c>
      <c r="AK357"/>
    </row>
    <row r="358" spans="1:37" x14ac:dyDescent="0.3">
      <c r="A358" t="s">
        <v>881</v>
      </c>
      <c r="B358" t="s">
        <v>870</v>
      </c>
      <c r="C358" s="2">
        <v>45764.926233182872</v>
      </c>
      <c r="D358" s="2">
        <v>45747.434178240743</v>
      </c>
      <c r="E358" s="2">
        <v>45748.009226284725</v>
      </c>
      <c r="F358" t="s">
        <v>871</v>
      </c>
      <c r="G358" t="s">
        <v>582</v>
      </c>
      <c r="H358">
        <v>45743</v>
      </c>
      <c r="I358">
        <v>0.97916666666666663</v>
      </c>
      <c r="J358">
        <v>45744</v>
      </c>
      <c r="K358">
        <v>2.4999999999999911E-2</v>
      </c>
      <c r="L358">
        <v>45744</v>
      </c>
      <c r="M358">
        <v>0.46781249999999996</v>
      </c>
      <c r="N358" t="s">
        <v>915</v>
      </c>
      <c r="O358"/>
      <c r="P358"/>
      <c r="Q358" t="s">
        <v>584</v>
      </c>
      <c r="R358" t="s">
        <v>283</v>
      </c>
      <c r="S358" t="s">
        <v>907</v>
      </c>
      <c r="T358" t="s">
        <v>999</v>
      </c>
      <c r="U358">
        <v>50300</v>
      </c>
      <c r="V358"/>
      <c r="W358"/>
      <c r="X358"/>
      <c r="Y358"/>
      <c r="Z358"/>
      <c r="AA358"/>
      <c r="AB358"/>
      <c r="AC358"/>
      <c r="AD358"/>
      <c r="AE358" t="s">
        <v>1000</v>
      </c>
      <c r="AF358" t="s">
        <v>67</v>
      </c>
      <c r="AG358" t="s">
        <v>480</v>
      </c>
      <c r="AH358" t="s">
        <v>351</v>
      </c>
      <c r="AI358" t="s">
        <v>586</v>
      </c>
      <c r="AJ358" t="s">
        <v>123</v>
      </c>
      <c r="AK358"/>
    </row>
    <row r="359" spans="1:37" x14ac:dyDescent="0.3">
      <c r="A359" t="s">
        <v>881</v>
      </c>
      <c r="B359" t="s">
        <v>870</v>
      </c>
      <c r="C359" s="2">
        <v>45764.926233182872</v>
      </c>
      <c r="D359" s="2">
        <v>45747.434178240743</v>
      </c>
      <c r="E359" s="2">
        <v>45748.009226284725</v>
      </c>
      <c r="F359" t="s">
        <v>871</v>
      </c>
      <c r="G359" t="s">
        <v>694</v>
      </c>
      <c r="H359">
        <v>45745</v>
      </c>
      <c r="I359">
        <v>0.20515046296296297</v>
      </c>
      <c r="J359"/>
      <c r="K359"/>
      <c r="L359">
        <v>45745</v>
      </c>
      <c r="M359">
        <v>0.20931712962962967</v>
      </c>
      <c r="N359" t="s">
        <v>176</v>
      </c>
      <c r="O359" t="s">
        <v>1001</v>
      </c>
      <c r="P359"/>
      <c r="Q359" t="s">
        <v>699</v>
      </c>
      <c r="R359" t="s">
        <v>273</v>
      </c>
      <c r="S359" t="s">
        <v>936</v>
      </c>
      <c r="T359" t="s">
        <v>1002</v>
      </c>
      <c r="U359"/>
      <c r="V359"/>
      <c r="W359" t="s">
        <v>701</v>
      </c>
      <c r="X359" t="s">
        <v>1003</v>
      </c>
      <c r="Y359" t="s">
        <v>635</v>
      </c>
      <c r="Z359" t="s">
        <v>65</v>
      </c>
      <c r="AA359"/>
      <c r="AB359"/>
      <c r="AC359"/>
      <c r="AD359"/>
      <c r="AE359" t="s">
        <v>994</v>
      </c>
      <c r="AF359" t="s">
        <v>67</v>
      </c>
      <c r="AG359" t="s">
        <v>579</v>
      </c>
      <c r="AH359" t="s">
        <v>121</v>
      </c>
      <c r="AI359"/>
      <c r="AJ359"/>
      <c r="AK359"/>
    </row>
    <row r="360" spans="1:37" x14ac:dyDescent="0.3">
      <c r="A360" t="s">
        <v>881</v>
      </c>
      <c r="B360" t="s">
        <v>870</v>
      </c>
      <c r="C360" s="2">
        <v>45764.926233182872</v>
      </c>
      <c r="D360" s="2">
        <v>45747.434178240743</v>
      </c>
      <c r="E360" s="2">
        <v>45748.009226284725</v>
      </c>
      <c r="F360" t="s">
        <v>871</v>
      </c>
      <c r="G360" t="s">
        <v>628</v>
      </c>
      <c r="H360">
        <v>45744</v>
      </c>
      <c r="I360">
        <v>0.85416666666666663</v>
      </c>
      <c r="J360">
        <v>45745</v>
      </c>
      <c r="K360">
        <v>0.41666666666666674</v>
      </c>
      <c r="L360">
        <v>45745</v>
      </c>
      <c r="M360">
        <v>0.42986111111111103</v>
      </c>
      <c r="N360" t="s">
        <v>892</v>
      </c>
      <c r="O360"/>
      <c r="P360"/>
      <c r="Q360" t="s">
        <v>631</v>
      </c>
      <c r="R360" t="s">
        <v>426</v>
      </c>
      <c r="S360" t="s">
        <v>907</v>
      </c>
      <c r="T360" t="s">
        <v>1004</v>
      </c>
      <c r="U360"/>
      <c r="V360"/>
      <c r="W360" t="s">
        <v>633</v>
      </c>
      <c r="X360" t="s">
        <v>1003</v>
      </c>
      <c r="Y360" t="s">
        <v>635</v>
      </c>
      <c r="Z360" t="s">
        <v>65</v>
      </c>
      <c r="AA360"/>
      <c r="AB360"/>
      <c r="AC360"/>
      <c r="AD360"/>
      <c r="AE360" t="s">
        <v>994</v>
      </c>
      <c r="AF360" t="s">
        <v>67</v>
      </c>
      <c r="AG360" t="s">
        <v>636</v>
      </c>
      <c r="AH360" t="s">
        <v>637</v>
      </c>
      <c r="AI360"/>
      <c r="AJ360"/>
      <c r="AK360"/>
    </row>
    <row r="361" spans="1:37" x14ac:dyDescent="0.3">
      <c r="A361" t="s">
        <v>882</v>
      </c>
      <c r="B361" t="s">
        <v>870</v>
      </c>
      <c r="C361" s="2">
        <v>45764.926233206017</v>
      </c>
      <c r="D361" s="2">
        <v>45748.008695277778</v>
      </c>
      <c r="E361" s="2">
        <v>45760.800483449071</v>
      </c>
      <c r="F361" t="s">
        <v>871</v>
      </c>
      <c r="G361" t="s">
        <v>210</v>
      </c>
      <c r="H361">
        <v>45660</v>
      </c>
      <c r="I361">
        <v>0.89583333333333337</v>
      </c>
      <c r="J361">
        <v>45661</v>
      </c>
      <c r="K361">
        <v>0.26736111111111116</v>
      </c>
      <c r="L361">
        <v>45661</v>
      </c>
      <c r="M361">
        <v>0.4577430555555555</v>
      </c>
      <c r="N361" t="s">
        <v>892</v>
      </c>
      <c r="O361"/>
      <c r="P361"/>
      <c r="Q361" t="s">
        <v>214</v>
      </c>
      <c r="R361" t="s">
        <v>215</v>
      </c>
      <c r="S361" t="s">
        <v>893</v>
      </c>
      <c r="T361" t="s">
        <v>894</v>
      </c>
      <c r="U361"/>
      <c r="V361"/>
      <c r="W361" t="s">
        <v>895</v>
      </c>
      <c r="X361" t="s">
        <v>896</v>
      </c>
      <c r="Y361" t="s">
        <v>218</v>
      </c>
      <c r="Z361" t="s">
        <v>65</v>
      </c>
      <c r="AA361"/>
      <c r="AB361"/>
      <c r="AC361"/>
      <c r="AD361"/>
      <c r="AE361" t="s">
        <v>897</v>
      </c>
      <c r="AF361" t="s">
        <v>67</v>
      </c>
      <c r="AG361" t="s">
        <v>219</v>
      </c>
      <c r="AH361" t="s">
        <v>206</v>
      </c>
      <c r="AI361" t="s">
        <v>220</v>
      </c>
      <c r="AJ361" t="s">
        <v>71</v>
      </c>
      <c r="AK361" t="s">
        <v>221</v>
      </c>
    </row>
    <row r="362" spans="1:37" x14ac:dyDescent="0.3">
      <c r="A362" t="s">
        <v>882</v>
      </c>
      <c r="B362" t="s">
        <v>870</v>
      </c>
      <c r="C362" s="2">
        <v>45764.926233206017</v>
      </c>
      <c r="D362" s="2">
        <v>45748.008695277778</v>
      </c>
      <c r="E362" s="2">
        <v>45760.800483449071</v>
      </c>
      <c r="F362" t="s">
        <v>871</v>
      </c>
      <c r="G362" t="s">
        <v>395</v>
      </c>
      <c r="H362">
        <v>45664</v>
      </c>
      <c r="I362">
        <v>0.58333333333333337</v>
      </c>
      <c r="J362"/>
      <c r="K362"/>
      <c r="L362">
        <v>45667</v>
      </c>
      <c r="M362">
        <v>0.59781250000000008</v>
      </c>
      <c r="N362" t="s">
        <v>898</v>
      </c>
      <c r="O362" t="s">
        <v>400</v>
      </c>
      <c r="P362"/>
      <c r="Q362" t="s">
        <v>401</v>
      </c>
      <c r="R362" t="s">
        <v>134</v>
      </c>
      <c r="S362" t="s">
        <v>899</v>
      </c>
      <c r="T362" t="s">
        <v>900</v>
      </c>
      <c r="U362"/>
      <c r="V362"/>
      <c r="W362"/>
      <c r="X362"/>
      <c r="Y362"/>
      <c r="Z362"/>
      <c r="AA362"/>
      <c r="AB362"/>
      <c r="AC362"/>
      <c r="AD362"/>
      <c r="AE362" t="s">
        <v>901</v>
      </c>
      <c r="AF362" t="s">
        <v>67</v>
      </c>
      <c r="AG362" t="s">
        <v>404</v>
      </c>
      <c r="AH362" t="s">
        <v>405</v>
      </c>
      <c r="AI362" t="s">
        <v>406</v>
      </c>
      <c r="AJ362" t="s">
        <v>71</v>
      </c>
      <c r="AK362" t="s">
        <v>407</v>
      </c>
    </row>
    <row r="363" spans="1:37" x14ac:dyDescent="0.3">
      <c r="A363" t="s">
        <v>882</v>
      </c>
      <c r="B363" t="s">
        <v>870</v>
      </c>
      <c r="C363" s="2">
        <v>45764.926233206017</v>
      </c>
      <c r="D363" s="2">
        <v>45748.008695277778</v>
      </c>
      <c r="E363" s="2">
        <v>45760.800483449071</v>
      </c>
      <c r="F363" t="s">
        <v>871</v>
      </c>
      <c r="G363" t="s">
        <v>53</v>
      </c>
      <c r="H363">
        <v>45663</v>
      </c>
      <c r="I363">
        <v>0.64583333333333337</v>
      </c>
      <c r="J363">
        <v>45667</v>
      </c>
      <c r="K363"/>
      <c r="L363">
        <v>45667</v>
      </c>
      <c r="M363">
        <v>0.82629629629629631</v>
      </c>
      <c r="N363" t="s">
        <v>902</v>
      </c>
      <c r="O363"/>
      <c r="P363"/>
      <c r="Q363" t="s">
        <v>60</v>
      </c>
      <c r="R363"/>
      <c r="S363" t="s">
        <v>899</v>
      </c>
      <c r="T363" t="s">
        <v>903</v>
      </c>
      <c r="U363"/>
      <c r="V363"/>
      <c r="W363" t="s">
        <v>62</v>
      </c>
      <c r="X363" t="s">
        <v>896</v>
      </c>
      <c r="Y363" t="s">
        <v>64</v>
      </c>
      <c r="Z363" t="s">
        <v>65</v>
      </c>
      <c r="AA363"/>
      <c r="AB363"/>
      <c r="AC363"/>
      <c r="AD363"/>
      <c r="AE363" t="s">
        <v>904</v>
      </c>
      <c r="AF363" t="s">
        <v>67</v>
      </c>
      <c r="AG363" t="s">
        <v>68</v>
      </c>
      <c r="AH363" t="s">
        <v>69</v>
      </c>
      <c r="AI363" t="s">
        <v>70</v>
      </c>
      <c r="AJ363" t="s">
        <v>123</v>
      </c>
      <c r="AK363" t="s">
        <v>72</v>
      </c>
    </row>
    <row r="364" spans="1:37" x14ac:dyDescent="0.3">
      <c r="A364" t="s">
        <v>882</v>
      </c>
      <c r="B364" t="s">
        <v>870</v>
      </c>
      <c r="C364" s="2">
        <v>45764.926233206017</v>
      </c>
      <c r="D364" s="2">
        <v>45748.008695277778</v>
      </c>
      <c r="E364" s="2">
        <v>45760.800483449071</v>
      </c>
      <c r="F364" t="s">
        <v>871</v>
      </c>
      <c r="G364" t="s">
        <v>341</v>
      </c>
      <c r="H364">
        <v>45670</v>
      </c>
      <c r="I364">
        <v>0.50347222222222221</v>
      </c>
      <c r="J364"/>
      <c r="K364"/>
      <c r="L364">
        <v>45670</v>
      </c>
      <c r="M364">
        <v>0.50537037037037047</v>
      </c>
      <c r="N364" t="s">
        <v>344</v>
      </c>
      <c r="O364" t="s">
        <v>905</v>
      </c>
      <c r="P364" t="s">
        <v>906</v>
      </c>
      <c r="Q364" t="s">
        <v>348</v>
      </c>
      <c r="R364" t="s">
        <v>84</v>
      </c>
      <c r="S364" t="s">
        <v>907</v>
      </c>
      <c r="T364" t="s">
        <v>908</v>
      </c>
      <c r="U364"/>
      <c r="V364"/>
      <c r="W364"/>
      <c r="X364"/>
      <c r="Y364"/>
      <c r="Z364"/>
      <c r="AA364"/>
      <c r="AB364"/>
      <c r="AC364"/>
      <c r="AD364"/>
      <c r="AE364" t="s">
        <v>897</v>
      </c>
      <c r="AF364" t="s">
        <v>67</v>
      </c>
      <c r="AG364" t="s">
        <v>350</v>
      </c>
      <c r="AH364" t="s">
        <v>351</v>
      </c>
      <c r="AI364" t="s">
        <v>352</v>
      </c>
      <c r="AJ364" t="s">
        <v>123</v>
      </c>
      <c r="AK364" t="s">
        <v>353</v>
      </c>
    </row>
    <row r="365" spans="1:37" x14ac:dyDescent="0.3">
      <c r="A365" t="s">
        <v>882</v>
      </c>
      <c r="B365" t="s">
        <v>870</v>
      </c>
      <c r="C365" s="2">
        <v>45764.926233206017</v>
      </c>
      <c r="D365" s="2">
        <v>45748.008695277778</v>
      </c>
      <c r="E365" s="2">
        <v>45760.800483449071</v>
      </c>
      <c r="F365" t="s">
        <v>871</v>
      </c>
      <c r="G365" t="s">
        <v>356</v>
      </c>
      <c r="H365">
        <v>45671</v>
      </c>
      <c r="I365">
        <v>0.64067129629629627</v>
      </c>
      <c r="J365"/>
      <c r="K365"/>
      <c r="L365">
        <v>45671</v>
      </c>
      <c r="M365">
        <v>0.64067129629629638</v>
      </c>
      <c r="N365" t="s">
        <v>906</v>
      </c>
      <c r="O365" t="s">
        <v>909</v>
      </c>
      <c r="P365" t="s">
        <v>361</v>
      </c>
      <c r="Q365" t="s">
        <v>362</v>
      </c>
      <c r="R365" t="s">
        <v>363</v>
      </c>
      <c r="S365" t="s">
        <v>893</v>
      </c>
      <c r="T365" t="s">
        <v>910</v>
      </c>
      <c r="U365"/>
      <c r="V365"/>
      <c r="W365" t="s">
        <v>911</v>
      </c>
      <c r="X365" t="s">
        <v>912</v>
      </c>
      <c r="Y365" t="s">
        <v>367</v>
      </c>
      <c r="Z365" t="s">
        <v>65</v>
      </c>
      <c r="AA365"/>
      <c r="AB365"/>
      <c r="AC365"/>
      <c r="AD365"/>
      <c r="AE365" t="s">
        <v>913</v>
      </c>
      <c r="AF365" t="s">
        <v>67</v>
      </c>
      <c r="AG365" t="s">
        <v>219</v>
      </c>
      <c r="AH365" t="s">
        <v>368</v>
      </c>
      <c r="AI365" t="s">
        <v>160</v>
      </c>
      <c r="AJ365" t="s">
        <v>123</v>
      </c>
      <c r="AK365" t="s">
        <v>353</v>
      </c>
    </row>
    <row r="366" spans="1:37" x14ac:dyDescent="0.3">
      <c r="A366" t="s">
        <v>882</v>
      </c>
      <c r="B366" t="s">
        <v>870</v>
      </c>
      <c r="C366" s="2">
        <v>45764.926233206017</v>
      </c>
      <c r="D366" s="2">
        <v>45748.008695277778</v>
      </c>
      <c r="E366" s="2">
        <v>45760.800483449071</v>
      </c>
      <c r="F366" t="s">
        <v>871</v>
      </c>
      <c r="G366" t="s">
        <v>224</v>
      </c>
      <c r="H366">
        <v>45672</v>
      </c>
      <c r="I366">
        <v>0.53988425925925931</v>
      </c>
      <c r="J366"/>
      <c r="K366"/>
      <c r="L366">
        <v>45672</v>
      </c>
      <c r="M366">
        <v>0.5398842592592592</v>
      </c>
      <c r="N366" t="s">
        <v>892</v>
      </c>
      <c r="O366"/>
      <c r="P366"/>
      <c r="Q366" t="s">
        <v>227</v>
      </c>
      <c r="R366" t="s">
        <v>84</v>
      </c>
      <c r="S366" t="s">
        <v>907</v>
      </c>
      <c r="T366" t="s">
        <v>914</v>
      </c>
      <c r="U366"/>
      <c r="V366"/>
      <c r="W366" t="s">
        <v>229</v>
      </c>
      <c r="X366" t="s">
        <v>896</v>
      </c>
      <c r="Y366" t="s">
        <v>230</v>
      </c>
      <c r="Z366" t="s">
        <v>65</v>
      </c>
      <c r="AA366"/>
      <c r="AB366"/>
      <c r="AC366"/>
      <c r="AD366"/>
      <c r="AE366" t="s">
        <v>913</v>
      </c>
      <c r="AF366" t="s">
        <v>67</v>
      </c>
      <c r="AG366" t="s">
        <v>231</v>
      </c>
      <c r="AH366" t="s">
        <v>232</v>
      </c>
      <c r="AI366" t="s">
        <v>70</v>
      </c>
      <c r="AJ366" t="s">
        <v>71</v>
      </c>
      <c r="AK366" t="s">
        <v>221</v>
      </c>
    </row>
    <row r="367" spans="1:37" x14ac:dyDescent="0.3">
      <c r="A367" t="s">
        <v>882</v>
      </c>
      <c r="B367" t="s">
        <v>870</v>
      </c>
      <c r="C367" s="2">
        <v>45764.926233206017</v>
      </c>
      <c r="D367" s="2">
        <v>45748.008695277778</v>
      </c>
      <c r="E367" s="2">
        <v>45760.800483449071</v>
      </c>
      <c r="F367" t="s">
        <v>871</v>
      </c>
      <c r="G367" t="s">
        <v>129</v>
      </c>
      <c r="H367">
        <v>45673</v>
      </c>
      <c r="I367">
        <v>0.5</v>
      </c>
      <c r="J367">
        <v>45673</v>
      </c>
      <c r="K367">
        <v>0.75</v>
      </c>
      <c r="L367">
        <v>45673</v>
      </c>
      <c r="M367">
        <v>0.81587962962962957</v>
      </c>
      <c r="N367" t="s">
        <v>915</v>
      </c>
      <c r="O367"/>
      <c r="P367"/>
      <c r="Q367" t="s">
        <v>133</v>
      </c>
      <c r="R367" t="s">
        <v>134</v>
      </c>
      <c r="S367" t="s">
        <v>899</v>
      </c>
      <c r="T367" t="s">
        <v>916</v>
      </c>
      <c r="U367"/>
      <c r="V367"/>
      <c r="W367"/>
      <c r="X367"/>
      <c r="Y367"/>
      <c r="Z367"/>
      <c r="AA367"/>
      <c r="AB367"/>
      <c r="AC367"/>
      <c r="AD367"/>
      <c r="AE367" t="s">
        <v>904</v>
      </c>
      <c r="AF367" t="s">
        <v>67</v>
      </c>
      <c r="AG367" t="s">
        <v>136</v>
      </c>
      <c r="AH367" t="s">
        <v>69</v>
      </c>
      <c r="AI367" t="s">
        <v>70</v>
      </c>
      <c r="AJ367" t="s">
        <v>71</v>
      </c>
      <c r="AK367" t="s">
        <v>137</v>
      </c>
    </row>
    <row r="368" spans="1:37" x14ac:dyDescent="0.3">
      <c r="A368" t="s">
        <v>882</v>
      </c>
      <c r="B368" t="s">
        <v>870</v>
      </c>
      <c r="C368" s="2">
        <v>45764.926233206017</v>
      </c>
      <c r="D368" s="2">
        <v>45748.008695277778</v>
      </c>
      <c r="E368" s="2">
        <v>45760.800483449071</v>
      </c>
      <c r="F368" t="s">
        <v>871</v>
      </c>
      <c r="G368" t="s">
        <v>371</v>
      </c>
      <c r="H368">
        <v>45673</v>
      </c>
      <c r="I368">
        <v>0.87708333333333333</v>
      </c>
      <c r="J368">
        <v>45673</v>
      </c>
      <c r="K368">
        <v>0.88611111111111107</v>
      </c>
      <c r="L368">
        <v>45674</v>
      </c>
      <c r="M368">
        <v>0.51179398148148159</v>
      </c>
      <c r="N368" t="s">
        <v>906</v>
      </c>
      <c r="O368"/>
      <c r="P368"/>
      <c r="Q368" t="s">
        <v>374</v>
      </c>
      <c r="R368" t="s">
        <v>178</v>
      </c>
      <c r="S368" t="s">
        <v>893</v>
      </c>
      <c r="T368" t="s">
        <v>917</v>
      </c>
      <c r="U368"/>
      <c r="V368"/>
      <c r="W368"/>
      <c r="X368" t="s">
        <v>918</v>
      </c>
      <c r="Y368" t="s">
        <v>919</v>
      </c>
      <c r="Z368"/>
      <c r="AA368"/>
      <c r="AB368"/>
      <c r="AC368"/>
      <c r="AD368"/>
      <c r="AE368" t="s">
        <v>904</v>
      </c>
      <c r="AF368" t="s">
        <v>67</v>
      </c>
      <c r="AG368" t="s">
        <v>89</v>
      </c>
      <c r="AH368" t="s">
        <v>90</v>
      </c>
      <c r="AI368" t="s">
        <v>378</v>
      </c>
      <c r="AJ368" t="s">
        <v>435</v>
      </c>
      <c r="AK368" t="s">
        <v>353</v>
      </c>
    </row>
    <row r="369" spans="1:37" x14ac:dyDescent="0.3">
      <c r="A369" t="s">
        <v>882</v>
      </c>
      <c r="B369" t="s">
        <v>870</v>
      </c>
      <c r="C369" s="2">
        <v>45764.926233206017</v>
      </c>
      <c r="D369" s="2">
        <v>45748.008695277778</v>
      </c>
      <c r="E369" s="2">
        <v>45760.800483449071</v>
      </c>
      <c r="F369" t="s">
        <v>871</v>
      </c>
      <c r="G369" t="s">
        <v>236</v>
      </c>
      <c r="H369">
        <v>45678</v>
      </c>
      <c r="I369">
        <v>0.79166666666666663</v>
      </c>
      <c r="J369">
        <v>45679</v>
      </c>
      <c r="K369">
        <v>0.13125000000000009</v>
      </c>
      <c r="L369">
        <v>45679</v>
      </c>
      <c r="M369">
        <v>0.13255787037037048</v>
      </c>
      <c r="N369" t="s">
        <v>892</v>
      </c>
      <c r="O369"/>
      <c r="P369"/>
      <c r="Q369" t="s">
        <v>239</v>
      </c>
      <c r="R369" t="s">
        <v>178</v>
      </c>
      <c r="S369" t="s">
        <v>893</v>
      </c>
      <c r="T369" t="s">
        <v>920</v>
      </c>
      <c r="U369"/>
      <c r="V369"/>
      <c r="W369" t="s">
        <v>241</v>
      </c>
      <c r="X369" t="s">
        <v>63</v>
      </c>
      <c r="Y369" t="s">
        <v>242</v>
      </c>
      <c r="Z369" t="s">
        <v>65</v>
      </c>
      <c r="AA369"/>
      <c r="AB369"/>
      <c r="AC369"/>
      <c r="AD369"/>
      <c r="AE369" t="s">
        <v>921</v>
      </c>
      <c r="AF369" t="s">
        <v>67</v>
      </c>
      <c r="AG369" t="s">
        <v>244</v>
      </c>
      <c r="AH369" t="s">
        <v>206</v>
      </c>
      <c r="AI369" t="s">
        <v>160</v>
      </c>
      <c r="AJ369" t="s">
        <v>71</v>
      </c>
      <c r="AK369" t="s">
        <v>221</v>
      </c>
    </row>
    <row r="370" spans="1:37" x14ac:dyDescent="0.3">
      <c r="A370" t="s">
        <v>882</v>
      </c>
      <c r="B370" t="s">
        <v>870</v>
      </c>
      <c r="C370" s="2">
        <v>45764.926233206017</v>
      </c>
      <c r="D370" s="2">
        <v>45748.008695277778</v>
      </c>
      <c r="E370" s="2">
        <v>45760.800483449071</v>
      </c>
      <c r="F370" t="s">
        <v>871</v>
      </c>
      <c r="G370" t="s">
        <v>246</v>
      </c>
      <c r="H370">
        <v>45679</v>
      </c>
      <c r="I370">
        <v>0.33333333333333331</v>
      </c>
      <c r="J370">
        <v>45679</v>
      </c>
      <c r="K370">
        <v>0.80069444444444438</v>
      </c>
      <c r="L370">
        <v>45679</v>
      </c>
      <c r="M370">
        <v>0.8020370370370371</v>
      </c>
      <c r="N370" t="s">
        <v>892</v>
      </c>
      <c r="O370"/>
      <c r="P370"/>
      <c r="Q370" t="s">
        <v>249</v>
      </c>
      <c r="R370" t="s">
        <v>250</v>
      </c>
      <c r="S370" t="s">
        <v>922</v>
      </c>
      <c r="T370" t="s">
        <v>923</v>
      </c>
      <c r="U370"/>
      <c r="V370"/>
      <c r="W370" t="s">
        <v>252</v>
      </c>
      <c r="X370" t="s">
        <v>924</v>
      </c>
      <c r="Y370" t="s">
        <v>254</v>
      </c>
      <c r="Z370" t="s">
        <v>65</v>
      </c>
      <c r="AA370"/>
      <c r="AB370"/>
      <c r="AC370"/>
      <c r="AD370"/>
      <c r="AE370" t="s">
        <v>913</v>
      </c>
      <c r="AF370" t="s">
        <v>67</v>
      </c>
      <c r="AG370" t="s">
        <v>244</v>
      </c>
      <c r="AH370" t="s">
        <v>206</v>
      </c>
      <c r="AI370" t="s">
        <v>122</v>
      </c>
      <c r="AJ370" t="s">
        <v>71</v>
      </c>
      <c r="AK370" t="s">
        <v>221</v>
      </c>
    </row>
    <row r="371" spans="1:37" x14ac:dyDescent="0.3">
      <c r="A371" t="s">
        <v>882</v>
      </c>
      <c r="B371" t="s">
        <v>870</v>
      </c>
      <c r="C371" s="2">
        <v>45764.926233206017</v>
      </c>
      <c r="D371" s="2">
        <v>45748.008695277778</v>
      </c>
      <c r="E371" s="2">
        <v>45760.800483449071</v>
      </c>
      <c r="F371" t="s">
        <v>871</v>
      </c>
      <c r="G371" t="s">
        <v>409</v>
      </c>
      <c r="H371">
        <v>45680</v>
      </c>
      <c r="I371">
        <v>0.625</v>
      </c>
      <c r="J371"/>
      <c r="K371"/>
      <c r="L371">
        <v>45680</v>
      </c>
      <c r="M371">
        <v>0.66545138888888888</v>
      </c>
      <c r="N371" t="s">
        <v>925</v>
      </c>
      <c r="O371" t="s">
        <v>400</v>
      </c>
      <c r="P371"/>
      <c r="Q371" t="s">
        <v>414</v>
      </c>
      <c r="R371" t="s">
        <v>84</v>
      </c>
      <c r="S371" t="s">
        <v>907</v>
      </c>
      <c r="T371" t="s">
        <v>926</v>
      </c>
      <c r="U371"/>
      <c r="V371"/>
      <c r="W371"/>
      <c r="X371"/>
      <c r="Y371"/>
      <c r="Z371"/>
      <c r="AA371"/>
      <c r="AB371"/>
      <c r="AC371"/>
      <c r="AD371"/>
      <c r="AE371" t="s">
        <v>927</v>
      </c>
      <c r="AF371" t="s">
        <v>67</v>
      </c>
      <c r="AG371" t="s">
        <v>352</v>
      </c>
      <c r="AH371" t="s">
        <v>417</v>
      </c>
      <c r="AI371" t="s">
        <v>406</v>
      </c>
      <c r="AJ371" t="s">
        <v>418</v>
      </c>
      <c r="AK371"/>
    </row>
    <row r="372" spans="1:37" x14ac:dyDescent="0.3">
      <c r="A372" t="s">
        <v>882</v>
      </c>
      <c r="B372" t="s">
        <v>870</v>
      </c>
      <c r="C372" s="2">
        <v>45764.926233206017</v>
      </c>
      <c r="D372" s="2">
        <v>45748.008695277778</v>
      </c>
      <c r="E372" s="2">
        <v>45760.800483449071</v>
      </c>
      <c r="F372" t="s">
        <v>871</v>
      </c>
      <c r="G372" t="s">
        <v>140</v>
      </c>
      <c r="H372">
        <v>45682</v>
      </c>
      <c r="I372">
        <v>0.45833333333333331</v>
      </c>
      <c r="J372">
        <v>45682</v>
      </c>
      <c r="K372">
        <v>0.58333333333333326</v>
      </c>
      <c r="L372">
        <v>45682</v>
      </c>
      <c r="M372">
        <v>0.58054398148148145</v>
      </c>
      <c r="N372" t="s">
        <v>915</v>
      </c>
      <c r="O372"/>
      <c r="P372"/>
      <c r="Q372" t="s">
        <v>144</v>
      </c>
      <c r="R372" t="s">
        <v>145</v>
      </c>
      <c r="S372" t="s">
        <v>922</v>
      </c>
      <c r="T372" t="s">
        <v>928</v>
      </c>
      <c r="U372"/>
      <c r="V372"/>
      <c r="W372"/>
      <c r="X372"/>
      <c r="Y372"/>
      <c r="Z372"/>
      <c r="AA372"/>
      <c r="AB372"/>
      <c r="AC372"/>
      <c r="AD372"/>
      <c r="AE372" t="s">
        <v>929</v>
      </c>
      <c r="AF372" t="s">
        <v>67</v>
      </c>
      <c r="AG372" t="s">
        <v>147</v>
      </c>
      <c r="AH372" t="s">
        <v>90</v>
      </c>
      <c r="AI372" t="s">
        <v>70</v>
      </c>
      <c r="AJ372" t="s">
        <v>71</v>
      </c>
      <c r="AK372" t="s">
        <v>137</v>
      </c>
    </row>
    <row r="373" spans="1:37" x14ac:dyDescent="0.3">
      <c r="A373" t="s">
        <v>882</v>
      </c>
      <c r="B373" t="s">
        <v>870</v>
      </c>
      <c r="C373" s="2">
        <v>45764.926233206017</v>
      </c>
      <c r="D373" s="2">
        <v>45748.008695277778</v>
      </c>
      <c r="E373" s="2">
        <v>45760.800483449071</v>
      </c>
      <c r="F373" t="s">
        <v>871</v>
      </c>
      <c r="G373" t="s">
        <v>77</v>
      </c>
      <c r="H373">
        <v>45682</v>
      </c>
      <c r="I373">
        <v>0.76875000000000004</v>
      </c>
      <c r="J373"/>
      <c r="K373"/>
      <c r="L373">
        <v>45683</v>
      </c>
      <c r="M373">
        <v>0.44056712962962963</v>
      </c>
      <c r="N373" t="s">
        <v>902</v>
      </c>
      <c r="O373" t="s">
        <v>930</v>
      </c>
      <c r="P373"/>
      <c r="Q373" t="s">
        <v>83</v>
      </c>
      <c r="R373" t="s">
        <v>84</v>
      </c>
      <c r="S373" t="s">
        <v>907</v>
      </c>
      <c r="T373" t="s">
        <v>931</v>
      </c>
      <c r="U373"/>
      <c r="V373"/>
      <c r="W373" t="s">
        <v>932</v>
      </c>
      <c r="X373" t="s">
        <v>896</v>
      </c>
      <c r="Y373" t="s">
        <v>87</v>
      </c>
      <c r="Z373" t="s">
        <v>65</v>
      </c>
      <c r="AA373"/>
      <c r="AB373"/>
      <c r="AC373"/>
      <c r="AD373"/>
      <c r="AE373" t="s">
        <v>929</v>
      </c>
      <c r="AF373" t="s">
        <v>67</v>
      </c>
      <c r="AG373" t="s">
        <v>89</v>
      </c>
      <c r="AH373" t="s">
        <v>90</v>
      </c>
      <c r="AI373" t="s">
        <v>91</v>
      </c>
      <c r="AJ373" t="s">
        <v>92</v>
      </c>
      <c r="AK373" t="s">
        <v>72</v>
      </c>
    </row>
    <row r="374" spans="1:37" x14ac:dyDescent="0.3">
      <c r="A374" t="s">
        <v>882</v>
      </c>
      <c r="B374" t="s">
        <v>870</v>
      </c>
      <c r="C374" s="2">
        <v>45764.926233206017</v>
      </c>
      <c r="D374" s="2">
        <v>45748.008695277778</v>
      </c>
      <c r="E374" s="2">
        <v>45760.800483449071</v>
      </c>
      <c r="F374" t="s">
        <v>871</v>
      </c>
      <c r="G374" t="s">
        <v>96</v>
      </c>
      <c r="H374">
        <v>45683</v>
      </c>
      <c r="I374">
        <v>0.84027777777777779</v>
      </c>
      <c r="J374">
        <v>45683</v>
      </c>
      <c r="K374">
        <v>0.84652777777777777</v>
      </c>
      <c r="L374">
        <v>45683</v>
      </c>
      <c r="M374">
        <v>0.85009259259259262</v>
      </c>
      <c r="N374" t="s">
        <v>902</v>
      </c>
      <c r="O374" t="s">
        <v>930</v>
      </c>
      <c r="P374"/>
      <c r="Q374" t="s">
        <v>100</v>
      </c>
      <c r="R374" t="s">
        <v>101</v>
      </c>
      <c r="S374" t="s">
        <v>893</v>
      </c>
      <c r="T374" t="s">
        <v>933</v>
      </c>
      <c r="U374"/>
      <c r="V374"/>
      <c r="W374" t="s">
        <v>934</v>
      </c>
      <c r="X374" t="s">
        <v>896</v>
      </c>
      <c r="Y374" t="s">
        <v>104</v>
      </c>
      <c r="Z374" t="s">
        <v>935</v>
      </c>
      <c r="AA374"/>
      <c r="AB374"/>
      <c r="AC374"/>
      <c r="AD374"/>
      <c r="AE374" t="s">
        <v>904</v>
      </c>
      <c r="AF374" t="s">
        <v>67</v>
      </c>
      <c r="AG374" t="s">
        <v>105</v>
      </c>
      <c r="AH374" t="s">
        <v>69</v>
      </c>
      <c r="AI374" t="s">
        <v>106</v>
      </c>
      <c r="AJ374" t="s">
        <v>71</v>
      </c>
      <c r="AK374" t="s">
        <v>72</v>
      </c>
    </row>
    <row r="375" spans="1:37" x14ac:dyDescent="0.3">
      <c r="A375" t="s">
        <v>882</v>
      </c>
      <c r="B375" t="s">
        <v>870</v>
      </c>
      <c r="C375" s="2">
        <v>45764.926233206017</v>
      </c>
      <c r="D375" s="2">
        <v>45748.008695277778</v>
      </c>
      <c r="E375" s="2">
        <v>45760.800483449071</v>
      </c>
      <c r="F375" t="s">
        <v>871</v>
      </c>
      <c r="G375" t="s">
        <v>256</v>
      </c>
      <c r="H375">
        <v>45685</v>
      </c>
      <c r="I375">
        <v>0.625</v>
      </c>
      <c r="J375">
        <v>45686</v>
      </c>
      <c r="K375">
        <v>0.91736111111111107</v>
      </c>
      <c r="L375">
        <v>45686</v>
      </c>
      <c r="M375">
        <v>0.91833333333333322</v>
      </c>
      <c r="N375" t="s">
        <v>892</v>
      </c>
      <c r="O375" t="s">
        <v>930</v>
      </c>
      <c r="P375"/>
      <c r="Q375" t="s">
        <v>260</v>
      </c>
      <c r="R375" t="s">
        <v>261</v>
      </c>
      <c r="S375" t="s">
        <v>936</v>
      </c>
      <c r="T375" t="s">
        <v>937</v>
      </c>
      <c r="U375"/>
      <c r="V375"/>
      <c r="W375" t="s">
        <v>938</v>
      </c>
      <c r="X375" t="s">
        <v>939</v>
      </c>
      <c r="Y375" t="s">
        <v>265</v>
      </c>
      <c r="Z375" t="s">
        <v>65</v>
      </c>
      <c r="AA375"/>
      <c r="AB375"/>
      <c r="AC375"/>
      <c r="AD375"/>
      <c r="AE375" t="s">
        <v>940</v>
      </c>
      <c r="AF375" t="s">
        <v>67</v>
      </c>
      <c r="AG375" t="s">
        <v>244</v>
      </c>
      <c r="AH375" t="s">
        <v>206</v>
      </c>
      <c r="AI375" t="s">
        <v>70</v>
      </c>
      <c r="AJ375" t="s">
        <v>266</v>
      </c>
      <c r="AK375" t="s">
        <v>221</v>
      </c>
    </row>
    <row r="376" spans="1:37" x14ac:dyDescent="0.3">
      <c r="A376" t="s">
        <v>882</v>
      </c>
      <c r="B376" t="s">
        <v>870</v>
      </c>
      <c r="C376" s="2">
        <v>45764.926233206017</v>
      </c>
      <c r="D376" s="2">
        <v>45748.008695277778</v>
      </c>
      <c r="E376" s="2">
        <v>45760.800483449071</v>
      </c>
      <c r="F376" t="s">
        <v>871</v>
      </c>
      <c r="G376" t="s">
        <v>151</v>
      </c>
      <c r="H376">
        <v>45688</v>
      </c>
      <c r="I376">
        <v>0.49988425925925928</v>
      </c>
      <c r="J376"/>
      <c r="K376"/>
      <c r="L376">
        <v>45688</v>
      </c>
      <c r="M376">
        <v>0.49988425925925917</v>
      </c>
      <c r="N376" t="s">
        <v>915</v>
      </c>
      <c r="O376"/>
      <c r="P376"/>
      <c r="Q376" t="s">
        <v>154</v>
      </c>
      <c r="R376" t="s">
        <v>155</v>
      </c>
      <c r="S376" t="s">
        <v>907</v>
      </c>
      <c r="T376" t="s">
        <v>941</v>
      </c>
      <c r="U376"/>
      <c r="V376"/>
      <c r="W376"/>
      <c r="X376"/>
      <c r="Y376"/>
      <c r="Z376"/>
      <c r="AA376"/>
      <c r="AB376"/>
      <c r="AC376"/>
      <c r="AD376"/>
      <c r="AE376" t="s">
        <v>897</v>
      </c>
      <c r="AF376" t="s">
        <v>67</v>
      </c>
      <c r="AG376" t="s">
        <v>158</v>
      </c>
      <c r="AH376" t="s">
        <v>159</v>
      </c>
      <c r="AI376" t="s">
        <v>160</v>
      </c>
      <c r="AJ376" t="s">
        <v>71</v>
      </c>
      <c r="AK376" t="s">
        <v>137</v>
      </c>
    </row>
    <row r="377" spans="1:37" x14ac:dyDescent="0.3">
      <c r="A377" t="s">
        <v>882</v>
      </c>
      <c r="B377" t="s">
        <v>870</v>
      </c>
      <c r="C377" s="2">
        <v>45764.926233206017</v>
      </c>
      <c r="D377" s="2">
        <v>45748.008695277778</v>
      </c>
      <c r="E377" s="2">
        <v>45760.800483449071</v>
      </c>
      <c r="F377" t="s">
        <v>871</v>
      </c>
      <c r="G377" t="s">
        <v>269</v>
      </c>
      <c r="H377">
        <v>45689</v>
      </c>
      <c r="I377">
        <v>4.1666666666666664E-2</v>
      </c>
      <c r="J377"/>
      <c r="K377">
        <v>0.10416666666666674</v>
      </c>
      <c r="L377">
        <v>45689</v>
      </c>
      <c r="M377">
        <v>0.11982638888888886</v>
      </c>
      <c r="N377" t="s">
        <v>892</v>
      </c>
      <c r="O377"/>
      <c r="P377"/>
      <c r="Q377" t="s">
        <v>272</v>
      </c>
      <c r="R377" t="s">
        <v>273</v>
      </c>
      <c r="S377" t="s">
        <v>936</v>
      </c>
      <c r="T377" t="s">
        <v>942</v>
      </c>
      <c r="U377"/>
      <c r="V377"/>
      <c r="W377" t="s">
        <v>943</v>
      </c>
      <c r="X377" t="s">
        <v>944</v>
      </c>
      <c r="Y377" t="s">
        <v>276</v>
      </c>
      <c r="Z377" t="s">
        <v>65</v>
      </c>
      <c r="AA377"/>
      <c r="AB377"/>
      <c r="AC377"/>
      <c r="AD377"/>
      <c r="AE377" t="s">
        <v>913</v>
      </c>
      <c r="AF377" t="s">
        <v>67</v>
      </c>
      <c r="AG377" t="s">
        <v>244</v>
      </c>
      <c r="AH377" t="s">
        <v>206</v>
      </c>
      <c r="AI377" t="s">
        <v>122</v>
      </c>
      <c r="AJ377" t="s">
        <v>71</v>
      </c>
      <c r="AK377" t="s">
        <v>221</v>
      </c>
    </row>
    <row r="378" spans="1:37" x14ac:dyDescent="0.3">
      <c r="A378" t="s">
        <v>882</v>
      </c>
      <c r="B378" t="s">
        <v>870</v>
      </c>
      <c r="C378" s="2">
        <v>45764.926233206017</v>
      </c>
      <c r="D378" s="2">
        <v>45748.008695277778</v>
      </c>
      <c r="E378" s="2">
        <v>45760.800483449071</v>
      </c>
      <c r="F378" t="s">
        <v>871</v>
      </c>
      <c r="G378" t="s">
        <v>382</v>
      </c>
      <c r="H378">
        <v>45690</v>
      </c>
      <c r="I378">
        <v>0.72569444444444442</v>
      </c>
      <c r="J378">
        <v>45690</v>
      </c>
      <c r="K378">
        <v>0.75</v>
      </c>
      <c r="L378">
        <v>45691</v>
      </c>
      <c r="M378">
        <v>0.50143518518518526</v>
      </c>
      <c r="N378" t="s">
        <v>176</v>
      </c>
      <c r="O378" t="s">
        <v>906</v>
      </c>
      <c r="P378"/>
      <c r="Q378" t="s">
        <v>385</v>
      </c>
      <c r="R378" t="s">
        <v>145</v>
      </c>
      <c r="S378" t="s">
        <v>922</v>
      </c>
      <c r="T378" t="s">
        <v>945</v>
      </c>
      <c r="U378"/>
      <c r="V378"/>
      <c r="W378"/>
      <c r="X378"/>
      <c r="Y378"/>
      <c r="Z378"/>
      <c r="AA378"/>
      <c r="AB378"/>
      <c r="AC378"/>
      <c r="AD378"/>
      <c r="AE378" t="s">
        <v>904</v>
      </c>
      <c r="AF378" t="s">
        <v>67</v>
      </c>
      <c r="AG378" t="s">
        <v>105</v>
      </c>
      <c r="AH378" t="s">
        <v>69</v>
      </c>
      <c r="AI378" t="s">
        <v>180</v>
      </c>
      <c r="AJ378" t="s">
        <v>92</v>
      </c>
      <c r="AK378"/>
    </row>
    <row r="379" spans="1:37" x14ac:dyDescent="0.3">
      <c r="A379" t="s">
        <v>882</v>
      </c>
      <c r="B379" t="s">
        <v>870</v>
      </c>
      <c r="C379" s="2">
        <v>45764.926233206017</v>
      </c>
      <c r="D379" s="2">
        <v>45748.008695277778</v>
      </c>
      <c r="E379" s="2">
        <v>45760.800483449071</v>
      </c>
      <c r="F379" t="s">
        <v>871</v>
      </c>
      <c r="G379" t="s">
        <v>388</v>
      </c>
      <c r="H379"/>
      <c r="I379"/>
      <c r="J379"/>
      <c r="K379"/>
      <c r="L379">
        <v>45691</v>
      </c>
      <c r="M379">
        <v>0.69484953703703711</v>
      </c>
      <c r="N379" t="s">
        <v>906</v>
      </c>
      <c r="O379"/>
      <c r="P379"/>
      <c r="Q379" t="s">
        <v>390</v>
      </c>
      <c r="R379" t="s">
        <v>363</v>
      </c>
      <c r="S379" t="s">
        <v>893</v>
      </c>
      <c r="T379" t="s">
        <v>946</v>
      </c>
      <c r="U379"/>
      <c r="V379"/>
      <c r="W379"/>
      <c r="X379"/>
      <c r="Y379"/>
      <c r="Z379"/>
      <c r="AA379"/>
      <c r="AB379"/>
      <c r="AC379"/>
      <c r="AD379"/>
      <c r="AE379" t="s">
        <v>929</v>
      </c>
      <c r="AF379" t="s">
        <v>67</v>
      </c>
      <c r="AG379" t="s">
        <v>136</v>
      </c>
      <c r="AH379" t="s">
        <v>69</v>
      </c>
      <c r="AI379" t="s">
        <v>106</v>
      </c>
      <c r="AJ379" t="s">
        <v>71</v>
      </c>
      <c r="AK379" t="s">
        <v>353</v>
      </c>
    </row>
    <row r="380" spans="1:37" x14ac:dyDescent="0.3">
      <c r="A380" t="s">
        <v>882</v>
      </c>
      <c r="B380" t="s">
        <v>870</v>
      </c>
      <c r="C380" s="2">
        <v>45764.926233206017</v>
      </c>
      <c r="D380" s="2">
        <v>45748.008695277778</v>
      </c>
      <c r="E380" s="2">
        <v>45760.800483449071</v>
      </c>
      <c r="F380" t="s">
        <v>871</v>
      </c>
      <c r="G380" t="s">
        <v>279</v>
      </c>
      <c r="H380">
        <v>45691</v>
      </c>
      <c r="I380">
        <v>0.77083333333333337</v>
      </c>
      <c r="J380">
        <v>45692</v>
      </c>
      <c r="K380">
        <v>0.79166666666666674</v>
      </c>
      <c r="L380">
        <v>45692</v>
      </c>
      <c r="M380">
        <v>0.53023148148148147</v>
      </c>
      <c r="N380" t="s">
        <v>892</v>
      </c>
      <c r="O380"/>
      <c r="P380"/>
      <c r="Q380" t="s">
        <v>282</v>
      </c>
      <c r="R380" t="s">
        <v>283</v>
      </c>
      <c r="S380" t="s">
        <v>907</v>
      </c>
      <c r="T380" t="s">
        <v>947</v>
      </c>
      <c r="U380"/>
      <c r="V380"/>
      <c r="W380" t="s">
        <v>948</v>
      </c>
      <c r="X380" t="s">
        <v>286</v>
      </c>
      <c r="Y380" t="s">
        <v>949</v>
      </c>
      <c r="Z380" t="s">
        <v>288</v>
      </c>
      <c r="AA380"/>
      <c r="AB380"/>
      <c r="AC380"/>
      <c r="AD380"/>
      <c r="AE380" t="s">
        <v>904</v>
      </c>
      <c r="AF380" t="s">
        <v>67</v>
      </c>
      <c r="AG380" t="s">
        <v>105</v>
      </c>
      <c r="AH380" t="s">
        <v>69</v>
      </c>
      <c r="AI380" t="s">
        <v>70</v>
      </c>
      <c r="AJ380" t="s">
        <v>195</v>
      </c>
      <c r="AK380" t="s">
        <v>221</v>
      </c>
    </row>
    <row r="381" spans="1:37" x14ac:dyDescent="0.3">
      <c r="A381" t="s">
        <v>882</v>
      </c>
      <c r="B381" t="s">
        <v>870</v>
      </c>
      <c r="C381" s="2">
        <v>45764.926233206017</v>
      </c>
      <c r="D381" s="2">
        <v>45748.008695277778</v>
      </c>
      <c r="E381" s="2">
        <v>45760.800483449071</v>
      </c>
      <c r="F381" t="s">
        <v>871</v>
      </c>
      <c r="G381" t="s">
        <v>161</v>
      </c>
      <c r="H381">
        <v>45693</v>
      </c>
      <c r="I381">
        <v>0.12291666666666666</v>
      </c>
      <c r="J381"/>
      <c r="K381"/>
      <c r="L381">
        <v>45693</v>
      </c>
      <c r="M381">
        <v>0.12339120370370371</v>
      </c>
      <c r="N381" t="s">
        <v>950</v>
      </c>
      <c r="O381" t="s">
        <v>167</v>
      </c>
      <c r="P381"/>
      <c r="Q381" t="s">
        <v>168</v>
      </c>
      <c r="R381" t="s">
        <v>155</v>
      </c>
      <c r="S381" t="s">
        <v>907</v>
      </c>
      <c r="T381" t="s">
        <v>951</v>
      </c>
      <c r="U381"/>
      <c r="V381"/>
      <c r="W381"/>
      <c r="X381"/>
      <c r="Y381"/>
      <c r="Z381"/>
      <c r="AA381"/>
      <c r="AB381"/>
      <c r="AC381"/>
      <c r="AD381"/>
      <c r="AE381" t="s">
        <v>913</v>
      </c>
      <c r="AF381" t="s">
        <v>67</v>
      </c>
      <c r="AG381" t="s">
        <v>170</v>
      </c>
      <c r="AH381" t="s">
        <v>90</v>
      </c>
      <c r="AI381" t="s">
        <v>171</v>
      </c>
      <c r="AJ381" t="s">
        <v>123</v>
      </c>
      <c r="AK381" t="s">
        <v>137</v>
      </c>
    </row>
    <row r="382" spans="1:37" x14ac:dyDescent="0.3">
      <c r="A382" t="s">
        <v>882</v>
      </c>
      <c r="B382" t="s">
        <v>870</v>
      </c>
      <c r="C382" s="2">
        <v>45764.926233206017</v>
      </c>
      <c r="D382" s="2">
        <v>45748.008695277778</v>
      </c>
      <c r="E382" s="2">
        <v>45760.800483449071</v>
      </c>
      <c r="F382" t="s">
        <v>871</v>
      </c>
      <c r="G382" t="s">
        <v>292</v>
      </c>
      <c r="H382">
        <v>45695</v>
      </c>
      <c r="I382">
        <v>0.27430555555555558</v>
      </c>
      <c r="J382">
        <v>45695</v>
      </c>
      <c r="K382">
        <v>0.28472222222222232</v>
      </c>
      <c r="L382">
        <v>45695</v>
      </c>
      <c r="M382">
        <v>0.30738425925925927</v>
      </c>
      <c r="N382" t="s">
        <v>892</v>
      </c>
      <c r="O382"/>
      <c r="P382"/>
      <c r="Q382" t="s">
        <v>296</v>
      </c>
      <c r="R382" t="s">
        <v>203</v>
      </c>
      <c r="S382" t="s">
        <v>922</v>
      </c>
      <c r="T382" t="s">
        <v>952</v>
      </c>
      <c r="U382"/>
      <c r="V382"/>
      <c r="W382" t="s">
        <v>953</v>
      </c>
      <c r="X382" t="s">
        <v>954</v>
      </c>
      <c r="Y382" t="s">
        <v>300</v>
      </c>
      <c r="Z382" t="s">
        <v>65</v>
      </c>
      <c r="AA382"/>
      <c r="AB382"/>
      <c r="AC382"/>
      <c r="AD382"/>
      <c r="AE382" t="s">
        <v>913</v>
      </c>
      <c r="AF382" t="s">
        <v>67</v>
      </c>
      <c r="AG382" t="s">
        <v>301</v>
      </c>
      <c r="AH382" t="s">
        <v>121</v>
      </c>
      <c r="AI382" t="s">
        <v>180</v>
      </c>
      <c r="AJ382" t="s">
        <v>92</v>
      </c>
      <c r="AK382" t="s">
        <v>221</v>
      </c>
    </row>
    <row r="383" spans="1:37" x14ac:dyDescent="0.3">
      <c r="A383" t="s">
        <v>882</v>
      </c>
      <c r="B383" t="s">
        <v>870</v>
      </c>
      <c r="C383" s="2">
        <v>45764.926233206017</v>
      </c>
      <c r="D383" s="2">
        <v>45748.008695277778</v>
      </c>
      <c r="E383" s="2">
        <v>45760.800483449071</v>
      </c>
      <c r="F383" t="s">
        <v>871</v>
      </c>
      <c r="G383" t="s">
        <v>305</v>
      </c>
      <c r="H383">
        <v>45688</v>
      </c>
      <c r="I383">
        <v>0.5</v>
      </c>
      <c r="J383">
        <v>45695</v>
      </c>
      <c r="K383">
        <v>0.54166666666666674</v>
      </c>
      <c r="L383">
        <v>45696</v>
      </c>
      <c r="M383">
        <v>0.3903240740740741</v>
      </c>
      <c r="N383" t="s">
        <v>892</v>
      </c>
      <c r="O383"/>
      <c r="P383"/>
      <c r="Q383" t="s">
        <v>308</v>
      </c>
      <c r="R383" t="s">
        <v>250</v>
      </c>
      <c r="S383" t="s">
        <v>922</v>
      </c>
      <c r="T383" t="s">
        <v>955</v>
      </c>
      <c r="U383"/>
      <c r="V383"/>
      <c r="W383" t="s">
        <v>956</v>
      </c>
      <c r="X383"/>
      <c r="Y383" t="s">
        <v>230</v>
      </c>
      <c r="Z383" t="s">
        <v>935</v>
      </c>
      <c r="AA383"/>
      <c r="AB383"/>
      <c r="AC383"/>
      <c r="AD383"/>
      <c r="AE383" t="s">
        <v>913</v>
      </c>
      <c r="AF383" t="s">
        <v>67</v>
      </c>
      <c r="AG383" t="s">
        <v>205</v>
      </c>
      <c r="AH383" t="s">
        <v>206</v>
      </c>
      <c r="AI383" t="s">
        <v>106</v>
      </c>
      <c r="AJ383" t="s">
        <v>71</v>
      </c>
      <c r="AK383" t="s">
        <v>221</v>
      </c>
    </row>
    <row r="384" spans="1:37" x14ac:dyDescent="0.3">
      <c r="A384" t="s">
        <v>882</v>
      </c>
      <c r="B384" t="s">
        <v>870</v>
      </c>
      <c r="C384" s="2">
        <v>45764.926233206017</v>
      </c>
      <c r="D384" s="2">
        <v>45748.008695277778</v>
      </c>
      <c r="E384" s="2">
        <v>45760.800483449071</v>
      </c>
      <c r="F384" t="s">
        <v>871</v>
      </c>
      <c r="G384" t="s">
        <v>437</v>
      </c>
      <c r="H384">
        <v>45701</v>
      </c>
      <c r="I384">
        <v>8.3333333333333329E-2</v>
      </c>
      <c r="J384"/>
      <c r="K384"/>
      <c r="L384">
        <v>45701</v>
      </c>
      <c r="M384">
        <v>0.51225694444444447</v>
      </c>
      <c r="N384" t="s">
        <v>440</v>
      </c>
      <c r="O384" t="s">
        <v>957</v>
      </c>
      <c r="P384" t="s">
        <v>906</v>
      </c>
      <c r="Q384" t="s">
        <v>443</v>
      </c>
      <c r="R384" t="s">
        <v>191</v>
      </c>
      <c r="S384" t="s">
        <v>893</v>
      </c>
      <c r="T384" t="s">
        <v>958</v>
      </c>
      <c r="U384"/>
      <c r="V384"/>
      <c r="W384"/>
      <c r="X384"/>
      <c r="Y384"/>
      <c r="Z384"/>
      <c r="AA384"/>
      <c r="AB384"/>
      <c r="AC384"/>
      <c r="AD384"/>
      <c r="AE384" t="s">
        <v>959</v>
      </c>
      <c r="AF384" t="s">
        <v>67</v>
      </c>
      <c r="AG384" t="s">
        <v>120</v>
      </c>
      <c r="AH384" t="s">
        <v>121</v>
      </c>
      <c r="AI384" t="s">
        <v>378</v>
      </c>
      <c r="AJ384" t="s">
        <v>446</v>
      </c>
      <c r="AK384"/>
    </row>
    <row r="385" spans="1:37" x14ac:dyDescent="0.3">
      <c r="A385" t="s">
        <v>882</v>
      </c>
      <c r="B385" t="s">
        <v>870</v>
      </c>
      <c r="C385" s="2">
        <v>45764.926233206017</v>
      </c>
      <c r="D385" s="2">
        <v>45748.008695277778</v>
      </c>
      <c r="E385" s="2">
        <v>45760.800483449071</v>
      </c>
      <c r="F385" t="s">
        <v>871</v>
      </c>
      <c r="G385" t="s">
        <v>110</v>
      </c>
      <c r="H385">
        <v>45701</v>
      </c>
      <c r="I385">
        <v>0.66666666666666663</v>
      </c>
      <c r="J385"/>
      <c r="K385"/>
      <c r="L385">
        <v>45702</v>
      </c>
      <c r="M385">
        <v>0.29906250000000001</v>
      </c>
      <c r="N385" t="s">
        <v>902</v>
      </c>
      <c r="O385"/>
      <c r="P385"/>
      <c r="Q385" t="s">
        <v>113</v>
      </c>
      <c r="R385" t="s">
        <v>114</v>
      </c>
      <c r="S385" t="s">
        <v>936</v>
      </c>
      <c r="T385" t="s">
        <v>960</v>
      </c>
      <c r="U385"/>
      <c r="V385"/>
      <c r="W385" t="s">
        <v>116</v>
      </c>
      <c r="X385" t="s">
        <v>944</v>
      </c>
      <c r="Y385" t="s">
        <v>118</v>
      </c>
      <c r="Z385" t="s">
        <v>65</v>
      </c>
      <c r="AA385"/>
      <c r="AB385"/>
      <c r="AC385"/>
      <c r="AD385"/>
      <c r="AE385" t="s">
        <v>913</v>
      </c>
      <c r="AF385" t="s">
        <v>67</v>
      </c>
      <c r="AG385" t="s">
        <v>120</v>
      </c>
      <c r="AH385" t="s">
        <v>121</v>
      </c>
      <c r="AI385" t="s">
        <v>122</v>
      </c>
      <c r="AJ385" t="s">
        <v>71</v>
      </c>
      <c r="AK385" t="s">
        <v>72</v>
      </c>
    </row>
    <row r="386" spans="1:37" x14ac:dyDescent="0.3">
      <c r="A386" t="s">
        <v>882</v>
      </c>
      <c r="B386" t="s">
        <v>870</v>
      </c>
      <c r="C386" s="2">
        <v>45764.926233206017</v>
      </c>
      <c r="D386" s="2">
        <v>45748.008695277778</v>
      </c>
      <c r="E386" s="2">
        <v>45760.800483449071</v>
      </c>
      <c r="F386" t="s">
        <v>871</v>
      </c>
      <c r="G386" t="s">
        <v>313</v>
      </c>
      <c r="H386">
        <v>45705</v>
      </c>
      <c r="I386">
        <v>0.34877314814814814</v>
      </c>
      <c r="J386"/>
      <c r="K386"/>
      <c r="L386">
        <v>45705</v>
      </c>
      <c r="M386">
        <v>0.34877314814814819</v>
      </c>
      <c r="N386" t="s">
        <v>892</v>
      </c>
      <c r="O386" t="s">
        <v>317</v>
      </c>
      <c r="P386"/>
      <c r="Q386" t="s">
        <v>318</v>
      </c>
      <c r="R386" t="s">
        <v>134</v>
      </c>
      <c r="S386" t="s">
        <v>899</v>
      </c>
      <c r="T386" t="s">
        <v>961</v>
      </c>
      <c r="U386"/>
      <c r="V386"/>
      <c r="W386" t="s">
        <v>962</v>
      </c>
      <c r="X386" t="s">
        <v>896</v>
      </c>
      <c r="Y386" t="s">
        <v>218</v>
      </c>
      <c r="Z386" t="s">
        <v>65</v>
      </c>
      <c r="AA386"/>
      <c r="AB386"/>
      <c r="AC386"/>
      <c r="AD386"/>
      <c r="AE386" t="s">
        <v>904</v>
      </c>
      <c r="AF386" t="s">
        <v>67</v>
      </c>
      <c r="AG386" t="s">
        <v>68</v>
      </c>
      <c r="AH386" t="s">
        <v>69</v>
      </c>
      <c r="AI386" t="s">
        <v>122</v>
      </c>
      <c r="AJ386" t="s">
        <v>71</v>
      </c>
      <c r="AK386" t="s">
        <v>221</v>
      </c>
    </row>
    <row r="387" spans="1:37" x14ac:dyDescent="0.3">
      <c r="A387" t="s">
        <v>882</v>
      </c>
      <c r="B387" t="s">
        <v>870</v>
      </c>
      <c r="C387" s="2">
        <v>45764.926233206017</v>
      </c>
      <c r="D387" s="2">
        <v>45748.008695277778</v>
      </c>
      <c r="E387" s="2">
        <v>45760.800483449071</v>
      </c>
      <c r="F387" t="s">
        <v>871</v>
      </c>
      <c r="G387" t="s">
        <v>324</v>
      </c>
      <c r="H387">
        <v>45705</v>
      </c>
      <c r="I387">
        <v>0.39716435185185184</v>
      </c>
      <c r="J387"/>
      <c r="K387"/>
      <c r="L387">
        <v>45705</v>
      </c>
      <c r="M387">
        <v>0.39716435185185195</v>
      </c>
      <c r="N387" t="s">
        <v>892</v>
      </c>
      <c r="O387"/>
      <c r="P387"/>
      <c r="Q387" t="s">
        <v>326</v>
      </c>
      <c r="R387" t="s">
        <v>327</v>
      </c>
      <c r="S387" t="s">
        <v>899</v>
      </c>
      <c r="T387" t="s">
        <v>963</v>
      </c>
      <c r="U387"/>
      <c r="V387"/>
      <c r="W387" t="s">
        <v>964</v>
      </c>
      <c r="X387" t="s">
        <v>896</v>
      </c>
      <c r="Y387" t="s">
        <v>218</v>
      </c>
      <c r="Z387" t="s">
        <v>935</v>
      </c>
      <c r="AA387"/>
      <c r="AB387"/>
      <c r="AC387"/>
      <c r="AD387"/>
      <c r="AE387" t="s">
        <v>904</v>
      </c>
      <c r="AF387" t="s">
        <v>67</v>
      </c>
      <c r="AG387" t="s">
        <v>330</v>
      </c>
      <c r="AH387" t="s">
        <v>69</v>
      </c>
      <c r="AI387" t="s">
        <v>122</v>
      </c>
      <c r="AJ387" t="s">
        <v>71</v>
      </c>
      <c r="AK387" t="s">
        <v>221</v>
      </c>
    </row>
    <row r="388" spans="1:37" x14ac:dyDescent="0.3">
      <c r="A388" t="s">
        <v>882</v>
      </c>
      <c r="B388" t="s">
        <v>870</v>
      </c>
      <c r="C388" s="2">
        <v>45764.926233206017</v>
      </c>
      <c r="D388" s="2">
        <v>45748.008695277778</v>
      </c>
      <c r="E388" s="2">
        <v>45760.800483449071</v>
      </c>
      <c r="F388" t="s">
        <v>871</v>
      </c>
      <c r="G388" t="s">
        <v>173</v>
      </c>
      <c r="H388">
        <v>45705</v>
      </c>
      <c r="I388">
        <v>0.52497685185185183</v>
      </c>
      <c r="J388"/>
      <c r="K388"/>
      <c r="L388">
        <v>45705</v>
      </c>
      <c r="M388">
        <v>0.52497685185185183</v>
      </c>
      <c r="N388" t="s">
        <v>950</v>
      </c>
      <c r="O388" t="s">
        <v>176</v>
      </c>
      <c r="P388"/>
      <c r="Q388" t="s">
        <v>177</v>
      </c>
      <c r="R388" t="s">
        <v>178</v>
      </c>
      <c r="S388" t="s">
        <v>893</v>
      </c>
      <c r="T388" t="s">
        <v>965</v>
      </c>
      <c r="U388"/>
      <c r="V388"/>
      <c r="W388"/>
      <c r="X388"/>
      <c r="Y388"/>
      <c r="Z388"/>
      <c r="AA388"/>
      <c r="AB388"/>
      <c r="AC388"/>
      <c r="AD388"/>
      <c r="AE388" t="s">
        <v>904</v>
      </c>
      <c r="AF388" t="s">
        <v>67</v>
      </c>
      <c r="AG388" t="s">
        <v>68</v>
      </c>
      <c r="AH388" t="s">
        <v>69</v>
      </c>
      <c r="AI388" t="s">
        <v>180</v>
      </c>
      <c r="AJ388" t="s">
        <v>71</v>
      </c>
      <c r="AK388" t="s">
        <v>137</v>
      </c>
    </row>
    <row r="389" spans="1:37" x14ac:dyDescent="0.3">
      <c r="A389" t="s">
        <v>882</v>
      </c>
      <c r="B389" t="s">
        <v>870</v>
      </c>
      <c r="C389" s="2">
        <v>45764.926233206017</v>
      </c>
      <c r="D389" s="2">
        <v>45748.008695277778</v>
      </c>
      <c r="E389" s="2">
        <v>45760.800483449071</v>
      </c>
      <c r="F389" t="s">
        <v>871</v>
      </c>
      <c r="G389" t="s">
        <v>420</v>
      </c>
      <c r="H389">
        <v>45705</v>
      </c>
      <c r="I389">
        <v>0.83333333333333337</v>
      </c>
      <c r="J389">
        <v>45705</v>
      </c>
      <c r="K389">
        <v>0.98958333333333326</v>
      </c>
      <c r="L389">
        <v>45706</v>
      </c>
      <c r="M389">
        <v>0.73564814814814805</v>
      </c>
      <c r="N389" t="s">
        <v>423</v>
      </c>
      <c r="O389" t="s">
        <v>925</v>
      </c>
      <c r="P389"/>
      <c r="Q389" t="s">
        <v>425</v>
      </c>
      <c r="R389" t="s">
        <v>426</v>
      </c>
      <c r="S389" t="s">
        <v>907</v>
      </c>
      <c r="T389" t="s">
        <v>966</v>
      </c>
      <c r="U389"/>
      <c r="V389"/>
      <c r="W389"/>
      <c r="X389"/>
      <c r="Y389"/>
      <c r="Z389"/>
      <c r="AA389"/>
      <c r="AB389"/>
      <c r="AC389"/>
      <c r="AD389"/>
      <c r="AE389" t="s">
        <v>927</v>
      </c>
      <c r="AF389" t="s">
        <v>67</v>
      </c>
      <c r="AG389" t="s">
        <v>106</v>
      </c>
      <c r="AH389" t="s">
        <v>417</v>
      </c>
      <c r="AI389" t="s">
        <v>106</v>
      </c>
      <c r="AJ389" t="s">
        <v>266</v>
      </c>
      <c r="AK389"/>
    </row>
    <row r="390" spans="1:37" x14ac:dyDescent="0.3">
      <c r="A390" t="s">
        <v>882</v>
      </c>
      <c r="B390" t="s">
        <v>870</v>
      </c>
      <c r="C390" s="2">
        <v>45764.926233206017</v>
      </c>
      <c r="D390" s="2">
        <v>45748.008695277778</v>
      </c>
      <c r="E390" s="2">
        <v>45760.800483449071</v>
      </c>
      <c r="F390" t="s">
        <v>871</v>
      </c>
      <c r="G390" t="s">
        <v>429</v>
      </c>
      <c r="H390">
        <v>42906</v>
      </c>
      <c r="I390">
        <v>0.53615740740740736</v>
      </c>
      <c r="J390">
        <v>45555</v>
      </c>
      <c r="K390"/>
      <c r="L390">
        <v>45708</v>
      </c>
      <c r="M390">
        <v>0.53615740740740736</v>
      </c>
      <c r="N390" t="s">
        <v>925</v>
      </c>
      <c r="O390"/>
      <c r="P390"/>
      <c r="Q390" t="s">
        <v>432</v>
      </c>
      <c r="R390" t="s">
        <v>101</v>
      </c>
      <c r="S390" t="s">
        <v>907</v>
      </c>
      <c r="T390" t="s">
        <v>974</v>
      </c>
      <c r="U390"/>
      <c r="V390"/>
      <c r="W390"/>
      <c r="X390"/>
      <c r="Y390"/>
      <c r="Z390"/>
      <c r="AA390"/>
      <c r="AB390"/>
      <c r="AC390"/>
      <c r="AD390"/>
      <c r="AE390" t="s">
        <v>904</v>
      </c>
      <c r="AF390" t="s">
        <v>67</v>
      </c>
      <c r="AG390" t="s">
        <v>434</v>
      </c>
      <c r="AH390" t="s">
        <v>69</v>
      </c>
      <c r="AI390" t="s">
        <v>352</v>
      </c>
      <c r="AJ390" t="s">
        <v>435</v>
      </c>
      <c r="AK390" t="s">
        <v>436</v>
      </c>
    </row>
    <row r="391" spans="1:37" x14ac:dyDescent="0.3">
      <c r="A391" t="s">
        <v>882</v>
      </c>
      <c r="B391" t="s">
        <v>870</v>
      </c>
      <c r="C391" s="2">
        <v>45764.926233206017</v>
      </c>
      <c r="D391" s="2">
        <v>45748.008695277778</v>
      </c>
      <c r="E391" s="2">
        <v>45760.800483449071</v>
      </c>
      <c r="F391" t="s">
        <v>871</v>
      </c>
      <c r="G391" t="s">
        <v>332</v>
      </c>
      <c r="H391">
        <v>45713</v>
      </c>
      <c r="I391">
        <v>0.41666666666666669</v>
      </c>
      <c r="J391">
        <v>45713</v>
      </c>
      <c r="K391">
        <v>0.95833333333333326</v>
      </c>
      <c r="L391">
        <v>45712</v>
      </c>
      <c r="M391">
        <v>0.9913657407407408</v>
      </c>
      <c r="N391" t="s">
        <v>892</v>
      </c>
      <c r="O391"/>
      <c r="P391"/>
      <c r="Q391" t="s">
        <v>335</v>
      </c>
      <c r="R391" t="s">
        <v>250</v>
      </c>
      <c r="S391" t="s">
        <v>922</v>
      </c>
      <c r="T391" t="s">
        <v>973</v>
      </c>
      <c r="U391"/>
      <c r="V391"/>
      <c r="W391" t="s">
        <v>337</v>
      </c>
      <c r="X391" t="s">
        <v>896</v>
      </c>
      <c r="Y391" t="s">
        <v>338</v>
      </c>
      <c r="Z391" t="s">
        <v>339</v>
      </c>
      <c r="AA391"/>
      <c r="AB391"/>
      <c r="AC391"/>
      <c r="AD391"/>
      <c r="AE391" t="s">
        <v>897</v>
      </c>
      <c r="AF391" t="s">
        <v>67</v>
      </c>
      <c r="AG391" t="s">
        <v>158</v>
      </c>
      <c r="AH391" t="s">
        <v>159</v>
      </c>
      <c r="AI391" t="s">
        <v>160</v>
      </c>
      <c r="AJ391" t="s">
        <v>975</v>
      </c>
      <c r="AK391" t="s">
        <v>221</v>
      </c>
    </row>
    <row r="392" spans="1:37" x14ac:dyDescent="0.3">
      <c r="A392" t="s">
        <v>882</v>
      </c>
      <c r="B392" t="s">
        <v>870</v>
      </c>
      <c r="C392" s="2">
        <v>45764.926233206017</v>
      </c>
      <c r="D392" s="2">
        <v>45748.008695277778</v>
      </c>
      <c r="E392" s="2">
        <v>45760.800483449071</v>
      </c>
      <c r="F392" t="s">
        <v>871</v>
      </c>
      <c r="G392" t="s">
        <v>492</v>
      </c>
      <c r="H392">
        <v>45720</v>
      </c>
      <c r="I392">
        <v>0.64097222222222228</v>
      </c>
      <c r="J392"/>
      <c r="K392"/>
      <c r="L392">
        <v>45720</v>
      </c>
      <c r="M392">
        <v>0.64444444444444438</v>
      </c>
      <c r="N392" t="s">
        <v>906</v>
      </c>
      <c r="O392" t="s">
        <v>976</v>
      </c>
      <c r="P392" t="s">
        <v>344</v>
      </c>
      <c r="Q392" t="s">
        <v>497</v>
      </c>
      <c r="R392" t="s">
        <v>84</v>
      </c>
      <c r="S392" t="s">
        <v>907</v>
      </c>
      <c r="T392" t="s">
        <v>977</v>
      </c>
      <c r="U392"/>
      <c r="V392"/>
      <c r="W392" t="s">
        <v>499</v>
      </c>
      <c r="X392" t="s">
        <v>500</v>
      </c>
      <c r="Y392" t="s">
        <v>501</v>
      </c>
      <c r="Z392" t="s">
        <v>65</v>
      </c>
      <c r="AA392"/>
      <c r="AB392"/>
      <c r="AC392"/>
      <c r="AD392"/>
      <c r="AE392" t="s">
        <v>978</v>
      </c>
      <c r="AF392" t="s">
        <v>67</v>
      </c>
      <c r="AG392" t="s">
        <v>502</v>
      </c>
      <c r="AH392" t="s">
        <v>159</v>
      </c>
      <c r="AI392" t="s">
        <v>378</v>
      </c>
      <c r="AJ392" t="s">
        <v>195</v>
      </c>
      <c r="AK392" t="s">
        <v>353</v>
      </c>
    </row>
    <row r="393" spans="1:37" x14ac:dyDescent="0.3">
      <c r="A393" t="s">
        <v>882</v>
      </c>
      <c r="B393" t="s">
        <v>870</v>
      </c>
      <c r="C393" s="2">
        <v>45764.926233206017</v>
      </c>
      <c r="D393" s="2">
        <v>45748.008695277778</v>
      </c>
      <c r="E393" s="2">
        <v>45760.800483449071</v>
      </c>
      <c r="F393" t="s">
        <v>871</v>
      </c>
      <c r="G393" t="s">
        <v>484</v>
      </c>
      <c r="H393">
        <v>45720</v>
      </c>
      <c r="I393">
        <v>0.79126157407407405</v>
      </c>
      <c r="J393"/>
      <c r="K393"/>
      <c r="L393">
        <v>45720</v>
      </c>
      <c r="M393">
        <v>0.79126157407407405</v>
      </c>
      <c r="N393" t="s">
        <v>906</v>
      </c>
      <c r="O393"/>
      <c r="P393"/>
      <c r="Q393" t="s">
        <v>487</v>
      </c>
      <c r="R393" t="s">
        <v>261</v>
      </c>
      <c r="S393" t="s">
        <v>936</v>
      </c>
      <c r="T393" t="s">
        <v>979</v>
      </c>
      <c r="U393"/>
      <c r="V393"/>
      <c r="W393"/>
      <c r="X393"/>
      <c r="Y393"/>
      <c r="Z393"/>
      <c r="AA393"/>
      <c r="AB393"/>
      <c r="AC393"/>
      <c r="AD393"/>
      <c r="AE393" t="s">
        <v>978</v>
      </c>
      <c r="AF393" t="s">
        <v>67</v>
      </c>
      <c r="AG393" t="s">
        <v>489</v>
      </c>
      <c r="AH393" t="s">
        <v>206</v>
      </c>
      <c r="AI393" t="s">
        <v>70</v>
      </c>
      <c r="AJ393" t="s">
        <v>195</v>
      </c>
      <c r="AK393" t="s">
        <v>353</v>
      </c>
    </row>
    <row r="394" spans="1:37" x14ac:dyDescent="0.3">
      <c r="A394" t="s">
        <v>882</v>
      </c>
      <c r="B394" t="s">
        <v>870</v>
      </c>
      <c r="C394" s="2">
        <v>45764.926233206017</v>
      </c>
      <c r="D394" s="2">
        <v>45748.008695277778</v>
      </c>
      <c r="E394" s="2">
        <v>45760.800483449071</v>
      </c>
      <c r="F394" t="s">
        <v>871</v>
      </c>
      <c r="G394" t="s">
        <v>460</v>
      </c>
      <c r="H394">
        <v>45722</v>
      </c>
      <c r="I394">
        <v>0.94149305555555551</v>
      </c>
      <c r="J394"/>
      <c r="K394"/>
      <c r="L394">
        <v>45722</v>
      </c>
      <c r="M394">
        <v>0.94149305555555562</v>
      </c>
      <c r="N394" t="s">
        <v>902</v>
      </c>
      <c r="O394"/>
      <c r="P394"/>
      <c r="Q394" t="s">
        <v>464</v>
      </c>
      <c r="R394" t="s">
        <v>84</v>
      </c>
      <c r="S394" t="s">
        <v>907</v>
      </c>
      <c r="T394" t="s">
        <v>980</v>
      </c>
      <c r="U394"/>
      <c r="V394"/>
      <c r="W394" t="s">
        <v>466</v>
      </c>
      <c r="X394" t="s">
        <v>944</v>
      </c>
      <c r="Y394" t="s">
        <v>467</v>
      </c>
      <c r="Z394" t="s">
        <v>65</v>
      </c>
      <c r="AA394"/>
      <c r="AB394"/>
      <c r="AC394"/>
      <c r="AD394"/>
      <c r="AE394" t="s">
        <v>981</v>
      </c>
      <c r="AF394" t="s">
        <v>67</v>
      </c>
      <c r="AG394" t="s">
        <v>68</v>
      </c>
      <c r="AH394" t="s">
        <v>69</v>
      </c>
      <c r="AI394" t="s">
        <v>160</v>
      </c>
      <c r="AJ394" t="s">
        <v>123</v>
      </c>
      <c r="AK394" t="s">
        <v>72</v>
      </c>
    </row>
    <row r="395" spans="1:37" x14ac:dyDescent="0.3">
      <c r="A395" t="s">
        <v>882</v>
      </c>
      <c r="B395" t="s">
        <v>870</v>
      </c>
      <c r="C395" s="2">
        <v>45764.926233206017</v>
      </c>
      <c r="D395" s="2">
        <v>45748.008695277778</v>
      </c>
      <c r="E395" s="2">
        <v>45760.800483449071</v>
      </c>
      <c r="F395" t="s">
        <v>871</v>
      </c>
      <c r="G395" t="s">
        <v>472</v>
      </c>
      <c r="H395">
        <v>45725</v>
      </c>
      <c r="I395">
        <v>0.8125</v>
      </c>
      <c r="J395">
        <v>45726</v>
      </c>
      <c r="K395">
        <v>0.35416666666666674</v>
      </c>
      <c r="L395">
        <v>45726</v>
      </c>
      <c r="M395">
        <v>0.37046296296296299</v>
      </c>
      <c r="N395" t="s">
        <v>902</v>
      </c>
      <c r="O395"/>
      <c r="P395"/>
      <c r="Q395" t="s">
        <v>475</v>
      </c>
      <c r="R395" t="s">
        <v>134</v>
      </c>
      <c r="S395" t="s">
        <v>899</v>
      </c>
      <c r="T395" t="s">
        <v>982</v>
      </c>
      <c r="U395"/>
      <c r="V395"/>
      <c r="W395" t="s">
        <v>477</v>
      </c>
      <c r="X395" t="s">
        <v>478</v>
      </c>
      <c r="Y395" t="s">
        <v>479</v>
      </c>
      <c r="Z395" t="s">
        <v>65</v>
      </c>
      <c r="AA395"/>
      <c r="AB395"/>
      <c r="AC395"/>
      <c r="AD395"/>
      <c r="AE395" t="s">
        <v>897</v>
      </c>
      <c r="AF395" t="s">
        <v>67</v>
      </c>
      <c r="AG395" t="s">
        <v>480</v>
      </c>
      <c r="AH395" t="s">
        <v>351</v>
      </c>
      <c r="AI395" t="s">
        <v>122</v>
      </c>
      <c r="AJ395" t="s">
        <v>71</v>
      </c>
      <c r="AK395" t="s">
        <v>72</v>
      </c>
    </row>
    <row r="396" spans="1:37" x14ac:dyDescent="0.3">
      <c r="A396" t="s">
        <v>882</v>
      </c>
      <c r="B396" t="s">
        <v>870</v>
      </c>
      <c r="C396" s="2">
        <v>45764.926233206017</v>
      </c>
      <c r="D396" s="2">
        <v>45748.008695277778</v>
      </c>
      <c r="E396" s="2">
        <v>45760.800483449071</v>
      </c>
      <c r="F396" t="s">
        <v>871</v>
      </c>
      <c r="G396" t="s">
        <v>529</v>
      </c>
      <c r="H396">
        <v>45726</v>
      </c>
      <c r="I396">
        <v>4.6527777777777779E-2</v>
      </c>
      <c r="J396">
        <v>45726</v>
      </c>
      <c r="K396">
        <v>0.16180555555555554</v>
      </c>
      <c r="L396">
        <v>45727</v>
      </c>
      <c r="M396">
        <v>0.44234953703703694</v>
      </c>
      <c r="N396" t="s">
        <v>915</v>
      </c>
      <c r="O396"/>
      <c r="P396"/>
      <c r="Q396" t="s">
        <v>532</v>
      </c>
      <c r="R396" t="s">
        <v>283</v>
      </c>
      <c r="S396" t="s">
        <v>907</v>
      </c>
      <c r="T396" t="s">
        <v>983</v>
      </c>
      <c r="U396"/>
      <c r="V396"/>
      <c r="W396"/>
      <c r="X396"/>
      <c r="Y396"/>
      <c r="Z396"/>
      <c r="AA396"/>
      <c r="AB396"/>
      <c r="AC396"/>
      <c r="AD396"/>
      <c r="AE396" t="s">
        <v>984</v>
      </c>
      <c r="AF396" t="s">
        <v>67</v>
      </c>
      <c r="AG396" t="s">
        <v>219</v>
      </c>
      <c r="AH396" t="s">
        <v>159</v>
      </c>
      <c r="AI396" t="s">
        <v>106</v>
      </c>
      <c r="AJ396" t="s">
        <v>123</v>
      </c>
      <c r="AK396" t="s">
        <v>137</v>
      </c>
    </row>
    <row r="397" spans="1:37" x14ac:dyDescent="0.3">
      <c r="A397" t="s">
        <v>882</v>
      </c>
      <c r="B397" t="s">
        <v>870</v>
      </c>
      <c r="C397" s="2">
        <v>45764.926233206017</v>
      </c>
      <c r="D397" s="2">
        <v>45748.008695277778</v>
      </c>
      <c r="E397" s="2">
        <v>45760.800483449071</v>
      </c>
      <c r="F397" t="s">
        <v>871</v>
      </c>
      <c r="G397" t="s">
        <v>516</v>
      </c>
      <c r="H397">
        <v>45727</v>
      </c>
      <c r="I397">
        <v>0.60416666666666663</v>
      </c>
      <c r="J397"/>
      <c r="K397"/>
      <c r="L397">
        <v>45727</v>
      </c>
      <c r="M397">
        <v>0.6903935185185186</v>
      </c>
      <c r="N397" t="s">
        <v>902</v>
      </c>
      <c r="O397"/>
      <c r="P397"/>
      <c r="Q397" t="s">
        <v>519</v>
      </c>
      <c r="R397" t="s">
        <v>84</v>
      </c>
      <c r="S397" t="s">
        <v>907</v>
      </c>
      <c r="T397" t="s">
        <v>985</v>
      </c>
      <c r="U397"/>
      <c r="V397"/>
      <c r="W397" t="s">
        <v>521</v>
      </c>
      <c r="X397" t="s">
        <v>986</v>
      </c>
      <c r="Y397" t="s">
        <v>523</v>
      </c>
      <c r="Z397" t="s">
        <v>65</v>
      </c>
      <c r="AA397"/>
      <c r="AB397"/>
      <c r="AC397"/>
      <c r="AD397"/>
      <c r="AE397" t="s">
        <v>927</v>
      </c>
      <c r="AF397" t="s">
        <v>67</v>
      </c>
      <c r="AG397" t="s">
        <v>158</v>
      </c>
      <c r="AH397" t="s">
        <v>159</v>
      </c>
      <c r="AI397" t="s">
        <v>524</v>
      </c>
      <c r="AJ397" t="s">
        <v>71</v>
      </c>
      <c r="AK397" t="s">
        <v>72</v>
      </c>
    </row>
    <row r="398" spans="1:37" x14ac:dyDescent="0.3">
      <c r="A398" t="s">
        <v>882</v>
      </c>
      <c r="B398" t="s">
        <v>870</v>
      </c>
      <c r="C398" s="2">
        <v>45764.926233206017</v>
      </c>
      <c r="D398" s="2">
        <v>45748.008695277778</v>
      </c>
      <c r="E398" s="2">
        <v>45760.800483449071</v>
      </c>
      <c r="F398" t="s">
        <v>871</v>
      </c>
      <c r="G398" t="s">
        <v>537</v>
      </c>
      <c r="H398"/>
      <c r="I398"/>
      <c r="J398">
        <v>45734</v>
      </c>
      <c r="K398">
        <v>0.22916666666666674</v>
      </c>
      <c r="L398">
        <v>45734</v>
      </c>
      <c r="M398">
        <v>0.27405092592592584</v>
      </c>
      <c r="N398" t="s">
        <v>440</v>
      </c>
      <c r="O398" t="s">
        <v>915</v>
      </c>
      <c r="P398"/>
      <c r="Q398" t="s">
        <v>540</v>
      </c>
      <c r="R398" t="s">
        <v>363</v>
      </c>
      <c r="S398" t="s">
        <v>893</v>
      </c>
      <c r="T398" t="s">
        <v>987</v>
      </c>
      <c r="U398"/>
      <c r="V398"/>
      <c r="W398" t="s">
        <v>988</v>
      </c>
      <c r="X398" t="s">
        <v>543</v>
      </c>
      <c r="Y398" t="s">
        <v>544</v>
      </c>
      <c r="Z398" t="s">
        <v>65</v>
      </c>
      <c r="AA398"/>
      <c r="AB398"/>
      <c r="AC398"/>
      <c r="AD398"/>
      <c r="AE398"/>
      <c r="AF398" t="s">
        <v>67</v>
      </c>
      <c r="AG398" t="s">
        <v>545</v>
      </c>
      <c r="AH398" t="s">
        <v>546</v>
      </c>
      <c r="AI398"/>
      <c r="AJ398"/>
      <c r="AK398"/>
    </row>
    <row r="399" spans="1:37" x14ac:dyDescent="0.3">
      <c r="A399" t="s">
        <v>882</v>
      </c>
      <c r="B399" t="s">
        <v>870</v>
      </c>
      <c r="C399" s="2">
        <v>45764.926233206017</v>
      </c>
      <c r="D399" s="2">
        <v>45748.008695277778</v>
      </c>
      <c r="E399" s="2">
        <v>45760.800483449071</v>
      </c>
      <c r="F399" t="s">
        <v>871</v>
      </c>
      <c r="G399" t="s">
        <v>549</v>
      </c>
      <c r="H399">
        <v>45737</v>
      </c>
      <c r="I399">
        <v>0.32500000000000001</v>
      </c>
      <c r="J399"/>
      <c r="K399"/>
      <c r="L399">
        <v>45737</v>
      </c>
      <c r="M399">
        <v>0.5971412037037036</v>
      </c>
      <c r="N399" t="s">
        <v>892</v>
      </c>
      <c r="O399"/>
      <c r="P399"/>
      <c r="Q399" t="s">
        <v>552</v>
      </c>
      <c r="R399" t="s">
        <v>261</v>
      </c>
      <c r="S399" t="s">
        <v>936</v>
      </c>
      <c r="T399" t="s">
        <v>989</v>
      </c>
      <c r="U399"/>
      <c r="V399"/>
      <c r="W399" t="s">
        <v>554</v>
      </c>
      <c r="X399" t="s">
        <v>990</v>
      </c>
      <c r="Y399"/>
      <c r="Z399" t="s">
        <v>65</v>
      </c>
      <c r="AA399"/>
      <c r="AB399"/>
      <c r="AC399"/>
      <c r="AD399"/>
      <c r="AE399" t="s">
        <v>981</v>
      </c>
      <c r="AF399" t="s">
        <v>67</v>
      </c>
      <c r="AG399" t="s">
        <v>147</v>
      </c>
      <c r="AH399" t="s">
        <v>90</v>
      </c>
      <c r="AI399" t="s">
        <v>171</v>
      </c>
      <c r="AJ399" t="s">
        <v>123</v>
      </c>
      <c r="AK399" t="s">
        <v>221</v>
      </c>
    </row>
    <row r="400" spans="1:37" x14ac:dyDescent="0.3">
      <c r="A400" t="s">
        <v>882</v>
      </c>
      <c r="B400" t="s">
        <v>870</v>
      </c>
      <c r="C400" s="2">
        <v>45764.926233206017</v>
      </c>
      <c r="D400" s="2">
        <v>45748.008695277778</v>
      </c>
      <c r="E400" s="2">
        <v>45760.800483449071</v>
      </c>
      <c r="F400" t="s">
        <v>871</v>
      </c>
      <c r="G400" t="s">
        <v>559</v>
      </c>
      <c r="H400">
        <v>45739</v>
      </c>
      <c r="I400">
        <v>0.1736111111111111</v>
      </c>
      <c r="J400">
        <v>45739</v>
      </c>
      <c r="K400">
        <v>0.18055555555555558</v>
      </c>
      <c r="L400">
        <v>45739</v>
      </c>
      <c r="M400">
        <v>0.20511574074074068</v>
      </c>
      <c r="N400" t="s">
        <v>902</v>
      </c>
      <c r="O400" t="s">
        <v>991</v>
      </c>
      <c r="P400"/>
      <c r="Q400" t="s">
        <v>564</v>
      </c>
      <c r="R400" t="s">
        <v>250</v>
      </c>
      <c r="S400" t="s">
        <v>922</v>
      </c>
      <c r="T400" t="s">
        <v>992</v>
      </c>
      <c r="U400"/>
      <c r="V400"/>
      <c r="W400" t="s">
        <v>993</v>
      </c>
      <c r="X400" t="s">
        <v>944</v>
      </c>
      <c r="Y400" t="s">
        <v>567</v>
      </c>
      <c r="Z400" t="s">
        <v>65</v>
      </c>
      <c r="AA400"/>
      <c r="AB400"/>
      <c r="AC400"/>
      <c r="AD400"/>
      <c r="AE400" t="s">
        <v>994</v>
      </c>
      <c r="AF400" t="s">
        <v>67</v>
      </c>
      <c r="AG400" t="s">
        <v>105</v>
      </c>
      <c r="AH400" t="s">
        <v>69</v>
      </c>
      <c r="AI400" t="s">
        <v>122</v>
      </c>
      <c r="AJ400" t="s">
        <v>71</v>
      </c>
      <c r="AK400" t="s">
        <v>72</v>
      </c>
    </row>
    <row r="401" spans="1:37" x14ac:dyDescent="0.3">
      <c r="A401" t="s">
        <v>882</v>
      </c>
      <c r="B401" t="s">
        <v>870</v>
      </c>
      <c r="C401" s="2">
        <v>45764.926233206017</v>
      </c>
      <c r="D401" s="2">
        <v>45748.008695277778</v>
      </c>
      <c r="E401" s="2">
        <v>45760.800483449071</v>
      </c>
      <c r="F401" t="s">
        <v>871</v>
      </c>
      <c r="G401" t="s">
        <v>678</v>
      </c>
      <c r="H401">
        <v>45741</v>
      </c>
      <c r="I401">
        <v>0.48402777777777778</v>
      </c>
      <c r="J401"/>
      <c r="K401"/>
      <c r="L401">
        <v>45741</v>
      </c>
      <c r="M401">
        <v>0.50343749999999998</v>
      </c>
      <c r="N401" t="s">
        <v>906</v>
      </c>
      <c r="O401" t="s">
        <v>930</v>
      </c>
      <c r="P401" t="s">
        <v>687</v>
      </c>
      <c r="Q401" t="s">
        <v>362</v>
      </c>
      <c r="R401" t="s">
        <v>363</v>
      </c>
      <c r="S401" t="s">
        <v>893</v>
      </c>
      <c r="T401" t="s">
        <v>995</v>
      </c>
      <c r="U401"/>
      <c r="V401"/>
      <c r="W401" t="s">
        <v>689</v>
      </c>
      <c r="X401" t="s">
        <v>986</v>
      </c>
      <c r="Y401" t="s">
        <v>690</v>
      </c>
      <c r="Z401" t="s">
        <v>65</v>
      </c>
      <c r="AA401"/>
      <c r="AB401"/>
      <c r="AC401"/>
      <c r="AD401"/>
      <c r="AE401" t="s">
        <v>996</v>
      </c>
      <c r="AF401" t="s">
        <v>67</v>
      </c>
      <c r="AG401" t="s">
        <v>647</v>
      </c>
      <c r="AH401" t="s">
        <v>351</v>
      </c>
      <c r="AI401" t="s">
        <v>160</v>
      </c>
      <c r="AJ401" t="s">
        <v>123</v>
      </c>
      <c r="AK401" t="s">
        <v>353</v>
      </c>
    </row>
    <row r="402" spans="1:37" x14ac:dyDescent="0.3">
      <c r="A402" t="s">
        <v>882</v>
      </c>
      <c r="B402" t="s">
        <v>870</v>
      </c>
      <c r="C402" s="2">
        <v>45764.926233206017</v>
      </c>
      <c r="D402" s="2">
        <v>45748.008695277778</v>
      </c>
      <c r="E402" s="2">
        <v>45760.800483449071</v>
      </c>
      <c r="F402" t="s">
        <v>871</v>
      </c>
      <c r="G402" t="s">
        <v>573</v>
      </c>
      <c r="H402">
        <v>45743</v>
      </c>
      <c r="I402">
        <v>0.94666666666666666</v>
      </c>
      <c r="J402"/>
      <c r="K402"/>
      <c r="L402">
        <v>45743</v>
      </c>
      <c r="M402">
        <v>0.94666666666666677</v>
      </c>
      <c r="N402" t="s">
        <v>950</v>
      </c>
      <c r="O402" t="s">
        <v>997</v>
      </c>
      <c r="P402" t="s">
        <v>909</v>
      </c>
      <c r="Q402" t="s">
        <v>577</v>
      </c>
      <c r="R402" t="s">
        <v>261</v>
      </c>
      <c r="S402" t="s">
        <v>936</v>
      </c>
      <c r="T402" t="s">
        <v>998</v>
      </c>
      <c r="U402"/>
      <c r="V402"/>
      <c r="W402"/>
      <c r="X402"/>
      <c r="Y402"/>
      <c r="Z402"/>
      <c r="AA402"/>
      <c r="AB402"/>
      <c r="AC402"/>
      <c r="AD402"/>
      <c r="AE402" t="s">
        <v>927</v>
      </c>
      <c r="AF402" t="s">
        <v>67</v>
      </c>
      <c r="AG402" t="s">
        <v>579</v>
      </c>
      <c r="AH402" t="s">
        <v>121</v>
      </c>
      <c r="AI402" t="s">
        <v>378</v>
      </c>
      <c r="AJ402" t="s">
        <v>123</v>
      </c>
      <c r="AK402" t="s">
        <v>137</v>
      </c>
    </row>
    <row r="403" spans="1:37" x14ac:dyDescent="0.3">
      <c r="A403" t="s">
        <v>882</v>
      </c>
      <c r="B403" t="s">
        <v>870</v>
      </c>
      <c r="C403" s="2">
        <v>45764.926233206017</v>
      </c>
      <c r="D403" s="2">
        <v>45748.008695277778</v>
      </c>
      <c r="E403" s="2">
        <v>45760.800483449071</v>
      </c>
      <c r="F403" t="s">
        <v>871</v>
      </c>
      <c r="G403" t="s">
        <v>582</v>
      </c>
      <c r="H403">
        <v>45743</v>
      </c>
      <c r="I403">
        <v>0.97916666666666663</v>
      </c>
      <c r="J403">
        <v>45744</v>
      </c>
      <c r="K403">
        <v>2.4999999999999911E-2</v>
      </c>
      <c r="L403">
        <v>45744</v>
      </c>
      <c r="M403">
        <v>0.46781249999999996</v>
      </c>
      <c r="N403" t="s">
        <v>915</v>
      </c>
      <c r="O403"/>
      <c r="P403"/>
      <c r="Q403" t="s">
        <v>584</v>
      </c>
      <c r="R403" t="s">
        <v>283</v>
      </c>
      <c r="S403" t="s">
        <v>907</v>
      </c>
      <c r="T403" t="s">
        <v>999</v>
      </c>
      <c r="U403">
        <v>50300</v>
      </c>
      <c r="V403"/>
      <c r="W403"/>
      <c r="X403"/>
      <c r="Y403"/>
      <c r="Z403"/>
      <c r="AA403"/>
      <c r="AB403"/>
      <c r="AC403"/>
      <c r="AD403"/>
      <c r="AE403" t="s">
        <v>1000</v>
      </c>
      <c r="AF403" t="s">
        <v>67</v>
      </c>
      <c r="AG403" t="s">
        <v>480</v>
      </c>
      <c r="AH403" t="s">
        <v>351</v>
      </c>
      <c r="AI403" t="s">
        <v>586</v>
      </c>
      <c r="AJ403" t="s">
        <v>123</v>
      </c>
      <c r="AK403"/>
    </row>
    <row r="404" spans="1:37" x14ac:dyDescent="0.3">
      <c r="A404" t="s">
        <v>882</v>
      </c>
      <c r="B404" t="s">
        <v>870</v>
      </c>
      <c r="C404" s="2">
        <v>45764.926233206017</v>
      </c>
      <c r="D404" s="2">
        <v>45748.008695277778</v>
      </c>
      <c r="E404" s="2">
        <v>45760.800483449071</v>
      </c>
      <c r="F404" t="s">
        <v>871</v>
      </c>
      <c r="G404" t="s">
        <v>694</v>
      </c>
      <c r="H404">
        <v>45745</v>
      </c>
      <c r="I404">
        <v>0.20515046296296297</v>
      </c>
      <c r="J404"/>
      <c r="K404"/>
      <c r="L404">
        <v>45745</v>
      </c>
      <c r="M404">
        <v>0.20931712962962967</v>
      </c>
      <c r="N404" t="s">
        <v>176</v>
      </c>
      <c r="O404" t="s">
        <v>1001</v>
      </c>
      <c r="P404"/>
      <c r="Q404" t="s">
        <v>699</v>
      </c>
      <c r="R404" t="s">
        <v>273</v>
      </c>
      <c r="S404" t="s">
        <v>936</v>
      </c>
      <c r="T404" t="s">
        <v>1002</v>
      </c>
      <c r="U404"/>
      <c r="V404"/>
      <c r="W404" t="s">
        <v>701</v>
      </c>
      <c r="X404" t="s">
        <v>1003</v>
      </c>
      <c r="Y404" t="s">
        <v>635</v>
      </c>
      <c r="Z404" t="s">
        <v>65</v>
      </c>
      <c r="AA404"/>
      <c r="AB404"/>
      <c r="AC404"/>
      <c r="AD404"/>
      <c r="AE404" t="s">
        <v>994</v>
      </c>
      <c r="AF404" t="s">
        <v>67</v>
      </c>
      <c r="AG404" t="s">
        <v>579</v>
      </c>
      <c r="AH404" t="s">
        <v>121</v>
      </c>
      <c r="AI404" t="s">
        <v>524</v>
      </c>
      <c r="AJ404" t="s">
        <v>123</v>
      </c>
      <c r="AK404"/>
    </row>
    <row r="405" spans="1:37" x14ac:dyDescent="0.3">
      <c r="A405" t="s">
        <v>882</v>
      </c>
      <c r="B405" t="s">
        <v>870</v>
      </c>
      <c r="C405" s="2">
        <v>45764.926233206017</v>
      </c>
      <c r="D405" s="2">
        <v>45748.008695277778</v>
      </c>
      <c r="E405" s="2">
        <v>45760.800483449071</v>
      </c>
      <c r="F405" t="s">
        <v>871</v>
      </c>
      <c r="G405" t="s">
        <v>628</v>
      </c>
      <c r="H405">
        <v>45744</v>
      </c>
      <c r="I405">
        <v>0.85416666666666663</v>
      </c>
      <c r="J405">
        <v>45745</v>
      </c>
      <c r="K405">
        <v>0.41666666666666674</v>
      </c>
      <c r="L405">
        <v>45745</v>
      </c>
      <c r="M405">
        <v>0.42986111111111103</v>
      </c>
      <c r="N405" t="s">
        <v>892</v>
      </c>
      <c r="O405"/>
      <c r="P405"/>
      <c r="Q405" t="s">
        <v>631</v>
      </c>
      <c r="R405" t="s">
        <v>426</v>
      </c>
      <c r="S405" t="s">
        <v>907</v>
      </c>
      <c r="T405" t="s">
        <v>1004</v>
      </c>
      <c r="U405"/>
      <c r="V405"/>
      <c r="W405" t="s">
        <v>633</v>
      </c>
      <c r="X405" t="s">
        <v>1003</v>
      </c>
      <c r="Y405" t="s">
        <v>635</v>
      </c>
      <c r="Z405" t="s">
        <v>65</v>
      </c>
      <c r="AA405"/>
      <c r="AB405"/>
      <c r="AC405"/>
      <c r="AD405"/>
      <c r="AE405" t="s">
        <v>994</v>
      </c>
      <c r="AF405" t="s">
        <v>67</v>
      </c>
      <c r="AG405" t="s">
        <v>636</v>
      </c>
      <c r="AH405" t="s">
        <v>637</v>
      </c>
      <c r="AI405" t="s">
        <v>160</v>
      </c>
      <c r="AJ405" t="s">
        <v>123</v>
      </c>
      <c r="AK405"/>
    </row>
    <row r="406" spans="1:37" x14ac:dyDescent="0.3">
      <c r="A406" t="s">
        <v>882</v>
      </c>
      <c r="B406" t="s">
        <v>870</v>
      </c>
      <c r="C406" s="2">
        <v>45764.926233206017</v>
      </c>
      <c r="D406" s="2">
        <v>45748.008695277778</v>
      </c>
      <c r="E406" s="2">
        <v>45760.800483449071</v>
      </c>
      <c r="F406" t="s">
        <v>871</v>
      </c>
      <c r="G406" t="s">
        <v>589</v>
      </c>
      <c r="H406">
        <v>45747</v>
      </c>
      <c r="I406">
        <v>0.5</v>
      </c>
      <c r="J406"/>
      <c r="K406"/>
      <c r="L406">
        <v>45747</v>
      </c>
      <c r="M406">
        <v>0.54355324074074085</v>
      </c>
      <c r="N406" t="s">
        <v>915</v>
      </c>
      <c r="O406"/>
      <c r="P406"/>
      <c r="Q406" t="s">
        <v>591</v>
      </c>
      <c r="R406" t="s">
        <v>592</v>
      </c>
      <c r="S406" t="s">
        <v>899</v>
      </c>
      <c r="T406" t="s">
        <v>1005</v>
      </c>
      <c r="U406"/>
      <c r="V406"/>
      <c r="W406"/>
      <c r="X406"/>
      <c r="Y406"/>
      <c r="Z406"/>
      <c r="AA406"/>
      <c r="AB406"/>
      <c r="AC406"/>
      <c r="AD406"/>
      <c r="AE406" t="s">
        <v>994</v>
      </c>
      <c r="AF406" t="s">
        <v>67</v>
      </c>
      <c r="AG406" t="s">
        <v>594</v>
      </c>
      <c r="AH406" t="s">
        <v>90</v>
      </c>
      <c r="AI406"/>
      <c r="AJ406"/>
      <c r="AK406"/>
    </row>
    <row r="407" spans="1:37" x14ac:dyDescent="0.3">
      <c r="A407" t="s">
        <v>882</v>
      </c>
      <c r="B407" t="s">
        <v>870</v>
      </c>
      <c r="C407" s="2">
        <v>45764.926233206017</v>
      </c>
      <c r="D407" s="2">
        <v>45748.008695277778</v>
      </c>
      <c r="E407" s="2">
        <v>45760.800483449071</v>
      </c>
      <c r="F407" t="s">
        <v>871</v>
      </c>
      <c r="G407" t="s">
        <v>705</v>
      </c>
      <c r="H407">
        <v>45747</v>
      </c>
      <c r="I407">
        <v>0.77777777777777779</v>
      </c>
      <c r="J407">
        <v>45747</v>
      </c>
      <c r="K407">
        <v>0.91666666666666674</v>
      </c>
      <c r="L407">
        <v>45747</v>
      </c>
      <c r="M407">
        <v>0.93032407407407414</v>
      </c>
      <c r="N407" t="s">
        <v>902</v>
      </c>
      <c r="O407" t="s">
        <v>930</v>
      </c>
      <c r="P407" t="s">
        <v>1006</v>
      </c>
      <c r="Q407" t="s">
        <v>709</v>
      </c>
      <c r="R407" t="s">
        <v>134</v>
      </c>
      <c r="S407" t="s">
        <v>899</v>
      </c>
      <c r="T407" t="s">
        <v>1007</v>
      </c>
      <c r="U407"/>
      <c r="V407"/>
      <c r="W407" t="s">
        <v>711</v>
      </c>
      <c r="X407" t="s">
        <v>1008</v>
      </c>
      <c r="Y407" t="s">
        <v>713</v>
      </c>
      <c r="Z407" t="s">
        <v>65</v>
      </c>
      <c r="AA407"/>
      <c r="AB407"/>
      <c r="AC407"/>
      <c r="AD407"/>
      <c r="AE407" t="s">
        <v>981</v>
      </c>
      <c r="AF407" t="s">
        <v>67</v>
      </c>
      <c r="AG407" t="s">
        <v>714</v>
      </c>
      <c r="AH407" t="s">
        <v>90</v>
      </c>
      <c r="AI407"/>
      <c r="AJ407"/>
      <c r="AK407"/>
    </row>
    <row r="408" spans="1:37" x14ac:dyDescent="0.3">
      <c r="A408" t="s">
        <v>883</v>
      </c>
      <c r="B408" t="s">
        <v>870</v>
      </c>
      <c r="C408" s="2">
        <v>45764.926233240738</v>
      </c>
      <c r="D408" s="2">
        <v>45751.76185185185</v>
      </c>
      <c r="E408" s="2">
        <v>45752.666834699077</v>
      </c>
      <c r="F408" t="s">
        <v>871</v>
      </c>
      <c r="G408" t="s">
        <v>492</v>
      </c>
      <c r="H408">
        <v>45720</v>
      </c>
      <c r="I408">
        <v>0.64097222222222228</v>
      </c>
      <c r="J408"/>
      <c r="K408"/>
      <c r="L408">
        <v>45720</v>
      </c>
      <c r="M408">
        <v>0.64444444444444438</v>
      </c>
      <c r="N408" t="s">
        <v>906</v>
      </c>
      <c r="O408" t="s">
        <v>976</v>
      </c>
      <c r="P408" t="s">
        <v>344</v>
      </c>
      <c r="Q408" t="s">
        <v>497</v>
      </c>
      <c r="R408" t="s">
        <v>84</v>
      </c>
      <c r="S408" t="s">
        <v>907</v>
      </c>
      <c r="T408" t="s">
        <v>977</v>
      </c>
      <c r="U408"/>
      <c r="V408"/>
      <c r="W408" t="s">
        <v>499</v>
      </c>
      <c r="X408" t="s">
        <v>500</v>
      </c>
      <c r="Y408" t="s">
        <v>501</v>
      </c>
      <c r="Z408" t="s">
        <v>65</v>
      </c>
      <c r="AA408"/>
      <c r="AB408"/>
      <c r="AC408"/>
      <c r="AD408"/>
      <c r="AE408" t="s">
        <v>978</v>
      </c>
      <c r="AF408" t="s">
        <v>67</v>
      </c>
      <c r="AG408" t="s">
        <v>502</v>
      </c>
      <c r="AH408" t="s">
        <v>159</v>
      </c>
      <c r="AI408" t="s">
        <v>378</v>
      </c>
      <c r="AJ408" t="s">
        <v>195</v>
      </c>
      <c r="AK408" t="s">
        <v>353</v>
      </c>
    </row>
    <row r="409" spans="1:37" x14ac:dyDescent="0.3">
      <c r="A409" t="s">
        <v>883</v>
      </c>
      <c r="B409" t="s">
        <v>870</v>
      </c>
      <c r="C409" s="2">
        <v>45764.926233240738</v>
      </c>
      <c r="D409" s="2">
        <v>45751.76185185185</v>
      </c>
      <c r="E409" s="2">
        <v>45752.666834699077</v>
      </c>
      <c r="F409" t="s">
        <v>871</v>
      </c>
      <c r="G409" t="s">
        <v>484</v>
      </c>
      <c r="H409">
        <v>45720</v>
      </c>
      <c r="I409">
        <v>0.79126157407407405</v>
      </c>
      <c r="J409"/>
      <c r="K409"/>
      <c r="L409">
        <v>45720</v>
      </c>
      <c r="M409">
        <v>0.79126157407407405</v>
      </c>
      <c r="N409" t="s">
        <v>906</v>
      </c>
      <c r="O409"/>
      <c r="P409"/>
      <c r="Q409" t="s">
        <v>487</v>
      </c>
      <c r="R409" t="s">
        <v>261</v>
      </c>
      <c r="S409" t="s">
        <v>936</v>
      </c>
      <c r="T409" t="s">
        <v>979</v>
      </c>
      <c r="U409"/>
      <c r="V409"/>
      <c r="W409"/>
      <c r="X409"/>
      <c r="Y409"/>
      <c r="Z409"/>
      <c r="AA409"/>
      <c r="AB409"/>
      <c r="AC409"/>
      <c r="AD409"/>
      <c r="AE409" t="s">
        <v>978</v>
      </c>
      <c r="AF409" t="s">
        <v>67</v>
      </c>
      <c r="AG409" t="s">
        <v>489</v>
      </c>
      <c r="AH409" t="s">
        <v>206</v>
      </c>
      <c r="AI409" t="s">
        <v>70</v>
      </c>
      <c r="AJ409" t="s">
        <v>195</v>
      </c>
      <c r="AK409" t="s">
        <v>353</v>
      </c>
    </row>
    <row r="410" spans="1:37" x14ac:dyDescent="0.3">
      <c r="A410" t="s">
        <v>883</v>
      </c>
      <c r="B410" t="s">
        <v>870</v>
      </c>
      <c r="C410" s="2">
        <v>45764.926233240738</v>
      </c>
      <c r="D410" s="2">
        <v>45751.76185185185</v>
      </c>
      <c r="E410" s="2">
        <v>45752.666834699077</v>
      </c>
      <c r="F410" t="s">
        <v>871</v>
      </c>
      <c r="G410" t="s">
        <v>460</v>
      </c>
      <c r="H410">
        <v>45722</v>
      </c>
      <c r="I410">
        <v>0.94149305555555551</v>
      </c>
      <c r="J410"/>
      <c r="K410"/>
      <c r="L410">
        <v>45722</v>
      </c>
      <c r="M410">
        <v>0.94149305555555562</v>
      </c>
      <c r="N410" t="s">
        <v>902</v>
      </c>
      <c r="O410"/>
      <c r="P410"/>
      <c r="Q410" t="s">
        <v>464</v>
      </c>
      <c r="R410" t="s">
        <v>84</v>
      </c>
      <c r="S410" t="s">
        <v>907</v>
      </c>
      <c r="T410" t="s">
        <v>980</v>
      </c>
      <c r="U410"/>
      <c r="V410"/>
      <c r="W410" t="s">
        <v>466</v>
      </c>
      <c r="X410" t="s">
        <v>944</v>
      </c>
      <c r="Y410" t="s">
        <v>467</v>
      </c>
      <c r="Z410" t="s">
        <v>65</v>
      </c>
      <c r="AA410"/>
      <c r="AB410"/>
      <c r="AC410"/>
      <c r="AD410"/>
      <c r="AE410" t="s">
        <v>981</v>
      </c>
      <c r="AF410" t="s">
        <v>67</v>
      </c>
      <c r="AG410" t="s">
        <v>68</v>
      </c>
      <c r="AH410" t="s">
        <v>69</v>
      </c>
      <c r="AI410" t="s">
        <v>160</v>
      </c>
      <c r="AJ410" t="s">
        <v>123</v>
      </c>
      <c r="AK410" t="s">
        <v>72</v>
      </c>
    </row>
    <row r="411" spans="1:37" x14ac:dyDescent="0.3">
      <c r="A411" t="s">
        <v>883</v>
      </c>
      <c r="B411" t="s">
        <v>870</v>
      </c>
      <c r="C411" s="2">
        <v>45764.926233240738</v>
      </c>
      <c r="D411" s="2">
        <v>45751.76185185185</v>
      </c>
      <c r="E411" s="2">
        <v>45752.666834699077</v>
      </c>
      <c r="F411" t="s">
        <v>871</v>
      </c>
      <c r="G411" t="s">
        <v>472</v>
      </c>
      <c r="H411">
        <v>45725</v>
      </c>
      <c r="I411">
        <v>0.8125</v>
      </c>
      <c r="J411">
        <v>45726</v>
      </c>
      <c r="K411">
        <v>0.35416666666666674</v>
      </c>
      <c r="L411">
        <v>45726</v>
      </c>
      <c r="M411">
        <v>0.37046296296296299</v>
      </c>
      <c r="N411" t="s">
        <v>902</v>
      </c>
      <c r="O411"/>
      <c r="P411"/>
      <c r="Q411" t="s">
        <v>475</v>
      </c>
      <c r="R411" t="s">
        <v>134</v>
      </c>
      <c r="S411" t="s">
        <v>899</v>
      </c>
      <c r="T411" t="s">
        <v>982</v>
      </c>
      <c r="U411"/>
      <c r="V411"/>
      <c r="W411" t="s">
        <v>477</v>
      </c>
      <c r="X411" t="s">
        <v>478</v>
      </c>
      <c r="Y411" t="s">
        <v>479</v>
      </c>
      <c r="Z411" t="s">
        <v>65</v>
      </c>
      <c r="AA411"/>
      <c r="AB411"/>
      <c r="AC411"/>
      <c r="AD411"/>
      <c r="AE411" t="s">
        <v>897</v>
      </c>
      <c r="AF411" t="s">
        <v>67</v>
      </c>
      <c r="AG411" t="s">
        <v>480</v>
      </c>
      <c r="AH411" t="s">
        <v>351</v>
      </c>
      <c r="AI411" t="s">
        <v>122</v>
      </c>
      <c r="AJ411" t="s">
        <v>71</v>
      </c>
      <c r="AK411" t="s">
        <v>72</v>
      </c>
    </row>
    <row r="412" spans="1:37" x14ac:dyDescent="0.3">
      <c r="A412" t="s">
        <v>883</v>
      </c>
      <c r="B412" t="s">
        <v>870</v>
      </c>
      <c r="C412" s="2">
        <v>45764.926233240738</v>
      </c>
      <c r="D412" s="2">
        <v>45751.76185185185</v>
      </c>
      <c r="E412" s="2">
        <v>45752.666834699077</v>
      </c>
      <c r="F412" t="s">
        <v>871</v>
      </c>
      <c r="G412" t="s">
        <v>529</v>
      </c>
      <c r="H412">
        <v>45726</v>
      </c>
      <c r="I412">
        <v>4.6527777777777779E-2</v>
      </c>
      <c r="J412">
        <v>45726</v>
      </c>
      <c r="K412">
        <v>0.16180555555555554</v>
      </c>
      <c r="L412">
        <v>45727</v>
      </c>
      <c r="M412">
        <v>0.44234953703703694</v>
      </c>
      <c r="N412" t="s">
        <v>915</v>
      </c>
      <c r="O412"/>
      <c r="P412"/>
      <c r="Q412" t="s">
        <v>532</v>
      </c>
      <c r="R412" t="s">
        <v>283</v>
      </c>
      <c r="S412" t="s">
        <v>907</v>
      </c>
      <c r="T412" t="s">
        <v>983</v>
      </c>
      <c r="U412"/>
      <c r="V412"/>
      <c r="W412"/>
      <c r="X412"/>
      <c r="Y412"/>
      <c r="Z412"/>
      <c r="AA412"/>
      <c r="AB412"/>
      <c r="AC412"/>
      <c r="AD412"/>
      <c r="AE412" t="s">
        <v>984</v>
      </c>
      <c r="AF412" t="s">
        <v>67</v>
      </c>
      <c r="AG412" t="s">
        <v>219</v>
      </c>
      <c r="AH412" t="s">
        <v>159</v>
      </c>
      <c r="AI412" t="s">
        <v>106</v>
      </c>
      <c r="AJ412" t="s">
        <v>123</v>
      </c>
      <c r="AK412" t="s">
        <v>137</v>
      </c>
    </row>
    <row r="413" spans="1:37" x14ac:dyDescent="0.3">
      <c r="A413" t="s">
        <v>883</v>
      </c>
      <c r="B413" t="s">
        <v>870</v>
      </c>
      <c r="C413" s="2">
        <v>45764.926233240738</v>
      </c>
      <c r="D413" s="2">
        <v>45751.76185185185</v>
      </c>
      <c r="E413" s="2">
        <v>45752.666834699077</v>
      </c>
      <c r="F413" t="s">
        <v>871</v>
      </c>
      <c r="G413" t="s">
        <v>516</v>
      </c>
      <c r="H413">
        <v>45727</v>
      </c>
      <c r="I413">
        <v>0.60416666666666663</v>
      </c>
      <c r="J413"/>
      <c r="K413"/>
      <c r="L413">
        <v>45727</v>
      </c>
      <c r="M413">
        <v>0.6903935185185186</v>
      </c>
      <c r="N413" t="s">
        <v>902</v>
      </c>
      <c r="O413"/>
      <c r="P413"/>
      <c r="Q413" t="s">
        <v>519</v>
      </c>
      <c r="R413" t="s">
        <v>84</v>
      </c>
      <c r="S413" t="s">
        <v>907</v>
      </c>
      <c r="T413" t="s">
        <v>985</v>
      </c>
      <c r="U413"/>
      <c r="V413"/>
      <c r="W413" t="s">
        <v>521</v>
      </c>
      <c r="X413" t="s">
        <v>986</v>
      </c>
      <c r="Y413" t="s">
        <v>523</v>
      </c>
      <c r="Z413" t="s">
        <v>65</v>
      </c>
      <c r="AA413"/>
      <c r="AB413"/>
      <c r="AC413"/>
      <c r="AD413"/>
      <c r="AE413" t="s">
        <v>927</v>
      </c>
      <c r="AF413" t="s">
        <v>67</v>
      </c>
      <c r="AG413" t="s">
        <v>158</v>
      </c>
      <c r="AH413" t="s">
        <v>159</v>
      </c>
      <c r="AI413" t="s">
        <v>524</v>
      </c>
      <c r="AJ413" t="s">
        <v>71</v>
      </c>
      <c r="AK413" t="s">
        <v>72</v>
      </c>
    </row>
    <row r="414" spans="1:37" x14ac:dyDescent="0.3">
      <c r="A414" t="s">
        <v>883</v>
      </c>
      <c r="B414" t="s">
        <v>870</v>
      </c>
      <c r="C414" s="2">
        <v>45764.926233240738</v>
      </c>
      <c r="D414" s="2">
        <v>45751.76185185185</v>
      </c>
      <c r="E414" s="2">
        <v>45752.666834699077</v>
      </c>
      <c r="F414" t="s">
        <v>871</v>
      </c>
      <c r="G414" t="s">
        <v>537</v>
      </c>
      <c r="H414"/>
      <c r="I414"/>
      <c r="J414">
        <v>45734</v>
      </c>
      <c r="K414">
        <v>0.22916666666666674</v>
      </c>
      <c r="L414">
        <v>45734</v>
      </c>
      <c r="M414">
        <v>0.27405092592592584</v>
      </c>
      <c r="N414" t="s">
        <v>440</v>
      </c>
      <c r="O414" t="s">
        <v>915</v>
      </c>
      <c r="P414"/>
      <c r="Q414" t="s">
        <v>540</v>
      </c>
      <c r="R414" t="s">
        <v>363</v>
      </c>
      <c r="S414" t="s">
        <v>893</v>
      </c>
      <c r="T414" t="s">
        <v>987</v>
      </c>
      <c r="U414"/>
      <c r="V414"/>
      <c r="W414" t="s">
        <v>988</v>
      </c>
      <c r="X414" t="s">
        <v>543</v>
      </c>
      <c r="Y414" t="s">
        <v>544</v>
      </c>
      <c r="Z414" t="s">
        <v>65</v>
      </c>
      <c r="AA414"/>
      <c r="AB414"/>
      <c r="AC414"/>
      <c r="AD414"/>
      <c r="AE414"/>
      <c r="AF414" t="s">
        <v>67</v>
      </c>
      <c r="AG414" t="s">
        <v>545</v>
      </c>
      <c r="AH414" t="s">
        <v>546</v>
      </c>
      <c r="AI414"/>
      <c r="AJ414"/>
      <c r="AK414"/>
    </row>
    <row r="415" spans="1:37" x14ac:dyDescent="0.3">
      <c r="A415" t="s">
        <v>883</v>
      </c>
      <c r="B415" t="s">
        <v>870</v>
      </c>
      <c r="C415" s="2">
        <v>45764.926233240738</v>
      </c>
      <c r="D415" s="2">
        <v>45751.76185185185</v>
      </c>
      <c r="E415" s="2">
        <v>45752.666834699077</v>
      </c>
      <c r="F415" t="s">
        <v>871</v>
      </c>
      <c r="G415" t="s">
        <v>549</v>
      </c>
      <c r="H415">
        <v>45737</v>
      </c>
      <c r="I415">
        <v>0.32500000000000001</v>
      </c>
      <c r="J415"/>
      <c r="K415"/>
      <c r="L415">
        <v>45737</v>
      </c>
      <c r="M415">
        <v>0.5971412037037036</v>
      </c>
      <c r="N415" t="s">
        <v>892</v>
      </c>
      <c r="O415"/>
      <c r="P415"/>
      <c r="Q415" t="s">
        <v>552</v>
      </c>
      <c r="R415" t="s">
        <v>261</v>
      </c>
      <c r="S415" t="s">
        <v>936</v>
      </c>
      <c r="T415" t="s">
        <v>989</v>
      </c>
      <c r="U415"/>
      <c r="V415"/>
      <c r="W415" t="s">
        <v>554</v>
      </c>
      <c r="X415" t="s">
        <v>990</v>
      </c>
      <c r="Y415"/>
      <c r="Z415" t="s">
        <v>65</v>
      </c>
      <c r="AA415"/>
      <c r="AB415"/>
      <c r="AC415"/>
      <c r="AD415"/>
      <c r="AE415" t="s">
        <v>981</v>
      </c>
      <c r="AF415" t="s">
        <v>67</v>
      </c>
      <c r="AG415" t="s">
        <v>147</v>
      </c>
      <c r="AH415" t="s">
        <v>90</v>
      </c>
      <c r="AI415" t="s">
        <v>171</v>
      </c>
      <c r="AJ415" t="s">
        <v>266</v>
      </c>
      <c r="AK415" t="s">
        <v>221</v>
      </c>
    </row>
    <row r="416" spans="1:37" x14ac:dyDescent="0.3">
      <c r="A416" t="s">
        <v>883</v>
      </c>
      <c r="B416" t="s">
        <v>870</v>
      </c>
      <c r="C416" s="2">
        <v>45764.926233240738</v>
      </c>
      <c r="D416" s="2">
        <v>45751.76185185185</v>
      </c>
      <c r="E416" s="2">
        <v>45752.666834699077</v>
      </c>
      <c r="F416" t="s">
        <v>871</v>
      </c>
      <c r="G416" t="s">
        <v>559</v>
      </c>
      <c r="H416">
        <v>45739</v>
      </c>
      <c r="I416">
        <v>0.1736111111111111</v>
      </c>
      <c r="J416">
        <v>45739</v>
      </c>
      <c r="K416">
        <v>0.18055555555555558</v>
      </c>
      <c r="L416">
        <v>45739</v>
      </c>
      <c r="M416">
        <v>0.20511574074074068</v>
      </c>
      <c r="N416" t="s">
        <v>902</v>
      </c>
      <c r="O416" t="s">
        <v>991</v>
      </c>
      <c r="P416"/>
      <c r="Q416" t="s">
        <v>564</v>
      </c>
      <c r="R416" t="s">
        <v>250</v>
      </c>
      <c r="S416" t="s">
        <v>922</v>
      </c>
      <c r="T416" t="s">
        <v>992</v>
      </c>
      <c r="U416"/>
      <c r="V416"/>
      <c r="W416" t="s">
        <v>993</v>
      </c>
      <c r="X416" t="s">
        <v>944</v>
      </c>
      <c r="Y416" t="s">
        <v>567</v>
      </c>
      <c r="Z416" t="s">
        <v>65</v>
      </c>
      <c r="AA416"/>
      <c r="AB416"/>
      <c r="AC416"/>
      <c r="AD416"/>
      <c r="AE416" t="s">
        <v>994</v>
      </c>
      <c r="AF416" t="s">
        <v>67</v>
      </c>
      <c r="AG416" t="s">
        <v>105</v>
      </c>
      <c r="AH416" t="s">
        <v>69</v>
      </c>
      <c r="AI416" t="s">
        <v>122</v>
      </c>
      <c r="AJ416" t="s">
        <v>71</v>
      </c>
      <c r="AK416" t="s">
        <v>72</v>
      </c>
    </row>
    <row r="417" spans="1:37" x14ac:dyDescent="0.3">
      <c r="A417" t="s">
        <v>883</v>
      </c>
      <c r="B417" t="s">
        <v>870</v>
      </c>
      <c r="C417" s="2">
        <v>45764.926233240738</v>
      </c>
      <c r="D417" s="2">
        <v>45751.76185185185</v>
      </c>
      <c r="E417" s="2">
        <v>45752.666834699077</v>
      </c>
      <c r="F417" t="s">
        <v>871</v>
      </c>
      <c r="G417" t="s">
        <v>678</v>
      </c>
      <c r="H417">
        <v>45741</v>
      </c>
      <c r="I417">
        <v>0.48402777777777778</v>
      </c>
      <c r="J417"/>
      <c r="K417"/>
      <c r="L417">
        <v>45741</v>
      </c>
      <c r="M417">
        <v>0.50343749999999998</v>
      </c>
      <c r="N417" t="s">
        <v>906</v>
      </c>
      <c r="O417" t="s">
        <v>930</v>
      </c>
      <c r="P417" t="s">
        <v>687</v>
      </c>
      <c r="Q417" t="s">
        <v>362</v>
      </c>
      <c r="R417" t="s">
        <v>363</v>
      </c>
      <c r="S417" t="s">
        <v>893</v>
      </c>
      <c r="T417" t="s">
        <v>995</v>
      </c>
      <c r="U417"/>
      <c r="V417"/>
      <c r="W417" t="s">
        <v>689</v>
      </c>
      <c r="X417" t="s">
        <v>986</v>
      </c>
      <c r="Y417" t="s">
        <v>690</v>
      </c>
      <c r="Z417" t="s">
        <v>65</v>
      </c>
      <c r="AA417"/>
      <c r="AB417"/>
      <c r="AC417"/>
      <c r="AD417"/>
      <c r="AE417" t="s">
        <v>996</v>
      </c>
      <c r="AF417" t="s">
        <v>67</v>
      </c>
      <c r="AG417" t="s">
        <v>647</v>
      </c>
      <c r="AH417" t="s">
        <v>351</v>
      </c>
      <c r="AI417" t="s">
        <v>160</v>
      </c>
      <c r="AJ417" t="s">
        <v>123</v>
      </c>
      <c r="AK417" t="s">
        <v>353</v>
      </c>
    </row>
    <row r="418" spans="1:37" x14ac:dyDescent="0.3">
      <c r="A418" t="s">
        <v>883</v>
      </c>
      <c r="B418" t="s">
        <v>870</v>
      </c>
      <c r="C418" s="2">
        <v>45764.926233240738</v>
      </c>
      <c r="D418" s="2">
        <v>45751.76185185185</v>
      </c>
      <c r="E418" s="2">
        <v>45752.666834699077</v>
      </c>
      <c r="F418" t="s">
        <v>871</v>
      </c>
      <c r="G418" t="s">
        <v>573</v>
      </c>
      <c r="H418">
        <v>45743</v>
      </c>
      <c r="I418">
        <v>0.94666666666666666</v>
      </c>
      <c r="J418"/>
      <c r="K418"/>
      <c r="L418">
        <v>45743</v>
      </c>
      <c r="M418">
        <v>0.94666666666666677</v>
      </c>
      <c r="N418" t="s">
        <v>950</v>
      </c>
      <c r="O418" t="s">
        <v>997</v>
      </c>
      <c r="P418" t="s">
        <v>909</v>
      </c>
      <c r="Q418" t="s">
        <v>577</v>
      </c>
      <c r="R418" t="s">
        <v>261</v>
      </c>
      <c r="S418" t="s">
        <v>936</v>
      </c>
      <c r="T418" t="s">
        <v>998</v>
      </c>
      <c r="U418"/>
      <c r="V418"/>
      <c r="W418"/>
      <c r="X418"/>
      <c r="Y418"/>
      <c r="Z418"/>
      <c r="AA418"/>
      <c r="AB418"/>
      <c r="AC418"/>
      <c r="AD418"/>
      <c r="AE418" t="s">
        <v>927</v>
      </c>
      <c r="AF418" t="s">
        <v>67</v>
      </c>
      <c r="AG418" t="s">
        <v>579</v>
      </c>
      <c r="AH418" t="s">
        <v>121</v>
      </c>
      <c r="AI418" t="s">
        <v>378</v>
      </c>
      <c r="AJ418" t="s">
        <v>435</v>
      </c>
      <c r="AK418" t="s">
        <v>137</v>
      </c>
    </row>
    <row r="419" spans="1:37" x14ac:dyDescent="0.3">
      <c r="A419" t="s">
        <v>883</v>
      </c>
      <c r="B419" t="s">
        <v>870</v>
      </c>
      <c r="C419" s="2">
        <v>45764.926233240738</v>
      </c>
      <c r="D419" s="2">
        <v>45751.76185185185</v>
      </c>
      <c r="E419" s="2">
        <v>45752.666834699077</v>
      </c>
      <c r="F419" t="s">
        <v>871</v>
      </c>
      <c r="G419" t="s">
        <v>582</v>
      </c>
      <c r="H419">
        <v>45743</v>
      </c>
      <c r="I419">
        <v>0.97916666666666663</v>
      </c>
      <c r="J419">
        <v>45744</v>
      </c>
      <c r="K419">
        <v>2.4999999999999911E-2</v>
      </c>
      <c r="L419">
        <v>45744</v>
      </c>
      <c r="M419">
        <v>0.46781249999999996</v>
      </c>
      <c r="N419" t="s">
        <v>915</v>
      </c>
      <c r="O419"/>
      <c r="P419"/>
      <c r="Q419" t="s">
        <v>584</v>
      </c>
      <c r="R419" t="s">
        <v>283</v>
      </c>
      <c r="S419" t="s">
        <v>907</v>
      </c>
      <c r="T419" t="s">
        <v>999</v>
      </c>
      <c r="U419">
        <v>50300</v>
      </c>
      <c r="V419"/>
      <c r="W419"/>
      <c r="X419"/>
      <c r="Y419"/>
      <c r="Z419"/>
      <c r="AA419"/>
      <c r="AB419"/>
      <c r="AC419"/>
      <c r="AD419"/>
      <c r="AE419" t="s">
        <v>1000</v>
      </c>
      <c r="AF419" t="s">
        <v>67</v>
      </c>
      <c r="AG419" t="s">
        <v>480</v>
      </c>
      <c r="AH419" t="s">
        <v>351</v>
      </c>
      <c r="AI419" t="s">
        <v>586</v>
      </c>
      <c r="AJ419" t="s">
        <v>123</v>
      </c>
      <c r="AK419" t="s">
        <v>137</v>
      </c>
    </row>
    <row r="420" spans="1:37" x14ac:dyDescent="0.3">
      <c r="A420" t="s">
        <v>883</v>
      </c>
      <c r="B420" t="s">
        <v>870</v>
      </c>
      <c r="C420" s="2">
        <v>45764.926233240738</v>
      </c>
      <c r="D420" s="2">
        <v>45751.76185185185</v>
      </c>
      <c r="E420" s="2">
        <v>45752.666834699077</v>
      </c>
      <c r="F420" t="s">
        <v>871</v>
      </c>
      <c r="G420" t="s">
        <v>694</v>
      </c>
      <c r="H420">
        <v>45745</v>
      </c>
      <c r="I420">
        <v>0.20515046296296297</v>
      </c>
      <c r="J420"/>
      <c r="K420"/>
      <c r="L420">
        <v>45745</v>
      </c>
      <c r="M420">
        <v>0.20931712962962967</v>
      </c>
      <c r="N420" t="s">
        <v>176</v>
      </c>
      <c r="O420" t="s">
        <v>1001</v>
      </c>
      <c r="P420"/>
      <c r="Q420" t="s">
        <v>699</v>
      </c>
      <c r="R420" t="s">
        <v>273</v>
      </c>
      <c r="S420" t="s">
        <v>936</v>
      </c>
      <c r="T420" t="s">
        <v>1002</v>
      </c>
      <c r="U420"/>
      <c r="V420"/>
      <c r="W420" t="s">
        <v>701</v>
      </c>
      <c r="X420" t="s">
        <v>1003</v>
      </c>
      <c r="Y420" t="s">
        <v>635</v>
      </c>
      <c r="Z420" t="s">
        <v>65</v>
      </c>
      <c r="AA420"/>
      <c r="AB420"/>
      <c r="AC420"/>
      <c r="AD420"/>
      <c r="AE420" t="s">
        <v>994</v>
      </c>
      <c r="AF420" t="s">
        <v>67</v>
      </c>
      <c r="AG420" t="s">
        <v>579</v>
      </c>
      <c r="AH420" t="s">
        <v>121</v>
      </c>
      <c r="AI420" t="s">
        <v>524</v>
      </c>
      <c r="AJ420" t="s">
        <v>123</v>
      </c>
      <c r="AK420"/>
    </row>
    <row r="421" spans="1:37" x14ac:dyDescent="0.3">
      <c r="A421" t="s">
        <v>883</v>
      </c>
      <c r="B421" t="s">
        <v>870</v>
      </c>
      <c r="C421" s="2">
        <v>45764.926233240738</v>
      </c>
      <c r="D421" s="2">
        <v>45751.76185185185</v>
      </c>
      <c r="E421" s="2">
        <v>45752.666834699077</v>
      </c>
      <c r="F421" t="s">
        <v>871</v>
      </c>
      <c r="G421" t="s">
        <v>628</v>
      </c>
      <c r="H421">
        <v>45744</v>
      </c>
      <c r="I421">
        <v>0.85416666666666663</v>
      </c>
      <c r="J421">
        <v>45745</v>
      </c>
      <c r="K421">
        <v>0.41666666666666674</v>
      </c>
      <c r="L421">
        <v>45745</v>
      </c>
      <c r="M421">
        <v>0.42986111111111103</v>
      </c>
      <c r="N421" t="s">
        <v>892</v>
      </c>
      <c r="O421"/>
      <c r="P421"/>
      <c r="Q421" t="s">
        <v>631</v>
      </c>
      <c r="R421" t="s">
        <v>426</v>
      </c>
      <c r="S421" t="s">
        <v>907</v>
      </c>
      <c r="T421" t="s">
        <v>1004</v>
      </c>
      <c r="U421"/>
      <c r="V421"/>
      <c r="W421" t="s">
        <v>633</v>
      </c>
      <c r="X421" t="s">
        <v>1003</v>
      </c>
      <c r="Y421" t="s">
        <v>635</v>
      </c>
      <c r="Z421" t="s">
        <v>65</v>
      </c>
      <c r="AA421"/>
      <c r="AB421"/>
      <c r="AC421"/>
      <c r="AD421"/>
      <c r="AE421" t="s">
        <v>994</v>
      </c>
      <c r="AF421" t="s">
        <v>67</v>
      </c>
      <c r="AG421" t="s">
        <v>636</v>
      </c>
      <c r="AH421" t="s">
        <v>637</v>
      </c>
      <c r="AI421" t="s">
        <v>160</v>
      </c>
      <c r="AJ421" t="s">
        <v>123</v>
      </c>
      <c r="AK421" t="s">
        <v>221</v>
      </c>
    </row>
    <row r="422" spans="1:37" x14ac:dyDescent="0.3">
      <c r="A422" t="s">
        <v>883</v>
      </c>
      <c r="B422" t="s">
        <v>870</v>
      </c>
      <c r="C422" s="2">
        <v>45764.926233240738</v>
      </c>
      <c r="D422" s="2">
        <v>45751.76185185185</v>
      </c>
      <c r="E422" s="2">
        <v>45752.666834699077</v>
      </c>
      <c r="F422" t="s">
        <v>871</v>
      </c>
      <c r="G422" t="s">
        <v>589</v>
      </c>
      <c r="H422">
        <v>45747</v>
      </c>
      <c r="I422">
        <v>0.5</v>
      </c>
      <c r="J422"/>
      <c r="K422"/>
      <c r="L422">
        <v>45747</v>
      </c>
      <c r="M422">
        <v>0.54355324074074085</v>
      </c>
      <c r="N422" t="s">
        <v>915</v>
      </c>
      <c r="O422"/>
      <c r="P422"/>
      <c r="Q422" t="s">
        <v>591</v>
      </c>
      <c r="R422" t="s">
        <v>592</v>
      </c>
      <c r="S422" t="s">
        <v>899</v>
      </c>
      <c r="T422" t="s">
        <v>1005</v>
      </c>
      <c r="U422"/>
      <c r="V422"/>
      <c r="W422"/>
      <c r="X422"/>
      <c r="Y422"/>
      <c r="Z422"/>
      <c r="AA422"/>
      <c r="AB422"/>
      <c r="AC422"/>
      <c r="AD422"/>
      <c r="AE422" t="s">
        <v>994</v>
      </c>
      <c r="AF422" t="s">
        <v>67</v>
      </c>
      <c r="AG422" t="s">
        <v>594</v>
      </c>
      <c r="AH422" t="s">
        <v>90</v>
      </c>
      <c r="AI422" t="s">
        <v>180</v>
      </c>
      <c r="AJ422" t="s">
        <v>92</v>
      </c>
      <c r="AK422" t="s">
        <v>137</v>
      </c>
    </row>
    <row r="423" spans="1:37" x14ac:dyDescent="0.3">
      <c r="A423" t="s">
        <v>883</v>
      </c>
      <c r="B423" t="s">
        <v>870</v>
      </c>
      <c r="C423" s="2">
        <v>45764.926233240738</v>
      </c>
      <c r="D423" s="2">
        <v>45751.76185185185</v>
      </c>
      <c r="E423" s="2">
        <v>45752.666834699077</v>
      </c>
      <c r="F423" t="s">
        <v>871</v>
      </c>
      <c r="G423" t="s">
        <v>705</v>
      </c>
      <c r="H423">
        <v>45747</v>
      </c>
      <c r="I423">
        <v>0.77777777777777779</v>
      </c>
      <c r="J423">
        <v>45747</v>
      </c>
      <c r="K423">
        <v>0.91666666666666674</v>
      </c>
      <c r="L423">
        <v>45747</v>
      </c>
      <c r="M423">
        <v>0.93032407407407414</v>
      </c>
      <c r="N423" t="s">
        <v>902</v>
      </c>
      <c r="O423" t="s">
        <v>930</v>
      </c>
      <c r="P423" t="s">
        <v>1006</v>
      </c>
      <c r="Q423" t="s">
        <v>709</v>
      </c>
      <c r="R423" t="s">
        <v>134</v>
      </c>
      <c r="S423" t="s">
        <v>899</v>
      </c>
      <c r="T423" t="s">
        <v>1007</v>
      </c>
      <c r="U423"/>
      <c r="V423"/>
      <c r="W423" t="s">
        <v>711</v>
      </c>
      <c r="X423" t="s">
        <v>1008</v>
      </c>
      <c r="Y423" t="s">
        <v>713</v>
      </c>
      <c r="Z423" t="s">
        <v>65</v>
      </c>
      <c r="AA423"/>
      <c r="AB423"/>
      <c r="AC423"/>
      <c r="AD423"/>
      <c r="AE423" t="s">
        <v>981</v>
      </c>
      <c r="AF423" t="s">
        <v>67</v>
      </c>
      <c r="AG423" t="s">
        <v>714</v>
      </c>
      <c r="AH423" t="s">
        <v>90</v>
      </c>
      <c r="AI423" t="s">
        <v>160</v>
      </c>
      <c r="AJ423" t="s">
        <v>123</v>
      </c>
      <c r="AK423" t="s">
        <v>613</v>
      </c>
    </row>
    <row r="424" spans="1:37" x14ac:dyDescent="0.3">
      <c r="A424" t="s">
        <v>883</v>
      </c>
      <c r="B424" t="s">
        <v>870</v>
      </c>
      <c r="C424" s="2">
        <v>45764.926233240738</v>
      </c>
      <c r="D424" s="2">
        <v>45751.76185185185</v>
      </c>
      <c r="E424" s="2">
        <v>45752.666834699077</v>
      </c>
      <c r="F424" t="s">
        <v>871</v>
      </c>
      <c r="G424" t="s">
        <v>605</v>
      </c>
      <c r="H424">
        <v>45747</v>
      </c>
      <c r="I424">
        <v>0.75</v>
      </c>
      <c r="J424"/>
      <c r="K424"/>
      <c r="L424">
        <v>45748</v>
      </c>
      <c r="M424">
        <v>3.6863425925925952E-2</v>
      </c>
      <c r="N424" t="s">
        <v>902</v>
      </c>
      <c r="O424"/>
      <c r="P424"/>
      <c r="Q424" t="s">
        <v>607</v>
      </c>
      <c r="R424" t="s">
        <v>215</v>
      </c>
      <c r="S424"/>
      <c r="T424" t="s">
        <v>1009</v>
      </c>
      <c r="U424">
        <v>2</v>
      </c>
      <c r="V424">
        <v>0</v>
      </c>
      <c r="W424" t="s">
        <v>1010</v>
      </c>
      <c r="X424" t="s">
        <v>924</v>
      </c>
      <c r="Y424" t="s">
        <v>1011</v>
      </c>
      <c r="Z424" t="s">
        <v>935</v>
      </c>
      <c r="AA424"/>
      <c r="AB424"/>
      <c r="AC424"/>
      <c r="AD424"/>
      <c r="AE424" t="s">
        <v>981</v>
      </c>
      <c r="AF424" t="s">
        <v>67</v>
      </c>
      <c r="AG424" t="s">
        <v>611</v>
      </c>
      <c r="AH424" t="s">
        <v>612</v>
      </c>
      <c r="AI424" t="s">
        <v>160</v>
      </c>
      <c r="AJ424" t="s">
        <v>123</v>
      </c>
      <c r="AK424" t="s">
        <v>613</v>
      </c>
    </row>
    <row r="425" spans="1:37" x14ac:dyDescent="0.3">
      <c r="A425" t="s">
        <v>883</v>
      </c>
      <c r="B425" t="s">
        <v>870</v>
      </c>
      <c r="C425" s="2">
        <v>45764.926233240738</v>
      </c>
      <c r="D425" s="2">
        <v>45751.76185185185</v>
      </c>
      <c r="E425" s="2">
        <v>45752.666834699077</v>
      </c>
      <c r="F425" t="s">
        <v>871</v>
      </c>
      <c r="G425" t="s">
        <v>615</v>
      </c>
      <c r="H425">
        <v>45747</v>
      </c>
      <c r="I425">
        <v>0.83333333333333337</v>
      </c>
      <c r="J425"/>
      <c r="K425"/>
      <c r="L425">
        <v>45747</v>
      </c>
      <c r="M425">
        <v>0.99899305555555551</v>
      </c>
      <c r="N425" t="s">
        <v>902</v>
      </c>
      <c r="O425"/>
      <c r="P425"/>
      <c r="Q425" t="s">
        <v>607</v>
      </c>
      <c r="R425" t="s">
        <v>215</v>
      </c>
      <c r="S425" t="s">
        <v>893</v>
      </c>
      <c r="T425" t="s">
        <v>1012</v>
      </c>
      <c r="U425">
        <v>5</v>
      </c>
      <c r="V425">
        <v>0</v>
      </c>
      <c r="W425" t="s">
        <v>1013</v>
      </c>
      <c r="X425" t="s">
        <v>924</v>
      </c>
      <c r="Y425" t="s">
        <v>618</v>
      </c>
      <c r="Z425" t="s">
        <v>65</v>
      </c>
      <c r="AA425"/>
      <c r="AB425"/>
      <c r="AC425"/>
      <c r="AD425"/>
      <c r="AE425" t="s">
        <v>981</v>
      </c>
      <c r="AF425" t="s">
        <v>67</v>
      </c>
      <c r="AG425" t="s">
        <v>611</v>
      </c>
      <c r="AH425" t="s">
        <v>612</v>
      </c>
      <c r="AI425" t="s">
        <v>160</v>
      </c>
      <c r="AJ425" t="s">
        <v>123</v>
      </c>
      <c r="AK425" t="s">
        <v>613</v>
      </c>
    </row>
    <row r="426" spans="1:37" x14ac:dyDescent="0.3">
      <c r="A426" t="s">
        <v>883</v>
      </c>
      <c r="B426" t="s">
        <v>870</v>
      </c>
      <c r="C426" s="2">
        <v>45764.926233240738</v>
      </c>
      <c r="D426" s="2">
        <v>45751.76185185185</v>
      </c>
      <c r="E426" s="2">
        <v>45752.666834699077</v>
      </c>
      <c r="F426" t="s">
        <v>871</v>
      </c>
      <c r="G426" t="s">
        <v>620</v>
      </c>
      <c r="H426">
        <v>45748</v>
      </c>
      <c r="I426">
        <v>0.85324074074074074</v>
      </c>
      <c r="J426"/>
      <c r="K426"/>
      <c r="L426">
        <v>45748</v>
      </c>
      <c r="M426">
        <v>0.85324074074074074</v>
      </c>
      <c r="N426" t="s">
        <v>902</v>
      </c>
      <c r="O426"/>
      <c r="P426"/>
      <c r="Q426" t="s">
        <v>622</v>
      </c>
      <c r="R426" t="s">
        <v>327</v>
      </c>
      <c r="S426" t="s">
        <v>899</v>
      </c>
      <c r="T426" t="s">
        <v>1014</v>
      </c>
      <c r="U426"/>
      <c r="V426"/>
      <c r="W426" t="s">
        <v>624</v>
      </c>
      <c r="X426" t="s">
        <v>1015</v>
      </c>
      <c r="Y426" t="s">
        <v>626</v>
      </c>
      <c r="Z426" t="s">
        <v>65</v>
      </c>
      <c r="AA426"/>
      <c r="AB426"/>
      <c r="AC426"/>
      <c r="AD426"/>
      <c r="AE426" t="s">
        <v>904</v>
      </c>
      <c r="AF426" t="s">
        <v>67</v>
      </c>
      <c r="AG426" t="s">
        <v>330</v>
      </c>
      <c r="AH426" t="s">
        <v>69</v>
      </c>
      <c r="AI426" t="s">
        <v>160</v>
      </c>
      <c r="AJ426" t="s">
        <v>71</v>
      </c>
      <c r="AK426"/>
    </row>
    <row r="427" spans="1:37" x14ac:dyDescent="0.3">
      <c r="A427" t="s">
        <v>883</v>
      </c>
      <c r="B427" t="s">
        <v>870</v>
      </c>
      <c r="C427" s="2">
        <v>45764.926233240738</v>
      </c>
      <c r="D427" s="2">
        <v>45751.76185185185</v>
      </c>
      <c r="E427" s="2">
        <v>45752.666834699077</v>
      </c>
      <c r="F427" t="s">
        <v>871</v>
      </c>
      <c r="G427" t="s">
        <v>640</v>
      </c>
      <c r="H427">
        <v>45749</v>
      </c>
      <c r="I427">
        <v>0.89930555555555558</v>
      </c>
      <c r="J427"/>
      <c r="K427"/>
      <c r="L427">
        <v>45749</v>
      </c>
      <c r="M427">
        <v>0.90325231481481483</v>
      </c>
      <c r="N427" t="s">
        <v>644</v>
      </c>
      <c r="O427" t="s">
        <v>925</v>
      </c>
      <c r="P427" t="s">
        <v>400</v>
      </c>
      <c r="Q427" t="s">
        <v>645</v>
      </c>
      <c r="R427" t="s">
        <v>101</v>
      </c>
      <c r="S427" t="s">
        <v>907</v>
      </c>
      <c r="T427" t="s">
        <v>1016</v>
      </c>
      <c r="U427"/>
      <c r="V427"/>
      <c r="W427"/>
      <c r="X427"/>
      <c r="Y427"/>
      <c r="Z427"/>
      <c r="AA427"/>
      <c r="AB427"/>
      <c r="AC427"/>
      <c r="AD427"/>
      <c r="AE427" t="s">
        <v>1000</v>
      </c>
      <c r="AF427" t="s">
        <v>67</v>
      </c>
      <c r="AG427" t="s">
        <v>647</v>
      </c>
      <c r="AH427" t="s">
        <v>351</v>
      </c>
      <c r="AI427" t="s">
        <v>352</v>
      </c>
      <c r="AJ427" t="s">
        <v>418</v>
      </c>
      <c r="AK427"/>
    </row>
    <row r="428" spans="1:37" x14ac:dyDescent="0.3">
      <c r="A428" t="s">
        <v>883</v>
      </c>
      <c r="B428" t="s">
        <v>870</v>
      </c>
      <c r="C428" s="2">
        <v>45764.926233240738</v>
      </c>
      <c r="D428" s="2">
        <v>45751.76185185185</v>
      </c>
      <c r="E428" s="2">
        <v>45752.666834699077</v>
      </c>
      <c r="F428" t="s">
        <v>871</v>
      </c>
      <c r="G428" t="s">
        <v>597</v>
      </c>
      <c r="H428">
        <v>45748</v>
      </c>
      <c r="I428">
        <v>0.5</v>
      </c>
      <c r="J428">
        <v>45751</v>
      </c>
      <c r="K428">
        <v>0.52083333333333326</v>
      </c>
      <c r="L428">
        <v>45751</v>
      </c>
      <c r="M428">
        <v>0.54546296296296304</v>
      </c>
      <c r="N428" t="s">
        <v>915</v>
      </c>
      <c r="O428"/>
      <c r="P428"/>
      <c r="Q428" t="s">
        <v>601</v>
      </c>
      <c r="R428" t="s">
        <v>145</v>
      </c>
      <c r="S428" t="s">
        <v>922</v>
      </c>
      <c r="T428" t="s">
        <v>1017</v>
      </c>
      <c r="U428"/>
      <c r="V428"/>
      <c r="W428"/>
      <c r="X428"/>
      <c r="Y428"/>
      <c r="Z428"/>
      <c r="AA428"/>
      <c r="AB428"/>
      <c r="AC428"/>
      <c r="AD428"/>
      <c r="AE428" t="s">
        <v>897</v>
      </c>
      <c r="AF428" t="s">
        <v>67</v>
      </c>
      <c r="AG428" t="s">
        <v>603</v>
      </c>
      <c r="AH428" t="s">
        <v>206</v>
      </c>
      <c r="AI428" t="s">
        <v>524</v>
      </c>
      <c r="AJ428" t="s">
        <v>123</v>
      </c>
      <c r="AK428"/>
    </row>
    <row r="429" spans="1:37" x14ac:dyDescent="0.3">
      <c r="A429" t="s">
        <v>884</v>
      </c>
      <c r="B429" t="s">
        <v>870</v>
      </c>
      <c r="C429" s="2">
        <v>45764.926233275466</v>
      </c>
      <c r="D429" s="2">
        <v>45753.105109374999</v>
      </c>
      <c r="E429" s="2">
        <v>45753.104637476848</v>
      </c>
      <c r="F429" t="s">
        <v>871</v>
      </c>
      <c r="G429" t="s">
        <v>492</v>
      </c>
      <c r="H429">
        <v>45720</v>
      </c>
      <c r="I429">
        <v>0.64097222222222228</v>
      </c>
      <c r="J429"/>
      <c r="K429"/>
      <c r="L429">
        <v>45720</v>
      </c>
      <c r="M429">
        <v>0.64444444444444438</v>
      </c>
      <c r="N429" t="s">
        <v>906</v>
      </c>
      <c r="O429" t="s">
        <v>976</v>
      </c>
      <c r="P429" t="s">
        <v>344</v>
      </c>
      <c r="Q429" t="s">
        <v>497</v>
      </c>
      <c r="R429" t="s">
        <v>84</v>
      </c>
      <c r="S429" t="s">
        <v>907</v>
      </c>
      <c r="T429" t="s">
        <v>977</v>
      </c>
      <c r="U429"/>
      <c r="V429"/>
      <c r="W429" t="s">
        <v>499</v>
      </c>
      <c r="X429" t="s">
        <v>500</v>
      </c>
      <c r="Y429" t="s">
        <v>501</v>
      </c>
      <c r="Z429" t="s">
        <v>65</v>
      </c>
      <c r="AA429"/>
      <c r="AB429"/>
      <c r="AC429"/>
      <c r="AD429"/>
      <c r="AE429" t="s">
        <v>978</v>
      </c>
      <c r="AF429" t="s">
        <v>67</v>
      </c>
      <c r="AG429" t="s">
        <v>502</v>
      </c>
      <c r="AH429" t="s">
        <v>159</v>
      </c>
      <c r="AI429" t="s">
        <v>378</v>
      </c>
      <c r="AJ429" t="s">
        <v>195</v>
      </c>
      <c r="AK429" t="s">
        <v>353</v>
      </c>
    </row>
    <row r="430" spans="1:37" x14ac:dyDescent="0.3">
      <c r="A430" t="s">
        <v>884</v>
      </c>
      <c r="B430" t="s">
        <v>870</v>
      </c>
      <c r="C430" s="2">
        <v>45764.926233275466</v>
      </c>
      <c r="D430" s="2">
        <v>45753.105109374999</v>
      </c>
      <c r="E430" s="2">
        <v>45753.104637476848</v>
      </c>
      <c r="F430" t="s">
        <v>871</v>
      </c>
      <c r="G430" t="s">
        <v>484</v>
      </c>
      <c r="H430">
        <v>45720</v>
      </c>
      <c r="I430">
        <v>0.79126157407407405</v>
      </c>
      <c r="J430"/>
      <c r="K430"/>
      <c r="L430">
        <v>45720</v>
      </c>
      <c r="M430">
        <v>0.79126157407407405</v>
      </c>
      <c r="N430" t="s">
        <v>906</v>
      </c>
      <c r="O430"/>
      <c r="P430"/>
      <c r="Q430" t="s">
        <v>487</v>
      </c>
      <c r="R430" t="s">
        <v>261</v>
      </c>
      <c r="S430" t="s">
        <v>936</v>
      </c>
      <c r="T430" t="s">
        <v>979</v>
      </c>
      <c r="U430"/>
      <c r="V430"/>
      <c r="W430"/>
      <c r="X430"/>
      <c r="Y430"/>
      <c r="Z430"/>
      <c r="AA430"/>
      <c r="AB430"/>
      <c r="AC430"/>
      <c r="AD430"/>
      <c r="AE430" t="s">
        <v>978</v>
      </c>
      <c r="AF430" t="s">
        <v>67</v>
      </c>
      <c r="AG430" t="s">
        <v>489</v>
      </c>
      <c r="AH430" t="s">
        <v>206</v>
      </c>
      <c r="AI430" t="s">
        <v>70</v>
      </c>
      <c r="AJ430" t="s">
        <v>195</v>
      </c>
      <c r="AK430" t="s">
        <v>353</v>
      </c>
    </row>
    <row r="431" spans="1:37" x14ac:dyDescent="0.3">
      <c r="A431" t="s">
        <v>884</v>
      </c>
      <c r="B431" t="s">
        <v>870</v>
      </c>
      <c r="C431" s="2">
        <v>45764.926233275466</v>
      </c>
      <c r="D431" s="2">
        <v>45753.105109374999</v>
      </c>
      <c r="E431" s="2">
        <v>45753.104637476848</v>
      </c>
      <c r="F431" t="s">
        <v>871</v>
      </c>
      <c r="G431" t="s">
        <v>460</v>
      </c>
      <c r="H431">
        <v>45722</v>
      </c>
      <c r="I431">
        <v>0.94149305555555551</v>
      </c>
      <c r="J431"/>
      <c r="K431"/>
      <c r="L431">
        <v>45722</v>
      </c>
      <c r="M431">
        <v>0.94149305555555562</v>
      </c>
      <c r="N431" t="s">
        <v>902</v>
      </c>
      <c r="O431"/>
      <c r="P431"/>
      <c r="Q431" t="s">
        <v>464</v>
      </c>
      <c r="R431" t="s">
        <v>84</v>
      </c>
      <c r="S431" t="s">
        <v>907</v>
      </c>
      <c r="T431" t="s">
        <v>980</v>
      </c>
      <c r="U431"/>
      <c r="V431"/>
      <c r="W431" t="s">
        <v>466</v>
      </c>
      <c r="X431" t="s">
        <v>944</v>
      </c>
      <c r="Y431" t="s">
        <v>467</v>
      </c>
      <c r="Z431" t="s">
        <v>65</v>
      </c>
      <c r="AA431"/>
      <c r="AB431"/>
      <c r="AC431"/>
      <c r="AD431"/>
      <c r="AE431" t="s">
        <v>981</v>
      </c>
      <c r="AF431" t="s">
        <v>67</v>
      </c>
      <c r="AG431" t="s">
        <v>68</v>
      </c>
      <c r="AH431" t="s">
        <v>69</v>
      </c>
      <c r="AI431" t="s">
        <v>160</v>
      </c>
      <c r="AJ431" t="s">
        <v>123</v>
      </c>
      <c r="AK431" t="s">
        <v>72</v>
      </c>
    </row>
    <row r="432" spans="1:37" x14ac:dyDescent="0.3">
      <c r="A432" t="s">
        <v>884</v>
      </c>
      <c r="B432" t="s">
        <v>870</v>
      </c>
      <c r="C432" s="2">
        <v>45764.926233275466</v>
      </c>
      <c r="D432" s="2">
        <v>45753.105109374999</v>
      </c>
      <c r="E432" s="2">
        <v>45753.104637476848</v>
      </c>
      <c r="F432" t="s">
        <v>871</v>
      </c>
      <c r="G432" t="s">
        <v>472</v>
      </c>
      <c r="H432">
        <v>45725</v>
      </c>
      <c r="I432">
        <v>0.8125</v>
      </c>
      <c r="J432">
        <v>45726</v>
      </c>
      <c r="K432">
        <v>0.35416666666666674</v>
      </c>
      <c r="L432">
        <v>45726</v>
      </c>
      <c r="M432">
        <v>0.37046296296296299</v>
      </c>
      <c r="N432" t="s">
        <v>902</v>
      </c>
      <c r="O432"/>
      <c r="P432"/>
      <c r="Q432" t="s">
        <v>475</v>
      </c>
      <c r="R432" t="s">
        <v>134</v>
      </c>
      <c r="S432" t="s">
        <v>899</v>
      </c>
      <c r="T432" t="s">
        <v>982</v>
      </c>
      <c r="U432"/>
      <c r="V432"/>
      <c r="W432" t="s">
        <v>477</v>
      </c>
      <c r="X432" t="s">
        <v>478</v>
      </c>
      <c r="Y432" t="s">
        <v>479</v>
      </c>
      <c r="Z432" t="s">
        <v>65</v>
      </c>
      <c r="AA432"/>
      <c r="AB432"/>
      <c r="AC432"/>
      <c r="AD432"/>
      <c r="AE432" t="s">
        <v>897</v>
      </c>
      <c r="AF432" t="s">
        <v>67</v>
      </c>
      <c r="AG432" t="s">
        <v>480</v>
      </c>
      <c r="AH432" t="s">
        <v>351</v>
      </c>
      <c r="AI432" t="s">
        <v>122</v>
      </c>
      <c r="AJ432" t="s">
        <v>71</v>
      </c>
      <c r="AK432" t="s">
        <v>72</v>
      </c>
    </row>
    <row r="433" spans="1:37" x14ac:dyDescent="0.3">
      <c r="A433" t="s">
        <v>884</v>
      </c>
      <c r="B433" t="s">
        <v>870</v>
      </c>
      <c r="C433" s="2">
        <v>45764.926233275466</v>
      </c>
      <c r="D433" s="2">
        <v>45753.105109374999</v>
      </c>
      <c r="E433" s="2">
        <v>45753.104637476848</v>
      </c>
      <c r="F433" t="s">
        <v>871</v>
      </c>
      <c r="G433" t="s">
        <v>529</v>
      </c>
      <c r="H433">
        <v>45726</v>
      </c>
      <c r="I433">
        <v>4.6527777777777779E-2</v>
      </c>
      <c r="J433">
        <v>45726</v>
      </c>
      <c r="K433">
        <v>0.16180555555555554</v>
      </c>
      <c r="L433">
        <v>45727</v>
      </c>
      <c r="M433">
        <v>0.44234953703703694</v>
      </c>
      <c r="N433" t="s">
        <v>915</v>
      </c>
      <c r="O433"/>
      <c r="P433"/>
      <c r="Q433" t="s">
        <v>532</v>
      </c>
      <c r="R433" t="s">
        <v>283</v>
      </c>
      <c r="S433" t="s">
        <v>907</v>
      </c>
      <c r="T433" t="s">
        <v>983</v>
      </c>
      <c r="U433"/>
      <c r="V433"/>
      <c r="W433"/>
      <c r="X433"/>
      <c r="Y433"/>
      <c r="Z433"/>
      <c r="AA433"/>
      <c r="AB433"/>
      <c r="AC433"/>
      <c r="AD433"/>
      <c r="AE433" t="s">
        <v>984</v>
      </c>
      <c r="AF433" t="s">
        <v>67</v>
      </c>
      <c r="AG433" t="s">
        <v>219</v>
      </c>
      <c r="AH433" t="s">
        <v>159</v>
      </c>
      <c r="AI433" t="s">
        <v>106</v>
      </c>
      <c r="AJ433" t="s">
        <v>123</v>
      </c>
      <c r="AK433" t="s">
        <v>137</v>
      </c>
    </row>
    <row r="434" spans="1:37" x14ac:dyDescent="0.3">
      <c r="A434" t="s">
        <v>884</v>
      </c>
      <c r="B434" t="s">
        <v>870</v>
      </c>
      <c r="C434" s="2">
        <v>45764.926233275466</v>
      </c>
      <c r="D434" s="2">
        <v>45753.105109374999</v>
      </c>
      <c r="E434" s="2">
        <v>45753.104637476848</v>
      </c>
      <c r="F434" t="s">
        <v>871</v>
      </c>
      <c r="G434" t="s">
        <v>516</v>
      </c>
      <c r="H434">
        <v>45727</v>
      </c>
      <c r="I434">
        <v>0.60416666666666663</v>
      </c>
      <c r="J434"/>
      <c r="K434"/>
      <c r="L434">
        <v>45727</v>
      </c>
      <c r="M434">
        <v>0.6903935185185186</v>
      </c>
      <c r="N434" t="s">
        <v>902</v>
      </c>
      <c r="O434"/>
      <c r="P434"/>
      <c r="Q434" t="s">
        <v>519</v>
      </c>
      <c r="R434" t="s">
        <v>84</v>
      </c>
      <c r="S434" t="s">
        <v>907</v>
      </c>
      <c r="T434" t="s">
        <v>985</v>
      </c>
      <c r="U434"/>
      <c r="V434"/>
      <c r="W434" t="s">
        <v>521</v>
      </c>
      <c r="X434" t="s">
        <v>986</v>
      </c>
      <c r="Y434" t="s">
        <v>523</v>
      </c>
      <c r="Z434" t="s">
        <v>65</v>
      </c>
      <c r="AA434"/>
      <c r="AB434"/>
      <c r="AC434"/>
      <c r="AD434"/>
      <c r="AE434" t="s">
        <v>927</v>
      </c>
      <c r="AF434" t="s">
        <v>67</v>
      </c>
      <c r="AG434" t="s">
        <v>158</v>
      </c>
      <c r="AH434" t="s">
        <v>159</v>
      </c>
      <c r="AI434" t="s">
        <v>524</v>
      </c>
      <c r="AJ434" t="s">
        <v>71</v>
      </c>
      <c r="AK434" t="s">
        <v>72</v>
      </c>
    </row>
    <row r="435" spans="1:37" x14ac:dyDescent="0.3">
      <c r="A435" t="s">
        <v>884</v>
      </c>
      <c r="B435" t="s">
        <v>870</v>
      </c>
      <c r="C435" s="2">
        <v>45764.926233275466</v>
      </c>
      <c r="D435" s="2">
        <v>45753.105109374999</v>
      </c>
      <c r="E435" s="2">
        <v>45753.104637476848</v>
      </c>
      <c r="F435" t="s">
        <v>871</v>
      </c>
      <c r="G435" t="s">
        <v>537</v>
      </c>
      <c r="H435"/>
      <c r="I435"/>
      <c r="J435">
        <v>45734</v>
      </c>
      <c r="K435">
        <v>0.22916666666666674</v>
      </c>
      <c r="L435">
        <v>45734</v>
      </c>
      <c r="M435">
        <v>0.27405092592592584</v>
      </c>
      <c r="N435" t="s">
        <v>440</v>
      </c>
      <c r="O435" t="s">
        <v>915</v>
      </c>
      <c r="P435"/>
      <c r="Q435" t="s">
        <v>540</v>
      </c>
      <c r="R435" t="s">
        <v>363</v>
      </c>
      <c r="S435" t="s">
        <v>893</v>
      </c>
      <c r="T435" t="s">
        <v>987</v>
      </c>
      <c r="U435"/>
      <c r="V435"/>
      <c r="W435" t="s">
        <v>988</v>
      </c>
      <c r="X435" t="s">
        <v>543</v>
      </c>
      <c r="Y435" t="s">
        <v>544</v>
      </c>
      <c r="Z435" t="s">
        <v>65</v>
      </c>
      <c r="AA435"/>
      <c r="AB435"/>
      <c r="AC435"/>
      <c r="AD435"/>
      <c r="AE435"/>
      <c r="AF435" t="s">
        <v>67</v>
      </c>
      <c r="AG435" t="s">
        <v>545</v>
      </c>
      <c r="AH435" t="s">
        <v>546</v>
      </c>
      <c r="AI435"/>
      <c r="AJ435"/>
      <c r="AK435"/>
    </row>
    <row r="436" spans="1:37" x14ac:dyDescent="0.3">
      <c r="A436" t="s">
        <v>884</v>
      </c>
      <c r="B436" t="s">
        <v>870</v>
      </c>
      <c r="C436" s="2">
        <v>45764.926233275466</v>
      </c>
      <c r="D436" s="2">
        <v>45753.105109374999</v>
      </c>
      <c r="E436" s="2">
        <v>45753.104637476848</v>
      </c>
      <c r="F436" t="s">
        <v>871</v>
      </c>
      <c r="G436" t="s">
        <v>549</v>
      </c>
      <c r="H436">
        <v>45737</v>
      </c>
      <c r="I436">
        <v>0.32500000000000001</v>
      </c>
      <c r="J436"/>
      <c r="K436"/>
      <c r="L436">
        <v>45737</v>
      </c>
      <c r="M436">
        <v>0.5971412037037036</v>
      </c>
      <c r="N436" t="s">
        <v>892</v>
      </c>
      <c r="O436"/>
      <c r="P436"/>
      <c r="Q436" t="s">
        <v>552</v>
      </c>
      <c r="R436" t="s">
        <v>261</v>
      </c>
      <c r="S436" t="s">
        <v>936</v>
      </c>
      <c r="T436" t="s">
        <v>989</v>
      </c>
      <c r="U436"/>
      <c r="V436"/>
      <c r="W436" t="s">
        <v>554</v>
      </c>
      <c r="X436" t="s">
        <v>990</v>
      </c>
      <c r="Y436"/>
      <c r="Z436" t="s">
        <v>65</v>
      </c>
      <c r="AA436"/>
      <c r="AB436"/>
      <c r="AC436"/>
      <c r="AD436"/>
      <c r="AE436" t="s">
        <v>981</v>
      </c>
      <c r="AF436" t="s">
        <v>67</v>
      </c>
      <c r="AG436" t="s">
        <v>147</v>
      </c>
      <c r="AH436" t="s">
        <v>90</v>
      </c>
      <c r="AI436" t="s">
        <v>171</v>
      </c>
      <c r="AJ436" t="s">
        <v>266</v>
      </c>
      <c r="AK436" t="s">
        <v>221</v>
      </c>
    </row>
    <row r="437" spans="1:37" x14ac:dyDescent="0.3">
      <c r="A437" t="s">
        <v>884</v>
      </c>
      <c r="B437" t="s">
        <v>870</v>
      </c>
      <c r="C437" s="2">
        <v>45764.926233275466</v>
      </c>
      <c r="D437" s="2">
        <v>45753.105109374999</v>
      </c>
      <c r="E437" s="2">
        <v>45753.104637476848</v>
      </c>
      <c r="F437" t="s">
        <v>871</v>
      </c>
      <c r="G437" t="s">
        <v>559</v>
      </c>
      <c r="H437">
        <v>45739</v>
      </c>
      <c r="I437">
        <v>0.1736111111111111</v>
      </c>
      <c r="J437">
        <v>45739</v>
      </c>
      <c r="K437">
        <v>0.18055555555555558</v>
      </c>
      <c r="L437">
        <v>45739</v>
      </c>
      <c r="M437">
        <v>0.20511574074074068</v>
      </c>
      <c r="N437" t="s">
        <v>902</v>
      </c>
      <c r="O437" t="s">
        <v>991</v>
      </c>
      <c r="P437"/>
      <c r="Q437" t="s">
        <v>564</v>
      </c>
      <c r="R437" t="s">
        <v>250</v>
      </c>
      <c r="S437" t="s">
        <v>922</v>
      </c>
      <c r="T437" t="s">
        <v>992</v>
      </c>
      <c r="U437"/>
      <c r="V437"/>
      <c r="W437" t="s">
        <v>993</v>
      </c>
      <c r="X437" t="s">
        <v>944</v>
      </c>
      <c r="Y437" t="s">
        <v>567</v>
      </c>
      <c r="Z437" t="s">
        <v>65</v>
      </c>
      <c r="AA437"/>
      <c r="AB437"/>
      <c r="AC437"/>
      <c r="AD437"/>
      <c r="AE437" t="s">
        <v>994</v>
      </c>
      <c r="AF437" t="s">
        <v>67</v>
      </c>
      <c r="AG437" t="s">
        <v>105</v>
      </c>
      <c r="AH437" t="s">
        <v>69</v>
      </c>
      <c r="AI437" t="s">
        <v>122</v>
      </c>
      <c r="AJ437" t="s">
        <v>71</v>
      </c>
      <c r="AK437" t="s">
        <v>72</v>
      </c>
    </row>
    <row r="438" spans="1:37" x14ac:dyDescent="0.3">
      <c r="A438" t="s">
        <v>884</v>
      </c>
      <c r="B438" t="s">
        <v>870</v>
      </c>
      <c r="C438" s="2">
        <v>45764.926233275466</v>
      </c>
      <c r="D438" s="2">
        <v>45753.105109374999</v>
      </c>
      <c r="E438" s="2">
        <v>45753.104637476848</v>
      </c>
      <c r="F438" t="s">
        <v>871</v>
      </c>
      <c r="G438" t="s">
        <v>678</v>
      </c>
      <c r="H438">
        <v>45741</v>
      </c>
      <c r="I438">
        <v>0.48402777777777778</v>
      </c>
      <c r="J438"/>
      <c r="K438"/>
      <c r="L438">
        <v>45741</v>
      </c>
      <c r="M438">
        <v>0.50343749999999998</v>
      </c>
      <c r="N438" t="s">
        <v>906</v>
      </c>
      <c r="O438" t="s">
        <v>930</v>
      </c>
      <c r="P438" t="s">
        <v>687</v>
      </c>
      <c r="Q438" t="s">
        <v>362</v>
      </c>
      <c r="R438" t="s">
        <v>363</v>
      </c>
      <c r="S438" t="s">
        <v>893</v>
      </c>
      <c r="T438" t="s">
        <v>995</v>
      </c>
      <c r="U438"/>
      <c r="V438"/>
      <c r="W438" t="s">
        <v>689</v>
      </c>
      <c r="X438" t="s">
        <v>986</v>
      </c>
      <c r="Y438" t="s">
        <v>690</v>
      </c>
      <c r="Z438" t="s">
        <v>65</v>
      </c>
      <c r="AA438"/>
      <c r="AB438"/>
      <c r="AC438"/>
      <c r="AD438"/>
      <c r="AE438" t="s">
        <v>996</v>
      </c>
      <c r="AF438" t="s">
        <v>67</v>
      </c>
      <c r="AG438" t="s">
        <v>647</v>
      </c>
      <c r="AH438" t="s">
        <v>351</v>
      </c>
      <c r="AI438" t="s">
        <v>160</v>
      </c>
      <c r="AJ438" t="s">
        <v>123</v>
      </c>
      <c r="AK438" t="s">
        <v>353</v>
      </c>
    </row>
    <row r="439" spans="1:37" x14ac:dyDescent="0.3">
      <c r="A439" t="s">
        <v>884</v>
      </c>
      <c r="B439" t="s">
        <v>870</v>
      </c>
      <c r="C439" s="2">
        <v>45764.926233275466</v>
      </c>
      <c r="D439" s="2">
        <v>45753.105109374999</v>
      </c>
      <c r="E439" s="2">
        <v>45753.104637476848</v>
      </c>
      <c r="F439" t="s">
        <v>871</v>
      </c>
      <c r="G439" t="s">
        <v>573</v>
      </c>
      <c r="H439">
        <v>45743</v>
      </c>
      <c r="I439">
        <v>0.94666666666666666</v>
      </c>
      <c r="J439"/>
      <c r="K439"/>
      <c r="L439">
        <v>45743</v>
      </c>
      <c r="M439">
        <v>0.94666666666666677</v>
      </c>
      <c r="N439" t="s">
        <v>950</v>
      </c>
      <c r="O439" t="s">
        <v>997</v>
      </c>
      <c r="P439" t="s">
        <v>909</v>
      </c>
      <c r="Q439" t="s">
        <v>577</v>
      </c>
      <c r="R439" t="s">
        <v>261</v>
      </c>
      <c r="S439" t="s">
        <v>936</v>
      </c>
      <c r="T439" t="s">
        <v>998</v>
      </c>
      <c r="U439"/>
      <c r="V439"/>
      <c r="W439"/>
      <c r="X439"/>
      <c r="Y439"/>
      <c r="Z439"/>
      <c r="AA439"/>
      <c r="AB439"/>
      <c r="AC439"/>
      <c r="AD439"/>
      <c r="AE439" t="s">
        <v>927</v>
      </c>
      <c r="AF439" t="s">
        <v>67</v>
      </c>
      <c r="AG439" t="s">
        <v>579</v>
      </c>
      <c r="AH439" t="s">
        <v>121</v>
      </c>
      <c r="AI439" t="s">
        <v>378</v>
      </c>
      <c r="AJ439" t="s">
        <v>435</v>
      </c>
      <c r="AK439" t="s">
        <v>137</v>
      </c>
    </row>
    <row r="440" spans="1:37" x14ac:dyDescent="0.3">
      <c r="A440" t="s">
        <v>884</v>
      </c>
      <c r="B440" t="s">
        <v>870</v>
      </c>
      <c r="C440" s="2">
        <v>45764.926233275466</v>
      </c>
      <c r="D440" s="2">
        <v>45753.105109374999</v>
      </c>
      <c r="E440" s="2">
        <v>45753.104637476848</v>
      </c>
      <c r="F440" t="s">
        <v>871</v>
      </c>
      <c r="G440" t="s">
        <v>582</v>
      </c>
      <c r="H440">
        <v>45743</v>
      </c>
      <c r="I440">
        <v>0.97916666666666663</v>
      </c>
      <c r="J440">
        <v>45744</v>
      </c>
      <c r="K440">
        <v>2.4999999999999911E-2</v>
      </c>
      <c r="L440">
        <v>45744</v>
      </c>
      <c r="M440">
        <v>0.46781249999999996</v>
      </c>
      <c r="N440" t="s">
        <v>915</v>
      </c>
      <c r="O440"/>
      <c r="P440"/>
      <c r="Q440" t="s">
        <v>584</v>
      </c>
      <c r="R440" t="s">
        <v>283</v>
      </c>
      <c r="S440" t="s">
        <v>907</v>
      </c>
      <c r="T440" t="s">
        <v>999</v>
      </c>
      <c r="U440">
        <v>50300</v>
      </c>
      <c r="V440"/>
      <c r="W440"/>
      <c r="X440"/>
      <c r="Y440"/>
      <c r="Z440"/>
      <c r="AA440"/>
      <c r="AB440"/>
      <c r="AC440"/>
      <c r="AD440"/>
      <c r="AE440" t="s">
        <v>1000</v>
      </c>
      <c r="AF440" t="s">
        <v>67</v>
      </c>
      <c r="AG440" t="s">
        <v>480</v>
      </c>
      <c r="AH440" t="s">
        <v>351</v>
      </c>
      <c r="AI440" t="s">
        <v>586</v>
      </c>
      <c r="AJ440" t="s">
        <v>123</v>
      </c>
      <c r="AK440" t="s">
        <v>137</v>
      </c>
    </row>
    <row r="441" spans="1:37" x14ac:dyDescent="0.3">
      <c r="A441" t="s">
        <v>884</v>
      </c>
      <c r="B441" t="s">
        <v>870</v>
      </c>
      <c r="C441" s="2">
        <v>45764.926233275466</v>
      </c>
      <c r="D441" s="2">
        <v>45753.105109374999</v>
      </c>
      <c r="E441" s="2">
        <v>45753.104637476848</v>
      </c>
      <c r="F441" t="s">
        <v>871</v>
      </c>
      <c r="G441" t="s">
        <v>694</v>
      </c>
      <c r="H441">
        <v>45745</v>
      </c>
      <c r="I441">
        <v>0.20515046296296297</v>
      </c>
      <c r="J441"/>
      <c r="K441"/>
      <c r="L441">
        <v>45745</v>
      </c>
      <c r="M441">
        <v>0.20931712962962967</v>
      </c>
      <c r="N441" t="s">
        <v>176</v>
      </c>
      <c r="O441" t="s">
        <v>1001</v>
      </c>
      <c r="P441"/>
      <c r="Q441" t="s">
        <v>699</v>
      </c>
      <c r="R441" t="s">
        <v>273</v>
      </c>
      <c r="S441" t="s">
        <v>936</v>
      </c>
      <c r="T441" t="s">
        <v>1002</v>
      </c>
      <c r="U441"/>
      <c r="V441"/>
      <c r="W441" t="s">
        <v>701</v>
      </c>
      <c r="X441" t="s">
        <v>1003</v>
      </c>
      <c r="Y441" t="s">
        <v>635</v>
      </c>
      <c r="Z441" t="s">
        <v>65</v>
      </c>
      <c r="AA441"/>
      <c r="AB441"/>
      <c r="AC441"/>
      <c r="AD441"/>
      <c r="AE441" t="s">
        <v>994</v>
      </c>
      <c r="AF441" t="s">
        <v>67</v>
      </c>
      <c r="AG441" t="s">
        <v>579</v>
      </c>
      <c r="AH441" t="s">
        <v>121</v>
      </c>
      <c r="AI441" t="s">
        <v>524</v>
      </c>
      <c r="AJ441" t="s">
        <v>123</v>
      </c>
      <c r="AK441"/>
    </row>
    <row r="442" spans="1:37" x14ac:dyDescent="0.3">
      <c r="A442" t="s">
        <v>884</v>
      </c>
      <c r="B442" t="s">
        <v>870</v>
      </c>
      <c r="C442" s="2">
        <v>45764.926233275466</v>
      </c>
      <c r="D442" s="2">
        <v>45753.105109374999</v>
      </c>
      <c r="E442" s="2">
        <v>45753.104637476848</v>
      </c>
      <c r="F442" t="s">
        <v>871</v>
      </c>
      <c r="G442" t="s">
        <v>628</v>
      </c>
      <c r="H442">
        <v>45744</v>
      </c>
      <c r="I442">
        <v>0.85416666666666663</v>
      </c>
      <c r="J442">
        <v>45745</v>
      </c>
      <c r="K442">
        <v>0.41666666666666674</v>
      </c>
      <c r="L442">
        <v>45745</v>
      </c>
      <c r="M442">
        <v>0.42986111111111103</v>
      </c>
      <c r="N442" t="s">
        <v>892</v>
      </c>
      <c r="O442"/>
      <c r="P442"/>
      <c r="Q442" t="s">
        <v>631</v>
      </c>
      <c r="R442" t="s">
        <v>426</v>
      </c>
      <c r="S442" t="s">
        <v>907</v>
      </c>
      <c r="T442" t="s">
        <v>1004</v>
      </c>
      <c r="U442"/>
      <c r="V442"/>
      <c r="W442" t="s">
        <v>633</v>
      </c>
      <c r="X442" t="s">
        <v>1003</v>
      </c>
      <c r="Y442" t="s">
        <v>635</v>
      </c>
      <c r="Z442" t="s">
        <v>65</v>
      </c>
      <c r="AA442"/>
      <c r="AB442"/>
      <c r="AC442"/>
      <c r="AD442"/>
      <c r="AE442" t="s">
        <v>994</v>
      </c>
      <c r="AF442" t="s">
        <v>67</v>
      </c>
      <c r="AG442" t="s">
        <v>636</v>
      </c>
      <c r="AH442" t="s">
        <v>637</v>
      </c>
      <c r="AI442" t="s">
        <v>160</v>
      </c>
      <c r="AJ442" t="s">
        <v>123</v>
      </c>
      <c r="AK442" t="s">
        <v>221</v>
      </c>
    </row>
    <row r="443" spans="1:37" x14ac:dyDescent="0.3">
      <c r="A443" t="s">
        <v>884</v>
      </c>
      <c r="B443" t="s">
        <v>870</v>
      </c>
      <c r="C443" s="2">
        <v>45764.926233275466</v>
      </c>
      <c r="D443" s="2">
        <v>45753.105109374999</v>
      </c>
      <c r="E443" s="2">
        <v>45753.104637476848</v>
      </c>
      <c r="F443" t="s">
        <v>871</v>
      </c>
      <c r="G443" t="s">
        <v>589</v>
      </c>
      <c r="H443">
        <v>45747</v>
      </c>
      <c r="I443">
        <v>0.5</v>
      </c>
      <c r="J443"/>
      <c r="K443"/>
      <c r="L443">
        <v>45747</v>
      </c>
      <c r="M443">
        <v>0.54355324074074085</v>
      </c>
      <c r="N443" t="s">
        <v>915</v>
      </c>
      <c r="O443"/>
      <c r="P443"/>
      <c r="Q443" t="s">
        <v>591</v>
      </c>
      <c r="R443" t="s">
        <v>592</v>
      </c>
      <c r="S443" t="s">
        <v>899</v>
      </c>
      <c r="T443" t="s">
        <v>1005</v>
      </c>
      <c r="U443"/>
      <c r="V443"/>
      <c r="W443"/>
      <c r="X443"/>
      <c r="Y443"/>
      <c r="Z443"/>
      <c r="AA443"/>
      <c r="AB443"/>
      <c r="AC443"/>
      <c r="AD443"/>
      <c r="AE443" t="s">
        <v>994</v>
      </c>
      <c r="AF443" t="s">
        <v>67</v>
      </c>
      <c r="AG443" t="s">
        <v>594</v>
      </c>
      <c r="AH443" t="s">
        <v>90</v>
      </c>
      <c r="AI443" t="s">
        <v>180</v>
      </c>
      <c r="AJ443" t="s">
        <v>92</v>
      </c>
      <c r="AK443" t="s">
        <v>137</v>
      </c>
    </row>
    <row r="444" spans="1:37" x14ac:dyDescent="0.3">
      <c r="A444" t="s">
        <v>884</v>
      </c>
      <c r="B444" t="s">
        <v>870</v>
      </c>
      <c r="C444" s="2">
        <v>45764.926233275466</v>
      </c>
      <c r="D444" s="2">
        <v>45753.105109374999</v>
      </c>
      <c r="E444" s="2">
        <v>45753.104637476848</v>
      </c>
      <c r="F444" t="s">
        <v>871</v>
      </c>
      <c r="G444" t="s">
        <v>705</v>
      </c>
      <c r="H444">
        <v>45747</v>
      </c>
      <c r="I444">
        <v>0.77777777777777779</v>
      </c>
      <c r="J444">
        <v>45747</v>
      </c>
      <c r="K444">
        <v>0.91666666666666674</v>
      </c>
      <c r="L444">
        <v>45747</v>
      </c>
      <c r="M444">
        <v>0.93032407407407414</v>
      </c>
      <c r="N444" t="s">
        <v>902</v>
      </c>
      <c r="O444" t="s">
        <v>930</v>
      </c>
      <c r="P444" t="s">
        <v>1006</v>
      </c>
      <c r="Q444" t="s">
        <v>709</v>
      </c>
      <c r="R444" t="s">
        <v>134</v>
      </c>
      <c r="S444" t="s">
        <v>899</v>
      </c>
      <c r="T444" t="s">
        <v>1007</v>
      </c>
      <c r="U444"/>
      <c r="V444"/>
      <c r="W444" t="s">
        <v>711</v>
      </c>
      <c r="X444" t="s">
        <v>1008</v>
      </c>
      <c r="Y444" t="s">
        <v>713</v>
      </c>
      <c r="Z444" t="s">
        <v>65</v>
      </c>
      <c r="AA444"/>
      <c r="AB444"/>
      <c r="AC444"/>
      <c r="AD444"/>
      <c r="AE444" t="s">
        <v>981</v>
      </c>
      <c r="AF444" t="s">
        <v>67</v>
      </c>
      <c r="AG444" t="s">
        <v>714</v>
      </c>
      <c r="AH444" t="s">
        <v>90</v>
      </c>
      <c r="AI444" t="s">
        <v>160</v>
      </c>
      <c r="AJ444" t="s">
        <v>123</v>
      </c>
      <c r="AK444" t="s">
        <v>613</v>
      </c>
    </row>
    <row r="445" spans="1:37" x14ac:dyDescent="0.3">
      <c r="A445" t="s">
        <v>884</v>
      </c>
      <c r="B445" t="s">
        <v>870</v>
      </c>
      <c r="C445" s="2">
        <v>45764.926233275466</v>
      </c>
      <c r="D445" s="2">
        <v>45753.105109374999</v>
      </c>
      <c r="E445" s="2">
        <v>45753.104637476848</v>
      </c>
      <c r="F445" t="s">
        <v>871</v>
      </c>
      <c r="G445" t="s">
        <v>605</v>
      </c>
      <c r="H445">
        <v>45747</v>
      </c>
      <c r="I445">
        <v>0.75</v>
      </c>
      <c r="J445"/>
      <c r="K445"/>
      <c r="L445">
        <v>45748</v>
      </c>
      <c r="M445">
        <v>3.6863425925925952E-2</v>
      </c>
      <c r="N445" t="s">
        <v>902</v>
      </c>
      <c r="O445"/>
      <c r="P445"/>
      <c r="Q445" t="s">
        <v>607</v>
      </c>
      <c r="R445" t="s">
        <v>215</v>
      </c>
      <c r="S445"/>
      <c r="T445" t="s">
        <v>1009</v>
      </c>
      <c r="U445">
        <v>2</v>
      </c>
      <c r="V445">
        <v>0</v>
      </c>
      <c r="W445" t="s">
        <v>1010</v>
      </c>
      <c r="X445" t="s">
        <v>924</v>
      </c>
      <c r="Y445" t="s">
        <v>1011</v>
      </c>
      <c r="Z445" t="s">
        <v>935</v>
      </c>
      <c r="AA445"/>
      <c r="AB445"/>
      <c r="AC445"/>
      <c r="AD445"/>
      <c r="AE445" t="s">
        <v>981</v>
      </c>
      <c r="AF445" t="s">
        <v>67</v>
      </c>
      <c r="AG445" t="s">
        <v>611</v>
      </c>
      <c r="AH445" t="s">
        <v>612</v>
      </c>
      <c r="AI445" t="s">
        <v>160</v>
      </c>
      <c r="AJ445" t="s">
        <v>123</v>
      </c>
      <c r="AK445" t="s">
        <v>613</v>
      </c>
    </row>
    <row r="446" spans="1:37" x14ac:dyDescent="0.3">
      <c r="A446" t="s">
        <v>884</v>
      </c>
      <c r="B446" t="s">
        <v>870</v>
      </c>
      <c r="C446" s="2">
        <v>45764.926233275466</v>
      </c>
      <c r="D446" s="2">
        <v>45753.105109374999</v>
      </c>
      <c r="E446" s="2">
        <v>45753.104637476848</v>
      </c>
      <c r="F446" t="s">
        <v>871</v>
      </c>
      <c r="G446" t="s">
        <v>615</v>
      </c>
      <c r="H446">
        <v>45747</v>
      </c>
      <c r="I446">
        <v>0.83333333333333337</v>
      </c>
      <c r="J446"/>
      <c r="K446"/>
      <c r="L446">
        <v>45747</v>
      </c>
      <c r="M446">
        <v>0.99899305555555551</v>
      </c>
      <c r="N446" t="s">
        <v>902</v>
      </c>
      <c r="O446"/>
      <c r="P446"/>
      <c r="Q446" t="s">
        <v>607</v>
      </c>
      <c r="R446" t="s">
        <v>215</v>
      </c>
      <c r="S446" t="s">
        <v>893</v>
      </c>
      <c r="T446" t="s">
        <v>1012</v>
      </c>
      <c r="U446">
        <v>5</v>
      </c>
      <c r="V446">
        <v>0</v>
      </c>
      <c r="W446" t="s">
        <v>1013</v>
      </c>
      <c r="X446" t="s">
        <v>924</v>
      </c>
      <c r="Y446" t="s">
        <v>618</v>
      </c>
      <c r="Z446" t="s">
        <v>65</v>
      </c>
      <c r="AA446"/>
      <c r="AB446"/>
      <c r="AC446"/>
      <c r="AD446"/>
      <c r="AE446" t="s">
        <v>981</v>
      </c>
      <c r="AF446" t="s">
        <v>67</v>
      </c>
      <c r="AG446" t="s">
        <v>611</v>
      </c>
      <c r="AH446" t="s">
        <v>612</v>
      </c>
      <c r="AI446" t="s">
        <v>160</v>
      </c>
      <c r="AJ446" t="s">
        <v>123</v>
      </c>
      <c r="AK446" t="s">
        <v>613</v>
      </c>
    </row>
    <row r="447" spans="1:37" x14ac:dyDescent="0.3">
      <c r="A447" t="s">
        <v>884</v>
      </c>
      <c r="B447" t="s">
        <v>870</v>
      </c>
      <c r="C447" s="2">
        <v>45764.926233275466</v>
      </c>
      <c r="D447" s="2">
        <v>45753.105109374999</v>
      </c>
      <c r="E447" s="2">
        <v>45753.104637476848</v>
      </c>
      <c r="F447" t="s">
        <v>871</v>
      </c>
      <c r="G447" t="s">
        <v>620</v>
      </c>
      <c r="H447">
        <v>45748</v>
      </c>
      <c r="I447">
        <v>0.85324074074074074</v>
      </c>
      <c r="J447"/>
      <c r="K447"/>
      <c r="L447">
        <v>45748</v>
      </c>
      <c r="M447">
        <v>0.85324074074074074</v>
      </c>
      <c r="N447" t="s">
        <v>902</v>
      </c>
      <c r="O447"/>
      <c r="P447"/>
      <c r="Q447" t="s">
        <v>622</v>
      </c>
      <c r="R447" t="s">
        <v>327</v>
      </c>
      <c r="S447" t="s">
        <v>899</v>
      </c>
      <c r="T447" t="s">
        <v>1014</v>
      </c>
      <c r="U447"/>
      <c r="V447"/>
      <c r="W447" t="s">
        <v>624</v>
      </c>
      <c r="X447" t="s">
        <v>1015</v>
      </c>
      <c r="Y447" t="s">
        <v>626</v>
      </c>
      <c r="Z447" t="s">
        <v>65</v>
      </c>
      <c r="AA447"/>
      <c r="AB447"/>
      <c r="AC447"/>
      <c r="AD447"/>
      <c r="AE447" t="s">
        <v>904</v>
      </c>
      <c r="AF447" t="s">
        <v>67</v>
      </c>
      <c r="AG447" t="s">
        <v>330</v>
      </c>
      <c r="AH447" t="s">
        <v>69</v>
      </c>
      <c r="AI447" t="s">
        <v>160</v>
      </c>
      <c r="AJ447" t="s">
        <v>71</v>
      </c>
      <c r="AK447"/>
    </row>
    <row r="448" spans="1:37" x14ac:dyDescent="0.3">
      <c r="A448" t="s">
        <v>884</v>
      </c>
      <c r="B448" t="s">
        <v>870</v>
      </c>
      <c r="C448" s="2">
        <v>45764.926233275466</v>
      </c>
      <c r="D448" s="2">
        <v>45753.105109374999</v>
      </c>
      <c r="E448" s="2">
        <v>45753.104637476848</v>
      </c>
      <c r="F448" t="s">
        <v>871</v>
      </c>
      <c r="G448" t="s">
        <v>640</v>
      </c>
      <c r="H448">
        <v>45749</v>
      </c>
      <c r="I448">
        <v>0.89930555555555558</v>
      </c>
      <c r="J448"/>
      <c r="K448"/>
      <c r="L448">
        <v>45749</v>
      </c>
      <c r="M448">
        <v>0.90325231481481483</v>
      </c>
      <c r="N448" t="s">
        <v>644</v>
      </c>
      <c r="O448" t="s">
        <v>925</v>
      </c>
      <c r="P448" t="s">
        <v>400</v>
      </c>
      <c r="Q448" t="s">
        <v>645</v>
      </c>
      <c r="R448" t="s">
        <v>101</v>
      </c>
      <c r="S448" t="s">
        <v>907</v>
      </c>
      <c r="T448" t="s">
        <v>1016</v>
      </c>
      <c r="U448"/>
      <c r="V448"/>
      <c r="W448"/>
      <c r="X448"/>
      <c r="Y448"/>
      <c r="Z448"/>
      <c r="AA448"/>
      <c r="AB448"/>
      <c r="AC448"/>
      <c r="AD448"/>
      <c r="AE448" t="s">
        <v>1000</v>
      </c>
      <c r="AF448" t="s">
        <v>67</v>
      </c>
      <c r="AG448" t="s">
        <v>647</v>
      </c>
      <c r="AH448" t="s">
        <v>351</v>
      </c>
      <c r="AI448" t="s">
        <v>352</v>
      </c>
      <c r="AJ448" t="s">
        <v>418</v>
      </c>
      <c r="AK448"/>
    </row>
    <row r="449" spans="1:37" x14ac:dyDescent="0.3">
      <c r="A449" t="s">
        <v>884</v>
      </c>
      <c r="B449" t="s">
        <v>870</v>
      </c>
      <c r="C449" s="2">
        <v>45764.926233275466</v>
      </c>
      <c r="D449" s="2">
        <v>45753.105109374999</v>
      </c>
      <c r="E449" s="2">
        <v>45753.104637476848</v>
      </c>
      <c r="F449" t="s">
        <v>871</v>
      </c>
      <c r="G449" t="s">
        <v>597</v>
      </c>
      <c r="H449">
        <v>45748</v>
      </c>
      <c r="I449">
        <v>0.5</v>
      </c>
      <c r="J449">
        <v>45751</v>
      </c>
      <c r="K449">
        <v>0.52083333333333326</v>
      </c>
      <c r="L449">
        <v>45751</v>
      </c>
      <c r="M449">
        <v>0.54546296296296304</v>
      </c>
      <c r="N449" t="s">
        <v>915</v>
      </c>
      <c r="O449"/>
      <c r="P449"/>
      <c r="Q449" t="s">
        <v>601</v>
      </c>
      <c r="R449" t="s">
        <v>145</v>
      </c>
      <c r="S449" t="s">
        <v>922</v>
      </c>
      <c r="T449" t="s">
        <v>1017</v>
      </c>
      <c r="U449"/>
      <c r="V449"/>
      <c r="W449"/>
      <c r="X449"/>
      <c r="Y449"/>
      <c r="Z449"/>
      <c r="AA449"/>
      <c r="AB449"/>
      <c r="AC449"/>
      <c r="AD449"/>
      <c r="AE449" t="s">
        <v>897</v>
      </c>
      <c r="AF449" t="s">
        <v>67</v>
      </c>
      <c r="AG449" t="s">
        <v>603</v>
      </c>
      <c r="AH449" t="s">
        <v>206</v>
      </c>
      <c r="AI449" t="s">
        <v>524</v>
      </c>
      <c r="AJ449" t="s">
        <v>123</v>
      </c>
      <c r="AK449"/>
    </row>
    <row r="450" spans="1:37" x14ac:dyDescent="0.3">
      <c r="A450" t="s">
        <v>885</v>
      </c>
      <c r="B450" t="s">
        <v>870</v>
      </c>
      <c r="C450" s="2">
        <v>45764.926233333332</v>
      </c>
      <c r="D450" s="2">
        <v>45755.522465277776</v>
      </c>
      <c r="E450" s="2">
        <v>45760.800145543981</v>
      </c>
      <c r="F450" t="s">
        <v>871</v>
      </c>
      <c r="G450" t="s">
        <v>210</v>
      </c>
      <c r="H450">
        <v>45660</v>
      </c>
      <c r="I450">
        <v>0.89583333333333337</v>
      </c>
      <c r="J450">
        <v>45661</v>
      </c>
      <c r="K450">
        <v>0.26736111111111116</v>
      </c>
      <c r="L450">
        <v>45661</v>
      </c>
      <c r="M450">
        <v>0.4577430555555555</v>
      </c>
      <c r="N450" t="s">
        <v>892</v>
      </c>
      <c r="O450"/>
      <c r="P450"/>
      <c r="Q450" t="s">
        <v>214</v>
      </c>
      <c r="R450" t="s">
        <v>215</v>
      </c>
      <c r="S450" t="s">
        <v>893</v>
      </c>
      <c r="T450" t="s">
        <v>894</v>
      </c>
      <c r="U450"/>
      <c r="V450"/>
      <c r="W450" t="s">
        <v>895</v>
      </c>
      <c r="X450" t="s">
        <v>896</v>
      </c>
      <c r="Y450" t="s">
        <v>218</v>
      </c>
      <c r="Z450" t="s">
        <v>65</v>
      </c>
      <c r="AA450"/>
      <c r="AB450"/>
      <c r="AC450"/>
      <c r="AD450"/>
      <c r="AE450" t="s">
        <v>897</v>
      </c>
      <c r="AF450" t="s">
        <v>67</v>
      </c>
      <c r="AG450" t="s">
        <v>219</v>
      </c>
      <c r="AH450" t="s">
        <v>206</v>
      </c>
      <c r="AI450" t="s">
        <v>220</v>
      </c>
      <c r="AJ450" t="s">
        <v>71</v>
      </c>
      <c r="AK450" t="s">
        <v>221</v>
      </c>
    </row>
    <row r="451" spans="1:37" x14ac:dyDescent="0.3">
      <c r="A451" t="s">
        <v>885</v>
      </c>
      <c r="B451" t="s">
        <v>870</v>
      </c>
      <c r="C451" s="2">
        <v>45764.926233333332</v>
      </c>
      <c r="D451" s="2">
        <v>45755.522465277776</v>
      </c>
      <c r="E451" s="2">
        <v>45760.800145543981</v>
      </c>
      <c r="F451" t="s">
        <v>871</v>
      </c>
      <c r="G451" t="s">
        <v>395</v>
      </c>
      <c r="H451">
        <v>45664</v>
      </c>
      <c r="I451">
        <v>0.58333333333333337</v>
      </c>
      <c r="J451"/>
      <c r="K451"/>
      <c r="L451">
        <v>45667</v>
      </c>
      <c r="M451">
        <v>0.59781250000000008</v>
      </c>
      <c r="N451" t="s">
        <v>898</v>
      </c>
      <c r="O451" t="s">
        <v>400</v>
      </c>
      <c r="P451"/>
      <c r="Q451" t="s">
        <v>401</v>
      </c>
      <c r="R451" t="s">
        <v>134</v>
      </c>
      <c r="S451" t="s">
        <v>899</v>
      </c>
      <c r="T451" t="s">
        <v>900</v>
      </c>
      <c r="U451"/>
      <c r="V451"/>
      <c r="W451"/>
      <c r="X451"/>
      <c r="Y451"/>
      <c r="Z451"/>
      <c r="AA451"/>
      <c r="AB451"/>
      <c r="AC451"/>
      <c r="AD451"/>
      <c r="AE451" t="s">
        <v>901</v>
      </c>
      <c r="AF451" t="s">
        <v>67</v>
      </c>
      <c r="AG451" t="s">
        <v>404</v>
      </c>
      <c r="AH451" t="s">
        <v>405</v>
      </c>
      <c r="AI451" t="s">
        <v>406</v>
      </c>
      <c r="AJ451" t="s">
        <v>71</v>
      </c>
      <c r="AK451" t="s">
        <v>407</v>
      </c>
    </row>
    <row r="452" spans="1:37" x14ac:dyDescent="0.3">
      <c r="A452" t="s">
        <v>885</v>
      </c>
      <c r="B452" t="s">
        <v>870</v>
      </c>
      <c r="C452" s="2">
        <v>45764.926233333332</v>
      </c>
      <c r="D452" s="2">
        <v>45755.522465277776</v>
      </c>
      <c r="E452" s="2">
        <v>45760.800145543981</v>
      </c>
      <c r="F452" t="s">
        <v>871</v>
      </c>
      <c r="G452" t="s">
        <v>53</v>
      </c>
      <c r="H452">
        <v>45663</v>
      </c>
      <c r="I452">
        <v>0.64583333333333337</v>
      </c>
      <c r="J452">
        <v>45667</v>
      </c>
      <c r="K452"/>
      <c r="L452">
        <v>45667</v>
      </c>
      <c r="M452">
        <v>0.82629629629629631</v>
      </c>
      <c r="N452" t="s">
        <v>902</v>
      </c>
      <c r="O452"/>
      <c r="P452"/>
      <c r="Q452" t="s">
        <v>60</v>
      </c>
      <c r="R452"/>
      <c r="S452" t="s">
        <v>899</v>
      </c>
      <c r="T452" t="s">
        <v>903</v>
      </c>
      <c r="U452"/>
      <c r="V452"/>
      <c r="W452" t="s">
        <v>62</v>
      </c>
      <c r="X452" t="s">
        <v>896</v>
      </c>
      <c r="Y452" t="s">
        <v>64</v>
      </c>
      <c r="Z452" t="s">
        <v>65</v>
      </c>
      <c r="AA452"/>
      <c r="AB452"/>
      <c r="AC452"/>
      <c r="AD452"/>
      <c r="AE452" t="s">
        <v>904</v>
      </c>
      <c r="AF452" t="s">
        <v>67</v>
      </c>
      <c r="AG452" t="s">
        <v>68</v>
      </c>
      <c r="AH452" t="s">
        <v>69</v>
      </c>
      <c r="AI452" t="s">
        <v>70</v>
      </c>
      <c r="AJ452" t="s">
        <v>123</v>
      </c>
      <c r="AK452" t="s">
        <v>72</v>
      </c>
    </row>
    <row r="453" spans="1:37" x14ac:dyDescent="0.3">
      <c r="A453" t="s">
        <v>885</v>
      </c>
      <c r="B453" t="s">
        <v>870</v>
      </c>
      <c r="C453" s="2">
        <v>45764.926233333332</v>
      </c>
      <c r="D453" s="2">
        <v>45755.522465277776</v>
      </c>
      <c r="E453" s="2">
        <v>45760.800145543981</v>
      </c>
      <c r="F453" t="s">
        <v>871</v>
      </c>
      <c r="G453" t="s">
        <v>341</v>
      </c>
      <c r="H453">
        <v>45670</v>
      </c>
      <c r="I453">
        <v>0.50347222222222221</v>
      </c>
      <c r="J453"/>
      <c r="K453"/>
      <c r="L453">
        <v>45670</v>
      </c>
      <c r="M453">
        <v>0.50537037037037047</v>
      </c>
      <c r="N453" t="s">
        <v>344</v>
      </c>
      <c r="O453" t="s">
        <v>905</v>
      </c>
      <c r="P453" t="s">
        <v>906</v>
      </c>
      <c r="Q453" t="s">
        <v>348</v>
      </c>
      <c r="R453" t="s">
        <v>84</v>
      </c>
      <c r="S453" t="s">
        <v>907</v>
      </c>
      <c r="T453" t="s">
        <v>908</v>
      </c>
      <c r="U453"/>
      <c r="V453"/>
      <c r="W453"/>
      <c r="X453"/>
      <c r="Y453"/>
      <c r="Z453"/>
      <c r="AA453"/>
      <c r="AB453"/>
      <c r="AC453"/>
      <c r="AD453"/>
      <c r="AE453" t="s">
        <v>897</v>
      </c>
      <c r="AF453" t="s">
        <v>67</v>
      </c>
      <c r="AG453" t="s">
        <v>350</v>
      </c>
      <c r="AH453" t="s">
        <v>351</v>
      </c>
      <c r="AI453" t="s">
        <v>352</v>
      </c>
      <c r="AJ453" t="s">
        <v>123</v>
      </c>
      <c r="AK453" t="s">
        <v>353</v>
      </c>
    </row>
    <row r="454" spans="1:37" x14ac:dyDescent="0.3">
      <c r="A454" t="s">
        <v>885</v>
      </c>
      <c r="B454" t="s">
        <v>870</v>
      </c>
      <c r="C454" s="2">
        <v>45764.926233333332</v>
      </c>
      <c r="D454" s="2">
        <v>45755.522465277776</v>
      </c>
      <c r="E454" s="2">
        <v>45760.800145543981</v>
      </c>
      <c r="F454" t="s">
        <v>871</v>
      </c>
      <c r="G454" t="s">
        <v>356</v>
      </c>
      <c r="H454">
        <v>45671</v>
      </c>
      <c r="I454">
        <v>0.64067129629629627</v>
      </c>
      <c r="J454"/>
      <c r="K454"/>
      <c r="L454">
        <v>45671</v>
      </c>
      <c r="M454">
        <v>0.64067129629629638</v>
      </c>
      <c r="N454" t="s">
        <v>906</v>
      </c>
      <c r="O454" t="s">
        <v>909</v>
      </c>
      <c r="P454" t="s">
        <v>361</v>
      </c>
      <c r="Q454" t="s">
        <v>362</v>
      </c>
      <c r="R454" t="s">
        <v>363</v>
      </c>
      <c r="S454" t="s">
        <v>893</v>
      </c>
      <c r="T454" t="s">
        <v>910</v>
      </c>
      <c r="U454"/>
      <c r="V454"/>
      <c r="W454" t="s">
        <v>911</v>
      </c>
      <c r="X454" t="s">
        <v>912</v>
      </c>
      <c r="Y454" t="s">
        <v>367</v>
      </c>
      <c r="Z454" t="s">
        <v>65</v>
      </c>
      <c r="AA454"/>
      <c r="AB454"/>
      <c r="AC454"/>
      <c r="AD454"/>
      <c r="AE454" t="s">
        <v>913</v>
      </c>
      <c r="AF454" t="s">
        <v>67</v>
      </c>
      <c r="AG454" t="s">
        <v>219</v>
      </c>
      <c r="AH454" t="s">
        <v>368</v>
      </c>
      <c r="AI454" t="s">
        <v>160</v>
      </c>
      <c r="AJ454" t="s">
        <v>123</v>
      </c>
      <c r="AK454" t="s">
        <v>353</v>
      </c>
    </row>
    <row r="455" spans="1:37" x14ac:dyDescent="0.3">
      <c r="A455" t="s">
        <v>885</v>
      </c>
      <c r="B455" t="s">
        <v>870</v>
      </c>
      <c r="C455" s="2">
        <v>45764.926233333332</v>
      </c>
      <c r="D455" s="2">
        <v>45755.522465277776</v>
      </c>
      <c r="E455" s="2">
        <v>45760.800145543981</v>
      </c>
      <c r="F455" t="s">
        <v>871</v>
      </c>
      <c r="G455" t="s">
        <v>224</v>
      </c>
      <c r="H455">
        <v>45672</v>
      </c>
      <c r="I455">
        <v>0.53988425925925931</v>
      </c>
      <c r="J455"/>
      <c r="K455"/>
      <c r="L455">
        <v>45672</v>
      </c>
      <c r="M455">
        <v>0.5398842592592592</v>
      </c>
      <c r="N455" t="s">
        <v>892</v>
      </c>
      <c r="O455"/>
      <c r="P455"/>
      <c r="Q455" t="s">
        <v>227</v>
      </c>
      <c r="R455" t="s">
        <v>84</v>
      </c>
      <c r="S455" t="s">
        <v>907</v>
      </c>
      <c r="T455" t="s">
        <v>914</v>
      </c>
      <c r="U455"/>
      <c r="V455"/>
      <c r="W455" t="s">
        <v>229</v>
      </c>
      <c r="X455" t="s">
        <v>896</v>
      </c>
      <c r="Y455" t="s">
        <v>230</v>
      </c>
      <c r="Z455" t="s">
        <v>65</v>
      </c>
      <c r="AA455"/>
      <c r="AB455"/>
      <c r="AC455"/>
      <c r="AD455"/>
      <c r="AE455" t="s">
        <v>913</v>
      </c>
      <c r="AF455" t="s">
        <v>67</v>
      </c>
      <c r="AG455" t="s">
        <v>231</v>
      </c>
      <c r="AH455" t="s">
        <v>232</v>
      </c>
      <c r="AI455" t="s">
        <v>70</v>
      </c>
      <c r="AJ455" t="s">
        <v>71</v>
      </c>
      <c r="AK455" t="s">
        <v>221</v>
      </c>
    </row>
    <row r="456" spans="1:37" x14ac:dyDescent="0.3">
      <c r="A456" t="s">
        <v>885</v>
      </c>
      <c r="B456" t="s">
        <v>870</v>
      </c>
      <c r="C456" s="2">
        <v>45764.926233333332</v>
      </c>
      <c r="D456" s="2">
        <v>45755.522465277776</v>
      </c>
      <c r="E456" s="2">
        <v>45760.800145543981</v>
      </c>
      <c r="F456" t="s">
        <v>871</v>
      </c>
      <c r="G456" t="s">
        <v>129</v>
      </c>
      <c r="H456">
        <v>45673</v>
      </c>
      <c r="I456">
        <v>0.5</v>
      </c>
      <c r="J456">
        <v>45673</v>
      </c>
      <c r="K456">
        <v>0.75</v>
      </c>
      <c r="L456">
        <v>45673</v>
      </c>
      <c r="M456">
        <v>0.81587962962962957</v>
      </c>
      <c r="N456" t="s">
        <v>915</v>
      </c>
      <c r="O456"/>
      <c r="P456"/>
      <c r="Q456" t="s">
        <v>133</v>
      </c>
      <c r="R456" t="s">
        <v>134</v>
      </c>
      <c r="S456" t="s">
        <v>899</v>
      </c>
      <c r="T456" t="s">
        <v>916</v>
      </c>
      <c r="U456"/>
      <c r="V456"/>
      <c r="W456"/>
      <c r="X456"/>
      <c r="Y456"/>
      <c r="Z456"/>
      <c r="AA456"/>
      <c r="AB456"/>
      <c r="AC456"/>
      <c r="AD456"/>
      <c r="AE456" t="s">
        <v>904</v>
      </c>
      <c r="AF456" t="s">
        <v>67</v>
      </c>
      <c r="AG456" t="s">
        <v>136</v>
      </c>
      <c r="AH456" t="s">
        <v>69</v>
      </c>
      <c r="AI456" t="s">
        <v>70</v>
      </c>
      <c r="AJ456" t="s">
        <v>71</v>
      </c>
      <c r="AK456" t="s">
        <v>137</v>
      </c>
    </row>
    <row r="457" spans="1:37" x14ac:dyDescent="0.3">
      <c r="A457" t="s">
        <v>885</v>
      </c>
      <c r="B457" t="s">
        <v>870</v>
      </c>
      <c r="C457" s="2">
        <v>45764.926233333332</v>
      </c>
      <c r="D457" s="2">
        <v>45755.522465277776</v>
      </c>
      <c r="E457" s="2">
        <v>45760.800145543981</v>
      </c>
      <c r="F457" t="s">
        <v>871</v>
      </c>
      <c r="G457" t="s">
        <v>371</v>
      </c>
      <c r="H457">
        <v>45673</v>
      </c>
      <c r="I457">
        <v>0.87708333333333333</v>
      </c>
      <c r="J457">
        <v>45673</v>
      </c>
      <c r="K457">
        <v>0.88611111111111107</v>
      </c>
      <c r="L457">
        <v>45674</v>
      </c>
      <c r="M457">
        <v>0.51179398148148159</v>
      </c>
      <c r="N457" t="s">
        <v>906</v>
      </c>
      <c r="O457"/>
      <c r="P457"/>
      <c r="Q457" t="s">
        <v>374</v>
      </c>
      <c r="R457" t="s">
        <v>178</v>
      </c>
      <c r="S457" t="s">
        <v>893</v>
      </c>
      <c r="T457" t="s">
        <v>917</v>
      </c>
      <c r="U457"/>
      <c r="V457"/>
      <c r="W457"/>
      <c r="X457" t="s">
        <v>918</v>
      </c>
      <c r="Y457" t="s">
        <v>919</v>
      </c>
      <c r="Z457"/>
      <c r="AA457"/>
      <c r="AB457"/>
      <c r="AC457"/>
      <c r="AD457"/>
      <c r="AE457" t="s">
        <v>904</v>
      </c>
      <c r="AF457" t="s">
        <v>67</v>
      </c>
      <c r="AG457" t="s">
        <v>89</v>
      </c>
      <c r="AH457" t="s">
        <v>90</v>
      </c>
      <c r="AI457" t="s">
        <v>378</v>
      </c>
      <c r="AJ457" t="s">
        <v>435</v>
      </c>
      <c r="AK457" t="s">
        <v>353</v>
      </c>
    </row>
    <row r="458" spans="1:37" x14ac:dyDescent="0.3">
      <c r="A458" t="s">
        <v>885</v>
      </c>
      <c r="B458" t="s">
        <v>870</v>
      </c>
      <c r="C458" s="2">
        <v>45764.926233333332</v>
      </c>
      <c r="D458" s="2">
        <v>45755.522465277776</v>
      </c>
      <c r="E458" s="2">
        <v>45760.800145543981</v>
      </c>
      <c r="F458" t="s">
        <v>871</v>
      </c>
      <c r="G458" t="s">
        <v>236</v>
      </c>
      <c r="H458">
        <v>45678</v>
      </c>
      <c r="I458">
        <v>0.79166666666666663</v>
      </c>
      <c r="J458">
        <v>45679</v>
      </c>
      <c r="K458">
        <v>0.13125000000000009</v>
      </c>
      <c r="L458">
        <v>45679</v>
      </c>
      <c r="M458">
        <v>0.13255787037037048</v>
      </c>
      <c r="N458" t="s">
        <v>892</v>
      </c>
      <c r="O458"/>
      <c r="P458"/>
      <c r="Q458" t="s">
        <v>239</v>
      </c>
      <c r="R458" t="s">
        <v>178</v>
      </c>
      <c r="S458" t="s">
        <v>893</v>
      </c>
      <c r="T458" t="s">
        <v>920</v>
      </c>
      <c r="U458"/>
      <c r="V458"/>
      <c r="W458" t="s">
        <v>241</v>
      </c>
      <c r="X458" t="s">
        <v>63</v>
      </c>
      <c r="Y458" t="s">
        <v>242</v>
      </c>
      <c r="Z458" t="s">
        <v>65</v>
      </c>
      <c r="AA458"/>
      <c r="AB458"/>
      <c r="AC458"/>
      <c r="AD458"/>
      <c r="AE458" t="s">
        <v>921</v>
      </c>
      <c r="AF458" t="s">
        <v>67</v>
      </c>
      <c r="AG458" t="s">
        <v>244</v>
      </c>
      <c r="AH458" t="s">
        <v>206</v>
      </c>
      <c r="AI458" t="s">
        <v>160</v>
      </c>
      <c r="AJ458" t="s">
        <v>71</v>
      </c>
      <c r="AK458" t="s">
        <v>221</v>
      </c>
    </row>
    <row r="459" spans="1:37" x14ac:dyDescent="0.3">
      <c r="A459" t="s">
        <v>885</v>
      </c>
      <c r="B459" t="s">
        <v>870</v>
      </c>
      <c r="C459" s="2">
        <v>45764.926233333332</v>
      </c>
      <c r="D459" s="2">
        <v>45755.522465277776</v>
      </c>
      <c r="E459" s="2">
        <v>45760.800145543981</v>
      </c>
      <c r="F459" t="s">
        <v>871</v>
      </c>
      <c r="G459" t="s">
        <v>246</v>
      </c>
      <c r="H459">
        <v>45679</v>
      </c>
      <c r="I459">
        <v>0.33333333333333331</v>
      </c>
      <c r="J459">
        <v>45679</v>
      </c>
      <c r="K459">
        <v>0.80069444444444438</v>
      </c>
      <c r="L459">
        <v>45679</v>
      </c>
      <c r="M459">
        <v>0.8020370370370371</v>
      </c>
      <c r="N459" t="s">
        <v>892</v>
      </c>
      <c r="O459"/>
      <c r="P459"/>
      <c r="Q459" t="s">
        <v>249</v>
      </c>
      <c r="R459" t="s">
        <v>250</v>
      </c>
      <c r="S459" t="s">
        <v>922</v>
      </c>
      <c r="T459" t="s">
        <v>923</v>
      </c>
      <c r="U459"/>
      <c r="V459"/>
      <c r="W459" t="s">
        <v>252</v>
      </c>
      <c r="X459" t="s">
        <v>924</v>
      </c>
      <c r="Y459" t="s">
        <v>254</v>
      </c>
      <c r="Z459" t="s">
        <v>65</v>
      </c>
      <c r="AA459"/>
      <c r="AB459"/>
      <c r="AC459"/>
      <c r="AD459"/>
      <c r="AE459" t="s">
        <v>913</v>
      </c>
      <c r="AF459" t="s">
        <v>67</v>
      </c>
      <c r="AG459" t="s">
        <v>244</v>
      </c>
      <c r="AH459" t="s">
        <v>206</v>
      </c>
      <c r="AI459" t="s">
        <v>122</v>
      </c>
      <c r="AJ459" t="s">
        <v>71</v>
      </c>
      <c r="AK459" t="s">
        <v>221</v>
      </c>
    </row>
    <row r="460" spans="1:37" x14ac:dyDescent="0.3">
      <c r="A460" t="s">
        <v>885</v>
      </c>
      <c r="B460" t="s">
        <v>870</v>
      </c>
      <c r="C460" s="2">
        <v>45764.926233333332</v>
      </c>
      <c r="D460" s="2">
        <v>45755.522465277776</v>
      </c>
      <c r="E460" s="2">
        <v>45760.800145543981</v>
      </c>
      <c r="F460" t="s">
        <v>871</v>
      </c>
      <c r="G460" t="s">
        <v>409</v>
      </c>
      <c r="H460">
        <v>45680</v>
      </c>
      <c r="I460">
        <v>0.625</v>
      </c>
      <c r="J460"/>
      <c r="K460"/>
      <c r="L460">
        <v>45680</v>
      </c>
      <c r="M460">
        <v>0.66545138888888888</v>
      </c>
      <c r="N460" t="s">
        <v>925</v>
      </c>
      <c r="O460" t="s">
        <v>400</v>
      </c>
      <c r="P460"/>
      <c r="Q460" t="s">
        <v>414</v>
      </c>
      <c r="R460" t="s">
        <v>84</v>
      </c>
      <c r="S460" t="s">
        <v>907</v>
      </c>
      <c r="T460" t="s">
        <v>926</v>
      </c>
      <c r="U460"/>
      <c r="V460"/>
      <c r="W460"/>
      <c r="X460"/>
      <c r="Y460"/>
      <c r="Z460"/>
      <c r="AA460"/>
      <c r="AB460"/>
      <c r="AC460"/>
      <c r="AD460"/>
      <c r="AE460" t="s">
        <v>927</v>
      </c>
      <c r="AF460" t="s">
        <v>67</v>
      </c>
      <c r="AG460" t="s">
        <v>352</v>
      </c>
      <c r="AH460" t="s">
        <v>417</v>
      </c>
      <c r="AI460" t="s">
        <v>406</v>
      </c>
      <c r="AJ460" t="s">
        <v>418</v>
      </c>
      <c r="AK460"/>
    </row>
    <row r="461" spans="1:37" x14ac:dyDescent="0.3">
      <c r="A461" t="s">
        <v>885</v>
      </c>
      <c r="B461" t="s">
        <v>870</v>
      </c>
      <c r="C461" s="2">
        <v>45764.926233333332</v>
      </c>
      <c r="D461" s="2">
        <v>45755.522465277776</v>
      </c>
      <c r="E461" s="2">
        <v>45760.800145543981</v>
      </c>
      <c r="F461" t="s">
        <v>871</v>
      </c>
      <c r="G461" t="s">
        <v>140</v>
      </c>
      <c r="H461">
        <v>45682</v>
      </c>
      <c r="I461">
        <v>0.45833333333333331</v>
      </c>
      <c r="J461">
        <v>45682</v>
      </c>
      <c r="K461">
        <v>0.58333333333333326</v>
      </c>
      <c r="L461">
        <v>45682</v>
      </c>
      <c r="M461">
        <v>0.58054398148148145</v>
      </c>
      <c r="N461" t="s">
        <v>915</v>
      </c>
      <c r="O461"/>
      <c r="P461"/>
      <c r="Q461" t="s">
        <v>144</v>
      </c>
      <c r="R461" t="s">
        <v>145</v>
      </c>
      <c r="S461" t="s">
        <v>922</v>
      </c>
      <c r="T461" t="s">
        <v>928</v>
      </c>
      <c r="U461"/>
      <c r="V461"/>
      <c r="W461"/>
      <c r="X461"/>
      <c r="Y461"/>
      <c r="Z461"/>
      <c r="AA461"/>
      <c r="AB461"/>
      <c r="AC461"/>
      <c r="AD461"/>
      <c r="AE461" t="s">
        <v>929</v>
      </c>
      <c r="AF461" t="s">
        <v>67</v>
      </c>
      <c r="AG461" t="s">
        <v>147</v>
      </c>
      <c r="AH461" t="s">
        <v>90</v>
      </c>
      <c r="AI461" t="s">
        <v>70</v>
      </c>
      <c r="AJ461" t="s">
        <v>71</v>
      </c>
      <c r="AK461" t="s">
        <v>137</v>
      </c>
    </row>
    <row r="462" spans="1:37" x14ac:dyDescent="0.3">
      <c r="A462" t="s">
        <v>885</v>
      </c>
      <c r="B462" t="s">
        <v>870</v>
      </c>
      <c r="C462" s="2">
        <v>45764.926233333332</v>
      </c>
      <c r="D462" s="2">
        <v>45755.522465277776</v>
      </c>
      <c r="E462" s="2">
        <v>45760.800145543981</v>
      </c>
      <c r="F462" t="s">
        <v>871</v>
      </c>
      <c r="G462" t="s">
        <v>77</v>
      </c>
      <c r="H462">
        <v>45682</v>
      </c>
      <c r="I462">
        <v>0.76875000000000004</v>
      </c>
      <c r="J462"/>
      <c r="K462"/>
      <c r="L462">
        <v>45683</v>
      </c>
      <c r="M462">
        <v>0.44056712962962963</v>
      </c>
      <c r="N462" t="s">
        <v>902</v>
      </c>
      <c r="O462" t="s">
        <v>930</v>
      </c>
      <c r="P462"/>
      <c r="Q462" t="s">
        <v>83</v>
      </c>
      <c r="R462" t="s">
        <v>84</v>
      </c>
      <c r="S462" t="s">
        <v>907</v>
      </c>
      <c r="T462" t="s">
        <v>931</v>
      </c>
      <c r="U462"/>
      <c r="V462"/>
      <c r="W462" t="s">
        <v>932</v>
      </c>
      <c r="X462" t="s">
        <v>896</v>
      </c>
      <c r="Y462" t="s">
        <v>87</v>
      </c>
      <c r="Z462" t="s">
        <v>65</v>
      </c>
      <c r="AA462"/>
      <c r="AB462"/>
      <c r="AC462"/>
      <c r="AD462"/>
      <c r="AE462" t="s">
        <v>929</v>
      </c>
      <c r="AF462" t="s">
        <v>67</v>
      </c>
      <c r="AG462" t="s">
        <v>89</v>
      </c>
      <c r="AH462" t="s">
        <v>90</v>
      </c>
      <c r="AI462" t="s">
        <v>91</v>
      </c>
      <c r="AJ462" t="s">
        <v>92</v>
      </c>
      <c r="AK462" t="s">
        <v>72</v>
      </c>
    </row>
    <row r="463" spans="1:37" x14ac:dyDescent="0.3">
      <c r="A463" t="s">
        <v>885</v>
      </c>
      <c r="B463" t="s">
        <v>870</v>
      </c>
      <c r="C463" s="2">
        <v>45764.926233333332</v>
      </c>
      <c r="D463" s="2">
        <v>45755.522465277776</v>
      </c>
      <c r="E463" s="2">
        <v>45760.800145543981</v>
      </c>
      <c r="F463" t="s">
        <v>871</v>
      </c>
      <c r="G463" t="s">
        <v>96</v>
      </c>
      <c r="H463">
        <v>45683</v>
      </c>
      <c r="I463">
        <v>0.84027777777777779</v>
      </c>
      <c r="J463">
        <v>45683</v>
      </c>
      <c r="K463">
        <v>0.84652777777777777</v>
      </c>
      <c r="L463">
        <v>45683</v>
      </c>
      <c r="M463">
        <v>0.85009259259259262</v>
      </c>
      <c r="N463" t="s">
        <v>902</v>
      </c>
      <c r="O463" t="s">
        <v>930</v>
      </c>
      <c r="P463"/>
      <c r="Q463" t="s">
        <v>100</v>
      </c>
      <c r="R463" t="s">
        <v>101</v>
      </c>
      <c r="S463" t="s">
        <v>893</v>
      </c>
      <c r="T463" t="s">
        <v>933</v>
      </c>
      <c r="U463"/>
      <c r="V463"/>
      <c r="W463" t="s">
        <v>934</v>
      </c>
      <c r="X463" t="s">
        <v>896</v>
      </c>
      <c r="Y463" t="s">
        <v>104</v>
      </c>
      <c r="Z463" t="s">
        <v>935</v>
      </c>
      <c r="AA463"/>
      <c r="AB463"/>
      <c r="AC463"/>
      <c r="AD463"/>
      <c r="AE463" t="s">
        <v>904</v>
      </c>
      <c r="AF463" t="s">
        <v>67</v>
      </c>
      <c r="AG463" t="s">
        <v>105</v>
      </c>
      <c r="AH463" t="s">
        <v>69</v>
      </c>
      <c r="AI463" t="s">
        <v>106</v>
      </c>
      <c r="AJ463" t="s">
        <v>71</v>
      </c>
      <c r="AK463" t="s">
        <v>72</v>
      </c>
    </row>
    <row r="464" spans="1:37" x14ac:dyDescent="0.3">
      <c r="A464" t="s">
        <v>885</v>
      </c>
      <c r="B464" t="s">
        <v>870</v>
      </c>
      <c r="C464" s="2">
        <v>45764.926233333332</v>
      </c>
      <c r="D464" s="2">
        <v>45755.522465277776</v>
      </c>
      <c r="E464" s="2">
        <v>45760.800145543981</v>
      </c>
      <c r="F464" t="s">
        <v>871</v>
      </c>
      <c r="G464" t="s">
        <v>256</v>
      </c>
      <c r="H464">
        <v>45685</v>
      </c>
      <c r="I464">
        <v>0.625</v>
      </c>
      <c r="J464">
        <v>45686</v>
      </c>
      <c r="K464">
        <v>0.91736111111111107</v>
      </c>
      <c r="L464">
        <v>45686</v>
      </c>
      <c r="M464">
        <v>0.91833333333333322</v>
      </c>
      <c r="N464" t="s">
        <v>892</v>
      </c>
      <c r="O464" t="s">
        <v>930</v>
      </c>
      <c r="P464"/>
      <c r="Q464" t="s">
        <v>260</v>
      </c>
      <c r="R464" t="s">
        <v>261</v>
      </c>
      <c r="S464" t="s">
        <v>936</v>
      </c>
      <c r="T464" t="s">
        <v>937</v>
      </c>
      <c r="U464"/>
      <c r="V464"/>
      <c r="W464" t="s">
        <v>938</v>
      </c>
      <c r="X464" t="s">
        <v>939</v>
      </c>
      <c r="Y464" t="s">
        <v>265</v>
      </c>
      <c r="Z464" t="s">
        <v>65</v>
      </c>
      <c r="AA464"/>
      <c r="AB464"/>
      <c r="AC464"/>
      <c r="AD464"/>
      <c r="AE464" t="s">
        <v>940</v>
      </c>
      <c r="AF464" t="s">
        <v>67</v>
      </c>
      <c r="AG464" t="s">
        <v>244</v>
      </c>
      <c r="AH464" t="s">
        <v>206</v>
      </c>
      <c r="AI464" t="s">
        <v>70</v>
      </c>
      <c r="AJ464" t="s">
        <v>266</v>
      </c>
      <c r="AK464" t="s">
        <v>221</v>
      </c>
    </row>
    <row r="465" spans="1:37" x14ac:dyDescent="0.3">
      <c r="A465" t="s">
        <v>885</v>
      </c>
      <c r="B465" t="s">
        <v>870</v>
      </c>
      <c r="C465" s="2">
        <v>45764.926233333332</v>
      </c>
      <c r="D465" s="2">
        <v>45755.522465277776</v>
      </c>
      <c r="E465" s="2">
        <v>45760.800145543981</v>
      </c>
      <c r="F465" t="s">
        <v>871</v>
      </c>
      <c r="G465" t="s">
        <v>151</v>
      </c>
      <c r="H465">
        <v>45688</v>
      </c>
      <c r="I465">
        <v>0.49988425925925928</v>
      </c>
      <c r="J465"/>
      <c r="K465"/>
      <c r="L465">
        <v>45688</v>
      </c>
      <c r="M465">
        <v>0.49988425925925917</v>
      </c>
      <c r="N465" t="s">
        <v>915</v>
      </c>
      <c r="O465"/>
      <c r="P465"/>
      <c r="Q465" t="s">
        <v>154</v>
      </c>
      <c r="R465" t="s">
        <v>155</v>
      </c>
      <c r="S465" t="s">
        <v>907</v>
      </c>
      <c r="T465" t="s">
        <v>941</v>
      </c>
      <c r="U465"/>
      <c r="V465"/>
      <c r="W465"/>
      <c r="X465"/>
      <c r="Y465"/>
      <c r="Z465"/>
      <c r="AA465"/>
      <c r="AB465"/>
      <c r="AC465"/>
      <c r="AD465"/>
      <c r="AE465" t="s">
        <v>897</v>
      </c>
      <c r="AF465" t="s">
        <v>67</v>
      </c>
      <c r="AG465" t="s">
        <v>158</v>
      </c>
      <c r="AH465" t="s">
        <v>159</v>
      </c>
      <c r="AI465" t="s">
        <v>160</v>
      </c>
      <c r="AJ465" t="s">
        <v>71</v>
      </c>
      <c r="AK465" t="s">
        <v>137</v>
      </c>
    </row>
    <row r="466" spans="1:37" x14ac:dyDescent="0.3">
      <c r="A466" t="s">
        <v>885</v>
      </c>
      <c r="B466" t="s">
        <v>870</v>
      </c>
      <c r="C466" s="2">
        <v>45764.926233333332</v>
      </c>
      <c r="D466" s="2">
        <v>45755.522465277776</v>
      </c>
      <c r="E466" s="2">
        <v>45760.800145543981</v>
      </c>
      <c r="F466" t="s">
        <v>871</v>
      </c>
      <c r="G466" t="s">
        <v>269</v>
      </c>
      <c r="H466">
        <v>45689</v>
      </c>
      <c r="I466">
        <v>4.1666666666666664E-2</v>
      </c>
      <c r="J466"/>
      <c r="K466">
        <v>0.10416666666666674</v>
      </c>
      <c r="L466">
        <v>45689</v>
      </c>
      <c r="M466">
        <v>0.11982638888888886</v>
      </c>
      <c r="N466" t="s">
        <v>892</v>
      </c>
      <c r="O466"/>
      <c r="P466"/>
      <c r="Q466" t="s">
        <v>272</v>
      </c>
      <c r="R466" t="s">
        <v>273</v>
      </c>
      <c r="S466" t="s">
        <v>936</v>
      </c>
      <c r="T466" t="s">
        <v>942</v>
      </c>
      <c r="U466"/>
      <c r="V466"/>
      <c r="W466" t="s">
        <v>943</v>
      </c>
      <c r="X466" t="s">
        <v>944</v>
      </c>
      <c r="Y466" t="s">
        <v>276</v>
      </c>
      <c r="Z466" t="s">
        <v>65</v>
      </c>
      <c r="AA466"/>
      <c r="AB466"/>
      <c r="AC466"/>
      <c r="AD466"/>
      <c r="AE466" t="s">
        <v>913</v>
      </c>
      <c r="AF466" t="s">
        <v>67</v>
      </c>
      <c r="AG466" t="s">
        <v>244</v>
      </c>
      <c r="AH466" t="s">
        <v>206</v>
      </c>
      <c r="AI466" t="s">
        <v>122</v>
      </c>
      <c r="AJ466" t="s">
        <v>71</v>
      </c>
      <c r="AK466" t="s">
        <v>221</v>
      </c>
    </row>
    <row r="467" spans="1:37" x14ac:dyDescent="0.3">
      <c r="A467" t="s">
        <v>885</v>
      </c>
      <c r="B467" t="s">
        <v>870</v>
      </c>
      <c r="C467" s="2">
        <v>45764.926233333332</v>
      </c>
      <c r="D467" s="2">
        <v>45755.522465277776</v>
      </c>
      <c r="E467" s="2">
        <v>45760.800145543981</v>
      </c>
      <c r="F467" t="s">
        <v>871</v>
      </c>
      <c r="G467" t="s">
        <v>382</v>
      </c>
      <c r="H467">
        <v>45690</v>
      </c>
      <c r="I467">
        <v>0.72569444444444442</v>
      </c>
      <c r="J467">
        <v>45690</v>
      </c>
      <c r="K467">
        <v>0.75</v>
      </c>
      <c r="L467">
        <v>45691</v>
      </c>
      <c r="M467">
        <v>0.50143518518518526</v>
      </c>
      <c r="N467" t="s">
        <v>176</v>
      </c>
      <c r="O467" t="s">
        <v>906</v>
      </c>
      <c r="P467"/>
      <c r="Q467" t="s">
        <v>385</v>
      </c>
      <c r="R467" t="s">
        <v>145</v>
      </c>
      <c r="S467" t="s">
        <v>922</v>
      </c>
      <c r="T467" t="s">
        <v>945</v>
      </c>
      <c r="U467"/>
      <c r="V467"/>
      <c r="W467"/>
      <c r="X467"/>
      <c r="Y467"/>
      <c r="Z467"/>
      <c r="AA467"/>
      <c r="AB467"/>
      <c r="AC467"/>
      <c r="AD467"/>
      <c r="AE467" t="s">
        <v>904</v>
      </c>
      <c r="AF467" t="s">
        <v>67</v>
      </c>
      <c r="AG467" t="s">
        <v>105</v>
      </c>
      <c r="AH467" t="s">
        <v>69</v>
      </c>
      <c r="AI467" t="s">
        <v>180</v>
      </c>
      <c r="AJ467" t="s">
        <v>92</v>
      </c>
      <c r="AK467"/>
    </row>
    <row r="468" spans="1:37" x14ac:dyDescent="0.3">
      <c r="A468" t="s">
        <v>885</v>
      </c>
      <c r="B468" t="s">
        <v>870</v>
      </c>
      <c r="C468" s="2">
        <v>45764.926233333332</v>
      </c>
      <c r="D468" s="2">
        <v>45755.522465277776</v>
      </c>
      <c r="E468" s="2">
        <v>45760.800145543981</v>
      </c>
      <c r="F468" t="s">
        <v>871</v>
      </c>
      <c r="G468" t="s">
        <v>388</v>
      </c>
      <c r="H468"/>
      <c r="I468"/>
      <c r="J468"/>
      <c r="K468"/>
      <c r="L468">
        <v>45691</v>
      </c>
      <c r="M468">
        <v>0.69484953703703711</v>
      </c>
      <c r="N468" t="s">
        <v>906</v>
      </c>
      <c r="O468"/>
      <c r="P468"/>
      <c r="Q468" t="s">
        <v>390</v>
      </c>
      <c r="R468" t="s">
        <v>363</v>
      </c>
      <c r="S468" t="s">
        <v>893</v>
      </c>
      <c r="T468" t="s">
        <v>946</v>
      </c>
      <c r="U468"/>
      <c r="V468"/>
      <c r="W468"/>
      <c r="X468"/>
      <c r="Y468"/>
      <c r="Z468"/>
      <c r="AA468"/>
      <c r="AB468"/>
      <c r="AC468"/>
      <c r="AD468"/>
      <c r="AE468" t="s">
        <v>929</v>
      </c>
      <c r="AF468" t="s">
        <v>67</v>
      </c>
      <c r="AG468" t="s">
        <v>136</v>
      </c>
      <c r="AH468" t="s">
        <v>69</v>
      </c>
      <c r="AI468" t="s">
        <v>106</v>
      </c>
      <c r="AJ468" t="s">
        <v>71</v>
      </c>
      <c r="AK468" t="s">
        <v>353</v>
      </c>
    </row>
    <row r="469" spans="1:37" x14ac:dyDescent="0.3">
      <c r="A469" t="s">
        <v>885</v>
      </c>
      <c r="B469" t="s">
        <v>870</v>
      </c>
      <c r="C469" s="2">
        <v>45764.926233333332</v>
      </c>
      <c r="D469" s="2">
        <v>45755.522465277776</v>
      </c>
      <c r="E469" s="2">
        <v>45760.800145543981</v>
      </c>
      <c r="F469" t="s">
        <v>871</v>
      </c>
      <c r="G469" t="s">
        <v>279</v>
      </c>
      <c r="H469">
        <v>45691</v>
      </c>
      <c r="I469">
        <v>0.77083333333333337</v>
      </c>
      <c r="J469">
        <v>45692</v>
      </c>
      <c r="K469">
        <v>0.79166666666666674</v>
      </c>
      <c r="L469">
        <v>45692</v>
      </c>
      <c r="M469">
        <v>0.53023148148148147</v>
      </c>
      <c r="N469" t="s">
        <v>892</v>
      </c>
      <c r="O469"/>
      <c r="P469"/>
      <c r="Q469" t="s">
        <v>282</v>
      </c>
      <c r="R469" t="s">
        <v>283</v>
      </c>
      <c r="S469" t="s">
        <v>907</v>
      </c>
      <c r="T469" t="s">
        <v>947</v>
      </c>
      <c r="U469"/>
      <c r="V469"/>
      <c r="W469" t="s">
        <v>948</v>
      </c>
      <c r="X469" t="s">
        <v>286</v>
      </c>
      <c r="Y469" t="s">
        <v>949</v>
      </c>
      <c r="Z469" t="s">
        <v>288</v>
      </c>
      <c r="AA469"/>
      <c r="AB469"/>
      <c r="AC469"/>
      <c r="AD469"/>
      <c r="AE469" t="s">
        <v>904</v>
      </c>
      <c r="AF469" t="s">
        <v>67</v>
      </c>
      <c r="AG469" t="s">
        <v>105</v>
      </c>
      <c r="AH469" t="s">
        <v>69</v>
      </c>
      <c r="AI469" t="s">
        <v>70</v>
      </c>
      <c r="AJ469" t="s">
        <v>195</v>
      </c>
      <c r="AK469" t="s">
        <v>221</v>
      </c>
    </row>
    <row r="470" spans="1:37" x14ac:dyDescent="0.3">
      <c r="A470" t="s">
        <v>885</v>
      </c>
      <c r="B470" t="s">
        <v>870</v>
      </c>
      <c r="C470" s="2">
        <v>45764.926233333332</v>
      </c>
      <c r="D470" s="2">
        <v>45755.522465277776</v>
      </c>
      <c r="E470" s="2">
        <v>45760.800145543981</v>
      </c>
      <c r="F470" t="s">
        <v>871</v>
      </c>
      <c r="G470" t="s">
        <v>161</v>
      </c>
      <c r="H470">
        <v>45693</v>
      </c>
      <c r="I470">
        <v>0.12291666666666666</v>
      </c>
      <c r="J470"/>
      <c r="K470"/>
      <c r="L470">
        <v>45693</v>
      </c>
      <c r="M470">
        <v>0.12339120370370371</v>
      </c>
      <c r="N470" t="s">
        <v>950</v>
      </c>
      <c r="O470" t="s">
        <v>167</v>
      </c>
      <c r="P470"/>
      <c r="Q470" t="s">
        <v>168</v>
      </c>
      <c r="R470" t="s">
        <v>155</v>
      </c>
      <c r="S470" t="s">
        <v>907</v>
      </c>
      <c r="T470" t="s">
        <v>951</v>
      </c>
      <c r="U470"/>
      <c r="V470"/>
      <c r="W470"/>
      <c r="X470"/>
      <c r="Y470"/>
      <c r="Z470"/>
      <c r="AA470"/>
      <c r="AB470"/>
      <c r="AC470"/>
      <c r="AD470"/>
      <c r="AE470" t="s">
        <v>913</v>
      </c>
      <c r="AF470" t="s">
        <v>67</v>
      </c>
      <c r="AG470" t="s">
        <v>170</v>
      </c>
      <c r="AH470" t="s">
        <v>90</v>
      </c>
      <c r="AI470" t="s">
        <v>171</v>
      </c>
      <c r="AJ470" t="s">
        <v>123</v>
      </c>
      <c r="AK470" t="s">
        <v>137</v>
      </c>
    </row>
    <row r="471" spans="1:37" x14ac:dyDescent="0.3">
      <c r="A471" t="s">
        <v>885</v>
      </c>
      <c r="B471" t="s">
        <v>870</v>
      </c>
      <c r="C471" s="2">
        <v>45764.926233333332</v>
      </c>
      <c r="D471" s="2">
        <v>45755.522465277776</v>
      </c>
      <c r="E471" s="2">
        <v>45760.800145543981</v>
      </c>
      <c r="F471" t="s">
        <v>871</v>
      </c>
      <c r="G471" t="s">
        <v>292</v>
      </c>
      <c r="H471">
        <v>45695</v>
      </c>
      <c r="I471">
        <v>0.27430555555555558</v>
      </c>
      <c r="J471">
        <v>45695</v>
      </c>
      <c r="K471">
        <v>0.28472222222222232</v>
      </c>
      <c r="L471">
        <v>45695</v>
      </c>
      <c r="M471">
        <v>0.30738425925925927</v>
      </c>
      <c r="N471" t="s">
        <v>892</v>
      </c>
      <c r="O471"/>
      <c r="P471"/>
      <c r="Q471" t="s">
        <v>296</v>
      </c>
      <c r="R471" t="s">
        <v>203</v>
      </c>
      <c r="S471" t="s">
        <v>922</v>
      </c>
      <c r="T471" t="s">
        <v>952</v>
      </c>
      <c r="U471"/>
      <c r="V471"/>
      <c r="W471" t="s">
        <v>953</v>
      </c>
      <c r="X471" t="s">
        <v>954</v>
      </c>
      <c r="Y471" t="s">
        <v>300</v>
      </c>
      <c r="Z471" t="s">
        <v>65</v>
      </c>
      <c r="AA471"/>
      <c r="AB471"/>
      <c r="AC471"/>
      <c r="AD471"/>
      <c r="AE471" t="s">
        <v>913</v>
      </c>
      <c r="AF471" t="s">
        <v>67</v>
      </c>
      <c r="AG471" t="s">
        <v>301</v>
      </c>
      <c r="AH471" t="s">
        <v>121</v>
      </c>
      <c r="AI471" t="s">
        <v>180</v>
      </c>
      <c r="AJ471" t="s">
        <v>92</v>
      </c>
      <c r="AK471" t="s">
        <v>221</v>
      </c>
    </row>
    <row r="472" spans="1:37" x14ac:dyDescent="0.3">
      <c r="A472" t="s">
        <v>885</v>
      </c>
      <c r="B472" t="s">
        <v>870</v>
      </c>
      <c r="C472" s="2">
        <v>45764.926233333332</v>
      </c>
      <c r="D472" s="2">
        <v>45755.522465277776</v>
      </c>
      <c r="E472" s="2">
        <v>45760.800145543981</v>
      </c>
      <c r="F472" t="s">
        <v>871</v>
      </c>
      <c r="G472" t="s">
        <v>305</v>
      </c>
      <c r="H472">
        <v>45688</v>
      </c>
      <c r="I472">
        <v>0.5</v>
      </c>
      <c r="J472">
        <v>45695</v>
      </c>
      <c r="K472">
        <v>0.54166666666666674</v>
      </c>
      <c r="L472">
        <v>45696</v>
      </c>
      <c r="M472">
        <v>0.3903240740740741</v>
      </c>
      <c r="N472" t="s">
        <v>892</v>
      </c>
      <c r="O472"/>
      <c r="P472"/>
      <c r="Q472" t="s">
        <v>308</v>
      </c>
      <c r="R472" t="s">
        <v>250</v>
      </c>
      <c r="S472" t="s">
        <v>922</v>
      </c>
      <c r="T472" t="s">
        <v>955</v>
      </c>
      <c r="U472"/>
      <c r="V472"/>
      <c r="W472" t="s">
        <v>956</v>
      </c>
      <c r="X472"/>
      <c r="Y472" t="s">
        <v>230</v>
      </c>
      <c r="Z472" t="s">
        <v>935</v>
      </c>
      <c r="AA472"/>
      <c r="AB472"/>
      <c r="AC472"/>
      <c r="AD472"/>
      <c r="AE472" t="s">
        <v>913</v>
      </c>
      <c r="AF472" t="s">
        <v>67</v>
      </c>
      <c r="AG472" t="s">
        <v>205</v>
      </c>
      <c r="AH472" t="s">
        <v>206</v>
      </c>
      <c r="AI472" t="s">
        <v>106</v>
      </c>
      <c r="AJ472" t="s">
        <v>71</v>
      </c>
      <c r="AK472" t="s">
        <v>221</v>
      </c>
    </row>
    <row r="473" spans="1:37" x14ac:dyDescent="0.3">
      <c r="A473" t="s">
        <v>885</v>
      </c>
      <c r="B473" t="s">
        <v>870</v>
      </c>
      <c r="C473" s="2">
        <v>45764.926233333332</v>
      </c>
      <c r="D473" s="2">
        <v>45755.522465277776</v>
      </c>
      <c r="E473" s="2">
        <v>45760.800145543981</v>
      </c>
      <c r="F473" t="s">
        <v>871</v>
      </c>
      <c r="G473" t="s">
        <v>437</v>
      </c>
      <c r="H473">
        <v>45701</v>
      </c>
      <c r="I473">
        <v>8.3333333333333329E-2</v>
      </c>
      <c r="J473"/>
      <c r="K473"/>
      <c r="L473">
        <v>45701</v>
      </c>
      <c r="M473">
        <v>0.51225694444444447</v>
      </c>
      <c r="N473" t="s">
        <v>440</v>
      </c>
      <c r="O473" t="s">
        <v>957</v>
      </c>
      <c r="P473" t="s">
        <v>906</v>
      </c>
      <c r="Q473" t="s">
        <v>443</v>
      </c>
      <c r="R473" t="s">
        <v>191</v>
      </c>
      <c r="S473" t="s">
        <v>893</v>
      </c>
      <c r="T473" t="s">
        <v>958</v>
      </c>
      <c r="U473"/>
      <c r="V473"/>
      <c r="W473"/>
      <c r="X473"/>
      <c r="Y473"/>
      <c r="Z473"/>
      <c r="AA473"/>
      <c r="AB473"/>
      <c r="AC473"/>
      <c r="AD473"/>
      <c r="AE473" t="s">
        <v>959</v>
      </c>
      <c r="AF473" t="s">
        <v>67</v>
      </c>
      <c r="AG473" t="s">
        <v>120</v>
      </c>
      <c r="AH473" t="s">
        <v>121</v>
      </c>
      <c r="AI473" t="s">
        <v>378</v>
      </c>
      <c r="AJ473" t="s">
        <v>446</v>
      </c>
      <c r="AK473"/>
    </row>
    <row r="474" spans="1:37" x14ac:dyDescent="0.3">
      <c r="A474" t="s">
        <v>885</v>
      </c>
      <c r="B474" t="s">
        <v>870</v>
      </c>
      <c r="C474" s="2">
        <v>45764.926233333332</v>
      </c>
      <c r="D474" s="2">
        <v>45755.522465277776</v>
      </c>
      <c r="E474" s="2">
        <v>45760.800145543981</v>
      </c>
      <c r="F474" t="s">
        <v>871</v>
      </c>
      <c r="G474" t="s">
        <v>110</v>
      </c>
      <c r="H474">
        <v>45701</v>
      </c>
      <c r="I474">
        <v>0.66666666666666663</v>
      </c>
      <c r="J474"/>
      <c r="K474"/>
      <c r="L474">
        <v>45702</v>
      </c>
      <c r="M474">
        <v>0.29906250000000001</v>
      </c>
      <c r="N474" t="s">
        <v>902</v>
      </c>
      <c r="O474"/>
      <c r="P474"/>
      <c r="Q474" t="s">
        <v>113</v>
      </c>
      <c r="R474" t="s">
        <v>114</v>
      </c>
      <c r="S474" t="s">
        <v>936</v>
      </c>
      <c r="T474" t="s">
        <v>960</v>
      </c>
      <c r="U474"/>
      <c r="V474"/>
      <c r="W474" t="s">
        <v>116</v>
      </c>
      <c r="X474" t="s">
        <v>944</v>
      </c>
      <c r="Y474" t="s">
        <v>118</v>
      </c>
      <c r="Z474" t="s">
        <v>65</v>
      </c>
      <c r="AA474"/>
      <c r="AB474"/>
      <c r="AC474"/>
      <c r="AD474"/>
      <c r="AE474" t="s">
        <v>913</v>
      </c>
      <c r="AF474" t="s">
        <v>67</v>
      </c>
      <c r="AG474" t="s">
        <v>120</v>
      </c>
      <c r="AH474" t="s">
        <v>121</v>
      </c>
      <c r="AI474" t="s">
        <v>122</v>
      </c>
      <c r="AJ474" t="s">
        <v>71</v>
      </c>
      <c r="AK474" t="s">
        <v>72</v>
      </c>
    </row>
    <row r="475" spans="1:37" x14ac:dyDescent="0.3">
      <c r="A475" t="s">
        <v>885</v>
      </c>
      <c r="B475" t="s">
        <v>870</v>
      </c>
      <c r="C475" s="2">
        <v>45764.926233333332</v>
      </c>
      <c r="D475" s="2">
        <v>45755.522465277776</v>
      </c>
      <c r="E475" s="2">
        <v>45760.800145543981</v>
      </c>
      <c r="F475" t="s">
        <v>871</v>
      </c>
      <c r="G475" t="s">
        <v>313</v>
      </c>
      <c r="H475">
        <v>45705</v>
      </c>
      <c r="I475">
        <v>0.34877314814814814</v>
      </c>
      <c r="J475"/>
      <c r="K475"/>
      <c r="L475">
        <v>45705</v>
      </c>
      <c r="M475">
        <v>0.34877314814814819</v>
      </c>
      <c r="N475" t="s">
        <v>892</v>
      </c>
      <c r="O475" t="s">
        <v>317</v>
      </c>
      <c r="P475"/>
      <c r="Q475" t="s">
        <v>318</v>
      </c>
      <c r="R475" t="s">
        <v>134</v>
      </c>
      <c r="S475" t="s">
        <v>899</v>
      </c>
      <c r="T475" t="s">
        <v>961</v>
      </c>
      <c r="U475"/>
      <c r="V475"/>
      <c r="W475" t="s">
        <v>962</v>
      </c>
      <c r="X475" t="s">
        <v>896</v>
      </c>
      <c r="Y475" t="s">
        <v>218</v>
      </c>
      <c r="Z475" t="s">
        <v>65</v>
      </c>
      <c r="AA475"/>
      <c r="AB475"/>
      <c r="AC475"/>
      <c r="AD475"/>
      <c r="AE475" t="s">
        <v>904</v>
      </c>
      <c r="AF475" t="s">
        <v>67</v>
      </c>
      <c r="AG475" t="s">
        <v>68</v>
      </c>
      <c r="AH475" t="s">
        <v>69</v>
      </c>
      <c r="AI475" t="s">
        <v>122</v>
      </c>
      <c r="AJ475" t="s">
        <v>71</v>
      </c>
      <c r="AK475" t="s">
        <v>221</v>
      </c>
    </row>
    <row r="476" spans="1:37" x14ac:dyDescent="0.3">
      <c r="A476" t="s">
        <v>885</v>
      </c>
      <c r="B476" t="s">
        <v>870</v>
      </c>
      <c r="C476" s="2">
        <v>45764.926233333332</v>
      </c>
      <c r="D476" s="2">
        <v>45755.522465277776</v>
      </c>
      <c r="E476" s="2">
        <v>45760.800145543981</v>
      </c>
      <c r="F476" t="s">
        <v>871</v>
      </c>
      <c r="G476" t="s">
        <v>324</v>
      </c>
      <c r="H476">
        <v>45705</v>
      </c>
      <c r="I476">
        <v>0.39716435185185184</v>
      </c>
      <c r="J476"/>
      <c r="K476"/>
      <c r="L476">
        <v>45705</v>
      </c>
      <c r="M476">
        <v>0.39716435185185195</v>
      </c>
      <c r="N476" t="s">
        <v>892</v>
      </c>
      <c r="O476"/>
      <c r="P476"/>
      <c r="Q476" t="s">
        <v>326</v>
      </c>
      <c r="R476" t="s">
        <v>327</v>
      </c>
      <c r="S476" t="s">
        <v>899</v>
      </c>
      <c r="T476" t="s">
        <v>963</v>
      </c>
      <c r="U476"/>
      <c r="V476"/>
      <c r="W476" t="s">
        <v>964</v>
      </c>
      <c r="X476" t="s">
        <v>896</v>
      </c>
      <c r="Y476" t="s">
        <v>218</v>
      </c>
      <c r="Z476" t="s">
        <v>935</v>
      </c>
      <c r="AA476"/>
      <c r="AB476"/>
      <c r="AC476"/>
      <c r="AD476"/>
      <c r="AE476" t="s">
        <v>904</v>
      </c>
      <c r="AF476" t="s">
        <v>67</v>
      </c>
      <c r="AG476" t="s">
        <v>330</v>
      </c>
      <c r="AH476" t="s">
        <v>69</v>
      </c>
      <c r="AI476" t="s">
        <v>122</v>
      </c>
      <c r="AJ476" t="s">
        <v>71</v>
      </c>
      <c r="AK476" t="s">
        <v>221</v>
      </c>
    </row>
    <row r="477" spans="1:37" x14ac:dyDescent="0.3">
      <c r="A477" t="s">
        <v>885</v>
      </c>
      <c r="B477" t="s">
        <v>870</v>
      </c>
      <c r="C477" s="2">
        <v>45764.926233333332</v>
      </c>
      <c r="D477" s="2">
        <v>45755.522465277776</v>
      </c>
      <c r="E477" s="2">
        <v>45760.800145543981</v>
      </c>
      <c r="F477" t="s">
        <v>871</v>
      </c>
      <c r="G477" t="s">
        <v>173</v>
      </c>
      <c r="H477">
        <v>45705</v>
      </c>
      <c r="I477">
        <v>0.52497685185185183</v>
      </c>
      <c r="J477"/>
      <c r="K477"/>
      <c r="L477">
        <v>45705</v>
      </c>
      <c r="M477">
        <v>0.52497685185185183</v>
      </c>
      <c r="N477" t="s">
        <v>950</v>
      </c>
      <c r="O477" t="s">
        <v>176</v>
      </c>
      <c r="P477"/>
      <c r="Q477" t="s">
        <v>177</v>
      </c>
      <c r="R477" t="s">
        <v>178</v>
      </c>
      <c r="S477" t="s">
        <v>893</v>
      </c>
      <c r="T477" t="s">
        <v>965</v>
      </c>
      <c r="U477"/>
      <c r="V477"/>
      <c r="W477"/>
      <c r="X477"/>
      <c r="Y477"/>
      <c r="Z477"/>
      <c r="AA477"/>
      <c r="AB477"/>
      <c r="AC477"/>
      <c r="AD477"/>
      <c r="AE477" t="s">
        <v>904</v>
      </c>
      <c r="AF477" t="s">
        <v>67</v>
      </c>
      <c r="AG477" t="s">
        <v>68</v>
      </c>
      <c r="AH477" t="s">
        <v>69</v>
      </c>
      <c r="AI477" t="s">
        <v>180</v>
      </c>
      <c r="AJ477" t="s">
        <v>71</v>
      </c>
      <c r="AK477" t="s">
        <v>137</v>
      </c>
    </row>
    <row r="478" spans="1:37" x14ac:dyDescent="0.3">
      <c r="A478" t="s">
        <v>885</v>
      </c>
      <c r="B478" t="s">
        <v>870</v>
      </c>
      <c r="C478" s="2">
        <v>45764.926233333332</v>
      </c>
      <c r="D478" s="2">
        <v>45755.522465277776</v>
      </c>
      <c r="E478" s="2">
        <v>45760.800145543981</v>
      </c>
      <c r="F478" t="s">
        <v>871</v>
      </c>
      <c r="G478" t="s">
        <v>420</v>
      </c>
      <c r="H478">
        <v>45705</v>
      </c>
      <c r="I478">
        <v>0.83333333333333337</v>
      </c>
      <c r="J478">
        <v>45705</v>
      </c>
      <c r="K478">
        <v>0.98958333333333326</v>
      </c>
      <c r="L478">
        <v>45706</v>
      </c>
      <c r="M478">
        <v>0.73564814814814805</v>
      </c>
      <c r="N478" t="s">
        <v>423</v>
      </c>
      <c r="O478" t="s">
        <v>925</v>
      </c>
      <c r="P478"/>
      <c r="Q478" t="s">
        <v>425</v>
      </c>
      <c r="R478" t="s">
        <v>426</v>
      </c>
      <c r="S478" t="s">
        <v>907</v>
      </c>
      <c r="T478" t="s">
        <v>966</v>
      </c>
      <c r="U478"/>
      <c r="V478"/>
      <c r="W478"/>
      <c r="X478"/>
      <c r="Y478"/>
      <c r="Z478"/>
      <c r="AA478"/>
      <c r="AB478"/>
      <c r="AC478"/>
      <c r="AD478"/>
      <c r="AE478" t="s">
        <v>927</v>
      </c>
      <c r="AF478" t="s">
        <v>67</v>
      </c>
      <c r="AG478" t="s">
        <v>106</v>
      </c>
      <c r="AH478" t="s">
        <v>417</v>
      </c>
      <c r="AI478" t="s">
        <v>106</v>
      </c>
      <c r="AJ478" t="s">
        <v>266</v>
      </c>
      <c r="AK478"/>
    </row>
    <row r="479" spans="1:37" x14ac:dyDescent="0.3">
      <c r="A479" t="s">
        <v>885</v>
      </c>
      <c r="B479" t="s">
        <v>870</v>
      </c>
      <c r="C479" s="2">
        <v>45764.926233333332</v>
      </c>
      <c r="D479" s="2">
        <v>45755.522465277776</v>
      </c>
      <c r="E479" s="2">
        <v>45760.800145543981</v>
      </c>
      <c r="F479" t="s">
        <v>871</v>
      </c>
      <c r="G479" t="s">
        <v>429</v>
      </c>
      <c r="H479">
        <v>42906</v>
      </c>
      <c r="I479">
        <v>0.53615740740740736</v>
      </c>
      <c r="J479">
        <v>45555</v>
      </c>
      <c r="K479"/>
      <c r="L479">
        <v>45708</v>
      </c>
      <c r="M479">
        <v>0.53615740740740736</v>
      </c>
      <c r="N479" t="s">
        <v>925</v>
      </c>
      <c r="O479"/>
      <c r="P479"/>
      <c r="Q479" t="s">
        <v>432</v>
      </c>
      <c r="R479" t="s">
        <v>101</v>
      </c>
      <c r="S479" t="s">
        <v>907</v>
      </c>
      <c r="T479" t="s">
        <v>974</v>
      </c>
      <c r="U479"/>
      <c r="V479"/>
      <c r="W479"/>
      <c r="X479"/>
      <c r="Y479"/>
      <c r="Z479"/>
      <c r="AA479"/>
      <c r="AB479"/>
      <c r="AC479"/>
      <c r="AD479"/>
      <c r="AE479" t="s">
        <v>904</v>
      </c>
      <c r="AF479" t="s">
        <v>67</v>
      </c>
      <c r="AG479" t="s">
        <v>434</v>
      </c>
      <c r="AH479" t="s">
        <v>69</v>
      </c>
      <c r="AI479" t="s">
        <v>352</v>
      </c>
      <c r="AJ479" t="s">
        <v>435</v>
      </c>
      <c r="AK479" t="s">
        <v>436</v>
      </c>
    </row>
    <row r="480" spans="1:37" x14ac:dyDescent="0.3">
      <c r="A480" t="s">
        <v>885</v>
      </c>
      <c r="B480" t="s">
        <v>870</v>
      </c>
      <c r="C480" s="2">
        <v>45764.926233333332</v>
      </c>
      <c r="D480" s="2">
        <v>45755.522465277776</v>
      </c>
      <c r="E480" s="2">
        <v>45760.800145543981</v>
      </c>
      <c r="F480" t="s">
        <v>871</v>
      </c>
      <c r="G480" t="s">
        <v>332</v>
      </c>
      <c r="H480">
        <v>45713</v>
      </c>
      <c r="I480">
        <v>0.41666666666666669</v>
      </c>
      <c r="J480">
        <v>45713</v>
      </c>
      <c r="K480">
        <v>0.95833333333333326</v>
      </c>
      <c r="L480">
        <v>45712</v>
      </c>
      <c r="M480">
        <v>0.9913657407407408</v>
      </c>
      <c r="N480" t="s">
        <v>892</v>
      </c>
      <c r="O480"/>
      <c r="P480"/>
      <c r="Q480" t="s">
        <v>335</v>
      </c>
      <c r="R480" t="s">
        <v>250</v>
      </c>
      <c r="S480" t="s">
        <v>922</v>
      </c>
      <c r="T480" t="s">
        <v>973</v>
      </c>
      <c r="U480"/>
      <c r="V480"/>
      <c r="W480" t="s">
        <v>337</v>
      </c>
      <c r="X480" t="s">
        <v>896</v>
      </c>
      <c r="Y480" t="s">
        <v>338</v>
      </c>
      <c r="Z480" t="s">
        <v>339</v>
      </c>
      <c r="AA480"/>
      <c r="AB480"/>
      <c r="AC480"/>
      <c r="AD480"/>
      <c r="AE480" t="s">
        <v>897</v>
      </c>
      <c r="AF480" t="s">
        <v>67</v>
      </c>
      <c r="AG480" t="s">
        <v>158</v>
      </c>
      <c r="AH480" t="s">
        <v>159</v>
      </c>
      <c r="AI480" t="s">
        <v>160</v>
      </c>
      <c r="AJ480" t="s">
        <v>975</v>
      </c>
      <c r="AK480" t="s">
        <v>221</v>
      </c>
    </row>
    <row r="481" spans="1:37" x14ac:dyDescent="0.3">
      <c r="A481" t="s">
        <v>885</v>
      </c>
      <c r="B481" t="s">
        <v>870</v>
      </c>
      <c r="C481" s="2">
        <v>45764.926233333332</v>
      </c>
      <c r="D481" s="2">
        <v>45755.522465277776</v>
      </c>
      <c r="E481" s="2">
        <v>45760.800145543981</v>
      </c>
      <c r="F481" t="s">
        <v>871</v>
      </c>
      <c r="G481" t="s">
        <v>492</v>
      </c>
      <c r="H481">
        <v>45720</v>
      </c>
      <c r="I481">
        <v>0.64097222222222228</v>
      </c>
      <c r="J481"/>
      <c r="K481"/>
      <c r="L481">
        <v>45720</v>
      </c>
      <c r="M481">
        <v>0.64444444444444438</v>
      </c>
      <c r="N481" t="s">
        <v>906</v>
      </c>
      <c r="O481" t="s">
        <v>976</v>
      </c>
      <c r="P481" t="s">
        <v>344</v>
      </c>
      <c r="Q481" t="s">
        <v>497</v>
      </c>
      <c r="R481" t="s">
        <v>84</v>
      </c>
      <c r="S481" t="s">
        <v>907</v>
      </c>
      <c r="T481" t="s">
        <v>977</v>
      </c>
      <c r="U481"/>
      <c r="V481"/>
      <c r="W481" t="s">
        <v>499</v>
      </c>
      <c r="X481" t="s">
        <v>500</v>
      </c>
      <c r="Y481" t="s">
        <v>501</v>
      </c>
      <c r="Z481" t="s">
        <v>65</v>
      </c>
      <c r="AA481"/>
      <c r="AB481"/>
      <c r="AC481"/>
      <c r="AD481"/>
      <c r="AE481" t="s">
        <v>978</v>
      </c>
      <c r="AF481" t="s">
        <v>67</v>
      </c>
      <c r="AG481" t="s">
        <v>502</v>
      </c>
      <c r="AH481" t="s">
        <v>159</v>
      </c>
      <c r="AI481" t="s">
        <v>378</v>
      </c>
      <c r="AJ481" t="s">
        <v>195</v>
      </c>
      <c r="AK481" t="s">
        <v>353</v>
      </c>
    </row>
    <row r="482" spans="1:37" x14ac:dyDescent="0.3">
      <c r="A482" t="s">
        <v>885</v>
      </c>
      <c r="B482" t="s">
        <v>870</v>
      </c>
      <c r="C482" s="2">
        <v>45764.926233333332</v>
      </c>
      <c r="D482" s="2">
        <v>45755.522465277776</v>
      </c>
      <c r="E482" s="2">
        <v>45760.800145543981</v>
      </c>
      <c r="F482" t="s">
        <v>871</v>
      </c>
      <c r="G482" t="s">
        <v>484</v>
      </c>
      <c r="H482">
        <v>45720</v>
      </c>
      <c r="I482">
        <v>0.79126157407407405</v>
      </c>
      <c r="J482"/>
      <c r="K482"/>
      <c r="L482">
        <v>45720</v>
      </c>
      <c r="M482">
        <v>0.79126157407407405</v>
      </c>
      <c r="N482" t="s">
        <v>906</v>
      </c>
      <c r="O482"/>
      <c r="P482"/>
      <c r="Q482" t="s">
        <v>487</v>
      </c>
      <c r="R482" t="s">
        <v>261</v>
      </c>
      <c r="S482" t="s">
        <v>936</v>
      </c>
      <c r="T482" t="s">
        <v>979</v>
      </c>
      <c r="U482"/>
      <c r="V482"/>
      <c r="W482"/>
      <c r="X482"/>
      <c r="Y482"/>
      <c r="Z482"/>
      <c r="AA482"/>
      <c r="AB482"/>
      <c r="AC482"/>
      <c r="AD482"/>
      <c r="AE482" t="s">
        <v>978</v>
      </c>
      <c r="AF482" t="s">
        <v>67</v>
      </c>
      <c r="AG482" t="s">
        <v>489</v>
      </c>
      <c r="AH482" t="s">
        <v>206</v>
      </c>
      <c r="AI482" t="s">
        <v>70</v>
      </c>
      <c r="AJ482" t="s">
        <v>195</v>
      </c>
      <c r="AK482" t="s">
        <v>353</v>
      </c>
    </row>
    <row r="483" spans="1:37" x14ac:dyDescent="0.3">
      <c r="A483" t="s">
        <v>885</v>
      </c>
      <c r="B483" t="s">
        <v>870</v>
      </c>
      <c r="C483" s="2">
        <v>45764.926233333332</v>
      </c>
      <c r="D483" s="2">
        <v>45755.522465277776</v>
      </c>
      <c r="E483" s="2">
        <v>45760.800145543981</v>
      </c>
      <c r="F483" t="s">
        <v>871</v>
      </c>
      <c r="G483" t="s">
        <v>460</v>
      </c>
      <c r="H483">
        <v>45722</v>
      </c>
      <c r="I483">
        <v>0.94149305555555551</v>
      </c>
      <c r="J483"/>
      <c r="K483"/>
      <c r="L483">
        <v>45722</v>
      </c>
      <c r="M483">
        <v>0.94149305555555562</v>
      </c>
      <c r="N483" t="s">
        <v>902</v>
      </c>
      <c r="O483"/>
      <c r="P483"/>
      <c r="Q483" t="s">
        <v>464</v>
      </c>
      <c r="R483" t="s">
        <v>84</v>
      </c>
      <c r="S483" t="s">
        <v>907</v>
      </c>
      <c r="T483" t="s">
        <v>980</v>
      </c>
      <c r="U483"/>
      <c r="V483"/>
      <c r="W483" t="s">
        <v>466</v>
      </c>
      <c r="X483" t="s">
        <v>944</v>
      </c>
      <c r="Y483" t="s">
        <v>467</v>
      </c>
      <c r="Z483" t="s">
        <v>65</v>
      </c>
      <c r="AA483"/>
      <c r="AB483"/>
      <c r="AC483"/>
      <c r="AD483"/>
      <c r="AE483" t="s">
        <v>981</v>
      </c>
      <c r="AF483" t="s">
        <v>67</v>
      </c>
      <c r="AG483" t="s">
        <v>68</v>
      </c>
      <c r="AH483" t="s">
        <v>69</v>
      </c>
      <c r="AI483" t="s">
        <v>160</v>
      </c>
      <c r="AJ483" t="s">
        <v>123</v>
      </c>
      <c r="AK483" t="s">
        <v>72</v>
      </c>
    </row>
    <row r="484" spans="1:37" x14ac:dyDescent="0.3">
      <c r="A484" t="s">
        <v>885</v>
      </c>
      <c r="B484" t="s">
        <v>870</v>
      </c>
      <c r="C484" s="2">
        <v>45764.926233333332</v>
      </c>
      <c r="D484" s="2">
        <v>45755.522465277776</v>
      </c>
      <c r="E484" s="2">
        <v>45760.800145543981</v>
      </c>
      <c r="F484" t="s">
        <v>871</v>
      </c>
      <c r="G484" t="s">
        <v>472</v>
      </c>
      <c r="H484">
        <v>45725</v>
      </c>
      <c r="I484">
        <v>0.8125</v>
      </c>
      <c r="J484">
        <v>45726</v>
      </c>
      <c r="K484">
        <v>0.35416666666666674</v>
      </c>
      <c r="L484">
        <v>45726</v>
      </c>
      <c r="M484">
        <v>0.37046296296296299</v>
      </c>
      <c r="N484" t="s">
        <v>902</v>
      </c>
      <c r="O484"/>
      <c r="P484"/>
      <c r="Q484" t="s">
        <v>475</v>
      </c>
      <c r="R484" t="s">
        <v>134</v>
      </c>
      <c r="S484" t="s">
        <v>899</v>
      </c>
      <c r="T484" t="s">
        <v>982</v>
      </c>
      <c r="U484"/>
      <c r="V484"/>
      <c r="W484" t="s">
        <v>477</v>
      </c>
      <c r="X484" t="s">
        <v>478</v>
      </c>
      <c r="Y484" t="s">
        <v>479</v>
      </c>
      <c r="Z484" t="s">
        <v>65</v>
      </c>
      <c r="AA484"/>
      <c r="AB484"/>
      <c r="AC484"/>
      <c r="AD484"/>
      <c r="AE484" t="s">
        <v>897</v>
      </c>
      <c r="AF484" t="s">
        <v>67</v>
      </c>
      <c r="AG484" t="s">
        <v>480</v>
      </c>
      <c r="AH484" t="s">
        <v>351</v>
      </c>
      <c r="AI484" t="s">
        <v>122</v>
      </c>
      <c r="AJ484" t="s">
        <v>71</v>
      </c>
      <c r="AK484" t="s">
        <v>72</v>
      </c>
    </row>
    <row r="485" spans="1:37" x14ac:dyDescent="0.3">
      <c r="A485" t="s">
        <v>885</v>
      </c>
      <c r="B485" t="s">
        <v>870</v>
      </c>
      <c r="C485" s="2">
        <v>45764.926233333332</v>
      </c>
      <c r="D485" s="2">
        <v>45755.522465277776</v>
      </c>
      <c r="E485" s="2">
        <v>45760.800145543981</v>
      </c>
      <c r="F485" t="s">
        <v>871</v>
      </c>
      <c r="G485" t="s">
        <v>529</v>
      </c>
      <c r="H485">
        <v>45726</v>
      </c>
      <c r="I485">
        <v>4.6527777777777779E-2</v>
      </c>
      <c r="J485">
        <v>45726</v>
      </c>
      <c r="K485">
        <v>0.16180555555555554</v>
      </c>
      <c r="L485">
        <v>45727</v>
      </c>
      <c r="M485">
        <v>0.44234953703703694</v>
      </c>
      <c r="N485" t="s">
        <v>915</v>
      </c>
      <c r="O485"/>
      <c r="P485"/>
      <c r="Q485" t="s">
        <v>532</v>
      </c>
      <c r="R485" t="s">
        <v>283</v>
      </c>
      <c r="S485" t="s">
        <v>907</v>
      </c>
      <c r="T485" t="s">
        <v>983</v>
      </c>
      <c r="U485"/>
      <c r="V485"/>
      <c r="W485"/>
      <c r="X485"/>
      <c r="Y485"/>
      <c r="Z485"/>
      <c r="AA485"/>
      <c r="AB485"/>
      <c r="AC485"/>
      <c r="AD485"/>
      <c r="AE485" t="s">
        <v>984</v>
      </c>
      <c r="AF485" t="s">
        <v>67</v>
      </c>
      <c r="AG485" t="s">
        <v>219</v>
      </c>
      <c r="AH485" t="s">
        <v>159</v>
      </c>
      <c r="AI485" t="s">
        <v>106</v>
      </c>
      <c r="AJ485" t="s">
        <v>71</v>
      </c>
      <c r="AK485" t="s">
        <v>137</v>
      </c>
    </row>
    <row r="486" spans="1:37" x14ac:dyDescent="0.3">
      <c r="A486" t="s">
        <v>885</v>
      </c>
      <c r="B486" t="s">
        <v>870</v>
      </c>
      <c r="C486" s="2">
        <v>45764.926233333332</v>
      </c>
      <c r="D486" s="2">
        <v>45755.522465277776</v>
      </c>
      <c r="E486" s="2">
        <v>45760.800145543981</v>
      </c>
      <c r="F486" t="s">
        <v>871</v>
      </c>
      <c r="G486" t="s">
        <v>516</v>
      </c>
      <c r="H486">
        <v>45727</v>
      </c>
      <c r="I486">
        <v>0.60416666666666663</v>
      </c>
      <c r="J486"/>
      <c r="K486"/>
      <c r="L486">
        <v>45727</v>
      </c>
      <c r="M486">
        <v>0.6903935185185186</v>
      </c>
      <c r="N486" t="s">
        <v>902</v>
      </c>
      <c r="O486"/>
      <c r="P486"/>
      <c r="Q486" t="s">
        <v>519</v>
      </c>
      <c r="R486" t="s">
        <v>84</v>
      </c>
      <c r="S486" t="s">
        <v>907</v>
      </c>
      <c r="T486" t="s">
        <v>985</v>
      </c>
      <c r="U486"/>
      <c r="V486"/>
      <c r="W486" t="s">
        <v>521</v>
      </c>
      <c r="X486" t="s">
        <v>986</v>
      </c>
      <c r="Y486" t="s">
        <v>523</v>
      </c>
      <c r="Z486" t="s">
        <v>65</v>
      </c>
      <c r="AA486"/>
      <c r="AB486"/>
      <c r="AC486"/>
      <c r="AD486"/>
      <c r="AE486" t="s">
        <v>927</v>
      </c>
      <c r="AF486" t="s">
        <v>67</v>
      </c>
      <c r="AG486" t="s">
        <v>158</v>
      </c>
      <c r="AH486" t="s">
        <v>159</v>
      </c>
      <c r="AI486" t="s">
        <v>524</v>
      </c>
      <c r="AJ486" t="s">
        <v>71</v>
      </c>
      <c r="AK486" t="s">
        <v>72</v>
      </c>
    </row>
    <row r="487" spans="1:37" x14ac:dyDescent="0.3">
      <c r="A487" t="s">
        <v>885</v>
      </c>
      <c r="B487" t="s">
        <v>870</v>
      </c>
      <c r="C487" s="2">
        <v>45764.926233333332</v>
      </c>
      <c r="D487" s="2">
        <v>45755.522465277776</v>
      </c>
      <c r="E487" s="2">
        <v>45760.800145543981</v>
      </c>
      <c r="F487" t="s">
        <v>871</v>
      </c>
      <c r="G487" t="s">
        <v>537</v>
      </c>
      <c r="H487"/>
      <c r="I487"/>
      <c r="J487">
        <v>45734</v>
      </c>
      <c r="K487">
        <v>0.22916666666666674</v>
      </c>
      <c r="L487">
        <v>45734</v>
      </c>
      <c r="M487">
        <v>0.27405092592592584</v>
      </c>
      <c r="N487" t="s">
        <v>440</v>
      </c>
      <c r="O487" t="s">
        <v>915</v>
      </c>
      <c r="P487"/>
      <c r="Q487" t="s">
        <v>540</v>
      </c>
      <c r="R487" t="s">
        <v>363</v>
      </c>
      <c r="S487" t="s">
        <v>893</v>
      </c>
      <c r="T487" t="s">
        <v>987</v>
      </c>
      <c r="U487"/>
      <c r="V487"/>
      <c r="W487" t="s">
        <v>988</v>
      </c>
      <c r="X487" t="s">
        <v>543</v>
      </c>
      <c r="Y487" t="s">
        <v>544</v>
      </c>
      <c r="Z487" t="s">
        <v>65</v>
      </c>
      <c r="AA487"/>
      <c r="AB487"/>
      <c r="AC487"/>
      <c r="AD487"/>
      <c r="AE487"/>
      <c r="AF487" t="s">
        <v>67</v>
      </c>
      <c r="AG487" t="s">
        <v>545</v>
      </c>
      <c r="AH487" t="s">
        <v>546</v>
      </c>
      <c r="AI487"/>
      <c r="AJ487"/>
      <c r="AK487"/>
    </row>
    <row r="488" spans="1:37" x14ac:dyDescent="0.3">
      <c r="A488" t="s">
        <v>885</v>
      </c>
      <c r="B488" t="s">
        <v>870</v>
      </c>
      <c r="C488" s="2">
        <v>45764.926233333332</v>
      </c>
      <c r="D488" s="2">
        <v>45755.522465277776</v>
      </c>
      <c r="E488" s="2">
        <v>45760.800145543981</v>
      </c>
      <c r="F488" t="s">
        <v>871</v>
      </c>
      <c r="G488" t="s">
        <v>549</v>
      </c>
      <c r="H488">
        <v>45737</v>
      </c>
      <c r="I488">
        <v>0.32500000000000001</v>
      </c>
      <c r="J488"/>
      <c r="K488"/>
      <c r="L488">
        <v>45737</v>
      </c>
      <c r="M488">
        <v>0.5971412037037036</v>
      </c>
      <c r="N488" t="s">
        <v>892</v>
      </c>
      <c r="O488"/>
      <c r="P488"/>
      <c r="Q488" t="s">
        <v>552</v>
      </c>
      <c r="R488" t="s">
        <v>261</v>
      </c>
      <c r="S488" t="s">
        <v>936</v>
      </c>
      <c r="T488" t="s">
        <v>989</v>
      </c>
      <c r="U488"/>
      <c r="V488"/>
      <c r="W488" t="s">
        <v>554</v>
      </c>
      <c r="X488" t="s">
        <v>990</v>
      </c>
      <c r="Y488"/>
      <c r="Z488" t="s">
        <v>65</v>
      </c>
      <c r="AA488"/>
      <c r="AB488"/>
      <c r="AC488"/>
      <c r="AD488"/>
      <c r="AE488" t="s">
        <v>981</v>
      </c>
      <c r="AF488" t="s">
        <v>67</v>
      </c>
      <c r="AG488" t="s">
        <v>147</v>
      </c>
      <c r="AH488" t="s">
        <v>90</v>
      </c>
      <c r="AI488" t="s">
        <v>171</v>
      </c>
      <c r="AJ488" t="s">
        <v>266</v>
      </c>
      <c r="AK488" t="s">
        <v>221</v>
      </c>
    </row>
    <row r="489" spans="1:37" x14ac:dyDescent="0.3">
      <c r="A489" t="s">
        <v>885</v>
      </c>
      <c r="B489" t="s">
        <v>870</v>
      </c>
      <c r="C489" s="2">
        <v>45764.926233333332</v>
      </c>
      <c r="D489" s="2">
        <v>45755.522465277776</v>
      </c>
      <c r="E489" s="2">
        <v>45760.800145543981</v>
      </c>
      <c r="F489" t="s">
        <v>871</v>
      </c>
      <c r="G489" t="s">
        <v>559</v>
      </c>
      <c r="H489">
        <v>45739</v>
      </c>
      <c r="I489">
        <v>0.1736111111111111</v>
      </c>
      <c r="J489">
        <v>45739</v>
      </c>
      <c r="K489">
        <v>0.18055555555555558</v>
      </c>
      <c r="L489">
        <v>45739</v>
      </c>
      <c r="M489">
        <v>0.20511574074074068</v>
      </c>
      <c r="N489" t="s">
        <v>902</v>
      </c>
      <c r="O489" t="s">
        <v>991</v>
      </c>
      <c r="P489"/>
      <c r="Q489" t="s">
        <v>564</v>
      </c>
      <c r="R489" t="s">
        <v>250</v>
      </c>
      <c r="S489" t="s">
        <v>922</v>
      </c>
      <c r="T489" t="s">
        <v>992</v>
      </c>
      <c r="U489"/>
      <c r="V489"/>
      <c r="W489" t="s">
        <v>993</v>
      </c>
      <c r="X489" t="s">
        <v>944</v>
      </c>
      <c r="Y489" t="s">
        <v>567</v>
      </c>
      <c r="Z489" t="s">
        <v>65</v>
      </c>
      <c r="AA489"/>
      <c r="AB489"/>
      <c r="AC489"/>
      <c r="AD489"/>
      <c r="AE489" t="s">
        <v>994</v>
      </c>
      <c r="AF489" t="s">
        <v>67</v>
      </c>
      <c r="AG489" t="s">
        <v>105</v>
      </c>
      <c r="AH489" t="s">
        <v>69</v>
      </c>
      <c r="AI489" t="s">
        <v>122</v>
      </c>
      <c r="AJ489" t="s">
        <v>71</v>
      </c>
      <c r="AK489" t="s">
        <v>72</v>
      </c>
    </row>
    <row r="490" spans="1:37" x14ac:dyDescent="0.3">
      <c r="A490" t="s">
        <v>885</v>
      </c>
      <c r="B490" t="s">
        <v>870</v>
      </c>
      <c r="C490" s="2">
        <v>45764.926233333332</v>
      </c>
      <c r="D490" s="2">
        <v>45755.522465277776</v>
      </c>
      <c r="E490" s="2">
        <v>45760.800145543981</v>
      </c>
      <c r="F490" t="s">
        <v>871</v>
      </c>
      <c r="G490" t="s">
        <v>678</v>
      </c>
      <c r="H490">
        <v>45741</v>
      </c>
      <c r="I490">
        <v>0.48402777777777778</v>
      </c>
      <c r="J490"/>
      <c r="K490"/>
      <c r="L490">
        <v>45741</v>
      </c>
      <c r="M490">
        <v>0.50343749999999998</v>
      </c>
      <c r="N490" t="s">
        <v>906</v>
      </c>
      <c r="O490" t="s">
        <v>930</v>
      </c>
      <c r="P490" t="s">
        <v>687</v>
      </c>
      <c r="Q490" t="s">
        <v>362</v>
      </c>
      <c r="R490" t="s">
        <v>363</v>
      </c>
      <c r="S490" t="s">
        <v>893</v>
      </c>
      <c r="T490" t="s">
        <v>995</v>
      </c>
      <c r="U490"/>
      <c r="V490"/>
      <c r="W490" t="s">
        <v>689</v>
      </c>
      <c r="X490" t="s">
        <v>986</v>
      </c>
      <c r="Y490" t="s">
        <v>690</v>
      </c>
      <c r="Z490" t="s">
        <v>65</v>
      </c>
      <c r="AA490"/>
      <c r="AB490"/>
      <c r="AC490"/>
      <c r="AD490"/>
      <c r="AE490" t="s">
        <v>996</v>
      </c>
      <c r="AF490" t="s">
        <v>67</v>
      </c>
      <c r="AG490" t="s">
        <v>647</v>
      </c>
      <c r="AH490" t="s">
        <v>351</v>
      </c>
      <c r="AI490" t="s">
        <v>160</v>
      </c>
      <c r="AJ490" t="s">
        <v>123</v>
      </c>
      <c r="AK490" t="s">
        <v>353</v>
      </c>
    </row>
    <row r="491" spans="1:37" x14ac:dyDescent="0.3">
      <c r="A491" t="s">
        <v>885</v>
      </c>
      <c r="B491" t="s">
        <v>870</v>
      </c>
      <c r="C491" s="2">
        <v>45764.926233333332</v>
      </c>
      <c r="D491" s="2">
        <v>45755.522465277776</v>
      </c>
      <c r="E491" s="2">
        <v>45760.800145543981</v>
      </c>
      <c r="F491" t="s">
        <v>871</v>
      </c>
      <c r="G491" t="s">
        <v>573</v>
      </c>
      <c r="H491">
        <v>45743</v>
      </c>
      <c r="I491">
        <v>0.94666666666666666</v>
      </c>
      <c r="J491"/>
      <c r="K491"/>
      <c r="L491">
        <v>45743</v>
      </c>
      <c r="M491">
        <v>0.94666666666666677</v>
      </c>
      <c r="N491" t="s">
        <v>950</v>
      </c>
      <c r="O491" t="s">
        <v>997</v>
      </c>
      <c r="P491" t="s">
        <v>909</v>
      </c>
      <c r="Q491" t="s">
        <v>577</v>
      </c>
      <c r="R491" t="s">
        <v>261</v>
      </c>
      <c r="S491" t="s">
        <v>936</v>
      </c>
      <c r="T491" t="s">
        <v>998</v>
      </c>
      <c r="U491"/>
      <c r="V491"/>
      <c r="W491"/>
      <c r="X491"/>
      <c r="Y491"/>
      <c r="Z491"/>
      <c r="AA491"/>
      <c r="AB491"/>
      <c r="AC491"/>
      <c r="AD491"/>
      <c r="AE491" t="s">
        <v>927</v>
      </c>
      <c r="AF491" t="s">
        <v>67</v>
      </c>
      <c r="AG491" t="s">
        <v>579</v>
      </c>
      <c r="AH491" t="s">
        <v>121</v>
      </c>
      <c r="AI491" t="s">
        <v>378</v>
      </c>
      <c r="AJ491" t="s">
        <v>435</v>
      </c>
      <c r="AK491" t="s">
        <v>137</v>
      </c>
    </row>
    <row r="492" spans="1:37" x14ac:dyDescent="0.3">
      <c r="A492" t="s">
        <v>885</v>
      </c>
      <c r="B492" t="s">
        <v>870</v>
      </c>
      <c r="C492" s="2">
        <v>45764.926233333332</v>
      </c>
      <c r="D492" s="2">
        <v>45755.522465277776</v>
      </c>
      <c r="E492" s="2">
        <v>45760.800145543981</v>
      </c>
      <c r="F492" t="s">
        <v>871</v>
      </c>
      <c r="G492" t="s">
        <v>582</v>
      </c>
      <c r="H492">
        <v>45743</v>
      </c>
      <c r="I492">
        <v>0.97916666666666663</v>
      </c>
      <c r="J492">
        <v>45744</v>
      </c>
      <c r="K492">
        <v>2.4999999999999911E-2</v>
      </c>
      <c r="L492">
        <v>45744</v>
      </c>
      <c r="M492">
        <v>0.46781249999999996</v>
      </c>
      <c r="N492" t="s">
        <v>915</v>
      </c>
      <c r="O492"/>
      <c r="P492"/>
      <c r="Q492" t="s">
        <v>584</v>
      </c>
      <c r="R492" t="s">
        <v>283</v>
      </c>
      <c r="S492" t="s">
        <v>907</v>
      </c>
      <c r="T492" t="s">
        <v>999</v>
      </c>
      <c r="U492">
        <v>50300</v>
      </c>
      <c r="V492"/>
      <c r="W492"/>
      <c r="X492"/>
      <c r="Y492"/>
      <c r="Z492"/>
      <c r="AA492"/>
      <c r="AB492"/>
      <c r="AC492"/>
      <c r="AD492"/>
      <c r="AE492" t="s">
        <v>1000</v>
      </c>
      <c r="AF492" t="s">
        <v>67</v>
      </c>
      <c r="AG492" t="s">
        <v>480</v>
      </c>
      <c r="AH492" t="s">
        <v>351</v>
      </c>
      <c r="AI492" t="s">
        <v>586</v>
      </c>
      <c r="AJ492" t="s">
        <v>123</v>
      </c>
      <c r="AK492" t="s">
        <v>137</v>
      </c>
    </row>
    <row r="493" spans="1:37" x14ac:dyDescent="0.3">
      <c r="A493" t="s">
        <v>885</v>
      </c>
      <c r="B493" t="s">
        <v>870</v>
      </c>
      <c r="C493" s="2">
        <v>45764.926233333332</v>
      </c>
      <c r="D493" s="2">
        <v>45755.522465277776</v>
      </c>
      <c r="E493" s="2">
        <v>45760.800145543981</v>
      </c>
      <c r="F493" t="s">
        <v>871</v>
      </c>
      <c r="G493" t="s">
        <v>694</v>
      </c>
      <c r="H493">
        <v>45745</v>
      </c>
      <c r="I493">
        <v>0.20515046296296297</v>
      </c>
      <c r="J493"/>
      <c r="K493"/>
      <c r="L493">
        <v>45745</v>
      </c>
      <c r="M493">
        <v>0.20931712962962967</v>
      </c>
      <c r="N493" t="s">
        <v>176</v>
      </c>
      <c r="O493" t="s">
        <v>1001</v>
      </c>
      <c r="P493"/>
      <c r="Q493" t="s">
        <v>699</v>
      </c>
      <c r="R493" t="s">
        <v>273</v>
      </c>
      <c r="S493" t="s">
        <v>936</v>
      </c>
      <c r="T493" t="s">
        <v>1002</v>
      </c>
      <c r="U493"/>
      <c r="V493"/>
      <c r="W493" t="s">
        <v>701</v>
      </c>
      <c r="X493" t="s">
        <v>1003</v>
      </c>
      <c r="Y493" t="s">
        <v>635</v>
      </c>
      <c r="Z493" t="s">
        <v>65</v>
      </c>
      <c r="AA493"/>
      <c r="AB493"/>
      <c r="AC493"/>
      <c r="AD493"/>
      <c r="AE493" t="s">
        <v>994</v>
      </c>
      <c r="AF493" t="s">
        <v>67</v>
      </c>
      <c r="AG493" t="s">
        <v>579</v>
      </c>
      <c r="AH493" t="s">
        <v>121</v>
      </c>
      <c r="AI493" t="s">
        <v>524</v>
      </c>
      <c r="AJ493" t="s">
        <v>123</v>
      </c>
      <c r="AK493"/>
    </row>
    <row r="494" spans="1:37" x14ac:dyDescent="0.3">
      <c r="A494" t="s">
        <v>885</v>
      </c>
      <c r="B494" t="s">
        <v>870</v>
      </c>
      <c r="C494" s="2">
        <v>45764.926233333332</v>
      </c>
      <c r="D494" s="2">
        <v>45755.522465277776</v>
      </c>
      <c r="E494" s="2">
        <v>45760.800145543981</v>
      </c>
      <c r="F494" t="s">
        <v>871</v>
      </c>
      <c r="G494" t="s">
        <v>628</v>
      </c>
      <c r="H494">
        <v>45744</v>
      </c>
      <c r="I494">
        <v>0.85416666666666663</v>
      </c>
      <c r="J494">
        <v>45745</v>
      </c>
      <c r="K494">
        <v>0.41666666666666674</v>
      </c>
      <c r="L494">
        <v>45745</v>
      </c>
      <c r="M494">
        <v>0.42986111111111103</v>
      </c>
      <c r="N494" t="s">
        <v>892</v>
      </c>
      <c r="O494"/>
      <c r="P494"/>
      <c r="Q494" t="s">
        <v>631</v>
      </c>
      <c r="R494" t="s">
        <v>426</v>
      </c>
      <c r="S494" t="s">
        <v>907</v>
      </c>
      <c r="T494" t="s">
        <v>1004</v>
      </c>
      <c r="U494"/>
      <c r="V494"/>
      <c r="W494" t="s">
        <v>633</v>
      </c>
      <c r="X494" t="s">
        <v>1003</v>
      </c>
      <c r="Y494" t="s">
        <v>635</v>
      </c>
      <c r="Z494" t="s">
        <v>65</v>
      </c>
      <c r="AA494"/>
      <c r="AB494"/>
      <c r="AC494"/>
      <c r="AD494"/>
      <c r="AE494" t="s">
        <v>994</v>
      </c>
      <c r="AF494" t="s">
        <v>67</v>
      </c>
      <c r="AG494" t="s">
        <v>636</v>
      </c>
      <c r="AH494" t="s">
        <v>637</v>
      </c>
      <c r="AI494" t="s">
        <v>160</v>
      </c>
      <c r="AJ494" t="s">
        <v>123</v>
      </c>
      <c r="AK494" t="s">
        <v>221</v>
      </c>
    </row>
    <row r="495" spans="1:37" x14ac:dyDescent="0.3">
      <c r="A495" t="s">
        <v>885</v>
      </c>
      <c r="B495" t="s">
        <v>870</v>
      </c>
      <c r="C495" s="2">
        <v>45764.926233333332</v>
      </c>
      <c r="D495" s="2">
        <v>45755.522465277776</v>
      </c>
      <c r="E495" s="2">
        <v>45760.800145543981</v>
      </c>
      <c r="F495" t="s">
        <v>871</v>
      </c>
      <c r="G495" t="s">
        <v>589</v>
      </c>
      <c r="H495">
        <v>45747</v>
      </c>
      <c r="I495">
        <v>0.5</v>
      </c>
      <c r="J495"/>
      <c r="K495"/>
      <c r="L495">
        <v>45747</v>
      </c>
      <c r="M495">
        <v>0.54355324074074085</v>
      </c>
      <c r="N495" t="s">
        <v>915</v>
      </c>
      <c r="O495"/>
      <c r="P495"/>
      <c r="Q495" t="s">
        <v>591</v>
      </c>
      <c r="R495" t="s">
        <v>592</v>
      </c>
      <c r="S495" t="s">
        <v>899</v>
      </c>
      <c r="T495" t="s">
        <v>1005</v>
      </c>
      <c r="U495"/>
      <c r="V495"/>
      <c r="W495"/>
      <c r="X495"/>
      <c r="Y495"/>
      <c r="Z495"/>
      <c r="AA495"/>
      <c r="AB495"/>
      <c r="AC495"/>
      <c r="AD495"/>
      <c r="AE495" t="s">
        <v>994</v>
      </c>
      <c r="AF495" t="s">
        <v>67</v>
      </c>
      <c r="AG495" t="s">
        <v>594</v>
      </c>
      <c r="AH495" t="s">
        <v>90</v>
      </c>
      <c r="AI495" t="s">
        <v>180</v>
      </c>
      <c r="AJ495" t="s">
        <v>92</v>
      </c>
      <c r="AK495" t="s">
        <v>137</v>
      </c>
    </row>
    <row r="496" spans="1:37" x14ac:dyDescent="0.3">
      <c r="A496" t="s">
        <v>885</v>
      </c>
      <c r="B496" t="s">
        <v>870</v>
      </c>
      <c r="C496" s="2">
        <v>45764.926233333332</v>
      </c>
      <c r="D496" s="2">
        <v>45755.522465277776</v>
      </c>
      <c r="E496" s="2">
        <v>45760.800145543981</v>
      </c>
      <c r="F496" t="s">
        <v>871</v>
      </c>
      <c r="G496" t="s">
        <v>705</v>
      </c>
      <c r="H496">
        <v>45747</v>
      </c>
      <c r="I496">
        <v>0.77777777777777779</v>
      </c>
      <c r="J496">
        <v>45747</v>
      </c>
      <c r="K496">
        <v>0.91666666666666674</v>
      </c>
      <c r="L496">
        <v>45747</v>
      </c>
      <c r="M496">
        <v>0.93032407407407414</v>
      </c>
      <c r="N496" t="s">
        <v>902</v>
      </c>
      <c r="O496" t="s">
        <v>930</v>
      </c>
      <c r="P496" t="s">
        <v>1006</v>
      </c>
      <c r="Q496" t="s">
        <v>709</v>
      </c>
      <c r="R496" t="s">
        <v>134</v>
      </c>
      <c r="S496" t="s">
        <v>899</v>
      </c>
      <c r="T496" t="s">
        <v>1007</v>
      </c>
      <c r="U496"/>
      <c r="V496"/>
      <c r="W496" t="s">
        <v>711</v>
      </c>
      <c r="X496" t="s">
        <v>1008</v>
      </c>
      <c r="Y496" t="s">
        <v>713</v>
      </c>
      <c r="Z496" t="s">
        <v>65</v>
      </c>
      <c r="AA496"/>
      <c r="AB496"/>
      <c r="AC496"/>
      <c r="AD496"/>
      <c r="AE496" t="s">
        <v>981</v>
      </c>
      <c r="AF496" t="s">
        <v>67</v>
      </c>
      <c r="AG496" t="s">
        <v>714</v>
      </c>
      <c r="AH496" t="s">
        <v>90</v>
      </c>
      <c r="AI496" t="s">
        <v>160</v>
      </c>
      <c r="AJ496" t="s">
        <v>123</v>
      </c>
      <c r="AK496" t="s">
        <v>613</v>
      </c>
    </row>
    <row r="497" spans="1:37" x14ac:dyDescent="0.3">
      <c r="A497" t="s">
        <v>885</v>
      </c>
      <c r="B497" t="s">
        <v>870</v>
      </c>
      <c r="C497" s="2">
        <v>45764.926233333332</v>
      </c>
      <c r="D497" s="2">
        <v>45755.522465277776</v>
      </c>
      <c r="E497" s="2">
        <v>45760.800145543981</v>
      </c>
      <c r="F497" t="s">
        <v>871</v>
      </c>
      <c r="G497" t="s">
        <v>605</v>
      </c>
      <c r="H497">
        <v>45747</v>
      </c>
      <c r="I497">
        <v>0.75</v>
      </c>
      <c r="J497"/>
      <c r="K497"/>
      <c r="L497">
        <v>45748</v>
      </c>
      <c r="M497">
        <v>3.6863425925925952E-2</v>
      </c>
      <c r="N497" t="s">
        <v>902</v>
      </c>
      <c r="O497"/>
      <c r="P497"/>
      <c r="Q497" t="s">
        <v>607</v>
      </c>
      <c r="R497" t="s">
        <v>215</v>
      </c>
      <c r="S497"/>
      <c r="T497" t="s">
        <v>1009</v>
      </c>
      <c r="U497">
        <v>2</v>
      </c>
      <c r="V497">
        <v>0</v>
      </c>
      <c r="W497" t="s">
        <v>1010</v>
      </c>
      <c r="X497" t="s">
        <v>924</v>
      </c>
      <c r="Y497" t="s">
        <v>1011</v>
      </c>
      <c r="Z497" t="s">
        <v>935</v>
      </c>
      <c r="AA497"/>
      <c r="AB497"/>
      <c r="AC497"/>
      <c r="AD497"/>
      <c r="AE497" t="s">
        <v>981</v>
      </c>
      <c r="AF497" t="s">
        <v>67</v>
      </c>
      <c r="AG497" t="s">
        <v>611</v>
      </c>
      <c r="AH497" t="s">
        <v>612</v>
      </c>
      <c r="AI497" t="s">
        <v>160</v>
      </c>
      <c r="AJ497" t="s">
        <v>195</v>
      </c>
      <c r="AK497" t="s">
        <v>613</v>
      </c>
    </row>
    <row r="498" spans="1:37" x14ac:dyDescent="0.3">
      <c r="A498" t="s">
        <v>885</v>
      </c>
      <c r="B498" t="s">
        <v>870</v>
      </c>
      <c r="C498" s="2">
        <v>45764.926233333332</v>
      </c>
      <c r="D498" s="2">
        <v>45755.522465277776</v>
      </c>
      <c r="E498" s="2">
        <v>45760.800145543981</v>
      </c>
      <c r="F498" t="s">
        <v>871</v>
      </c>
      <c r="G498" t="s">
        <v>615</v>
      </c>
      <c r="H498">
        <v>45747</v>
      </c>
      <c r="I498">
        <v>0.83333333333333337</v>
      </c>
      <c r="J498"/>
      <c r="K498"/>
      <c r="L498">
        <v>45747</v>
      </c>
      <c r="M498">
        <v>0.99899305555555551</v>
      </c>
      <c r="N498" t="s">
        <v>902</v>
      </c>
      <c r="O498"/>
      <c r="P498"/>
      <c r="Q498" t="s">
        <v>607</v>
      </c>
      <c r="R498" t="s">
        <v>215</v>
      </c>
      <c r="S498" t="s">
        <v>893</v>
      </c>
      <c r="T498" t="s">
        <v>1012</v>
      </c>
      <c r="U498">
        <v>5</v>
      </c>
      <c r="V498">
        <v>0</v>
      </c>
      <c r="W498" t="s">
        <v>1013</v>
      </c>
      <c r="X498" t="s">
        <v>924</v>
      </c>
      <c r="Y498" t="s">
        <v>618</v>
      </c>
      <c r="Z498" t="s">
        <v>65</v>
      </c>
      <c r="AA498"/>
      <c r="AB498"/>
      <c r="AC498"/>
      <c r="AD498"/>
      <c r="AE498" t="s">
        <v>981</v>
      </c>
      <c r="AF498" t="s">
        <v>67</v>
      </c>
      <c r="AG498" t="s">
        <v>611</v>
      </c>
      <c r="AH498" t="s">
        <v>612</v>
      </c>
      <c r="AI498" t="s">
        <v>160</v>
      </c>
      <c r="AJ498" t="s">
        <v>195</v>
      </c>
      <c r="AK498" t="s">
        <v>613</v>
      </c>
    </row>
    <row r="499" spans="1:37" x14ac:dyDescent="0.3">
      <c r="A499" t="s">
        <v>885</v>
      </c>
      <c r="B499" t="s">
        <v>870</v>
      </c>
      <c r="C499" s="2">
        <v>45764.926233333332</v>
      </c>
      <c r="D499" s="2">
        <v>45755.522465277776</v>
      </c>
      <c r="E499" s="2">
        <v>45760.800145543981</v>
      </c>
      <c r="F499" t="s">
        <v>871</v>
      </c>
      <c r="G499" t="s">
        <v>620</v>
      </c>
      <c r="H499">
        <v>45748</v>
      </c>
      <c r="I499">
        <v>0.85324074074074074</v>
      </c>
      <c r="J499"/>
      <c r="K499"/>
      <c r="L499">
        <v>45748</v>
      </c>
      <c r="M499">
        <v>0.85324074074074074</v>
      </c>
      <c r="N499" t="s">
        <v>902</v>
      </c>
      <c r="O499"/>
      <c r="P499"/>
      <c r="Q499" t="s">
        <v>622</v>
      </c>
      <c r="R499" t="s">
        <v>327</v>
      </c>
      <c r="S499" t="s">
        <v>899</v>
      </c>
      <c r="T499" t="s">
        <v>1014</v>
      </c>
      <c r="U499"/>
      <c r="V499"/>
      <c r="W499" t="s">
        <v>624</v>
      </c>
      <c r="X499" t="s">
        <v>1015</v>
      </c>
      <c r="Y499" t="s">
        <v>626</v>
      </c>
      <c r="Z499" t="s">
        <v>65</v>
      </c>
      <c r="AA499"/>
      <c r="AB499"/>
      <c r="AC499"/>
      <c r="AD499"/>
      <c r="AE499" t="s">
        <v>904</v>
      </c>
      <c r="AF499" t="s">
        <v>67</v>
      </c>
      <c r="AG499" t="s">
        <v>330</v>
      </c>
      <c r="AH499" t="s">
        <v>69</v>
      </c>
      <c r="AI499" t="s">
        <v>160</v>
      </c>
      <c r="AJ499" t="s">
        <v>71</v>
      </c>
      <c r="AK499" t="s">
        <v>72</v>
      </c>
    </row>
    <row r="500" spans="1:37" x14ac:dyDescent="0.3">
      <c r="A500" t="s">
        <v>885</v>
      </c>
      <c r="B500" t="s">
        <v>870</v>
      </c>
      <c r="C500" s="2">
        <v>45764.926233333332</v>
      </c>
      <c r="D500" s="2">
        <v>45755.522465277776</v>
      </c>
      <c r="E500" s="2">
        <v>45760.800145543981</v>
      </c>
      <c r="F500" t="s">
        <v>871</v>
      </c>
      <c r="G500" t="s">
        <v>640</v>
      </c>
      <c r="H500">
        <v>45749</v>
      </c>
      <c r="I500">
        <v>0.89930555555555558</v>
      </c>
      <c r="J500"/>
      <c r="K500"/>
      <c r="L500">
        <v>45749</v>
      </c>
      <c r="M500">
        <v>0.90325231481481483</v>
      </c>
      <c r="N500" t="s">
        <v>644</v>
      </c>
      <c r="O500" t="s">
        <v>925</v>
      </c>
      <c r="P500" t="s">
        <v>400</v>
      </c>
      <c r="Q500" t="s">
        <v>645</v>
      </c>
      <c r="R500" t="s">
        <v>101</v>
      </c>
      <c r="S500" t="s">
        <v>907</v>
      </c>
      <c r="T500" t="s">
        <v>1016</v>
      </c>
      <c r="U500"/>
      <c r="V500"/>
      <c r="W500"/>
      <c r="X500"/>
      <c r="Y500"/>
      <c r="Z500"/>
      <c r="AA500"/>
      <c r="AB500"/>
      <c r="AC500"/>
      <c r="AD500"/>
      <c r="AE500" t="s">
        <v>1000</v>
      </c>
      <c r="AF500" t="s">
        <v>67</v>
      </c>
      <c r="AG500" t="s">
        <v>647</v>
      </c>
      <c r="AH500" t="s">
        <v>351</v>
      </c>
      <c r="AI500" t="s">
        <v>352</v>
      </c>
      <c r="AJ500" t="s">
        <v>418</v>
      </c>
      <c r="AK500"/>
    </row>
    <row r="501" spans="1:37" x14ac:dyDescent="0.3">
      <c r="A501" t="s">
        <v>885</v>
      </c>
      <c r="B501" t="s">
        <v>870</v>
      </c>
      <c r="C501" s="2">
        <v>45764.926233333332</v>
      </c>
      <c r="D501" s="2">
        <v>45755.522465277776</v>
      </c>
      <c r="E501" s="2">
        <v>45760.800145543981</v>
      </c>
      <c r="F501" t="s">
        <v>871</v>
      </c>
      <c r="G501" t="s">
        <v>597</v>
      </c>
      <c r="H501">
        <v>45748</v>
      </c>
      <c r="I501">
        <v>0.5</v>
      </c>
      <c r="J501">
        <v>45751</v>
      </c>
      <c r="K501">
        <v>0.52083333333333326</v>
      </c>
      <c r="L501">
        <v>45751</v>
      </c>
      <c r="M501">
        <v>0.54546296296296304</v>
      </c>
      <c r="N501" t="s">
        <v>915</v>
      </c>
      <c r="O501"/>
      <c r="P501"/>
      <c r="Q501" t="s">
        <v>601</v>
      </c>
      <c r="R501" t="s">
        <v>145</v>
      </c>
      <c r="S501" t="s">
        <v>922</v>
      </c>
      <c r="T501" t="s">
        <v>1017</v>
      </c>
      <c r="U501"/>
      <c r="V501"/>
      <c r="W501"/>
      <c r="X501"/>
      <c r="Y501"/>
      <c r="Z501"/>
      <c r="AA501"/>
      <c r="AB501"/>
      <c r="AC501"/>
      <c r="AD501"/>
      <c r="AE501" t="s">
        <v>897</v>
      </c>
      <c r="AF501" t="s">
        <v>67</v>
      </c>
      <c r="AG501" t="s">
        <v>603</v>
      </c>
      <c r="AH501" t="s">
        <v>206</v>
      </c>
      <c r="AI501" t="s">
        <v>524</v>
      </c>
      <c r="AJ501" t="s">
        <v>123</v>
      </c>
      <c r="AK501"/>
    </row>
    <row r="502" spans="1:37" x14ac:dyDescent="0.3">
      <c r="A502" t="s">
        <v>885</v>
      </c>
      <c r="B502" t="s">
        <v>870</v>
      </c>
      <c r="C502" s="2">
        <v>45764.926233333332</v>
      </c>
      <c r="D502" s="2">
        <v>45755.522465277776</v>
      </c>
      <c r="E502" s="2">
        <v>45760.800145543981</v>
      </c>
      <c r="F502" t="s">
        <v>871</v>
      </c>
      <c r="G502" t="s">
        <v>717</v>
      </c>
      <c r="H502">
        <v>45755</v>
      </c>
      <c r="I502">
        <v>3.2638888888888891E-2</v>
      </c>
      <c r="J502"/>
      <c r="K502"/>
      <c r="L502">
        <v>45755</v>
      </c>
      <c r="M502">
        <v>3.6493055555555598E-2</v>
      </c>
      <c r="N502" t="s">
        <v>902</v>
      </c>
      <c r="O502" t="s">
        <v>361</v>
      </c>
      <c r="P502" t="s">
        <v>721</v>
      </c>
      <c r="Q502" t="s">
        <v>722</v>
      </c>
      <c r="R502" t="s">
        <v>592</v>
      </c>
      <c r="S502" t="s">
        <v>899</v>
      </c>
      <c r="T502" t="s">
        <v>1018</v>
      </c>
      <c r="U502"/>
      <c r="V502"/>
      <c r="W502" t="s">
        <v>1019</v>
      </c>
      <c r="X502" t="s">
        <v>500</v>
      </c>
      <c r="Y502" t="s">
        <v>725</v>
      </c>
      <c r="Z502" t="s">
        <v>65</v>
      </c>
      <c r="AA502"/>
      <c r="AB502"/>
      <c r="AC502"/>
      <c r="AD502"/>
      <c r="AE502" t="s">
        <v>1020</v>
      </c>
      <c r="AF502" t="s">
        <v>67</v>
      </c>
      <c r="AG502" t="s">
        <v>89</v>
      </c>
      <c r="AH502" t="s">
        <v>90</v>
      </c>
      <c r="AI502"/>
      <c r="AJ502"/>
      <c r="AK502"/>
    </row>
    <row r="503" spans="1:37" x14ac:dyDescent="0.3">
      <c r="A503" t="s">
        <v>886</v>
      </c>
      <c r="B503" t="s">
        <v>870</v>
      </c>
      <c r="C503" s="2">
        <v>45764.926233356484</v>
      </c>
      <c r="D503" s="2">
        <v>45756.74150462963</v>
      </c>
      <c r="E503" s="2">
        <v>45760.800268981482</v>
      </c>
      <c r="F503" t="s">
        <v>871</v>
      </c>
      <c r="G503" t="s">
        <v>210</v>
      </c>
      <c r="H503">
        <v>45660</v>
      </c>
      <c r="I503">
        <v>0.89583333333333337</v>
      </c>
      <c r="J503">
        <v>45661</v>
      </c>
      <c r="K503">
        <v>0.26736111111111116</v>
      </c>
      <c r="L503">
        <v>45661</v>
      </c>
      <c r="M503">
        <v>0.4577430555555555</v>
      </c>
      <c r="N503" t="s">
        <v>892</v>
      </c>
      <c r="O503"/>
      <c r="P503"/>
      <c r="Q503" t="s">
        <v>214</v>
      </c>
      <c r="R503" t="s">
        <v>215</v>
      </c>
      <c r="S503" t="s">
        <v>893</v>
      </c>
      <c r="T503" t="s">
        <v>894</v>
      </c>
      <c r="U503"/>
      <c r="V503"/>
      <c r="W503" t="s">
        <v>895</v>
      </c>
      <c r="X503" t="s">
        <v>896</v>
      </c>
      <c r="Y503" t="s">
        <v>218</v>
      </c>
      <c r="Z503" t="s">
        <v>65</v>
      </c>
      <c r="AA503"/>
      <c r="AB503"/>
      <c r="AC503"/>
      <c r="AD503"/>
      <c r="AE503" t="s">
        <v>897</v>
      </c>
      <c r="AF503" t="s">
        <v>67</v>
      </c>
      <c r="AG503" t="s">
        <v>219</v>
      </c>
      <c r="AH503" t="s">
        <v>206</v>
      </c>
      <c r="AI503" t="s">
        <v>220</v>
      </c>
      <c r="AJ503" t="s">
        <v>71</v>
      </c>
      <c r="AK503" t="s">
        <v>221</v>
      </c>
    </row>
    <row r="504" spans="1:37" x14ac:dyDescent="0.3">
      <c r="A504" t="s">
        <v>886</v>
      </c>
      <c r="B504" t="s">
        <v>870</v>
      </c>
      <c r="C504" s="2">
        <v>45764.926233356484</v>
      </c>
      <c r="D504" s="2">
        <v>45756.74150462963</v>
      </c>
      <c r="E504" s="2">
        <v>45760.800268981482</v>
      </c>
      <c r="F504" t="s">
        <v>871</v>
      </c>
      <c r="G504" t="s">
        <v>395</v>
      </c>
      <c r="H504">
        <v>45664</v>
      </c>
      <c r="I504">
        <v>0.58333333333333337</v>
      </c>
      <c r="J504"/>
      <c r="K504"/>
      <c r="L504">
        <v>45667</v>
      </c>
      <c r="M504">
        <v>0.59781250000000008</v>
      </c>
      <c r="N504" t="s">
        <v>898</v>
      </c>
      <c r="O504" t="s">
        <v>400</v>
      </c>
      <c r="P504"/>
      <c r="Q504" t="s">
        <v>401</v>
      </c>
      <c r="R504" t="s">
        <v>134</v>
      </c>
      <c r="S504" t="s">
        <v>899</v>
      </c>
      <c r="T504" t="s">
        <v>900</v>
      </c>
      <c r="U504"/>
      <c r="V504"/>
      <c r="W504"/>
      <c r="X504"/>
      <c r="Y504"/>
      <c r="Z504"/>
      <c r="AA504"/>
      <c r="AB504"/>
      <c r="AC504"/>
      <c r="AD504"/>
      <c r="AE504" t="s">
        <v>901</v>
      </c>
      <c r="AF504" t="s">
        <v>67</v>
      </c>
      <c r="AG504" t="s">
        <v>404</v>
      </c>
      <c r="AH504" t="s">
        <v>405</v>
      </c>
      <c r="AI504" t="s">
        <v>406</v>
      </c>
      <c r="AJ504" t="s">
        <v>71</v>
      </c>
      <c r="AK504" t="s">
        <v>407</v>
      </c>
    </row>
    <row r="505" spans="1:37" x14ac:dyDescent="0.3">
      <c r="A505" t="s">
        <v>886</v>
      </c>
      <c r="B505" t="s">
        <v>870</v>
      </c>
      <c r="C505" s="2">
        <v>45764.926233356484</v>
      </c>
      <c r="D505" s="2">
        <v>45756.74150462963</v>
      </c>
      <c r="E505" s="2">
        <v>45760.800268981482</v>
      </c>
      <c r="F505" t="s">
        <v>871</v>
      </c>
      <c r="G505" t="s">
        <v>53</v>
      </c>
      <c r="H505">
        <v>45663</v>
      </c>
      <c r="I505">
        <v>0.64583333333333337</v>
      </c>
      <c r="J505">
        <v>45667</v>
      </c>
      <c r="K505"/>
      <c r="L505">
        <v>45667</v>
      </c>
      <c r="M505">
        <v>0.82629629629629631</v>
      </c>
      <c r="N505" t="s">
        <v>902</v>
      </c>
      <c r="O505"/>
      <c r="P505"/>
      <c r="Q505" t="s">
        <v>60</v>
      </c>
      <c r="R505"/>
      <c r="S505" t="s">
        <v>899</v>
      </c>
      <c r="T505" t="s">
        <v>903</v>
      </c>
      <c r="U505"/>
      <c r="V505"/>
      <c r="W505" t="s">
        <v>62</v>
      </c>
      <c r="X505" t="s">
        <v>896</v>
      </c>
      <c r="Y505" t="s">
        <v>64</v>
      </c>
      <c r="Z505" t="s">
        <v>65</v>
      </c>
      <c r="AA505"/>
      <c r="AB505"/>
      <c r="AC505"/>
      <c r="AD505"/>
      <c r="AE505" t="s">
        <v>904</v>
      </c>
      <c r="AF505" t="s">
        <v>67</v>
      </c>
      <c r="AG505" t="s">
        <v>68</v>
      </c>
      <c r="AH505" t="s">
        <v>69</v>
      </c>
      <c r="AI505" t="s">
        <v>70</v>
      </c>
      <c r="AJ505" t="s">
        <v>123</v>
      </c>
      <c r="AK505" t="s">
        <v>72</v>
      </c>
    </row>
    <row r="506" spans="1:37" x14ac:dyDescent="0.3">
      <c r="A506" t="s">
        <v>886</v>
      </c>
      <c r="B506" t="s">
        <v>870</v>
      </c>
      <c r="C506" s="2">
        <v>45764.926233356484</v>
      </c>
      <c r="D506" s="2">
        <v>45756.74150462963</v>
      </c>
      <c r="E506" s="2">
        <v>45760.800268981482</v>
      </c>
      <c r="F506" t="s">
        <v>871</v>
      </c>
      <c r="G506" t="s">
        <v>341</v>
      </c>
      <c r="H506">
        <v>45670</v>
      </c>
      <c r="I506">
        <v>0.50347222222222221</v>
      </c>
      <c r="J506"/>
      <c r="K506"/>
      <c r="L506">
        <v>45670</v>
      </c>
      <c r="M506">
        <v>0.50537037037037047</v>
      </c>
      <c r="N506" t="s">
        <v>344</v>
      </c>
      <c r="O506" t="s">
        <v>905</v>
      </c>
      <c r="P506" t="s">
        <v>906</v>
      </c>
      <c r="Q506" t="s">
        <v>348</v>
      </c>
      <c r="R506" t="s">
        <v>84</v>
      </c>
      <c r="S506" t="s">
        <v>907</v>
      </c>
      <c r="T506" t="s">
        <v>908</v>
      </c>
      <c r="U506"/>
      <c r="V506"/>
      <c r="W506"/>
      <c r="X506"/>
      <c r="Y506"/>
      <c r="Z506"/>
      <c r="AA506"/>
      <c r="AB506"/>
      <c r="AC506"/>
      <c r="AD506"/>
      <c r="AE506" t="s">
        <v>897</v>
      </c>
      <c r="AF506" t="s">
        <v>67</v>
      </c>
      <c r="AG506" t="s">
        <v>350</v>
      </c>
      <c r="AH506" t="s">
        <v>351</v>
      </c>
      <c r="AI506" t="s">
        <v>352</v>
      </c>
      <c r="AJ506" t="s">
        <v>123</v>
      </c>
      <c r="AK506" t="s">
        <v>353</v>
      </c>
    </row>
    <row r="507" spans="1:37" x14ac:dyDescent="0.3">
      <c r="A507" t="s">
        <v>886</v>
      </c>
      <c r="B507" t="s">
        <v>870</v>
      </c>
      <c r="C507" s="2">
        <v>45764.926233356484</v>
      </c>
      <c r="D507" s="2">
        <v>45756.74150462963</v>
      </c>
      <c r="E507" s="2">
        <v>45760.800268981482</v>
      </c>
      <c r="F507" t="s">
        <v>871</v>
      </c>
      <c r="G507" t="s">
        <v>356</v>
      </c>
      <c r="H507">
        <v>45671</v>
      </c>
      <c r="I507">
        <v>0.64067129629629627</v>
      </c>
      <c r="J507"/>
      <c r="K507"/>
      <c r="L507">
        <v>45671</v>
      </c>
      <c r="M507">
        <v>0.64067129629629638</v>
      </c>
      <c r="N507" t="s">
        <v>906</v>
      </c>
      <c r="O507" t="s">
        <v>909</v>
      </c>
      <c r="P507" t="s">
        <v>361</v>
      </c>
      <c r="Q507" t="s">
        <v>362</v>
      </c>
      <c r="R507" t="s">
        <v>363</v>
      </c>
      <c r="S507" t="s">
        <v>893</v>
      </c>
      <c r="T507" t="s">
        <v>910</v>
      </c>
      <c r="U507"/>
      <c r="V507"/>
      <c r="W507" t="s">
        <v>911</v>
      </c>
      <c r="X507" t="s">
        <v>912</v>
      </c>
      <c r="Y507" t="s">
        <v>367</v>
      </c>
      <c r="Z507" t="s">
        <v>65</v>
      </c>
      <c r="AA507"/>
      <c r="AB507"/>
      <c r="AC507"/>
      <c r="AD507"/>
      <c r="AE507" t="s">
        <v>913</v>
      </c>
      <c r="AF507" t="s">
        <v>67</v>
      </c>
      <c r="AG507" t="s">
        <v>219</v>
      </c>
      <c r="AH507" t="s">
        <v>368</v>
      </c>
      <c r="AI507" t="s">
        <v>160</v>
      </c>
      <c r="AJ507" t="s">
        <v>123</v>
      </c>
      <c r="AK507" t="s">
        <v>353</v>
      </c>
    </row>
    <row r="508" spans="1:37" x14ac:dyDescent="0.3">
      <c r="A508" t="s">
        <v>886</v>
      </c>
      <c r="B508" t="s">
        <v>870</v>
      </c>
      <c r="C508" s="2">
        <v>45764.926233356484</v>
      </c>
      <c r="D508" s="2">
        <v>45756.74150462963</v>
      </c>
      <c r="E508" s="2">
        <v>45760.800268981482</v>
      </c>
      <c r="F508" t="s">
        <v>871</v>
      </c>
      <c r="G508" t="s">
        <v>224</v>
      </c>
      <c r="H508">
        <v>45672</v>
      </c>
      <c r="I508">
        <v>0.53988425925925931</v>
      </c>
      <c r="J508"/>
      <c r="K508"/>
      <c r="L508">
        <v>45672</v>
      </c>
      <c r="M508">
        <v>0.5398842592592592</v>
      </c>
      <c r="N508" t="s">
        <v>892</v>
      </c>
      <c r="O508"/>
      <c r="P508"/>
      <c r="Q508" t="s">
        <v>227</v>
      </c>
      <c r="R508" t="s">
        <v>84</v>
      </c>
      <c r="S508" t="s">
        <v>907</v>
      </c>
      <c r="T508" t="s">
        <v>914</v>
      </c>
      <c r="U508"/>
      <c r="V508"/>
      <c r="W508" t="s">
        <v>229</v>
      </c>
      <c r="X508" t="s">
        <v>896</v>
      </c>
      <c r="Y508" t="s">
        <v>230</v>
      </c>
      <c r="Z508" t="s">
        <v>65</v>
      </c>
      <c r="AA508"/>
      <c r="AB508"/>
      <c r="AC508"/>
      <c r="AD508"/>
      <c r="AE508" t="s">
        <v>913</v>
      </c>
      <c r="AF508" t="s">
        <v>67</v>
      </c>
      <c r="AG508" t="s">
        <v>231</v>
      </c>
      <c r="AH508" t="s">
        <v>232</v>
      </c>
      <c r="AI508" t="s">
        <v>70</v>
      </c>
      <c r="AJ508" t="s">
        <v>71</v>
      </c>
      <c r="AK508" t="s">
        <v>221</v>
      </c>
    </row>
    <row r="509" spans="1:37" x14ac:dyDescent="0.3">
      <c r="A509" t="s">
        <v>886</v>
      </c>
      <c r="B509" t="s">
        <v>870</v>
      </c>
      <c r="C509" s="2">
        <v>45764.926233356484</v>
      </c>
      <c r="D509" s="2">
        <v>45756.74150462963</v>
      </c>
      <c r="E509" s="2">
        <v>45760.800268981482</v>
      </c>
      <c r="F509" t="s">
        <v>871</v>
      </c>
      <c r="G509" t="s">
        <v>129</v>
      </c>
      <c r="H509">
        <v>45673</v>
      </c>
      <c r="I509">
        <v>0.5</v>
      </c>
      <c r="J509">
        <v>45673</v>
      </c>
      <c r="K509">
        <v>0.75</v>
      </c>
      <c r="L509">
        <v>45673</v>
      </c>
      <c r="M509">
        <v>0.81587962962962957</v>
      </c>
      <c r="N509" t="s">
        <v>915</v>
      </c>
      <c r="O509"/>
      <c r="P509"/>
      <c r="Q509" t="s">
        <v>133</v>
      </c>
      <c r="R509" t="s">
        <v>134</v>
      </c>
      <c r="S509" t="s">
        <v>899</v>
      </c>
      <c r="T509" t="s">
        <v>916</v>
      </c>
      <c r="U509"/>
      <c r="V509"/>
      <c r="W509"/>
      <c r="X509"/>
      <c r="Y509"/>
      <c r="Z509"/>
      <c r="AA509"/>
      <c r="AB509"/>
      <c r="AC509"/>
      <c r="AD509"/>
      <c r="AE509" t="s">
        <v>904</v>
      </c>
      <c r="AF509" t="s">
        <v>67</v>
      </c>
      <c r="AG509" t="s">
        <v>136</v>
      </c>
      <c r="AH509" t="s">
        <v>69</v>
      </c>
      <c r="AI509" t="s">
        <v>70</v>
      </c>
      <c r="AJ509" t="s">
        <v>71</v>
      </c>
      <c r="AK509" t="s">
        <v>137</v>
      </c>
    </row>
    <row r="510" spans="1:37" x14ac:dyDescent="0.3">
      <c r="A510" t="s">
        <v>886</v>
      </c>
      <c r="B510" t="s">
        <v>870</v>
      </c>
      <c r="C510" s="2">
        <v>45764.926233356484</v>
      </c>
      <c r="D510" s="2">
        <v>45756.74150462963</v>
      </c>
      <c r="E510" s="2">
        <v>45760.800268981482</v>
      </c>
      <c r="F510" t="s">
        <v>871</v>
      </c>
      <c r="G510" t="s">
        <v>371</v>
      </c>
      <c r="H510">
        <v>45673</v>
      </c>
      <c r="I510">
        <v>0.87708333333333333</v>
      </c>
      <c r="J510">
        <v>45673</v>
      </c>
      <c r="K510">
        <v>0.88611111111111107</v>
      </c>
      <c r="L510">
        <v>45674</v>
      </c>
      <c r="M510">
        <v>0.51179398148148159</v>
      </c>
      <c r="N510" t="s">
        <v>906</v>
      </c>
      <c r="O510"/>
      <c r="P510"/>
      <c r="Q510" t="s">
        <v>374</v>
      </c>
      <c r="R510" t="s">
        <v>178</v>
      </c>
      <c r="S510" t="s">
        <v>893</v>
      </c>
      <c r="T510" t="s">
        <v>917</v>
      </c>
      <c r="U510"/>
      <c r="V510"/>
      <c r="W510"/>
      <c r="X510" t="s">
        <v>918</v>
      </c>
      <c r="Y510" t="s">
        <v>919</v>
      </c>
      <c r="Z510"/>
      <c r="AA510"/>
      <c r="AB510"/>
      <c r="AC510"/>
      <c r="AD510"/>
      <c r="AE510" t="s">
        <v>904</v>
      </c>
      <c r="AF510" t="s">
        <v>67</v>
      </c>
      <c r="AG510" t="s">
        <v>89</v>
      </c>
      <c r="AH510" t="s">
        <v>90</v>
      </c>
      <c r="AI510" t="s">
        <v>378</v>
      </c>
      <c r="AJ510" t="s">
        <v>435</v>
      </c>
      <c r="AK510" t="s">
        <v>353</v>
      </c>
    </row>
    <row r="511" spans="1:37" x14ac:dyDescent="0.3">
      <c r="A511" t="s">
        <v>886</v>
      </c>
      <c r="B511" t="s">
        <v>870</v>
      </c>
      <c r="C511" s="2">
        <v>45764.926233356484</v>
      </c>
      <c r="D511" s="2">
        <v>45756.74150462963</v>
      </c>
      <c r="E511" s="2">
        <v>45760.800268981482</v>
      </c>
      <c r="F511" t="s">
        <v>871</v>
      </c>
      <c r="G511" t="s">
        <v>236</v>
      </c>
      <c r="H511">
        <v>45678</v>
      </c>
      <c r="I511">
        <v>0.79166666666666663</v>
      </c>
      <c r="J511">
        <v>45679</v>
      </c>
      <c r="K511">
        <v>0.13125000000000009</v>
      </c>
      <c r="L511">
        <v>45679</v>
      </c>
      <c r="M511">
        <v>0.13255787037037048</v>
      </c>
      <c r="N511" t="s">
        <v>892</v>
      </c>
      <c r="O511"/>
      <c r="P511"/>
      <c r="Q511" t="s">
        <v>239</v>
      </c>
      <c r="R511" t="s">
        <v>178</v>
      </c>
      <c r="S511" t="s">
        <v>893</v>
      </c>
      <c r="T511" t="s">
        <v>920</v>
      </c>
      <c r="U511"/>
      <c r="V511"/>
      <c r="W511" t="s">
        <v>241</v>
      </c>
      <c r="X511" t="s">
        <v>63</v>
      </c>
      <c r="Y511" t="s">
        <v>242</v>
      </c>
      <c r="Z511" t="s">
        <v>65</v>
      </c>
      <c r="AA511"/>
      <c r="AB511"/>
      <c r="AC511"/>
      <c r="AD511"/>
      <c r="AE511" t="s">
        <v>921</v>
      </c>
      <c r="AF511" t="s">
        <v>67</v>
      </c>
      <c r="AG511" t="s">
        <v>244</v>
      </c>
      <c r="AH511" t="s">
        <v>206</v>
      </c>
      <c r="AI511" t="s">
        <v>160</v>
      </c>
      <c r="AJ511" t="s">
        <v>71</v>
      </c>
      <c r="AK511" t="s">
        <v>221</v>
      </c>
    </row>
    <row r="512" spans="1:37" x14ac:dyDescent="0.3">
      <c r="A512" t="s">
        <v>886</v>
      </c>
      <c r="B512" t="s">
        <v>870</v>
      </c>
      <c r="C512" s="2">
        <v>45764.926233356484</v>
      </c>
      <c r="D512" s="2">
        <v>45756.74150462963</v>
      </c>
      <c r="E512" s="2">
        <v>45760.800268981482</v>
      </c>
      <c r="F512" t="s">
        <v>871</v>
      </c>
      <c r="G512" t="s">
        <v>246</v>
      </c>
      <c r="H512">
        <v>45679</v>
      </c>
      <c r="I512">
        <v>0.33333333333333331</v>
      </c>
      <c r="J512">
        <v>45679</v>
      </c>
      <c r="K512">
        <v>0.80069444444444438</v>
      </c>
      <c r="L512">
        <v>45679</v>
      </c>
      <c r="M512">
        <v>0.8020370370370371</v>
      </c>
      <c r="N512" t="s">
        <v>892</v>
      </c>
      <c r="O512"/>
      <c r="P512"/>
      <c r="Q512" t="s">
        <v>249</v>
      </c>
      <c r="R512" t="s">
        <v>250</v>
      </c>
      <c r="S512" t="s">
        <v>922</v>
      </c>
      <c r="T512" t="s">
        <v>923</v>
      </c>
      <c r="U512"/>
      <c r="V512"/>
      <c r="W512" t="s">
        <v>252</v>
      </c>
      <c r="X512" t="s">
        <v>924</v>
      </c>
      <c r="Y512" t="s">
        <v>254</v>
      </c>
      <c r="Z512" t="s">
        <v>65</v>
      </c>
      <c r="AA512"/>
      <c r="AB512"/>
      <c r="AC512"/>
      <c r="AD512"/>
      <c r="AE512" t="s">
        <v>913</v>
      </c>
      <c r="AF512" t="s">
        <v>67</v>
      </c>
      <c r="AG512" t="s">
        <v>244</v>
      </c>
      <c r="AH512" t="s">
        <v>206</v>
      </c>
      <c r="AI512" t="s">
        <v>122</v>
      </c>
      <c r="AJ512" t="s">
        <v>71</v>
      </c>
      <c r="AK512" t="s">
        <v>221</v>
      </c>
    </row>
    <row r="513" spans="1:37" x14ac:dyDescent="0.3">
      <c r="A513" t="s">
        <v>886</v>
      </c>
      <c r="B513" t="s">
        <v>870</v>
      </c>
      <c r="C513" s="2">
        <v>45764.926233356484</v>
      </c>
      <c r="D513" s="2">
        <v>45756.74150462963</v>
      </c>
      <c r="E513" s="2">
        <v>45760.800268981482</v>
      </c>
      <c r="F513" t="s">
        <v>871</v>
      </c>
      <c r="G513" t="s">
        <v>409</v>
      </c>
      <c r="H513">
        <v>45680</v>
      </c>
      <c r="I513">
        <v>0.625</v>
      </c>
      <c r="J513"/>
      <c r="K513"/>
      <c r="L513">
        <v>45680</v>
      </c>
      <c r="M513">
        <v>0.66545138888888888</v>
      </c>
      <c r="N513" t="s">
        <v>925</v>
      </c>
      <c r="O513" t="s">
        <v>400</v>
      </c>
      <c r="P513"/>
      <c r="Q513" t="s">
        <v>414</v>
      </c>
      <c r="R513" t="s">
        <v>84</v>
      </c>
      <c r="S513" t="s">
        <v>907</v>
      </c>
      <c r="T513" t="s">
        <v>926</v>
      </c>
      <c r="U513"/>
      <c r="V513"/>
      <c r="W513"/>
      <c r="X513"/>
      <c r="Y513"/>
      <c r="Z513"/>
      <c r="AA513"/>
      <c r="AB513"/>
      <c r="AC513"/>
      <c r="AD513"/>
      <c r="AE513" t="s">
        <v>927</v>
      </c>
      <c r="AF513" t="s">
        <v>67</v>
      </c>
      <c r="AG513" t="s">
        <v>352</v>
      </c>
      <c r="AH513" t="s">
        <v>417</v>
      </c>
      <c r="AI513" t="s">
        <v>406</v>
      </c>
      <c r="AJ513" t="s">
        <v>418</v>
      </c>
      <c r="AK513"/>
    </row>
    <row r="514" spans="1:37" x14ac:dyDescent="0.3">
      <c r="A514" t="s">
        <v>886</v>
      </c>
      <c r="B514" t="s">
        <v>870</v>
      </c>
      <c r="C514" s="2">
        <v>45764.926233356484</v>
      </c>
      <c r="D514" s="2">
        <v>45756.74150462963</v>
      </c>
      <c r="E514" s="2">
        <v>45760.800268981482</v>
      </c>
      <c r="F514" t="s">
        <v>871</v>
      </c>
      <c r="G514" t="s">
        <v>140</v>
      </c>
      <c r="H514">
        <v>45682</v>
      </c>
      <c r="I514">
        <v>0.45833333333333331</v>
      </c>
      <c r="J514">
        <v>45682</v>
      </c>
      <c r="K514">
        <v>0.58333333333333326</v>
      </c>
      <c r="L514">
        <v>45682</v>
      </c>
      <c r="M514">
        <v>0.58054398148148145</v>
      </c>
      <c r="N514" t="s">
        <v>915</v>
      </c>
      <c r="O514"/>
      <c r="P514"/>
      <c r="Q514" t="s">
        <v>144</v>
      </c>
      <c r="R514" t="s">
        <v>145</v>
      </c>
      <c r="S514" t="s">
        <v>922</v>
      </c>
      <c r="T514" t="s">
        <v>928</v>
      </c>
      <c r="U514"/>
      <c r="V514"/>
      <c r="W514"/>
      <c r="X514"/>
      <c r="Y514"/>
      <c r="Z514"/>
      <c r="AA514"/>
      <c r="AB514"/>
      <c r="AC514"/>
      <c r="AD514"/>
      <c r="AE514" t="s">
        <v>929</v>
      </c>
      <c r="AF514" t="s">
        <v>67</v>
      </c>
      <c r="AG514" t="s">
        <v>147</v>
      </c>
      <c r="AH514" t="s">
        <v>90</v>
      </c>
      <c r="AI514" t="s">
        <v>70</v>
      </c>
      <c r="AJ514" t="s">
        <v>71</v>
      </c>
      <c r="AK514" t="s">
        <v>137</v>
      </c>
    </row>
    <row r="515" spans="1:37" x14ac:dyDescent="0.3">
      <c r="A515" t="s">
        <v>886</v>
      </c>
      <c r="B515" t="s">
        <v>870</v>
      </c>
      <c r="C515" s="2">
        <v>45764.926233356484</v>
      </c>
      <c r="D515" s="2">
        <v>45756.74150462963</v>
      </c>
      <c r="E515" s="2">
        <v>45760.800268981482</v>
      </c>
      <c r="F515" t="s">
        <v>871</v>
      </c>
      <c r="G515" t="s">
        <v>77</v>
      </c>
      <c r="H515">
        <v>45682</v>
      </c>
      <c r="I515">
        <v>0.76875000000000004</v>
      </c>
      <c r="J515"/>
      <c r="K515"/>
      <c r="L515">
        <v>45683</v>
      </c>
      <c r="M515">
        <v>0.44056712962962963</v>
      </c>
      <c r="N515" t="s">
        <v>902</v>
      </c>
      <c r="O515" t="s">
        <v>930</v>
      </c>
      <c r="P515"/>
      <c r="Q515" t="s">
        <v>83</v>
      </c>
      <c r="R515" t="s">
        <v>84</v>
      </c>
      <c r="S515" t="s">
        <v>907</v>
      </c>
      <c r="T515" t="s">
        <v>931</v>
      </c>
      <c r="U515"/>
      <c r="V515"/>
      <c r="W515" t="s">
        <v>932</v>
      </c>
      <c r="X515" t="s">
        <v>896</v>
      </c>
      <c r="Y515" t="s">
        <v>87</v>
      </c>
      <c r="Z515" t="s">
        <v>65</v>
      </c>
      <c r="AA515"/>
      <c r="AB515"/>
      <c r="AC515"/>
      <c r="AD515"/>
      <c r="AE515" t="s">
        <v>929</v>
      </c>
      <c r="AF515" t="s">
        <v>67</v>
      </c>
      <c r="AG515" t="s">
        <v>89</v>
      </c>
      <c r="AH515" t="s">
        <v>90</v>
      </c>
      <c r="AI515" t="s">
        <v>91</v>
      </c>
      <c r="AJ515" t="s">
        <v>92</v>
      </c>
      <c r="AK515" t="s">
        <v>72</v>
      </c>
    </row>
    <row r="516" spans="1:37" x14ac:dyDescent="0.3">
      <c r="A516" t="s">
        <v>886</v>
      </c>
      <c r="B516" t="s">
        <v>870</v>
      </c>
      <c r="C516" s="2">
        <v>45764.926233356484</v>
      </c>
      <c r="D516" s="2">
        <v>45756.74150462963</v>
      </c>
      <c r="E516" s="2">
        <v>45760.800268981482</v>
      </c>
      <c r="F516" t="s">
        <v>871</v>
      </c>
      <c r="G516" t="s">
        <v>96</v>
      </c>
      <c r="H516">
        <v>45683</v>
      </c>
      <c r="I516">
        <v>0.84027777777777779</v>
      </c>
      <c r="J516">
        <v>45683</v>
      </c>
      <c r="K516">
        <v>0.84652777777777777</v>
      </c>
      <c r="L516">
        <v>45683</v>
      </c>
      <c r="M516">
        <v>0.85009259259259262</v>
      </c>
      <c r="N516" t="s">
        <v>902</v>
      </c>
      <c r="O516" t="s">
        <v>930</v>
      </c>
      <c r="P516"/>
      <c r="Q516" t="s">
        <v>100</v>
      </c>
      <c r="R516" t="s">
        <v>101</v>
      </c>
      <c r="S516" t="s">
        <v>893</v>
      </c>
      <c r="T516" t="s">
        <v>933</v>
      </c>
      <c r="U516"/>
      <c r="V516"/>
      <c r="W516" t="s">
        <v>934</v>
      </c>
      <c r="X516" t="s">
        <v>896</v>
      </c>
      <c r="Y516" t="s">
        <v>104</v>
      </c>
      <c r="Z516" t="s">
        <v>935</v>
      </c>
      <c r="AA516"/>
      <c r="AB516"/>
      <c r="AC516"/>
      <c r="AD516"/>
      <c r="AE516" t="s">
        <v>904</v>
      </c>
      <c r="AF516" t="s">
        <v>67</v>
      </c>
      <c r="AG516" t="s">
        <v>105</v>
      </c>
      <c r="AH516" t="s">
        <v>69</v>
      </c>
      <c r="AI516" t="s">
        <v>106</v>
      </c>
      <c r="AJ516" t="s">
        <v>71</v>
      </c>
      <c r="AK516" t="s">
        <v>72</v>
      </c>
    </row>
    <row r="517" spans="1:37" x14ac:dyDescent="0.3">
      <c r="A517" t="s">
        <v>886</v>
      </c>
      <c r="B517" t="s">
        <v>870</v>
      </c>
      <c r="C517" s="2">
        <v>45764.926233356484</v>
      </c>
      <c r="D517" s="2">
        <v>45756.74150462963</v>
      </c>
      <c r="E517" s="2">
        <v>45760.800268981482</v>
      </c>
      <c r="F517" t="s">
        <v>871</v>
      </c>
      <c r="G517" t="s">
        <v>256</v>
      </c>
      <c r="H517">
        <v>45685</v>
      </c>
      <c r="I517">
        <v>0.625</v>
      </c>
      <c r="J517">
        <v>45686</v>
      </c>
      <c r="K517">
        <v>0.91736111111111107</v>
      </c>
      <c r="L517">
        <v>45686</v>
      </c>
      <c r="M517">
        <v>0.91833333333333322</v>
      </c>
      <c r="N517" t="s">
        <v>892</v>
      </c>
      <c r="O517" t="s">
        <v>930</v>
      </c>
      <c r="P517"/>
      <c r="Q517" t="s">
        <v>260</v>
      </c>
      <c r="R517" t="s">
        <v>261</v>
      </c>
      <c r="S517" t="s">
        <v>936</v>
      </c>
      <c r="T517" t="s">
        <v>937</v>
      </c>
      <c r="U517"/>
      <c r="V517"/>
      <c r="W517" t="s">
        <v>938</v>
      </c>
      <c r="X517" t="s">
        <v>939</v>
      </c>
      <c r="Y517" t="s">
        <v>265</v>
      </c>
      <c r="Z517" t="s">
        <v>65</v>
      </c>
      <c r="AA517"/>
      <c r="AB517"/>
      <c r="AC517"/>
      <c r="AD517"/>
      <c r="AE517" t="s">
        <v>940</v>
      </c>
      <c r="AF517" t="s">
        <v>67</v>
      </c>
      <c r="AG517" t="s">
        <v>244</v>
      </c>
      <c r="AH517" t="s">
        <v>206</v>
      </c>
      <c r="AI517" t="s">
        <v>70</v>
      </c>
      <c r="AJ517" t="s">
        <v>266</v>
      </c>
      <c r="AK517" t="s">
        <v>221</v>
      </c>
    </row>
    <row r="518" spans="1:37" x14ac:dyDescent="0.3">
      <c r="A518" t="s">
        <v>886</v>
      </c>
      <c r="B518" t="s">
        <v>870</v>
      </c>
      <c r="C518" s="2">
        <v>45764.926233356484</v>
      </c>
      <c r="D518" s="2">
        <v>45756.74150462963</v>
      </c>
      <c r="E518" s="2">
        <v>45760.800268981482</v>
      </c>
      <c r="F518" t="s">
        <v>871</v>
      </c>
      <c r="G518" t="s">
        <v>151</v>
      </c>
      <c r="H518">
        <v>45688</v>
      </c>
      <c r="I518">
        <v>0.49988425925925928</v>
      </c>
      <c r="J518"/>
      <c r="K518"/>
      <c r="L518">
        <v>45688</v>
      </c>
      <c r="M518">
        <v>0.49988425925925917</v>
      </c>
      <c r="N518" t="s">
        <v>915</v>
      </c>
      <c r="O518"/>
      <c r="P518"/>
      <c r="Q518" t="s">
        <v>154</v>
      </c>
      <c r="R518" t="s">
        <v>155</v>
      </c>
      <c r="S518" t="s">
        <v>907</v>
      </c>
      <c r="T518" t="s">
        <v>941</v>
      </c>
      <c r="U518"/>
      <c r="V518"/>
      <c r="W518"/>
      <c r="X518"/>
      <c r="Y518"/>
      <c r="Z518"/>
      <c r="AA518"/>
      <c r="AB518"/>
      <c r="AC518"/>
      <c r="AD518"/>
      <c r="AE518" t="s">
        <v>897</v>
      </c>
      <c r="AF518" t="s">
        <v>67</v>
      </c>
      <c r="AG518" t="s">
        <v>158</v>
      </c>
      <c r="AH518" t="s">
        <v>159</v>
      </c>
      <c r="AI518" t="s">
        <v>160</v>
      </c>
      <c r="AJ518" t="s">
        <v>71</v>
      </c>
      <c r="AK518" t="s">
        <v>137</v>
      </c>
    </row>
    <row r="519" spans="1:37" x14ac:dyDescent="0.3">
      <c r="A519" t="s">
        <v>886</v>
      </c>
      <c r="B519" t="s">
        <v>870</v>
      </c>
      <c r="C519" s="2">
        <v>45764.926233356484</v>
      </c>
      <c r="D519" s="2">
        <v>45756.74150462963</v>
      </c>
      <c r="E519" s="2">
        <v>45760.800268981482</v>
      </c>
      <c r="F519" t="s">
        <v>871</v>
      </c>
      <c r="G519" t="s">
        <v>269</v>
      </c>
      <c r="H519">
        <v>45689</v>
      </c>
      <c r="I519">
        <v>4.1666666666666664E-2</v>
      </c>
      <c r="J519"/>
      <c r="K519">
        <v>0.10416666666666674</v>
      </c>
      <c r="L519">
        <v>45689</v>
      </c>
      <c r="M519">
        <v>0.11982638888888886</v>
      </c>
      <c r="N519" t="s">
        <v>892</v>
      </c>
      <c r="O519"/>
      <c r="P519"/>
      <c r="Q519" t="s">
        <v>272</v>
      </c>
      <c r="R519" t="s">
        <v>273</v>
      </c>
      <c r="S519" t="s">
        <v>936</v>
      </c>
      <c r="T519" t="s">
        <v>942</v>
      </c>
      <c r="U519"/>
      <c r="V519"/>
      <c r="W519" t="s">
        <v>943</v>
      </c>
      <c r="X519" t="s">
        <v>944</v>
      </c>
      <c r="Y519" t="s">
        <v>276</v>
      </c>
      <c r="Z519" t="s">
        <v>65</v>
      </c>
      <c r="AA519"/>
      <c r="AB519"/>
      <c r="AC519"/>
      <c r="AD519"/>
      <c r="AE519" t="s">
        <v>913</v>
      </c>
      <c r="AF519" t="s">
        <v>67</v>
      </c>
      <c r="AG519" t="s">
        <v>244</v>
      </c>
      <c r="AH519" t="s">
        <v>206</v>
      </c>
      <c r="AI519" t="s">
        <v>122</v>
      </c>
      <c r="AJ519" t="s">
        <v>71</v>
      </c>
      <c r="AK519" t="s">
        <v>221</v>
      </c>
    </row>
    <row r="520" spans="1:37" x14ac:dyDescent="0.3">
      <c r="A520" t="s">
        <v>886</v>
      </c>
      <c r="B520" t="s">
        <v>870</v>
      </c>
      <c r="C520" s="2">
        <v>45764.926233356484</v>
      </c>
      <c r="D520" s="2">
        <v>45756.74150462963</v>
      </c>
      <c r="E520" s="2">
        <v>45760.800268981482</v>
      </c>
      <c r="F520" t="s">
        <v>871</v>
      </c>
      <c r="G520" t="s">
        <v>382</v>
      </c>
      <c r="H520">
        <v>45690</v>
      </c>
      <c r="I520">
        <v>0.72569444444444442</v>
      </c>
      <c r="J520">
        <v>45690</v>
      </c>
      <c r="K520">
        <v>0.75</v>
      </c>
      <c r="L520">
        <v>45691</v>
      </c>
      <c r="M520">
        <v>0.50143518518518526</v>
      </c>
      <c r="N520" t="s">
        <v>176</v>
      </c>
      <c r="O520" t="s">
        <v>906</v>
      </c>
      <c r="P520"/>
      <c r="Q520" t="s">
        <v>385</v>
      </c>
      <c r="R520" t="s">
        <v>145</v>
      </c>
      <c r="S520" t="s">
        <v>922</v>
      </c>
      <c r="T520" t="s">
        <v>945</v>
      </c>
      <c r="U520"/>
      <c r="V520"/>
      <c r="W520"/>
      <c r="X520"/>
      <c r="Y520"/>
      <c r="Z520"/>
      <c r="AA520"/>
      <c r="AB520"/>
      <c r="AC520"/>
      <c r="AD520"/>
      <c r="AE520" t="s">
        <v>904</v>
      </c>
      <c r="AF520" t="s">
        <v>67</v>
      </c>
      <c r="AG520" t="s">
        <v>105</v>
      </c>
      <c r="AH520" t="s">
        <v>69</v>
      </c>
      <c r="AI520" t="s">
        <v>180</v>
      </c>
      <c r="AJ520" t="s">
        <v>92</v>
      </c>
      <c r="AK520"/>
    </row>
    <row r="521" spans="1:37" x14ac:dyDescent="0.3">
      <c r="A521" t="s">
        <v>886</v>
      </c>
      <c r="B521" t="s">
        <v>870</v>
      </c>
      <c r="C521" s="2">
        <v>45764.926233356484</v>
      </c>
      <c r="D521" s="2">
        <v>45756.74150462963</v>
      </c>
      <c r="E521" s="2">
        <v>45760.800268981482</v>
      </c>
      <c r="F521" t="s">
        <v>871</v>
      </c>
      <c r="G521" t="s">
        <v>388</v>
      </c>
      <c r="H521"/>
      <c r="I521"/>
      <c r="J521"/>
      <c r="K521"/>
      <c r="L521">
        <v>45691</v>
      </c>
      <c r="M521">
        <v>0.69484953703703711</v>
      </c>
      <c r="N521" t="s">
        <v>906</v>
      </c>
      <c r="O521"/>
      <c r="P521"/>
      <c r="Q521" t="s">
        <v>390</v>
      </c>
      <c r="R521" t="s">
        <v>363</v>
      </c>
      <c r="S521" t="s">
        <v>893</v>
      </c>
      <c r="T521" t="s">
        <v>946</v>
      </c>
      <c r="U521"/>
      <c r="V521"/>
      <c r="W521"/>
      <c r="X521"/>
      <c r="Y521"/>
      <c r="Z521"/>
      <c r="AA521"/>
      <c r="AB521"/>
      <c r="AC521"/>
      <c r="AD521"/>
      <c r="AE521" t="s">
        <v>929</v>
      </c>
      <c r="AF521" t="s">
        <v>67</v>
      </c>
      <c r="AG521" t="s">
        <v>136</v>
      </c>
      <c r="AH521" t="s">
        <v>69</v>
      </c>
      <c r="AI521" t="s">
        <v>106</v>
      </c>
      <c r="AJ521" t="s">
        <v>71</v>
      </c>
      <c r="AK521" t="s">
        <v>353</v>
      </c>
    </row>
    <row r="522" spans="1:37" x14ac:dyDescent="0.3">
      <c r="A522" t="s">
        <v>886</v>
      </c>
      <c r="B522" t="s">
        <v>870</v>
      </c>
      <c r="C522" s="2">
        <v>45764.926233356484</v>
      </c>
      <c r="D522" s="2">
        <v>45756.74150462963</v>
      </c>
      <c r="E522" s="2">
        <v>45760.800268981482</v>
      </c>
      <c r="F522" t="s">
        <v>871</v>
      </c>
      <c r="G522" t="s">
        <v>279</v>
      </c>
      <c r="H522">
        <v>45691</v>
      </c>
      <c r="I522">
        <v>0.77083333333333337</v>
      </c>
      <c r="J522">
        <v>45692</v>
      </c>
      <c r="K522">
        <v>0.79166666666666674</v>
      </c>
      <c r="L522">
        <v>45692</v>
      </c>
      <c r="M522">
        <v>0.53023148148148147</v>
      </c>
      <c r="N522" t="s">
        <v>892</v>
      </c>
      <c r="O522"/>
      <c r="P522"/>
      <c r="Q522" t="s">
        <v>282</v>
      </c>
      <c r="R522" t="s">
        <v>283</v>
      </c>
      <c r="S522" t="s">
        <v>907</v>
      </c>
      <c r="T522" t="s">
        <v>947</v>
      </c>
      <c r="U522"/>
      <c r="V522"/>
      <c r="W522" t="s">
        <v>948</v>
      </c>
      <c r="X522" t="s">
        <v>286</v>
      </c>
      <c r="Y522" t="s">
        <v>949</v>
      </c>
      <c r="Z522" t="s">
        <v>288</v>
      </c>
      <c r="AA522"/>
      <c r="AB522"/>
      <c r="AC522"/>
      <c r="AD522"/>
      <c r="AE522" t="s">
        <v>904</v>
      </c>
      <c r="AF522" t="s">
        <v>67</v>
      </c>
      <c r="AG522" t="s">
        <v>105</v>
      </c>
      <c r="AH522" t="s">
        <v>69</v>
      </c>
      <c r="AI522" t="s">
        <v>70</v>
      </c>
      <c r="AJ522" t="s">
        <v>195</v>
      </c>
      <c r="AK522" t="s">
        <v>221</v>
      </c>
    </row>
    <row r="523" spans="1:37" x14ac:dyDescent="0.3">
      <c r="A523" t="s">
        <v>886</v>
      </c>
      <c r="B523" t="s">
        <v>870</v>
      </c>
      <c r="C523" s="2">
        <v>45764.926233356484</v>
      </c>
      <c r="D523" s="2">
        <v>45756.74150462963</v>
      </c>
      <c r="E523" s="2">
        <v>45760.800268981482</v>
      </c>
      <c r="F523" t="s">
        <v>871</v>
      </c>
      <c r="G523" t="s">
        <v>161</v>
      </c>
      <c r="H523">
        <v>45693</v>
      </c>
      <c r="I523">
        <v>0.12291666666666666</v>
      </c>
      <c r="J523"/>
      <c r="K523"/>
      <c r="L523">
        <v>45693</v>
      </c>
      <c r="M523">
        <v>0.12339120370370371</v>
      </c>
      <c r="N523" t="s">
        <v>950</v>
      </c>
      <c r="O523" t="s">
        <v>167</v>
      </c>
      <c r="P523"/>
      <c r="Q523" t="s">
        <v>168</v>
      </c>
      <c r="R523" t="s">
        <v>155</v>
      </c>
      <c r="S523" t="s">
        <v>907</v>
      </c>
      <c r="T523" t="s">
        <v>951</v>
      </c>
      <c r="U523"/>
      <c r="V523"/>
      <c r="W523"/>
      <c r="X523"/>
      <c r="Y523"/>
      <c r="Z523"/>
      <c r="AA523"/>
      <c r="AB523"/>
      <c r="AC523"/>
      <c r="AD523"/>
      <c r="AE523" t="s">
        <v>913</v>
      </c>
      <c r="AF523" t="s">
        <v>67</v>
      </c>
      <c r="AG523" t="s">
        <v>170</v>
      </c>
      <c r="AH523" t="s">
        <v>90</v>
      </c>
      <c r="AI523" t="s">
        <v>171</v>
      </c>
      <c r="AJ523" t="s">
        <v>123</v>
      </c>
      <c r="AK523" t="s">
        <v>137</v>
      </c>
    </row>
    <row r="524" spans="1:37" x14ac:dyDescent="0.3">
      <c r="A524" t="s">
        <v>886</v>
      </c>
      <c r="B524" t="s">
        <v>870</v>
      </c>
      <c r="C524" s="2">
        <v>45764.926233356484</v>
      </c>
      <c r="D524" s="2">
        <v>45756.74150462963</v>
      </c>
      <c r="E524" s="2">
        <v>45760.800268981482</v>
      </c>
      <c r="F524" t="s">
        <v>871</v>
      </c>
      <c r="G524" t="s">
        <v>292</v>
      </c>
      <c r="H524">
        <v>45695</v>
      </c>
      <c r="I524">
        <v>0.27430555555555558</v>
      </c>
      <c r="J524">
        <v>45695</v>
      </c>
      <c r="K524">
        <v>0.28472222222222232</v>
      </c>
      <c r="L524">
        <v>45695</v>
      </c>
      <c r="M524">
        <v>0.30738425925925927</v>
      </c>
      <c r="N524" t="s">
        <v>892</v>
      </c>
      <c r="O524"/>
      <c r="P524"/>
      <c r="Q524" t="s">
        <v>296</v>
      </c>
      <c r="R524" t="s">
        <v>203</v>
      </c>
      <c r="S524" t="s">
        <v>922</v>
      </c>
      <c r="T524" t="s">
        <v>952</v>
      </c>
      <c r="U524"/>
      <c r="V524"/>
      <c r="W524" t="s">
        <v>953</v>
      </c>
      <c r="X524" t="s">
        <v>954</v>
      </c>
      <c r="Y524" t="s">
        <v>300</v>
      </c>
      <c r="Z524" t="s">
        <v>65</v>
      </c>
      <c r="AA524"/>
      <c r="AB524"/>
      <c r="AC524"/>
      <c r="AD524"/>
      <c r="AE524" t="s">
        <v>913</v>
      </c>
      <c r="AF524" t="s">
        <v>67</v>
      </c>
      <c r="AG524" t="s">
        <v>301</v>
      </c>
      <c r="AH524" t="s">
        <v>121</v>
      </c>
      <c r="AI524" t="s">
        <v>180</v>
      </c>
      <c r="AJ524" t="s">
        <v>92</v>
      </c>
      <c r="AK524" t="s">
        <v>221</v>
      </c>
    </row>
    <row r="525" spans="1:37" x14ac:dyDescent="0.3">
      <c r="A525" t="s">
        <v>886</v>
      </c>
      <c r="B525" t="s">
        <v>870</v>
      </c>
      <c r="C525" s="2">
        <v>45764.926233356484</v>
      </c>
      <c r="D525" s="2">
        <v>45756.74150462963</v>
      </c>
      <c r="E525" s="2">
        <v>45760.800268981482</v>
      </c>
      <c r="F525" t="s">
        <v>871</v>
      </c>
      <c r="G525" t="s">
        <v>305</v>
      </c>
      <c r="H525">
        <v>45688</v>
      </c>
      <c r="I525">
        <v>0.5</v>
      </c>
      <c r="J525">
        <v>45695</v>
      </c>
      <c r="K525">
        <v>0.54166666666666674</v>
      </c>
      <c r="L525">
        <v>45696</v>
      </c>
      <c r="M525">
        <v>0.3903240740740741</v>
      </c>
      <c r="N525" t="s">
        <v>892</v>
      </c>
      <c r="O525"/>
      <c r="P525"/>
      <c r="Q525" t="s">
        <v>308</v>
      </c>
      <c r="R525" t="s">
        <v>250</v>
      </c>
      <c r="S525" t="s">
        <v>922</v>
      </c>
      <c r="T525" t="s">
        <v>955</v>
      </c>
      <c r="U525"/>
      <c r="V525"/>
      <c r="W525" t="s">
        <v>956</v>
      </c>
      <c r="X525"/>
      <c r="Y525" t="s">
        <v>230</v>
      </c>
      <c r="Z525" t="s">
        <v>935</v>
      </c>
      <c r="AA525"/>
      <c r="AB525"/>
      <c r="AC525"/>
      <c r="AD525"/>
      <c r="AE525" t="s">
        <v>913</v>
      </c>
      <c r="AF525" t="s">
        <v>67</v>
      </c>
      <c r="AG525" t="s">
        <v>205</v>
      </c>
      <c r="AH525" t="s">
        <v>206</v>
      </c>
      <c r="AI525" t="s">
        <v>106</v>
      </c>
      <c r="AJ525" t="s">
        <v>71</v>
      </c>
      <c r="AK525" t="s">
        <v>221</v>
      </c>
    </row>
    <row r="526" spans="1:37" x14ac:dyDescent="0.3">
      <c r="A526" t="s">
        <v>886</v>
      </c>
      <c r="B526" t="s">
        <v>870</v>
      </c>
      <c r="C526" s="2">
        <v>45764.926233356484</v>
      </c>
      <c r="D526" s="2">
        <v>45756.74150462963</v>
      </c>
      <c r="E526" s="2">
        <v>45760.800268981482</v>
      </c>
      <c r="F526" t="s">
        <v>871</v>
      </c>
      <c r="G526" t="s">
        <v>437</v>
      </c>
      <c r="H526">
        <v>45701</v>
      </c>
      <c r="I526">
        <v>8.3333333333333329E-2</v>
      </c>
      <c r="J526"/>
      <c r="K526"/>
      <c r="L526">
        <v>45701</v>
      </c>
      <c r="M526">
        <v>0.51225694444444447</v>
      </c>
      <c r="N526" t="s">
        <v>440</v>
      </c>
      <c r="O526" t="s">
        <v>957</v>
      </c>
      <c r="P526" t="s">
        <v>906</v>
      </c>
      <c r="Q526" t="s">
        <v>443</v>
      </c>
      <c r="R526" t="s">
        <v>191</v>
      </c>
      <c r="S526" t="s">
        <v>893</v>
      </c>
      <c r="T526" t="s">
        <v>958</v>
      </c>
      <c r="U526"/>
      <c r="V526"/>
      <c r="W526"/>
      <c r="X526"/>
      <c r="Y526"/>
      <c r="Z526"/>
      <c r="AA526"/>
      <c r="AB526"/>
      <c r="AC526"/>
      <c r="AD526"/>
      <c r="AE526" t="s">
        <v>959</v>
      </c>
      <c r="AF526" t="s">
        <v>67</v>
      </c>
      <c r="AG526" t="s">
        <v>120</v>
      </c>
      <c r="AH526" t="s">
        <v>121</v>
      </c>
      <c r="AI526" t="s">
        <v>378</v>
      </c>
      <c r="AJ526" t="s">
        <v>446</v>
      </c>
      <c r="AK526"/>
    </row>
    <row r="527" spans="1:37" x14ac:dyDescent="0.3">
      <c r="A527" t="s">
        <v>886</v>
      </c>
      <c r="B527" t="s">
        <v>870</v>
      </c>
      <c r="C527" s="2">
        <v>45764.926233356484</v>
      </c>
      <c r="D527" s="2">
        <v>45756.74150462963</v>
      </c>
      <c r="E527" s="2">
        <v>45760.800268981482</v>
      </c>
      <c r="F527" t="s">
        <v>871</v>
      </c>
      <c r="G527" t="s">
        <v>110</v>
      </c>
      <c r="H527">
        <v>45701</v>
      </c>
      <c r="I527">
        <v>0.66666666666666663</v>
      </c>
      <c r="J527"/>
      <c r="K527"/>
      <c r="L527">
        <v>45702</v>
      </c>
      <c r="M527">
        <v>0.29906250000000001</v>
      </c>
      <c r="N527" t="s">
        <v>902</v>
      </c>
      <c r="O527"/>
      <c r="P527"/>
      <c r="Q527" t="s">
        <v>113</v>
      </c>
      <c r="R527" t="s">
        <v>114</v>
      </c>
      <c r="S527" t="s">
        <v>936</v>
      </c>
      <c r="T527" t="s">
        <v>960</v>
      </c>
      <c r="U527"/>
      <c r="V527"/>
      <c r="W527" t="s">
        <v>116</v>
      </c>
      <c r="X527" t="s">
        <v>944</v>
      </c>
      <c r="Y527" t="s">
        <v>118</v>
      </c>
      <c r="Z527" t="s">
        <v>65</v>
      </c>
      <c r="AA527"/>
      <c r="AB527"/>
      <c r="AC527"/>
      <c r="AD527"/>
      <c r="AE527" t="s">
        <v>913</v>
      </c>
      <c r="AF527" t="s">
        <v>67</v>
      </c>
      <c r="AG527" t="s">
        <v>120</v>
      </c>
      <c r="AH527" t="s">
        <v>121</v>
      </c>
      <c r="AI527" t="s">
        <v>122</v>
      </c>
      <c r="AJ527" t="s">
        <v>71</v>
      </c>
      <c r="AK527" t="s">
        <v>72</v>
      </c>
    </row>
    <row r="528" spans="1:37" x14ac:dyDescent="0.3">
      <c r="A528" t="s">
        <v>886</v>
      </c>
      <c r="B528" t="s">
        <v>870</v>
      </c>
      <c r="C528" s="2">
        <v>45764.926233356484</v>
      </c>
      <c r="D528" s="2">
        <v>45756.74150462963</v>
      </c>
      <c r="E528" s="2">
        <v>45760.800268981482</v>
      </c>
      <c r="F528" t="s">
        <v>871</v>
      </c>
      <c r="G528" t="s">
        <v>313</v>
      </c>
      <c r="H528">
        <v>45705</v>
      </c>
      <c r="I528">
        <v>0.34877314814814814</v>
      </c>
      <c r="J528"/>
      <c r="K528"/>
      <c r="L528">
        <v>45705</v>
      </c>
      <c r="M528">
        <v>0.34877314814814819</v>
      </c>
      <c r="N528" t="s">
        <v>892</v>
      </c>
      <c r="O528" t="s">
        <v>317</v>
      </c>
      <c r="P528"/>
      <c r="Q528" t="s">
        <v>318</v>
      </c>
      <c r="R528" t="s">
        <v>134</v>
      </c>
      <c r="S528" t="s">
        <v>899</v>
      </c>
      <c r="T528" t="s">
        <v>961</v>
      </c>
      <c r="U528"/>
      <c r="V528"/>
      <c r="W528" t="s">
        <v>962</v>
      </c>
      <c r="X528" t="s">
        <v>896</v>
      </c>
      <c r="Y528" t="s">
        <v>218</v>
      </c>
      <c r="Z528" t="s">
        <v>65</v>
      </c>
      <c r="AA528"/>
      <c r="AB528"/>
      <c r="AC528"/>
      <c r="AD528"/>
      <c r="AE528" t="s">
        <v>904</v>
      </c>
      <c r="AF528" t="s">
        <v>67</v>
      </c>
      <c r="AG528" t="s">
        <v>68</v>
      </c>
      <c r="AH528" t="s">
        <v>69</v>
      </c>
      <c r="AI528" t="s">
        <v>122</v>
      </c>
      <c r="AJ528" t="s">
        <v>71</v>
      </c>
      <c r="AK528" t="s">
        <v>221</v>
      </c>
    </row>
    <row r="529" spans="1:37" x14ac:dyDescent="0.3">
      <c r="A529" t="s">
        <v>886</v>
      </c>
      <c r="B529" t="s">
        <v>870</v>
      </c>
      <c r="C529" s="2">
        <v>45764.926233356484</v>
      </c>
      <c r="D529" s="2">
        <v>45756.74150462963</v>
      </c>
      <c r="E529" s="2">
        <v>45760.800268981482</v>
      </c>
      <c r="F529" t="s">
        <v>871</v>
      </c>
      <c r="G529" t="s">
        <v>324</v>
      </c>
      <c r="H529">
        <v>45705</v>
      </c>
      <c r="I529">
        <v>0.39716435185185184</v>
      </c>
      <c r="J529"/>
      <c r="K529"/>
      <c r="L529">
        <v>45705</v>
      </c>
      <c r="M529">
        <v>0.39716435185185195</v>
      </c>
      <c r="N529" t="s">
        <v>892</v>
      </c>
      <c r="O529"/>
      <c r="P529"/>
      <c r="Q529" t="s">
        <v>326</v>
      </c>
      <c r="R529" t="s">
        <v>327</v>
      </c>
      <c r="S529" t="s">
        <v>899</v>
      </c>
      <c r="T529" t="s">
        <v>963</v>
      </c>
      <c r="U529"/>
      <c r="V529"/>
      <c r="W529" t="s">
        <v>964</v>
      </c>
      <c r="X529" t="s">
        <v>896</v>
      </c>
      <c r="Y529" t="s">
        <v>218</v>
      </c>
      <c r="Z529" t="s">
        <v>935</v>
      </c>
      <c r="AA529"/>
      <c r="AB529"/>
      <c r="AC529"/>
      <c r="AD529"/>
      <c r="AE529" t="s">
        <v>904</v>
      </c>
      <c r="AF529" t="s">
        <v>67</v>
      </c>
      <c r="AG529" t="s">
        <v>330</v>
      </c>
      <c r="AH529" t="s">
        <v>69</v>
      </c>
      <c r="AI529" t="s">
        <v>122</v>
      </c>
      <c r="AJ529" t="s">
        <v>71</v>
      </c>
      <c r="AK529" t="s">
        <v>221</v>
      </c>
    </row>
    <row r="530" spans="1:37" x14ac:dyDescent="0.3">
      <c r="A530" t="s">
        <v>886</v>
      </c>
      <c r="B530" t="s">
        <v>870</v>
      </c>
      <c r="C530" s="2">
        <v>45764.926233356484</v>
      </c>
      <c r="D530" s="2">
        <v>45756.74150462963</v>
      </c>
      <c r="E530" s="2">
        <v>45760.800268981482</v>
      </c>
      <c r="F530" t="s">
        <v>871</v>
      </c>
      <c r="G530" t="s">
        <v>173</v>
      </c>
      <c r="H530">
        <v>45705</v>
      </c>
      <c r="I530">
        <v>0.52497685185185183</v>
      </c>
      <c r="J530"/>
      <c r="K530"/>
      <c r="L530">
        <v>45705</v>
      </c>
      <c r="M530">
        <v>0.52497685185185183</v>
      </c>
      <c r="N530" t="s">
        <v>950</v>
      </c>
      <c r="O530" t="s">
        <v>176</v>
      </c>
      <c r="P530"/>
      <c r="Q530" t="s">
        <v>177</v>
      </c>
      <c r="R530" t="s">
        <v>178</v>
      </c>
      <c r="S530" t="s">
        <v>893</v>
      </c>
      <c r="T530" t="s">
        <v>965</v>
      </c>
      <c r="U530"/>
      <c r="V530"/>
      <c r="W530"/>
      <c r="X530"/>
      <c r="Y530"/>
      <c r="Z530"/>
      <c r="AA530"/>
      <c r="AB530"/>
      <c r="AC530"/>
      <c r="AD530"/>
      <c r="AE530" t="s">
        <v>904</v>
      </c>
      <c r="AF530" t="s">
        <v>67</v>
      </c>
      <c r="AG530" t="s">
        <v>68</v>
      </c>
      <c r="AH530" t="s">
        <v>69</v>
      </c>
      <c r="AI530" t="s">
        <v>180</v>
      </c>
      <c r="AJ530" t="s">
        <v>71</v>
      </c>
      <c r="AK530" t="s">
        <v>137</v>
      </c>
    </row>
    <row r="531" spans="1:37" x14ac:dyDescent="0.3">
      <c r="A531" t="s">
        <v>886</v>
      </c>
      <c r="B531" t="s">
        <v>870</v>
      </c>
      <c r="C531" s="2">
        <v>45764.926233356484</v>
      </c>
      <c r="D531" s="2">
        <v>45756.74150462963</v>
      </c>
      <c r="E531" s="2">
        <v>45760.800268981482</v>
      </c>
      <c r="F531" t="s">
        <v>871</v>
      </c>
      <c r="G531" t="s">
        <v>420</v>
      </c>
      <c r="H531">
        <v>45705</v>
      </c>
      <c r="I531">
        <v>0.83333333333333337</v>
      </c>
      <c r="J531">
        <v>45705</v>
      </c>
      <c r="K531">
        <v>0.98958333333333326</v>
      </c>
      <c r="L531">
        <v>45706</v>
      </c>
      <c r="M531">
        <v>0.73564814814814805</v>
      </c>
      <c r="N531" t="s">
        <v>423</v>
      </c>
      <c r="O531" t="s">
        <v>925</v>
      </c>
      <c r="P531"/>
      <c r="Q531" t="s">
        <v>425</v>
      </c>
      <c r="R531" t="s">
        <v>426</v>
      </c>
      <c r="S531" t="s">
        <v>907</v>
      </c>
      <c r="T531" t="s">
        <v>966</v>
      </c>
      <c r="U531"/>
      <c r="V531"/>
      <c r="W531"/>
      <c r="X531"/>
      <c r="Y531"/>
      <c r="Z531"/>
      <c r="AA531"/>
      <c r="AB531"/>
      <c r="AC531"/>
      <c r="AD531"/>
      <c r="AE531" t="s">
        <v>927</v>
      </c>
      <c r="AF531" t="s">
        <v>67</v>
      </c>
      <c r="AG531" t="s">
        <v>106</v>
      </c>
      <c r="AH531" t="s">
        <v>417</v>
      </c>
      <c r="AI531" t="s">
        <v>106</v>
      </c>
      <c r="AJ531" t="s">
        <v>266</v>
      </c>
      <c r="AK531"/>
    </row>
    <row r="532" spans="1:37" x14ac:dyDescent="0.3">
      <c r="A532" t="s">
        <v>886</v>
      </c>
      <c r="B532" t="s">
        <v>870</v>
      </c>
      <c r="C532" s="2">
        <v>45764.926233356484</v>
      </c>
      <c r="D532" s="2">
        <v>45756.74150462963</v>
      </c>
      <c r="E532" s="2">
        <v>45760.800268981482</v>
      </c>
      <c r="F532" t="s">
        <v>871</v>
      </c>
      <c r="G532" t="s">
        <v>429</v>
      </c>
      <c r="H532">
        <v>42906</v>
      </c>
      <c r="I532">
        <v>0.53615740740740736</v>
      </c>
      <c r="J532">
        <v>45555</v>
      </c>
      <c r="K532"/>
      <c r="L532">
        <v>45708</v>
      </c>
      <c r="M532">
        <v>0.53615740740740736</v>
      </c>
      <c r="N532" t="s">
        <v>925</v>
      </c>
      <c r="O532"/>
      <c r="P532"/>
      <c r="Q532" t="s">
        <v>432</v>
      </c>
      <c r="R532" t="s">
        <v>101</v>
      </c>
      <c r="S532" t="s">
        <v>907</v>
      </c>
      <c r="T532" t="s">
        <v>974</v>
      </c>
      <c r="U532"/>
      <c r="V532"/>
      <c r="W532"/>
      <c r="X532"/>
      <c r="Y532"/>
      <c r="Z532"/>
      <c r="AA532"/>
      <c r="AB532"/>
      <c r="AC532"/>
      <c r="AD532"/>
      <c r="AE532" t="s">
        <v>904</v>
      </c>
      <c r="AF532" t="s">
        <v>67</v>
      </c>
      <c r="AG532" t="s">
        <v>434</v>
      </c>
      <c r="AH532" t="s">
        <v>69</v>
      </c>
      <c r="AI532" t="s">
        <v>352</v>
      </c>
      <c r="AJ532" t="s">
        <v>435</v>
      </c>
      <c r="AK532" t="s">
        <v>436</v>
      </c>
    </row>
    <row r="533" spans="1:37" x14ac:dyDescent="0.3">
      <c r="A533" t="s">
        <v>886</v>
      </c>
      <c r="B533" t="s">
        <v>870</v>
      </c>
      <c r="C533" s="2">
        <v>45764.926233356484</v>
      </c>
      <c r="D533" s="2">
        <v>45756.74150462963</v>
      </c>
      <c r="E533" s="2">
        <v>45760.800268981482</v>
      </c>
      <c r="F533" t="s">
        <v>871</v>
      </c>
      <c r="G533" t="s">
        <v>332</v>
      </c>
      <c r="H533">
        <v>45713</v>
      </c>
      <c r="I533">
        <v>0.41666666666666669</v>
      </c>
      <c r="J533">
        <v>45713</v>
      </c>
      <c r="K533">
        <v>0.95833333333333326</v>
      </c>
      <c r="L533">
        <v>45712</v>
      </c>
      <c r="M533">
        <v>0.9913657407407408</v>
      </c>
      <c r="N533" t="s">
        <v>892</v>
      </c>
      <c r="O533"/>
      <c r="P533"/>
      <c r="Q533" t="s">
        <v>335</v>
      </c>
      <c r="R533" t="s">
        <v>250</v>
      </c>
      <c r="S533" t="s">
        <v>922</v>
      </c>
      <c r="T533" t="s">
        <v>973</v>
      </c>
      <c r="U533"/>
      <c r="V533"/>
      <c r="W533" t="s">
        <v>337</v>
      </c>
      <c r="X533" t="s">
        <v>896</v>
      </c>
      <c r="Y533" t="s">
        <v>338</v>
      </c>
      <c r="Z533" t="s">
        <v>339</v>
      </c>
      <c r="AA533"/>
      <c r="AB533"/>
      <c r="AC533"/>
      <c r="AD533"/>
      <c r="AE533" t="s">
        <v>897</v>
      </c>
      <c r="AF533" t="s">
        <v>67</v>
      </c>
      <c r="AG533" t="s">
        <v>158</v>
      </c>
      <c r="AH533" t="s">
        <v>159</v>
      </c>
      <c r="AI533" t="s">
        <v>160</v>
      </c>
      <c r="AJ533" t="s">
        <v>975</v>
      </c>
      <c r="AK533" t="s">
        <v>221</v>
      </c>
    </row>
    <row r="534" spans="1:37" x14ac:dyDescent="0.3">
      <c r="A534" t="s">
        <v>886</v>
      </c>
      <c r="B534" t="s">
        <v>870</v>
      </c>
      <c r="C534" s="2">
        <v>45764.926233356484</v>
      </c>
      <c r="D534" s="2">
        <v>45756.74150462963</v>
      </c>
      <c r="E534" s="2">
        <v>45760.800268981482</v>
      </c>
      <c r="F534" t="s">
        <v>871</v>
      </c>
      <c r="G534" t="s">
        <v>492</v>
      </c>
      <c r="H534">
        <v>45720</v>
      </c>
      <c r="I534">
        <v>0.64097222222222228</v>
      </c>
      <c r="J534"/>
      <c r="K534"/>
      <c r="L534">
        <v>45720</v>
      </c>
      <c r="M534">
        <v>0.64444444444444438</v>
      </c>
      <c r="N534" t="s">
        <v>906</v>
      </c>
      <c r="O534" t="s">
        <v>976</v>
      </c>
      <c r="P534" t="s">
        <v>344</v>
      </c>
      <c r="Q534" t="s">
        <v>497</v>
      </c>
      <c r="R534" t="s">
        <v>84</v>
      </c>
      <c r="S534" t="s">
        <v>907</v>
      </c>
      <c r="T534" t="s">
        <v>977</v>
      </c>
      <c r="U534"/>
      <c r="V534"/>
      <c r="W534" t="s">
        <v>499</v>
      </c>
      <c r="X534" t="s">
        <v>500</v>
      </c>
      <c r="Y534" t="s">
        <v>501</v>
      </c>
      <c r="Z534" t="s">
        <v>65</v>
      </c>
      <c r="AA534"/>
      <c r="AB534"/>
      <c r="AC534"/>
      <c r="AD534"/>
      <c r="AE534" t="s">
        <v>978</v>
      </c>
      <c r="AF534" t="s">
        <v>67</v>
      </c>
      <c r="AG534" t="s">
        <v>502</v>
      </c>
      <c r="AH534" t="s">
        <v>159</v>
      </c>
      <c r="AI534" t="s">
        <v>378</v>
      </c>
      <c r="AJ534" t="s">
        <v>195</v>
      </c>
      <c r="AK534" t="s">
        <v>353</v>
      </c>
    </row>
    <row r="535" spans="1:37" x14ac:dyDescent="0.3">
      <c r="A535" t="s">
        <v>886</v>
      </c>
      <c r="B535" t="s">
        <v>870</v>
      </c>
      <c r="C535" s="2">
        <v>45764.926233356484</v>
      </c>
      <c r="D535" s="2">
        <v>45756.74150462963</v>
      </c>
      <c r="E535" s="2">
        <v>45760.800268981482</v>
      </c>
      <c r="F535" t="s">
        <v>871</v>
      </c>
      <c r="G535" t="s">
        <v>484</v>
      </c>
      <c r="H535">
        <v>45720</v>
      </c>
      <c r="I535">
        <v>0.79126157407407405</v>
      </c>
      <c r="J535"/>
      <c r="K535"/>
      <c r="L535">
        <v>45720</v>
      </c>
      <c r="M535">
        <v>0.79126157407407405</v>
      </c>
      <c r="N535" t="s">
        <v>906</v>
      </c>
      <c r="O535"/>
      <c r="P535"/>
      <c r="Q535" t="s">
        <v>487</v>
      </c>
      <c r="R535" t="s">
        <v>261</v>
      </c>
      <c r="S535" t="s">
        <v>936</v>
      </c>
      <c r="T535" t="s">
        <v>979</v>
      </c>
      <c r="U535"/>
      <c r="V535"/>
      <c r="W535"/>
      <c r="X535"/>
      <c r="Y535"/>
      <c r="Z535"/>
      <c r="AA535"/>
      <c r="AB535"/>
      <c r="AC535"/>
      <c r="AD535"/>
      <c r="AE535" t="s">
        <v>978</v>
      </c>
      <c r="AF535" t="s">
        <v>67</v>
      </c>
      <c r="AG535" t="s">
        <v>489</v>
      </c>
      <c r="AH535" t="s">
        <v>206</v>
      </c>
      <c r="AI535" t="s">
        <v>70</v>
      </c>
      <c r="AJ535" t="s">
        <v>195</v>
      </c>
      <c r="AK535" t="s">
        <v>353</v>
      </c>
    </row>
    <row r="536" spans="1:37" x14ac:dyDescent="0.3">
      <c r="A536" t="s">
        <v>886</v>
      </c>
      <c r="B536" t="s">
        <v>870</v>
      </c>
      <c r="C536" s="2">
        <v>45764.926233356484</v>
      </c>
      <c r="D536" s="2">
        <v>45756.74150462963</v>
      </c>
      <c r="E536" s="2">
        <v>45760.800268981482</v>
      </c>
      <c r="F536" t="s">
        <v>871</v>
      </c>
      <c r="G536" t="s">
        <v>460</v>
      </c>
      <c r="H536">
        <v>45722</v>
      </c>
      <c r="I536">
        <v>0.94149305555555551</v>
      </c>
      <c r="J536"/>
      <c r="K536"/>
      <c r="L536">
        <v>45722</v>
      </c>
      <c r="M536">
        <v>0.94149305555555562</v>
      </c>
      <c r="N536" t="s">
        <v>902</v>
      </c>
      <c r="O536"/>
      <c r="P536"/>
      <c r="Q536" t="s">
        <v>464</v>
      </c>
      <c r="R536" t="s">
        <v>84</v>
      </c>
      <c r="S536" t="s">
        <v>907</v>
      </c>
      <c r="T536" t="s">
        <v>980</v>
      </c>
      <c r="U536"/>
      <c r="V536"/>
      <c r="W536" t="s">
        <v>466</v>
      </c>
      <c r="X536" t="s">
        <v>944</v>
      </c>
      <c r="Y536" t="s">
        <v>467</v>
      </c>
      <c r="Z536" t="s">
        <v>65</v>
      </c>
      <c r="AA536"/>
      <c r="AB536"/>
      <c r="AC536"/>
      <c r="AD536"/>
      <c r="AE536" t="s">
        <v>981</v>
      </c>
      <c r="AF536" t="s">
        <v>67</v>
      </c>
      <c r="AG536" t="s">
        <v>68</v>
      </c>
      <c r="AH536" t="s">
        <v>69</v>
      </c>
      <c r="AI536" t="s">
        <v>160</v>
      </c>
      <c r="AJ536" t="s">
        <v>123</v>
      </c>
      <c r="AK536" t="s">
        <v>72</v>
      </c>
    </row>
    <row r="537" spans="1:37" x14ac:dyDescent="0.3">
      <c r="A537" t="s">
        <v>886</v>
      </c>
      <c r="B537" t="s">
        <v>870</v>
      </c>
      <c r="C537" s="2">
        <v>45764.926233356484</v>
      </c>
      <c r="D537" s="2">
        <v>45756.74150462963</v>
      </c>
      <c r="E537" s="2">
        <v>45760.800268981482</v>
      </c>
      <c r="F537" t="s">
        <v>871</v>
      </c>
      <c r="G537" t="s">
        <v>472</v>
      </c>
      <c r="H537">
        <v>45725</v>
      </c>
      <c r="I537">
        <v>0.8125</v>
      </c>
      <c r="J537">
        <v>45726</v>
      </c>
      <c r="K537">
        <v>0.35416666666666674</v>
      </c>
      <c r="L537">
        <v>45726</v>
      </c>
      <c r="M537">
        <v>0.37046296296296299</v>
      </c>
      <c r="N537" t="s">
        <v>902</v>
      </c>
      <c r="O537"/>
      <c r="P537"/>
      <c r="Q537" t="s">
        <v>475</v>
      </c>
      <c r="R537" t="s">
        <v>134</v>
      </c>
      <c r="S537" t="s">
        <v>899</v>
      </c>
      <c r="T537" t="s">
        <v>982</v>
      </c>
      <c r="U537"/>
      <c r="V537"/>
      <c r="W537" t="s">
        <v>477</v>
      </c>
      <c r="X537" t="s">
        <v>478</v>
      </c>
      <c r="Y537" t="s">
        <v>479</v>
      </c>
      <c r="Z537" t="s">
        <v>65</v>
      </c>
      <c r="AA537"/>
      <c r="AB537"/>
      <c r="AC537"/>
      <c r="AD537"/>
      <c r="AE537" t="s">
        <v>897</v>
      </c>
      <c r="AF537" t="s">
        <v>67</v>
      </c>
      <c r="AG537" t="s">
        <v>480</v>
      </c>
      <c r="AH537" t="s">
        <v>351</v>
      </c>
      <c r="AI537" t="s">
        <v>122</v>
      </c>
      <c r="AJ537" t="s">
        <v>71</v>
      </c>
      <c r="AK537" t="s">
        <v>72</v>
      </c>
    </row>
    <row r="538" spans="1:37" x14ac:dyDescent="0.3">
      <c r="A538" t="s">
        <v>886</v>
      </c>
      <c r="B538" t="s">
        <v>870</v>
      </c>
      <c r="C538" s="2">
        <v>45764.926233356484</v>
      </c>
      <c r="D538" s="2">
        <v>45756.74150462963</v>
      </c>
      <c r="E538" s="2">
        <v>45760.800268981482</v>
      </c>
      <c r="F538" t="s">
        <v>871</v>
      </c>
      <c r="G538" t="s">
        <v>529</v>
      </c>
      <c r="H538">
        <v>45726</v>
      </c>
      <c r="I538">
        <v>4.6527777777777779E-2</v>
      </c>
      <c r="J538">
        <v>45726</v>
      </c>
      <c r="K538">
        <v>0.16180555555555554</v>
      </c>
      <c r="L538">
        <v>45727</v>
      </c>
      <c r="M538">
        <v>0.44234953703703694</v>
      </c>
      <c r="N538" t="s">
        <v>915</v>
      </c>
      <c r="O538"/>
      <c r="P538"/>
      <c r="Q538" t="s">
        <v>532</v>
      </c>
      <c r="R538" t="s">
        <v>283</v>
      </c>
      <c r="S538" t="s">
        <v>907</v>
      </c>
      <c r="T538" t="s">
        <v>983</v>
      </c>
      <c r="U538"/>
      <c r="V538"/>
      <c r="W538"/>
      <c r="X538"/>
      <c r="Y538"/>
      <c r="Z538"/>
      <c r="AA538"/>
      <c r="AB538"/>
      <c r="AC538"/>
      <c r="AD538"/>
      <c r="AE538" t="s">
        <v>984</v>
      </c>
      <c r="AF538" t="s">
        <v>67</v>
      </c>
      <c r="AG538" t="s">
        <v>219</v>
      </c>
      <c r="AH538" t="s">
        <v>159</v>
      </c>
      <c r="AI538" t="s">
        <v>106</v>
      </c>
      <c r="AJ538" t="s">
        <v>71</v>
      </c>
      <c r="AK538" t="s">
        <v>137</v>
      </c>
    </row>
    <row r="539" spans="1:37" x14ac:dyDescent="0.3">
      <c r="A539" t="s">
        <v>886</v>
      </c>
      <c r="B539" t="s">
        <v>870</v>
      </c>
      <c r="C539" s="2">
        <v>45764.926233356484</v>
      </c>
      <c r="D539" s="2">
        <v>45756.74150462963</v>
      </c>
      <c r="E539" s="2">
        <v>45760.800268981482</v>
      </c>
      <c r="F539" t="s">
        <v>871</v>
      </c>
      <c r="G539" t="s">
        <v>516</v>
      </c>
      <c r="H539">
        <v>45727</v>
      </c>
      <c r="I539">
        <v>0.60416666666666663</v>
      </c>
      <c r="J539"/>
      <c r="K539"/>
      <c r="L539">
        <v>45727</v>
      </c>
      <c r="M539">
        <v>0.6903935185185186</v>
      </c>
      <c r="N539" t="s">
        <v>902</v>
      </c>
      <c r="O539"/>
      <c r="P539"/>
      <c r="Q539" t="s">
        <v>519</v>
      </c>
      <c r="R539" t="s">
        <v>84</v>
      </c>
      <c r="S539" t="s">
        <v>907</v>
      </c>
      <c r="T539" t="s">
        <v>985</v>
      </c>
      <c r="U539"/>
      <c r="V539"/>
      <c r="W539" t="s">
        <v>521</v>
      </c>
      <c r="X539" t="s">
        <v>986</v>
      </c>
      <c r="Y539" t="s">
        <v>523</v>
      </c>
      <c r="Z539" t="s">
        <v>65</v>
      </c>
      <c r="AA539"/>
      <c r="AB539"/>
      <c r="AC539"/>
      <c r="AD539"/>
      <c r="AE539" t="s">
        <v>927</v>
      </c>
      <c r="AF539" t="s">
        <v>67</v>
      </c>
      <c r="AG539" t="s">
        <v>158</v>
      </c>
      <c r="AH539" t="s">
        <v>159</v>
      </c>
      <c r="AI539" t="s">
        <v>524</v>
      </c>
      <c r="AJ539" t="s">
        <v>71</v>
      </c>
      <c r="AK539" t="s">
        <v>72</v>
      </c>
    </row>
    <row r="540" spans="1:37" x14ac:dyDescent="0.3">
      <c r="A540" t="s">
        <v>886</v>
      </c>
      <c r="B540" t="s">
        <v>870</v>
      </c>
      <c r="C540" s="2">
        <v>45764.926233356484</v>
      </c>
      <c r="D540" s="2">
        <v>45756.74150462963</v>
      </c>
      <c r="E540" s="2">
        <v>45760.800268981482</v>
      </c>
      <c r="F540" t="s">
        <v>871</v>
      </c>
      <c r="G540" t="s">
        <v>537</v>
      </c>
      <c r="H540"/>
      <c r="I540"/>
      <c r="J540">
        <v>45734</v>
      </c>
      <c r="K540">
        <v>0.22916666666666674</v>
      </c>
      <c r="L540">
        <v>45734</v>
      </c>
      <c r="M540">
        <v>0.27405092592592584</v>
      </c>
      <c r="N540" t="s">
        <v>440</v>
      </c>
      <c r="O540" t="s">
        <v>915</v>
      </c>
      <c r="P540"/>
      <c r="Q540" t="s">
        <v>540</v>
      </c>
      <c r="R540" t="s">
        <v>363</v>
      </c>
      <c r="S540" t="s">
        <v>893</v>
      </c>
      <c r="T540" t="s">
        <v>987</v>
      </c>
      <c r="U540"/>
      <c r="V540"/>
      <c r="W540" t="s">
        <v>988</v>
      </c>
      <c r="X540" t="s">
        <v>543</v>
      </c>
      <c r="Y540" t="s">
        <v>544</v>
      </c>
      <c r="Z540" t="s">
        <v>65</v>
      </c>
      <c r="AA540"/>
      <c r="AB540"/>
      <c r="AC540"/>
      <c r="AD540"/>
      <c r="AE540"/>
      <c r="AF540" t="s">
        <v>67</v>
      </c>
      <c r="AG540" t="s">
        <v>545</v>
      </c>
      <c r="AH540" t="s">
        <v>546</v>
      </c>
      <c r="AI540"/>
      <c r="AJ540"/>
      <c r="AK540"/>
    </row>
    <row r="541" spans="1:37" x14ac:dyDescent="0.3">
      <c r="A541" t="s">
        <v>886</v>
      </c>
      <c r="B541" t="s">
        <v>870</v>
      </c>
      <c r="C541" s="2">
        <v>45764.926233356484</v>
      </c>
      <c r="D541" s="2">
        <v>45756.74150462963</v>
      </c>
      <c r="E541" s="2">
        <v>45760.800268981482</v>
      </c>
      <c r="F541" t="s">
        <v>871</v>
      </c>
      <c r="G541" t="s">
        <v>549</v>
      </c>
      <c r="H541">
        <v>45737</v>
      </c>
      <c r="I541">
        <v>0.32500000000000001</v>
      </c>
      <c r="J541"/>
      <c r="K541"/>
      <c r="L541">
        <v>45737</v>
      </c>
      <c r="M541">
        <v>0.5971412037037036</v>
      </c>
      <c r="N541" t="s">
        <v>892</v>
      </c>
      <c r="O541"/>
      <c r="P541"/>
      <c r="Q541" t="s">
        <v>552</v>
      </c>
      <c r="R541" t="s">
        <v>261</v>
      </c>
      <c r="S541" t="s">
        <v>936</v>
      </c>
      <c r="T541" t="s">
        <v>989</v>
      </c>
      <c r="U541"/>
      <c r="V541"/>
      <c r="W541" t="s">
        <v>554</v>
      </c>
      <c r="X541" t="s">
        <v>990</v>
      </c>
      <c r="Y541"/>
      <c r="Z541" t="s">
        <v>65</v>
      </c>
      <c r="AA541"/>
      <c r="AB541"/>
      <c r="AC541"/>
      <c r="AD541"/>
      <c r="AE541" t="s">
        <v>981</v>
      </c>
      <c r="AF541" t="s">
        <v>67</v>
      </c>
      <c r="AG541" t="s">
        <v>147</v>
      </c>
      <c r="AH541" t="s">
        <v>90</v>
      </c>
      <c r="AI541" t="s">
        <v>171</v>
      </c>
      <c r="AJ541" t="s">
        <v>266</v>
      </c>
      <c r="AK541" t="s">
        <v>221</v>
      </c>
    </row>
    <row r="542" spans="1:37" x14ac:dyDescent="0.3">
      <c r="A542" t="s">
        <v>886</v>
      </c>
      <c r="B542" t="s">
        <v>870</v>
      </c>
      <c r="C542" s="2">
        <v>45764.926233356484</v>
      </c>
      <c r="D542" s="2">
        <v>45756.74150462963</v>
      </c>
      <c r="E542" s="2">
        <v>45760.800268981482</v>
      </c>
      <c r="F542" t="s">
        <v>871</v>
      </c>
      <c r="G542" t="s">
        <v>559</v>
      </c>
      <c r="H542">
        <v>45739</v>
      </c>
      <c r="I542">
        <v>0.1736111111111111</v>
      </c>
      <c r="J542">
        <v>45739</v>
      </c>
      <c r="K542">
        <v>0.18055555555555558</v>
      </c>
      <c r="L542">
        <v>45739</v>
      </c>
      <c r="M542">
        <v>0.20511574074074068</v>
      </c>
      <c r="N542" t="s">
        <v>902</v>
      </c>
      <c r="O542" t="s">
        <v>991</v>
      </c>
      <c r="P542"/>
      <c r="Q542" t="s">
        <v>564</v>
      </c>
      <c r="R542" t="s">
        <v>250</v>
      </c>
      <c r="S542" t="s">
        <v>922</v>
      </c>
      <c r="T542" t="s">
        <v>992</v>
      </c>
      <c r="U542"/>
      <c r="V542"/>
      <c r="W542" t="s">
        <v>993</v>
      </c>
      <c r="X542" t="s">
        <v>944</v>
      </c>
      <c r="Y542" t="s">
        <v>567</v>
      </c>
      <c r="Z542" t="s">
        <v>65</v>
      </c>
      <c r="AA542"/>
      <c r="AB542"/>
      <c r="AC542"/>
      <c r="AD542"/>
      <c r="AE542" t="s">
        <v>994</v>
      </c>
      <c r="AF542" t="s">
        <v>67</v>
      </c>
      <c r="AG542" t="s">
        <v>105</v>
      </c>
      <c r="AH542" t="s">
        <v>69</v>
      </c>
      <c r="AI542" t="s">
        <v>122</v>
      </c>
      <c r="AJ542" t="s">
        <v>71</v>
      </c>
      <c r="AK542" t="s">
        <v>72</v>
      </c>
    </row>
    <row r="543" spans="1:37" x14ac:dyDescent="0.3">
      <c r="A543" t="s">
        <v>886</v>
      </c>
      <c r="B543" t="s">
        <v>870</v>
      </c>
      <c r="C543" s="2">
        <v>45764.926233356484</v>
      </c>
      <c r="D543" s="2">
        <v>45756.74150462963</v>
      </c>
      <c r="E543" s="2">
        <v>45760.800268981482</v>
      </c>
      <c r="F543" t="s">
        <v>871</v>
      </c>
      <c r="G543" t="s">
        <v>678</v>
      </c>
      <c r="H543">
        <v>45741</v>
      </c>
      <c r="I543">
        <v>0.48402777777777778</v>
      </c>
      <c r="J543"/>
      <c r="K543"/>
      <c r="L543">
        <v>45741</v>
      </c>
      <c r="M543">
        <v>0.50343749999999998</v>
      </c>
      <c r="N543" t="s">
        <v>906</v>
      </c>
      <c r="O543" t="s">
        <v>930</v>
      </c>
      <c r="P543" t="s">
        <v>687</v>
      </c>
      <c r="Q543" t="s">
        <v>362</v>
      </c>
      <c r="R543" t="s">
        <v>363</v>
      </c>
      <c r="S543" t="s">
        <v>893</v>
      </c>
      <c r="T543" t="s">
        <v>995</v>
      </c>
      <c r="U543"/>
      <c r="V543"/>
      <c r="W543" t="s">
        <v>689</v>
      </c>
      <c r="X543" t="s">
        <v>986</v>
      </c>
      <c r="Y543" t="s">
        <v>690</v>
      </c>
      <c r="Z543" t="s">
        <v>65</v>
      </c>
      <c r="AA543"/>
      <c r="AB543"/>
      <c r="AC543"/>
      <c r="AD543"/>
      <c r="AE543" t="s">
        <v>996</v>
      </c>
      <c r="AF543" t="s">
        <v>67</v>
      </c>
      <c r="AG543" t="s">
        <v>647</v>
      </c>
      <c r="AH543" t="s">
        <v>351</v>
      </c>
      <c r="AI543" t="s">
        <v>160</v>
      </c>
      <c r="AJ543" t="s">
        <v>123</v>
      </c>
      <c r="AK543" t="s">
        <v>353</v>
      </c>
    </row>
    <row r="544" spans="1:37" x14ac:dyDescent="0.3">
      <c r="A544" t="s">
        <v>886</v>
      </c>
      <c r="B544" t="s">
        <v>870</v>
      </c>
      <c r="C544" s="2">
        <v>45764.926233356484</v>
      </c>
      <c r="D544" s="2">
        <v>45756.74150462963</v>
      </c>
      <c r="E544" s="2">
        <v>45760.800268981482</v>
      </c>
      <c r="F544" t="s">
        <v>871</v>
      </c>
      <c r="G544" t="s">
        <v>573</v>
      </c>
      <c r="H544">
        <v>45743</v>
      </c>
      <c r="I544">
        <v>0.94666666666666666</v>
      </c>
      <c r="J544"/>
      <c r="K544"/>
      <c r="L544">
        <v>45743</v>
      </c>
      <c r="M544">
        <v>0.94666666666666677</v>
      </c>
      <c r="N544" t="s">
        <v>950</v>
      </c>
      <c r="O544" t="s">
        <v>997</v>
      </c>
      <c r="P544" t="s">
        <v>909</v>
      </c>
      <c r="Q544" t="s">
        <v>577</v>
      </c>
      <c r="R544" t="s">
        <v>261</v>
      </c>
      <c r="S544" t="s">
        <v>936</v>
      </c>
      <c r="T544" t="s">
        <v>998</v>
      </c>
      <c r="U544"/>
      <c r="V544"/>
      <c r="W544"/>
      <c r="X544"/>
      <c r="Y544"/>
      <c r="Z544"/>
      <c r="AA544"/>
      <c r="AB544"/>
      <c r="AC544"/>
      <c r="AD544"/>
      <c r="AE544" t="s">
        <v>927</v>
      </c>
      <c r="AF544" t="s">
        <v>67</v>
      </c>
      <c r="AG544" t="s">
        <v>579</v>
      </c>
      <c r="AH544" t="s">
        <v>121</v>
      </c>
      <c r="AI544" t="s">
        <v>378</v>
      </c>
      <c r="AJ544" t="s">
        <v>435</v>
      </c>
      <c r="AK544" t="s">
        <v>137</v>
      </c>
    </row>
    <row r="545" spans="1:37" x14ac:dyDescent="0.3">
      <c r="A545" t="s">
        <v>886</v>
      </c>
      <c r="B545" t="s">
        <v>870</v>
      </c>
      <c r="C545" s="2">
        <v>45764.926233356484</v>
      </c>
      <c r="D545" s="2">
        <v>45756.74150462963</v>
      </c>
      <c r="E545" s="2">
        <v>45760.800268981482</v>
      </c>
      <c r="F545" t="s">
        <v>871</v>
      </c>
      <c r="G545" t="s">
        <v>582</v>
      </c>
      <c r="H545">
        <v>45743</v>
      </c>
      <c r="I545">
        <v>0.97916666666666663</v>
      </c>
      <c r="J545">
        <v>45744</v>
      </c>
      <c r="K545">
        <v>2.4999999999999911E-2</v>
      </c>
      <c r="L545">
        <v>45744</v>
      </c>
      <c r="M545">
        <v>0.46781249999999996</v>
      </c>
      <c r="N545" t="s">
        <v>915</v>
      </c>
      <c r="O545"/>
      <c r="P545"/>
      <c r="Q545" t="s">
        <v>584</v>
      </c>
      <c r="R545" t="s">
        <v>283</v>
      </c>
      <c r="S545" t="s">
        <v>907</v>
      </c>
      <c r="T545" t="s">
        <v>999</v>
      </c>
      <c r="U545">
        <v>50300</v>
      </c>
      <c r="V545"/>
      <c r="W545"/>
      <c r="X545"/>
      <c r="Y545"/>
      <c r="Z545"/>
      <c r="AA545"/>
      <c r="AB545"/>
      <c r="AC545"/>
      <c r="AD545"/>
      <c r="AE545" t="s">
        <v>1000</v>
      </c>
      <c r="AF545" t="s">
        <v>67</v>
      </c>
      <c r="AG545" t="s">
        <v>480</v>
      </c>
      <c r="AH545" t="s">
        <v>351</v>
      </c>
      <c r="AI545" t="s">
        <v>586</v>
      </c>
      <c r="AJ545" t="s">
        <v>123</v>
      </c>
      <c r="AK545" t="s">
        <v>137</v>
      </c>
    </row>
    <row r="546" spans="1:37" x14ac:dyDescent="0.3">
      <c r="A546" t="s">
        <v>886</v>
      </c>
      <c r="B546" t="s">
        <v>870</v>
      </c>
      <c r="C546" s="2">
        <v>45764.926233356484</v>
      </c>
      <c r="D546" s="2">
        <v>45756.74150462963</v>
      </c>
      <c r="E546" s="2">
        <v>45760.800268981482</v>
      </c>
      <c r="F546" t="s">
        <v>871</v>
      </c>
      <c r="G546" t="s">
        <v>694</v>
      </c>
      <c r="H546">
        <v>45745</v>
      </c>
      <c r="I546">
        <v>0.20515046296296297</v>
      </c>
      <c r="J546"/>
      <c r="K546"/>
      <c r="L546">
        <v>45745</v>
      </c>
      <c r="M546">
        <v>0.20931712962962967</v>
      </c>
      <c r="N546" t="s">
        <v>176</v>
      </c>
      <c r="O546" t="s">
        <v>1001</v>
      </c>
      <c r="P546"/>
      <c r="Q546" t="s">
        <v>699</v>
      </c>
      <c r="R546" t="s">
        <v>273</v>
      </c>
      <c r="S546" t="s">
        <v>936</v>
      </c>
      <c r="T546" t="s">
        <v>1002</v>
      </c>
      <c r="U546"/>
      <c r="V546"/>
      <c r="W546" t="s">
        <v>701</v>
      </c>
      <c r="X546" t="s">
        <v>1003</v>
      </c>
      <c r="Y546" t="s">
        <v>635</v>
      </c>
      <c r="Z546" t="s">
        <v>65</v>
      </c>
      <c r="AA546"/>
      <c r="AB546"/>
      <c r="AC546"/>
      <c r="AD546"/>
      <c r="AE546" t="s">
        <v>994</v>
      </c>
      <c r="AF546" t="s">
        <v>67</v>
      </c>
      <c r="AG546" t="s">
        <v>579</v>
      </c>
      <c r="AH546" t="s">
        <v>121</v>
      </c>
      <c r="AI546" t="s">
        <v>524</v>
      </c>
      <c r="AJ546" t="s">
        <v>123</v>
      </c>
      <c r="AK546"/>
    </row>
    <row r="547" spans="1:37" x14ac:dyDescent="0.3">
      <c r="A547" t="s">
        <v>886</v>
      </c>
      <c r="B547" t="s">
        <v>870</v>
      </c>
      <c r="C547" s="2">
        <v>45764.926233356484</v>
      </c>
      <c r="D547" s="2">
        <v>45756.74150462963</v>
      </c>
      <c r="E547" s="2">
        <v>45760.800268981482</v>
      </c>
      <c r="F547" t="s">
        <v>871</v>
      </c>
      <c r="G547" t="s">
        <v>628</v>
      </c>
      <c r="H547">
        <v>45744</v>
      </c>
      <c r="I547">
        <v>0.85416666666666663</v>
      </c>
      <c r="J547">
        <v>45745</v>
      </c>
      <c r="K547">
        <v>0.41666666666666674</v>
      </c>
      <c r="L547">
        <v>45745</v>
      </c>
      <c r="M547">
        <v>0.42986111111111103</v>
      </c>
      <c r="N547" t="s">
        <v>892</v>
      </c>
      <c r="O547"/>
      <c r="P547"/>
      <c r="Q547" t="s">
        <v>631</v>
      </c>
      <c r="R547" t="s">
        <v>426</v>
      </c>
      <c r="S547" t="s">
        <v>907</v>
      </c>
      <c r="T547" t="s">
        <v>1004</v>
      </c>
      <c r="U547"/>
      <c r="V547"/>
      <c r="W547" t="s">
        <v>633</v>
      </c>
      <c r="X547" t="s">
        <v>1003</v>
      </c>
      <c r="Y547" t="s">
        <v>635</v>
      </c>
      <c r="Z547" t="s">
        <v>65</v>
      </c>
      <c r="AA547"/>
      <c r="AB547"/>
      <c r="AC547"/>
      <c r="AD547"/>
      <c r="AE547" t="s">
        <v>994</v>
      </c>
      <c r="AF547" t="s">
        <v>67</v>
      </c>
      <c r="AG547" t="s">
        <v>636</v>
      </c>
      <c r="AH547" t="s">
        <v>637</v>
      </c>
      <c r="AI547" t="s">
        <v>160</v>
      </c>
      <c r="AJ547" t="s">
        <v>123</v>
      </c>
      <c r="AK547" t="s">
        <v>221</v>
      </c>
    </row>
    <row r="548" spans="1:37" x14ac:dyDescent="0.3">
      <c r="A548" t="s">
        <v>886</v>
      </c>
      <c r="B548" t="s">
        <v>870</v>
      </c>
      <c r="C548" s="2">
        <v>45764.926233356484</v>
      </c>
      <c r="D548" s="2">
        <v>45756.74150462963</v>
      </c>
      <c r="E548" s="2">
        <v>45760.800268981482</v>
      </c>
      <c r="F548" t="s">
        <v>871</v>
      </c>
      <c r="G548" t="s">
        <v>589</v>
      </c>
      <c r="H548">
        <v>45747</v>
      </c>
      <c r="I548">
        <v>0.5</v>
      </c>
      <c r="J548"/>
      <c r="K548"/>
      <c r="L548">
        <v>45747</v>
      </c>
      <c r="M548">
        <v>0.54355324074074085</v>
      </c>
      <c r="N548" t="s">
        <v>915</v>
      </c>
      <c r="O548"/>
      <c r="P548"/>
      <c r="Q548" t="s">
        <v>591</v>
      </c>
      <c r="R548" t="s">
        <v>592</v>
      </c>
      <c r="S548" t="s">
        <v>899</v>
      </c>
      <c r="T548" t="s">
        <v>1005</v>
      </c>
      <c r="U548"/>
      <c r="V548"/>
      <c r="W548"/>
      <c r="X548"/>
      <c r="Y548"/>
      <c r="Z548"/>
      <c r="AA548"/>
      <c r="AB548"/>
      <c r="AC548"/>
      <c r="AD548"/>
      <c r="AE548" t="s">
        <v>994</v>
      </c>
      <c r="AF548" t="s">
        <v>67</v>
      </c>
      <c r="AG548" t="s">
        <v>594</v>
      </c>
      <c r="AH548" t="s">
        <v>90</v>
      </c>
      <c r="AI548" t="s">
        <v>180</v>
      </c>
      <c r="AJ548" t="s">
        <v>92</v>
      </c>
      <c r="AK548" t="s">
        <v>137</v>
      </c>
    </row>
    <row r="549" spans="1:37" x14ac:dyDescent="0.3">
      <c r="A549" t="s">
        <v>886</v>
      </c>
      <c r="B549" t="s">
        <v>870</v>
      </c>
      <c r="C549" s="2">
        <v>45764.926233356484</v>
      </c>
      <c r="D549" s="2">
        <v>45756.74150462963</v>
      </c>
      <c r="E549" s="2">
        <v>45760.800268981482</v>
      </c>
      <c r="F549" t="s">
        <v>871</v>
      </c>
      <c r="G549" t="s">
        <v>705</v>
      </c>
      <c r="H549">
        <v>45747</v>
      </c>
      <c r="I549">
        <v>0.77777777777777779</v>
      </c>
      <c r="J549">
        <v>45747</v>
      </c>
      <c r="K549">
        <v>0.91666666666666674</v>
      </c>
      <c r="L549">
        <v>45747</v>
      </c>
      <c r="M549">
        <v>0.93032407407407414</v>
      </c>
      <c r="N549" t="s">
        <v>902</v>
      </c>
      <c r="O549" t="s">
        <v>930</v>
      </c>
      <c r="P549" t="s">
        <v>1006</v>
      </c>
      <c r="Q549" t="s">
        <v>709</v>
      </c>
      <c r="R549" t="s">
        <v>134</v>
      </c>
      <c r="S549" t="s">
        <v>899</v>
      </c>
      <c r="T549" t="s">
        <v>1007</v>
      </c>
      <c r="U549"/>
      <c r="V549"/>
      <c r="W549" t="s">
        <v>711</v>
      </c>
      <c r="X549" t="s">
        <v>1008</v>
      </c>
      <c r="Y549" t="s">
        <v>713</v>
      </c>
      <c r="Z549" t="s">
        <v>65</v>
      </c>
      <c r="AA549"/>
      <c r="AB549"/>
      <c r="AC549"/>
      <c r="AD549"/>
      <c r="AE549" t="s">
        <v>981</v>
      </c>
      <c r="AF549" t="s">
        <v>67</v>
      </c>
      <c r="AG549" t="s">
        <v>714</v>
      </c>
      <c r="AH549" t="s">
        <v>90</v>
      </c>
      <c r="AI549" t="s">
        <v>160</v>
      </c>
      <c r="AJ549" t="s">
        <v>123</v>
      </c>
      <c r="AK549" t="s">
        <v>613</v>
      </c>
    </row>
    <row r="550" spans="1:37" x14ac:dyDescent="0.3">
      <c r="A550" t="s">
        <v>886</v>
      </c>
      <c r="B550" t="s">
        <v>870</v>
      </c>
      <c r="C550" s="2">
        <v>45764.926233356484</v>
      </c>
      <c r="D550" s="2">
        <v>45756.74150462963</v>
      </c>
      <c r="E550" s="2">
        <v>45760.800268981482</v>
      </c>
      <c r="F550" t="s">
        <v>871</v>
      </c>
      <c r="G550" t="s">
        <v>605</v>
      </c>
      <c r="H550">
        <v>45747</v>
      </c>
      <c r="I550">
        <v>0.75</v>
      </c>
      <c r="J550"/>
      <c r="K550"/>
      <c r="L550">
        <v>45748</v>
      </c>
      <c r="M550">
        <v>3.6863425925925952E-2</v>
      </c>
      <c r="N550" t="s">
        <v>902</v>
      </c>
      <c r="O550"/>
      <c r="P550"/>
      <c r="Q550" t="s">
        <v>607</v>
      </c>
      <c r="R550" t="s">
        <v>215</v>
      </c>
      <c r="S550"/>
      <c r="T550" t="s">
        <v>1009</v>
      </c>
      <c r="U550">
        <v>2</v>
      </c>
      <c r="V550">
        <v>0</v>
      </c>
      <c r="W550" t="s">
        <v>1010</v>
      </c>
      <c r="X550" t="s">
        <v>924</v>
      </c>
      <c r="Y550" t="s">
        <v>1011</v>
      </c>
      <c r="Z550" t="s">
        <v>935</v>
      </c>
      <c r="AA550"/>
      <c r="AB550"/>
      <c r="AC550"/>
      <c r="AD550"/>
      <c r="AE550" t="s">
        <v>981</v>
      </c>
      <c r="AF550" t="s">
        <v>67</v>
      </c>
      <c r="AG550" t="s">
        <v>611</v>
      </c>
      <c r="AH550" t="s">
        <v>612</v>
      </c>
      <c r="AI550" t="s">
        <v>160</v>
      </c>
      <c r="AJ550" t="s">
        <v>195</v>
      </c>
      <c r="AK550" t="s">
        <v>613</v>
      </c>
    </row>
    <row r="551" spans="1:37" x14ac:dyDescent="0.3">
      <c r="A551" t="s">
        <v>886</v>
      </c>
      <c r="B551" t="s">
        <v>870</v>
      </c>
      <c r="C551" s="2">
        <v>45764.926233356484</v>
      </c>
      <c r="D551" s="2">
        <v>45756.74150462963</v>
      </c>
      <c r="E551" s="2">
        <v>45760.800268981482</v>
      </c>
      <c r="F551" t="s">
        <v>871</v>
      </c>
      <c r="G551" t="s">
        <v>615</v>
      </c>
      <c r="H551">
        <v>45747</v>
      </c>
      <c r="I551">
        <v>0.83333333333333337</v>
      </c>
      <c r="J551"/>
      <c r="K551"/>
      <c r="L551">
        <v>45747</v>
      </c>
      <c r="M551">
        <v>0.99899305555555551</v>
      </c>
      <c r="N551" t="s">
        <v>902</v>
      </c>
      <c r="O551"/>
      <c r="P551"/>
      <c r="Q551" t="s">
        <v>607</v>
      </c>
      <c r="R551" t="s">
        <v>215</v>
      </c>
      <c r="S551" t="s">
        <v>893</v>
      </c>
      <c r="T551" t="s">
        <v>1012</v>
      </c>
      <c r="U551">
        <v>5</v>
      </c>
      <c r="V551">
        <v>0</v>
      </c>
      <c r="W551" t="s">
        <v>1013</v>
      </c>
      <c r="X551" t="s">
        <v>924</v>
      </c>
      <c r="Y551" t="s">
        <v>618</v>
      </c>
      <c r="Z551" t="s">
        <v>65</v>
      </c>
      <c r="AA551"/>
      <c r="AB551"/>
      <c r="AC551"/>
      <c r="AD551"/>
      <c r="AE551" t="s">
        <v>981</v>
      </c>
      <c r="AF551" t="s">
        <v>67</v>
      </c>
      <c r="AG551" t="s">
        <v>611</v>
      </c>
      <c r="AH551" t="s">
        <v>612</v>
      </c>
      <c r="AI551" t="s">
        <v>160</v>
      </c>
      <c r="AJ551" t="s">
        <v>195</v>
      </c>
      <c r="AK551" t="s">
        <v>613</v>
      </c>
    </row>
    <row r="552" spans="1:37" x14ac:dyDescent="0.3">
      <c r="A552" t="s">
        <v>886</v>
      </c>
      <c r="B552" t="s">
        <v>870</v>
      </c>
      <c r="C552" s="2">
        <v>45764.926233356484</v>
      </c>
      <c r="D552" s="2">
        <v>45756.74150462963</v>
      </c>
      <c r="E552" s="2">
        <v>45760.800268981482</v>
      </c>
      <c r="F552" t="s">
        <v>871</v>
      </c>
      <c r="G552" t="s">
        <v>620</v>
      </c>
      <c r="H552">
        <v>45748</v>
      </c>
      <c r="I552">
        <v>0.85324074074074074</v>
      </c>
      <c r="J552"/>
      <c r="K552"/>
      <c r="L552">
        <v>45748</v>
      </c>
      <c r="M552">
        <v>0.85324074074074074</v>
      </c>
      <c r="N552" t="s">
        <v>902</v>
      </c>
      <c r="O552"/>
      <c r="P552"/>
      <c r="Q552" t="s">
        <v>622</v>
      </c>
      <c r="R552" t="s">
        <v>327</v>
      </c>
      <c r="S552" t="s">
        <v>899</v>
      </c>
      <c r="T552" t="s">
        <v>1014</v>
      </c>
      <c r="U552"/>
      <c r="V552"/>
      <c r="W552" t="s">
        <v>624</v>
      </c>
      <c r="X552" t="s">
        <v>1015</v>
      </c>
      <c r="Y552" t="s">
        <v>626</v>
      </c>
      <c r="Z552" t="s">
        <v>65</v>
      </c>
      <c r="AA552"/>
      <c r="AB552"/>
      <c r="AC552"/>
      <c r="AD552"/>
      <c r="AE552" t="s">
        <v>904</v>
      </c>
      <c r="AF552" t="s">
        <v>67</v>
      </c>
      <c r="AG552" t="s">
        <v>330</v>
      </c>
      <c r="AH552" t="s">
        <v>69</v>
      </c>
      <c r="AI552" t="s">
        <v>160</v>
      </c>
      <c r="AJ552" t="s">
        <v>71</v>
      </c>
      <c r="AK552" t="s">
        <v>72</v>
      </c>
    </row>
    <row r="553" spans="1:37" x14ac:dyDescent="0.3">
      <c r="A553" t="s">
        <v>886</v>
      </c>
      <c r="B553" t="s">
        <v>870</v>
      </c>
      <c r="C553" s="2">
        <v>45764.926233356484</v>
      </c>
      <c r="D553" s="2">
        <v>45756.74150462963</v>
      </c>
      <c r="E553" s="2">
        <v>45760.800268981482</v>
      </c>
      <c r="F553" t="s">
        <v>871</v>
      </c>
      <c r="G553" t="s">
        <v>640</v>
      </c>
      <c r="H553">
        <v>45749</v>
      </c>
      <c r="I553">
        <v>0.89930555555555558</v>
      </c>
      <c r="J553"/>
      <c r="K553"/>
      <c r="L553">
        <v>45749</v>
      </c>
      <c r="M553">
        <v>0.90325231481481483</v>
      </c>
      <c r="N553" t="s">
        <v>644</v>
      </c>
      <c r="O553" t="s">
        <v>925</v>
      </c>
      <c r="P553" t="s">
        <v>400</v>
      </c>
      <c r="Q553" t="s">
        <v>645</v>
      </c>
      <c r="R553" t="s">
        <v>101</v>
      </c>
      <c r="S553" t="s">
        <v>907</v>
      </c>
      <c r="T553" t="s">
        <v>1016</v>
      </c>
      <c r="U553"/>
      <c r="V553"/>
      <c r="W553"/>
      <c r="X553"/>
      <c r="Y553"/>
      <c r="Z553"/>
      <c r="AA553"/>
      <c r="AB553"/>
      <c r="AC553"/>
      <c r="AD553"/>
      <c r="AE553" t="s">
        <v>1000</v>
      </c>
      <c r="AF553" t="s">
        <v>67</v>
      </c>
      <c r="AG553" t="s">
        <v>647</v>
      </c>
      <c r="AH553" t="s">
        <v>351</v>
      </c>
      <c r="AI553" t="s">
        <v>352</v>
      </c>
      <c r="AJ553" t="s">
        <v>418</v>
      </c>
      <c r="AK553"/>
    </row>
    <row r="554" spans="1:37" x14ac:dyDescent="0.3">
      <c r="A554" t="s">
        <v>886</v>
      </c>
      <c r="B554" t="s">
        <v>870</v>
      </c>
      <c r="C554" s="2">
        <v>45764.926233356484</v>
      </c>
      <c r="D554" s="2">
        <v>45756.74150462963</v>
      </c>
      <c r="E554" s="2">
        <v>45760.800268981482</v>
      </c>
      <c r="F554" t="s">
        <v>871</v>
      </c>
      <c r="G554" t="s">
        <v>597</v>
      </c>
      <c r="H554">
        <v>45748</v>
      </c>
      <c r="I554">
        <v>0.5</v>
      </c>
      <c r="J554">
        <v>45751</v>
      </c>
      <c r="K554">
        <v>0.52083333333333326</v>
      </c>
      <c r="L554">
        <v>45751</v>
      </c>
      <c r="M554">
        <v>0.54546296296296304</v>
      </c>
      <c r="N554" t="s">
        <v>915</v>
      </c>
      <c r="O554"/>
      <c r="P554"/>
      <c r="Q554" t="s">
        <v>601</v>
      </c>
      <c r="R554" t="s">
        <v>145</v>
      </c>
      <c r="S554" t="s">
        <v>922</v>
      </c>
      <c r="T554" t="s">
        <v>1017</v>
      </c>
      <c r="U554"/>
      <c r="V554"/>
      <c r="W554"/>
      <c r="X554"/>
      <c r="Y554"/>
      <c r="Z554"/>
      <c r="AA554"/>
      <c r="AB554"/>
      <c r="AC554"/>
      <c r="AD554"/>
      <c r="AE554" t="s">
        <v>897</v>
      </c>
      <c r="AF554" t="s">
        <v>67</v>
      </c>
      <c r="AG554" t="s">
        <v>603</v>
      </c>
      <c r="AH554" t="s">
        <v>206</v>
      </c>
      <c r="AI554" t="s">
        <v>524</v>
      </c>
      <c r="AJ554" t="s">
        <v>123</v>
      </c>
      <c r="AK554" t="s">
        <v>137</v>
      </c>
    </row>
    <row r="555" spans="1:37" x14ac:dyDescent="0.3">
      <c r="A555" t="s">
        <v>886</v>
      </c>
      <c r="B555" t="s">
        <v>870</v>
      </c>
      <c r="C555" s="2">
        <v>45764.926233356484</v>
      </c>
      <c r="D555" s="2">
        <v>45756.74150462963</v>
      </c>
      <c r="E555" s="2">
        <v>45760.800268981482</v>
      </c>
      <c r="F555" t="s">
        <v>871</v>
      </c>
      <c r="G555" t="s">
        <v>717</v>
      </c>
      <c r="H555">
        <v>45755</v>
      </c>
      <c r="I555">
        <v>3.2638888888888891E-2</v>
      </c>
      <c r="J555"/>
      <c r="K555"/>
      <c r="L555">
        <v>45755</v>
      </c>
      <c r="M555">
        <v>3.6493055555555598E-2</v>
      </c>
      <c r="N555" t="s">
        <v>902</v>
      </c>
      <c r="O555" t="s">
        <v>361</v>
      </c>
      <c r="P555" t="s">
        <v>721</v>
      </c>
      <c r="Q555" t="s">
        <v>722</v>
      </c>
      <c r="R555" t="s">
        <v>592</v>
      </c>
      <c r="S555" t="s">
        <v>899</v>
      </c>
      <c r="T555" t="s">
        <v>1018</v>
      </c>
      <c r="U555"/>
      <c r="V555"/>
      <c r="W555" t="s">
        <v>1019</v>
      </c>
      <c r="X555" t="s">
        <v>500</v>
      </c>
      <c r="Y555" t="s">
        <v>725</v>
      </c>
      <c r="Z555" t="s">
        <v>65</v>
      </c>
      <c r="AA555"/>
      <c r="AB555"/>
      <c r="AC555"/>
      <c r="AD555"/>
      <c r="AE555" t="s">
        <v>1020</v>
      </c>
      <c r="AF555" t="s">
        <v>67</v>
      </c>
      <c r="AG555" t="s">
        <v>89</v>
      </c>
      <c r="AH555" t="s">
        <v>90</v>
      </c>
      <c r="AI555" t="s">
        <v>106</v>
      </c>
      <c r="AJ555" t="s">
        <v>123</v>
      </c>
      <c r="AK555" t="s">
        <v>72</v>
      </c>
    </row>
    <row r="556" spans="1:37" x14ac:dyDescent="0.3">
      <c r="A556" t="s">
        <v>887</v>
      </c>
      <c r="B556" t="s">
        <v>870</v>
      </c>
      <c r="C556" s="2">
        <v>45764.926233402781</v>
      </c>
      <c r="D556" s="2">
        <v>45758.7969212963</v>
      </c>
      <c r="E556" s="2">
        <v>45760.800276759262</v>
      </c>
      <c r="F556" t="s">
        <v>871</v>
      </c>
      <c r="G556" t="s">
        <v>210</v>
      </c>
      <c r="H556">
        <v>45660</v>
      </c>
      <c r="I556">
        <v>0.89583333333333337</v>
      </c>
      <c r="J556">
        <v>45661</v>
      </c>
      <c r="K556">
        <v>0.26736111111111116</v>
      </c>
      <c r="L556">
        <v>45661</v>
      </c>
      <c r="M556">
        <v>0.4577430555555555</v>
      </c>
      <c r="N556" t="s">
        <v>892</v>
      </c>
      <c r="O556"/>
      <c r="P556"/>
      <c r="Q556" t="s">
        <v>214</v>
      </c>
      <c r="R556" t="s">
        <v>215</v>
      </c>
      <c r="S556" t="s">
        <v>893</v>
      </c>
      <c r="T556" t="s">
        <v>894</v>
      </c>
      <c r="U556"/>
      <c r="V556"/>
      <c r="W556" t="s">
        <v>895</v>
      </c>
      <c r="X556" t="s">
        <v>896</v>
      </c>
      <c r="Y556" t="s">
        <v>218</v>
      </c>
      <c r="Z556" t="s">
        <v>65</v>
      </c>
      <c r="AA556"/>
      <c r="AB556"/>
      <c r="AC556"/>
      <c r="AD556"/>
      <c r="AE556" t="s">
        <v>897</v>
      </c>
      <c r="AF556" t="s">
        <v>67</v>
      </c>
      <c r="AG556" t="s">
        <v>219</v>
      </c>
      <c r="AH556" t="s">
        <v>206</v>
      </c>
      <c r="AI556" t="s">
        <v>220</v>
      </c>
      <c r="AJ556" t="s">
        <v>71</v>
      </c>
      <c r="AK556" t="s">
        <v>221</v>
      </c>
    </row>
    <row r="557" spans="1:37" x14ac:dyDescent="0.3">
      <c r="A557" t="s">
        <v>887</v>
      </c>
      <c r="B557" t="s">
        <v>870</v>
      </c>
      <c r="C557" s="2">
        <v>45764.926233402781</v>
      </c>
      <c r="D557" s="2">
        <v>45758.7969212963</v>
      </c>
      <c r="E557" s="2">
        <v>45760.800276759262</v>
      </c>
      <c r="F557" t="s">
        <v>871</v>
      </c>
      <c r="G557" t="s">
        <v>395</v>
      </c>
      <c r="H557">
        <v>45664</v>
      </c>
      <c r="I557">
        <v>0.58333333333333337</v>
      </c>
      <c r="J557"/>
      <c r="K557"/>
      <c r="L557">
        <v>45667</v>
      </c>
      <c r="M557">
        <v>0.59781250000000008</v>
      </c>
      <c r="N557" t="s">
        <v>898</v>
      </c>
      <c r="O557" t="s">
        <v>400</v>
      </c>
      <c r="P557"/>
      <c r="Q557" t="s">
        <v>401</v>
      </c>
      <c r="R557" t="s">
        <v>134</v>
      </c>
      <c r="S557" t="s">
        <v>899</v>
      </c>
      <c r="T557" t="s">
        <v>900</v>
      </c>
      <c r="U557"/>
      <c r="V557"/>
      <c r="W557"/>
      <c r="X557"/>
      <c r="Y557"/>
      <c r="Z557"/>
      <c r="AA557"/>
      <c r="AB557"/>
      <c r="AC557"/>
      <c r="AD557"/>
      <c r="AE557" t="s">
        <v>901</v>
      </c>
      <c r="AF557" t="s">
        <v>67</v>
      </c>
      <c r="AG557" t="s">
        <v>404</v>
      </c>
      <c r="AH557" t="s">
        <v>405</v>
      </c>
      <c r="AI557" t="s">
        <v>406</v>
      </c>
      <c r="AJ557" t="s">
        <v>71</v>
      </c>
      <c r="AK557" t="s">
        <v>407</v>
      </c>
    </row>
    <row r="558" spans="1:37" x14ac:dyDescent="0.3">
      <c r="A558" t="s">
        <v>887</v>
      </c>
      <c r="B558" t="s">
        <v>870</v>
      </c>
      <c r="C558" s="2">
        <v>45764.926233402781</v>
      </c>
      <c r="D558" s="2">
        <v>45758.7969212963</v>
      </c>
      <c r="E558" s="2">
        <v>45760.800276759262</v>
      </c>
      <c r="F558" t="s">
        <v>871</v>
      </c>
      <c r="G558" t="s">
        <v>53</v>
      </c>
      <c r="H558">
        <v>45663</v>
      </c>
      <c r="I558">
        <v>0.64583333333333337</v>
      </c>
      <c r="J558">
        <v>45667</v>
      </c>
      <c r="K558"/>
      <c r="L558">
        <v>45667</v>
      </c>
      <c r="M558">
        <v>0.82629629629629631</v>
      </c>
      <c r="N558" t="s">
        <v>902</v>
      </c>
      <c r="O558"/>
      <c r="P558"/>
      <c r="Q558" t="s">
        <v>60</v>
      </c>
      <c r="R558"/>
      <c r="S558" t="s">
        <v>899</v>
      </c>
      <c r="T558" t="s">
        <v>903</v>
      </c>
      <c r="U558"/>
      <c r="V558"/>
      <c r="W558" t="s">
        <v>62</v>
      </c>
      <c r="X558" t="s">
        <v>896</v>
      </c>
      <c r="Y558" t="s">
        <v>64</v>
      </c>
      <c r="Z558" t="s">
        <v>65</v>
      </c>
      <c r="AA558"/>
      <c r="AB558"/>
      <c r="AC558"/>
      <c r="AD558"/>
      <c r="AE558" t="s">
        <v>904</v>
      </c>
      <c r="AF558" t="s">
        <v>67</v>
      </c>
      <c r="AG558" t="s">
        <v>68</v>
      </c>
      <c r="AH558" t="s">
        <v>69</v>
      </c>
      <c r="AI558" t="s">
        <v>70</v>
      </c>
      <c r="AJ558" t="s">
        <v>123</v>
      </c>
      <c r="AK558" t="s">
        <v>72</v>
      </c>
    </row>
    <row r="559" spans="1:37" x14ac:dyDescent="0.3">
      <c r="A559" t="s">
        <v>887</v>
      </c>
      <c r="B559" t="s">
        <v>870</v>
      </c>
      <c r="C559" s="2">
        <v>45764.926233402781</v>
      </c>
      <c r="D559" s="2">
        <v>45758.7969212963</v>
      </c>
      <c r="E559" s="2">
        <v>45760.800276759262</v>
      </c>
      <c r="F559" t="s">
        <v>871</v>
      </c>
      <c r="G559" t="s">
        <v>341</v>
      </c>
      <c r="H559">
        <v>45670</v>
      </c>
      <c r="I559">
        <v>0.50347222222222221</v>
      </c>
      <c r="J559"/>
      <c r="K559"/>
      <c r="L559">
        <v>45670</v>
      </c>
      <c r="M559">
        <v>0.50537037037037047</v>
      </c>
      <c r="N559" t="s">
        <v>344</v>
      </c>
      <c r="O559" t="s">
        <v>905</v>
      </c>
      <c r="P559" t="s">
        <v>906</v>
      </c>
      <c r="Q559" t="s">
        <v>348</v>
      </c>
      <c r="R559" t="s">
        <v>84</v>
      </c>
      <c r="S559" t="s">
        <v>907</v>
      </c>
      <c r="T559" t="s">
        <v>908</v>
      </c>
      <c r="U559"/>
      <c r="V559"/>
      <c r="W559"/>
      <c r="X559"/>
      <c r="Y559"/>
      <c r="Z559"/>
      <c r="AA559"/>
      <c r="AB559"/>
      <c r="AC559"/>
      <c r="AD559"/>
      <c r="AE559" t="s">
        <v>897</v>
      </c>
      <c r="AF559" t="s">
        <v>67</v>
      </c>
      <c r="AG559" t="s">
        <v>350</v>
      </c>
      <c r="AH559" t="s">
        <v>351</v>
      </c>
      <c r="AI559" t="s">
        <v>352</v>
      </c>
      <c r="AJ559" t="s">
        <v>123</v>
      </c>
      <c r="AK559" t="s">
        <v>353</v>
      </c>
    </row>
    <row r="560" spans="1:37" x14ac:dyDescent="0.3">
      <c r="A560" t="s">
        <v>887</v>
      </c>
      <c r="B560" t="s">
        <v>870</v>
      </c>
      <c r="C560" s="2">
        <v>45764.926233402781</v>
      </c>
      <c r="D560" s="2">
        <v>45758.7969212963</v>
      </c>
      <c r="E560" s="2">
        <v>45760.800276759262</v>
      </c>
      <c r="F560" t="s">
        <v>871</v>
      </c>
      <c r="G560" t="s">
        <v>356</v>
      </c>
      <c r="H560">
        <v>45671</v>
      </c>
      <c r="I560">
        <v>0.64067129629629627</v>
      </c>
      <c r="J560"/>
      <c r="K560"/>
      <c r="L560">
        <v>45671</v>
      </c>
      <c r="M560">
        <v>0.64067129629629638</v>
      </c>
      <c r="N560" t="s">
        <v>906</v>
      </c>
      <c r="O560" t="s">
        <v>909</v>
      </c>
      <c r="P560" t="s">
        <v>361</v>
      </c>
      <c r="Q560" t="s">
        <v>362</v>
      </c>
      <c r="R560" t="s">
        <v>363</v>
      </c>
      <c r="S560" t="s">
        <v>893</v>
      </c>
      <c r="T560" t="s">
        <v>910</v>
      </c>
      <c r="U560"/>
      <c r="V560"/>
      <c r="W560" t="s">
        <v>911</v>
      </c>
      <c r="X560" t="s">
        <v>912</v>
      </c>
      <c r="Y560" t="s">
        <v>367</v>
      </c>
      <c r="Z560" t="s">
        <v>65</v>
      </c>
      <c r="AA560"/>
      <c r="AB560"/>
      <c r="AC560"/>
      <c r="AD560"/>
      <c r="AE560" t="s">
        <v>913</v>
      </c>
      <c r="AF560" t="s">
        <v>67</v>
      </c>
      <c r="AG560" t="s">
        <v>219</v>
      </c>
      <c r="AH560" t="s">
        <v>368</v>
      </c>
      <c r="AI560" t="s">
        <v>160</v>
      </c>
      <c r="AJ560" t="s">
        <v>123</v>
      </c>
      <c r="AK560" t="s">
        <v>353</v>
      </c>
    </row>
    <row r="561" spans="1:37" x14ac:dyDescent="0.3">
      <c r="A561" t="s">
        <v>887</v>
      </c>
      <c r="B561" t="s">
        <v>870</v>
      </c>
      <c r="C561" s="2">
        <v>45764.926233402781</v>
      </c>
      <c r="D561" s="2">
        <v>45758.7969212963</v>
      </c>
      <c r="E561" s="2">
        <v>45760.800276759262</v>
      </c>
      <c r="F561" t="s">
        <v>871</v>
      </c>
      <c r="G561" t="s">
        <v>224</v>
      </c>
      <c r="H561">
        <v>45672</v>
      </c>
      <c r="I561">
        <v>0.53988425925925931</v>
      </c>
      <c r="J561"/>
      <c r="K561"/>
      <c r="L561">
        <v>45672</v>
      </c>
      <c r="M561">
        <v>0.5398842592592592</v>
      </c>
      <c r="N561" t="s">
        <v>892</v>
      </c>
      <c r="O561"/>
      <c r="P561"/>
      <c r="Q561" t="s">
        <v>227</v>
      </c>
      <c r="R561" t="s">
        <v>84</v>
      </c>
      <c r="S561" t="s">
        <v>907</v>
      </c>
      <c r="T561" t="s">
        <v>914</v>
      </c>
      <c r="U561"/>
      <c r="V561"/>
      <c r="W561" t="s">
        <v>229</v>
      </c>
      <c r="X561" t="s">
        <v>896</v>
      </c>
      <c r="Y561" t="s">
        <v>230</v>
      </c>
      <c r="Z561" t="s">
        <v>65</v>
      </c>
      <c r="AA561"/>
      <c r="AB561"/>
      <c r="AC561"/>
      <c r="AD561"/>
      <c r="AE561" t="s">
        <v>913</v>
      </c>
      <c r="AF561" t="s">
        <v>67</v>
      </c>
      <c r="AG561" t="s">
        <v>231</v>
      </c>
      <c r="AH561" t="s">
        <v>232</v>
      </c>
      <c r="AI561" t="s">
        <v>70</v>
      </c>
      <c r="AJ561" t="s">
        <v>71</v>
      </c>
      <c r="AK561" t="s">
        <v>221</v>
      </c>
    </row>
    <row r="562" spans="1:37" x14ac:dyDescent="0.3">
      <c r="A562" t="s">
        <v>887</v>
      </c>
      <c r="B562" t="s">
        <v>870</v>
      </c>
      <c r="C562" s="2">
        <v>45764.926233402781</v>
      </c>
      <c r="D562" s="2">
        <v>45758.7969212963</v>
      </c>
      <c r="E562" s="2">
        <v>45760.800276759262</v>
      </c>
      <c r="F562" t="s">
        <v>871</v>
      </c>
      <c r="G562" t="s">
        <v>129</v>
      </c>
      <c r="H562">
        <v>45673</v>
      </c>
      <c r="I562">
        <v>0.5</v>
      </c>
      <c r="J562">
        <v>45673</v>
      </c>
      <c r="K562">
        <v>0.75</v>
      </c>
      <c r="L562">
        <v>45673</v>
      </c>
      <c r="M562">
        <v>0.81587962962962957</v>
      </c>
      <c r="N562" t="s">
        <v>915</v>
      </c>
      <c r="O562"/>
      <c r="P562"/>
      <c r="Q562" t="s">
        <v>133</v>
      </c>
      <c r="R562" t="s">
        <v>134</v>
      </c>
      <c r="S562" t="s">
        <v>899</v>
      </c>
      <c r="T562" t="s">
        <v>916</v>
      </c>
      <c r="U562"/>
      <c r="V562"/>
      <c r="W562"/>
      <c r="X562"/>
      <c r="Y562"/>
      <c r="Z562"/>
      <c r="AA562"/>
      <c r="AB562"/>
      <c r="AC562"/>
      <c r="AD562"/>
      <c r="AE562" t="s">
        <v>904</v>
      </c>
      <c r="AF562" t="s">
        <v>67</v>
      </c>
      <c r="AG562" t="s">
        <v>136</v>
      </c>
      <c r="AH562" t="s">
        <v>69</v>
      </c>
      <c r="AI562" t="s">
        <v>70</v>
      </c>
      <c r="AJ562" t="s">
        <v>71</v>
      </c>
      <c r="AK562" t="s">
        <v>137</v>
      </c>
    </row>
    <row r="563" spans="1:37" x14ac:dyDescent="0.3">
      <c r="A563" t="s">
        <v>887</v>
      </c>
      <c r="B563" t="s">
        <v>870</v>
      </c>
      <c r="C563" s="2">
        <v>45764.926233402781</v>
      </c>
      <c r="D563" s="2">
        <v>45758.7969212963</v>
      </c>
      <c r="E563" s="2">
        <v>45760.800276759262</v>
      </c>
      <c r="F563" t="s">
        <v>871</v>
      </c>
      <c r="G563" t="s">
        <v>371</v>
      </c>
      <c r="H563">
        <v>45673</v>
      </c>
      <c r="I563">
        <v>0.87708333333333333</v>
      </c>
      <c r="J563">
        <v>45673</v>
      </c>
      <c r="K563">
        <v>0.88611111111111107</v>
      </c>
      <c r="L563">
        <v>45674</v>
      </c>
      <c r="M563">
        <v>0.51179398148148159</v>
      </c>
      <c r="N563" t="s">
        <v>906</v>
      </c>
      <c r="O563"/>
      <c r="P563"/>
      <c r="Q563" t="s">
        <v>374</v>
      </c>
      <c r="R563" t="s">
        <v>178</v>
      </c>
      <c r="S563" t="s">
        <v>893</v>
      </c>
      <c r="T563" t="s">
        <v>917</v>
      </c>
      <c r="U563"/>
      <c r="V563"/>
      <c r="W563"/>
      <c r="X563" t="s">
        <v>918</v>
      </c>
      <c r="Y563" t="s">
        <v>919</v>
      </c>
      <c r="Z563"/>
      <c r="AA563"/>
      <c r="AB563"/>
      <c r="AC563"/>
      <c r="AD563"/>
      <c r="AE563" t="s">
        <v>904</v>
      </c>
      <c r="AF563" t="s">
        <v>67</v>
      </c>
      <c r="AG563" t="s">
        <v>89</v>
      </c>
      <c r="AH563" t="s">
        <v>90</v>
      </c>
      <c r="AI563" t="s">
        <v>378</v>
      </c>
      <c r="AJ563" t="s">
        <v>435</v>
      </c>
      <c r="AK563" t="s">
        <v>353</v>
      </c>
    </row>
    <row r="564" spans="1:37" x14ac:dyDescent="0.3">
      <c r="A564" t="s">
        <v>887</v>
      </c>
      <c r="B564" t="s">
        <v>870</v>
      </c>
      <c r="C564" s="2">
        <v>45764.926233402781</v>
      </c>
      <c r="D564" s="2">
        <v>45758.7969212963</v>
      </c>
      <c r="E564" s="2">
        <v>45760.800276759262</v>
      </c>
      <c r="F564" t="s">
        <v>871</v>
      </c>
      <c r="G564" t="s">
        <v>236</v>
      </c>
      <c r="H564">
        <v>45678</v>
      </c>
      <c r="I564">
        <v>0.79166666666666663</v>
      </c>
      <c r="J564">
        <v>45679</v>
      </c>
      <c r="K564">
        <v>0.13125000000000009</v>
      </c>
      <c r="L564">
        <v>45679</v>
      </c>
      <c r="M564">
        <v>0.13255787037037048</v>
      </c>
      <c r="N564" t="s">
        <v>892</v>
      </c>
      <c r="O564"/>
      <c r="P564"/>
      <c r="Q564" t="s">
        <v>239</v>
      </c>
      <c r="R564" t="s">
        <v>178</v>
      </c>
      <c r="S564" t="s">
        <v>893</v>
      </c>
      <c r="T564" t="s">
        <v>920</v>
      </c>
      <c r="U564"/>
      <c r="V564"/>
      <c r="W564" t="s">
        <v>241</v>
      </c>
      <c r="X564" t="s">
        <v>63</v>
      </c>
      <c r="Y564" t="s">
        <v>242</v>
      </c>
      <c r="Z564" t="s">
        <v>65</v>
      </c>
      <c r="AA564"/>
      <c r="AB564"/>
      <c r="AC564"/>
      <c r="AD564"/>
      <c r="AE564" t="s">
        <v>921</v>
      </c>
      <c r="AF564" t="s">
        <v>67</v>
      </c>
      <c r="AG564" t="s">
        <v>244</v>
      </c>
      <c r="AH564" t="s">
        <v>206</v>
      </c>
      <c r="AI564" t="s">
        <v>160</v>
      </c>
      <c r="AJ564" t="s">
        <v>71</v>
      </c>
      <c r="AK564" t="s">
        <v>221</v>
      </c>
    </row>
    <row r="565" spans="1:37" x14ac:dyDescent="0.3">
      <c r="A565" t="s">
        <v>887</v>
      </c>
      <c r="B565" t="s">
        <v>870</v>
      </c>
      <c r="C565" s="2">
        <v>45764.926233402781</v>
      </c>
      <c r="D565" s="2">
        <v>45758.7969212963</v>
      </c>
      <c r="E565" s="2">
        <v>45760.800276759262</v>
      </c>
      <c r="F565" t="s">
        <v>871</v>
      </c>
      <c r="G565" t="s">
        <v>246</v>
      </c>
      <c r="H565">
        <v>45679</v>
      </c>
      <c r="I565">
        <v>0.33333333333333331</v>
      </c>
      <c r="J565">
        <v>45679</v>
      </c>
      <c r="K565">
        <v>0.80069444444444438</v>
      </c>
      <c r="L565">
        <v>45679</v>
      </c>
      <c r="M565">
        <v>0.8020370370370371</v>
      </c>
      <c r="N565" t="s">
        <v>892</v>
      </c>
      <c r="O565"/>
      <c r="P565"/>
      <c r="Q565" t="s">
        <v>249</v>
      </c>
      <c r="R565" t="s">
        <v>250</v>
      </c>
      <c r="S565" t="s">
        <v>922</v>
      </c>
      <c r="T565" t="s">
        <v>923</v>
      </c>
      <c r="U565"/>
      <c r="V565"/>
      <c r="W565" t="s">
        <v>252</v>
      </c>
      <c r="X565" t="s">
        <v>924</v>
      </c>
      <c r="Y565" t="s">
        <v>254</v>
      </c>
      <c r="Z565" t="s">
        <v>65</v>
      </c>
      <c r="AA565"/>
      <c r="AB565"/>
      <c r="AC565"/>
      <c r="AD565"/>
      <c r="AE565" t="s">
        <v>913</v>
      </c>
      <c r="AF565" t="s">
        <v>67</v>
      </c>
      <c r="AG565" t="s">
        <v>244</v>
      </c>
      <c r="AH565" t="s">
        <v>206</v>
      </c>
      <c r="AI565" t="s">
        <v>122</v>
      </c>
      <c r="AJ565" t="s">
        <v>71</v>
      </c>
      <c r="AK565" t="s">
        <v>221</v>
      </c>
    </row>
    <row r="566" spans="1:37" x14ac:dyDescent="0.3">
      <c r="A566" t="s">
        <v>887</v>
      </c>
      <c r="B566" t="s">
        <v>870</v>
      </c>
      <c r="C566" s="2">
        <v>45764.926233402781</v>
      </c>
      <c r="D566" s="2">
        <v>45758.7969212963</v>
      </c>
      <c r="E566" s="2">
        <v>45760.800276759262</v>
      </c>
      <c r="F566" t="s">
        <v>871</v>
      </c>
      <c r="G566" t="s">
        <v>409</v>
      </c>
      <c r="H566">
        <v>45680</v>
      </c>
      <c r="I566">
        <v>0.625</v>
      </c>
      <c r="J566"/>
      <c r="K566"/>
      <c r="L566">
        <v>45680</v>
      </c>
      <c r="M566">
        <v>0.66545138888888888</v>
      </c>
      <c r="N566" t="s">
        <v>925</v>
      </c>
      <c r="O566" t="s">
        <v>400</v>
      </c>
      <c r="P566"/>
      <c r="Q566" t="s">
        <v>414</v>
      </c>
      <c r="R566" t="s">
        <v>84</v>
      </c>
      <c r="S566" t="s">
        <v>907</v>
      </c>
      <c r="T566" t="s">
        <v>926</v>
      </c>
      <c r="U566"/>
      <c r="V566"/>
      <c r="W566"/>
      <c r="X566"/>
      <c r="Y566"/>
      <c r="Z566"/>
      <c r="AA566"/>
      <c r="AB566"/>
      <c r="AC566"/>
      <c r="AD566"/>
      <c r="AE566" t="s">
        <v>927</v>
      </c>
      <c r="AF566" t="s">
        <v>67</v>
      </c>
      <c r="AG566" t="s">
        <v>352</v>
      </c>
      <c r="AH566" t="s">
        <v>417</v>
      </c>
      <c r="AI566" t="s">
        <v>406</v>
      </c>
      <c r="AJ566" t="s">
        <v>418</v>
      </c>
      <c r="AK566"/>
    </row>
    <row r="567" spans="1:37" x14ac:dyDescent="0.3">
      <c r="A567" t="s">
        <v>887</v>
      </c>
      <c r="B567" t="s">
        <v>870</v>
      </c>
      <c r="C567" s="2">
        <v>45764.926233402781</v>
      </c>
      <c r="D567" s="2">
        <v>45758.7969212963</v>
      </c>
      <c r="E567" s="2">
        <v>45760.800276759262</v>
      </c>
      <c r="F567" t="s">
        <v>871</v>
      </c>
      <c r="G567" t="s">
        <v>140</v>
      </c>
      <c r="H567">
        <v>45682</v>
      </c>
      <c r="I567">
        <v>0.45833333333333331</v>
      </c>
      <c r="J567">
        <v>45682</v>
      </c>
      <c r="K567">
        <v>0.58333333333333326</v>
      </c>
      <c r="L567">
        <v>45682</v>
      </c>
      <c r="M567">
        <v>0.58054398148148145</v>
      </c>
      <c r="N567" t="s">
        <v>915</v>
      </c>
      <c r="O567"/>
      <c r="P567"/>
      <c r="Q567" t="s">
        <v>144</v>
      </c>
      <c r="R567" t="s">
        <v>145</v>
      </c>
      <c r="S567" t="s">
        <v>922</v>
      </c>
      <c r="T567" t="s">
        <v>928</v>
      </c>
      <c r="U567"/>
      <c r="V567"/>
      <c r="W567"/>
      <c r="X567"/>
      <c r="Y567"/>
      <c r="Z567"/>
      <c r="AA567"/>
      <c r="AB567"/>
      <c r="AC567"/>
      <c r="AD567"/>
      <c r="AE567" t="s">
        <v>929</v>
      </c>
      <c r="AF567" t="s">
        <v>67</v>
      </c>
      <c r="AG567" t="s">
        <v>147</v>
      </c>
      <c r="AH567" t="s">
        <v>90</v>
      </c>
      <c r="AI567" t="s">
        <v>70</v>
      </c>
      <c r="AJ567" t="s">
        <v>71</v>
      </c>
      <c r="AK567" t="s">
        <v>137</v>
      </c>
    </row>
    <row r="568" spans="1:37" x14ac:dyDescent="0.3">
      <c r="A568" t="s">
        <v>887</v>
      </c>
      <c r="B568" t="s">
        <v>870</v>
      </c>
      <c r="C568" s="2">
        <v>45764.926233402781</v>
      </c>
      <c r="D568" s="2">
        <v>45758.7969212963</v>
      </c>
      <c r="E568" s="2">
        <v>45760.800276759262</v>
      </c>
      <c r="F568" t="s">
        <v>871</v>
      </c>
      <c r="G568" t="s">
        <v>77</v>
      </c>
      <c r="H568">
        <v>45682</v>
      </c>
      <c r="I568">
        <v>0.76875000000000004</v>
      </c>
      <c r="J568"/>
      <c r="K568"/>
      <c r="L568">
        <v>45683</v>
      </c>
      <c r="M568">
        <v>0.44056712962962963</v>
      </c>
      <c r="N568" t="s">
        <v>902</v>
      </c>
      <c r="O568" t="s">
        <v>930</v>
      </c>
      <c r="P568"/>
      <c r="Q568" t="s">
        <v>83</v>
      </c>
      <c r="R568" t="s">
        <v>84</v>
      </c>
      <c r="S568" t="s">
        <v>907</v>
      </c>
      <c r="T568" t="s">
        <v>931</v>
      </c>
      <c r="U568"/>
      <c r="V568"/>
      <c r="W568" t="s">
        <v>932</v>
      </c>
      <c r="X568" t="s">
        <v>896</v>
      </c>
      <c r="Y568" t="s">
        <v>87</v>
      </c>
      <c r="Z568" t="s">
        <v>65</v>
      </c>
      <c r="AA568"/>
      <c r="AB568"/>
      <c r="AC568"/>
      <c r="AD568"/>
      <c r="AE568" t="s">
        <v>929</v>
      </c>
      <c r="AF568" t="s">
        <v>67</v>
      </c>
      <c r="AG568" t="s">
        <v>89</v>
      </c>
      <c r="AH568" t="s">
        <v>90</v>
      </c>
      <c r="AI568" t="s">
        <v>91</v>
      </c>
      <c r="AJ568" t="s">
        <v>92</v>
      </c>
      <c r="AK568" t="s">
        <v>72</v>
      </c>
    </row>
    <row r="569" spans="1:37" x14ac:dyDescent="0.3">
      <c r="A569" t="s">
        <v>887</v>
      </c>
      <c r="B569" t="s">
        <v>870</v>
      </c>
      <c r="C569" s="2">
        <v>45764.926233402781</v>
      </c>
      <c r="D569" s="2">
        <v>45758.7969212963</v>
      </c>
      <c r="E569" s="2">
        <v>45760.800276759262</v>
      </c>
      <c r="F569" t="s">
        <v>871</v>
      </c>
      <c r="G569" t="s">
        <v>96</v>
      </c>
      <c r="H569">
        <v>45683</v>
      </c>
      <c r="I569">
        <v>0.84027777777777779</v>
      </c>
      <c r="J569">
        <v>45683</v>
      </c>
      <c r="K569">
        <v>0.84652777777777777</v>
      </c>
      <c r="L569">
        <v>45683</v>
      </c>
      <c r="M569">
        <v>0.85009259259259262</v>
      </c>
      <c r="N569" t="s">
        <v>902</v>
      </c>
      <c r="O569" t="s">
        <v>930</v>
      </c>
      <c r="P569"/>
      <c r="Q569" t="s">
        <v>100</v>
      </c>
      <c r="R569" t="s">
        <v>101</v>
      </c>
      <c r="S569" t="s">
        <v>893</v>
      </c>
      <c r="T569" t="s">
        <v>933</v>
      </c>
      <c r="U569"/>
      <c r="V569"/>
      <c r="W569" t="s">
        <v>934</v>
      </c>
      <c r="X569" t="s">
        <v>896</v>
      </c>
      <c r="Y569" t="s">
        <v>104</v>
      </c>
      <c r="Z569" t="s">
        <v>935</v>
      </c>
      <c r="AA569"/>
      <c r="AB569"/>
      <c r="AC569"/>
      <c r="AD569"/>
      <c r="AE569" t="s">
        <v>904</v>
      </c>
      <c r="AF569" t="s">
        <v>67</v>
      </c>
      <c r="AG569" t="s">
        <v>105</v>
      </c>
      <c r="AH569" t="s">
        <v>69</v>
      </c>
      <c r="AI569" t="s">
        <v>106</v>
      </c>
      <c r="AJ569" t="s">
        <v>71</v>
      </c>
      <c r="AK569" t="s">
        <v>72</v>
      </c>
    </row>
    <row r="570" spans="1:37" x14ac:dyDescent="0.3">
      <c r="A570" t="s">
        <v>887</v>
      </c>
      <c r="B570" t="s">
        <v>870</v>
      </c>
      <c r="C570" s="2">
        <v>45764.926233402781</v>
      </c>
      <c r="D570" s="2">
        <v>45758.7969212963</v>
      </c>
      <c r="E570" s="2">
        <v>45760.800276759262</v>
      </c>
      <c r="F570" t="s">
        <v>871</v>
      </c>
      <c r="G570" t="s">
        <v>256</v>
      </c>
      <c r="H570">
        <v>45685</v>
      </c>
      <c r="I570">
        <v>0.625</v>
      </c>
      <c r="J570">
        <v>45686</v>
      </c>
      <c r="K570">
        <v>0.91736111111111107</v>
      </c>
      <c r="L570">
        <v>45686</v>
      </c>
      <c r="M570">
        <v>0.91833333333333322</v>
      </c>
      <c r="N570" t="s">
        <v>892</v>
      </c>
      <c r="O570" t="s">
        <v>930</v>
      </c>
      <c r="P570"/>
      <c r="Q570" t="s">
        <v>260</v>
      </c>
      <c r="R570" t="s">
        <v>261</v>
      </c>
      <c r="S570" t="s">
        <v>936</v>
      </c>
      <c r="T570" t="s">
        <v>937</v>
      </c>
      <c r="U570"/>
      <c r="V570"/>
      <c r="W570" t="s">
        <v>938</v>
      </c>
      <c r="X570" t="s">
        <v>939</v>
      </c>
      <c r="Y570" t="s">
        <v>265</v>
      </c>
      <c r="Z570" t="s">
        <v>65</v>
      </c>
      <c r="AA570"/>
      <c r="AB570"/>
      <c r="AC570"/>
      <c r="AD570"/>
      <c r="AE570" t="s">
        <v>940</v>
      </c>
      <c r="AF570" t="s">
        <v>67</v>
      </c>
      <c r="AG570" t="s">
        <v>244</v>
      </c>
      <c r="AH570" t="s">
        <v>206</v>
      </c>
      <c r="AI570" t="s">
        <v>70</v>
      </c>
      <c r="AJ570" t="s">
        <v>266</v>
      </c>
      <c r="AK570" t="s">
        <v>221</v>
      </c>
    </row>
    <row r="571" spans="1:37" x14ac:dyDescent="0.3">
      <c r="A571" t="s">
        <v>887</v>
      </c>
      <c r="B571" t="s">
        <v>870</v>
      </c>
      <c r="C571" s="2">
        <v>45764.926233402781</v>
      </c>
      <c r="D571" s="2">
        <v>45758.7969212963</v>
      </c>
      <c r="E571" s="2">
        <v>45760.800276759262</v>
      </c>
      <c r="F571" t="s">
        <v>871</v>
      </c>
      <c r="G571" t="s">
        <v>151</v>
      </c>
      <c r="H571">
        <v>45688</v>
      </c>
      <c r="I571">
        <v>0.49988425925925928</v>
      </c>
      <c r="J571"/>
      <c r="K571"/>
      <c r="L571">
        <v>45688</v>
      </c>
      <c r="M571">
        <v>0.49988425925925917</v>
      </c>
      <c r="N571" t="s">
        <v>915</v>
      </c>
      <c r="O571"/>
      <c r="P571"/>
      <c r="Q571" t="s">
        <v>154</v>
      </c>
      <c r="R571" t="s">
        <v>155</v>
      </c>
      <c r="S571" t="s">
        <v>907</v>
      </c>
      <c r="T571" t="s">
        <v>941</v>
      </c>
      <c r="U571"/>
      <c r="V571"/>
      <c r="W571"/>
      <c r="X571"/>
      <c r="Y571"/>
      <c r="Z571"/>
      <c r="AA571"/>
      <c r="AB571"/>
      <c r="AC571"/>
      <c r="AD571"/>
      <c r="AE571" t="s">
        <v>897</v>
      </c>
      <c r="AF571" t="s">
        <v>67</v>
      </c>
      <c r="AG571" t="s">
        <v>158</v>
      </c>
      <c r="AH571" t="s">
        <v>159</v>
      </c>
      <c r="AI571" t="s">
        <v>160</v>
      </c>
      <c r="AJ571" t="s">
        <v>71</v>
      </c>
      <c r="AK571" t="s">
        <v>137</v>
      </c>
    </row>
    <row r="572" spans="1:37" x14ac:dyDescent="0.3">
      <c r="A572" t="s">
        <v>887</v>
      </c>
      <c r="B572" t="s">
        <v>870</v>
      </c>
      <c r="C572" s="2">
        <v>45764.926233402781</v>
      </c>
      <c r="D572" s="2">
        <v>45758.7969212963</v>
      </c>
      <c r="E572" s="2">
        <v>45760.800276759262</v>
      </c>
      <c r="F572" t="s">
        <v>871</v>
      </c>
      <c r="G572" t="s">
        <v>269</v>
      </c>
      <c r="H572">
        <v>45689</v>
      </c>
      <c r="I572">
        <v>4.1666666666666664E-2</v>
      </c>
      <c r="J572"/>
      <c r="K572">
        <v>0.10416666666666674</v>
      </c>
      <c r="L572">
        <v>45689</v>
      </c>
      <c r="M572">
        <v>0.11982638888888886</v>
      </c>
      <c r="N572" t="s">
        <v>892</v>
      </c>
      <c r="O572"/>
      <c r="P572"/>
      <c r="Q572" t="s">
        <v>272</v>
      </c>
      <c r="R572" t="s">
        <v>273</v>
      </c>
      <c r="S572" t="s">
        <v>936</v>
      </c>
      <c r="T572" t="s">
        <v>942</v>
      </c>
      <c r="U572"/>
      <c r="V572"/>
      <c r="W572" t="s">
        <v>943</v>
      </c>
      <c r="X572" t="s">
        <v>944</v>
      </c>
      <c r="Y572" t="s">
        <v>276</v>
      </c>
      <c r="Z572" t="s">
        <v>65</v>
      </c>
      <c r="AA572"/>
      <c r="AB572"/>
      <c r="AC572"/>
      <c r="AD572"/>
      <c r="AE572" t="s">
        <v>913</v>
      </c>
      <c r="AF572" t="s">
        <v>67</v>
      </c>
      <c r="AG572" t="s">
        <v>244</v>
      </c>
      <c r="AH572" t="s">
        <v>206</v>
      </c>
      <c r="AI572" t="s">
        <v>122</v>
      </c>
      <c r="AJ572" t="s">
        <v>71</v>
      </c>
      <c r="AK572" t="s">
        <v>221</v>
      </c>
    </row>
    <row r="573" spans="1:37" x14ac:dyDescent="0.3">
      <c r="A573" t="s">
        <v>887</v>
      </c>
      <c r="B573" t="s">
        <v>870</v>
      </c>
      <c r="C573" s="2">
        <v>45764.926233402781</v>
      </c>
      <c r="D573" s="2">
        <v>45758.7969212963</v>
      </c>
      <c r="E573" s="2">
        <v>45760.800276759262</v>
      </c>
      <c r="F573" t="s">
        <v>871</v>
      </c>
      <c r="G573" t="s">
        <v>382</v>
      </c>
      <c r="H573">
        <v>45690</v>
      </c>
      <c r="I573">
        <v>0.72569444444444442</v>
      </c>
      <c r="J573">
        <v>45690</v>
      </c>
      <c r="K573">
        <v>0.75</v>
      </c>
      <c r="L573">
        <v>45691</v>
      </c>
      <c r="M573">
        <v>0.50143518518518526</v>
      </c>
      <c r="N573" t="s">
        <v>176</v>
      </c>
      <c r="O573" t="s">
        <v>906</v>
      </c>
      <c r="P573"/>
      <c r="Q573" t="s">
        <v>385</v>
      </c>
      <c r="R573" t="s">
        <v>145</v>
      </c>
      <c r="S573" t="s">
        <v>922</v>
      </c>
      <c r="T573" t="s">
        <v>945</v>
      </c>
      <c r="U573"/>
      <c r="V573"/>
      <c r="W573"/>
      <c r="X573"/>
      <c r="Y573"/>
      <c r="Z573"/>
      <c r="AA573"/>
      <c r="AB573"/>
      <c r="AC573"/>
      <c r="AD573"/>
      <c r="AE573" t="s">
        <v>904</v>
      </c>
      <c r="AF573" t="s">
        <v>67</v>
      </c>
      <c r="AG573" t="s">
        <v>105</v>
      </c>
      <c r="AH573" t="s">
        <v>69</v>
      </c>
      <c r="AI573" t="s">
        <v>180</v>
      </c>
      <c r="AJ573" t="s">
        <v>92</v>
      </c>
      <c r="AK573"/>
    </row>
    <row r="574" spans="1:37" x14ac:dyDescent="0.3">
      <c r="A574" t="s">
        <v>887</v>
      </c>
      <c r="B574" t="s">
        <v>870</v>
      </c>
      <c r="C574" s="2">
        <v>45764.926233402781</v>
      </c>
      <c r="D574" s="2">
        <v>45758.7969212963</v>
      </c>
      <c r="E574" s="2">
        <v>45760.800276759262</v>
      </c>
      <c r="F574" t="s">
        <v>871</v>
      </c>
      <c r="G574" t="s">
        <v>388</v>
      </c>
      <c r="H574"/>
      <c r="I574"/>
      <c r="J574"/>
      <c r="K574"/>
      <c r="L574">
        <v>45691</v>
      </c>
      <c r="M574">
        <v>0.69484953703703711</v>
      </c>
      <c r="N574" t="s">
        <v>906</v>
      </c>
      <c r="O574"/>
      <c r="P574"/>
      <c r="Q574" t="s">
        <v>390</v>
      </c>
      <c r="R574" t="s">
        <v>363</v>
      </c>
      <c r="S574" t="s">
        <v>893</v>
      </c>
      <c r="T574" t="s">
        <v>946</v>
      </c>
      <c r="U574"/>
      <c r="V574"/>
      <c r="W574"/>
      <c r="X574"/>
      <c r="Y574"/>
      <c r="Z574"/>
      <c r="AA574"/>
      <c r="AB574"/>
      <c r="AC574"/>
      <c r="AD574"/>
      <c r="AE574" t="s">
        <v>929</v>
      </c>
      <c r="AF574" t="s">
        <v>67</v>
      </c>
      <c r="AG574" t="s">
        <v>136</v>
      </c>
      <c r="AH574" t="s">
        <v>69</v>
      </c>
      <c r="AI574" t="s">
        <v>106</v>
      </c>
      <c r="AJ574" t="s">
        <v>71</v>
      </c>
      <c r="AK574" t="s">
        <v>353</v>
      </c>
    </row>
    <row r="575" spans="1:37" x14ac:dyDescent="0.3">
      <c r="A575" t="s">
        <v>887</v>
      </c>
      <c r="B575" t="s">
        <v>870</v>
      </c>
      <c r="C575" s="2">
        <v>45764.926233402781</v>
      </c>
      <c r="D575" s="2">
        <v>45758.7969212963</v>
      </c>
      <c r="E575" s="2">
        <v>45760.800276759262</v>
      </c>
      <c r="F575" t="s">
        <v>871</v>
      </c>
      <c r="G575" t="s">
        <v>279</v>
      </c>
      <c r="H575">
        <v>45691</v>
      </c>
      <c r="I575">
        <v>0.77083333333333337</v>
      </c>
      <c r="J575">
        <v>45692</v>
      </c>
      <c r="K575">
        <v>0.79166666666666674</v>
      </c>
      <c r="L575">
        <v>45692</v>
      </c>
      <c r="M575">
        <v>0.53023148148148147</v>
      </c>
      <c r="N575" t="s">
        <v>892</v>
      </c>
      <c r="O575"/>
      <c r="P575"/>
      <c r="Q575" t="s">
        <v>282</v>
      </c>
      <c r="R575" t="s">
        <v>283</v>
      </c>
      <c r="S575" t="s">
        <v>907</v>
      </c>
      <c r="T575" t="s">
        <v>947</v>
      </c>
      <c r="U575"/>
      <c r="V575"/>
      <c r="W575" t="s">
        <v>948</v>
      </c>
      <c r="X575" t="s">
        <v>286</v>
      </c>
      <c r="Y575" t="s">
        <v>949</v>
      </c>
      <c r="Z575" t="s">
        <v>288</v>
      </c>
      <c r="AA575"/>
      <c r="AB575"/>
      <c r="AC575"/>
      <c r="AD575"/>
      <c r="AE575" t="s">
        <v>904</v>
      </c>
      <c r="AF575" t="s">
        <v>67</v>
      </c>
      <c r="AG575" t="s">
        <v>105</v>
      </c>
      <c r="AH575" t="s">
        <v>69</v>
      </c>
      <c r="AI575" t="s">
        <v>70</v>
      </c>
      <c r="AJ575" t="s">
        <v>195</v>
      </c>
      <c r="AK575" t="s">
        <v>221</v>
      </c>
    </row>
    <row r="576" spans="1:37" x14ac:dyDescent="0.3">
      <c r="A576" t="s">
        <v>887</v>
      </c>
      <c r="B576" t="s">
        <v>870</v>
      </c>
      <c r="C576" s="2">
        <v>45764.926233402781</v>
      </c>
      <c r="D576" s="2">
        <v>45758.7969212963</v>
      </c>
      <c r="E576" s="2">
        <v>45760.800276759262</v>
      </c>
      <c r="F576" t="s">
        <v>871</v>
      </c>
      <c r="G576" t="s">
        <v>161</v>
      </c>
      <c r="H576">
        <v>45693</v>
      </c>
      <c r="I576">
        <v>0.12291666666666666</v>
      </c>
      <c r="J576"/>
      <c r="K576"/>
      <c r="L576">
        <v>45693</v>
      </c>
      <c r="M576">
        <v>0.12339120370370371</v>
      </c>
      <c r="N576" t="s">
        <v>950</v>
      </c>
      <c r="O576" t="s">
        <v>167</v>
      </c>
      <c r="P576"/>
      <c r="Q576" t="s">
        <v>168</v>
      </c>
      <c r="R576" t="s">
        <v>155</v>
      </c>
      <c r="S576" t="s">
        <v>907</v>
      </c>
      <c r="T576" t="s">
        <v>951</v>
      </c>
      <c r="U576"/>
      <c r="V576"/>
      <c r="W576"/>
      <c r="X576"/>
      <c r="Y576"/>
      <c r="Z576"/>
      <c r="AA576"/>
      <c r="AB576"/>
      <c r="AC576"/>
      <c r="AD576"/>
      <c r="AE576" t="s">
        <v>913</v>
      </c>
      <c r="AF576" t="s">
        <v>67</v>
      </c>
      <c r="AG576" t="s">
        <v>170</v>
      </c>
      <c r="AH576" t="s">
        <v>90</v>
      </c>
      <c r="AI576" t="s">
        <v>171</v>
      </c>
      <c r="AJ576" t="s">
        <v>123</v>
      </c>
      <c r="AK576" t="s">
        <v>137</v>
      </c>
    </row>
    <row r="577" spans="1:37" x14ac:dyDescent="0.3">
      <c r="A577" t="s">
        <v>887</v>
      </c>
      <c r="B577" t="s">
        <v>870</v>
      </c>
      <c r="C577" s="2">
        <v>45764.926233402781</v>
      </c>
      <c r="D577" s="2">
        <v>45758.7969212963</v>
      </c>
      <c r="E577" s="2">
        <v>45760.800276759262</v>
      </c>
      <c r="F577" t="s">
        <v>871</v>
      </c>
      <c r="G577" t="s">
        <v>292</v>
      </c>
      <c r="H577">
        <v>45695</v>
      </c>
      <c r="I577">
        <v>0.27430555555555558</v>
      </c>
      <c r="J577">
        <v>45695</v>
      </c>
      <c r="K577">
        <v>0.28472222222222232</v>
      </c>
      <c r="L577">
        <v>45695</v>
      </c>
      <c r="M577">
        <v>0.30738425925925927</v>
      </c>
      <c r="N577" t="s">
        <v>892</v>
      </c>
      <c r="O577"/>
      <c r="P577"/>
      <c r="Q577" t="s">
        <v>296</v>
      </c>
      <c r="R577" t="s">
        <v>203</v>
      </c>
      <c r="S577" t="s">
        <v>922</v>
      </c>
      <c r="T577" t="s">
        <v>952</v>
      </c>
      <c r="U577"/>
      <c r="V577"/>
      <c r="W577" t="s">
        <v>953</v>
      </c>
      <c r="X577" t="s">
        <v>954</v>
      </c>
      <c r="Y577" t="s">
        <v>300</v>
      </c>
      <c r="Z577" t="s">
        <v>65</v>
      </c>
      <c r="AA577"/>
      <c r="AB577"/>
      <c r="AC577"/>
      <c r="AD577"/>
      <c r="AE577" t="s">
        <v>913</v>
      </c>
      <c r="AF577" t="s">
        <v>67</v>
      </c>
      <c r="AG577" t="s">
        <v>301</v>
      </c>
      <c r="AH577" t="s">
        <v>121</v>
      </c>
      <c r="AI577" t="s">
        <v>180</v>
      </c>
      <c r="AJ577" t="s">
        <v>92</v>
      </c>
      <c r="AK577" t="s">
        <v>221</v>
      </c>
    </row>
    <row r="578" spans="1:37" x14ac:dyDescent="0.3">
      <c r="A578" t="s">
        <v>887</v>
      </c>
      <c r="B578" t="s">
        <v>870</v>
      </c>
      <c r="C578" s="2">
        <v>45764.926233402781</v>
      </c>
      <c r="D578" s="2">
        <v>45758.7969212963</v>
      </c>
      <c r="E578" s="2">
        <v>45760.800276759262</v>
      </c>
      <c r="F578" t="s">
        <v>871</v>
      </c>
      <c r="G578" t="s">
        <v>305</v>
      </c>
      <c r="H578">
        <v>45688</v>
      </c>
      <c r="I578">
        <v>0.5</v>
      </c>
      <c r="J578">
        <v>45695</v>
      </c>
      <c r="K578">
        <v>0.54166666666666674</v>
      </c>
      <c r="L578">
        <v>45696</v>
      </c>
      <c r="M578">
        <v>0.3903240740740741</v>
      </c>
      <c r="N578" t="s">
        <v>892</v>
      </c>
      <c r="O578"/>
      <c r="P578"/>
      <c r="Q578" t="s">
        <v>308</v>
      </c>
      <c r="R578" t="s">
        <v>250</v>
      </c>
      <c r="S578" t="s">
        <v>922</v>
      </c>
      <c r="T578" t="s">
        <v>955</v>
      </c>
      <c r="U578"/>
      <c r="V578"/>
      <c r="W578" t="s">
        <v>956</v>
      </c>
      <c r="X578"/>
      <c r="Y578" t="s">
        <v>230</v>
      </c>
      <c r="Z578" t="s">
        <v>935</v>
      </c>
      <c r="AA578"/>
      <c r="AB578"/>
      <c r="AC578"/>
      <c r="AD578"/>
      <c r="AE578" t="s">
        <v>913</v>
      </c>
      <c r="AF578" t="s">
        <v>67</v>
      </c>
      <c r="AG578" t="s">
        <v>205</v>
      </c>
      <c r="AH578" t="s">
        <v>206</v>
      </c>
      <c r="AI578" t="s">
        <v>106</v>
      </c>
      <c r="AJ578" t="s">
        <v>71</v>
      </c>
      <c r="AK578" t="s">
        <v>221</v>
      </c>
    </row>
    <row r="579" spans="1:37" x14ac:dyDescent="0.3">
      <c r="A579" t="s">
        <v>887</v>
      </c>
      <c r="B579" t="s">
        <v>870</v>
      </c>
      <c r="C579" s="2">
        <v>45764.926233402781</v>
      </c>
      <c r="D579" s="2">
        <v>45758.7969212963</v>
      </c>
      <c r="E579" s="2">
        <v>45760.800276759262</v>
      </c>
      <c r="F579" t="s">
        <v>871</v>
      </c>
      <c r="G579" t="s">
        <v>437</v>
      </c>
      <c r="H579">
        <v>45701</v>
      </c>
      <c r="I579">
        <v>8.3333333333333329E-2</v>
      </c>
      <c r="J579"/>
      <c r="K579"/>
      <c r="L579">
        <v>45701</v>
      </c>
      <c r="M579">
        <v>0.51225694444444447</v>
      </c>
      <c r="N579" t="s">
        <v>440</v>
      </c>
      <c r="O579" t="s">
        <v>957</v>
      </c>
      <c r="P579" t="s">
        <v>906</v>
      </c>
      <c r="Q579" t="s">
        <v>443</v>
      </c>
      <c r="R579" t="s">
        <v>191</v>
      </c>
      <c r="S579" t="s">
        <v>893</v>
      </c>
      <c r="T579" t="s">
        <v>958</v>
      </c>
      <c r="U579"/>
      <c r="V579"/>
      <c r="W579"/>
      <c r="X579"/>
      <c r="Y579"/>
      <c r="Z579"/>
      <c r="AA579"/>
      <c r="AB579"/>
      <c r="AC579"/>
      <c r="AD579"/>
      <c r="AE579" t="s">
        <v>959</v>
      </c>
      <c r="AF579" t="s">
        <v>67</v>
      </c>
      <c r="AG579" t="s">
        <v>120</v>
      </c>
      <c r="AH579" t="s">
        <v>121</v>
      </c>
      <c r="AI579" t="s">
        <v>378</v>
      </c>
      <c r="AJ579" t="s">
        <v>446</v>
      </c>
      <c r="AK579"/>
    </row>
    <row r="580" spans="1:37" x14ac:dyDescent="0.3">
      <c r="A580" t="s">
        <v>887</v>
      </c>
      <c r="B580" t="s">
        <v>870</v>
      </c>
      <c r="C580" s="2">
        <v>45764.926233402781</v>
      </c>
      <c r="D580" s="2">
        <v>45758.7969212963</v>
      </c>
      <c r="E580" s="2">
        <v>45760.800276759262</v>
      </c>
      <c r="F580" t="s">
        <v>871</v>
      </c>
      <c r="G580" t="s">
        <v>110</v>
      </c>
      <c r="H580">
        <v>45701</v>
      </c>
      <c r="I580">
        <v>0.66666666666666663</v>
      </c>
      <c r="J580"/>
      <c r="K580"/>
      <c r="L580">
        <v>45702</v>
      </c>
      <c r="M580">
        <v>0.29906250000000001</v>
      </c>
      <c r="N580" t="s">
        <v>902</v>
      </c>
      <c r="O580"/>
      <c r="P580"/>
      <c r="Q580" t="s">
        <v>113</v>
      </c>
      <c r="R580" t="s">
        <v>114</v>
      </c>
      <c r="S580" t="s">
        <v>936</v>
      </c>
      <c r="T580" t="s">
        <v>960</v>
      </c>
      <c r="U580"/>
      <c r="V580"/>
      <c r="W580" t="s">
        <v>116</v>
      </c>
      <c r="X580" t="s">
        <v>944</v>
      </c>
      <c r="Y580" t="s">
        <v>118</v>
      </c>
      <c r="Z580" t="s">
        <v>65</v>
      </c>
      <c r="AA580"/>
      <c r="AB580"/>
      <c r="AC580"/>
      <c r="AD580"/>
      <c r="AE580" t="s">
        <v>913</v>
      </c>
      <c r="AF580" t="s">
        <v>67</v>
      </c>
      <c r="AG580" t="s">
        <v>120</v>
      </c>
      <c r="AH580" t="s">
        <v>121</v>
      </c>
      <c r="AI580" t="s">
        <v>122</v>
      </c>
      <c r="AJ580" t="s">
        <v>71</v>
      </c>
      <c r="AK580" t="s">
        <v>72</v>
      </c>
    </row>
    <row r="581" spans="1:37" x14ac:dyDescent="0.3">
      <c r="A581" t="s">
        <v>887</v>
      </c>
      <c r="B581" t="s">
        <v>870</v>
      </c>
      <c r="C581" s="2">
        <v>45764.926233402781</v>
      </c>
      <c r="D581" s="2">
        <v>45758.7969212963</v>
      </c>
      <c r="E581" s="2">
        <v>45760.800276759262</v>
      </c>
      <c r="F581" t="s">
        <v>871</v>
      </c>
      <c r="G581" t="s">
        <v>313</v>
      </c>
      <c r="H581">
        <v>45705</v>
      </c>
      <c r="I581">
        <v>0.34877314814814814</v>
      </c>
      <c r="J581"/>
      <c r="K581"/>
      <c r="L581">
        <v>45705</v>
      </c>
      <c r="M581">
        <v>0.34877314814814819</v>
      </c>
      <c r="N581" t="s">
        <v>892</v>
      </c>
      <c r="O581" t="s">
        <v>317</v>
      </c>
      <c r="P581"/>
      <c r="Q581" t="s">
        <v>318</v>
      </c>
      <c r="R581" t="s">
        <v>134</v>
      </c>
      <c r="S581" t="s">
        <v>899</v>
      </c>
      <c r="T581" t="s">
        <v>961</v>
      </c>
      <c r="U581"/>
      <c r="V581"/>
      <c r="W581" t="s">
        <v>962</v>
      </c>
      <c r="X581" t="s">
        <v>896</v>
      </c>
      <c r="Y581" t="s">
        <v>218</v>
      </c>
      <c r="Z581" t="s">
        <v>65</v>
      </c>
      <c r="AA581"/>
      <c r="AB581"/>
      <c r="AC581"/>
      <c r="AD581"/>
      <c r="AE581" t="s">
        <v>904</v>
      </c>
      <c r="AF581" t="s">
        <v>67</v>
      </c>
      <c r="AG581" t="s">
        <v>68</v>
      </c>
      <c r="AH581" t="s">
        <v>69</v>
      </c>
      <c r="AI581" t="s">
        <v>122</v>
      </c>
      <c r="AJ581" t="s">
        <v>71</v>
      </c>
      <c r="AK581" t="s">
        <v>221</v>
      </c>
    </row>
    <row r="582" spans="1:37" x14ac:dyDescent="0.3">
      <c r="A582" t="s">
        <v>887</v>
      </c>
      <c r="B582" t="s">
        <v>870</v>
      </c>
      <c r="C582" s="2">
        <v>45764.926233402781</v>
      </c>
      <c r="D582" s="2">
        <v>45758.7969212963</v>
      </c>
      <c r="E582" s="2">
        <v>45760.800276759262</v>
      </c>
      <c r="F582" t="s">
        <v>871</v>
      </c>
      <c r="G582" t="s">
        <v>324</v>
      </c>
      <c r="H582">
        <v>45705</v>
      </c>
      <c r="I582">
        <v>0.39716435185185184</v>
      </c>
      <c r="J582"/>
      <c r="K582"/>
      <c r="L582">
        <v>45705</v>
      </c>
      <c r="M582">
        <v>0.39716435185185195</v>
      </c>
      <c r="N582" t="s">
        <v>892</v>
      </c>
      <c r="O582"/>
      <c r="P582"/>
      <c r="Q582" t="s">
        <v>326</v>
      </c>
      <c r="R582" t="s">
        <v>327</v>
      </c>
      <c r="S582" t="s">
        <v>899</v>
      </c>
      <c r="T582" t="s">
        <v>963</v>
      </c>
      <c r="U582"/>
      <c r="V582"/>
      <c r="W582" t="s">
        <v>964</v>
      </c>
      <c r="X582" t="s">
        <v>896</v>
      </c>
      <c r="Y582" t="s">
        <v>218</v>
      </c>
      <c r="Z582" t="s">
        <v>935</v>
      </c>
      <c r="AA582"/>
      <c r="AB582"/>
      <c r="AC582"/>
      <c r="AD582"/>
      <c r="AE582" t="s">
        <v>904</v>
      </c>
      <c r="AF582" t="s">
        <v>67</v>
      </c>
      <c r="AG582" t="s">
        <v>330</v>
      </c>
      <c r="AH582" t="s">
        <v>69</v>
      </c>
      <c r="AI582" t="s">
        <v>122</v>
      </c>
      <c r="AJ582" t="s">
        <v>71</v>
      </c>
      <c r="AK582" t="s">
        <v>221</v>
      </c>
    </row>
    <row r="583" spans="1:37" x14ac:dyDescent="0.3">
      <c r="A583" t="s">
        <v>887</v>
      </c>
      <c r="B583" t="s">
        <v>870</v>
      </c>
      <c r="C583" s="2">
        <v>45764.926233402781</v>
      </c>
      <c r="D583" s="2">
        <v>45758.7969212963</v>
      </c>
      <c r="E583" s="2">
        <v>45760.800276759262</v>
      </c>
      <c r="F583" t="s">
        <v>871</v>
      </c>
      <c r="G583" t="s">
        <v>173</v>
      </c>
      <c r="H583">
        <v>45705</v>
      </c>
      <c r="I583">
        <v>0.52497685185185183</v>
      </c>
      <c r="J583"/>
      <c r="K583"/>
      <c r="L583">
        <v>45705</v>
      </c>
      <c r="M583">
        <v>0.52497685185185183</v>
      </c>
      <c r="N583" t="s">
        <v>950</v>
      </c>
      <c r="O583" t="s">
        <v>176</v>
      </c>
      <c r="P583"/>
      <c r="Q583" t="s">
        <v>177</v>
      </c>
      <c r="R583" t="s">
        <v>178</v>
      </c>
      <c r="S583" t="s">
        <v>893</v>
      </c>
      <c r="T583" t="s">
        <v>965</v>
      </c>
      <c r="U583"/>
      <c r="V583"/>
      <c r="W583"/>
      <c r="X583"/>
      <c r="Y583"/>
      <c r="Z583"/>
      <c r="AA583"/>
      <c r="AB583"/>
      <c r="AC583"/>
      <c r="AD583"/>
      <c r="AE583" t="s">
        <v>904</v>
      </c>
      <c r="AF583" t="s">
        <v>67</v>
      </c>
      <c r="AG583" t="s">
        <v>68</v>
      </c>
      <c r="AH583" t="s">
        <v>69</v>
      </c>
      <c r="AI583" t="s">
        <v>180</v>
      </c>
      <c r="AJ583" t="s">
        <v>71</v>
      </c>
      <c r="AK583" t="s">
        <v>137</v>
      </c>
    </row>
    <row r="584" spans="1:37" x14ac:dyDescent="0.3">
      <c r="A584" t="s">
        <v>887</v>
      </c>
      <c r="B584" t="s">
        <v>870</v>
      </c>
      <c r="C584" s="2">
        <v>45764.926233402781</v>
      </c>
      <c r="D584" s="2">
        <v>45758.7969212963</v>
      </c>
      <c r="E584" s="2">
        <v>45760.800276759262</v>
      </c>
      <c r="F584" t="s">
        <v>871</v>
      </c>
      <c r="G584" t="s">
        <v>420</v>
      </c>
      <c r="H584">
        <v>45705</v>
      </c>
      <c r="I584">
        <v>0.83333333333333337</v>
      </c>
      <c r="J584">
        <v>45705</v>
      </c>
      <c r="K584">
        <v>0.98958333333333326</v>
      </c>
      <c r="L584">
        <v>45706</v>
      </c>
      <c r="M584">
        <v>0.73564814814814805</v>
      </c>
      <c r="N584" t="s">
        <v>423</v>
      </c>
      <c r="O584" t="s">
        <v>925</v>
      </c>
      <c r="P584"/>
      <c r="Q584" t="s">
        <v>425</v>
      </c>
      <c r="R584" t="s">
        <v>426</v>
      </c>
      <c r="S584" t="s">
        <v>907</v>
      </c>
      <c r="T584" t="s">
        <v>966</v>
      </c>
      <c r="U584"/>
      <c r="V584"/>
      <c r="W584"/>
      <c r="X584"/>
      <c r="Y584"/>
      <c r="Z584"/>
      <c r="AA584"/>
      <c r="AB584"/>
      <c r="AC584"/>
      <c r="AD584"/>
      <c r="AE584" t="s">
        <v>927</v>
      </c>
      <c r="AF584" t="s">
        <v>67</v>
      </c>
      <c r="AG584" t="s">
        <v>106</v>
      </c>
      <c r="AH584" t="s">
        <v>417</v>
      </c>
      <c r="AI584" t="s">
        <v>106</v>
      </c>
      <c r="AJ584" t="s">
        <v>266</v>
      </c>
      <c r="AK584"/>
    </row>
    <row r="585" spans="1:37" x14ac:dyDescent="0.3">
      <c r="A585" t="s">
        <v>887</v>
      </c>
      <c r="B585" t="s">
        <v>870</v>
      </c>
      <c r="C585" s="2">
        <v>45764.926233402781</v>
      </c>
      <c r="D585" s="2">
        <v>45758.7969212963</v>
      </c>
      <c r="E585" s="2">
        <v>45760.800276759262</v>
      </c>
      <c r="F585" t="s">
        <v>871</v>
      </c>
      <c r="G585" t="s">
        <v>429</v>
      </c>
      <c r="H585">
        <v>42906</v>
      </c>
      <c r="I585">
        <v>0.53615740740740736</v>
      </c>
      <c r="J585">
        <v>45555</v>
      </c>
      <c r="K585"/>
      <c r="L585">
        <v>45708</v>
      </c>
      <c r="M585">
        <v>0.53615740740740736</v>
      </c>
      <c r="N585" t="s">
        <v>925</v>
      </c>
      <c r="O585"/>
      <c r="P585"/>
      <c r="Q585" t="s">
        <v>432</v>
      </c>
      <c r="R585" t="s">
        <v>101</v>
      </c>
      <c r="S585" t="s">
        <v>907</v>
      </c>
      <c r="T585" t="s">
        <v>974</v>
      </c>
      <c r="U585"/>
      <c r="V585"/>
      <c r="W585"/>
      <c r="X585"/>
      <c r="Y585"/>
      <c r="Z585"/>
      <c r="AA585"/>
      <c r="AB585"/>
      <c r="AC585"/>
      <c r="AD585"/>
      <c r="AE585" t="s">
        <v>904</v>
      </c>
      <c r="AF585" t="s">
        <v>67</v>
      </c>
      <c r="AG585" t="s">
        <v>434</v>
      </c>
      <c r="AH585" t="s">
        <v>69</v>
      </c>
      <c r="AI585" t="s">
        <v>352</v>
      </c>
      <c r="AJ585" t="s">
        <v>435</v>
      </c>
      <c r="AK585" t="s">
        <v>436</v>
      </c>
    </row>
    <row r="586" spans="1:37" x14ac:dyDescent="0.3">
      <c r="A586" t="s">
        <v>887</v>
      </c>
      <c r="B586" t="s">
        <v>870</v>
      </c>
      <c r="C586" s="2">
        <v>45764.926233402781</v>
      </c>
      <c r="D586" s="2">
        <v>45758.7969212963</v>
      </c>
      <c r="E586" s="2">
        <v>45760.800276759262</v>
      </c>
      <c r="F586" t="s">
        <v>871</v>
      </c>
      <c r="G586" t="s">
        <v>332</v>
      </c>
      <c r="H586">
        <v>45713</v>
      </c>
      <c r="I586">
        <v>0.41666666666666669</v>
      </c>
      <c r="J586">
        <v>45713</v>
      </c>
      <c r="K586">
        <v>0.95833333333333326</v>
      </c>
      <c r="L586">
        <v>45712</v>
      </c>
      <c r="M586">
        <v>0.9913657407407408</v>
      </c>
      <c r="N586" t="s">
        <v>892</v>
      </c>
      <c r="O586"/>
      <c r="P586"/>
      <c r="Q586" t="s">
        <v>335</v>
      </c>
      <c r="R586" t="s">
        <v>250</v>
      </c>
      <c r="S586" t="s">
        <v>922</v>
      </c>
      <c r="T586" t="s">
        <v>973</v>
      </c>
      <c r="U586"/>
      <c r="V586"/>
      <c r="W586" t="s">
        <v>337</v>
      </c>
      <c r="X586" t="s">
        <v>896</v>
      </c>
      <c r="Y586" t="s">
        <v>338</v>
      </c>
      <c r="Z586" t="s">
        <v>339</v>
      </c>
      <c r="AA586"/>
      <c r="AB586"/>
      <c r="AC586"/>
      <c r="AD586"/>
      <c r="AE586" t="s">
        <v>897</v>
      </c>
      <c r="AF586" t="s">
        <v>67</v>
      </c>
      <c r="AG586" t="s">
        <v>158</v>
      </c>
      <c r="AH586" t="s">
        <v>159</v>
      </c>
      <c r="AI586" t="s">
        <v>160</v>
      </c>
      <c r="AJ586" t="s">
        <v>975</v>
      </c>
      <c r="AK586" t="s">
        <v>221</v>
      </c>
    </row>
    <row r="587" spans="1:37" x14ac:dyDescent="0.3">
      <c r="A587" t="s">
        <v>887</v>
      </c>
      <c r="B587" t="s">
        <v>870</v>
      </c>
      <c r="C587" s="2">
        <v>45764.926233402781</v>
      </c>
      <c r="D587" s="2">
        <v>45758.7969212963</v>
      </c>
      <c r="E587" s="2">
        <v>45760.800276759262</v>
      </c>
      <c r="F587" t="s">
        <v>871</v>
      </c>
      <c r="G587" t="s">
        <v>492</v>
      </c>
      <c r="H587">
        <v>45720</v>
      </c>
      <c r="I587">
        <v>0.64097222222222228</v>
      </c>
      <c r="J587"/>
      <c r="K587"/>
      <c r="L587">
        <v>45720</v>
      </c>
      <c r="M587">
        <v>0.64444444444444438</v>
      </c>
      <c r="N587" t="s">
        <v>906</v>
      </c>
      <c r="O587" t="s">
        <v>976</v>
      </c>
      <c r="P587" t="s">
        <v>344</v>
      </c>
      <c r="Q587" t="s">
        <v>497</v>
      </c>
      <c r="R587" t="s">
        <v>84</v>
      </c>
      <c r="S587" t="s">
        <v>907</v>
      </c>
      <c r="T587" t="s">
        <v>977</v>
      </c>
      <c r="U587"/>
      <c r="V587"/>
      <c r="W587" t="s">
        <v>499</v>
      </c>
      <c r="X587" t="s">
        <v>500</v>
      </c>
      <c r="Y587" t="s">
        <v>501</v>
      </c>
      <c r="Z587" t="s">
        <v>65</v>
      </c>
      <c r="AA587"/>
      <c r="AB587"/>
      <c r="AC587"/>
      <c r="AD587"/>
      <c r="AE587" t="s">
        <v>978</v>
      </c>
      <c r="AF587" t="s">
        <v>67</v>
      </c>
      <c r="AG587" t="s">
        <v>502</v>
      </c>
      <c r="AH587" t="s">
        <v>159</v>
      </c>
      <c r="AI587" t="s">
        <v>378</v>
      </c>
      <c r="AJ587" t="s">
        <v>195</v>
      </c>
      <c r="AK587" t="s">
        <v>353</v>
      </c>
    </row>
    <row r="588" spans="1:37" x14ac:dyDescent="0.3">
      <c r="A588" t="s">
        <v>887</v>
      </c>
      <c r="B588" t="s">
        <v>870</v>
      </c>
      <c r="C588" s="2">
        <v>45764.926233402781</v>
      </c>
      <c r="D588" s="2">
        <v>45758.7969212963</v>
      </c>
      <c r="E588" s="2">
        <v>45760.800276759262</v>
      </c>
      <c r="F588" t="s">
        <v>871</v>
      </c>
      <c r="G588" t="s">
        <v>484</v>
      </c>
      <c r="H588">
        <v>45720</v>
      </c>
      <c r="I588">
        <v>0.79126157407407405</v>
      </c>
      <c r="J588"/>
      <c r="K588"/>
      <c r="L588">
        <v>45720</v>
      </c>
      <c r="M588">
        <v>0.79126157407407405</v>
      </c>
      <c r="N588" t="s">
        <v>906</v>
      </c>
      <c r="O588"/>
      <c r="P588"/>
      <c r="Q588" t="s">
        <v>487</v>
      </c>
      <c r="R588" t="s">
        <v>261</v>
      </c>
      <c r="S588" t="s">
        <v>936</v>
      </c>
      <c r="T588" t="s">
        <v>979</v>
      </c>
      <c r="U588"/>
      <c r="V588"/>
      <c r="W588"/>
      <c r="X588"/>
      <c r="Y588"/>
      <c r="Z588"/>
      <c r="AA588"/>
      <c r="AB588"/>
      <c r="AC588"/>
      <c r="AD588"/>
      <c r="AE588" t="s">
        <v>978</v>
      </c>
      <c r="AF588" t="s">
        <v>67</v>
      </c>
      <c r="AG588" t="s">
        <v>489</v>
      </c>
      <c r="AH588" t="s">
        <v>206</v>
      </c>
      <c r="AI588" t="s">
        <v>70</v>
      </c>
      <c r="AJ588" t="s">
        <v>195</v>
      </c>
      <c r="AK588" t="s">
        <v>353</v>
      </c>
    </row>
    <row r="589" spans="1:37" x14ac:dyDescent="0.3">
      <c r="A589" t="s">
        <v>887</v>
      </c>
      <c r="B589" t="s">
        <v>870</v>
      </c>
      <c r="C589" s="2">
        <v>45764.926233402781</v>
      </c>
      <c r="D589" s="2">
        <v>45758.7969212963</v>
      </c>
      <c r="E589" s="2">
        <v>45760.800276759262</v>
      </c>
      <c r="F589" t="s">
        <v>871</v>
      </c>
      <c r="G589" t="s">
        <v>460</v>
      </c>
      <c r="H589">
        <v>45722</v>
      </c>
      <c r="I589">
        <v>0.94149305555555551</v>
      </c>
      <c r="J589"/>
      <c r="K589"/>
      <c r="L589">
        <v>45722</v>
      </c>
      <c r="M589">
        <v>0.94149305555555562</v>
      </c>
      <c r="N589" t="s">
        <v>902</v>
      </c>
      <c r="O589"/>
      <c r="P589"/>
      <c r="Q589" t="s">
        <v>464</v>
      </c>
      <c r="R589" t="s">
        <v>84</v>
      </c>
      <c r="S589" t="s">
        <v>907</v>
      </c>
      <c r="T589" t="s">
        <v>980</v>
      </c>
      <c r="U589"/>
      <c r="V589"/>
      <c r="W589" t="s">
        <v>466</v>
      </c>
      <c r="X589" t="s">
        <v>944</v>
      </c>
      <c r="Y589" t="s">
        <v>467</v>
      </c>
      <c r="Z589" t="s">
        <v>65</v>
      </c>
      <c r="AA589"/>
      <c r="AB589"/>
      <c r="AC589"/>
      <c r="AD589"/>
      <c r="AE589" t="s">
        <v>981</v>
      </c>
      <c r="AF589" t="s">
        <v>67</v>
      </c>
      <c r="AG589" t="s">
        <v>68</v>
      </c>
      <c r="AH589" t="s">
        <v>69</v>
      </c>
      <c r="AI589" t="s">
        <v>160</v>
      </c>
      <c r="AJ589" t="s">
        <v>123</v>
      </c>
      <c r="AK589" t="s">
        <v>72</v>
      </c>
    </row>
    <row r="590" spans="1:37" x14ac:dyDescent="0.3">
      <c r="A590" t="s">
        <v>887</v>
      </c>
      <c r="B590" t="s">
        <v>870</v>
      </c>
      <c r="C590" s="2">
        <v>45764.926233402781</v>
      </c>
      <c r="D590" s="2">
        <v>45758.7969212963</v>
      </c>
      <c r="E590" s="2">
        <v>45760.800276759262</v>
      </c>
      <c r="F590" t="s">
        <v>871</v>
      </c>
      <c r="G590" t="s">
        <v>472</v>
      </c>
      <c r="H590">
        <v>45725</v>
      </c>
      <c r="I590">
        <v>0.8125</v>
      </c>
      <c r="J590">
        <v>45726</v>
      </c>
      <c r="K590">
        <v>0.35416666666666674</v>
      </c>
      <c r="L590">
        <v>45726</v>
      </c>
      <c r="M590">
        <v>0.37046296296296299</v>
      </c>
      <c r="N590" t="s">
        <v>902</v>
      </c>
      <c r="O590"/>
      <c r="P590"/>
      <c r="Q590" t="s">
        <v>475</v>
      </c>
      <c r="R590" t="s">
        <v>134</v>
      </c>
      <c r="S590" t="s">
        <v>899</v>
      </c>
      <c r="T590" t="s">
        <v>982</v>
      </c>
      <c r="U590"/>
      <c r="V590"/>
      <c r="W590" t="s">
        <v>477</v>
      </c>
      <c r="X590" t="s">
        <v>478</v>
      </c>
      <c r="Y590" t="s">
        <v>479</v>
      </c>
      <c r="Z590" t="s">
        <v>65</v>
      </c>
      <c r="AA590"/>
      <c r="AB590"/>
      <c r="AC590"/>
      <c r="AD590"/>
      <c r="AE590" t="s">
        <v>897</v>
      </c>
      <c r="AF590" t="s">
        <v>67</v>
      </c>
      <c r="AG590" t="s">
        <v>480</v>
      </c>
      <c r="AH590" t="s">
        <v>351</v>
      </c>
      <c r="AI590" t="s">
        <v>122</v>
      </c>
      <c r="AJ590" t="s">
        <v>71</v>
      </c>
      <c r="AK590" t="s">
        <v>72</v>
      </c>
    </row>
    <row r="591" spans="1:37" x14ac:dyDescent="0.3">
      <c r="A591" t="s">
        <v>887</v>
      </c>
      <c r="B591" t="s">
        <v>870</v>
      </c>
      <c r="C591" s="2">
        <v>45764.926233402781</v>
      </c>
      <c r="D591" s="2">
        <v>45758.7969212963</v>
      </c>
      <c r="E591" s="2">
        <v>45760.800276759262</v>
      </c>
      <c r="F591" t="s">
        <v>871</v>
      </c>
      <c r="G591" t="s">
        <v>529</v>
      </c>
      <c r="H591">
        <v>45726</v>
      </c>
      <c r="I591">
        <v>4.6527777777777779E-2</v>
      </c>
      <c r="J591">
        <v>45726</v>
      </c>
      <c r="K591">
        <v>0.16180555555555554</v>
      </c>
      <c r="L591">
        <v>45727</v>
      </c>
      <c r="M591">
        <v>0.44234953703703694</v>
      </c>
      <c r="N591" t="s">
        <v>915</v>
      </c>
      <c r="O591"/>
      <c r="P591"/>
      <c r="Q591" t="s">
        <v>532</v>
      </c>
      <c r="R591" t="s">
        <v>283</v>
      </c>
      <c r="S591" t="s">
        <v>907</v>
      </c>
      <c r="T591" t="s">
        <v>983</v>
      </c>
      <c r="U591"/>
      <c r="V591"/>
      <c r="W591"/>
      <c r="X591"/>
      <c r="Y591"/>
      <c r="Z591"/>
      <c r="AA591"/>
      <c r="AB591"/>
      <c r="AC591"/>
      <c r="AD591"/>
      <c r="AE591" t="s">
        <v>984</v>
      </c>
      <c r="AF591" t="s">
        <v>67</v>
      </c>
      <c r="AG591" t="s">
        <v>219</v>
      </c>
      <c r="AH591" t="s">
        <v>159</v>
      </c>
      <c r="AI591" t="s">
        <v>106</v>
      </c>
      <c r="AJ591" t="s">
        <v>71</v>
      </c>
      <c r="AK591" t="s">
        <v>137</v>
      </c>
    </row>
    <row r="592" spans="1:37" x14ac:dyDescent="0.3">
      <c r="A592" t="s">
        <v>887</v>
      </c>
      <c r="B592" t="s">
        <v>870</v>
      </c>
      <c r="C592" s="2">
        <v>45764.926233402781</v>
      </c>
      <c r="D592" s="2">
        <v>45758.7969212963</v>
      </c>
      <c r="E592" s="2">
        <v>45760.800276759262</v>
      </c>
      <c r="F592" t="s">
        <v>871</v>
      </c>
      <c r="G592" t="s">
        <v>516</v>
      </c>
      <c r="H592">
        <v>45727</v>
      </c>
      <c r="I592">
        <v>0.60416666666666663</v>
      </c>
      <c r="J592"/>
      <c r="K592"/>
      <c r="L592">
        <v>45727</v>
      </c>
      <c r="M592">
        <v>0.6903935185185186</v>
      </c>
      <c r="N592" t="s">
        <v>902</v>
      </c>
      <c r="O592"/>
      <c r="P592"/>
      <c r="Q592" t="s">
        <v>519</v>
      </c>
      <c r="R592" t="s">
        <v>84</v>
      </c>
      <c r="S592" t="s">
        <v>907</v>
      </c>
      <c r="T592" t="s">
        <v>985</v>
      </c>
      <c r="U592"/>
      <c r="V592"/>
      <c r="W592" t="s">
        <v>521</v>
      </c>
      <c r="X592" t="s">
        <v>986</v>
      </c>
      <c r="Y592" t="s">
        <v>523</v>
      </c>
      <c r="Z592" t="s">
        <v>65</v>
      </c>
      <c r="AA592"/>
      <c r="AB592"/>
      <c r="AC592"/>
      <c r="AD592"/>
      <c r="AE592" t="s">
        <v>927</v>
      </c>
      <c r="AF592" t="s">
        <v>67</v>
      </c>
      <c r="AG592" t="s">
        <v>158</v>
      </c>
      <c r="AH592" t="s">
        <v>159</v>
      </c>
      <c r="AI592" t="s">
        <v>524</v>
      </c>
      <c r="AJ592" t="s">
        <v>71</v>
      </c>
      <c r="AK592" t="s">
        <v>72</v>
      </c>
    </row>
    <row r="593" spans="1:37" x14ac:dyDescent="0.3">
      <c r="A593" t="s">
        <v>887</v>
      </c>
      <c r="B593" t="s">
        <v>870</v>
      </c>
      <c r="C593" s="2">
        <v>45764.926233402781</v>
      </c>
      <c r="D593" s="2">
        <v>45758.7969212963</v>
      </c>
      <c r="E593" s="2">
        <v>45760.800276759262</v>
      </c>
      <c r="F593" t="s">
        <v>871</v>
      </c>
      <c r="G593" t="s">
        <v>537</v>
      </c>
      <c r="H593"/>
      <c r="I593"/>
      <c r="J593">
        <v>45734</v>
      </c>
      <c r="K593">
        <v>0.22916666666666674</v>
      </c>
      <c r="L593">
        <v>45734</v>
      </c>
      <c r="M593">
        <v>0.27405092592592584</v>
      </c>
      <c r="N593" t="s">
        <v>440</v>
      </c>
      <c r="O593" t="s">
        <v>915</v>
      </c>
      <c r="P593"/>
      <c r="Q593" t="s">
        <v>540</v>
      </c>
      <c r="R593" t="s">
        <v>363</v>
      </c>
      <c r="S593" t="s">
        <v>893</v>
      </c>
      <c r="T593" t="s">
        <v>987</v>
      </c>
      <c r="U593"/>
      <c r="V593"/>
      <c r="W593" t="s">
        <v>988</v>
      </c>
      <c r="X593" t="s">
        <v>543</v>
      </c>
      <c r="Y593" t="s">
        <v>544</v>
      </c>
      <c r="Z593" t="s">
        <v>65</v>
      </c>
      <c r="AA593"/>
      <c r="AB593"/>
      <c r="AC593"/>
      <c r="AD593"/>
      <c r="AE593"/>
      <c r="AF593" t="s">
        <v>67</v>
      </c>
      <c r="AG593" t="s">
        <v>545</v>
      </c>
      <c r="AH593" t="s">
        <v>546</v>
      </c>
      <c r="AI593"/>
      <c r="AJ593"/>
      <c r="AK593"/>
    </row>
    <row r="594" spans="1:37" x14ac:dyDescent="0.3">
      <c r="A594" t="s">
        <v>887</v>
      </c>
      <c r="B594" t="s">
        <v>870</v>
      </c>
      <c r="C594" s="2">
        <v>45764.926233402781</v>
      </c>
      <c r="D594" s="2">
        <v>45758.7969212963</v>
      </c>
      <c r="E594" s="2">
        <v>45760.800276759262</v>
      </c>
      <c r="F594" t="s">
        <v>871</v>
      </c>
      <c r="G594" t="s">
        <v>549</v>
      </c>
      <c r="H594">
        <v>45737</v>
      </c>
      <c r="I594">
        <v>0.32500000000000001</v>
      </c>
      <c r="J594"/>
      <c r="K594"/>
      <c r="L594">
        <v>45737</v>
      </c>
      <c r="M594">
        <v>0.5971412037037036</v>
      </c>
      <c r="N594" t="s">
        <v>892</v>
      </c>
      <c r="O594"/>
      <c r="P594"/>
      <c r="Q594" t="s">
        <v>552</v>
      </c>
      <c r="R594" t="s">
        <v>261</v>
      </c>
      <c r="S594" t="s">
        <v>936</v>
      </c>
      <c r="T594" t="s">
        <v>989</v>
      </c>
      <c r="U594"/>
      <c r="V594"/>
      <c r="W594" t="s">
        <v>554</v>
      </c>
      <c r="X594" t="s">
        <v>990</v>
      </c>
      <c r="Y594"/>
      <c r="Z594" t="s">
        <v>65</v>
      </c>
      <c r="AA594"/>
      <c r="AB594"/>
      <c r="AC594"/>
      <c r="AD594"/>
      <c r="AE594" t="s">
        <v>981</v>
      </c>
      <c r="AF594" t="s">
        <v>67</v>
      </c>
      <c r="AG594" t="s">
        <v>147</v>
      </c>
      <c r="AH594" t="s">
        <v>90</v>
      </c>
      <c r="AI594" t="s">
        <v>171</v>
      </c>
      <c r="AJ594" t="s">
        <v>266</v>
      </c>
      <c r="AK594" t="s">
        <v>221</v>
      </c>
    </row>
    <row r="595" spans="1:37" x14ac:dyDescent="0.3">
      <c r="A595" t="s">
        <v>887</v>
      </c>
      <c r="B595" t="s">
        <v>870</v>
      </c>
      <c r="C595" s="2">
        <v>45764.926233402781</v>
      </c>
      <c r="D595" s="2">
        <v>45758.7969212963</v>
      </c>
      <c r="E595" s="2">
        <v>45760.800276759262</v>
      </c>
      <c r="F595" t="s">
        <v>871</v>
      </c>
      <c r="G595" t="s">
        <v>559</v>
      </c>
      <c r="H595">
        <v>45739</v>
      </c>
      <c r="I595">
        <v>0.1736111111111111</v>
      </c>
      <c r="J595">
        <v>45739</v>
      </c>
      <c r="K595">
        <v>0.18055555555555558</v>
      </c>
      <c r="L595">
        <v>45739</v>
      </c>
      <c r="M595">
        <v>0.20511574074074068</v>
      </c>
      <c r="N595" t="s">
        <v>902</v>
      </c>
      <c r="O595" t="s">
        <v>991</v>
      </c>
      <c r="P595"/>
      <c r="Q595" t="s">
        <v>564</v>
      </c>
      <c r="R595" t="s">
        <v>250</v>
      </c>
      <c r="S595" t="s">
        <v>922</v>
      </c>
      <c r="T595" t="s">
        <v>992</v>
      </c>
      <c r="U595"/>
      <c r="V595"/>
      <c r="W595" t="s">
        <v>993</v>
      </c>
      <c r="X595" t="s">
        <v>944</v>
      </c>
      <c r="Y595" t="s">
        <v>567</v>
      </c>
      <c r="Z595" t="s">
        <v>65</v>
      </c>
      <c r="AA595"/>
      <c r="AB595"/>
      <c r="AC595"/>
      <c r="AD595"/>
      <c r="AE595" t="s">
        <v>994</v>
      </c>
      <c r="AF595" t="s">
        <v>67</v>
      </c>
      <c r="AG595" t="s">
        <v>105</v>
      </c>
      <c r="AH595" t="s">
        <v>69</v>
      </c>
      <c r="AI595" t="s">
        <v>122</v>
      </c>
      <c r="AJ595" t="s">
        <v>71</v>
      </c>
      <c r="AK595" t="s">
        <v>72</v>
      </c>
    </row>
    <row r="596" spans="1:37" x14ac:dyDescent="0.3">
      <c r="A596" t="s">
        <v>887</v>
      </c>
      <c r="B596" t="s">
        <v>870</v>
      </c>
      <c r="C596" s="2">
        <v>45764.926233402781</v>
      </c>
      <c r="D596" s="2">
        <v>45758.7969212963</v>
      </c>
      <c r="E596" s="2">
        <v>45760.800276759262</v>
      </c>
      <c r="F596" t="s">
        <v>871</v>
      </c>
      <c r="G596" t="s">
        <v>678</v>
      </c>
      <c r="H596">
        <v>45741</v>
      </c>
      <c r="I596">
        <v>0.48402777777777778</v>
      </c>
      <c r="J596"/>
      <c r="K596"/>
      <c r="L596">
        <v>45741</v>
      </c>
      <c r="M596">
        <v>0.50343749999999998</v>
      </c>
      <c r="N596" t="s">
        <v>906</v>
      </c>
      <c r="O596" t="s">
        <v>930</v>
      </c>
      <c r="P596" t="s">
        <v>687</v>
      </c>
      <c r="Q596" t="s">
        <v>362</v>
      </c>
      <c r="R596" t="s">
        <v>363</v>
      </c>
      <c r="S596" t="s">
        <v>893</v>
      </c>
      <c r="T596" t="s">
        <v>995</v>
      </c>
      <c r="U596"/>
      <c r="V596"/>
      <c r="W596" t="s">
        <v>689</v>
      </c>
      <c r="X596" t="s">
        <v>986</v>
      </c>
      <c r="Y596" t="s">
        <v>690</v>
      </c>
      <c r="Z596" t="s">
        <v>65</v>
      </c>
      <c r="AA596"/>
      <c r="AB596"/>
      <c r="AC596"/>
      <c r="AD596"/>
      <c r="AE596" t="s">
        <v>996</v>
      </c>
      <c r="AF596" t="s">
        <v>67</v>
      </c>
      <c r="AG596" t="s">
        <v>647</v>
      </c>
      <c r="AH596" t="s">
        <v>351</v>
      </c>
      <c r="AI596" t="s">
        <v>160</v>
      </c>
      <c r="AJ596" t="s">
        <v>123</v>
      </c>
      <c r="AK596" t="s">
        <v>353</v>
      </c>
    </row>
    <row r="597" spans="1:37" x14ac:dyDescent="0.3">
      <c r="A597" t="s">
        <v>887</v>
      </c>
      <c r="B597" t="s">
        <v>870</v>
      </c>
      <c r="C597" s="2">
        <v>45764.926233402781</v>
      </c>
      <c r="D597" s="2">
        <v>45758.7969212963</v>
      </c>
      <c r="E597" s="2">
        <v>45760.800276759262</v>
      </c>
      <c r="F597" t="s">
        <v>871</v>
      </c>
      <c r="G597" t="s">
        <v>573</v>
      </c>
      <c r="H597">
        <v>45743</v>
      </c>
      <c r="I597">
        <v>0.94666666666666666</v>
      </c>
      <c r="J597"/>
      <c r="K597"/>
      <c r="L597">
        <v>45743</v>
      </c>
      <c r="M597">
        <v>0.94666666666666677</v>
      </c>
      <c r="N597" t="s">
        <v>950</v>
      </c>
      <c r="O597" t="s">
        <v>997</v>
      </c>
      <c r="P597" t="s">
        <v>909</v>
      </c>
      <c r="Q597" t="s">
        <v>577</v>
      </c>
      <c r="R597" t="s">
        <v>261</v>
      </c>
      <c r="S597" t="s">
        <v>936</v>
      </c>
      <c r="T597" t="s">
        <v>998</v>
      </c>
      <c r="U597"/>
      <c r="V597"/>
      <c r="W597"/>
      <c r="X597"/>
      <c r="Y597"/>
      <c r="Z597"/>
      <c r="AA597"/>
      <c r="AB597"/>
      <c r="AC597"/>
      <c r="AD597"/>
      <c r="AE597" t="s">
        <v>927</v>
      </c>
      <c r="AF597" t="s">
        <v>67</v>
      </c>
      <c r="AG597" t="s">
        <v>579</v>
      </c>
      <c r="AH597" t="s">
        <v>121</v>
      </c>
      <c r="AI597" t="s">
        <v>378</v>
      </c>
      <c r="AJ597" t="s">
        <v>435</v>
      </c>
      <c r="AK597" t="s">
        <v>137</v>
      </c>
    </row>
    <row r="598" spans="1:37" x14ac:dyDescent="0.3">
      <c r="A598" t="s">
        <v>887</v>
      </c>
      <c r="B598" t="s">
        <v>870</v>
      </c>
      <c r="C598" s="2">
        <v>45764.926233402781</v>
      </c>
      <c r="D598" s="2">
        <v>45758.7969212963</v>
      </c>
      <c r="E598" s="2">
        <v>45760.800276759262</v>
      </c>
      <c r="F598" t="s">
        <v>871</v>
      </c>
      <c r="G598" t="s">
        <v>582</v>
      </c>
      <c r="H598">
        <v>45743</v>
      </c>
      <c r="I598">
        <v>0.97916666666666663</v>
      </c>
      <c r="J598">
        <v>45744</v>
      </c>
      <c r="K598">
        <v>2.4999999999999911E-2</v>
      </c>
      <c r="L598">
        <v>45744</v>
      </c>
      <c r="M598">
        <v>0.46781249999999996</v>
      </c>
      <c r="N598" t="s">
        <v>915</v>
      </c>
      <c r="O598"/>
      <c r="P598"/>
      <c r="Q598" t="s">
        <v>584</v>
      </c>
      <c r="R598" t="s">
        <v>283</v>
      </c>
      <c r="S598" t="s">
        <v>907</v>
      </c>
      <c r="T598" t="s">
        <v>999</v>
      </c>
      <c r="U598">
        <v>50300</v>
      </c>
      <c r="V598"/>
      <c r="W598"/>
      <c r="X598"/>
      <c r="Y598"/>
      <c r="Z598"/>
      <c r="AA598"/>
      <c r="AB598"/>
      <c r="AC598"/>
      <c r="AD598"/>
      <c r="AE598" t="s">
        <v>1000</v>
      </c>
      <c r="AF598" t="s">
        <v>67</v>
      </c>
      <c r="AG598" t="s">
        <v>480</v>
      </c>
      <c r="AH598" t="s">
        <v>351</v>
      </c>
      <c r="AI598" t="s">
        <v>586</v>
      </c>
      <c r="AJ598" t="s">
        <v>123</v>
      </c>
      <c r="AK598" t="s">
        <v>137</v>
      </c>
    </row>
    <row r="599" spans="1:37" x14ac:dyDescent="0.3">
      <c r="A599" t="s">
        <v>887</v>
      </c>
      <c r="B599" t="s">
        <v>870</v>
      </c>
      <c r="C599" s="2">
        <v>45764.926233402781</v>
      </c>
      <c r="D599" s="2">
        <v>45758.7969212963</v>
      </c>
      <c r="E599" s="2">
        <v>45760.800276759262</v>
      </c>
      <c r="F599" t="s">
        <v>871</v>
      </c>
      <c r="G599" t="s">
        <v>694</v>
      </c>
      <c r="H599">
        <v>45745</v>
      </c>
      <c r="I599">
        <v>0.20515046296296297</v>
      </c>
      <c r="J599"/>
      <c r="K599"/>
      <c r="L599">
        <v>45745</v>
      </c>
      <c r="M599">
        <v>0.20931712962962967</v>
      </c>
      <c r="N599" t="s">
        <v>176</v>
      </c>
      <c r="O599" t="s">
        <v>1001</v>
      </c>
      <c r="P599"/>
      <c r="Q599" t="s">
        <v>699</v>
      </c>
      <c r="R599" t="s">
        <v>273</v>
      </c>
      <c r="S599" t="s">
        <v>936</v>
      </c>
      <c r="T599" t="s">
        <v>1002</v>
      </c>
      <c r="U599"/>
      <c r="V599"/>
      <c r="W599" t="s">
        <v>701</v>
      </c>
      <c r="X599" t="s">
        <v>1003</v>
      </c>
      <c r="Y599" t="s">
        <v>635</v>
      </c>
      <c r="Z599" t="s">
        <v>65</v>
      </c>
      <c r="AA599"/>
      <c r="AB599"/>
      <c r="AC599"/>
      <c r="AD599"/>
      <c r="AE599" t="s">
        <v>994</v>
      </c>
      <c r="AF599" t="s">
        <v>67</v>
      </c>
      <c r="AG599" t="s">
        <v>579</v>
      </c>
      <c r="AH599" t="s">
        <v>121</v>
      </c>
      <c r="AI599" t="s">
        <v>524</v>
      </c>
      <c r="AJ599" t="s">
        <v>123</v>
      </c>
      <c r="AK599"/>
    </row>
    <row r="600" spans="1:37" x14ac:dyDescent="0.3">
      <c r="A600" t="s">
        <v>887</v>
      </c>
      <c r="B600" t="s">
        <v>870</v>
      </c>
      <c r="C600" s="2">
        <v>45764.926233402781</v>
      </c>
      <c r="D600" s="2">
        <v>45758.7969212963</v>
      </c>
      <c r="E600" s="2">
        <v>45760.800276759262</v>
      </c>
      <c r="F600" t="s">
        <v>871</v>
      </c>
      <c r="G600" t="s">
        <v>628</v>
      </c>
      <c r="H600">
        <v>45744</v>
      </c>
      <c r="I600">
        <v>0.85416666666666663</v>
      </c>
      <c r="J600">
        <v>45745</v>
      </c>
      <c r="K600">
        <v>0.41666666666666674</v>
      </c>
      <c r="L600">
        <v>45745</v>
      </c>
      <c r="M600">
        <v>0.42986111111111103</v>
      </c>
      <c r="N600" t="s">
        <v>892</v>
      </c>
      <c r="O600"/>
      <c r="P600"/>
      <c r="Q600" t="s">
        <v>631</v>
      </c>
      <c r="R600" t="s">
        <v>426</v>
      </c>
      <c r="S600" t="s">
        <v>907</v>
      </c>
      <c r="T600" t="s">
        <v>1004</v>
      </c>
      <c r="U600"/>
      <c r="V600"/>
      <c r="W600" t="s">
        <v>633</v>
      </c>
      <c r="X600" t="s">
        <v>1003</v>
      </c>
      <c r="Y600" t="s">
        <v>635</v>
      </c>
      <c r="Z600" t="s">
        <v>65</v>
      </c>
      <c r="AA600"/>
      <c r="AB600"/>
      <c r="AC600"/>
      <c r="AD600"/>
      <c r="AE600" t="s">
        <v>994</v>
      </c>
      <c r="AF600" t="s">
        <v>67</v>
      </c>
      <c r="AG600" t="s">
        <v>636</v>
      </c>
      <c r="AH600" t="s">
        <v>637</v>
      </c>
      <c r="AI600" t="s">
        <v>160</v>
      </c>
      <c r="AJ600" t="s">
        <v>123</v>
      </c>
      <c r="AK600" t="s">
        <v>221</v>
      </c>
    </row>
    <row r="601" spans="1:37" x14ac:dyDescent="0.3">
      <c r="A601" t="s">
        <v>887</v>
      </c>
      <c r="B601" t="s">
        <v>870</v>
      </c>
      <c r="C601" s="2">
        <v>45764.926233402781</v>
      </c>
      <c r="D601" s="2">
        <v>45758.7969212963</v>
      </c>
      <c r="E601" s="2">
        <v>45760.800276759262</v>
      </c>
      <c r="F601" t="s">
        <v>871</v>
      </c>
      <c r="G601" t="s">
        <v>589</v>
      </c>
      <c r="H601">
        <v>45747</v>
      </c>
      <c r="I601">
        <v>0.5</v>
      </c>
      <c r="J601"/>
      <c r="K601"/>
      <c r="L601">
        <v>45747</v>
      </c>
      <c r="M601">
        <v>0.54355324074074085</v>
      </c>
      <c r="N601" t="s">
        <v>915</v>
      </c>
      <c r="O601"/>
      <c r="P601"/>
      <c r="Q601" t="s">
        <v>591</v>
      </c>
      <c r="R601" t="s">
        <v>592</v>
      </c>
      <c r="S601" t="s">
        <v>899</v>
      </c>
      <c r="T601" t="s">
        <v>1005</v>
      </c>
      <c r="U601"/>
      <c r="V601"/>
      <c r="W601"/>
      <c r="X601"/>
      <c r="Y601"/>
      <c r="Z601"/>
      <c r="AA601"/>
      <c r="AB601"/>
      <c r="AC601"/>
      <c r="AD601"/>
      <c r="AE601" t="s">
        <v>994</v>
      </c>
      <c r="AF601" t="s">
        <v>67</v>
      </c>
      <c r="AG601" t="s">
        <v>594</v>
      </c>
      <c r="AH601" t="s">
        <v>90</v>
      </c>
      <c r="AI601" t="s">
        <v>180</v>
      </c>
      <c r="AJ601" t="s">
        <v>92</v>
      </c>
      <c r="AK601" t="s">
        <v>137</v>
      </c>
    </row>
    <row r="602" spans="1:37" x14ac:dyDescent="0.3">
      <c r="A602" t="s">
        <v>887</v>
      </c>
      <c r="B602" t="s">
        <v>870</v>
      </c>
      <c r="C602" s="2">
        <v>45764.926233402781</v>
      </c>
      <c r="D602" s="2">
        <v>45758.7969212963</v>
      </c>
      <c r="E602" s="2">
        <v>45760.800276759262</v>
      </c>
      <c r="F602" t="s">
        <v>871</v>
      </c>
      <c r="G602" t="s">
        <v>705</v>
      </c>
      <c r="H602">
        <v>45747</v>
      </c>
      <c r="I602">
        <v>0.77777777777777779</v>
      </c>
      <c r="J602">
        <v>45747</v>
      </c>
      <c r="K602">
        <v>0.91666666666666674</v>
      </c>
      <c r="L602">
        <v>45747</v>
      </c>
      <c r="M602">
        <v>0.93032407407407414</v>
      </c>
      <c r="N602" t="s">
        <v>902</v>
      </c>
      <c r="O602" t="s">
        <v>930</v>
      </c>
      <c r="P602" t="s">
        <v>1006</v>
      </c>
      <c r="Q602" t="s">
        <v>709</v>
      </c>
      <c r="R602" t="s">
        <v>134</v>
      </c>
      <c r="S602" t="s">
        <v>899</v>
      </c>
      <c r="T602" t="s">
        <v>1007</v>
      </c>
      <c r="U602"/>
      <c r="V602"/>
      <c r="W602" t="s">
        <v>711</v>
      </c>
      <c r="X602" t="s">
        <v>1008</v>
      </c>
      <c r="Y602" t="s">
        <v>713</v>
      </c>
      <c r="Z602" t="s">
        <v>65</v>
      </c>
      <c r="AA602"/>
      <c r="AB602"/>
      <c r="AC602"/>
      <c r="AD602"/>
      <c r="AE602" t="s">
        <v>981</v>
      </c>
      <c r="AF602" t="s">
        <v>67</v>
      </c>
      <c r="AG602" t="s">
        <v>714</v>
      </c>
      <c r="AH602" t="s">
        <v>90</v>
      </c>
      <c r="AI602" t="s">
        <v>160</v>
      </c>
      <c r="AJ602" t="s">
        <v>123</v>
      </c>
      <c r="AK602" t="s">
        <v>613</v>
      </c>
    </row>
    <row r="603" spans="1:37" x14ac:dyDescent="0.3">
      <c r="A603" t="s">
        <v>887</v>
      </c>
      <c r="B603" t="s">
        <v>870</v>
      </c>
      <c r="C603" s="2">
        <v>45764.926233402781</v>
      </c>
      <c r="D603" s="2">
        <v>45758.7969212963</v>
      </c>
      <c r="E603" s="2">
        <v>45760.800276759262</v>
      </c>
      <c r="F603" t="s">
        <v>871</v>
      </c>
      <c r="G603" t="s">
        <v>605</v>
      </c>
      <c r="H603">
        <v>45747</v>
      </c>
      <c r="I603">
        <v>0.75</v>
      </c>
      <c r="J603"/>
      <c r="K603"/>
      <c r="L603">
        <v>45748</v>
      </c>
      <c r="M603">
        <v>3.6863425925925952E-2</v>
      </c>
      <c r="N603" t="s">
        <v>902</v>
      </c>
      <c r="O603"/>
      <c r="P603"/>
      <c r="Q603" t="s">
        <v>607</v>
      </c>
      <c r="R603" t="s">
        <v>215</v>
      </c>
      <c r="S603"/>
      <c r="T603" t="s">
        <v>1009</v>
      </c>
      <c r="U603">
        <v>2</v>
      </c>
      <c r="V603">
        <v>0</v>
      </c>
      <c r="W603" t="s">
        <v>1010</v>
      </c>
      <c r="X603" t="s">
        <v>924</v>
      </c>
      <c r="Y603" t="s">
        <v>1011</v>
      </c>
      <c r="Z603" t="s">
        <v>935</v>
      </c>
      <c r="AA603"/>
      <c r="AB603"/>
      <c r="AC603"/>
      <c r="AD603"/>
      <c r="AE603" t="s">
        <v>981</v>
      </c>
      <c r="AF603" t="s">
        <v>67</v>
      </c>
      <c r="AG603" t="s">
        <v>611</v>
      </c>
      <c r="AH603" t="s">
        <v>612</v>
      </c>
      <c r="AI603" t="s">
        <v>160</v>
      </c>
      <c r="AJ603" t="s">
        <v>195</v>
      </c>
      <c r="AK603" t="s">
        <v>613</v>
      </c>
    </row>
    <row r="604" spans="1:37" x14ac:dyDescent="0.3">
      <c r="A604" t="s">
        <v>887</v>
      </c>
      <c r="B604" t="s">
        <v>870</v>
      </c>
      <c r="C604" s="2">
        <v>45764.926233402781</v>
      </c>
      <c r="D604" s="2">
        <v>45758.7969212963</v>
      </c>
      <c r="E604" s="2">
        <v>45760.800276759262</v>
      </c>
      <c r="F604" t="s">
        <v>871</v>
      </c>
      <c r="G604" t="s">
        <v>615</v>
      </c>
      <c r="H604">
        <v>45747</v>
      </c>
      <c r="I604">
        <v>0.83333333333333337</v>
      </c>
      <c r="J604"/>
      <c r="K604"/>
      <c r="L604">
        <v>45747</v>
      </c>
      <c r="M604">
        <v>0.99899305555555551</v>
      </c>
      <c r="N604" t="s">
        <v>902</v>
      </c>
      <c r="O604"/>
      <c r="P604"/>
      <c r="Q604" t="s">
        <v>607</v>
      </c>
      <c r="R604" t="s">
        <v>215</v>
      </c>
      <c r="S604" t="s">
        <v>893</v>
      </c>
      <c r="T604" t="s">
        <v>1012</v>
      </c>
      <c r="U604">
        <v>5</v>
      </c>
      <c r="V604">
        <v>0</v>
      </c>
      <c r="W604" t="s">
        <v>1013</v>
      </c>
      <c r="X604" t="s">
        <v>924</v>
      </c>
      <c r="Y604" t="s">
        <v>618</v>
      </c>
      <c r="Z604" t="s">
        <v>65</v>
      </c>
      <c r="AA604"/>
      <c r="AB604"/>
      <c r="AC604"/>
      <c r="AD604"/>
      <c r="AE604" t="s">
        <v>981</v>
      </c>
      <c r="AF604" t="s">
        <v>67</v>
      </c>
      <c r="AG604" t="s">
        <v>611</v>
      </c>
      <c r="AH604" t="s">
        <v>612</v>
      </c>
      <c r="AI604" t="s">
        <v>160</v>
      </c>
      <c r="AJ604" t="s">
        <v>195</v>
      </c>
      <c r="AK604" t="s">
        <v>613</v>
      </c>
    </row>
    <row r="605" spans="1:37" x14ac:dyDescent="0.3">
      <c r="A605" t="s">
        <v>887</v>
      </c>
      <c r="B605" t="s">
        <v>870</v>
      </c>
      <c r="C605" s="2">
        <v>45764.926233402781</v>
      </c>
      <c r="D605" s="2">
        <v>45758.7969212963</v>
      </c>
      <c r="E605" s="2">
        <v>45760.800276759262</v>
      </c>
      <c r="F605" t="s">
        <v>871</v>
      </c>
      <c r="G605" t="s">
        <v>620</v>
      </c>
      <c r="H605">
        <v>45748</v>
      </c>
      <c r="I605">
        <v>0.85324074074074074</v>
      </c>
      <c r="J605"/>
      <c r="K605"/>
      <c r="L605">
        <v>45748</v>
      </c>
      <c r="M605">
        <v>0.85324074074074074</v>
      </c>
      <c r="N605" t="s">
        <v>902</v>
      </c>
      <c r="O605"/>
      <c r="P605"/>
      <c r="Q605" t="s">
        <v>622</v>
      </c>
      <c r="R605" t="s">
        <v>327</v>
      </c>
      <c r="S605" t="s">
        <v>899</v>
      </c>
      <c r="T605" t="s">
        <v>1014</v>
      </c>
      <c r="U605"/>
      <c r="V605"/>
      <c r="W605" t="s">
        <v>624</v>
      </c>
      <c r="X605" t="s">
        <v>1015</v>
      </c>
      <c r="Y605" t="s">
        <v>626</v>
      </c>
      <c r="Z605" t="s">
        <v>65</v>
      </c>
      <c r="AA605"/>
      <c r="AB605"/>
      <c r="AC605"/>
      <c r="AD605"/>
      <c r="AE605" t="s">
        <v>904</v>
      </c>
      <c r="AF605" t="s">
        <v>67</v>
      </c>
      <c r="AG605" t="s">
        <v>330</v>
      </c>
      <c r="AH605" t="s">
        <v>69</v>
      </c>
      <c r="AI605" t="s">
        <v>160</v>
      </c>
      <c r="AJ605" t="s">
        <v>71</v>
      </c>
      <c r="AK605" t="s">
        <v>72</v>
      </c>
    </row>
    <row r="606" spans="1:37" x14ac:dyDescent="0.3">
      <c r="A606" t="s">
        <v>887</v>
      </c>
      <c r="B606" t="s">
        <v>870</v>
      </c>
      <c r="C606" s="2">
        <v>45764.926233402781</v>
      </c>
      <c r="D606" s="2">
        <v>45758.7969212963</v>
      </c>
      <c r="E606" s="2">
        <v>45760.800276759262</v>
      </c>
      <c r="F606" t="s">
        <v>871</v>
      </c>
      <c r="G606" t="s">
        <v>640</v>
      </c>
      <c r="H606">
        <v>45749</v>
      </c>
      <c r="I606">
        <v>0.89930555555555558</v>
      </c>
      <c r="J606"/>
      <c r="K606"/>
      <c r="L606">
        <v>45749</v>
      </c>
      <c r="M606">
        <v>0.90325231481481483</v>
      </c>
      <c r="N606" t="s">
        <v>644</v>
      </c>
      <c r="O606" t="s">
        <v>925</v>
      </c>
      <c r="P606" t="s">
        <v>400</v>
      </c>
      <c r="Q606" t="s">
        <v>645</v>
      </c>
      <c r="R606" t="s">
        <v>101</v>
      </c>
      <c r="S606" t="s">
        <v>907</v>
      </c>
      <c r="T606" t="s">
        <v>1016</v>
      </c>
      <c r="U606"/>
      <c r="V606"/>
      <c r="W606"/>
      <c r="X606"/>
      <c r="Y606"/>
      <c r="Z606"/>
      <c r="AA606"/>
      <c r="AB606"/>
      <c r="AC606"/>
      <c r="AD606"/>
      <c r="AE606" t="s">
        <v>1000</v>
      </c>
      <c r="AF606" t="s">
        <v>67</v>
      </c>
      <c r="AG606" t="s">
        <v>647</v>
      </c>
      <c r="AH606" t="s">
        <v>351</v>
      </c>
      <c r="AI606" t="s">
        <v>352</v>
      </c>
      <c r="AJ606" t="s">
        <v>418</v>
      </c>
      <c r="AK606"/>
    </row>
    <row r="607" spans="1:37" x14ac:dyDescent="0.3">
      <c r="A607" t="s">
        <v>887</v>
      </c>
      <c r="B607" t="s">
        <v>870</v>
      </c>
      <c r="C607" s="2">
        <v>45764.926233402781</v>
      </c>
      <c r="D607" s="2">
        <v>45758.7969212963</v>
      </c>
      <c r="E607" s="2">
        <v>45760.800276759262</v>
      </c>
      <c r="F607" t="s">
        <v>871</v>
      </c>
      <c r="G607" t="s">
        <v>597</v>
      </c>
      <c r="H607">
        <v>45748</v>
      </c>
      <c r="I607">
        <v>0.5</v>
      </c>
      <c r="J607">
        <v>45751</v>
      </c>
      <c r="K607">
        <v>0.52083333333333326</v>
      </c>
      <c r="L607">
        <v>45751</v>
      </c>
      <c r="M607">
        <v>0.54546296296296304</v>
      </c>
      <c r="N607" t="s">
        <v>915</v>
      </c>
      <c r="O607"/>
      <c r="P607"/>
      <c r="Q607" t="s">
        <v>601</v>
      </c>
      <c r="R607" t="s">
        <v>145</v>
      </c>
      <c r="S607" t="s">
        <v>922</v>
      </c>
      <c r="T607" t="s">
        <v>1017</v>
      </c>
      <c r="U607"/>
      <c r="V607"/>
      <c r="W607"/>
      <c r="X607"/>
      <c r="Y607"/>
      <c r="Z607"/>
      <c r="AA607"/>
      <c r="AB607"/>
      <c r="AC607"/>
      <c r="AD607"/>
      <c r="AE607" t="s">
        <v>897</v>
      </c>
      <c r="AF607" t="s">
        <v>67</v>
      </c>
      <c r="AG607" t="s">
        <v>603</v>
      </c>
      <c r="AH607" t="s">
        <v>206</v>
      </c>
      <c r="AI607" t="s">
        <v>524</v>
      </c>
      <c r="AJ607" t="s">
        <v>123</v>
      </c>
      <c r="AK607" t="s">
        <v>137</v>
      </c>
    </row>
    <row r="608" spans="1:37" x14ac:dyDescent="0.3">
      <c r="A608" t="s">
        <v>887</v>
      </c>
      <c r="B608" t="s">
        <v>870</v>
      </c>
      <c r="C608" s="2">
        <v>45764.926233402781</v>
      </c>
      <c r="D608" s="2">
        <v>45758.7969212963</v>
      </c>
      <c r="E608" s="2">
        <v>45760.800276759262</v>
      </c>
      <c r="F608" t="s">
        <v>871</v>
      </c>
      <c r="G608" t="s">
        <v>717</v>
      </c>
      <c r="H608">
        <v>45755</v>
      </c>
      <c r="I608">
        <v>3.2638888888888891E-2</v>
      </c>
      <c r="J608"/>
      <c r="K608"/>
      <c r="L608">
        <v>45755</v>
      </c>
      <c r="M608">
        <v>3.6493055555555598E-2</v>
      </c>
      <c r="N608" t="s">
        <v>902</v>
      </c>
      <c r="O608" t="s">
        <v>361</v>
      </c>
      <c r="P608" t="s">
        <v>721</v>
      </c>
      <c r="Q608" t="s">
        <v>722</v>
      </c>
      <c r="R608" t="s">
        <v>592</v>
      </c>
      <c r="S608" t="s">
        <v>899</v>
      </c>
      <c r="T608" t="s">
        <v>1018</v>
      </c>
      <c r="U608"/>
      <c r="V608"/>
      <c r="W608" t="s">
        <v>1019</v>
      </c>
      <c r="X608" t="s">
        <v>500</v>
      </c>
      <c r="Y608" t="s">
        <v>725</v>
      </c>
      <c r="Z608" t="s">
        <v>65</v>
      </c>
      <c r="AA608"/>
      <c r="AB608"/>
      <c r="AC608"/>
      <c r="AD608"/>
      <c r="AE608" t="s">
        <v>1020</v>
      </c>
      <c r="AF608" t="s">
        <v>67</v>
      </c>
      <c r="AG608" t="s">
        <v>89</v>
      </c>
      <c r="AH608" t="s">
        <v>90</v>
      </c>
      <c r="AI608" t="s">
        <v>106</v>
      </c>
      <c r="AJ608" t="s">
        <v>71</v>
      </c>
      <c r="AK608" t="s">
        <v>72</v>
      </c>
    </row>
    <row r="609" spans="1:37" x14ac:dyDescent="0.3">
      <c r="A609" t="s">
        <v>887</v>
      </c>
      <c r="B609" t="s">
        <v>870</v>
      </c>
      <c r="C609" s="2">
        <v>45764.926233402781</v>
      </c>
      <c r="D609" s="2">
        <v>45758.7969212963</v>
      </c>
      <c r="E609" s="2">
        <v>45760.800276759262</v>
      </c>
      <c r="F609" t="s">
        <v>871</v>
      </c>
      <c r="G609" t="s">
        <v>799</v>
      </c>
      <c r="H609">
        <v>45756</v>
      </c>
      <c r="I609">
        <v>0.96527777777777779</v>
      </c>
      <c r="J609">
        <v>45756</v>
      </c>
      <c r="K609">
        <v>0.96597222222222223</v>
      </c>
      <c r="L609">
        <v>45757</v>
      </c>
      <c r="M609">
        <v>0.57611111111111102</v>
      </c>
      <c r="N609" t="s">
        <v>902</v>
      </c>
      <c r="O609"/>
      <c r="P609"/>
      <c r="Q609" t="s">
        <v>802</v>
      </c>
      <c r="R609" t="s">
        <v>155</v>
      </c>
      <c r="S609" t="s">
        <v>907</v>
      </c>
      <c r="T609" t="s">
        <v>1021</v>
      </c>
      <c r="U609"/>
      <c r="V609"/>
      <c r="W609" t="s">
        <v>804</v>
      </c>
      <c r="X609" t="s">
        <v>990</v>
      </c>
      <c r="Y609" t="s">
        <v>805</v>
      </c>
      <c r="Z609" t="s">
        <v>65</v>
      </c>
      <c r="AA609"/>
      <c r="AB609"/>
      <c r="AC609"/>
      <c r="AD609"/>
      <c r="AE609" t="s">
        <v>927</v>
      </c>
      <c r="AF609" t="s">
        <v>67</v>
      </c>
      <c r="AG609" t="s">
        <v>244</v>
      </c>
      <c r="AH609" t="s">
        <v>206</v>
      </c>
      <c r="AI609" t="s">
        <v>524</v>
      </c>
      <c r="AJ609" t="s">
        <v>123</v>
      </c>
      <c r="AK609"/>
    </row>
    <row r="610" spans="1:37" x14ac:dyDescent="0.3">
      <c r="A610" t="s">
        <v>888</v>
      </c>
      <c r="B610" t="s">
        <v>870</v>
      </c>
      <c r="C610" s="2">
        <v>45764.926233449078</v>
      </c>
      <c r="D610" s="2">
        <v>45762.136265717592</v>
      </c>
      <c r="E610" s="2">
        <v>45761.609023576391</v>
      </c>
      <c r="F610" t="s">
        <v>871</v>
      </c>
      <c r="G610" t="s">
        <v>429</v>
      </c>
      <c r="H610">
        <v>42906</v>
      </c>
      <c r="I610">
        <v>0.53615740740740736</v>
      </c>
      <c r="J610">
        <v>45555</v>
      </c>
      <c r="K610"/>
      <c r="L610">
        <v>45661</v>
      </c>
      <c r="M610">
        <v>0.53615740740740736</v>
      </c>
      <c r="N610" t="s">
        <v>925</v>
      </c>
      <c r="O610"/>
      <c r="P610"/>
      <c r="Q610" t="s">
        <v>432</v>
      </c>
      <c r="R610" t="s">
        <v>101</v>
      </c>
      <c r="S610" t="s">
        <v>907</v>
      </c>
      <c r="T610" t="s">
        <v>974</v>
      </c>
      <c r="U610"/>
      <c r="V610"/>
      <c r="W610"/>
      <c r="X610"/>
      <c r="Y610"/>
      <c r="Z610"/>
      <c r="AA610"/>
      <c r="AB610"/>
      <c r="AC610"/>
      <c r="AD610"/>
      <c r="AE610" t="s">
        <v>904</v>
      </c>
      <c r="AF610" t="s">
        <v>67</v>
      </c>
      <c r="AG610" t="s">
        <v>434</v>
      </c>
      <c r="AH610" t="s">
        <v>69</v>
      </c>
      <c r="AI610" t="s">
        <v>352</v>
      </c>
      <c r="AJ610" t="s">
        <v>435</v>
      </c>
      <c r="AK610" t="s">
        <v>436</v>
      </c>
    </row>
    <row r="611" spans="1:37" x14ac:dyDescent="0.3">
      <c r="A611" t="s">
        <v>888</v>
      </c>
      <c r="B611" t="s">
        <v>870</v>
      </c>
      <c r="C611" s="2">
        <v>45764.926233449078</v>
      </c>
      <c r="D611" s="2">
        <v>45762.136265717592</v>
      </c>
      <c r="E611" s="2">
        <v>45761.609023576391</v>
      </c>
      <c r="F611" t="s">
        <v>871</v>
      </c>
      <c r="G611" t="s">
        <v>210</v>
      </c>
      <c r="H611">
        <v>45660</v>
      </c>
      <c r="I611">
        <v>0.89583333333333337</v>
      </c>
      <c r="J611">
        <v>45661</v>
      </c>
      <c r="K611">
        <v>0.26736111111111116</v>
      </c>
      <c r="L611">
        <v>45667</v>
      </c>
      <c r="M611">
        <v>0.4577430555555555</v>
      </c>
      <c r="N611" t="s">
        <v>892</v>
      </c>
      <c r="O611"/>
      <c r="P611"/>
      <c r="Q611" t="s">
        <v>214</v>
      </c>
      <c r="R611" t="s">
        <v>215</v>
      </c>
      <c r="S611" t="s">
        <v>893</v>
      </c>
      <c r="T611" t="s">
        <v>894</v>
      </c>
      <c r="U611"/>
      <c r="V611"/>
      <c r="W611" t="s">
        <v>895</v>
      </c>
      <c r="X611" t="s">
        <v>896</v>
      </c>
      <c r="Y611" t="s">
        <v>218</v>
      </c>
      <c r="Z611" t="s">
        <v>65</v>
      </c>
      <c r="AA611"/>
      <c r="AB611"/>
      <c r="AC611"/>
      <c r="AD611"/>
      <c r="AE611" t="s">
        <v>897</v>
      </c>
      <c r="AF611" t="s">
        <v>67</v>
      </c>
      <c r="AG611" t="s">
        <v>219</v>
      </c>
      <c r="AH611" t="s">
        <v>206</v>
      </c>
      <c r="AI611" t="s">
        <v>220</v>
      </c>
      <c r="AJ611" t="s">
        <v>71</v>
      </c>
      <c r="AK611" t="s">
        <v>221</v>
      </c>
    </row>
    <row r="612" spans="1:37" x14ac:dyDescent="0.3">
      <c r="A612" t="s">
        <v>888</v>
      </c>
      <c r="B612" t="s">
        <v>870</v>
      </c>
      <c r="C612" s="2">
        <v>45764.926233449078</v>
      </c>
      <c r="D612" s="2">
        <v>45762.136265717592</v>
      </c>
      <c r="E612" s="2">
        <v>45761.609023576391</v>
      </c>
      <c r="F612" t="s">
        <v>871</v>
      </c>
      <c r="G612" t="s">
        <v>53</v>
      </c>
      <c r="H612">
        <v>45663</v>
      </c>
      <c r="I612">
        <v>0.64583333333333337</v>
      </c>
      <c r="J612">
        <v>45667</v>
      </c>
      <c r="K612"/>
      <c r="L612">
        <v>45667</v>
      </c>
      <c r="M612">
        <v>0.82629629629629631</v>
      </c>
      <c r="N612" t="s">
        <v>902</v>
      </c>
      <c r="O612"/>
      <c r="P612"/>
      <c r="Q612" t="s">
        <v>60</v>
      </c>
      <c r="R612"/>
      <c r="S612" t="s">
        <v>899</v>
      </c>
      <c r="T612" t="s">
        <v>903</v>
      </c>
      <c r="U612"/>
      <c r="V612"/>
      <c r="W612" t="s">
        <v>62</v>
      </c>
      <c r="X612" t="s">
        <v>896</v>
      </c>
      <c r="Y612" t="s">
        <v>64</v>
      </c>
      <c r="Z612" t="s">
        <v>65</v>
      </c>
      <c r="AA612"/>
      <c r="AB612"/>
      <c r="AC612"/>
      <c r="AD612"/>
      <c r="AE612" t="s">
        <v>904</v>
      </c>
      <c r="AF612" t="s">
        <v>67</v>
      </c>
      <c r="AG612" t="s">
        <v>68</v>
      </c>
      <c r="AH612" t="s">
        <v>69</v>
      </c>
      <c r="AI612" t="s">
        <v>70</v>
      </c>
      <c r="AJ612" t="s">
        <v>123</v>
      </c>
      <c r="AK612" t="s">
        <v>72</v>
      </c>
    </row>
    <row r="613" spans="1:37" x14ac:dyDescent="0.3">
      <c r="A613" t="s">
        <v>888</v>
      </c>
      <c r="B613" t="s">
        <v>870</v>
      </c>
      <c r="C613" s="2">
        <v>45764.926233449078</v>
      </c>
      <c r="D613" s="2">
        <v>45762.136265717592</v>
      </c>
      <c r="E613" s="2">
        <v>45761.609023576391</v>
      </c>
      <c r="F613" t="s">
        <v>871</v>
      </c>
      <c r="G613" t="s">
        <v>395</v>
      </c>
      <c r="H613">
        <v>45664</v>
      </c>
      <c r="I613">
        <v>0.58333333333333337</v>
      </c>
      <c r="J613"/>
      <c r="K613"/>
      <c r="L613">
        <v>45670</v>
      </c>
      <c r="M613">
        <v>0.59781250000000008</v>
      </c>
      <c r="N613" t="s">
        <v>898</v>
      </c>
      <c r="O613" t="s">
        <v>400</v>
      </c>
      <c r="P613"/>
      <c r="Q613" t="s">
        <v>401</v>
      </c>
      <c r="R613" t="s">
        <v>134</v>
      </c>
      <c r="S613" t="s">
        <v>899</v>
      </c>
      <c r="T613" t="s">
        <v>900</v>
      </c>
      <c r="U613"/>
      <c r="V613"/>
      <c r="W613"/>
      <c r="X613"/>
      <c r="Y613"/>
      <c r="Z613"/>
      <c r="AA613"/>
      <c r="AB613"/>
      <c r="AC613"/>
      <c r="AD613"/>
      <c r="AE613" t="s">
        <v>901</v>
      </c>
      <c r="AF613" t="s">
        <v>67</v>
      </c>
      <c r="AG613" t="s">
        <v>404</v>
      </c>
      <c r="AH613" t="s">
        <v>405</v>
      </c>
      <c r="AI613" t="s">
        <v>406</v>
      </c>
      <c r="AJ613" t="s">
        <v>71</v>
      </c>
      <c r="AK613" t="s">
        <v>407</v>
      </c>
    </row>
    <row r="614" spans="1:37" x14ac:dyDescent="0.3">
      <c r="A614" t="s">
        <v>888</v>
      </c>
      <c r="B614" t="s">
        <v>870</v>
      </c>
      <c r="C614" s="2">
        <v>45764.926233449078</v>
      </c>
      <c r="D614" s="2">
        <v>45762.136265717592</v>
      </c>
      <c r="E614" s="2">
        <v>45761.609023576391</v>
      </c>
      <c r="F614" t="s">
        <v>871</v>
      </c>
      <c r="G614" t="s">
        <v>341</v>
      </c>
      <c r="H614">
        <v>45670</v>
      </c>
      <c r="I614">
        <v>0.50347222222222221</v>
      </c>
      <c r="J614"/>
      <c r="K614"/>
      <c r="L614">
        <v>45671</v>
      </c>
      <c r="M614">
        <v>0.50537037037037047</v>
      </c>
      <c r="N614" t="s">
        <v>344</v>
      </c>
      <c r="O614" t="s">
        <v>905</v>
      </c>
      <c r="P614" t="s">
        <v>906</v>
      </c>
      <c r="Q614" t="s">
        <v>348</v>
      </c>
      <c r="R614" t="s">
        <v>84</v>
      </c>
      <c r="S614" t="s">
        <v>907</v>
      </c>
      <c r="T614" t="s">
        <v>908</v>
      </c>
      <c r="U614"/>
      <c r="V614"/>
      <c r="W614"/>
      <c r="X614"/>
      <c r="Y614"/>
      <c r="Z614"/>
      <c r="AA614"/>
      <c r="AB614"/>
      <c r="AC614"/>
      <c r="AD614"/>
      <c r="AE614" t="s">
        <v>897</v>
      </c>
      <c r="AF614" t="s">
        <v>67</v>
      </c>
      <c r="AG614" t="s">
        <v>350</v>
      </c>
      <c r="AH614" t="s">
        <v>351</v>
      </c>
      <c r="AI614" t="s">
        <v>352</v>
      </c>
      <c r="AJ614" t="s">
        <v>123</v>
      </c>
      <c r="AK614" t="s">
        <v>353</v>
      </c>
    </row>
    <row r="615" spans="1:37" x14ac:dyDescent="0.3">
      <c r="A615" t="s">
        <v>888</v>
      </c>
      <c r="B615" t="s">
        <v>870</v>
      </c>
      <c r="C615" s="2">
        <v>45764.926233449078</v>
      </c>
      <c r="D615" s="2">
        <v>45762.136265717592</v>
      </c>
      <c r="E615" s="2">
        <v>45761.609023576391</v>
      </c>
      <c r="F615" t="s">
        <v>871</v>
      </c>
      <c r="G615" t="s">
        <v>356</v>
      </c>
      <c r="H615">
        <v>45671</v>
      </c>
      <c r="I615">
        <v>0.64067129629629627</v>
      </c>
      <c r="J615"/>
      <c r="K615"/>
      <c r="L615">
        <v>45672</v>
      </c>
      <c r="M615">
        <v>0.64067129629629638</v>
      </c>
      <c r="N615" t="s">
        <v>906</v>
      </c>
      <c r="O615" t="s">
        <v>909</v>
      </c>
      <c r="P615" t="s">
        <v>361</v>
      </c>
      <c r="Q615" t="s">
        <v>362</v>
      </c>
      <c r="R615" t="s">
        <v>363</v>
      </c>
      <c r="S615" t="s">
        <v>893</v>
      </c>
      <c r="T615" t="s">
        <v>910</v>
      </c>
      <c r="U615"/>
      <c r="V615"/>
      <c r="W615" t="s">
        <v>911</v>
      </c>
      <c r="X615" t="s">
        <v>912</v>
      </c>
      <c r="Y615" t="s">
        <v>367</v>
      </c>
      <c r="Z615" t="s">
        <v>65</v>
      </c>
      <c r="AA615"/>
      <c r="AB615"/>
      <c r="AC615"/>
      <c r="AD615"/>
      <c r="AE615" t="s">
        <v>913</v>
      </c>
      <c r="AF615" t="s">
        <v>67</v>
      </c>
      <c r="AG615" t="s">
        <v>219</v>
      </c>
      <c r="AH615" t="s">
        <v>368</v>
      </c>
      <c r="AI615" t="s">
        <v>160</v>
      </c>
      <c r="AJ615" t="s">
        <v>123</v>
      </c>
      <c r="AK615" t="s">
        <v>353</v>
      </c>
    </row>
    <row r="616" spans="1:37" x14ac:dyDescent="0.3">
      <c r="A616" t="s">
        <v>888</v>
      </c>
      <c r="B616" t="s">
        <v>870</v>
      </c>
      <c r="C616" s="2">
        <v>45764.926233449078</v>
      </c>
      <c r="D616" s="2">
        <v>45762.136265717592</v>
      </c>
      <c r="E616" s="2">
        <v>45761.609023576391</v>
      </c>
      <c r="F616" t="s">
        <v>871</v>
      </c>
      <c r="G616" t="s">
        <v>224</v>
      </c>
      <c r="H616">
        <v>45672</v>
      </c>
      <c r="I616">
        <v>0.53988425925925931</v>
      </c>
      <c r="J616"/>
      <c r="K616"/>
      <c r="L616">
        <v>45673</v>
      </c>
      <c r="M616">
        <v>0.5398842592592592</v>
      </c>
      <c r="N616" t="s">
        <v>892</v>
      </c>
      <c r="O616"/>
      <c r="P616"/>
      <c r="Q616" t="s">
        <v>227</v>
      </c>
      <c r="R616" t="s">
        <v>84</v>
      </c>
      <c r="S616" t="s">
        <v>907</v>
      </c>
      <c r="T616" t="s">
        <v>914</v>
      </c>
      <c r="U616"/>
      <c r="V616"/>
      <c r="W616" t="s">
        <v>229</v>
      </c>
      <c r="X616" t="s">
        <v>896</v>
      </c>
      <c r="Y616" t="s">
        <v>230</v>
      </c>
      <c r="Z616" t="s">
        <v>65</v>
      </c>
      <c r="AA616"/>
      <c r="AB616"/>
      <c r="AC616"/>
      <c r="AD616"/>
      <c r="AE616" t="s">
        <v>913</v>
      </c>
      <c r="AF616" t="s">
        <v>67</v>
      </c>
      <c r="AG616" t="s">
        <v>231</v>
      </c>
      <c r="AH616" t="s">
        <v>232</v>
      </c>
      <c r="AI616" t="s">
        <v>70</v>
      </c>
      <c r="AJ616" t="s">
        <v>71</v>
      </c>
      <c r="AK616" t="s">
        <v>221</v>
      </c>
    </row>
    <row r="617" spans="1:37" x14ac:dyDescent="0.3">
      <c r="A617" t="s">
        <v>888</v>
      </c>
      <c r="B617" t="s">
        <v>870</v>
      </c>
      <c r="C617" s="2">
        <v>45764.926233449078</v>
      </c>
      <c r="D617" s="2">
        <v>45762.136265717592</v>
      </c>
      <c r="E617" s="2">
        <v>45761.609023576391</v>
      </c>
      <c r="F617" t="s">
        <v>871</v>
      </c>
      <c r="G617" t="s">
        <v>129</v>
      </c>
      <c r="H617">
        <v>45673</v>
      </c>
      <c r="I617">
        <v>0.5</v>
      </c>
      <c r="J617">
        <v>45673</v>
      </c>
      <c r="K617">
        <v>0.75</v>
      </c>
      <c r="L617">
        <v>45674</v>
      </c>
      <c r="M617">
        <v>0.81587962962962957</v>
      </c>
      <c r="N617" t="s">
        <v>915</v>
      </c>
      <c r="O617"/>
      <c r="P617"/>
      <c r="Q617" t="s">
        <v>133</v>
      </c>
      <c r="R617" t="s">
        <v>134</v>
      </c>
      <c r="S617" t="s">
        <v>899</v>
      </c>
      <c r="T617" t="s">
        <v>916</v>
      </c>
      <c r="U617"/>
      <c r="V617"/>
      <c r="W617"/>
      <c r="X617"/>
      <c r="Y617"/>
      <c r="Z617"/>
      <c r="AA617"/>
      <c r="AB617"/>
      <c r="AC617"/>
      <c r="AD617"/>
      <c r="AE617" t="s">
        <v>904</v>
      </c>
      <c r="AF617" t="s">
        <v>67</v>
      </c>
      <c r="AG617" t="s">
        <v>136</v>
      </c>
      <c r="AH617" t="s">
        <v>69</v>
      </c>
      <c r="AI617" t="s">
        <v>70</v>
      </c>
      <c r="AJ617" t="s">
        <v>71</v>
      </c>
      <c r="AK617" t="s">
        <v>137</v>
      </c>
    </row>
    <row r="618" spans="1:37" x14ac:dyDescent="0.3">
      <c r="A618" t="s">
        <v>888</v>
      </c>
      <c r="B618" t="s">
        <v>870</v>
      </c>
      <c r="C618" s="2">
        <v>45764.926233449078</v>
      </c>
      <c r="D618" s="2">
        <v>45762.136265717592</v>
      </c>
      <c r="E618" s="2">
        <v>45761.609023576391</v>
      </c>
      <c r="F618" t="s">
        <v>871</v>
      </c>
      <c r="G618" t="s">
        <v>371</v>
      </c>
      <c r="H618">
        <v>45673</v>
      </c>
      <c r="I618">
        <v>0.87708333333333333</v>
      </c>
      <c r="J618">
        <v>45673</v>
      </c>
      <c r="K618">
        <v>0.88611111111111107</v>
      </c>
      <c r="L618">
        <v>45679</v>
      </c>
      <c r="M618">
        <v>0.51179398148148159</v>
      </c>
      <c r="N618" t="s">
        <v>906</v>
      </c>
      <c r="O618"/>
      <c r="P618"/>
      <c r="Q618" t="s">
        <v>374</v>
      </c>
      <c r="R618" t="s">
        <v>178</v>
      </c>
      <c r="S618" t="s">
        <v>893</v>
      </c>
      <c r="T618" t="s">
        <v>917</v>
      </c>
      <c r="U618"/>
      <c r="V618"/>
      <c r="W618"/>
      <c r="X618" t="s">
        <v>918</v>
      </c>
      <c r="Y618" t="s">
        <v>919</v>
      </c>
      <c r="Z618"/>
      <c r="AA618"/>
      <c r="AB618"/>
      <c r="AC618"/>
      <c r="AD618"/>
      <c r="AE618" t="s">
        <v>904</v>
      </c>
      <c r="AF618" t="s">
        <v>67</v>
      </c>
      <c r="AG618" t="s">
        <v>89</v>
      </c>
      <c r="AH618" t="s">
        <v>90</v>
      </c>
      <c r="AI618" t="s">
        <v>378</v>
      </c>
      <c r="AJ618" t="s">
        <v>435</v>
      </c>
      <c r="AK618" t="s">
        <v>353</v>
      </c>
    </row>
    <row r="619" spans="1:37" x14ac:dyDescent="0.3">
      <c r="A619" t="s">
        <v>888</v>
      </c>
      <c r="B619" t="s">
        <v>870</v>
      </c>
      <c r="C619" s="2">
        <v>45764.926233449078</v>
      </c>
      <c r="D619" s="2">
        <v>45762.136265717592</v>
      </c>
      <c r="E619" s="2">
        <v>45761.609023576391</v>
      </c>
      <c r="F619" t="s">
        <v>871</v>
      </c>
      <c r="G619" t="s">
        <v>236</v>
      </c>
      <c r="H619">
        <v>45678</v>
      </c>
      <c r="I619">
        <v>0.79166666666666663</v>
      </c>
      <c r="J619">
        <v>45679</v>
      </c>
      <c r="K619">
        <v>0.13125000000000009</v>
      </c>
      <c r="L619">
        <v>45679</v>
      </c>
      <c r="M619">
        <v>0.13255787037037048</v>
      </c>
      <c r="N619" t="s">
        <v>892</v>
      </c>
      <c r="O619"/>
      <c r="P619"/>
      <c r="Q619" t="s">
        <v>239</v>
      </c>
      <c r="R619" t="s">
        <v>178</v>
      </c>
      <c r="S619" t="s">
        <v>893</v>
      </c>
      <c r="T619" t="s">
        <v>920</v>
      </c>
      <c r="U619"/>
      <c r="V619"/>
      <c r="W619" t="s">
        <v>241</v>
      </c>
      <c r="X619" t="s">
        <v>63</v>
      </c>
      <c r="Y619" t="s">
        <v>242</v>
      </c>
      <c r="Z619" t="s">
        <v>65</v>
      </c>
      <c r="AA619"/>
      <c r="AB619"/>
      <c r="AC619"/>
      <c r="AD619"/>
      <c r="AE619" t="s">
        <v>921</v>
      </c>
      <c r="AF619" t="s">
        <v>67</v>
      </c>
      <c r="AG619" t="s">
        <v>244</v>
      </c>
      <c r="AH619" t="s">
        <v>206</v>
      </c>
      <c r="AI619" t="s">
        <v>160</v>
      </c>
      <c r="AJ619" t="s">
        <v>71</v>
      </c>
      <c r="AK619" t="s">
        <v>221</v>
      </c>
    </row>
    <row r="620" spans="1:37" x14ac:dyDescent="0.3">
      <c r="A620" t="s">
        <v>888</v>
      </c>
      <c r="B620" t="s">
        <v>870</v>
      </c>
      <c r="C620" s="2">
        <v>45764.926233449078</v>
      </c>
      <c r="D620" s="2">
        <v>45762.136265717592</v>
      </c>
      <c r="E620" s="2">
        <v>45761.609023576391</v>
      </c>
      <c r="F620" t="s">
        <v>871</v>
      </c>
      <c r="G620" t="s">
        <v>246</v>
      </c>
      <c r="H620">
        <v>45679</v>
      </c>
      <c r="I620">
        <v>0.33333333333333331</v>
      </c>
      <c r="J620">
        <v>45679</v>
      </c>
      <c r="K620">
        <v>0.80069444444444438</v>
      </c>
      <c r="L620">
        <v>45680</v>
      </c>
      <c r="M620">
        <v>0.8020370370370371</v>
      </c>
      <c r="N620" t="s">
        <v>892</v>
      </c>
      <c r="O620"/>
      <c r="P620"/>
      <c r="Q620" t="s">
        <v>249</v>
      </c>
      <c r="R620" t="s">
        <v>250</v>
      </c>
      <c r="S620" t="s">
        <v>922</v>
      </c>
      <c r="T620" t="s">
        <v>923</v>
      </c>
      <c r="U620"/>
      <c r="V620"/>
      <c r="W620" t="s">
        <v>252</v>
      </c>
      <c r="X620" t="s">
        <v>924</v>
      </c>
      <c r="Y620" t="s">
        <v>254</v>
      </c>
      <c r="Z620" t="s">
        <v>65</v>
      </c>
      <c r="AA620"/>
      <c r="AB620"/>
      <c r="AC620"/>
      <c r="AD620"/>
      <c r="AE620" t="s">
        <v>913</v>
      </c>
      <c r="AF620" t="s">
        <v>67</v>
      </c>
      <c r="AG620" t="s">
        <v>244</v>
      </c>
      <c r="AH620" t="s">
        <v>206</v>
      </c>
      <c r="AI620" t="s">
        <v>122</v>
      </c>
      <c r="AJ620" t="s">
        <v>71</v>
      </c>
      <c r="AK620" t="s">
        <v>221</v>
      </c>
    </row>
    <row r="621" spans="1:37" x14ac:dyDescent="0.3">
      <c r="A621" t="s">
        <v>888</v>
      </c>
      <c r="B621" t="s">
        <v>870</v>
      </c>
      <c r="C621" s="2">
        <v>45764.926233449078</v>
      </c>
      <c r="D621" s="2">
        <v>45762.136265717592</v>
      </c>
      <c r="E621" s="2">
        <v>45761.609023576391</v>
      </c>
      <c r="F621" t="s">
        <v>871</v>
      </c>
      <c r="G621" t="s">
        <v>409</v>
      </c>
      <c r="H621">
        <v>45680</v>
      </c>
      <c r="I621">
        <v>0.625</v>
      </c>
      <c r="J621"/>
      <c r="K621"/>
      <c r="L621">
        <v>45682</v>
      </c>
      <c r="M621">
        <v>0.66545138888888888</v>
      </c>
      <c r="N621" t="s">
        <v>925</v>
      </c>
      <c r="O621" t="s">
        <v>400</v>
      </c>
      <c r="P621"/>
      <c r="Q621" t="s">
        <v>414</v>
      </c>
      <c r="R621" t="s">
        <v>84</v>
      </c>
      <c r="S621" t="s">
        <v>907</v>
      </c>
      <c r="T621" t="s">
        <v>926</v>
      </c>
      <c r="U621"/>
      <c r="V621"/>
      <c r="W621"/>
      <c r="X621"/>
      <c r="Y621"/>
      <c r="Z621"/>
      <c r="AA621"/>
      <c r="AB621"/>
      <c r="AC621"/>
      <c r="AD621"/>
      <c r="AE621" t="s">
        <v>927</v>
      </c>
      <c r="AF621" t="s">
        <v>67</v>
      </c>
      <c r="AG621" t="s">
        <v>352</v>
      </c>
      <c r="AH621" t="s">
        <v>417</v>
      </c>
      <c r="AI621" t="s">
        <v>406</v>
      </c>
      <c r="AJ621" t="s">
        <v>418</v>
      </c>
      <c r="AK621"/>
    </row>
    <row r="622" spans="1:37" x14ac:dyDescent="0.3">
      <c r="A622" t="s">
        <v>888</v>
      </c>
      <c r="B622" t="s">
        <v>870</v>
      </c>
      <c r="C622" s="2">
        <v>45764.926233449078</v>
      </c>
      <c r="D622" s="2">
        <v>45762.136265717592</v>
      </c>
      <c r="E622" s="2">
        <v>45761.609023576391</v>
      </c>
      <c r="F622" t="s">
        <v>871</v>
      </c>
      <c r="G622" t="s">
        <v>140</v>
      </c>
      <c r="H622">
        <v>45682</v>
      </c>
      <c r="I622">
        <v>0.45833333333333331</v>
      </c>
      <c r="J622">
        <v>45682</v>
      </c>
      <c r="K622">
        <v>0.58333333333333326</v>
      </c>
      <c r="L622">
        <v>45683</v>
      </c>
      <c r="M622">
        <v>0.58054398148148145</v>
      </c>
      <c r="N622" t="s">
        <v>915</v>
      </c>
      <c r="O622"/>
      <c r="P622"/>
      <c r="Q622" t="s">
        <v>144</v>
      </c>
      <c r="R622" t="s">
        <v>145</v>
      </c>
      <c r="S622" t="s">
        <v>922</v>
      </c>
      <c r="T622" t="s">
        <v>928</v>
      </c>
      <c r="U622"/>
      <c r="V622"/>
      <c r="W622"/>
      <c r="X622"/>
      <c r="Y622"/>
      <c r="Z622"/>
      <c r="AA622"/>
      <c r="AB622"/>
      <c r="AC622"/>
      <c r="AD622"/>
      <c r="AE622" t="s">
        <v>929</v>
      </c>
      <c r="AF622" t="s">
        <v>67</v>
      </c>
      <c r="AG622" t="s">
        <v>147</v>
      </c>
      <c r="AH622" t="s">
        <v>90</v>
      </c>
      <c r="AI622" t="s">
        <v>70</v>
      </c>
      <c r="AJ622" t="s">
        <v>71</v>
      </c>
      <c r="AK622" t="s">
        <v>137</v>
      </c>
    </row>
    <row r="623" spans="1:37" x14ac:dyDescent="0.3">
      <c r="A623" t="s">
        <v>888</v>
      </c>
      <c r="B623" t="s">
        <v>870</v>
      </c>
      <c r="C623" s="2">
        <v>45764.926233449078</v>
      </c>
      <c r="D623" s="2">
        <v>45762.136265717592</v>
      </c>
      <c r="E623" s="2">
        <v>45761.609023576391</v>
      </c>
      <c r="F623" t="s">
        <v>871</v>
      </c>
      <c r="G623" t="s">
        <v>77</v>
      </c>
      <c r="H623">
        <v>45682</v>
      </c>
      <c r="I623">
        <v>0.76875000000000004</v>
      </c>
      <c r="J623"/>
      <c r="K623"/>
      <c r="L623">
        <v>45683</v>
      </c>
      <c r="M623">
        <v>0.44056712962962963</v>
      </c>
      <c r="N623" t="s">
        <v>902</v>
      </c>
      <c r="O623" t="s">
        <v>930</v>
      </c>
      <c r="P623"/>
      <c r="Q623" t="s">
        <v>83</v>
      </c>
      <c r="R623" t="s">
        <v>84</v>
      </c>
      <c r="S623" t="s">
        <v>907</v>
      </c>
      <c r="T623" t="s">
        <v>931</v>
      </c>
      <c r="U623"/>
      <c r="V623"/>
      <c r="W623" t="s">
        <v>932</v>
      </c>
      <c r="X623" t="s">
        <v>896</v>
      </c>
      <c r="Y623" t="s">
        <v>87</v>
      </c>
      <c r="Z623" t="s">
        <v>65</v>
      </c>
      <c r="AA623"/>
      <c r="AB623"/>
      <c r="AC623"/>
      <c r="AD623"/>
      <c r="AE623" t="s">
        <v>929</v>
      </c>
      <c r="AF623" t="s">
        <v>67</v>
      </c>
      <c r="AG623" t="s">
        <v>89</v>
      </c>
      <c r="AH623" t="s">
        <v>90</v>
      </c>
      <c r="AI623" t="s">
        <v>91</v>
      </c>
      <c r="AJ623" t="s">
        <v>92</v>
      </c>
      <c r="AK623" t="s">
        <v>72</v>
      </c>
    </row>
    <row r="624" spans="1:37" x14ac:dyDescent="0.3">
      <c r="A624" t="s">
        <v>888</v>
      </c>
      <c r="B624" t="s">
        <v>870</v>
      </c>
      <c r="C624" s="2">
        <v>45764.926233449078</v>
      </c>
      <c r="D624" s="2">
        <v>45762.136265717592</v>
      </c>
      <c r="E624" s="2">
        <v>45761.609023576391</v>
      </c>
      <c r="F624" t="s">
        <v>871</v>
      </c>
      <c r="G624" t="s">
        <v>96</v>
      </c>
      <c r="H624">
        <v>45683</v>
      </c>
      <c r="I624">
        <v>0.84027777777777779</v>
      </c>
      <c r="J624">
        <v>45683</v>
      </c>
      <c r="K624">
        <v>0.84652777777777777</v>
      </c>
      <c r="L624">
        <v>45686</v>
      </c>
      <c r="M624">
        <v>0.85009259259259262</v>
      </c>
      <c r="N624" t="s">
        <v>902</v>
      </c>
      <c r="O624" t="s">
        <v>930</v>
      </c>
      <c r="P624"/>
      <c r="Q624" t="s">
        <v>100</v>
      </c>
      <c r="R624" t="s">
        <v>101</v>
      </c>
      <c r="S624" t="s">
        <v>893</v>
      </c>
      <c r="T624" t="s">
        <v>933</v>
      </c>
      <c r="U624"/>
      <c r="V624"/>
      <c r="W624" t="s">
        <v>934</v>
      </c>
      <c r="X624" t="s">
        <v>896</v>
      </c>
      <c r="Y624" t="s">
        <v>104</v>
      </c>
      <c r="Z624" t="s">
        <v>935</v>
      </c>
      <c r="AA624"/>
      <c r="AB624"/>
      <c r="AC624"/>
      <c r="AD624"/>
      <c r="AE624" t="s">
        <v>904</v>
      </c>
      <c r="AF624" t="s">
        <v>67</v>
      </c>
      <c r="AG624" t="s">
        <v>105</v>
      </c>
      <c r="AH624" t="s">
        <v>69</v>
      </c>
      <c r="AI624" t="s">
        <v>106</v>
      </c>
      <c r="AJ624" t="s">
        <v>71</v>
      </c>
      <c r="AK624" t="s">
        <v>72</v>
      </c>
    </row>
    <row r="625" spans="1:37" x14ac:dyDescent="0.3">
      <c r="A625" t="s">
        <v>888</v>
      </c>
      <c r="B625" t="s">
        <v>870</v>
      </c>
      <c r="C625" s="2">
        <v>45764.926233449078</v>
      </c>
      <c r="D625" s="2">
        <v>45762.136265717592</v>
      </c>
      <c r="E625" s="2">
        <v>45761.609023576391</v>
      </c>
      <c r="F625" t="s">
        <v>871</v>
      </c>
      <c r="G625" t="s">
        <v>256</v>
      </c>
      <c r="H625">
        <v>45685</v>
      </c>
      <c r="I625">
        <v>0.625</v>
      </c>
      <c r="J625">
        <v>45686</v>
      </c>
      <c r="K625">
        <v>0.91736111111111107</v>
      </c>
      <c r="L625">
        <v>45688</v>
      </c>
      <c r="M625">
        <v>0.91833333333333322</v>
      </c>
      <c r="N625" t="s">
        <v>892</v>
      </c>
      <c r="O625" t="s">
        <v>930</v>
      </c>
      <c r="P625"/>
      <c r="Q625" t="s">
        <v>260</v>
      </c>
      <c r="R625" t="s">
        <v>261</v>
      </c>
      <c r="S625" t="s">
        <v>936</v>
      </c>
      <c r="T625" t="s">
        <v>937</v>
      </c>
      <c r="U625"/>
      <c r="V625"/>
      <c r="W625" t="s">
        <v>938</v>
      </c>
      <c r="X625" t="s">
        <v>939</v>
      </c>
      <c r="Y625" t="s">
        <v>265</v>
      </c>
      <c r="Z625" t="s">
        <v>65</v>
      </c>
      <c r="AA625"/>
      <c r="AB625"/>
      <c r="AC625"/>
      <c r="AD625"/>
      <c r="AE625" t="s">
        <v>940</v>
      </c>
      <c r="AF625" t="s">
        <v>67</v>
      </c>
      <c r="AG625" t="s">
        <v>244</v>
      </c>
      <c r="AH625" t="s">
        <v>206</v>
      </c>
      <c r="AI625" t="s">
        <v>70</v>
      </c>
      <c r="AJ625" t="s">
        <v>266</v>
      </c>
      <c r="AK625" t="s">
        <v>221</v>
      </c>
    </row>
    <row r="626" spans="1:37" x14ac:dyDescent="0.3">
      <c r="A626" t="s">
        <v>888</v>
      </c>
      <c r="B626" t="s">
        <v>870</v>
      </c>
      <c r="C626" s="2">
        <v>45764.926233449078</v>
      </c>
      <c r="D626" s="2">
        <v>45762.136265717592</v>
      </c>
      <c r="E626" s="2">
        <v>45761.609023576391</v>
      </c>
      <c r="F626" t="s">
        <v>871</v>
      </c>
      <c r="G626" t="s">
        <v>151</v>
      </c>
      <c r="H626">
        <v>45688</v>
      </c>
      <c r="I626">
        <v>0.49988425925925928</v>
      </c>
      <c r="J626"/>
      <c r="K626"/>
      <c r="L626">
        <v>45689</v>
      </c>
      <c r="M626">
        <v>0.49988425925925917</v>
      </c>
      <c r="N626" t="s">
        <v>915</v>
      </c>
      <c r="O626"/>
      <c r="P626"/>
      <c r="Q626" t="s">
        <v>154</v>
      </c>
      <c r="R626" t="s">
        <v>155</v>
      </c>
      <c r="S626" t="s">
        <v>907</v>
      </c>
      <c r="T626" t="s">
        <v>941</v>
      </c>
      <c r="U626"/>
      <c r="V626"/>
      <c r="W626"/>
      <c r="X626"/>
      <c r="Y626"/>
      <c r="Z626"/>
      <c r="AA626"/>
      <c r="AB626"/>
      <c r="AC626"/>
      <c r="AD626"/>
      <c r="AE626" t="s">
        <v>897</v>
      </c>
      <c r="AF626" t="s">
        <v>67</v>
      </c>
      <c r="AG626" t="s">
        <v>158</v>
      </c>
      <c r="AH626" t="s">
        <v>159</v>
      </c>
      <c r="AI626" t="s">
        <v>160</v>
      </c>
      <c r="AJ626" t="s">
        <v>71</v>
      </c>
      <c r="AK626" t="s">
        <v>137</v>
      </c>
    </row>
    <row r="627" spans="1:37" x14ac:dyDescent="0.3">
      <c r="A627" t="s">
        <v>888</v>
      </c>
      <c r="B627" t="s">
        <v>870</v>
      </c>
      <c r="C627" s="2">
        <v>45764.926233449078</v>
      </c>
      <c r="D627" s="2">
        <v>45762.136265717592</v>
      </c>
      <c r="E627" s="2">
        <v>45761.609023576391</v>
      </c>
      <c r="F627" t="s">
        <v>871</v>
      </c>
      <c r="G627" t="s">
        <v>305</v>
      </c>
      <c r="H627">
        <v>45688</v>
      </c>
      <c r="I627">
        <v>0.5</v>
      </c>
      <c r="J627">
        <v>45695</v>
      </c>
      <c r="K627">
        <v>0.54166666666666674</v>
      </c>
      <c r="L627">
        <v>45691</v>
      </c>
      <c r="M627">
        <v>0.3903240740740741</v>
      </c>
      <c r="N627" t="s">
        <v>892</v>
      </c>
      <c r="O627"/>
      <c r="P627"/>
      <c r="Q627" t="s">
        <v>308</v>
      </c>
      <c r="R627" t="s">
        <v>250</v>
      </c>
      <c r="S627" t="s">
        <v>922</v>
      </c>
      <c r="T627" t="s">
        <v>955</v>
      </c>
      <c r="U627"/>
      <c r="V627"/>
      <c r="W627" t="s">
        <v>956</v>
      </c>
      <c r="X627"/>
      <c r="Y627" t="s">
        <v>230</v>
      </c>
      <c r="Z627" t="s">
        <v>935</v>
      </c>
      <c r="AA627"/>
      <c r="AB627"/>
      <c r="AC627"/>
      <c r="AD627"/>
      <c r="AE627" t="s">
        <v>913</v>
      </c>
      <c r="AF627" t="s">
        <v>67</v>
      </c>
      <c r="AG627" t="s">
        <v>205</v>
      </c>
      <c r="AH627" t="s">
        <v>206</v>
      </c>
      <c r="AI627" t="s">
        <v>106</v>
      </c>
      <c r="AJ627" t="s">
        <v>71</v>
      </c>
      <c r="AK627" t="s">
        <v>221</v>
      </c>
    </row>
    <row r="628" spans="1:37" x14ac:dyDescent="0.3">
      <c r="A628" t="s">
        <v>888</v>
      </c>
      <c r="B628" t="s">
        <v>870</v>
      </c>
      <c r="C628" s="2">
        <v>45764.926233449078</v>
      </c>
      <c r="D628" s="2">
        <v>45762.136265717592</v>
      </c>
      <c r="E628" s="2">
        <v>45761.609023576391</v>
      </c>
      <c r="F628" t="s">
        <v>871</v>
      </c>
      <c r="G628" t="s">
        <v>269</v>
      </c>
      <c r="H628">
        <v>45689</v>
      </c>
      <c r="I628">
        <v>4.1666666666666664E-2</v>
      </c>
      <c r="J628"/>
      <c r="K628">
        <v>0.10416666666666674</v>
      </c>
      <c r="L628">
        <v>45691</v>
      </c>
      <c r="M628">
        <v>0.11982638888888886</v>
      </c>
      <c r="N628" t="s">
        <v>892</v>
      </c>
      <c r="O628"/>
      <c r="P628"/>
      <c r="Q628" t="s">
        <v>272</v>
      </c>
      <c r="R628" t="s">
        <v>273</v>
      </c>
      <c r="S628" t="s">
        <v>936</v>
      </c>
      <c r="T628" t="s">
        <v>942</v>
      </c>
      <c r="U628"/>
      <c r="V628"/>
      <c r="W628" t="s">
        <v>943</v>
      </c>
      <c r="X628" t="s">
        <v>944</v>
      </c>
      <c r="Y628" t="s">
        <v>276</v>
      </c>
      <c r="Z628" t="s">
        <v>65</v>
      </c>
      <c r="AA628"/>
      <c r="AB628"/>
      <c r="AC628"/>
      <c r="AD628"/>
      <c r="AE628" t="s">
        <v>913</v>
      </c>
      <c r="AF628" t="s">
        <v>67</v>
      </c>
      <c r="AG628" t="s">
        <v>244</v>
      </c>
      <c r="AH628" t="s">
        <v>206</v>
      </c>
      <c r="AI628" t="s">
        <v>122</v>
      </c>
      <c r="AJ628" t="s">
        <v>71</v>
      </c>
      <c r="AK628" t="s">
        <v>221</v>
      </c>
    </row>
    <row r="629" spans="1:37" x14ac:dyDescent="0.3">
      <c r="A629" t="s">
        <v>888</v>
      </c>
      <c r="B629" t="s">
        <v>870</v>
      </c>
      <c r="C629" s="2">
        <v>45764.926233449078</v>
      </c>
      <c r="D629" s="2">
        <v>45762.136265717592</v>
      </c>
      <c r="E629" s="2">
        <v>45761.609023576391</v>
      </c>
      <c r="F629" t="s">
        <v>871</v>
      </c>
      <c r="G629" t="s">
        <v>382</v>
      </c>
      <c r="H629">
        <v>45690</v>
      </c>
      <c r="I629">
        <v>0.72569444444444442</v>
      </c>
      <c r="J629">
        <v>45690</v>
      </c>
      <c r="K629">
        <v>0.75</v>
      </c>
      <c r="L629">
        <v>45692</v>
      </c>
      <c r="M629">
        <v>0.50143518518518526</v>
      </c>
      <c r="N629" t="s">
        <v>176</v>
      </c>
      <c r="O629" t="s">
        <v>906</v>
      </c>
      <c r="P629"/>
      <c r="Q629" t="s">
        <v>385</v>
      </c>
      <c r="R629" t="s">
        <v>145</v>
      </c>
      <c r="S629" t="s">
        <v>922</v>
      </c>
      <c r="T629" t="s">
        <v>945</v>
      </c>
      <c r="U629"/>
      <c r="V629"/>
      <c r="W629"/>
      <c r="X629"/>
      <c r="Y629"/>
      <c r="Z629"/>
      <c r="AA629"/>
      <c r="AB629"/>
      <c r="AC629"/>
      <c r="AD629"/>
      <c r="AE629" t="s">
        <v>904</v>
      </c>
      <c r="AF629" t="s">
        <v>67</v>
      </c>
      <c r="AG629" t="s">
        <v>105</v>
      </c>
      <c r="AH629" t="s">
        <v>69</v>
      </c>
      <c r="AI629" t="s">
        <v>180</v>
      </c>
      <c r="AJ629" t="s">
        <v>92</v>
      </c>
      <c r="AK629"/>
    </row>
    <row r="630" spans="1:37" x14ac:dyDescent="0.3">
      <c r="A630" t="s">
        <v>888</v>
      </c>
      <c r="B630" t="s">
        <v>870</v>
      </c>
      <c r="C630" s="2">
        <v>45764.926233449078</v>
      </c>
      <c r="D630" s="2">
        <v>45762.136265717592</v>
      </c>
      <c r="E630" s="2">
        <v>45761.609023576391</v>
      </c>
      <c r="F630" t="s">
        <v>871</v>
      </c>
      <c r="G630" t="s">
        <v>279</v>
      </c>
      <c r="H630">
        <v>45691</v>
      </c>
      <c r="I630">
        <v>0.77083333333333337</v>
      </c>
      <c r="J630">
        <v>45692</v>
      </c>
      <c r="K630">
        <v>0.79166666666666674</v>
      </c>
      <c r="L630">
        <v>45693</v>
      </c>
      <c r="M630">
        <v>0.53023148148148147</v>
      </c>
      <c r="N630" t="s">
        <v>892</v>
      </c>
      <c r="O630"/>
      <c r="P630"/>
      <c r="Q630" t="s">
        <v>282</v>
      </c>
      <c r="R630" t="s">
        <v>283</v>
      </c>
      <c r="S630" t="s">
        <v>907</v>
      </c>
      <c r="T630" t="s">
        <v>947</v>
      </c>
      <c r="U630"/>
      <c r="V630"/>
      <c r="W630" t="s">
        <v>948</v>
      </c>
      <c r="X630" t="s">
        <v>286</v>
      </c>
      <c r="Y630" t="s">
        <v>949</v>
      </c>
      <c r="Z630" t="s">
        <v>288</v>
      </c>
      <c r="AA630"/>
      <c r="AB630"/>
      <c r="AC630"/>
      <c r="AD630"/>
      <c r="AE630" t="s">
        <v>904</v>
      </c>
      <c r="AF630" t="s">
        <v>67</v>
      </c>
      <c r="AG630" t="s">
        <v>105</v>
      </c>
      <c r="AH630" t="s">
        <v>69</v>
      </c>
      <c r="AI630" t="s">
        <v>70</v>
      </c>
      <c r="AJ630" t="s">
        <v>195</v>
      </c>
      <c r="AK630" t="s">
        <v>221</v>
      </c>
    </row>
    <row r="631" spans="1:37" x14ac:dyDescent="0.3">
      <c r="A631" t="s">
        <v>888</v>
      </c>
      <c r="B631" t="s">
        <v>870</v>
      </c>
      <c r="C631" s="2">
        <v>45764.926233449078</v>
      </c>
      <c r="D631" s="2">
        <v>45762.136265717592</v>
      </c>
      <c r="E631" s="2">
        <v>45761.609023576391</v>
      </c>
      <c r="F631" t="s">
        <v>871</v>
      </c>
      <c r="G631" t="s">
        <v>161</v>
      </c>
      <c r="H631">
        <v>45693</v>
      </c>
      <c r="I631">
        <v>0.12291666666666666</v>
      </c>
      <c r="J631"/>
      <c r="K631"/>
      <c r="L631">
        <v>45695</v>
      </c>
      <c r="M631">
        <v>0.12339120370370371</v>
      </c>
      <c r="N631" t="s">
        <v>950</v>
      </c>
      <c r="O631" t="s">
        <v>167</v>
      </c>
      <c r="P631"/>
      <c r="Q631" t="s">
        <v>168</v>
      </c>
      <c r="R631" t="s">
        <v>155</v>
      </c>
      <c r="S631" t="s">
        <v>907</v>
      </c>
      <c r="T631" t="s">
        <v>951</v>
      </c>
      <c r="U631"/>
      <c r="V631"/>
      <c r="W631"/>
      <c r="X631"/>
      <c r="Y631"/>
      <c r="Z631"/>
      <c r="AA631"/>
      <c r="AB631"/>
      <c r="AC631"/>
      <c r="AD631"/>
      <c r="AE631" t="s">
        <v>913</v>
      </c>
      <c r="AF631" t="s">
        <v>67</v>
      </c>
      <c r="AG631" t="s">
        <v>170</v>
      </c>
      <c r="AH631" t="s">
        <v>90</v>
      </c>
      <c r="AI631" t="s">
        <v>171</v>
      </c>
      <c r="AJ631" t="s">
        <v>123</v>
      </c>
      <c r="AK631" t="s">
        <v>137</v>
      </c>
    </row>
    <row r="632" spans="1:37" x14ac:dyDescent="0.3">
      <c r="A632" t="s">
        <v>888</v>
      </c>
      <c r="B632" t="s">
        <v>870</v>
      </c>
      <c r="C632" s="2">
        <v>45764.926233449078</v>
      </c>
      <c r="D632" s="2">
        <v>45762.136265717592</v>
      </c>
      <c r="E632" s="2">
        <v>45761.609023576391</v>
      </c>
      <c r="F632" t="s">
        <v>871</v>
      </c>
      <c r="G632" t="s">
        <v>292</v>
      </c>
      <c r="H632">
        <v>45695</v>
      </c>
      <c r="I632">
        <v>0.27430555555555558</v>
      </c>
      <c r="J632">
        <v>45695</v>
      </c>
      <c r="K632">
        <v>0.28472222222222232</v>
      </c>
      <c r="L632">
        <v>45696</v>
      </c>
      <c r="M632">
        <v>0.30738425925925927</v>
      </c>
      <c r="N632" t="s">
        <v>892</v>
      </c>
      <c r="O632"/>
      <c r="P632"/>
      <c r="Q632" t="s">
        <v>296</v>
      </c>
      <c r="R632" t="s">
        <v>203</v>
      </c>
      <c r="S632" t="s">
        <v>922</v>
      </c>
      <c r="T632" t="s">
        <v>952</v>
      </c>
      <c r="U632"/>
      <c r="V632"/>
      <c r="W632" t="s">
        <v>953</v>
      </c>
      <c r="X632" t="s">
        <v>954</v>
      </c>
      <c r="Y632" t="s">
        <v>300</v>
      </c>
      <c r="Z632" t="s">
        <v>65</v>
      </c>
      <c r="AA632"/>
      <c r="AB632"/>
      <c r="AC632"/>
      <c r="AD632"/>
      <c r="AE632" t="s">
        <v>913</v>
      </c>
      <c r="AF632" t="s">
        <v>67</v>
      </c>
      <c r="AG632" t="s">
        <v>301</v>
      </c>
      <c r="AH632" t="s">
        <v>121</v>
      </c>
      <c r="AI632" t="s">
        <v>180</v>
      </c>
      <c r="AJ632" t="s">
        <v>92</v>
      </c>
      <c r="AK632" t="s">
        <v>221</v>
      </c>
    </row>
    <row r="633" spans="1:37" x14ac:dyDescent="0.3">
      <c r="A633" t="s">
        <v>888</v>
      </c>
      <c r="B633" t="s">
        <v>870</v>
      </c>
      <c r="C633" s="2">
        <v>45764.926233449078</v>
      </c>
      <c r="D633" s="2">
        <v>45762.136265717592</v>
      </c>
      <c r="E633" s="2">
        <v>45761.609023576391</v>
      </c>
      <c r="F633" t="s">
        <v>871</v>
      </c>
      <c r="G633" t="s">
        <v>437</v>
      </c>
      <c r="H633">
        <v>45701</v>
      </c>
      <c r="I633">
        <v>8.3333333333333329E-2</v>
      </c>
      <c r="J633"/>
      <c r="K633"/>
      <c r="L633">
        <v>45701</v>
      </c>
      <c r="M633">
        <v>0.51225694444444447</v>
      </c>
      <c r="N633" t="s">
        <v>440</v>
      </c>
      <c r="O633" t="s">
        <v>957</v>
      </c>
      <c r="P633" t="s">
        <v>906</v>
      </c>
      <c r="Q633" t="s">
        <v>443</v>
      </c>
      <c r="R633" t="s">
        <v>191</v>
      </c>
      <c r="S633" t="s">
        <v>893</v>
      </c>
      <c r="T633" t="s">
        <v>958</v>
      </c>
      <c r="U633"/>
      <c r="V633"/>
      <c r="W633"/>
      <c r="X633"/>
      <c r="Y633"/>
      <c r="Z633"/>
      <c r="AA633"/>
      <c r="AB633"/>
      <c r="AC633"/>
      <c r="AD633"/>
      <c r="AE633" t="s">
        <v>959</v>
      </c>
      <c r="AF633" t="s">
        <v>67</v>
      </c>
      <c r="AG633" t="s">
        <v>120</v>
      </c>
      <c r="AH633" t="s">
        <v>121</v>
      </c>
      <c r="AI633" t="s">
        <v>378</v>
      </c>
      <c r="AJ633" t="s">
        <v>446</v>
      </c>
      <c r="AK633"/>
    </row>
    <row r="634" spans="1:37" x14ac:dyDescent="0.3">
      <c r="A634" t="s">
        <v>888</v>
      </c>
      <c r="B634" t="s">
        <v>870</v>
      </c>
      <c r="C634" s="2">
        <v>45764.926233449078</v>
      </c>
      <c r="D634" s="2">
        <v>45762.136265717592</v>
      </c>
      <c r="E634" s="2">
        <v>45761.609023576391</v>
      </c>
      <c r="F634" t="s">
        <v>871</v>
      </c>
      <c r="G634" t="s">
        <v>110</v>
      </c>
      <c r="H634">
        <v>45701</v>
      </c>
      <c r="I634">
        <v>0.66666666666666663</v>
      </c>
      <c r="J634"/>
      <c r="K634"/>
      <c r="L634">
        <v>45702</v>
      </c>
      <c r="M634">
        <v>0.29906250000000001</v>
      </c>
      <c r="N634" t="s">
        <v>902</v>
      </c>
      <c r="O634"/>
      <c r="P634"/>
      <c r="Q634" t="s">
        <v>113</v>
      </c>
      <c r="R634" t="s">
        <v>114</v>
      </c>
      <c r="S634" t="s">
        <v>936</v>
      </c>
      <c r="T634" t="s">
        <v>960</v>
      </c>
      <c r="U634"/>
      <c r="V634"/>
      <c r="W634" t="s">
        <v>116</v>
      </c>
      <c r="X634" t="s">
        <v>944</v>
      </c>
      <c r="Y634" t="s">
        <v>118</v>
      </c>
      <c r="Z634" t="s">
        <v>65</v>
      </c>
      <c r="AA634"/>
      <c r="AB634"/>
      <c r="AC634"/>
      <c r="AD634"/>
      <c r="AE634" t="s">
        <v>913</v>
      </c>
      <c r="AF634" t="s">
        <v>67</v>
      </c>
      <c r="AG634" t="s">
        <v>120</v>
      </c>
      <c r="AH634" t="s">
        <v>121</v>
      </c>
      <c r="AI634" t="s">
        <v>122</v>
      </c>
      <c r="AJ634" t="s">
        <v>71</v>
      </c>
      <c r="AK634" t="s">
        <v>72</v>
      </c>
    </row>
    <row r="635" spans="1:37" x14ac:dyDescent="0.3">
      <c r="A635" t="s">
        <v>888</v>
      </c>
      <c r="B635" t="s">
        <v>870</v>
      </c>
      <c r="C635" s="2">
        <v>45764.926233449078</v>
      </c>
      <c r="D635" s="2">
        <v>45762.136265717592</v>
      </c>
      <c r="E635" s="2">
        <v>45761.609023576391</v>
      </c>
      <c r="F635" t="s">
        <v>871</v>
      </c>
      <c r="G635" t="s">
        <v>313</v>
      </c>
      <c r="H635">
        <v>45705</v>
      </c>
      <c r="I635">
        <v>0.34877314814814814</v>
      </c>
      <c r="J635"/>
      <c r="K635"/>
      <c r="L635">
        <v>45705</v>
      </c>
      <c r="M635">
        <v>0.34877314814814819</v>
      </c>
      <c r="N635" t="s">
        <v>892</v>
      </c>
      <c r="O635" t="s">
        <v>317</v>
      </c>
      <c r="P635"/>
      <c r="Q635" t="s">
        <v>318</v>
      </c>
      <c r="R635" t="s">
        <v>134</v>
      </c>
      <c r="S635" t="s">
        <v>899</v>
      </c>
      <c r="T635" t="s">
        <v>961</v>
      </c>
      <c r="U635"/>
      <c r="V635"/>
      <c r="W635" t="s">
        <v>962</v>
      </c>
      <c r="X635" t="s">
        <v>896</v>
      </c>
      <c r="Y635" t="s">
        <v>218</v>
      </c>
      <c r="Z635" t="s">
        <v>65</v>
      </c>
      <c r="AA635"/>
      <c r="AB635"/>
      <c r="AC635"/>
      <c r="AD635"/>
      <c r="AE635" t="s">
        <v>904</v>
      </c>
      <c r="AF635" t="s">
        <v>67</v>
      </c>
      <c r="AG635" t="s">
        <v>68</v>
      </c>
      <c r="AH635" t="s">
        <v>69</v>
      </c>
      <c r="AI635" t="s">
        <v>122</v>
      </c>
      <c r="AJ635" t="s">
        <v>71</v>
      </c>
      <c r="AK635" t="s">
        <v>221</v>
      </c>
    </row>
    <row r="636" spans="1:37" x14ac:dyDescent="0.3">
      <c r="A636" t="s">
        <v>888</v>
      </c>
      <c r="B636" t="s">
        <v>870</v>
      </c>
      <c r="C636" s="2">
        <v>45764.926233449078</v>
      </c>
      <c r="D636" s="2">
        <v>45762.136265717592</v>
      </c>
      <c r="E636" s="2">
        <v>45761.609023576391</v>
      </c>
      <c r="F636" t="s">
        <v>871</v>
      </c>
      <c r="G636" t="s">
        <v>324</v>
      </c>
      <c r="H636">
        <v>45705</v>
      </c>
      <c r="I636">
        <v>0.39716435185185184</v>
      </c>
      <c r="J636"/>
      <c r="K636"/>
      <c r="L636">
        <v>45705</v>
      </c>
      <c r="M636">
        <v>0.39716435185185195</v>
      </c>
      <c r="N636" t="s">
        <v>892</v>
      </c>
      <c r="O636"/>
      <c r="P636"/>
      <c r="Q636" t="s">
        <v>326</v>
      </c>
      <c r="R636" t="s">
        <v>327</v>
      </c>
      <c r="S636" t="s">
        <v>899</v>
      </c>
      <c r="T636" t="s">
        <v>963</v>
      </c>
      <c r="U636"/>
      <c r="V636"/>
      <c r="W636" t="s">
        <v>964</v>
      </c>
      <c r="X636" t="s">
        <v>896</v>
      </c>
      <c r="Y636" t="s">
        <v>218</v>
      </c>
      <c r="Z636" t="s">
        <v>935</v>
      </c>
      <c r="AA636"/>
      <c r="AB636"/>
      <c r="AC636"/>
      <c r="AD636"/>
      <c r="AE636" t="s">
        <v>904</v>
      </c>
      <c r="AF636" t="s">
        <v>67</v>
      </c>
      <c r="AG636" t="s">
        <v>330</v>
      </c>
      <c r="AH636" t="s">
        <v>69</v>
      </c>
      <c r="AI636" t="s">
        <v>122</v>
      </c>
      <c r="AJ636" t="s">
        <v>71</v>
      </c>
      <c r="AK636" t="s">
        <v>221</v>
      </c>
    </row>
    <row r="637" spans="1:37" x14ac:dyDescent="0.3">
      <c r="A637" t="s">
        <v>888</v>
      </c>
      <c r="B637" t="s">
        <v>870</v>
      </c>
      <c r="C637" s="2">
        <v>45764.926233449078</v>
      </c>
      <c r="D637" s="2">
        <v>45762.136265717592</v>
      </c>
      <c r="E637" s="2">
        <v>45761.609023576391</v>
      </c>
      <c r="F637" t="s">
        <v>871</v>
      </c>
      <c r="G637" t="s">
        <v>173</v>
      </c>
      <c r="H637">
        <v>45705</v>
      </c>
      <c r="I637">
        <v>0.52497685185185183</v>
      </c>
      <c r="J637"/>
      <c r="K637"/>
      <c r="L637">
        <v>45705</v>
      </c>
      <c r="M637">
        <v>0.52497685185185183</v>
      </c>
      <c r="N637" t="s">
        <v>950</v>
      </c>
      <c r="O637" t="s">
        <v>176</v>
      </c>
      <c r="P637"/>
      <c r="Q637" t="s">
        <v>177</v>
      </c>
      <c r="R637" t="s">
        <v>178</v>
      </c>
      <c r="S637" t="s">
        <v>893</v>
      </c>
      <c r="T637" t="s">
        <v>965</v>
      </c>
      <c r="U637"/>
      <c r="V637"/>
      <c r="W637"/>
      <c r="X637"/>
      <c r="Y637"/>
      <c r="Z637"/>
      <c r="AA637"/>
      <c r="AB637"/>
      <c r="AC637"/>
      <c r="AD637"/>
      <c r="AE637" t="s">
        <v>904</v>
      </c>
      <c r="AF637" t="s">
        <v>67</v>
      </c>
      <c r="AG637" t="s">
        <v>68</v>
      </c>
      <c r="AH637" t="s">
        <v>69</v>
      </c>
      <c r="AI637" t="s">
        <v>180</v>
      </c>
      <c r="AJ637" t="s">
        <v>71</v>
      </c>
      <c r="AK637" t="s">
        <v>137</v>
      </c>
    </row>
    <row r="638" spans="1:37" x14ac:dyDescent="0.3">
      <c r="A638" t="s">
        <v>888</v>
      </c>
      <c r="B638" t="s">
        <v>870</v>
      </c>
      <c r="C638" s="2">
        <v>45764.926233449078</v>
      </c>
      <c r="D638" s="2">
        <v>45762.136265717592</v>
      </c>
      <c r="E638" s="2">
        <v>45761.609023576391</v>
      </c>
      <c r="F638" t="s">
        <v>871</v>
      </c>
      <c r="G638" t="s">
        <v>420</v>
      </c>
      <c r="H638">
        <v>45705</v>
      </c>
      <c r="I638">
        <v>0.83333333333333337</v>
      </c>
      <c r="J638">
        <v>45705</v>
      </c>
      <c r="K638">
        <v>0.98958333333333326</v>
      </c>
      <c r="L638">
        <v>45706</v>
      </c>
      <c r="M638">
        <v>0.73564814814814805</v>
      </c>
      <c r="N638" t="s">
        <v>423</v>
      </c>
      <c r="O638" t="s">
        <v>925</v>
      </c>
      <c r="P638"/>
      <c r="Q638" t="s">
        <v>425</v>
      </c>
      <c r="R638" t="s">
        <v>426</v>
      </c>
      <c r="S638" t="s">
        <v>907</v>
      </c>
      <c r="T638" t="s">
        <v>966</v>
      </c>
      <c r="U638"/>
      <c r="V638"/>
      <c r="W638"/>
      <c r="X638"/>
      <c r="Y638"/>
      <c r="Z638"/>
      <c r="AA638"/>
      <c r="AB638"/>
      <c r="AC638"/>
      <c r="AD638"/>
      <c r="AE638" t="s">
        <v>927</v>
      </c>
      <c r="AF638" t="s">
        <v>67</v>
      </c>
      <c r="AG638" t="s">
        <v>106</v>
      </c>
      <c r="AH638" t="s">
        <v>417</v>
      </c>
      <c r="AI638" t="s">
        <v>106</v>
      </c>
      <c r="AJ638" t="s">
        <v>266</v>
      </c>
      <c r="AK638"/>
    </row>
    <row r="639" spans="1:37" x14ac:dyDescent="0.3">
      <c r="A639" t="s">
        <v>888</v>
      </c>
      <c r="B639" t="s">
        <v>870</v>
      </c>
      <c r="C639" s="2">
        <v>45764.926233449078</v>
      </c>
      <c r="D639" s="2">
        <v>45762.136265717592</v>
      </c>
      <c r="E639" s="2">
        <v>45761.609023576391</v>
      </c>
      <c r="F639" t="s">
        <v>871</v>
      </c>
      <c r="G639" t="s">
        <v>332</v>
      </c>
      <c r="H639">
        <v>45713</v>
      </c>
      <c r="I639">
        <v>0.41666666666666669</v>
      </c>
      <c r="J639">
        <v>45713</v>
      </c>
      <c r="K639">
        <v>0.95833333333333326</v>
      </c>
      <c r="L639">
        <v>45708</v>
      </c>
      <c r="M639">
        <v>0.9913657407407408</v>
      </c>
      <c r="N639" t="s">
        <v>892</v>
      </c>
      <c r="O639"/>
      <c r="P639"/>
      <c r="Q639" t="s">
        <v>335</v>
      </c>
      <c r="R639" t="s">
        <v>250</v>
      </c>
      <c r="S639" t="s">
        <v>922</v>
      </c>
      <c r="T639" t="s">
        <v>973</v>
      </c>
      <c r="U639"/>
      <c r="V639"/>
      <c r="W639" t="s">
        <v>337</v>
      </c>
      <c r="X639" t="s">
        <v>896</v>
      </c>
      <c r="Y639" t="s">
        <v>338</v>
      </c>
      <c r="Z639" t="s">
        <v>339</v>
      </c>
      <c r="AA639"/>
      <c r="AB639"/>
      <c r="AC639"/>
      <c r="AD639"/>
      <c r="AE639" t="s">
        <v>897</v>
      </c>
      <c r="AF639" t="s">
        <v>67</v>
      </c>
      <c r="AG639" t="s">
        <v>158</v>
      </c>
      <c r="AH639" t="s">
        <v>159</v>
      </c>
      <c r="AI639" t="s">
        <v>160</v>
      </c>
      <c r="AJ639" t="s">
        <v>975</v>
      </c>
      <c r="AK639" t="s">
        <v>221</v>
      </c>
    </row>
    <row r="640" spans="1:37" x14ac:dyDescent="0.3">
      <c r="A640" t="s">
        <v>888</v>
      </c>
      <c r="B640" t="s">
        <v>870</v>
      </c>
      <c r="C640" s="2">
        <v>45764.926233449078</v>
      </c>
      <c r="D640" s="2">
        <v>45762.136265717592</v>
      </c>
      <c r="E640" s="2">
        <v>45761.609023576391</v>
      </c>
      <c r="F640" t="s">
        <v>871</v>
      </c>
      <c r="G640" t="s">
        <v>492</v>
      </c>
      <c r="H640">
        <v>45720</v>
      </c>
      <c r="I640">
        <v>0.64097222222222228</v>
      </c>
      <c r="J640"/>
      <c r="K640"/>
      <c r="L640">
        <v>45712</v>
      </c>
      <c r="M640">
        <v>0.64444444444444438</v>
      </c>
      <c r="N640" t="s">
        <v>906</v>
      </c>
      <c r="O640" t="s">
        <v>976</v>
      </c>
      <c r="P640" t="s">
        <v>344</v>
      </c>
      <c r="Q640" t="s">
        <v>497</v>
      </c>
      <c r="R640" t="s">
        <v>84</v>
      </c>
      <c r="S640" t="s">
        <v>907</v>
      </c>
      <c r="T640" t="s">
        <v>977</v>
      </c>
      <c r="U640"/>
      <c r="V640"/>
      <c r="W640" t="s">
        <v>499</v>
      </c>
      <c r="X640" t="s">
        <v>500</v>
      </c>
      <c r="Y640" t="s">
        <v>501</v>
      </c>
      <c r="Z640" t="s">
        <v>65</v>
      </c>
      <c r="AA640"/>
      <c r="AB640"/>
      <c r="AC640"/>
      <c r="AD640"/>
      <c r="AE640" t="s">
        <v>978</v>
      </c>
      <c r="AF640" t="s">
        <v>67</v>
      </c>
      <c r="AG640" t="s">
        <v>502</v>
      </c>
      <c r="AH640" t="s">
        <v>159</v>
      </c>
      <c r="AI640" t="s">
        <v>378</v>
      </c>
      <c r="AJ640" t="s">
        <v>195</v>
      </c>
      <c r="AK640" t="s">
        <v>353</v>
      </c>
    </row>
    <row r="641" spans="1:37" x14ac:dyDescent="0.3">
      <c r="A641" t="s">
        <v>888</v>
      </c>
      <c r="B641" t="s">
        <v>870</v>
      </c>
      <c r="C641" s="2">
        <v>45764.926233449078</v>
      </c>
      <c r="D641" s="2">
        <v>45762.136265717592</v>
      </c>
      <c r="E641" s="2">
        <v>45761.609023576391</v>
      </c>
      <c r="F641" t="s">
        <v>871</v>
      </c>
      <c r="G641" t="s">
        <v>484</v>
      </c>
      <c r="H641">
        <v>45720</v>
      </c>
      <c r="I641">
        <v>0.79126157407407405</v>
      </c>
      <c r="J641"/>
      <c r="K641"/>
      <c r="L641">
        <v>45720</v>
      </c>
      <c r="M641">
        <v>0.79126157407407405</v>
      </c>
      <c r="N641" t="s">
        <v>906</v>
      </c>
      <c r="O641"/>
      <c r="P641"/>
      <c r="Q641" t="s">
        <v>487</v>
      </c>
      <c r="R641" t="s">
        <v>261</v>
      </c>
      <c r="S641" t="s">
        <v>936</v>
      </c>
      <c r="T641" t="s">
        <v>979</v>
      </c>
      <c r="U641"/>
      <c r="V641"/>
      <c r="W641"/>
      <c r="X641"/>
      <c r="Y641"/>
      <c r="Z641"/>
      <c r="AA641"/>
      <c r="AB641"/>
      <c r="AC641"/>
      <c r="AD641"/>
      <c r="AE641" t="s">
        <v>978</v>
      </c>
      <c r="AF641" t="s">
        <v>67</v>
      </c>
      <c r="AG641" t="s">
        <v>489</v>
      </c>
      <c r="AH641" t="s">
        <v>206</v>
      </c>
      <c r="AI641" t="s">
        <v>70</v>
      </c>
      <c r="AJ641" t="s">
        <v>195</v>
      </c>
      <c r="AK641" t="s">
        <v>353</v>
      </c>
    </row>
    <row r="642" spans="1:37" x14ac:dyDescent="0.3">
      <c r="A642" t="s">
        <v>888</v>
      </c>
      <c r="B642" t="s">
        <v>870</v>
      </c>
      <c r="C642" s="2">
        <v>45764.926233449078</v>
      </c>
      <c r="D642" s="2">
        <v>45762.136265717592</v>
      </c>
      <c r="E642" s="2">
        <v>45761.609023576391</v>
      </c>
      <c r="F642" t="s">
        <v>871</v>
      </c>
      <c r="G642" t="s">
        <v>460</v>
      </c>
      <c r="H642">
        <v>45722</v>
      </c>
      <c r="I642">
        <v>0.94149305555555551</v>
      </c>
      <c r="J642"/>
      <c r="K642"/>
      <c r="L642">
        <v>45720</v>
      </c>
      <c r="M642">
        <v>0.94149305555555562</v>
      </c>
      <c r="N642" t="s">
        <v>902</v>
      </c>
      <c r="O642"/>
      <c r="P642"/>
      <c r="Q642" t="s">
        <v>464</v>
      </c>
      <c r="R642" t="s">
        <v>84</v>
      </c>
      <c r="S642" t="s">
        <v>907</v>
      </c>
      <c r="T642" t="s">
        <v>980</v>
      </c>
      <c r="U642"/>
      <c r="V642"/>
      <c r="W642" t="s">
        <v>466</v>
      </c>
      <c r="X642" t="s">
        <v>944</v>
      </c>
      <c r="Y642" t="s">
        <v>467</v>
      </c>
      <c r="Z642" t="s">
        <v>65</v>
      </c>
      <c r="AA642"/>
      <c r="AB642"/>
      <c r="AC642"/>
      <c r="AD642"/>
      <c r="AE642" t="s">
        <v>981</v>
      </c>
      <c r="AF642" t="s">
        <v>67</v>
      </c>
      <c r="AG642" t="s">
        <v>68</v>
      </c>
      <c r="AH642" t="s">
        <v>69</v>
      </c>
      <c r="AI642" t="s">
        <v>160</v>
      </c>
      <c r="AJ642" t="s">
        <v>123</v>
      </c>
      <c r="AK642" t="s">
        <v>72</v>
      </c>
    </row>
    <row r="643" spans="1:37" x14ac:dyDescent="0.3">
      <c r="A643" t="s">
        <v>888</v>
      </c>
      <c r="B643" t="s">
        <v>870</v>
      </c>
      <c r="C643" s="2">
        <v>45764.926233449078</v>
      </c>
      <c r="D643" s="2">
        <v>45762.136265717592</v>
      </c>
      <c r="E643" s="2">
        <v>45761.609023576391</v>
      </c>
      <c r="F643" t="s">
        <v>871</v>
      </c>
      <c r="G643" t="s">
        <v>472</v>
      </c>
      <c r="H643">
        <v>45725</v>
      </c>
      <c r="I643">
        <v>0.8125</v>
      </c>
      <c r="J643">
        <v>45726</v>
      </c>
      <c r="K643">
        <v>0.35416666666666674</v>
      </c>
      <c r="L643">
        <v>45722</v>
      </c>
      <c r="M643">
        <v>0.37046296296296299</v>
      </c>
      <c r="N643" t="s">
        <v>902</v>
      </c>
      <c r="O643"/>
      <c r="P643"/>
      <c r="Q643" t="s">
        <v>475</v>
      </c>
      <c r="R643" t="s">
        <v>134</v>
      </c>
      <c r="S643" t="s">
        <v>899</v>
      </c>
      <c r="T643" t="s">
        <v>982</v>
      </c>
      <c r="U643"/>
      <c r="V643"/>
      <c r="W643" t="s">
        <v>477</v>
      </c>
      <c r="X643" t="s">
        <v>478</v>
      </c>
      <c r="Y643" t="s">
        <v>479</v>
      </c>
      <c r="Z643" t="s">
        <v>65</v>
      </c>
      <c r="AA643"/>
      <c r="AB643"/>
      <c r="AC643"/>
      <c r="AD643"/>
      <c r="AE643" t="s">
        <v>897</v>
      </c>
      <c r="AF643" t="s">
        <v>67</v>
      </c>
      <c r="AG643" t="s">
        <v>480</v>
      </c>
      <c r="AH643" t="s">
        <v>351</v>
      </c>
      <c r="AI643" t="s">
        <v>122</v>
      </c>
      <c r="AJ643" t="s">
        <v>71</v>
      </c>
      <c r="AK643" t="s">
        <v>72</v>
      </c>
    </row>
    <row r="644" spans="1:37" x14ac:dyDescent="0.3">
      <c r="A644" t="s">
        <v>888</v>
      </c>
      <c r="B644" t="s">
        <v>870</v>
      </c>
      <c r="C644" s="2">
        <v>45764.926233449078</v>
      </c>
      <c r="D644" s="2">
        <v>45762.136265717592</v>
      </c>
      <c r="E644" s="2">
        <v>45761.609023576391</v>
      </c>
      <c r="F644" t="s">
        <v>871</v>
      </c>
      <c r="G644" t="s">
        <v>529</v>
      </c>
      <c r="H644">
        <v>45726</v>
      </c>
      <c r="I644">
        <v>4.6527777777777779E-2</v>
      </c>
      <c r="J644">
        <v>45726</v>
      </c>
      <c r="K644">
        <v>0.16180555555555554</v>
      </c>
      <c r="L644">
        <v>45726</v>
      </c>
      <c r="M644">
        <v>0.44234953703703694</v>
      </c>
      <c r="N644" t="s">
        <v>915</v>
      </c>
      <c r="O644"/>
      <c r="P644"/>
      <c r="Q644" t="s">
        <v>532</v>
      </c>
      <c r="R644" t="s">
        <v>283</v>
      </c>
      <c r="S644" t="s">
        <v>907</v>
      </c>
      <c r="T644" t="s">
        <v>983</v>
      </c>
      <c r="U644"/>
      <c r="V644"/>
      <c r="W644"/>
      <c r="X644"/>
      <c r="Y644"/>
      <c r="Z644"/>
      <c r="AA644"/>
      <c r="AB644"/>
      <c r="AC644"/>
      <c r="AD644"/>
      <c r="AE644" t="s">
        <v>984</v>
      </c>
      <c r="AF644" t="s">
        <v>67</v>
      </c>
      <c r="AG644" t="s">
        <v>219</v>
      </c>
      <c r="AH644" t="s">
        <v>159</v>
      </c>
      <c r="AI644" t="s">
        <v>106</v>
      </c>
      <c r="AJ644" t="s">
        <v>71</v>
      </c>
      <c r="AK644" t="s">
        <v>137</v>
      </c>
    </row>
    <row r="645" spans="1:37" x14ac:dyDescent="0.3">
      <c r="A645" t="s">
        <v>888</v>
      </c>
      <c r="B645" t="s">
        <v>870</v>
      </c>
      <c r="C645" s="2">
        <v>45764.926233449078</v>
      </c>
      <c r="D645" s="2">
        <v>45762.136265717592</v>
      </c>
      <c r="E645" s="2">
        <v>45761.609023576391</v>
      </c>
      <c r="F645" t="s">
        <v>871</v>
      </c>
      <c r="G645" t="s">
        <v>516</v>
      </c>
      <c r="H645">
        <v>45727</v>
      </c>
      <c r="I645">
        <v>0.60416666666666663</v>
      </c>
      <c r="J645"/>
      <c r="K645"/>
      <c r="L645">
        <v>45727</v>
      </c>
      <c r="M645">
        <v>0.6903935185185186</v>
      </c>
      <c r="N645" t="s">
        <v>902</v>
      </c>
      <c r="O645"/>
      <c r="P645"/>
      <c r="Q645" t="s">
        <v>519</v>
      </c>
      <c r="R645" t="s">
        <v>84</v>
      </c>
      <c r="S645" t="s">
        <v>907</v>
      </c>
      <c r="T645" t="s">
        <v>985</v>
      </c>
      <c r="U645"/>
      <c r="V645"/>
      <c r="W645" t="s">
        <v>521</v>
      </c>
      <c r="X645" t="s">
        <v>986</v>
      </c>
      <c r="Y645" t="s">
        <v>523</v>
      </c>
      <c r="Z645" t="s">
        <v>65</v>
      </c>
      <c r="AA645"/>
      <c r="AB645"/>
      <c r="AC645"/>
      <c r="AD645"/>
      <c r="AE645" t="s">
        <v>927</v>
      </c>
      <c r="AF645" t="s">
        <v>67</v>
      </c>
      <c r="AG645" t="s">
        <v>158</v>
      </c>
      <c r="AH645" t="s">
        <v>159</v>
      </c>
      <c r="AI645" t="s">
        <v>524</v>
      </c>
      <c r="AJ645" t="s">
        <v>71</v>
      </c>
      <c r="AK645" t="s">
        <v>72</v>
      </c>
    </row>
    <row r="646" spans="1:37" x14ac:dyDescent="0.3">
      <c r="A646" t="s">
        <v>888</v>
      </c>
      <c r="B646" t="s">
        <v>870</v>
      </c>
      <c r="C646" s="2">
        <v>45764.926233449078</v>
      </c>
      <c r="D646" s="2">
        <v>45762.136265717592</v>
      </c>
      <c r="E646" s="2">
        <v>45761.609023576391</v>
      </c>
      <c r="F646" t="s">
        <v>871</v>
      </c>
      <c r="G646" t="s">
        <v>549</v>
      </c>
      <c r="H646">
        <v>45737</v>
      </c>
      <c r="I646">
        <v>0.32500000000000001</v>
      </c>
      <c r="J646"/>
      <c r="K646"/>
      <c r="L646">
        <v>45727</v>
      </c>
      <c r="M646">
        <v>0.5971412037037036</v>
      </c>
      <c r="N646" t="s">
        <v>892</v>
      </c>
      <c r="O646"/>
      <c r="P646"/>
      <c r="Q646" t="s">
        <v>552</v>
      </c>
      <c r="R646" t="s">
        <v>261</v>
      </c>
      <c r="S646" t="s">
        <v>936</v>
      </c>
      <c r="T646" t="s">
        <v>989</v>
      </c>
      <c r="U646"/>
      <c r="V646"/>
      <c r="W646" t="s">
        <v>554</v>
      </c>
      <c r="X646" t="s">
        <v>990</v>
      </c>
      <c r="Y646"/>
      <c r="Z646" t="s">
        <v>65</v>
      </c>
      <c r="AA646"/>
      <c r="AB646"/>
      <c r="AC646"/>
      <c r="AD646"/>
      <c r="AE646" t="s">
        <v>981</v>
      </c>
      <c r="AF646" t="s">
        <v>67</v>
      </c>
      <c r="AG646" t="s">
        <v>147</v>
      </c>
      <c r="AH646" t="s">
        <v>90</v>
      </c>
      <c r="AI646" t="s">
        <v>171</v>
      </c>
      <c r="AJ646" t="s">
        <v>266</v>
      </c>
      <c r="AK646" t="s">
        <v>221</v>
      </c>
    </row>
    <row r="647" spans="1:37" x14ac:dyDescent="0.3">
      <c r="A647" t="s">
        <v>888</v>
      </c>
      <c r="B647" t="s">
        <v>870</v>
      </c>
      <c r="C647" s="2">
        <v>45764.926233449078</v>
      </c>
      <c r="D647" s="2">
        <v>45762.136265717592</v>
      </c>
      <c r="E647" s="2">
        <v>45761.609023576391</v>
      </c>
      <c r="F647" t="s">
        <v>871</v>
      </c>
      <c r="G647" t="s">
        <v>559</v>
      </c>
      <c r="H647">
        <v>45739</v>
      </c>
      <c r="I647">
        <v>0.1736111111111111</v>
      </c>
      <c r="J647">
        <v>45739</v>
      </c>
      <c r="K647">
        <v>0.18055555555555558</v>
      </c>
      <c r="L647">
        <v>45734</v>
      </c>
      <c r="M647">
        <v>0.20511574074074068</v>
      </c>
      <c r="N647" t="s">
        <v>902</v>
      </c>
      <c r="O647" t="s">
        <v>991</v>
      </c>
      <c r="P647"/>
      <c r="Q647" t="s">
        <v>564</v>
      </c>
      <c r="R647" t="s">
        <v>250</v>
      </c>
      <c r="S647" t="s">
        <v>922</v>
      </c>
      <c r="T647" t="s">
        <v>992</v>
      </c>
      <c r="U647"/>
      <c r="V647"/>
      <c r="W647" t="s">
        <v>993</v>
      </c>
      <c r="X647" t="s">
        <v>944</v>
      </c>
      <c r="Y647" t="s">
        <v>567</v>
      </c>
      <c r="Z647" t="s">
        <v>65</v>
      </c>
      <c r="AA647"/>
      <c r="AB647"/>
      <c r="AC647"/>
      <c r="AD647"/>
      <c r="AE647" t="s">
        <v>994</v>
      </c>
      <c r="AF647" t="s">
        <v>67</v>
      </c>
      <c r="AG647" t="s">
        <v>105</v>
      </c>
      <c r="AH647" t="s">
        <v>69</v>
      </c>
      <c r="AI647" t="s">
        <v>122</v>
      </c>
      <c r="AJ647" t="s">
        <v>71</v>
      </c>
      <c r="AK647" t="s">
        <v>72</v>
      </c>
    </row>
    <row r="648" spans="1:37" x14ac:dyDescent="0.3">
      <c r="A648" t="s">
        <v>888</v>
      </c>
      <c r="B648" t="s">
        <v>870</v>
      </c>
      <c r="C648" s="2">
        <v>45764.926233449078</v>
      </c>
      <c r="D648" s="2">
        <v>45762.136265717592</v>
      </c>
      <c r="E648" s="2">
        <v>45761.609023576391</v>
      </c>
      <c r="F648" t="s">
        <v>871</v>
      </c>
      <c r="G648" t="s">
        <v>845</v>
      </c>
      <c r="H648">
        <v>45739</v>
      </c>
      <c r="I648">
        <v>0.62013888888888891</v>
      </c>
      <c r="J648">
        <v>45739</v>
      </c>
      <c r="K648">
        <v>0.64166666666666661</v>
      </c>
      <c r="L648">
        <v>45737</v>
      </c>
      <c r="M648">
        <v>0.49540509259259258</v>
      </c>
      <c r="N648" t="s">
        <v>898</v>
      </c>
      <c r="O648"/>
      <c r="P648"/>
      <c r="Q648" t="s">
        <v>848</v>
      </c>
      <c r="R648" t="s">
        <v>849</v>
      </c>
      <c r="S648" t="s">
        <v>893</v>
      </c>
      <c r="T648" t="s">
        <v>1022</v>
      </c>
      <c r="U648"/>
      <c r="V648"/>
      <c r="W648"/>
      <c r="X648"/>
      <c r="Y648"/>
      <c r="Z648"/>
      <c r="AA648"/>
      <c r="AB648"/>
      <c r="AC648"/>
      <c r="AD648"/>
      <c r="AE648" t="s">
        <v>1023</v>
      </c>
      <c r="AF648" t="s">
        <v>67</v>
      </c>
      <c r="AG648" t="s">
        <v>852</v>
      </c>
      <c r="AH648" t="s">
        <v>69</v>
      </c>
      <c r="AI648" t="s">
        <v>122</v>
      </c>
      <c r="AJ648" t="s">
        <v>123</v>
      </c>
      <c r="AK648"/>
    </row>
    <row r="649" spans="1:37" x14ac:dyDescent="0.3">
      <c r="A649" t="s">
        <v>888</v>
      </c>
      <c r="B649" t="s">
        <v>870</v>
      </c>
      <c r="C649" s="2">
        <v>45764.926233449078</v>
      </c>
      <c r="D649" s="2">
        <v>45762.136265717592</v>
      </c>
      <c r="E649" s="2">
        <v>45761.609023576391</v>
      </c>
      <c r="F649" t="s">
        <v>871</v>
      </c>
      <c r="G649" t="s">
        <v>678</v>
      </c>
      <c r="H649">
        <v>45741</v>
      </c>
      <c r="I649">
        <v>0.48402777777777778</v>
      </c>
      <c r="J649"/>
      <c r="K649"/>
      <c r="L649">
        <v>45739</v>
      </c>
      <c r="M649">
        <v>0.50343749999999998</v>
      </c>
      <c r="N649" t="s">
        <v>906</v>
      </c>
      <c r="O649" t="s">
        <v>930</v>
      </c>
      <c r="P649" t="s">
        <v>687</v>
      </c>
      <c r="Q649" t="s">
        <v>362</v>
      </c>
      <c r="R649" t="s">
        <v>363</v>
      </c>
      <c r="S649" t="s">
        <v>893</v>
      </c>
      <c r="T649" t="s">
        <v>995</v>
      </c>
      <c r="U649"/>
      <c r="V649"/>
      <c r="W649" t="s">
        <v>689</v>
      </c>
      <c r="X649" t="s">
        <v>986</v>
      </c>
      <c r="Y649" t="s">
        <v>690</v>
      </c>
      <c r="Z649" t="s">
        <v>65</v>
      </c>
      <c r="AA649"/>
      <c r="AB649"/>
      <c r="AC649"/>
      <c r="AD649"/>
      <c r="AE649" t="s">
        <v>996</v>
      </c>
      <c r="AF649" t="s">
        <v>67</v>
      </c>
      <c r="AG649" t="s">
        <v>647</v>
      </c>
      <c r="AH649" t="s">
        <v>351</v>
      </c>
      <c r="AI649" t="s">
        <v>160</v>
      </c>
      <c r="AJ649" t="s">
        <v>123</v>
      </c>
      <c r="AK649" t="s">
        <v>353</v>
      </c>
    </row>
    <row r="650" spans="1:37" x14ac:dyDescent="0.3">
      <c r="A650" t="s">
        <v>888</v>
      </c>
      <c r="B650" t="s">
        <v>870</v>
      </c>
      <c r="C650" s="2">
        <v>45764.926233449078</v>
      </c>
      <c r="D650" s="2">
        <v>45762.136265717592</v>
      </c>
      <c r="E650" s="2">
        <v>45761.609023576391</v>
      </c>
      <c r="F650" t="s">
        <v>871</v>
      </c>
      <c r="G650" t="s">
        <v>573</v>
      </c>
      <c r="H650">
        <v>45743</v>
      </c>
      <c r="I650">
        <v>0.94666666666666666</v>
      </c>
      <c r="J650"/>
      <c r="K650"/>
      <c r="L650">
        <v>45741</v>
      </c>
      <c r="M650">
        <v>0.94666666666666677</v>
      </c>
      <c r="N650" t="s">
        <v>950</v>
      </c>
      <c r="O650" t="s">
        <v>997</v>
      </c>
      <c r="P650" t="s">
        <v>909</v>
      </c>
      <c r="Q650" t="s">
        <v>577</v>
      </c>
      <c r="R650" t="s">
        <v>261</v>
      </c>
      <c r="S650" t="s">
        <v>936</v>
      </c>
      <c r="T650" t="s">
        <v>998</v>
      </c>
      <c r="U650"/>
      <c r="V650"/>
      <c r="W650"/>
      <c r="X650"/>
      <c r="Y650"/>
      <c r="Z650"/>
      <c r="AA650"/>
      <c r="AB650"/>
      <c r="AC650"/>
      <c r="AD650"/>
      <c r="AE650" t="s">
        <v>927</v>
      </c>
      <c r="AF650" t="s">
        <v>67</v>
      </c>
      <c r="AG650" t="s">
        <v>579</v>
      </c>
      <c r="AH650" t="s">
        <v>121</v>
      </c>
      <c r="AI650" t="s">
        <v>378</v>
      </c>
      <c r="AJ650" t="s">
        <v>435</v>
      </c>
      <c r="AK650" t="s">
        <v>137</v>
      </c>
    </row>
    <row r="651" spans="1:37" x14ac:dyDescent="0.3">
      <c r="A651" t="s">
        <v>888</v>
      </c>
      <c r="B651" t="s">
        <v>870</v>
      </c>
      <c r="C651" s="2">
        <v>45764.926233449078</v>
      </c>
      <c r="D651" s="2">
        <v>45762.136265717592</v>
      </c>
      <c r="E651" s="2">
        <v>45761.609023576391</v>
      </c>
      <c r="F651" t="s">
        <v>871</v>
      </c>
      <c r="G651" t="s">
        <v>582</v>
      </c>
      <c r="H651">
        <v>45743</v>
      </c>
      <c r="I651">
        <v>0.97916666666666663</v>
      </c>
      <c r="J651">
        <v>45744</v>
      </c>
      <c r="K651">
        <v>2.4999999999999911E-2</v>
      </c>
      <c r="L651">
        <v>45743</v>
      </c>
      <c r="M651">
        <v>0.46781249999999996</v>
      </c>
      <c r="N651" t="s">
        <v>915</v>
      </c>
      <c r="O651"/>
      <c r="P651"/>
      <c r="Q651" t="s">
        <v>584</v>
      </c>
      <c r="R651" t="s">
        <v>283</v>
      </c>
      <c r="S651" t="s">
        <v>907</v>
      </c>
      <c r="T651" t="s">
        <v>999</v>
      </c>
      <c r="U651">
        <v>50300</v>
      </c>
      <c r="V651"/>
      <c r="W651"/>
      <c r="X651"/>
      <c r="Y651"/>
      <c r="Z651"/>
      <c r="AA651"/>
      <c r="AB651"/>
      <c r="AC651"/>
      <c r="AD651"/>
      <c r="AE651" t="s">
        <v>1000</v>
      </c>
      <c r="AF651" t="s">
        <v>67</v>
      </c>
      <c r="AG651" t="s">
        <v>480</v>
      </c>
      <c r="AH651" t="s">
        <v>351</v>
      </c>
      <c r="AI651" t="s">
        <v>586</v>
      </c>
      <c r="AJ651" t="s">
        <v>123</v>
      </c>
      <c r="AK651" t="s">
        <v>137</v>
      </c>
    </row>
    <row r="652" spans="1:37" x14ac:dyDescent="0.3">
      <c r="A652" t="s">
        <v>888</v>
      </c>
      <c r="B652" t="s">
        <v>870</v>
      </c>
      <c r="C652" s="2">
        <v>45764.926233449078</v>
      </c>
      <c r="D652" s="2">
        <v>45762.136265717592</v>
      </c>
      <c r="E652" s="2">
        <v>45761.609023576391</v>
      </c>
      <c r="F652" t="s">
        <v>871</v>
      </c>
      <c r="G652" t="s">
        <v>628</v>
      </c>
      <c r="H652">
        <v>45744</v>
      </c>
      <c r="I652">
        <v>0.85416666666666663</v>
      </c>
      <c r="J652">
        <v>45745</v>
      </c>
      <c r="K652">
        <v>0.41666666666666674</v>
      </c>
      <c r="L652">
        <v>45744</v>
      </c>
      <c r="M652">
        <v>0.42986111111111103</v>
      </c>
      <c r="N652" t="s">
        <v>892</v>
      </c>
      <c r="O652"/>
      <c r="P652"/>
      <c r="Q652" t="s">
        <v>631</v>
      </c>
      <c r="R652" t="s">
        <v>426</v>
      </c>
      <c r="S652" t="s">
        <v>907</v>
      </c>
      <c r="T652" t="s">
        <v>1004</v>
      </c>
      <c r="U652"/>
      <c r="V652"/>
      <c r="W652" t="s">
        <v>633</v>
      </c>
      <c r="X652" t="s">
        <v>1003</v>
      </c>
      <c r="Y652" t="s">
        <v>635</v>
      </c>
      <c r="Z652" t="s">
        <v>65</v>
      </c>
      <c r="AA652"/>
      <c r="AB652"/>
      <c r="AC652"/>
      <c r="AD652"/>
      <c r="AE652" t="s">
        <v>994</v>
      </c>
      <c r="AF652" t="s">
        <v>67</v>
      </c>
      <c r="AG652" t="s">
        <v>636</v>
      </c>
      <c r="AH652" t="s">
        <v>637</v>
      </c>
      <c r="AI652" t="s">
        <v>160</v>
      </c>
      <c r="AJ652" t="s">
        <v>123</v>
      </c>
      <c r="AK652" t="s">
        <v>221</v>
      </c>
    </row>
    <row r="653" spans="1:37" x14ac:dyDescent="0.3">
      <c r="A653" t="s">
        <v>888</v>
      </c>
      <c r="B653" t="s">
        <v>870</v>
      </c>
      <c r="C653" s="2">
        <v>45764.926233449078</v>
      </c>
      <c r="D653" s="2">
        <v>45762.136265717592</v>
      </c>
      <c r="E653" s="2">
        <v>45761.609023576391</v>
      </c>
      <c r="F653" t="s">
        <v>871</v>
      </c>
      <c r="G653" t="s">
        <v>694</v>
      </c>
      <c r="H653">
        <v>45745</v>
      </c>
      <c r="I653">
        <v>0.20515046296296297</v>
      </c>
      <c r="J653"/>
      <c r="K653"/>
      <c r="L653">
        <v>45745</v>
      </c>
      <c r="M653">
        <v>0.20931712962962967</v>
      </c>
      <c r="N653" t="s">
        <v>176</v>
      </c>
      <c r="O653" t="s">
        <v>1001</v>
      </c>
      <c r="P653"/>
      <c r="Q653" t="s">
        <v>699</v>
      </c>
      <c r="R653" t="s">
        <v>273</v>
      </c>
      <c r="S653" t="s">
        <v>936</v>
      </c>
      <c r="T653" t="s">
        <v>1002</v>
      </c>
      <c r="U653"/>
      <c r="V653"/>
      <c r="W653" t="s">
        <v>701</v>
      </c>
      <c r="X653" t="s">
        <v>1003</v>
      </c>
      <c r="Y653" t="s">
        <v>635</v>
      </c>
      <c r="Z653" t="s">
        <v>65</v>
      </c>
      <c r="AA653"/>
      <c r="AB653"/>
      <c r="AC653"/>
      <c r="AD653"/>
      <c r="AE653" t="s">
        <v>994</v>
      </c>
      <c r="AF653" t="s">
        <v>67</v>
      </c>
      <c r="AG653" t="s">
        <v>579</v>
      </c>
      <c r="AH653" t="s">
        <v>121</v>
      </c>
      <c r="AI653" t="s">
        <v>524</v>
      </c>
      <c r="AJ653" t="s">
        <v>123</v>
      </c>
      <c r="AK653"/>
    </row>
    <row r="654" spans="1:37" x14ac:dyDescent="0.3">
      <c r="A654" t="s">
        <v>888</v>
      </c>
      <c r="B654" t="s">
        <v>870</v>
      </c>
      <c r="C654" s="2">
        <v>45764.926233449078</v>
      </c>
      <c r="D654" s="2">
        <v>45762.136265717592</v>
      </c>
      <c r="E654" s="2">
        <v>45761.609023576391</v>
      </c>
      <c r="F654" t="s">
        <v>871</v>
      </c>
      <c r="G654" t="s">
        <v>589</v>
      </c>
      <c r="H654">
        <v>45747</v>
      </c>
      <c r="I654">
        <v>0.5</v>
      </c>
      <c r="J654"/>
      <c r="K654"/>
      <c r="L654">
        <v>45745</v>
      </c>
      <c r="M654">
        <v>0.54355324074074085</v>
      </c>
      <c r="N654" t="s">
        <v>915</v>
      </c>
      <c r="O654"/>
      <c r="P654"/>
      <c r="Q654" t="s">
        <v>591</v>
      </c>
      <c r="R654" t="s">
        <v>592</v>
      </c>
      <c r="S654" t="s">
        <v>899</v>
      </c>
      <c r="T654" t="s">
        <v>1005</v>
      </c>
      <c r="U654"/>
      <c r="V654"/>
      <c r="W654"/>
      <c r="X654"/>
      <c r="Y654"/>
      <c r="Z654"/>
      <c r="AA654"/>
      <c r="AB654"/>
      <c r="AC654"/>
      <c r="AD654"/>
      <c r="AE654" t="s">
        <v>994</v>
      </c>
      <c r="AF654" t="s">
        <v>67</v>
      </c>
      <c r="AG654" t="s">
        <v>594</v>
      </c>
      <c r="AH654" t="s">
        <v>90</v>
      </c>
      <c r="AI654" t="s">
        <v>180</v>
      </c>
      <c r="AJ654" t="s">
        <v>92</v>
      </c>
      <c r="AK654" t="s">
        <v>137</v>
      </c>
    </row>
    <row r="655" spans="1:37" x14ac:dyDescent="0.3">
      <c r="A655" t="s">
        <v>888</v>
      </c>
      <c r="B655" t="s">
        <v>870</v>
      </c>
      <c r="C655" s="2">
        <v>45764.926233449078</v>
      </c>
      <c r="D655" s="2">
        <v>45762.136265717592</v>
      </c>
      <c r="E655" s="2">
        <v>45761.609023576391</v>
      </c>
      <c r="F655" t="s">
        <v>871</v>
      </c>
      <c r="G655" t="s">
        <v>705</v>
      </c>
      <c r="H655">
        <v>45747</v>
      </c>
      <c r="I655">
        <v>0.77777777777777779</v>
      </c>
      <c r="J655">
        <v>45747</v>
      </c>
      <c r="K655">
        <v>0.91666666666666674</v>
      </c>
      <c r="L655">
        <v>45747</v>
      </c>
      <c r="M655">
        <v>0.93032407407407414</v>
      </c>
      <c r="N655" t="s">
        <v>902</v>
      </c>
      <c r="O655" t="s">
        <v>930</v>
      </c>
      <c r="P655" t="s">
        <v>1006</v>
      </c>
      <c r="Q655" t="s">
        <v>709</v>
      </c>
      <c r="R655" t="s">
        <v>134</v>
      </c>
      <c r="S655" t="s">
        <v>899</v>
      </c>
      <c r="T655" t="s">
        <v>1007</v>
      </c>
      <c r="U655"/>
      <c r="V655"/>
      <c r="W655" t="s">
        <v>711</v>
      </c>
      <c r="X655" t="s">
        <v>1008</v>
      </c>
      <c r="Y655" t="s">
        <v>713</v>
      </c>
      <c r="Z655" t="s">
        <v>65</v>
      </c>
      <c r="AA655"/>
      <c r="AB655"/>
      <c r="AC655"/>
      <c r="AD655"/>
      <c r="AE655" t="s">
        <v>981</v>
      </c>
      <c r="AF655" t="s">
        <v>67</v>
      </c>
      <c r="AG655" t="s">
        <v>714</v>
      </c>
      <c r="AH655" t="s">
        <v>90</v>
      </c>
      <c r="AI655" t="s">
        <v>160</v>
      </c>
      <c r="AJ655" t="s">
        <v>123</v>
      </c>
      <c r="AK655" t="s">
        <v>613</v>
      </c>
    </row>
    <row r="656" spans="1:37" x14ac:dyDescent="0.3">
      <c r="A656" t="s">
        <v>888</v>
      </c>
      <c r="B656" t="s">
        <v>870</v>
      </c>
      <c r="C656" s="2">
        <v>45764.926233449078</v>
      </c>
      <c r="D656" s="2">
        <v>45762.136265717592</v>
      </c>
      <c r="E656" s="2">
        <v>45761.609023576391</v>
      </c>
      <c r="F656" t="s">
        <v>871</v>
      </c>
      <c r="G656" t="s">
        <v>605</v>
      </c>
      <c r="H656">
        <v>45747</v>
      </c>
      <c r="I656">
        <v>0.75</v>
      </c>
      <c r="J656"/>
      <c r="K656"/>
      <c r="L656">
        <v>45747</v>
      </c>
      <c r="M656">
        <v>3.6863425925925952E-2</v>
      </c>
      <c r="N656" t="s">
        <v>902</v>
      </c>
      <c r="O656"/>
      <c r="P656"/>
      <c r="Q656" t="s">
        <v>607</v>
      </c>
      <c r="R656" t="s">
        <v>215</v>
      </c>
      <c r="S656"/>
      <c r="T656" t="s">
        <v>1009</v>
      </c>
      <c r="U656">
        <v>2</v>
      </c>
      <c r="V656">
        <v>0</v>
      </c>
      <c r="W656" t="s">
        <v>1010</v>
      </c>
      <c r="X656" t="s">
        <v>924</v>
      </c>
      <c r="Y656" t="s">
        <v>1011</v>
      </c>
      <c r="Z656" t="s">
        <v>935</v>
      </c>
      <c r="AA656"/>
      <c r="AB656"/>
      <c r="AC656"/>
      <c r="AD656"/>
      <c r="AE656" t="s">
        <v>981</v>
      </c>
      <c r="AF656" t="s">
        <v>67</v>
      </c>
      <c r="AG656" t="s">
        <v>611</v>
      </c>
      <c r="AH656" t="s">
        <v>612</v>
      </c>
      <c r="AI656" t="s">
        <v>160</v>
      </c>
      <c r="AJ656" t="s">
        <v>195</v>
      </c>
      <c r="AK656" t="s">
        <v>613</v>
      </c>
    </row>
    <row r="657" spans="1:37" x14ac:dyDescent="0.3">
      <c r="A657" t="s">
        <v>888</v>
      </c>
      <c r="B657" t="s">
        <v>870</v>
      </c>
      <c r="C657" s="2">
        <v>45764.926233449078</v>
      </c>
      <c r="D657" s="2">
        <v>45762.136265717592</v>
      </c>
      <c r="E657" s="2">
        <v>45761.609023576391</v>
      </c>
      <c r="F657" t="s">
        <v>871</v>
      </c>
      <c r="G657" t="s">
        <v>615</v>
      </c>
      <c r="H657">
        <v>45747</v>
      </c>
      <c r="I657">
        <v>0.83333333333333337</v>
      </c>
      <c r="J657"/>
      <c r="K657"/>
      <c r="L657">
        <v>45747</v>
      </c>
      <c r="M657">
        <v>0.99899305555555551</v>
      </c>
      <c r="N657" t="s">
        <v>902</v>
      </c>
      <c r="O657"/>
      <c r="P657"/>
      <c r="Q657" t="s">
        <v>607</v>
      </c>
      <c r="R657" t="s">
        <v>215</v>
      </c>
      <c r="S657" t="s">
        <v>893</v>
      </c>
      <c r="T657" t="s">
        <v>1012</v>
      </c>
      <c r="U657">
        <v>5</v>
      </c>
      <c r="V657">
        <v>0</v>
      </c>
      <c r="W657" t="s">
        <v>1013</v>
      </c>
      <c r="X657" t="s">
        <v>924</v>
      </c>
      <c r="Y657" t="s">
        <v>618</v>
      </c>
      <c r="Z657" t="s">
        <v>65</v>
      </c>
      <c r="AA657"/>
      <c r="AB657"/>
      <c r="AC657"/>
      <c r="AD657"/>
      <c r="AE657" t="s">
        <v>981</v>
      </c>
      <c r="AF657" t="s">
        <v>67</v>
      </c>
      <c r="AG657" t="s">
        <v>611</v>
      </c>
      <c r="AH657" t="s">
        <v>612</v>
      </c>
      <c r="AI657" t="s">
        <v>160</v>
      </c>
      <c r="AJ657" t="s">
        <v>195</v>
      </c>
      <c r="AK657" t="s">
        <v>613</v>
      </c>
    </row>
    <row r="658" spans="1:37" x14ac:dyDescent="0.3">
      <c r="A658" t="s">
        <v>888</v>
      </c>
      <c r="B658" t="s">
        <v>870</v>
      </c>
      <c r="C658" s="2">
        <v>45764.926233449078</v>
      </c>
      <c r="D658" s="2">
        <v>45762.136265717592</v>
      </c>
      <c r="E658" s="2">
        <v>45761.609023576391</v>
      </c>
      <c r="F658" t="s">
        <v>871</v>
      </c>
      <c r="G658" t="s">
        <v>620</v>
      </c>
      <c r="H658">
        <v>45748</v>
      </c>
      <c r="I658">
        <v>0.85324074074074074</v>
      </c>
      <c r="J658"/>
      <c r="K658"/>
      <c r="L658">
        <v>45748</v>
      </c>
      <c r="M658">
        <v>0.85324074074074074</v>
      </c>
      <c r="N658" t="s">
        <v>902</v>
      </c>
      <c r="O658"/>
      <c r="P658"/>
      <c r="Q658" t="s">
        <v>622</v>
      </c>
      <c r="R658" t="s">
        <v>327</v>
      </c>
      <c r="S658" t="s">
        <v>899</v>
      </c>
      <c r="T658" t="s">
        <v>1014</v>
      </c>
      <c r="U658"/>
      <c r="V658"/>
      <c r="W658" t="s">
        <v>624</v>
      </c>
      <c r="X658" t="s">
        <v>1015</v>
      </c>
      <c r="Y658" t="s">
        <v>626</v>
      </c>
      <c r="Z658" t="s">
        <v>65</v>
      </c>
      <c r="AA658"/>
      <c r="AB658"/>
      <c r="AC658"/>
      <c r="AD658"/>
      <c r="AE658" t="s">
        <v>904</v>
      </c>
      <c r="AF658" t="s">
        <v>67</v>
      </c>
      <c r="AG658" t="s">
        <v>330</v>
      </c>
      <c r="AH658" t="s">
        <v>69</v>
      </c>
      <c r="AI658" t="s">
        <v>160</v>
      </c>
      <c r="AJ658" t="s">
        <v>71</v>
      </c>
      <c r="AK658" t="s">
        <v>72</v>
      </c>
    </row>
    <row r="659" spans="1:37" x14ac:dyDescent="0.3">
      <c r="A659" t="s">
        <v>888</v>
      </c>
      <c r="B659" t="s">
        <v>870</v>
      </c>
      <c r="C659" s="2">
        <v>45764.926233449078</v>
      </c>
      <c r="D659" s="2">
        <v>45762.136265717592</v>
      </c>
      <c r="E659" s="2">
        <v>45761.609023576391</v>
      </c>
      <c r="F659" t="s">
        <v>871</v>
      </c>
      <c r="G659" t="s">
        <v>597</v>
      </c>
      <c r="H659">
        <v>45748</v>
      </c>
      <c r="I659">
        <v>0.5</v>
      </c>
      <c r="J659">
        <v>45751</v>
      </c>
      <c r="K659">
        <v>0.52083333333333326</v>
      </c>
      <c r="L659">
        <v>45748</v>
      </c>
      <c r="M659">
        <v>0.54546296296296304</v>
      </c>
      <c r="N659" t="s">
        <v>915</v>
      </c>
      <c r="O659"/>
      <c r="P659"/>
      <c r="Q659" t="s">
        <v>601</v>
      </c>
      <c r="R659" t="s">
        <v>145</v>
      </c>
      <c r="S659" t="s">
        <v>922</v>
      </c>
      <c r="T659" t="s">
        <v>1017</v>
      </c>
      <c r="U659"/>
      <c r="V659"/>
      <c r="W659"/>
      <c r="X659"/>
      <c r="Y659"/>
      <c r="Z659"/>
      <c r="AA659"/>
      <c r="AB659"/>
      <c r="AC659"/>
      <c r="AD659"/>
      <c r="AE659" t="s">
        <v>897</v>
      </c>
      <c r="AF659" t="s">
        <v>67</v>
      </c>
      <c r="AG659" t="s">
        <v>603</v>
      </c>
      <c r="AH659" t="s">
        <v>206</v>
      </c>
      <c r="AI659" t="s">
        <v>524</v>
      </c>
      <c r="AJ659" t="s">
        <v>123</v>
      </c>
      <c r="AK659" t="s">
        <v>137</v>
      </c>
    </row>
    <row r="660" spans="1:37" x14ac:dyDescent="0.3">
      <c r="A660" t="s">
        <v>888</v>
      </c>
      <c r="B660" t="s">
        <v>870</v>
      </c>
      <c r="C660" s="2">
        <v>45764.926233449078</v>
      </c>
      <c r="D660" s="2">
        <v>45762.136265717592</v>
      </c>
      <c r="E660" s="2">
        <v>45761.609023576391</v>
      </c>
      <c r="F660" t="s">
        <v>871</v>
      </c>
      <c r="G660" t="s">
        <v>640</v>
      </c>
      <c r="H660">
        <v>45749</v>
      </c>
      <c r="I660">
        <v>0.89930555555555558</v>
      </c>
      <c r="J660"/>
      <c r="K660"/>
      <c r="L660">
        <v>45749</v>
      </c>
      <c r="M660">
        <v>0.90325231481481483</v>
      </c>
      <c r="N660" t="s">
        <v>644</v>
      </c>
      <c r="O660" t="s">
        <v>925</v>
      </c>
      <c r="P660" t="s">
        <v>400</v>
      </c>
      <c r="Q660" t="s">
        <v>645</v>
      </c>
      <c r="R660" t="s">
        <v>101</v>
      </c>
      <c r="S660" t="s">
        <v>907</v>
      </c>
      <c r="T660" t="s">
        <v>1016</v>
      </c>
      <c r="U660"/>
      <c r="V660"/>
      <c r="W660"/>
      <c r="X660"/>
      <c r="Y660"/>
      <c r="Z660"/>
      <c r="AA660"/>
      <c r="AB660"/>
      <c r="AC660"/>
      <c r="AD660"/>
      <c r="AE660" t="s">
        <v>1000</v>
      </c>
      <c r="AF660" t="s">
        <v>67</v>
      </c>
      <c r="AG660" t="s">
        <v>647</v>
      </c>
      <c r="AH660" t="s">
        <v>351</v>
      </c>
      <c r="AI660" t="s">
        <v>352</v>
      </c>
      <c r="AJ660" t="s">
        <v>418</v>
      </c>
      <c r="AK660"/>
    </row>
    <row r="661" spans="1:37" x14ac:dyDescent="0.3">
      <c r="A661" t="s">
        <v>888</v>
      </c>
      <c r="B661" t="s">
        <v>870</v>
      </c>
      <c r="C661" s="2">
        <v>45764.926233449078</v>
      </c>
      <c r="D661" s="2">
        <v>45762.136265717592</v>
      </c>
      <c r="E661" s="2">
        <v>45761.609023576391</v>
      </c>
      <c r="F661" t="s">
        <v>871</v>
      </c>
      <c r="G661" t="s">
        <v>717</v>
      </c>
      <c r="H661">
        <v>45755</v>
      </c>
      <c r="I661">
        <v>3.2638888888888891E-2</v>
      </c>
      <c r="J661"/>
      <c r="K661"/>
      <c r="L661">
        <v>45751</v>
      </c>
      <c r="M661">
        <v>3.6493055555555598E-2</v>
      </c>
      <c r="N661" t="s">
        <v>902</v>
      </c>
      <c r="O661" t="s">
        <v>361</v>
      </c>
      <c r="P661" t="s">
        <v>721</v>
      </c>
      <c r="Q661" t="s">
        <v>722</v>
      </c>
      <c r="R661" t="s">
        <v>592</v>
      </c>
      <c r="S661" t="s">
        <v>899</v>
      </c>
      <c r="T661" t="s">
        <v>1018</v>
      </c>
      <c r="U661"/>
      <c r="V661"/>
      <c r="W661" t="s">
        <v>1019</v>
      </c>
      <c r="X661" t="s">
        <v>500</v>
      </c>
      <c r="Y661" t="s">
        <v>725</v>
      </c>
      <c r="Z661" t="s">
        <v>65</v>
      </c>
      <c r="AA661"/>
      <c r="AB661"/>
      <c r="AC661"/>
      <c r="AD661"/>
      <c r="AE661" t="s">
        <v>1020</v>
      </c>
      <c r="AF661" t="s">
        <v>67</v>
      </c>
      <c r="AG661" t="s">
        <v>89</v>
      </c>
      <c r="AH661" t="s">
        <v>90</v>
      </c>
      <c r="AI661" t="s">
        <v>106</v>
      </c>
      <c r="AJ661" t="s">
        <v>71</v>
      </c>
      <c r="AK661" t="s">
        <v>72</v>
      </c>
    </row>
    <row r="662" spans="1:37" x14ac:dyDescent="0.3">
      <c r="A662" t="s">
        <v>888</v>
      </c>
      <c r="B662" t="s">
        <v>870</v>
      </c>
      <c r="C662" s="2">
        <v>45764.926233449078</v>
      </c>
      <c r="D662" s="2">
        <v>45762.136265717592</v>
      </c>
      <c r="E662" s="2">
        <v>45761.609023576391</v>
      </c>
      <c r="F662" t="s">
        <v>871</v>
      </c>
      <c r="G662" t="s">
        <v>819</v>
      </c>
      <c r="H662">
        <v>45755</v>
      </c>
      <c r="I662">
        <v>0.5</v>
      </c>
      <c r="J662">
        <v>45759</v>
      </c>
      <c r="K662">
        <v>0.5</v>
      </c>
      <c r="L662">
        <v>45755</v>
      </c>
      <c r="M662">
        <v>0.52699074074074082</v>
      </c>
      <c r="N662" t="s">
        <v>915</v>
      </c>
      <c r="O662"/>
      <c r="P662"/>
      <c r="Q662" t="s">
        <v>821</v>
      </c>
      <c r="R662" t="s">
        <v>145</v>
      </c>
      <c r="S662" t="s">
        <v>922</v>
      </c>
      <c r="T662" t="s">
        <v>1024</v>
      </c>
      <c r="U662"/>
      <c r="V662"/>
      <c r="W662"/>
      <c r="X662"/>
      <c r="Y662"/>
      <c r="Z662"/>
      <c r="AA662"/>
      <c r="AB662"/>
      <c r="AC662"/>
      <c r="AD662"/>
      <c r="AE662" t="s">
        <v>927</v>
      </c>
      <c r="AF662" t="s">
        <v>67</v>
      </c>
      <c r="AG662" t="s">
        <v>579</v>
      </c>
      <c r="AH662" t="s">
        <v>121</v>
      </c>
      <c r="AI662" t="s">
        <v>106</v>
      </c>
      <c r="AJ662" t="s">
        <v>123</v>
      </c>
      <c r="AK662"/>
    </row>
    <row r="663" spans="1:37" x14ac:dyDescent="0.3">
      <c r="A663" t="s">
        <v>888</v>
      </c>
      <c r="B663" t="s">
        <v>870</v>
      </c>
      <c r="C663" s="2">
        <v>45764.926233449078</v>
      </c>
      <c r="D663" s="2">
        <v>45762.136265717592</v>
      </c>
      <c r="E663" s="2">
        <v>45761.609023576391</v>
      </c>
      <c r="F663" t="s">
        <v>871</v>
      </c>
      <c r="G663" t="s">
        <v>799</v>
      </c>
      <c r="H663">
        <v>45756</v>
      </c>
      <c r="I663">
        <v>0.96527777777777779</v>
      </c>
      <c r="J663">
        <v>45756</v>
      </c>
      <c r="K663">
        <v>0.96597222222222223</v>
      </c>
      <c r="L663">
        <v>45757</v>
      </c>
      <c r="M663">
        <v>0.57611111111111102</v>
      </c>
      <c r="N663" t="s">
        <v>902</v>
      </c>
      <c r="O663"/>
      <c r="P663"/>
      <c r="Q663" t="s">
        <v>802</v>
      </c>
      <c r="R663" t="s">
        <v>155</v>
      </c>
      <c r="S663" t="s">
        <v>907</v>
      </c>
      <c r="T663" t="s">
        <v>1021</v>
      </c>
      <c r="U663"/>
      <c r="V663"/>
      <c r="W663" t="s">
        <v>804</v>
      </c>
      <c r="X663" t="s">
        <v>990</v>
      </c>
      <c r="Y663" t="s">
        <v>805</v>
      </c>
      <c r="Z663" t="s">
        <v>65</v>
      </c>
      <c r="AA663"/>
      <c r="AB663"/>
      <c r="AC663"/>
      <c r="AD663"/>
      <c r="AE663" t="s">
        <v>927</v>
      </c>
      <c r="AF663" t="s">
        <v>67</v>
      </c>
      <c r="AG663" t="s">
        <v>244</v>
      </c>
      <c r="AH663" t="s">
        <v>206</v>
      </c>
      <c r="AI663" t="s">
        <v>524</v>
      </c>
      <c r="AJ663" t="s">
        <v>123</v>
      </c>
      <c r="AK663" t="s">
        <v>72</v>
      </c>
    </row>
    <row r="664" spans="1:37" x14ac:dyDescent="0.3">
      <c r="A664" t="s">
        <v>888</v>
      </c>
      <c r="B664" t="s">
        <v>870</v>
      </c>
      <c r="C664" s="2">
        <v>45764.926233449078</v>
      </c>
      <c r="D664" s="2">
        <v>45762.136265717592</v>
      </c>
      <c r="E664" s="2">
        <v>45761.609023576391</v>
      </c>
      <c r="F664" t="s">
        <v>871</v>
      </c>
      <c r="G664" t="s">
        <v>838</v>
      </c>
      <c r="H664">
        <v>45760</v>
      </c>
      <c r="I664">
        <v>0.78115740740740736</v>
      </c>
      <c r="J664"/>
      <c r="K664"/>
      <c r="L664">
        <v>45759</v>
      </c>
      <c r="M664">
        <v>0.78115740740740747</v>
      </c>
      <c r="N664" t="s">
        <v>915</v>
      </c>
      <c r="O664" t="s">
        <v>1025</v>
      </c>
      <c r="P664" t="s">
        <v>1006</v>
      </c>
      <c r="Q664" t="s">
        <v>842</v>
      </c>
      <c r="R664" t="s">
        <v>327</v>
      </c>
      <c r="S664" t="s">
        <v>899</v>
      </c>
      <c r="T664" t="s">
        <v>1026</v>
      </c>
      <c r="U664"/>
      <c r="V664"/>
      <c r="W664"/>
      <c r="X664"/>
      <c r="Y664"/>
      <c r="Z664"/>
      <c r="AA664"/>
      <c r="AB664"/>
      <c r="AC664"/>
      <c r="AD664"/>
      <c r="AE664" t="s">
        <v>897</v>
      </c>
      <c r="AF664" t="s">
        <v>67</v>
      </c>
      <c r="AG664" t="s">
        <v>147</v>
      </c>
      <c r="AH664" t="s">
        <v>90</v>
      </c>
      <c r="AI664" t="s">
        <v>160</v>
      </c>
      <c r="AJ664" t="s">
        <v>435</v>
      </c>
      <c r="AK664"/>
    </row>
    <row r="665" spans="1:37" x14ac:dyDescent="0.3">
      <c r="A665" t="s">
        <v>888</v>
      </c>
      <c r="B665" t="s">
        <v>870</v>
      </c>
      <c r="C665" s="2">
        <v>45764.926233449078</v>
      </c>
      <c r="D665" s="2">
        <v>45762.136265717592</v>
      </c>
      <c r="E665" s="2">
        <v>45761.609023576391</v>
      </c>
      <c r="F665" t="s">
        <v>871</v>
      </c>
      <c r="G665" t="s">
        <v>388</v>
      </c>
      <c r="H665"/>
      <c r="I665"/>
      <c r="J665"/>
      <c r="K665"/>
      <c r="L665">
        <v>45760</v>
      </c>
      <c r="M665">
        <v>0.69484953703703711</v>
      </c>
      <c r="N665" t="s">
        <v>906</v>
      </c>
      <c r="O665"/>
      <c r="P665"/>
      <c r="Q665" t="s">
        <v>390</v>
      </c>
      <c r="R665" t="s">
        <v>363</v>
      </c>
      <c r="S665" t="s">
        <v>893</v>
      </c>
      <c r="T665" t="s">
        <v>946</v>
      </c>
      <c r="U665"/>
      <c r="V665"/>
      <c r="W665"/>
      <c r="X665"/>
      <c r="Y665"/>
      <c r="Z665"/>
      <c r="AA665"/>
      <c r="AB665"/>
      <c r="AC665"/>
      <c r="AD665"/>
      <c r="AE665" t="s">
        <v>929</v>
      </c>
      <c r="AF665" t="s">
        <v>67</v>
      </c>
      <c r="AG665" t="s">
        <v>136</v>
      </c>
      <c r="AH665" t="s">
        <v>69</v>
      </c>
      <c r="AI665" t="s">
        <v>106</v>
      </c>
      <c r="AJ665" t="s">
        <v>71</v>
      </c>
      <c r="AK665" t="s">
        <v>353</v>
      </c>
    </row>
    <row r="666" spans="1:37" x14ac:dyDescent="0.3">
      <c r="A666" t="s">
        <v>888</v>
      </c>
      <c r="B666" t="s">
        <v>870</v>
      </c>
      <c r="C666" s="2">
        <v>45764.926233449078</v>
      </c>
      <c r="D666" s="2">
        <v>45762.136265717592</v>
      </c>
      <c r="E666" s="2">
        <v>45761.609023576391</v>
      </c>
      <c r="F666" t="s">
        <v>871</v>
      </c>
      <c r="G666" t="s">
        <v>537</v>
      </c>
      <c r="H666"/>
      <c r="I666"/>
      <c r="J666">
        <v>45734</v>
      </c>
      <c r="K666">
        <v>0.22916666666666674</v>
      </c>
      <c r="L666">
        <v>45760</v>
      </c>
      <c r="M666">
        <v>0.27405092592592584</v>
      </c>
      <c r="N666" t="s">
        <v>440</v>
      </c>
      <c r="O666" t="s">
        <v>915</v>
      </c>
      <c r="P666"/>
      <c r="Q666" t="s">
        <v>540</v>
      </c>
      <c r="R666" t="s">
        <v>363</v>
      </c>
      <c r="S666" t="s">
        <v>893</v>
      </c>
      <c r="T666" t="s">
        <v>987</v>
      </c>
      <c r="U666"/>
      <c r="V666"/>
      <c r="W666" t="s">
        <v>988</v>
      </c>
      <c r="X666" t="s">
        <v>543</v>
      </c>
      <c r="Y666" t="s">
        <v>544</v>
      </c>
      <c r="Z666" t="s">
        <v>65</v>
      </c>
      <c r="AA666"/>
      <c r="AB666"/>
      <c r="AC666"/>
      <c r="AD666"/>
      <c r="AE666"/>
      <c r="AF666" t="s">
        <v>67</v>
      </c>
      <c r="AG666" t="s">
        <v>545</v>
      </c>
      <c r="AH666" t="s">
        <v>546</v>
      </c>
      <c r="AI666"/>
      <c r="AJ666"/>
      <c r="AK666"/>
    </row>
    <row r="667" spans="1:37" x14ac:dyDescent="0.3">
      <c r="A667" t="s">
        <v>888</v>
      </c>
      <c r="B667" t="s">
        <v>870</v>
      </c>
      <c r="C667" s="2">
        <v>45764.926233449078</v>
      </c>
      <c r="D667" s="2">
        <v>45762.136265717592</v>
      </c>
      <c r="E667" s="2">
        <v>45761.609023576391</v>
      </c>
      <c r="F667" t="s">
        <v>871</v>
      </c>
      <c r="G667" t="s">
        <v>824</v>
      </c>
      <c r="H667"/>
      <c r="I667"/>
      <c r="J667">
        <v>45760</v>
      </c>
      <c r="K667">
        <v>0.6875</v>
      </c>
      <c r="L667">
        <v>45761</v>
      </c>
      <c r="M667">
        <v>0.69084490740740745</v>
      </c>
      <c r="N667" t="s">
        <v>902</v>
      </c>
      <c r="O667" t="s">
        <v>1027</v>
      </c>
      <c r="P667"/>
      <c r="Q667" t="s">
        <v>829</v>
      </c>
      <c r="R667" t="s">
        <v>134</v>
      </c>
      <c r="S667" t="s">
        <v>899</v>
      </c>
      <c r="T667" t="s">
        <v>1028</v>
      </c>
      <c r="U667"/>
      <c r="V667"/>
      <c r="W667" t="s">
        <v>1029</v>
      </c>
      <c r="X667" t="s">
        <v>896</v>
      </c>
      <c r="Y667" t="s">
        <v>218</v>
      </c>
      <c r="Z667" t="s">
        <v>65</v>
      </c>
      <c r="AA667" t="s">
        <v>1030</v>
      </c>
      <c r="AB667" t="s">
        <v>65</v>
      </c>
      <c r="AC667" t="s">
        <v>944</v>
      </c>
      <c r="AD667" t="s">
        <v>833</v>
      </c>
      <c r="AE667" t="s">
        <v>897</v>
      </c>
      <c r="AF667" t="s">
        <v>67</v>
      </c>
      <c r="AG667" t="s">
        <v>834</v>
      </c>
      <c r="AH667" t="s">
        <v>159</v>
      </c>
      <c r="AI667" t="s">
        <v>160</v>
      </c>
      <c r="AJ667" t="s">
        <v>435</v>
      </c>
      <c r="AK667"/>
    </row>
    <row r="668" spans="1:37" x14ac:dyDescent="0.3">
      <c r="A668" t="s">
        <v>889</v>
      </c>
      <c r="B668" t="s">
        <v>870</v>
      </c>
      <c r="C668" s="2">
        <v>45764.926233483799</v>
      </c>
      <c r="D668" s="2">
        <v>45764.657103194448</v>
      </c>
      <c r="E668" s="2">
        <v>45764.65681054398</v>
      </c>
      <c r="F668" t="s">
        <v>871</v>
      </c>
      <c r="G668" t="s">
        <v>492</v>
      </c>
      <c r="H668">
        <v>45720</v>
      </c>
      <c r="I668">
        <v>0.64097222222222228</v>
      </c>
      <c r="J668"/>
      <c r="K668"/>
      <c r="L668">
        <v>45720</v>
      </c>
      <c r="M668">
        <v>0.64444444444444438</v>
      </c>
      <c r="N668" t="s">
        <v>906</v>
      </c>
      <c r="O668" t="s">
        <v>976</v>
      </c>
      <c r="P668" t="s">
        <v>344</v>
      </c>
      <c r="Q668" t="s">
        <v>497</v>
      </c>
      <c r="R668" t="s">
        <v>84</v>
      </c>
      <c r="S668" t="s">
        <v>907</v>
      </c>
      <c r="T668" t="s">
        <v>977</v>
      </c>
      <c r="U668"/>
      <c r="V668"/>
      <c r="W668" t="s">
        <v>499</v>
      </c>
      <c r="X668" t="s">
        <v>500</v>
      </c>
      <c r="Y668" t="s">
        <v>501</v>
      </c>
      <c r="Z668" t="s">
        <v>65</v>
      </c>
      <c r="AA668"/>
      <c r="AB668"/>
      <c r="AC668"/>
      <c r="AD668"/>
      <c r="AE668" t="s">
        <v>978</v>
      </c>
      <c r="AF668" t="s">
        <v>67</v>
      </c>
      <c r="AG668" t="s">
        <v>502</v>
      </c>
      <c r="AH668" t="s">
        <v>159</v>
      </c>
      <c r="AI668" t="s">
        <v>378</v>
      </c>
      <c r="AJ668" t="s">
        <v>195</v>
      </c>
      <c r="AK668" t="s">
        <v>353</v>
      </c>
    </row>
    <row r="669" spans="1:37" x14ac:dyDescent="0.3">
      <c r="A669" t="s">
        <v>889</v>
      </c>
      <c r="B669" t="s">
        <v>870</v>
      </c>
      <c r="C669" s="2">
        <v>45764.926233483799</v>
      </c>
      <c r="D669" s="2">
        <v>45764.657103194448</v>
      </c>
      <c r="E669" s="2">
        <v>45764.65681054398</v>
      </c>
      <c r="F669" t="s">
        <v>871</v>
      </c>
      <c r="G669" t="s">
        <v>484</v>
      </c>
      <c r="H669">
        <v>45720</v>
      </c>
      <c r="I669">
        <v>0.79126157407407405</v>
      </c>
      <c r="J669"/>
      <c r="K669"/>
      <c r="L669">
        <v>45720</v>
      </c>
      <c r="M669">
        <v>0.79126157407407405</v>
      </c>
      <c r="N669" t="s">
        <v>906</v>
      </c>
      <c r="O669"/>
      <c r="P669"/>
      <c r="Q669" t="s">
        <v>487</v>
      </c>
      <c r="R669" t="s">
        <v>261</v>
      </c>
      <c r="S669" t="s">
        <v>936</v>
      </c>
      <c r="T669" t="s">
        <v>979</v>
      </c>
      <c r="U669"/>
      <c r="V669"/>
      <c r="W669"/>
      <c r="X669"/>
      <c r="Y669"/>
      <c r="Z669"/>
      <c r="AA669"/>
      <c r="AB669"/>
      <c r="AC669"/>
      <c r="AD669"/>
      <c r="AE669" t="s">
        <v>978</v>
      </c>
      <c r="AF669" t="s">
        <v>67</v>
      </c>
      <c r="AG669" t="s">
        <v>489</v>
      </c>
      <c r="AH669" t="s">
        <v>206</v>
      </c>
      <c r="AI669" t="s">
        <v>70</v>
      </c>
      <c r="AJ669" t="s">
        <v>195</v>
      </c>
      <c r="AK669" t="s">
        <v>353</v>
      </c>
    </row>
    <row r="670" spans="1:37" x14ac:dyDescent="0.3">
      <c r="A670" t="s">
        <v>889</v>
      </c>
      <c r="B670" t="s">
        <v>870</v>
      </c>
      <c r="C670" s="2">
        <v>45764.926233483799</v>
      </c>
      <c r="D670" s="2">
        <v>45764.657103194448</v>
      </c>
      <c r="E670" s="2">
        <v>45764.65681054398</v>
      </c>
      <c r="F670" t="s">
        <v>871</v>
      </c>
      <c r="G670" t="s">
        <v>460</v>
      </c>
      <c r="H670">
        <v>45722</v>
      </c>
      <c r="I670">
        <v>0.94149305555555551</v>
      </c>
      <c r="J670"/>
      <c r="K670"/>
      <c r="L670">
        <v>45722</v>
      </c>
      <c r="M670">
        <v>0.94149305555555562</v>
      </c>
      <c r="N670" t="s">
        <v>902</v>
      </c>
      <c r="O670"/>
      <c r="P670"/>
      <c r="Q670" t="s">
        <v>464</v>
      </c>
      <c r="R670" t="s">
        <v>84</v>
      </c>
      <c r="S670" t="s">
        <v>907</v>
      </c>
      <c r="T670" t="s">
        <v>980</v>
      </c>
      <c r="U670"/>
      <c r="V670"/>
      <c r="W670" t="s">
        <v>466</v>
      </c>
      <c r="X670" t="s">
        <v>944</v>
      </c>
      <c r="Y670" t="s">
        <v>467</v>
      </c>
      <c r="Z670" t="s">
        <v>65</v>
      </c>
      <c r="AA670"/>
      <c r="AB670"/>
      <c r="AC670"/>
      <c r="AD670"/>
      <c r="AE670" t="s">
        <v>981</v>
      </c>
      <c r="AF670" t="s">
        <v>67</v>
      </c>
      <c r="AG670" t="s">
        <v>68</v>
      </c>
      <c r="AH670" t="s">
        <v>69</v>
      </c>
      <c r="AI670" t="s">
        <v>160</v>
      </c>
      <c r="AJ670" t="s">
        <v>123</v>
      </c>
      <c r="AK670" t="s">
        <v>72</v>
      </c>
    </row>
    <row r="671" spans="1:37" x14ac:dyDescent="0.3">
      <c r="A671" t="s">
        <v>889</v>
      </c>
      <c r="B671" t="s">
        <v>870</v>
      </c>
      <c r="C671" s="2">
        <v>45764.926233483799</v>
      </c>
      <c r="D671" s="2">
        <v>45764.657103194448</v>
      </c>
      <c r="E671" s="2">
        <v>45764.65681054398</v>
      </c>
      <c r="F671" t="s">
        <v>871</v>
      </c>
      <c r="G671" t="s">
        <v>472</v>
      </c>
      <c r="H671">
        <v>45725</v>
      </c>
      <c r="I671">
        <v>0.8125</v>
      </c>
      <c r="J671">
        <v>45726</v>
      </c>
      <c r="K671">
        <v>0.35416666666666674</v>
      </c>
      <c r="L671">
        <v>45726</v>
      </c>
      <c r="M671">
        <v>0.37046296296296299</v>
      </c>
      <c r="N671" t="s">
        <v>902</v>
      </c>
      <c r="O671"/>
      <c r="P671"/>
      <c r="Q671" t="s">
        <v>475</v>
      </c>
      <c r="R671" t="s">
        <v>134</v>
      </c>
      <c r="S671" t="s">
        <v>899</v>
      </c>
      <c r="T671" t="s">
        <v>982</v>
      </c>
      <c r="U671"/>
      <c r="V671"/>
      <c r="W671" t="s">
        <v>477</v>
      </c>
      <c r="X671" t="s">
        <v>478</v>
      </c>
      <c r="Y671" t="s">
        <v>479</v>
      </c>
      <c r="Z671" t="s">
        <v>65</v>
      </c>
      <c r="AA671"/>
      <c r="AB671"/>
      <c r="AC671"/>
      <c r="AD671"/>
      <c r="AE671" t="s">
        <v>897</v>
      </c>
      <c r="AF671" t="s">
        <v>67</v>
      </c>
      <c r="AG671" t="s">
        <v>480</v>
      </c>
      <c r="AH671" t="s">
        <v>351</v>
      </c>
      <c r="AI671" t="s">
        <v>122</v>
      </c>
      <c r="AJ671" t="s">
        <v>71</v>
      </c>
      <c r="AK671" t="s">
        <v>72</v>
      </c>
    </row>
    <row r="672" spans="1:37" x14ac:dyDescent="0.3">
      <c r="A672" t="s">
        <v>889</v>
      </c>
      <c r="B672" t="s">
        <v>870</v>
      </c>
      <c r="C672" s="2">
        <v>45764.926233483799</v>
      </c>
      <c r="D672" s="2">
        <v>45764.657103194448</v>
      </c>
      <c r="E672" s="2">
        <v>45764.65681054398</v>
      </c>
      <c r="F672" t="s">
        <v>871</v>
      </c>
      <c r="G672" t="s">
        <v>529</v>
      </c>
      <c r="H672">
        <v>45726</v>
      </c>
      <c r="I672">
        <v>4.6527777777777779E-2</v>
      </c>
      <c r="J672">
        <v>45726</v>
      </c>
      <c r="K672">
        <v>0.16180555555555554</v>
      </c>
      <c r="L672">
        <v>45727</v>
      </c>
      <c r="M672">
        <v>0.44234953703703694</v>
      </c>
      <c r="N672" t="s">
        <v>915</v>
      </c>
      <c r="O672"/>
      <c r="P672"/>
      <c r="Q672" t="s">
        <v>532</v>
      </c>
      <c r="R672" t="s">
        <v>283</v>
      </c>
      <c r="S672" t="s">
        <v>907</v>
      </c>
      <c r="T672" t="s">
        <v>983</v>
      </c>
      <c r="U672"/>
      <c r="V672"/>
      <c r="W672"/>
      <c r="X672"/>
      <c r="Y672"/>
      <c r="Z672"/>
      <c r="AA672"/>
      <c r="AB672"/>
      <c r="AC672"/>
      <c r="AD672"/>
      <c r="AE672" t="s">
        <v>984</v>
      </c>
      <c r="AF672" t="s">
        <v>67</v>
      </c>
      <c r="AG672" t="s">
        <v>219</v>
      </c>
      <c r="AH672" t="s">
        <v>159</v>
      </c>
      <c r="AI672" t="s">
        <v>106</v>
      </c>
      <c r="AJ672" t="s">
        <v>195</v>
      </c>
      <c r="AK672" t="s">
        <v>137</v>
      </c>
    </row>
    <row r="673" spans="1:37" x14ac:dyDescent="0.3">
      <c r="A673" t="s">
        <v>889</v>
      </c>
      <c r="B673" t="s">
        <v>870</v>
      </c>
      <c r="C673" s="2">
        <v>45764.926233483799</v>
      </c>
      <c r="D673" s="2">
        <v>45764.657103194448</v>
      </c>
      <c r="E673" s="2">
        <v>45764.65681054398</v>
      </c>
      <c r="F673" t="s">
        <v>871</v>
      </c>
      <c r="G673" t="s">
        <v>516</v>
      </c>
      <c r="H673">
        <v>45727</v>
      </c>
      <c r="I673">
        <v>0.60416666666666663</v>
      </c>
      <c r="J673"/>
      <c r="K673"/>
      <c r="L673">
        <v>45727</v>
      </c>
      <c r="M673">
        <v>0.6903935185185186</v>
      </c>
      <c r="N673" t="s">
        <v>902</v>
      </c>
      <c r="O673"/>
      <c r="P673"/>
      <c r="Q673" t="s">
        <v>519</v>
      </c>
      <c r="R673" t="s">
        <v>84</v>
      </c>
      <c r="S673" t="s">
        <v>907</v>
      </c>
      <c r="T673" t="s">
        <v>985</v>
      </c>
      <c r="U673"/>
      <c r="V673"/>
      <c r="W673" t="s">
        <v>521</v>
      </c>
      <c r="X673" t="s">
        <v>986</v>
      </c>
      <c r="Y673" t="s">
        <v>523</v>
      </c>
      <c r="Z673" t="s">
        <v>65</v>
      </c>
      <c r="AA673"/>
      <c r="AB673"/>
      <c r="AC673"/>
      <c r="AD673"/>
      <c r="AE673" t="s">
        <v>927</v>
      </c>
      <c r="AF673" t="s">
        <v>67</v>
      </c>
      <c r="AG673" t="s">
        <v>158</v>
      </c>
      <c r="AH673" t="s">
        <v>159</v>
      </c>
      <c r="AI673" t="s">
        <v>524</v>
      </c>
      <c r="AJ673" t="s">
        <v>71</v>
      </c>
      <c r="AK673" t="s">
        <v>72</v>
      </c>
    </row>
    <row r="674" spans="1:37" x14ac:dyDescent="0.3">
      <c r="A674" t="s">
        <v>889</v>
      </c>
      <c r="B674" t="s">
        <v>870</v>
      </c>
      <c r="C674" s="2">
        <v>45764.926233483799</v>
      </c>
      <c r="D674" s="2">
        <v>45764.657103194448</v>
      </c>
      <c r="E674" s="2">
        <v>45764.65681054398</v>
      </c>
      <c r="F674" t="s">
        <v>871</v>
      </c>
      <c r="G674" t="s">
        <v>537</v>
      </c>
      <c r="H674"/>
      <c r="I674"/>
      <c r="J674">
        <v>45734</v>
      </c>
      <c r="K674">
        <v>0.22916666666666674</v>
      </c>
      <c r="L674">
        <v>45734</v>
      </c>
      <c r="M674">
        <v>0.27405092592592584</v>
      </c>
      <c r="N674" t="s">
        <v>440</v>
      </c>
      <c r="O674" t="s">
        <v>915</v>
      </c>
      <c r="P674"/>
      <c r="Q674" t="s">
        <v>540</v>
      </c>
      <c r="R674" t="s">
        <v>363</v>
      </c>
      <c r="S674" t="s">
        <v>893</v>
      </c>
      <c r="T674" t="s">
        <v>987</v>
      </c>
      <c r="U674"/>
      <c r="V674"/>
      <c r="W674" t="s">
        <v>988</v>
      </c>
      <c r="X674" t="s">
        <v>543</v>
      </c>
      <c r="Y674" t="s">
        <v>544</v>
      </c>
      <c r="Z674" t="s">
        <v>65</v>
      </c>
      <c r="AA674"/>
      <c r="AB674"/>
      <c r="AC674"/>
      <c r="AD674"/>
      <c r="AE674"/>
      <c r="AF674" t="s">
        <v>67</v>
      </c>
      <c r="AG674" t="s">
        <v>545</v>
      </c>
      <c r="AH674" t="s">
        <v>546</v>
      </c>
      <c r="AI674"/>
      <c r="AJ674"/>
      <c r="AK674"/>
    </row>
    <row r="675" spans="1:37" x14ac:dyDescent="0.3">
      <c r="A675" t="s">
        <v>889</v>
      </c>
      <c r="B675" t="s">
        <v>870</v>
      </c>
      <c r="C675" s="2">
        <v>45764.926233483799</v>
      </c>
      <c r="D675" s="2">
        <v>45764.657103194448</v>
      </c>
      <c r="E675" s="2">
        <v>45764.65681054398</v>
      </c>
      <c r="F675" t="s">
        <v>871</v>
      </c>
      <c r="G675" t="s">
        <v>549</v>
      </c>
      <c r="H675">
        <v>45737</v>
      </c>
      <c r="I675">
        <v>0.32500000000000001</v>
      </c>
      <c r="J675"/>
      <c r="K675"/>
      <c r="L675">
        <v>45737</v>
      </c>
      <c r="M675">
        <v>0.5971412037037036</v>
      </c>
      <c r="N675" t="s">
        <v>892</v>
      </c>
      <c r="O675"/>
      <c r="P675"/>
      <c r="Q675" t="s">
        <v>552</v>
      </c>
      <c r="R675" t="s">
        <v>261</v>
      </c>
      <c r="S675" t="s">
        <v>936</v>
      </c>
      <c r="T675" t="s">
        <v>989</v>
      </c>
      <c r="U675"/>
      <c r="V675"/>
      <c r="W675" t="s">
        <v>554</v>
      </c>
      <c r="X675" t="s">
        <v>990</v>
      </c>
      <c r="Y675"/>
      <c r="Z675" t="s">
        <v>65</v>
      </c>
      <c r="AA675"/>
      <c r="AB675"/>
      <c r="AC675"/>
      <c r="AD675"/>
      <c r="AE675" t="s">
        <v>981</v>
      </c>
      <c r="AF675" t="s">
        <v>67</v>
      </c>
      <c r="AG675" t="s">
        <v>147</v>
      </c>
      <c r="AH675" t="s">
        <v>90</v>
      </c>
      <c r="AI675" t="s">
        <v>171</v>
      </c>
      <c r="AJ675" t="s">
        <v>266</v>
      </c>
      <c r="AK675" t="s">
        <v>221</v>
      </c>
    </row>
    <row r="676" spans="1:37" x14ac:dyDescent="0.3">
      <c r="A676" t="s">
        <v>889</v>
      </c>
      <c r="B676" t="s">
        <v>870</v>
      </c>
      <c r="C676" s="2">
        <v>45764.926233483799</v>
      </c>
      <c r="D676" s="2">
        <v>45764.657103194448</v>
      </c>
      <c r="E676" s="2">
        <v>45764.65681054398</v>
      </c>
      <c r="F676" t="s">
        <v>871</v>
      </c>
      <c r="G676" t="s">
        <v>559</v>
      </c>
      <c r="H676">
        <v>45739</v>
      </c>
      <c r="I676">
        <v>0.1736111111111111</v>
      </c>
      <c r="J676">
        <v>45739</v>
      </c>
      <c r="K676">
        <v>0.18055555555555558</v>
      </c>
      <c r="L676">
        <v>45739</v>
      </c>
      <c r="M676">
        <v>0.20511574074074068</v>
      </c>
      <c r="N676" t="s">
        <v>902</v>
      </c>
      <c r="O676" t="s">
        <v>991</v>
      </c>
      <c r="P676"/>
      <c r="Q676" t="s">
        <v>564</v>
      </c>
      <c r="R676" t="s">
        <v>250</v>
      </c>
      <c r="S676" t="s">
        <v>922</v>
      </c>
      <c r="T676" t="s">
        <v>992</v>
      </c>
      <c r="U676"/>
      <c r="V676"/>
      <c r="W676" t="s">
        <v>993</v>
      </c>
      <c r="X676" t="s">
        <v>944</v>
      </c>
      <c r="Y676" t="s">
        <v>567</v>
      </c>
      <c r="Z676" t="s">
        <v>65</v>
      </c>
      <c r="AA676"/>
      <c r="AB676"/>
      <c r="AC676"/>
      <c r="AD676"/>
      <c r="AE676" t="s">
        <v>994</v>
      </c>
      <c r="AF676" t="s">
        <v>67</v>
      </c>
      <c r="AG676" t="s">
        <v>105</v>
      </c>
      <c r="AH676" t="s">
        <v>69</v>
      </c>
      <c r="AI676" t="s">
        <v>122</v>
      </c>
      <c r="AJ676" t="s">
        <v>71</v>
      </c>
      <c r="AK676" t="s">
        <v>72</v>
      </c>
    </row>
    <row r="677" spans="1:37" x14ac:dyDescent="0.3">
      <c r="A677" t="s">
        <v>889</v>
      </c>
      <c r="B677" t="s">
        <v>870</v>
      </c>
      <c r="C677" s="2">
        <v>45764.926233483799</v>
      </c>
      <c r="D677" s="2">
        <v>45764.657103194448</v>
      </c>
      <c r="E677" s="2">
        <v>45764.65681054398</v>
      </c>
      <c r="F677" t="s">
        <v>871</v>
      </c>
      <c r="G677" t="s">
        <v>678</v>
      </c>
      <c r="H677">
        <v>45741</v>
      </c>
      <c r="I677">
        <v>0.48402777777777778</v>
      </c>
      <c r="J677"/>
      <c r="K677"/>
      <c r="L677">
        <v>45741</v>
      </c>
      <c r="M677">
        <v>0.50343749999999998</v>
      </c>
      <c r="N677" t="s">
        <v>906</v>
      </c>
      <c r="O677" t="s">
        <v>930</v>
      </c>
      <c r="P677" t="s">
        <v>687</v>
      </c>
      <c r="Q677" t="s">
        <v>362</v>
      </c>
      <c r="R677" t="s">
        <v>363</v>
      </c>
      <c r="S677" t="s">
        <v>893</v>
      </c>
      <c r="T677" t="s">
        <v>995</v>
      </c>
      <c r="U677"/>
      <c r="V677"/>
      <c r="W677" t="s">
        <v>689</v>
      </c>
      <c r="X677" t="s">
        <v>986</v>
      </c>
      <c r="Y677" t="s">
        <v>690</v>
      </c>
      <c r="Z677" t="s">
        <v>65</v>
      </c>
      <c r="AA677"/>
      <c r="AB677"/>
      <c r="AC677"/>
      <c r="AD677"/>
      <c r="AE677" t="s">
        <v>996</v>
      </c>
      <c r="AF677" t="s">
        <v>67</v>
      </c>
      <c r="AG677" t="s">
        <v>647</v>
      </c>
      <c r="AH677" t="s">
        <v>351</v>
      </c>
      <c r="AI677" t="s">
        <v>160</v>
      </c>
      <c r="AJ677" t="s">
        <v>123</v>
      </c>
      <c r="AK677" t="s">
        <v>353</v>
      </c>
    </row>
    <row r="678" spans="1:37" x14ac:dyDescent="0.3">
      <c r="A678" t="s">
        <v>889</v>
      </c>
      <c r="B678" t="s">
        <v>870</v>
      </c>
      <c r="C678" s="2">
        <v>45764.926233483799</v>
      </c>
      <c r="D678" s="2">
        <v>45764.657103194448</v>
      </c>
      <c r="E678" s="2">
        <v>45764.65681054398</v>
      </c>
      <c r="F678" t="s">
        <v>871</v>
      </c>
      <c r="G678" t="s">
        <v>573</v>
      </c>
      <c r="H678">
        <v>45743</v>
      </c>
      <c r="I678">
        <v>0.94666666666666666</v>
      </c>
      <c r="J678"/>
      <c r="K678"/>
      <c r="L678">
        <v>45743</v>
      </c>
      <c r="M678">
        <v>0.94666666666666677</v>
      </c>
      <c r="N678" t="s">
        <v>950</v>
      </c>
      <c r="O678" t="s">
        <v>997</v>
      </c>
      <c r="P678" t="s">
        <v>909</v>
      </c>
      <c r="Q678" t="s">
        <v>577</v>
      </c>
      <c r="R678" t="s">
        <v>261</v>
      </c>
      <c r="S678" t="s">
        <v>936</v>
      </c>
      <c r="T678" t="s">
        <v>998</v>
      </c>
      <c r="U678"/>
      <c r="V678"/>
      <c r="W678"/>
      <c r="X678"/>
      <c r="Y678"/>
      <c r="Z678"/>
      <c r="AA678"/>
      <c r="AB678"/>
      <c r="AC678"/>
      <c r="AD678"/>
      <c r="AE678" t="s">
        <v>927</v>
      </c>
      <c r="AF678" t="s">
        <v>67</v>
      </c>
      <c r="AG678" t="s">
        <v>579</v>
      </c>
      <c r="AH678" t="s">
        <v>121</v>
      </c>
      <c r="AI678" t="s">
        <v>378</v>
      </c>
      <c r="AJ678" t="s">
        <v>435</v>
      </c>
      <c r="AK678" t="s">
        <v>137</v>
      </c>
    </row>
    <row r="679" spans="1:37" x14ac:dyDescent="0.3">
      <c r="A679" t="s">
        <v>889</v>
      </c>
      <c r="B679" t="s">
        <v>870</v>
      </c>
      <c r="C679" s="2">
        <v>45764.926233483799</v>
      </c>
      <c r="D679" s="2">
        <v>45764.657103194448</v>
      </c>
      <c r="E679" s="2">
        <v>45764.65681054398</v>
      </c>
      <c r="F679" t="s">
        <v>871</v>
      </c>
      <c r="G679" t="s">
        <v>582</v>
      </c>
      <c r="H679">
        <v>45743</v>
      </c>
      <c r="I679">
        <v>0.97916666666666663</v>
      </c>
      <c r="J679">
        <v>45744</v>
      </c>
      <c r="K679">
        <v>2.4999999999999911E-2</v>
      </c>
      <c r="L679">
        <v>45744</v>
      </c>
      <c r="M679">
        <v>0.46781249999999996</v>
      </c>
      <c r="N679" t="s">
        <v>915</v>
      </c>
      <c r="O679"/>
      <c r="P679"/>
      <c r="Q679" t="s">
        <v>584</v>
      </c>
      <c r="R679" t="s">
        <v>283</v>
      </c>
      <c r="S679" t="s">
        <v>907</v>
      </c>
      <c r="T679" t="s">
        <v>999</v>
      </c>
      <c r="U679">
        <v>50300</v>
      </c>
      <c r="V679"/>
      <c r="W679"/>
      <c r="X679"/>
      <c r="Y679"/>
      <c r="Z679"/>
      <c r="AA679"/>
      <c r="AB679"/>
      <c r="AC679"/>
      <c r="AD679"/>
      <c r="AE679" t="s">
        <v>1000</v>
      </c>
      <c r="AF679" t="s">
        <v>67</v>
      </c>
      <c r="AG679" t="s">
        <v>480</v>
      </c>
      <c r="AH679" t="s">
        <v>351</v>
      </c>
      <c r="AI679" t="s">
        <v>586</v>
      </c>
      <c r="AJ679" t="s">
        <v>123</v>
      </c>
      <c r="AK679" t="s">
        <v>137</v>
      </c>
    </row>
    <row r="680" spans="1:37" x14ac:dyDescent="0.3">
      <c r="A680" t="s">
        <v>889</v>
      </c>
      <c r="B680" t="s">
        <v>870</v>
      </c>
      <c r="C680" s="2">
        <v>45764.926233483799</v>
      </c>
      <c r="D680" s="2">
        <v>45764.657103194448</v>
      </c>
      <c r="E680" s="2">
        <v>45764.65681054398</v>
      </c>
      <c r="F680" t="s">
        <v>871</v>
      </c>
      <c r="G680" t="s">
        <v>694</v>
      </c>
      <c r="H680">
        <v>45745</v>
      </c>
      <c r="I680">
        <v>0.20515046296296297</v>
      </c>
      <c r="J680"/>
      <c r="K680"/>
      <c r="L680">
        <v>45745</v>
      </c>
      <c r="M680">
        <v>0.20931712962962967</v>
      </c>
      <c r="N680" t="s">
        <v>176</v>
      </c>
      <c r="O680" t="s">
        <v>1001</v>
      </c>
      <c r="P680"/>
      <c r="Q680" t="s">
        <v>699</v>
      </c>
      <c r="R680" t="s">
        <v>273</v>
      </c>
      <c r="S680" t="s">
        <v>936</v>
      </c>
      <c r="T680" t="s">
        <v>1002</v>
      </c>
      <c r="U680"/>
      <c r="V680"/>
      <c r="W680" t="s">
        <v>701</v>
      </c>
      <c r="X680" t="s">
        <v>1003</v>
      </c>
      <c r="Y680" t="s">
        <v>635</v>
      </c>
      <c r="Z680" t="s">
        <v>65</v>
      </c>
      <c r="AA680"/>
      <c r="AB680"/>
      <c r="AC680"/>
      <c r="AD680"/>
      <c r="AE680" t="s">
        <v>994</v>
      </c>
      <c r="AF680" t="s">
        <v>67</v>
      </c>
      <c r="AG680" t="s">
        <v>579</v>
      </c>
      <c r="AH680" t="s">
        <v>121</v>
      </c>
      <c r="AI680" t="s">
        <v>524</v>
      </c>
      <c r="AJ680" t="s">
        <v>123</v>
      </c>
      <c r="AK680"/>
    </row>
    <row r="681" spans="1:37" x14ac:dyDescent="0.3">
      <c r="A681" t="s">
        <v>889</v>
      </c>
      <c r="B681" t="s">
        <v>870</v>
      </c>
      <c r="C681" s="2">
        <v>45764.926233483799</v>
      </c>
      <c r="D681" s="2">
        <v>45764.657103194448</v>
      </c>
      <c r="E681" s="2">
        <v>45764.65681054398</v>
      </c>
      <c r="F681" t="s">
        <v>871</v>
      </c>
      <c r="G681" t="s">
        <v>628</v>
      </c>
      <c r="H681">
        <v>45744</v>
      </c>
      <c r="I681">
        <v>0.85416666666666663</v>
      </c>
      <c r="J681">
        <v>45745</v>
      </c>
      <c r="K681">
        <v>0.41666666666666674</v>
      </c>
      <c r="L681">
        <v>45745</v>
      </c>
      <c r="M681">
        <v>0.42986111111111103</v>
      </c>
      <c r="N681" t="s">
        <v>892</v>
      </c>
      <c r="O681"/>
      <c r="P681"/>
      <c r="Q681" t="s">
        <v>631</v>
      </c>
      <c r="R681" t="s">
        <v>426</v>
      </c>
      <c r="S681" t="s">
        <v>907</v>
      </c>
      <c r="T681" t="s">
        <v>1004</v>
      </c>
      <c r="U681"/>
      <c r="V681"/>
      <c r="W681" t="s">
        <v>633</v>
      </c>
      <c r="X681" t="s">
        <v>1003</v>
      </c>
      <c r="Y681" t="s">
        <v>635</v>
      </c>
      <c r="Z681" t="s">
        <v>65</v>
      </c>
      <c r="AA681"/>
      <c r="AB681"/>
      <c r="AC681"/>
      <c r="AD681"/>
      <c r="AE681" t="s">
        <v>994</v>
      </c>
      <c r="AF681" t="s">
        <v>67</v>
      </c>
      <c r="AG681" t="s">
        <v>636</v>
      </c>
      <c r="AH681" t="s">
        <v>637</v>
      </c>
      <c r="AI681" t="s">
        <v>160</v>
      </c>
      <c r="AJ681" t="s">
        <v>123</v>
      </c>
      <c r="AK681" t="s">
        <v>221</v>
      </c>
    </row>
    <row r="682" spans="1:37" x14ac:dyDescent="0.3">
      <c r="A682" t="s">
        <v>889</v>
      </c>
      <c r="B682" t="s">
        <v>870</v>
      </c>
      <c r="C682" s="2">
        <v>45764.926233483799</v>
      </c>
      <c r="D682" s="2">
        <v>45764.657103194448</v>
      </c>
      <c r="E682" s="2">
        <v>45764.65681054398</v>
      </c>
      <c r="F682" t="s">
        <v>871</v>
      </c>
      <c r="G682" t="s">
        <v>589</v>
      </c>
      <c r="H682">
        <v>45747</v>
      </c>
      <c r="I682">
        <v>0.5</v>
      </c>
      <c r="J682"/>
      <c r="K682"/>
      <c r="L682">
        <v>45747</v>
      </c>
      <c r="M682">
        <v>0.54355324074074085</v>
      </c>
      <c r="N682" t="s">
        <v>915</v>
      </c>
      <c r="O682"/>
      <c r="P682"/>
      <c r="Q682" t="s">
        <v>591</v>
      </c>
      <c r="R682" t="s">
        <v>592</v>
      </c>
      <c r="S682" t="s">
        <v>899</v>
      </c>
      <c r="T682" t="s">
        <v>1005</v>
      </c>
      <c r="U682"/>
      <c r="V682"/>
      <c r="W682"/>
      <c r="X682"/>
      <c r="Y682"/>
      <c r="Z682"/>
      <c r="AA682"/>
      <c r="AB682"/>
      <c r="AC682"/>
      <c r="AD682"/>
      <c r="AE682" t="s">
        <v>994</v>
      </c>
      <c r="AF682" t="s">
        <v>67</v>
      </c>
      <c r="AG682" t="s">
        <v>594</v>
      </c>
      <c r="AH682" t="s">
        <v>90</v>
      </c>
      <c r="AI682" t="s">
        <v>180</v>
      </c>
      <c r="AJ682" t="s">
        <v>92</v>
      </c>
      <c r="AK682" t="s">
        <v>137</v>
      </c>
    </row>
    <row r="683" spans="1:37" x14ac:dyDescent="0.3">
      <c r="A683" t="s">
        <v>889</v>
      </c>
      <c r="B683" t="s">
        <v>870</v>
      </c>
      <c r="C683" s="2">
        <v>45764.926233483799</v>
      </c>
      <c r="D683" s="2">
        <v>45764.657103194448</v>
      </c>
      <c r="E683" s="2">
        <v>45764.65681054398</v>
      </c>
      <c r="F683" t="s">
        <v>871</v>
      </c>
      <c r="G683" t="s">
        <v>705</v>
      </c>
      <c r="H683">
        <v>45747</v>
      </c>
      <c r="I683">
        <v>0.77777777777777779</v>
      </c>
      <c r="J683">
        <v>45747</v>
      </c>
      <c r="K683">
        <v>0.91666666666666674</v>
      </c>
      <c r="L683">
        <v>45747</v>
      </c>
      <c r="M683">
        <v>0.93032407407407414</v>
      </c>
      <c r="N683" t="s">
        <v>902</v>
      </c>
      <c r="O683" t="s">
        <v>930</v>
      </c>
      <c r="P683" t="s">
        <v>1006</v>
      </c>
      <c r="Q683" t="s">
        <v>709</v>
      </c>
      <c r="R683" t="s">
        <v>134</v>
      </c>
      <c r="S683" t="s">
        <v>899</v>
      </c>
      <c r="T683" t="s">
        <v>1007</v>
      </c>
      <c r="U683"/>
      <c r="V683"/>
      <c r="W683" t="s">
        <v>711</v>
      </c>
      <c r="X683" t="s">
        <v>1008</v>
      </c>
      <c r="Y683" t="s">
        <v>713</v>
      </c>
      <c r="Z683" t="s">
        <v>65</v>
      </c>
      <c r="AA683"/>
      <c r="AB683"/>
      <c r="AC683"/>
      <c r="AD683"/>
      <c r="AE683" t="s">
        <v>981</v>
      </c>
      <c r="AF683" t="s">
        <v>67</v>
      </c>
      <c r="AG683" t="s">
        <v>714</v>
      </c>
      <c r="AH683" t="s">
        <v>90</v>
      </c>
      <c r="AI683" t="s">
        <v>160</v>
      </c>
      <c r="AJ683" t="s">
        <v>123</v>
      </c>
      <c r="AK683" t="s">
        <v>613</v>
      </c>
    </row>
    <row r="684" spans="1:37" x14ac:dyDescent="0.3">
      <c r="A684" t="s">
        <v>889</v>
      </c>
      <c r="B684" t="s">
        <v>870</v>
      </c>
      <c r="C684" s="2">
        <v>45764.926233483799</v>
      </c>
      <c r="D684" s="2">
        <v>45764.657103194448</v>
      </c>
      <c r="E684" s="2">
        <v>45764.65681054398</v>
      </c>
      <c r="F684" t="s">
        <v>871</v>
      </c>
      <c r="G684" t="s">
        <v>605</v>
      </c>
      <c r="H684">
        <v>45747</v>
      </c>
      <c r="I684">
        <v>0.75</v>
      </c>
      <c r="J684"/>
      <c r="K684"/>
      <c r="L684">
        <v>45748</v>
      </c>
      <c r="M684">
        <v>3.6863425925925952E-2</v>
      </c>
      <c r="N684" t="s">
        <v>902</v>
      </c>
      <c r="O684"/>
      <c r="P684"/>
      <c r="Q684" t="s">
        <v>607</v>
      </c>
      <c r="R684" t="s">
        <v>215</v>
      </c>
      <c r="S684"/>
      <c r="T684" t="s">
        <v>1009</v>
      </c>
      <c r="U684">
        <v>2</v>
      </c>
      <c r="V684">
        <v>0</v>
      </c>
      <c r="W684" t="s">
        <v>1010</v>
      </c>
      <c r="X684" t="s">
        <v>924</v>
      </c>
      <c r="Y684" t="s">
        <v>1011</v>
      </c>
      <c r="Z684" t="s">
        <v>935</v>
      </c>
      <c r="AA684"/>
      <c r="AB684"/>
      <c r="AC684"/>
      <c r="AD684"/>
      <c r="AE684" t="s">
        <v>981</v>
      </c>
      <c r="AF684" t="s">
        <v>67</v>
      </c>
      <c r="AG684" t="s">
        <v>611</v>
      </c>
      <c r="AH684" t="s">
        <v>612</v>
      </c>
      <c r="AI684" t="s">
        <v>160</v>
      </c>
      <c r="AJ684" t="s">
        <v>195</v>
      </c>
      <c r="AK684" t="s">
        <v>613</v>
      </c>
    </row>
    <row r="685" spans="1:37" x14ac:dyDescent="0.3">
      <c r="A685" t="s">
        <v>889</v>
      </c>
      <c r="B685" t="s">
        <v>870</v>
      </c>
      <c r="C685" s="2">
        <v>45764.926233483799</v>
      </c>
      <c r="D685" s="2">
        <v>45764.657103194448</v>
      </c>
      <c r="E685" s="2">
        <v>45764.65681054398</v>
      </c>
      <c r="F685" t="s">
        <v>871</v>
      </c>
      <c r="G685" t="s">
        <v>615</v>
      </c>
      <c r="H685">
        <v>45747</v>
      </c>
      <c r="I685">
        <v>0.83333333333333337</v>
      </c>
      <c r="J685"/>
      <c r="K685"/>
      <c r="L685">
        <v>45747</v>
      </c>
      <c r="M685">
        <v>0.99899305555555551</v>
      </c>
      <c r="N685" t="s">
        <v>902</v>
      </c>
      <c r="O685"/>
      <c r="P685"/>
      <c r="Q685" t="s">
        <v>607</v>
      </c>
      <c r="R685" t="s">
        <v>215</v>
      </c>
      <c r="S685" t="s">
        <v>893</v>
      </c>
      <c r="T685" t="s">
        <v>1012</v>
      </c>
      <c r="U685">
        <v>5</v>
      </c>
      <c r="V685">
        <v>0</v>
      </c>
      <c r="W685" t="s">
        <v>1013</v>
      </c>
      <c r="X685" t="s">
        <v>924</v>
      </c>
      <c r="Y685" t="s">
        <v>618</v>
      </c>
      <c r="Z685" t="s">
        <v>65</v>
      </c>
      <c r="AA685"/>
      <c r="AB685"/>
      <c r="AC685"/>
      <c r="AD685"/>
      <c r="AE685" t="s">
        <v>981</v>
      </c>
      <c r="AF685" t="s">
        <v>67</v>
      </c>
      <c r="AG685" t="s">
        <v>611</v>
      </c>
      <c r="AH685" t="s">
        <v>612</v>
      </c>
      <c r="AI685" t="s">
        <v>160</v>
      </c>
      <c r="AJ685" t="s">
        <v>195</v>
      </c>
      <c r="AK685" t="s">
        <v>613</v>
      </c>
    </row>
    <row r="686" spans="1:37" x14ac:dyDescent="0.3">
      <c r="A686" t="s">
        <v>889</v>
      </c>
      <c r="B686" t="s">
        <v>870</v>
      </c>
      <c r="C686" s="2">
        <v>45764.926233483799</v>
      </c>
      <c r="D686" s="2">
        <v>45764.657103194448</v>
      </c>
      <c r="E686" s="2">
        <v>45764.65681054398</v>
      </c>
      <c r="F686" t="s">
        <v>871</v>
      </c>
      <c r="G686" t="s">
        <v>620</v>
      </c>
      <c r="H686">
        <v>45748</v>
      </c>
      <c r="I686">
        <v>0.85324074074074074</v>
      </c>
      <c r="J686"/>
      <c r="K686"/>
      <c r="L686">
        <v>45748</v>
      </c>
      <c r="M686">
        <v>0.85324074074074074</v>
      </c>
      <c r="N686" t="s">
        <v>902</v>
      </c>
      <c r="O686"/>
      <c r="P686"/>
      <c r="Q686" t="s">
        <v>622</v>
      </c>
      <c r="R686" t="s">
        <v>327</v>
      </c>
      <c r="S686" t="s">
        <v>899</v>
      </c>
      <c r="T686" t="s">
        <v>1014</v>
      </c>
      <c r="U686"/>
      <c r="V686"/>
      <c r="W686" t="s">
        <v>624</v>
      </c>
      <c r="X686" t="s">
        <v>1015</v>
      </c>
      <c r="Y686" t="s">
        <v>626</v>
      </c>
      <c r="Z686" t="s">
        <v>65</v>
      </c>
      <c r="AA686"/>
      <c r="AB686"/>
      <c r="AC686"/>
      <c r="AD686"/>
      <c r="AE686" t="s">
        <v>904</v>
      </c>
      <c r="AF686" t="s">
        <v>67</v>
      </c>
      <c r="AG686" t="s">
        <v>330</v>
      </c>
      <c r="AH686" t="s">
        <v>69</v>
      </c>
      <c r="AI686" t="s">
        <v>160</v>
      </c>
      <c r="AJ686" t="s">
        <v>71</v>
      </c>
      <c r="AK686" t="s">
        <v>72</v>
      </c>
    </row>
    <row r="687" spans="1:37" x14ac:dyDescent="0.3">
      <c r="A687" t="s">
        <v>889</v>
      </c>
      <c r="B687" t="s">
        <v>870</v>
      </c>
      <c r="C687" s="2">
        <v>45764.926233483799</v>
      </c>
      <c r="D687" s="2">
        <v>45764.657103194448</v>
      </c>
      <c r="E687" s="2">
        <v>45764.65681054398</v>
      </c>
      <c r="F687" t="s">
        <v>871</v>
      </c>
      <c r="G687" t="s">
        <v>640</v>
      </c>
      <c r="H687">
        <v>45749</v>
      </c>
      <c r="I687">
        <v>0.89930555555555558</v>
      </c>
      <c r="J687"/>
      <c r="K687"/>
      <c r="L687">
        <v>45749</v>
      </c>
      <c r="M687">
        <v>0.90325231481481483</v>
      </c>
      <c r="N687" t="s">
        <v>644</v>
      </c>
      <c r="O687" t="s">
        <v>925</v>
      </c>
      <c r="P687" t="s">
        <v>400</v>
      </c>
      <c r="Q687" t="s">
        <v>645</v>
      </c>
      <c r="R687" t="s">
        <v>101</v>
      </c>
      <c r="S687" t="s">
        <v>907</v>
      </c>
      <c r="T687" t="s">
        <v>1016</v>
      </c>
      <c r="U687"/>
      <c r="V687"/>
      <c r="W687"/>
      <c r="X687"/>
      <c r="Y687"/>
      <c r="Z687"/>
      <c r="AA687"/>
      <c r="AB687"/>
      <c r="AC687"/>
      <c r="AD687"/>
      <c r="AE687" t="s">
        <v>1000</v>
      </c>
      <c r="AF687" t="s">
        <v>67</v>
      </c>
      <c r="AG687" t="s">
        <v>647</v>
      </c>
      <c r="AH687" t="s">
        <v>351</v>
      </c>
      <c r="AI687" t="s">
        <v>352</v>
      </c>
      <c r="AJ687" t="s">
        <v>418</v>
      </c>
      <c r="AK687"/>
    </row>
    <row r="688" spans="1:37" x14ac:dyDescent="0.3">
      <c r="A688" t="s">
        <v>889</v>
      </c>
      <c r="B688" t="s">
        <v>870</v>
      </c>
      <c r="C688" s="2">
        <v>45764.926233483799</v>
      </c>
      <c r="D688" s="2">
        <v>45764.657103194448</v>
      </c>
      <c r="E688" s="2">
        <v>45764.65681054398</v>
      </c>
      <c r="F688" t="s">
        <v>871</v>
      </c>
      <c r="G688" t="s">
        <v>597</v>
      </c>
      <c r="H688">
        <v>45748</v>
      </c>
      <c r="I688">
        <v>0.5</v>
      </c>
      <c r="J688">
        <v>45751</v>
      </c>
      <c r="K688">
        <v>0.52083333333333326</v>
      </c>
      <c r="L688">
        <v>45751</v>
      </c>
      <c r="M688">
        <v>0.54546296296296304</v>
      </c>
      <c r="N688" t="s">
        <v>915</v>
      </c>
      <c r="O688"/>
      <c r="P688"/>
      <c r="Q688" t="s">
        <v>601</v>
      </c>
      <c r="R688" t="s">
        <v>145</v>
      </c>
      <c r="S688" t="s">
        <v>922</v>
      </c>
      <c r="T688" t="s">
        <v>1017</v>
      </c>
      <c r="U688"/>
      <c r="V688"/>
      <c r="W688"/>
      <c r="X688"/>
      <c r="Y688"/>
      <c r="Z688"/>
      <c r="AA688"/>
      <c r="AB688"/>
      <c r="AC688"/>
      <c r="AD688"/>
      <c r="AE688" t="s">
        <v>897</v>
      </c>
      <c r="AF688" t="s">
        <v>67</v>
      </c>
      <c r="AG688" t="s">
        <v>603</v>
      </c>
      <c r="AH688" t="s">
        <v>206</v>
      </c>
      <c r="AI688" t="s">
        <v>524</v>
      </c>
      <c r="AJ688" t="s">
        <v>123</v>
      </c>
      <c r="AK688" t="s">
        <v>137</v>
      </c>
    </row>
    <row r="689" spans="1:37" x14ac:dyDescent="0.3">
      <c r="A689" t="s">
        <v>889</v>
      </c>
      <c r="B689" t="s">
        <v>870</v>
      </c>
      <c r="C689" s="2">
        <v>45764.926233483799</v>
      </c>
      <c r="D689" s="2">
        <v>45764.657103194448</v>
      </c>
      <c r="E689" s="2">
        <v>45764.65681054398</v>
      </c>
      <c r="F689" t="s">
        <v>871</v>
      </c>
      <c r="G689" t="s">
        <v>717</v>
      </c>
      <c r="H689">
        <v>45755</v>
      </c>
      <c r="I689">
        <v>3.2638888888888891E-2</v>
      </c>
      <c r="J689"/>
      <c r="K689"/>
      <c r="L689">
        <v>45755</v>
      </c>
      <c r="M689">
        <v>3.6493055555555598E-2</v>
      </c>
      <c r="N689" t="s">
        <v>902</v>
      </c>
      <c r="O689" t="s">
        <v>361</v>
      </c>
      <c r="P689" t="s">
        <v>721</v>
      </c>
      <c r="Q689" t="s">
        <v>722</v>
      </c>
      <c r="R689" t="s">
        <v>592</v>
      </c>
      <c r="S689" t="s">
        <v>899</v>
      </c>
      <c r="T689" t="s">
        <v>1018</v>
      </c>
      <c r="U689"/>
      <c r="V689"/>
      <c r="W689" t="s">
        <v>1019</v>
      </c>
      <c r="X689" t="s">
        <v>500</v>
      </c>
      <c r="Y689" t="s">
        <v>725</v>
      </c>
      <c r="Z689" t="s">
        <v>65</v>
      </c>
      <c r="AA689"/>
      <c r="AB689"/>
      <c r="AC689"/>
      <c r="AD689"/>
      <c r="AE689" t="s">
        <v>1020</v>
      </c>
      <c r="AF689" t="s">
        <v>67</v>
      </c>
      <c r="AG689" t="s">
        <v>89</v>
      </c>
      <c r="AH689" t="s">
        <v>90</v>
      </c>
      <c r="AI689" t="s">
        <v>106</v>
      </c>
      <c r="AJ689" t="s">
        <v>71</v>
      </c>
      <c r="AK689" t="s">
        <v>72</v>
      </c>
    </row>
    <row r="690" spans="1:37" x14ac:dyDescent="0.3">
      <c r="A690" t="s">
        <v>889</v>
      </c>
      <c r="B690" t="s">
        <v>870</v>
      </c>
      <c r="C690" s="2">
        <v>45764.926233483799</v>
      </c>
      <c r="D690" s="2">
        <v>45764.657103194448</v>
      </c>
      <c r="E690" s="2">
        <v>45764.65681054398</v>
      </c>
      <c r="F690" t="s">
        <v>871</v>
      </c>
      <c r="G690" t="s">
        <v>799</v>
      </c>
      <c r="H690">
        <v>45756</v>
      </c>
      <c r="I690">
        <v>0.96527777777777779</v>
      </c>
      <c r="J690">
        <v>45756</v>
      </c>
      <c r="K690">
        <v>0.96597222222222223</v>
      </c>
      <c r="L690">
        <v>45757</v>
      </c>
      <c r="M690">
        <v>0.57611111111111102</v>
      </c>
      <c r="N690" t="s">
        <v>902</v>
      </c>
      <c r="O690"/>
      <c r="P690"/>
      <c r="Q690" t="s">
        <v>802</v>
      </c>
      <c r="R690" t="s">
        <v>155</v>
      </c>
      <c r="S690" t="s">
        <v>907</v>
      </c>
      <c r="T690" t="s">
        <v>1021</v>
      </c>
      <c r="U690"/>
      <c r="V690"/>
      <c r="W690" t="s">
        <v>804</v>
      </c>
      <c r="X690" t="s">
        <v>990</v>
      </c>
      <c r="Y690" t="s">
        <v>805</v>
      </c>
      <c r="Z690" t="s">
        <v>65</v>
      </c>
      <c r="AA690"/>
      <c r="AB690"/>
      <c r="AC690"/>
      <c r="AD690"/>
      <c r="AE690" t="s">
        <v>927</v>
      </c>
      <c r="AF690" t="s">
        <v>67</v>
      </c>
      <c r="AG690" t="s">
        <v>244</v>
      </c>
      <c r="AH690" t="s">
        <v>206</v>
      </c>
      <c r="AI690" t="s">
        <v>524</v>
      </c>
      <c r="AJ690" t="s">
        <v>123</v>
      </c>
      <c r="AK690" t="s">
        <v>72</v>
      </c>
    </row>
    <row r="691" spans="1:37" x14ac:dyDescent="0.3">
      <c r="A691" t="s">
        <v>889</v>
      </c>
      <c r="B691" t="s">
        <v>870</v>
      </c>
      <c r="C691" s="2">
        <v>45764.926233483799</v>
      </c>
      <c r="D691" s="2">
        <v>45764.657103194448</v>
      </c>
      <c r="E691" s="2">
        <v>45764.65681054398</v>
      </c>
      <c r="F691" t="s">
        <v>871</v>
      </c>
      <c r="G691" t="s">
        <v>819</v>
      </c>
      <c r="H691">
        <v>45755</v>
      </c>
      <c r="I691">
        <v>0.5</v>
      </c>
      <c r="J691">
        <v>45759</v>
      </c>
      <c r="K691">
        <v>0.5</v>
      </c>
      <c r="L691">
        <v>45759</v>
      </c>
      <c r="M691">
        <v>0.52699074074074082</v>
      </c>
      <c r="N691" t="s">
        <v>915</v>
      </c>
      <c r="O691"/>
      <c r="P691"/>
      <c r="Q691" t="s">
        <v>821</v>
      </c>
      <c r="R691" t="s">
        <v>145</v>
      </c>
      <c r="S691" t="s">
        <v>922</v>
      </c>
      <c r="T691" t="s">
        <v>1024</v>
      </c>
      <c r="U691"/>
      <c r="V691"/>
      <c r="W691"/>
      <c r="X691"/>
      <c r="Y691"/>
      <c r="Z691"/>
      <c r="AA691"/>
      <c r="AB691"/>
      <c r="AC691"/>
      <c r="AD691"/>
      <c r="AE691" t="s">
        <v>927</v>
      </c>
      <c r="AF691" t="s">
        <v>67</v>
      </c>
      <c r="AG691" t="s">
        <v>579</v>
      </c>
      <c r="AH691" t="s">
        <v>121</v>
      </c>
      <c r="AI691" t="s">
        <v>106</v>
      </c>
      <c r="AJ691" t="s">
        <v>123</v>
      </c>
      <c r="AK691" t="s">
        <v>137</v>
      </c>
    </row>
    <row r="692" spans="1:37" x14ac:dyDescent="0.3">
      <c r="A692" t="s">
        <v>889</v>
      </c>
      <c r="B692" t="s">
        <v>870</v>
      </c>
      <c r="C692" s="2">
        <v>45764.926233483799</v>
      </c>
      <c r="D692" s="2">
        <v>45764.657103194448</v>
      </c>
      <c r="E692" s="2">
        <v>45764.65681054398</v>
      </c>
      <c r="F692" t="s">
        <v>871</v>
      </c>
      <c r="G692" t="s">
        <v>824</v>
      </c>
      <c r="H692"/>
      <c r="I692"/>
      <c r="J692">
        <v>45760</v>
      </c>
      <c r="K692">
        <v>0.6875</v>
      </c>
      <c r="L692">
        <v>45760</v>
      </c>
      <c r="M692">
        <v>0.69084490740740745</v>
      </c>
      <c r="N692" t="s">
        <v>902</v>
      </c>
      <c r="O692" t="s">
        <v>1027</v>
      </c>
      <c r="P692"/>
      <c r="Q692" t="s">
        <v>829</v>
      </c>
      <c r="R692" t="s">
        <v>134</v>
      </c>
      <c r="S692" t="s">
        <v>899</v>
      </c>
      <c r="T692" t="s">
        <v>1028</v>
      </c>
      <c r="U692"/>
      <c r="V692"/>
      <c r="W692" t="s">
        <v>1029</v>
      </c>
      <c r="X692" t="s">
        <v>896</v>
      </c>
      <c r="Y692" t="s">
        <v>218</v>
      </c>
      <c r="Z692" t="s">
        <v>65</v>
      </c>
      <c r="AA692" t="s">
        <v>1030</v>
      </c>
      <c r="AB692" t="s">
        <v>65</v>
      </c>
      <c r="AC692" t="s">
        <v>944</v>
      </c>
      <c r="AD692" t="s">
        <v>833</v>
      </c>
      <c r="AE692" t="s">
        <v>897</v>
      </c>
      <c r="AF692" t="s">
        <v>67</v>
      </c>
      <c r="AG692" t="s">
        <v>834</v>
      </c>
      <c r="AH692" t="s">
        <v>159</v>
      </c>
      <c r="AI692" t="s">
        <v>160</v>
      </c>
      <c r="AJ692" t="s">
        <v>435</v>
      </c>
      <c r="AK692"/>
    </row>
    <row r="693" spans="1:37" x14ac:dyDescent="0.3">
      <c r="A693" t="s">
        <v>889</v>
      </c>
      <c r="B693" t="s">
        <v>870</v>
      </c>
      <c r="C693" s="2">
        <v>45764.926233483799</v>
      </c>
      <c r="D693" s="2">
        <v>45764.657103194448</v>
      </c>
      <c r="E693" s="2">
        <v>45764.65681054398</v>
      </c>
      <c r="F693" t="s">
        <v>871</v>
      </c>
      <c r="G693" t="s">
        <v>838</v>
      </c>
      <c r="H693">
        <v>45760</v>
      </c>
      <c r="I693">
        <v>0.78115740740740736</v>
      </c>
      <c r="J693"/>
      <c r="K693"/>
      <c r="L693">
        <v>45760</v>
      </c>
      <c r="M693">
        <v>0.78115740740740747</v>
      </c>
      <c r="N693" t="s">
        <v>915</v>
      </c>
      <c r="O693" t="s">
        <v>1025</v>
      </c>
      <c r="P693" t="s">
        <v>1006</v>
      </c>
      <c r="Q693" t="s">
        <v>842</v>
      </c>
      <c r="R693" t="s">
        <v>327</v>
      </c>
      <c r="S693" t="s">
        <v>899</v>
      </c>
      <c r="T693" t="s">
        <v>1026</v>
      </c>
      <c r="U693"/>
      <c r="V693"/>
      <c r="W693"/>
      <c r="X693"/>
      <c r="Y693"/>
      <c r="Z693"/>
      <c r="AA693"/>
      <c r="AB693"/>
      <c r="AC693"/>
      <c r="AD693"/>
      <c r="AE693" t="s">
        <v>897</v>
      </c>
      <c r="AF693" t="s">
        <v>67</v>
      </c>
      <c r="AG693" t="s">
        <v>147</v>
      </c>
      <c r="AH693" t="s">
        <v>90</v>
      </c>
      <c r="AI693" t="s">
        <v>160</v>
      </c>
      <c r="AJ693" t="s">
        <v>435</v>
      </c>
      <c r="AK693"/>
    </row>
    <row r="694" spans="1:37" x14ac:dyDescent="0.3">
      <c r="A694" t="s">
        <v>889</v>
      </c>
      <c r="B694" t="s">
        <v>870</v>
      </c>
      <c r="C694" s="2">
        <v>45764.926233483799</v>
      </c>
      <c r="D694" s="2">
        <v>45764.657103194448</v>
      </c>
      <c r="E694" s="2">
        <v>45764.65681054398</v>
      </c>
      <c r="F694" t="s">
        <v>871</v>
      </c>
      <c r="G694" t="s">
        <v>845</v>
      </c>
      <c r="H694">
        <v>45739</v>
      </c>
      <c r="I694">
        <v>0.62013888888888891</v>
      </c>
      <c r="J694">
        <v>45739</v>
      </c>
      <c r="K694">
        <v>0.64166666666666661</v>
      </c>
      <c r="L694">
        <v>45761</v>
      </c>
      <c r="M694">
        <v>0.49540509259259258</v>
      </c>
      <c r="N694" t="s">
        <v>898</v>
      </c>
      <c r="O694"/>
      <c r="P694"/>
      <c r="Q694" t="s">
        <v>848</v>
      </c>
      <c r="R694" t="s">
        <v>849</v>
      </c>
      <c r="S694" t="s">
        <v>893</v>
      </c>
      <c r="T694" t="s">
        <v>1022</v>
      </c>
      <c r="U694"/>
      <c r="V694"/>
      <c r="W694"/>
      <c r="X694"/>
      <c r="Y694"/>
      <c r="Z694"/>
      <c r="AA694"/>
      <c r="AB694"/>
      <c r="AC694"/>
      <c r="AD694"/>
      <c r="AE694" t="s">
        <v>1023</v>
      </c>
      <c r="AF694" t="s">
        <v>67</v>
      </c>
      <c r="AG694" t="s">
        <v>852</v>
      </c>
      <c r="AH694" t="s">
        <v>69</v>
      </c>
      <c r="AI694" t="s">
        <v>122</v>
      </c>
      <c r="AJ694" t="s">
        <v>123</v>
      </c>
      <c r="AK694"/>
    </row>
    <row r="695" spans="1:37" x14ac:dyDescent="0.3">
      <c r="A695" t="s">
        <v>889</v>
      </c>
      <c r="B695" t="s">
        <v>870</v>
      </c>
      <c r="C695" s="2">
        <v>45764.926233483799</v>
      </c>
      <c r="D695" s="2">
        <v>45764.657103194448</v>
      </c>
      <c r="E695" s="2">
        <v>45764.65681054398</v>
      </c>
      <c r="F695" t="s">
        <v>871</v>
      </c>
      <c r="G695" t="s">
        <v>1031</v>
      </c>
      <c r="H695">
        <v>45761</v>
      </c>
      <c r="I695">
        <v>0.95833333333333337</v>
      </c>
      <c r="J695">
        <v>45762</v>
      </c>
      <c r="K695">
        <v>0.77083333333333326</v>
      </c>
      <c r="L695">
        <v>45762</v>
      </c>
      <c r="M695">
        <v>0.77781250000000002</v>
      </c>
      <c r="N695" t="s">
        <v>915</v>
      </c>
      <c r="O695" t="s">
        <v>930</v>
      </c>
      <c r="P695" t="s">
        <v>1006</v>
      </c>
      <c r="Q695" t="s">
        <v>1032</v>
      </c>
      <c r="R695" t="s">
        <v>101</v>
      </c>
      <c r="S695" t="s">
        <v>907</v>
      </c>
      <c r="T695" t="s">
        <v>1033</v>
      </c>
      <c r="U695"/>
      <c r="V695"/>
      <c r="W695"/>
      <c r="X695"/>
      <c r="Y695"/>
      <c r="Z695"/>
      <c r="AA695"/>
      <c r="AB695"/>
      <c r="AC695"/>
      <c r="AD695"/>
      <c r="AE695" t="s">
        <v>1020</v>
      </c>
      <c r="AF695" t="s">
        <v>67</v>
      </c>
      <c r="AG695" t="s">
        <v>1034</v>
      </c>
      <c r="AH695" t="s">
        <v>637</v>
      </c>
      <c r="AI695" t="s">
        <v>160</v>
      </c>
      <c r="AJ695" t="s">
        <v>123</v>
      </c>
      <c r="AK695"/>
    </row>
    <row r="696" spans="1:37" x14ac:dyDescent="0.3">
      <c r="A696" t="s">
        <v>890</v>
      </c>
      <c r="B696" t="s">
        <v>870</v>
      </c>
      <c r="C696" s="2">
        <v>45764.926233530095</v>
      </c>
      <c r="D696" s="2">
        <v>45755.429062499999</v>
      </c>
      <c r="E696" s="2">
        <v>45760.800145439818</v>
      </c>
      <c r="F696" t="s">
        <v>871</v>
      </c>
      <c r="G696" t="s">
        <v>492</v>
      </c>
      <c r="H696">
        <v>45720</v>
      </c>
      <c r="I696">
        <v>0.64097222222222228</v>
      </c>
      <c r="J696"/>
      <c r="K696"/>
      <c r="L696">
        <v>45720</v>
      </c>
      <c r="M696">
        <v>0.64444444444444438</v>
      </c>
      <c r="N696" t="s">
        <v>906</v>
      </c>
      <c r="O696" t="s">
        <v>976</v>
      </c>
      <c r="P696" t="s">
        <v>344</v>
      </c>
      <c r="Q696" t="s">
        <v>497</v>
      </c>
      <c r="R696" t="s">
        <v>84</v>
      </c>
      <c r="S696" t="s">
        <v>907</v>
      </c>
      <c r="T696" t="s">
        <v>977</v>
      </c>
      <c r="U696"/>
      <c r="V696"/>
      <c r="W696" t="s">
        <v>499</v>
      </c>
      <c r="X696" t="s">
        <v>500</v>
      </c>
      <c r="Y696" t="s">
        <v>501</v>
      </c>
      <c r="Z696" t="s">
        <v>65</v>
      </c>
      <c r="AA696"/>
      <c r="AB696"/>
      <c r="AC696"/>
      <c r="AD696"/>
      <c r="AE696" t="s">
        <v>978</v>
      </c>
      <c r="AF696" t="s">
        <v>67</v>
      </c>
      <c r="AG696" t="s">
        <v>502</v>
      </c>
      <c r="AH696" t="s">
        <v>159</v>
      </c>
      <c r="AI696" t="s">
        <v>378</v>
      </c>
      <c r="AJ696" t="s">
        <v>195</v>
      </c>
      <c r="AK696" t="s">
        <v>353</v>
      </c>
    </row>
    <row r="697" spans="1:37" x14ac:dyDescent="0.3">
      <c r="A697" t="s">
        <v>890</v>
      </c>
      <c r="B697" t="s">
        <v>870</v>
      </c>
      <c r="C697" s="2">
        <v>45764.926233530095</v>
      </c>
      <c r="D697" s="2">
        <v>45755.429062499999</v>
      </c>
      <c r="E697" s="2">
        <v>45760.800145439818</v>
      </c>
      <c r="F697" t="s">
        <v>871</v>
      </c>
      <c r="G697" t="s">
        <v>484</v>
      </c>
      <c r="H697">
        <v>45720</v>
      </c>
      <c r="I697">
        <v>0.79126157407407405</v>
      </c>
      <c r="J697"/>
      <c r="K697"/>
      <c r="L697">
        <v>45720</v>
      </c>
      <c r="M697">
        <v>0.79126157407407405</v>
      </c>
      <c r="N697" t="s">
        <v>906</v>
      </c>
      <c r="O697"/>
      <c r="P697"/>
      <c r="Q697" t="s">
        <v>487</v>
      </c>
      <c r="R697" t="s">
        <v>261</v>
      </c>
      <c r="S697" t="s">
        <v>936</v>
      </c>
      <c r="T697" t="s">
        <v>979</v>
      </c>
      <c r="U697"/>
      <c r="V697"/>
      <c r="W697"/>
      <c r="X697"/>
      <c r="Y697"/>
      <c r="Z697"/>
      <c r="AA697"/>
      <c r="AB697"/>
      <c r="AC697"/>
      <c r="AD697"/>
      <c r="AE697" t="s">
        <v>978</v>
      </c>
      <c r="AF697" t="s">
        <v>67</v>
      </c>
      <c r="AG697" t="s">
        <v>489</v>
      </c>
      <c r="AH697" t="s">
        <v>206</v>
      </c>
      <c r="AI697" t="s">
        <v>70</v>
      </c>
      <c r="AJ697" t="s">
        <v>195</v>
      </c>
      <c r="AK697" t="s">
        <v>353</v>
      </c>
    </row>
    <row r="698" spans="1:37" x14ac:dyDescent="0.3">
      <c r="A698" t="s">
        <v>890</v>
      </c>
      <c r="B698" t="s">
        <v>870</v>
      </c>
      <c r="C698" s="2">
        <v>45764.926233530095</v>
      </c>
      <c r="D698" s="2">
        <v>45755.429062499999</v>
      </c>
      <c r="E698" s="2">
        <v>45760.800145439818</v>
      </c>
      <c r="F698" t="s">
        <v>871</v>
      </c>
      <c r="G698" t="s">
        <v>460</v>
      </c>
      <c r="H698">
        <v>45722</v>
      </c>
      <c r="I698">
        <v>0.94149305555555551</v>
      </c>
      <c r="J698"/>
      <c r="K698"/>
      <c r="L698">
        <v>45722</v>
      </c>
      <c r="M698">
        <v>0.94149305555555562</v>
      </c>
      <c r="N698" t="s">
        <v>902</v>
      </c>
      <c r="O698"/>
      <c r="P698"/>
      <c r="Q698" t="s">
        <v>464</v>
      </c>
      <c r="R698" t="s">
        <v>84</v>
      </c>
      <c r="S698" t="s">
        <v>907</v>
      </c>
      <c r="T698" t="s">
        <v>980</v>
      </c>
      <c r="U698"/>
      <c r="V698"/>
      <c r="W698" t="s">
        <v>466</v>
      </c>
      <c r="X698" t="s">
        <v>944</v>
      </c>
      <c r="Y698" t="s">
        <v>467</v>
      </c>
      <c r="Z698" t="s">
        <v>65</v>
      </c>
      <c r="AA698"/>
      <c r="AB698"/>
      <c r="AC698"/>
      <c r="AD698"/>
      <c r="AE698" t="s">
        <v>981</v>
      </c>
      <c r="AF698" t="s">
        <v>67</v>
      </c>
      <c r="AG698" t="s">
        <v>68</v>
      </c>
      <c r="AH698" t="s">
        <v>69</v>
      </c>
      <c r="AI698" t="s">
        <v>160</v>
      </c>
      <c r="AJ698" t="s">
        <v>123</v>
      </c>
      <c r="AK698" t="s">
        <v>72</v>
      </c>
    </row>
    <row r="699" spans="1:37" x14ac:dyDescent="0.3">
      <c r="A699" t="s">
        <v>890</v>
      </c>
      <c r="B699" t="s">
        <v>870</v>
      </c>
      <c r="C699" s="2">
        <v>45764.926233530095</v>
      </c>
      <c r="D699" s="2">
        <v>45755.429062499999</v>
      </c>
      <c r="E699" s="2">
        <v>45760.800145439818</v>
      </c>
      <c r="F699" t="s">
        <v>871</v>
      </c>
      <c r="G699" t="s">
        <v>472</v>
      </c>
      <c r="H699">
        <v>45725</v>
      </c>
      <c r="I699">
        <v>0.8125</v>
      </c>
      <c r="J699">
        <v>45726</v>
      </c>
      <c r="K699">
        <v>0.35416666666666674</v>
      </c>
      <c r="L699">
        <v>45726</v>
      </c>
      <c r="M699">
        <v>0.37046296296296299</v>
      </c>
      <c r="N699" t="s">
        <v>902</v>
      </c>
      <c r="O699"/>
      <c r="P699"/>
      <c r="Q699" t="s">
        <v>475</v>
      </c>
      <c r="R699" t="s">
        <v>134</v>
      </c>
      <c r="S699" t="s">
        <v>899</v>
      </c>
      <c r="T699" t="s">
        <v>982</v>
      </c>
      <c r="U699"/>
      <c r="V699"/>
      <c r="W699" t="s">
        <v>477</v>
      </c>
      <c r="X699" t="s">
        <v>478</v>
      </c>
      <c r="Y699" t="s">
        <v>479</v>
      </c>
      <c r="Z699" t="s">
        <v>65</v>
      </c>
      <c r="AA699"/>
      <c r="AB699"/>
      <c r="AC699"/>
      <c r="AD699"/>
      <c r="AE699" t="s">
        <v>897</v>
      </c>
      <c r="AF699" t="s">
        <v>67</v>
      </c>
      <c r="AG699" t="s">
        <v>480</v>
      </c>
      <c r="AH699" t="s">
        <v>351</v>
      </c>
      <c r="AI699" t="s">
        <v>122</v>
      </c>
      <c r="AJ699" t="s">
        <v>71</v>
      </c>
      <c r="AK699" t="s">
        <v>72</v>
      </c>
    </row>
    <row r="700" spans="1:37" x14ac:dyDescent="0.3">
      <c r="A700" t="s">
        <v>890</v>
      </c>
      <c r="B700" t="s">
        <v>870</v>
      </c>
      <c r="C700" s="2">
        <v>45764.926233530095</v>
      </c>
      <c r="D700" s="2">
        <v>45755.429062499999</v>
      </c>
      <c r="E700" s="2">
        <v>45760.800145439818</v>
      </c>
      <c r="F700" t="s">
        <v>871</v>
      </c>
      <c r="G700" t="s">
        <v>529</v>
      </c>
      <c r="H700">
        <v>45726</v>
      </c>
      <c r="I700">
        <v>4.6527777777777779E-2</v>
      </c>
      <c r="J700">
        <v>45726</v>
      </c>
      <c r="K700">
        <v>0.16180555555555554</v>
      </c>
      <c r="L700">
        <v>45727</v>
      </c>
      <c r="M700">
        <v>0.44234953703703694</v>
      </c>
      <c r="N700" t="s">
        <v>915</v>
      </c>
      <c r="O700"/>
      <c r="P700"/>
      <c r="Q700" t="s">
        <v>532</v>
      </c>
      <c r="R700" t="s">
        <v>283</v>
      </c>
      <c r="S700" t="s">
        <v>907</v>
      </c>
      <c r="T700" t="s">
        <v>983</v>
      </c>
      <c r="U700"/>
      <c r="V700"/>
      <c r="W700"/>
      <c r="X700"/>
      <c r="Y700"/>
      <c r="Z700"/>
      <c r="AA700"/>
      <c r="AB700"/>
      <c r="AC700"/>
      <c r="AD700"/>
      <c r="AE700" t="s">
        <v>984</v>
      </c>
      <c r="AF700" t="s">
        <v>67</v>
      </c>
      <c r="AG700" t="s">
        <v>219</v>
      </c>
      <c r="AH700" t="s">
        <v>159</v>
      </c>
      <c r="AI700" t="s">
        <v>106</v>
      </c>
      <c r="AJ700" t="s">
        <v>71</v>
      </c>
      <c r="AK700" t="s">
        <v>137</v>
      </c>
    </row>
    <row r="701" spans="1:37" x14ac:dyDescent="0.3">
      <c r="A701" t="s">
        <v>890</v>
      </c>
      <c r="B701" t="s">
        <v>870</v>
      </c>
      <c r="C701" s="2">
        <v>45764.926233530095</v>
      </c>
      <c r="D701" s="2">
        <v>45755.429062499999</v>
      </c>
      <c r="E701" s="2">
        <v>45760.800145439818</v>
      </c>
      <c r="F701" t="s">
        <v>871</v>
      </c>
      <c r="G701" t="s">
        <v>516</v>
      </c>
      <c r="H701">
        <v>45727</v>
      </c>
      <c r="I701">
        <v>0.60416666666666663</v>
      </c>
      <c r="J701"/>
      <c r="K701"/>
      <c r="L701">
        <v>45727</v>
      </c>
      <c r="M701">
        <v>0.6903935185185186</v>
      </c>
      <c r="N701" t="s">
        <v>902</v>
      </c>
      <c r="O701"/>
      <c r="P701"/>
      <c r="Q701" t="s">
        <v>519</v>
      </c>
      <c r="R701" t="s">
        <v>84</v>
      </c>
      <c r="S701" t="s">
        <v>907</v>
      </c>
      <c r="T701" t="s">
        <v>985</v>
      </c>
      <c r="U701"/>
      <c r="V701"/>
      <c r="W701" t="s">
        <v>521</v>
      </c>
      <c r="X701" t="s">
        <v>986</v>
      </c>
      <c r="Y701" t="s">
        <v>523</v>
      </c>
      <c r="Z701" t="s">
        <v>65</v>
      </c>
      <c r="AA701"/>
      <c r="AB701"/>
      <c r="AC701"/>
      <c r="AD701"/>
      <c r="AE701" t="s">
        <v>927</v>
      </c>
      <c r="AF701" t="s">
        <v>67</v>
      </c>
      <c r="AG701" t="s">
        <v>158</v>
      </c>
      <c r="AH701" t="s">
        <v>159</v>
      </c>
      <c r="AI701" t="s">
        <v>524</v>
      </c>
      <c r="AJ701" t="s">
        <v>71</v>
      </c>
      <c r="AK701" t="s">
        <v>72</v>
      </c>
    </row>
    <row r="702" spans="1:37" x14ac:dyDescent="0.3">
      <c r="A702" t="s">
        <v>890</v>
      </c>
      <c r="B702" t="s">
        <v>870</v>
      </c>
      <c r="C702" s="2">
        <v>45764.926233530095</v>
      </c>
      <c r="D702" s="2">
        <v>45755.429062499999</v>
      </c>
      <c r="E702" s="2">
        <v>45760.800145439818</v>
      </c>
      <c r="F702" t="s">
        <v>871</v>
      </c>
      <c r="G702" t="s">
        <v>537</v>
      </c>
      <c r="H702"/>
      <c r="I702"/>
      <c r="J702">
        <v>45734</v>
      </c>
      <c r="K702">
        <v>0.22916666666666674</v>
      </c>
      <c r="L702">
        <v>45734</v>
      </c>
      <c r="M702">
        <v>0.27405092592592584</v>
      </c>
      <c r="N702" t="s">
        <v>440</v>
      </c>
      <c r="O702" t="s">
        <v>915</v>
      </c>
      <c r="P702"/>
      <c r="Q702" t="s">
        <v>540</v>
      </c>
      <c r="R702" t="s">
        <v>363</v>
      </c>
      <c r="S702" t="s">
        <v>893</v>
      </c>
      <c r="T702" t="s">
        <v>987</v>
      </c>
      <c r="U702"/>
      <c r="V702"/>
      <c r="W702" t="s">
        <v>988</v>
      </c>
      <c r="X702" t="s">
        <v>543</v>
      </c>
      <c r="Y702" t="s">
        <v>544</v>
      </c>
      <c r="Z702" t="s">
        <v>65</v>
      </c>
      <c r="AA702"/>
      <c r="AB702"/>
      <c r="AC702"/>
      <c r="AD702"/>
      <c r="AE702"/>
      <c r="AF702" t="s">
        <v>67</v>
      </c>
      <c r="AG702" t="s">
        <v>545</v>
      </c>
      <c r="AH702" t="s">
        <v>546</v>
      </c>
      <c r="AI702"/>
      <c r="AJ702"/>
      <c r="AK702"/>
    </row>
    <row r="703" spans="1:37" x14ac:dyDescent="0.3">
      <c r="A703" t="s">
        <v>890</v>
      </c>
      <c r="B703" t="s">
        <v>870</v>
      </c>
      <c r="C703" s="2">
        <v>45764.926233530095</v>
      </c>
      <c r="D703" s="2">
        <v>45755.429062499999</v>
      </c>
      <c r="E703" s="2">
        <v>45760.800145439818</v>
      </c>
      <c r="F703" t="s">
        <v>871</v>
      </c>
      <c r="G703" t="s">
        <v>549</v>
      </c>
      <c r="H703">
        <v>45737</v>
      </c>
      <c r="I703">
        <v>0.32500000000000001</v>
      </c>
      <c r="J703"/>
      <c r="K703"/>
      <c r="L703">
        <v>45737</v>
      </c>
      <c r="M703">
        <v>0.5971412037037036</v>
      </c>
      <c r="N703" t="s">
        <v>892</v>
      </c>
      <c r="O703"/>
      <c r="P703"/>
      <c r="Q703" t="s">
        <v>552</v>
      </c>
      <c r="R703" t="s">
        <v>261</v>
      </c>
      <c r="S703" t="s">
        <v>936</v>
      </c>
      <c r="T703" t="s">
        <v>989</v>
      </c>
      <c r="U703"/>
      <c r="V703"/>
      <c r="W703" t="s">
        <v>554</v>
      </c>
      <c r="X703" t="s">
        <v>990</v>
      </c>
      <c r="Y703"/>
      <c r="Z703" t="s">
        <v>65</v>
      </c>
      <c r="AA703"/>
      <c r="AB703"/>
      <c r="AC703"/>
      <c r="AD703"/>
      <c r="AE703" t="s">
        <v>981</v>
      </c>
      <c r="AF703" t="s">
        <v>67</v>
      </c>
      <c r="AG703" t="s">
        <v>147</v>
      </c>
      <c r="AH703" t="s">
        <v>90</v>
      </c>
      <c r="AI703" t="s">
        <v>171</v>
      </c>
      <c r="AJ703" t="s">
        <v>266</v>
      </c>
      <c r="AK703" t="s">
        <v>221</v>
      </c>
    </row>
    <row r="704" spans="1:37" x14ac:dyDescent="0.3">
      <c r="A704" t="s">
        <v>890</v>
      </c>
      <c r="B704" t="s">
        <v>870</v>
      </c>
      <c r="C704" s="2">
        <v>45764.926233530095</v>
      </c>
      <c r="D704" s="2">
        <v>45755.429062499999</v>
      </c>
      <c r="E704" s="2">
        <v>45760.800145439818</v>
      </c>
      <c r="F704" t="s">
        <v>871</v>
      </c>
      <c r="G704" t="s">
        <v>559</v>
      </c>
      <c r="H704">
        <v>45739</v>
      </c>
      <c r="I704">
        <v>0.1736111111111111</v>
      </c>
      <c r="J704">
        <v>45739</v>
      </c>
      <c r="K704">
        <v>0.18055555555555558</v>
      </c>
      <c r="L704">
        <v>45739</v>
      </c>
      <c r="M704">
        <v>0.20511574074074068</v>
      </c>
      <c r="N704" t="s">
        <v>902</v>
      </c>
      <c r="O704" t="s">
        <v>991</v>
      </c>
      <c r="P704"/>
      <c r="Q704" t="s">
        <v>564</v>
      </c>
      <c r="R704" t="s">
        <v>250</v>
      </c>
      <c r="S704" t="s">
        <v>922</v>
      </c>
      <c r="T704" t="s">
        <v>992</v>
      </c>
      <c r="U704"/>
      <c r="V704"/>
      <c r="W704" t="s">
        <v>993</v>
      </c>
      <c r="X704" t="s">
        <v>944</v>
      </c>
      <c r="Y704" t="s">
        <v>567</v>
      </c>
      <c r="Z704" t="s">
        <v>65</v>
      </c>
      <c r="AA704"/>
      <c r="AB704"/>
      <c r="AC704"/>
      <c r="AD704"/>
      <c r="AE704" t="s">
        <v>994</v>
      </c>
      <c r="AF704" t="s">
        <v>67</v>
      </c>
      <c r="AG704" t="s">
        <v>105</v>
      </c>
      <c r="AH704" t="s">
        <v>69</v>
      </c>
      <c r="AI704" t="s">
        <v>122</v>
      </c>
      <c r="AJ704" t="s">
        <v>71</v>
      </c>
      <c r="AK704" t="s">
        <v>72</v>
      </c>
    </row>
    <row r="705" spans="1:37" x14ac:dyDescent="0.3">
      <c r="A705" t="s">
        <v>890</v>
      </c>
      <c r="B705" t="s">
        <v>870</v>
      </c>
      <c r="C705" s="2">
        <v>45764.926233530095</v>
      </c>
      <c r="D705" s="2">
        <v>45755.429062499999</v>
      </c>
      <c r="E705" s="2">
        <v>45760.800145439818</v>
      </c>
      <c r="F705" t="s">
        <v>871</v>
      </c>
      <c r="G705" t="s">
        <v>678</v>
      </c>
      <c r="H705">
        <v>45741</v>
      </c>
      <c r="I705">
        <v>0.48402777777777778</v>
      </c>
      <c r="J705"/>
      <c r="K705"/>
      <c r="L705">
        <v>45741</v>
      </c>
      <c r="M705">
        <v>0.50343749999999998</v>
      </c>
      <c r="N705" t="s">
        <v>906</v>
      </c>
      <c r="O705" t="s">
        <v>930</v>
      </c>
      <c r="P705" t="s">
        <v>687</v>
      </c>
      <c r="Q705" t="s">
        <v>362</v>
      </c>
      <c r="R705" t="s">
        <v>363</v>
      </c>
      <c r="S705" t="s">
        <v>893</v>
      </c>
      <c r="T705" t="s">
        <v>995</v>
      </c>
      <c r="U705"/>
      <c r="V705"/>
      <c r="W705" t="s">
        <v>689</v>
      </c>
      <c r="X705" t="s">
        <v>986</v>
      </c>
      <c r="Y705" t="s">
        <v>690</v>
      </c>
      <c r="Z705" t="s">
        <v>65</v>
      </c>
      <c r="AA705"/>
      <c r="AB705"/>
      <c r="AC705"/>
      <c r="AD705"/>
      <c r="AE705" t="s">
        <v>996</v>
      </c>
      <c r="AF705" t="s">
        <v>67</v>
      </c>
      <c r="AG705" t="s">
        <v>647</v>
      </c>
      <c r="AH705" t="s">
        <v>351</v>
      </c>
      <c r="AI705" t="s">
        <v>160</v>
      </c>
      <c r="AJ705" t="s">
        <v>123</v>
      </c>
      <c r="AK705" t="s">
        <v>353</v>
      </c>
    </row>
    <row r="706" spans="1:37" x14ac:dyDescent="0.3">
      <c r="A706" t="s">
        <v>890</v>
      </c>
      <c r="B706" t="s">
        <v>870</v>
      </c>
      <c r="C706" s="2">
        <v>45764.926233530095</v>
      </c>
      <c r="D706" s="2">
        <v>45755.429062499999</v>
      </c>
      <c r="E706" s="2">
        <v>45760.800145439818</v>
      </c>
      <c r="F706" t="s">
        <v>871</v>
      </c>
      <c r="G706" t="s">
        <v>573</v>
      </c>
      <c r="H706">
        <v>45743</v>
      </c>
      <c r="I706">
        <v>0.94666666666666666</v>
      </c>
      <c r="J706"/>
      <c r="K706"/>
      <c r="L706">
        <v>45743</v>
      </c>
      <c r="M706">
        <v>0.94666666666666677</v>
      </c>
      <c r="N706" t="s">
        <v>950</v>
      </c>
      <c r="O706" t="s">
        <v>997</v>
      </c>
      <c r="P706" t="s">
        <v>909</v>
      </c>
      <c r="Q706" t="s">
        <v>577</v>
      </c>
      <c r="R706" t="s">
        <v>261</v>
      </c>
      <c r="S706" t="s">
        <v>936</v>
      </c>
      <c r="T706" t="s">
        <v>998</v>
      </c>
      <c r="U706"/>
      <c r="V706"/>
      <c r="W706"/>
      <c r="X706"/>
      <c r="Y706"/>
      <c r="Z706"/>
      <c r="AA706"/>
      <c r="AB706"/>
      <c r="AC706"/>
      <c r="AD706"/>
      <c r="AE706" t="s">
        <v>927</v>
      </c>
      <c r="AF706" t="s">
        <v>67</v>
      </c>
      <c r="AG706" t="s">
        <v>579</v>
      </c>
      <c r="AH706" t="s">
        <v>121</v>
      </c>
      <c r="AI706" t="s">
        <v>378</v>
      </c>
      <c r="AJ706" t="s">
        <v>435</v>
      </c>
      <c r="AK706" t="s">
        <v>137</v>
      </c>
    </row>
    <row r="707" spans="1:37" x14ac:dyDescent="0.3">
      <c r="A707" t="s">
        <v>890</v>
      </c>
      <c r="B707" t="s">
        <v>870</v>
      </c>
      <c r="C707" s="2">
        <v>45764.926233530095</v>
      </c>
      <c r="D707" s="2">
        <v>45755.429062499999</v>
      </c>
      <c r="E707" s="2">
        <v>45760.800145439818</v>
      </c>
      <c r="F707" t="s">
        <v>871</v>
      </c>
      <c r="G707" t="s">
        <v>582</v>
      </c>
      <c r="H707">
        <v>45743</v>
      </c>
      <c r="I707">
        <v>0.97916666666666663</v>
      </c>
      <c r="J707">
        <v>45744</v>
      </c>
      <c r="K707">
        <v>2.4999999999999911E-2</v>
      </c>
      <c r="L707">
        <v>45744</v>
      </c>
      <c r="M707">
        <v>0.46781249999999996</v>
      </c>
      <c r="N707" t="s">
        <v>915</v>
      </c>
      <c r="O707"/>
      <c r="P707"/>
      <c r="Q707" t="s">
        <v>584</v>
      </c>
      <c r="R707" t="s">
        <v>283</v>
      </c>
      <c r="S707" t="s">
        <v>907</v>
      </c>
      <c r="T707" t="s">
        <v>999</v>
      </c>
      <c r="U707">
        <v>50300</v>
      </c>
      <c r="V707"/>
      <c r="W707"/>
      <c r="X707"/>
      <c r="Y707"/>
      <c r="Z707"/>
      <c r="AA707"/>
      <c r="AB707"/>
      <c r="AC707"/>
      <c r="AD707"/>
      <c r="AE707" t="s">
        <v>1000</v>
      </c>
      <c r="AF707" t="s">
        <v>67</v>
      </c>
      <c r="AG707" t="s">
        <v>480</v>
      </c>
      <c r="AH707" t="s">
        <v>351</v>
      </c>
      <c r="AI707" t="s">
        <v>586</v>
      </c>
      <c r="AJ707" t="s">
        <v>123</v>
      </c>
      <c r="AK707" t="s">
        <v>137</v>
      </c>
    </row>
    <row r="708" spans="1:37" x14ac:dyDescent="0.3">
      <c r="A708" t="s">
        <v>890</v>
      </c>
      <c r="B708" t="s">
        <v>870</v>
      </c>
      <c r="C708" s="2">
        <v>45764.926233530095</v>
      </c>
      <c r="D708" s="2">
        <v>45755.429062499999</v>
      </c>
      <c r="E708" s="2">
        <v>45760.800145439818</v>
      </c>
      <c r="F708" t="s">
        <v>871</v>
      </c>
      <c r="G708" t="s">
        <v>694</v>
      </c>
      <c r="H708">
        <v>45745</v>
      </c>
      <c r="I708">
        <v>0.20515046296296297</v>
      </c>
      <c r="J708"/>
      <c r="K708"/>
      <c r="L708">
        <v>45745</v>
      </c>
      <c r="M708">
        <v>0.20931712962962967</v>
      </c>
      <c r="N708" t="s">
        <v>176</v>
      </c>
      <c r="O708" t="s">
        <v>1001</v>
      </c>
      <c r="P708"/>
      <c r="Q708" t="s">
        <v>699</v>
      </c>
      <c r="R708" t="s">
        <v>273</v>
      </c>
      <c r="S708" t="s">
        <v>936</v>
      </c>
      <c r="T708" t="s">
        <v>1002</v>
      </c>
      <c r="U708"/>
      <c r="V708"/>
      <c r="W708" t="s">
        <v>701</v>
      </c>
      <c r="X708" t="s">
        <v>1003</v>
      </c>
      <c r="Y708" t="s">
        <v>635</v>
      </c>
      <c r="Z708" t="s">
        <v>65</v>
      </c>
      <c r="AA708"/>
      <c r="AB708"/>
      <c r="AC708"/>
      <c r="AD708"/>
      <c r="AE708" t="s">
        <v>994</v>
      </c>
      <c r="AF708" t="s">
        <v>67</v>
      </c>
      <c r="AG708" t="s">
        <v>579</v>
      </c>
      <c r="AH708" t="s">
        <v>121</v>
      </c>
      <c r="AI708" t="s">
        <v>524</v>
      </c>
      <c r="AJ708" t="s">
        <v>123</v>
      </c>
      <c r="AK708"/>
    </row>
    <row r="709" spans="1:37" x14ac:dyDescent="0.3">
      <c r="A709" t="s">
        <v>890</v>
      </c>
      <c r="B709" t="s">
        <v>870</v>
      </c>
      <c r="C709" s="2">
        <v>45764.926233530095</v>
      </c>
      <c r="D709" s="2">
        <v>45755.429062499999</v>
      </c>
      <c r="E709" s="2">
        <v>45760.800145439818</v>
      </c>
      <c r="F709" t="s">
        <v>871</v>
      </c>
      <c r="G709" t="s">
        <v>628</v>
      </c>
      <c r="H709">
        <v>45744</v>
      </c>
      <c r="I709">
        <v>0.85416666666666663</v>
      </c>
      <c r="J709">
        <v>45745</v>
      </c>
      <c r="K709">
        <v>0.41666666666666674</v>
      </c>
      <c r="L709">
        <v>45745</v>
      </c>
      <c r="M709">
        <v>0.42986111111111103</v>
      </c>
      <c r="N709" t="s">
        <v>892</v>
      </c>
      <c r="O709"/>
      <c r="P709"/>
      <c r="Q709" t="s">
        <v>631</v>
      </c>
      <c r="R709" t="s">
        <v>426</v>
      </c>
      <c r="S709" t="s">
        <v>907</v>
      </c>
      <c r="T709" t="s">
        <v>1004</v>
      </c>
      <c r="U709"/>
      <c r="V709"/>
      <c r="W709" t="s">
        <v>633</v>
      </c>
      <c r="X709" t="s">
        <v>1003</v>
      </c>
      <c r="Y709" t="s">
        <v>635</v>
      </c>
      <c r="Z709" t="s">
        <v>65</v>
      </c>
      <c r="AA709"/>
      <c r="AB709"/>
      <c r="AC709"/>
      <c r="AD709"/>
      <c r="AE709" t="s">
        <v>994</v>
      </c>
      <c r="AF709" t="s">
        <v>67</v>
      </c>
      <c r="AG709" t="s">
        <v>636</v>
      </c>
      <c r="AH709" t="s">
        <v>637</v>
      </c>
      <c r="AI709" t="s">
        <v>160</v>
      </c>
      <c r="AJ709" t="s">
        <v>123</v>
      </c>
      <c r="AK709" t="s">
        <v>221</v>
      </c>
    </row>
    <row r="710" spans="1:37" x14ac:dyDescent="0.3">
      <c r="A710" t="s">
        <v>890</v>
      </c>
      <c r="B710" t="s">
        <v>870</v>
      </c>
      <c r="C710" s="2">
        <v>45764.926233530095</v>
      </c>
      <c r="D710" s="2">
        <v>45755.429062499999</v>
      </c>
      <c r="E710" s="2">
        <v>45760.800145439818</v>
      </c>
      <c r="F710" t="s">
        <v>871</v>
      </c>
      <c r="G710" t="s">
        <v>589</v>
      </c>
      <c r="H710">
        <v>45747</v>
      </c>
      <c r="I710">
        <v>0.5</v>
      </c>
      <c r="J710"/>
      <c r="K710"/>
      <c r="L710">
        <v>45747</v>
      </c>
      <c r="M710">
        <v>0.54355324074074085</v>
      </c>
      <c r="N710" t="s">
        <v>915</v>
      </c>
      <c r="O710"/>
      <c r="P710"/>
      <c r="Q710" t="s">
        <v>591</v>
      </c>
      <c r="R710" t="s">
        <v>592</v>
      </c>
      <c r="S710" t="s">
        <v>899</v>
      </c>
      <c r="T710" t="s">
        <v>1005</v>
      </c>
      <c r="U710"/>
      <c r="V710"/>
      <c r="W710"/>
      <c r="X710"/>
      <c r="Y710"/>
      <c r="Z710"/>
      <c r="AA710"/>
      <c r="AB710"/>
      <c r="AC710"/>
      <c r="AD710"/>
      <c r="AE710" t="s">
        <v>994</v>
      </c>
      <c r="AF710" t="s">
        <v>67</v>
      </c>
      <c r="AG710" t="s">
        <v>594</v>
      </c>
      <c r="AH710" t="s">
        <v>90</v>
      </c>
      <c r="AI710" t="s">
        <v>180</v>
      </c>
      <c r="AJ710" t="s">
        <v>92</v>
      </c>
      <c r="AK710" t="s">
        <v>137</v>
      </c>
    </row>
    <row r="711" spans="1:37" x14ac:dyDescent="0.3">
      <c r="A711" t="s">
        <v>890</v>
      </c>
      <c r="B711" t="s">
        <v>870</v>
      </c>
      <c r="C711" s="2">
        <v>45764.926233530095</v>
      </c>
      <c r="D711" s="2">
        <v>45755.429062499999</v>
      </c>
      <c r="E711" s="2">
        <v>45760.800145439818</v>
      </c>
      <c r="F711" t="s">
        <v>871</v>
      </c>
      <c r="G711" t="s">
        <v>705</v>
      </c>
      <c r="H711">
        <v>45747</v>
      </c>
      <c r="I711">
        <v>0.77777777777777779</v>
      </c>
      <c r="J711">
        <v>45747</v>
      </c>
      <c r="K711">
        <v>0.91666666666666674</v>
      </c>
      <c r="L711">
        <v>45747</v>
      </c>
      <c r="M711">
        <v>0.93032407407407414</v>
      </c>
      <c r="N711" t="s">
        <v>902</v>
      </c>
      <c r="O711" t="s">
        <v>930</v>
      </c>
      <c r="P711" t="s">
        <v>1006</v>
      </c>
      <c r="Q711" t="s">
        <v>709</v>
      </c>
      <c r="R711" t="s">
        <v>134</v>
      </c>
      <c r="S711" t="s">
        <v>899</v>
      </c>
      <c r="T711" t="s">
        <v>1007</v>
      </c>
      <c r="U711"/>
      <c r="V711"/>
      <c r="W711" t="s">
        <v>711</v>
      </c>
      <c r="X711" t="s">
        <v>1008</v>
      </c>
      <c r="Y711" t="s">
        <v>713</v>
      </c>
      <c r="Z711" t="s">
        <v>65</v>
      </c>
      <c r="AA711"/>
      <c r="AB711"/>
      <c r="AC711"/>
      <c r="AD711"/>
      <c r="AE711" t="s">
        <v>981</v>
      </c>
      <c r="AF711" t="s">
        <v>67</v>
      </c>
      <c r="AG711" t="s">
        <v>714</v>
      </c>
      <c r="AH711" t="s">
        <v>90</v>
      </c>
      <c r="AI711" t="s">
        <v>160</v>
      </c>
      <c r="AJ711" t="s">
        <v>123</v>
      </c>
      <c r="AK711" t="s">
        <v>613</v>
      </c>
    </row>
    <row r="712" spans="1:37" x14ac:dyDescent="0.3">
      <c r="A712" t="s">
        <v>890</v>
      </c>
      <c r="B712" t="s">
        <v>870</v>
      </c>
      <c r="C712" s="2">
        <v>45764.926233530095</v>
      </c>
      <c r="D712" s="2">
        <v>45755.429062499999</v>
      </c>
      <c r="E712" s="2">
        <v>45760.800145439818</v>
      </c>
      <c r="F712" t="s">
        <v>871</v>
      </c>
      <c r="G712" t="s">
        <v>605</v>
      </c>
      <c r="H712">
        <v>45747</v>
      </c>
      <c r="I712">
        <v>0.75</v>
      </c>
      <c r="J712"/>
      <c r="K712"/>
      <c r="L712">
        <v>45748</v>
      </c>
      <c r="M712">
        <v>3.6863425925925952E-2</v>
      </c>
      <c r="N712" t="s">
        <v>902</v>
      </c>
      <c r="O712"/>
      <c r="P712"/>
      <c r="Q712" t="s">
        <v>607</v>
      </c>
      <c r="R712" t="s">
        <v>215</v>
      </c>
      <c r="S712"/>
      <c r="T712" t="s">
        <v>1009</v>
      </c>
      <c r="U712">
        <v>2</v>
      </c>
      <c r="V712">
        <v>0</v>
      </c>
      <c r="W712" t="s">
        <v>1010</v>
      </c>
      <c r="X712" t="s">
        <v>924</v>
      </c>
      <c r="Y712" t="s">
        <v>1011</v>
      </c>
      <c r="Z712" t="s">
        <v>935</v>
      </c>
      <c r="AA712"/>
      <c r="AB712"/>
      <c r="AC712"/>
      <c r="AD712"/>
      <c r="AE712" t="s">
        <v>981</v>
      </c>
      <c r="AF712" t="s">
        <v>67</v>
      </c>
      <c r="AG712" t="s">
        <v>611</v>
      </c>
      <c r="AH712" t="s">
        <v>612</v>
      </c>
      <c r="AI712" t="s">
        <v>160</v>
      </c>
      <c r="AJ712" t="s">
        <v>195</v>
      </c>
      <c r="AK712" t="s">
        <v>613</v>
      </c>
    </row>
    <row r="713" spans="1:37" x14ac:dyDescent="0.3">
      <c r="A713" t="s">
        <v>890</v>
      </c>
      <c r="B713" t="s">
        <v>870</v>
      </c>
      <c r="C713" s="2">
        <v>45764.926233530095</v>
      </c>
      <c r="D713" s="2">
        <v>45755.429062499999</v>
      </c>
      <c r="E713" s="2">
        <v>45760.800145439818</v>
      </c>
      <c r="F713" t="s">
        <v>871</v>
      </c>
      <c r="G713" t="s">
        <v>615</v>
      </c>
      <c r="H713">
        <v>45747</v>
      </c>
      <c r="I713">
        <v>0.83333333333333337</v>
      </c>
      <c r="J713"/>
      <c r="K713"/>
      <c r="L713">
        <v>45747</v>
      </c>
      <c r="M713">
        <v>0.99899305555555551</v>
      </c>
      <c r="N713" t="s">
        <v>902</v>
      </c>
      <c r="O713"/>
      <c r="P713"/>
      <c r="Q713" t="s">
        <v>607</v>
      </c>
      <c r="R713" t="s">
        <v>215</v>
      </c>
      <c r="S713" t="s">
        <v>893</v>
      </c>
      <c r="T713" t="s">
        <v>1012</v>
      </c>
      <c r="U713">
        <v>5</v>
      </c>
      <c r="V713">
        <v>0</v>
      </c>
      <c r="W713" t="s">
        <v>1013</v>
      </c>
      <c r="X713" t="s">
        <v>924</v>
      </c>
      <c r="Y713" t="s">
        <v>618</v>
      </c>
      <c r="Z713" t="s">
        <v>65</v>
      </c>
      <c r="AA713"/>
      <c r="AB713"/>
      <c r="AC713"/>
      <c r="AD713"/>
      <c r="AE713" t="s">
        <v>981</v>
      </c>
      <c r="AF713" t="s">
        <v>67</v>
      </c>
      <c r="AG713" t="s">
        <v>611</v>
      </c>
      <c r="AH713" t="s">
        <v>612</v>
      </c>
      <c r="AI713" t="s">
        <v>160</v>
      </c>
      <c r="AJ713" t="s">
        <v>195</v>
      </c>
      <c r="AK713" t="s">
        <v>613</v>
      </c>
    </row>
    <row r="714" spans="1:37" x14ac:dyDescent="0.3">
      <c r="A714" t="s">
        <v>890</v>
      </c>
      <c r="B714" t="s">
        <v>870</v>
      </c>
      <c r="C714" s="2">
        <v>45764.926233530095</v>
      </c>
      <c r="D714" s="2">
        <v>45755.429062499999</v>
      </c>
      <c r="E714" s="2">
        <v>45760.800145439818</v>
      </c>
      <c r="F714" t="s">
        <v>871</v>
      </c>
      <c r="G714" t="s">
        <v>620</v>
      </c>
      <c r="H714">
        <v>45748</v>
      </c>
      <c r="I714">
        <v>0.85324074074074074</v>
      </c>
      <c r="J714"/>
      <c r="K714"/>
      <c r="L714">
        <v>45748</v>
      </c>
      <c r="M714">
        <v>0.85324074074074074</v>
      </c>
      <c r="N714" t="s">
        <v>902</v>
      </c>
      <c r="O714"/>
      <c r="P714"/>
      <c r="Q714" t="s">
        <v>622</v>
      </c>
      <c r="R714" t="s">
        <v>327</v>
      </c>
      <c r="S714" t="s">
        <v>899</v>
      </c>
      <c r="T714" t="s">
        <v>1014</v>
      </c>
      <c r="U714"/>
      <c r="V714"/>
      <c r="W714" t="s">
        <v>624</v>
      </c>
      <c r="X714" t="s">
        <v>1015</v>
      </c>
      <c r="Y714" t="s">
        <v>626</v>
      </c>
      <c r="Z714" t="s">
        <v>65</v>
      </c>
      <c r="AA714"/>
      <c r="AB714"/>
      <c r="AC714"/>
      <c r="AD714"/>
      <c r="AE714" t="s">
        <v>904</v>
      </c>
      <c r="AF714" t="s">
        <v>67</v>
      </c>
      <c r="AG714" t="s">
        <v>330</v>
      </c>
      <c r="AH714" t="s">
        <v>69</v>
      </c>
      <c r="AI714" t="s">
        <v>160</v>
      </c>
      <c r="AJ714" t="s">
        <v>71</v>
      </c>
      <c r="AK714" t="s">
        <v>72</v>
      </c>
    </row>
    <row r="715" spans="1:37" x14ac:dyDescent="0.3">
      <c r="A715" t="s">
        <v>890</v>
      </c>
      <c r="B715" t="s">
        <v>870</v>
      </c>
      <c r="C715" s="2">
        <v>45764.926233530095</v>
      </c>
      <c r="D715" s="2">
        <v>45755.429062499999</v>
      </c>
      <c r="E715" s="2">
        <v>45760.800145439818</v>
      </c>
      <c r="F715" t="s">
        <v>871</v>
      </c>
      <c r="G715" t="s">
        <v>640</v>
      </c>
      <c r="H715">
        <v>45749</v>
      </c>
      <c r="I715">
        <v>0.89930555555555558</v>
      </c>
      <c r="J715"/>
      <c r="K715"/>
      <c r="L715">
        <v>45749</v>
      </c>
      <c r="M715">
        <v>0.90325231481481483</v>
      </c>
      <c r="N715" t="s">
        <v>644</v>
      </c>
      <c r="O715" t="s">
        <v>925</v>
      </c>
      <c r="P715" t="s">
        <v>400</v>
      </c>
      <c r="Q715" t="s">
        <v>645</v>
      </c>
      <c r="R715" t="s">
        <v>101</v>
      </c>
      <c r="S715" t="s">
        <v>907</v>
      </c>
      <c r="T715" t="s">
        <v>1016</v>
      </c>
      <c r="U715"/>
      <c r="V715"/>
      <c r="W715"/>
      <c r="X715"/>
      <c r="Y715"/>
      <c r="Z715"/>
      <c r="AA715"/>
      <c r="AB715"/>
      <c r="AC715"/>
      <c r="AD715"/>
      <c r="AE715" t="s">
        <v>1000</v>
      </c>
      <c r="AF715" t="s">
        <v>67</v>
      </c>
      <c r="AG715" t="s">
        <v>647</v>
      </c>
      <c r="AH715" t="s">
        <v>351</v>
      </c>
      <c r="AI715" t="s">
        <v>352</v>
      </c>
      <c r="AJ715" t="s">
        <v>418</v>
      </c>
      <c r="AK715"/>
    </row>
    <row r="716" spans="1:37" x14ac:dyDescent="0.3">
      <c r="A716" t="s">
        <v>890</v>
      </c>
      <c r="B716" t="s">
        <v>870</v>
      </c>
      <c r="C716" s="2">
        <v>45764.926233530095</v>
      </c>
      <c r="D716" s="2">
        <v>45755.429062499999</v>
      </c>
      <c r="E716" s="2">
        <v>45760.800145439818</v>
      </c>
      <c r="F716" t="s">
        <v>871</v>
      </c>
      <c r="G716" t="s">
        <v>597</v>
      </c>
      <c r="H716">
        <v>45748</v>
      </c>
      <c r="I716">
        <v>0.5</v>
      </c>
      <c r="J716">
        <v>45751</v>
      </c>
      <c r="K716">
        <v>0.52083333333333326</v>
      </c>
      <c r="L716">
        <v>45751</v>
      </c>
      <c r="M716">
        <v>0.54546296296296304</v>
      </c>
      <c r="N716" t="s">
        <v>915</v>
      </c>
      <c r="O716"/>
      <c r="P716"/>
      <c r="Q716" t="s">
        <v>601</v>
      </c>
      <c r="R716" t="s">
        <v>145</v>
      </c>
      <c r="S716" t="s">
        <v>922</v>
      </c>
      <c r="T716" t="s">
        <v>1017</v>
      </c>
      <c r="U716"/>
      <c r="V716"/>
      <c r="W716"/>
      <c r="X716"/>
      <c r="Y716"/>
      <c r="Z716"/>
      <c r="AA716"/>
      <c r="AB716"/>
      <c r="AC716"/>
      <c r="AD716"/>
      <c r="AE716" t="s">
        <v>897</v>
      </c>
      <c r="AF716" t="s">
        <v>67</v>
      </c>
      <c r="AG716" t="s">
        <v>603</v>
      </c>
      <c r="AH716" t="s">
        <v>206</v>
      </c>
      <c r="AI716" t="s">
        <v>524</v>
      </c>
      <c r="AJ716" t="s">
        <v>123</v>
      </c>
      <c r="AK716"/>
    </row>
    <row r="717" spans="1:37" x14ac:dyDescent="0.3">
      <c r="A717" t="s">
        <v>890</v>
      </c>
      <c r="B717" t="s">
        <v>870</v>
      </c>
      <c r="C717" s="2">
        <v>45764.926233530095</v>
      </c>
      <c r="D717" s="2">
        <v>45755.429062499999</v>
      </c>
      <c r="E717" s="2">
        <v>45760.800145439818</v>
      </c>
      <c r="F717" t="s">
        <v>871</v>
      </c>
      <c r="G717" t="s">
        <v>717</v>
      </c>
      <c r="H717">
        <v>45755</v>
      </c>
      <c r="I717">
        <v>3.2638888888888891E-2</v>
      </c>
      <c r="J717"/>
      <c r="K717"/>
      <c r="L717">
        <v>45755</v>
      </c>
      <c r="M717">
        <v>3.6493055555555598E-2</v>
      </c>
      <c r="N717" t="s">
        <v>902</v>
      </c>
      <c r="O717" t="s">
        <v>361</v>
      </c>
      <c r="P717" t="s">
        <v>721</v>
      </c>
      <c r="Q717" t="s">
        <v>722</v>
      </c>
      <c r="R717" t="s">
        <v>592</v>
      </c>
      <c r="S717" t="s">
        <v>899</v>
      </c>
      <c r="T717" t="s">
        <v>1018</v>
      </c>
      <c r="U717"/>
      <c r="V717"/>
      <c r="W717" t="s">
        <v>1019</v>
      </c>
      <c r="X717" t="s">
        <v>500</v>
      </c>
      <c r="Y717" t="s">
        <v>725</v>
      </c>
      <c r="Z717" t="s">
        <v>65</v>
      </c>
      <c r="AA717"/>
      <c r="AB717"/>
      <c r="AC717"/>
      <c r="AD717"/>
      <c r="AE717" t="s">
        <v>1020</v>
      </c>
      <c r="AF717" t="s">
        <v>67</v>
      </c>
      <c r="AG717" t="s">
        <v>89</v>
      </c>
      <c r="AH717" t="s">
        <v>90</v>
      </c>
      <c r="AI717"/>
      <c r="AJ717"/>
      <c r="AK717"/>
    </row>
  </sheetData>
  <phoneticPr fontId="12" type="noConversion"/>
  <pageMargins left="0.7" right="0.7" top="0.75" bottom="0.75" header="0.3" footer="0.3"/>
  <pageSetup orientation="portrait" horizontalDpi="1200" verticalDpi="1200"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B9E3C-3CB3-4500-8AA0-26E5D0E1A8C0}">
  <dimension ref="A1:G53"/>
  <sheetViews>
    <sheetView workbookViewId="0">
      <selection activeCell="F15" sqref="F15"/>
    </sheetView>
  </sheetViews>
  <sheetFormatPr defaultRowHeight="14.4" x14ac:dyDescent="0.3"/>
  <cols>
    <col min="1" max="1" width="18.21875" bestFit="1" customWidth="1"/>
    <col min="2" max="2" width="13.44140625" bestFit="1" customWidth="1"/>
    <col min="3" max="3" width="12.6640625" bestFit="1" customWidth="1"/>
    <col min="4" max="4" width="14.44140625" bestFit="1" customWidth="1"/>
    <col min="5" max="5" width="13.6640625" bestFit="1" customWidth="1"/>
    <col min="6" max="6" width="14.88671875" bestFit="1" customWidth="1"/>
  </cols>
  <sheetData>
    <row r="1" spans="1:7" x14ac:dyDescent="0.3">
      <c r="A1" t="s">
        <v>755</v>
      </c>
      <c r="B1" t="s">
        <v>756</v>
      </c>
      <c r="C1" t="s">
        <v>757</v>
      </c>
      <c r="D1" t="s">
        <v>758</v>
      </c>
      <c r="E1" t="s">
        <v>759</v>
      </c>
      <c r="F1" t="s">
        <v>760</v>
      </c>
      <c r="G1" t="s">
        <v>761</v>
      </c>
    </row>
    <row r="2" spans="1:7" x14ac:dyDescent="0.3">
      <c r="A2" s="1">
        <v>45664</v>
      </c>
      <c r="B2" s="1">
        <v>45657</v>
      </c>
      <c r="C2" s="1">
        <v>45663</v>
      </c>
      <c r="D2" s="1">
        <v>45636</v>
      </c>
      <c r="E2" s="1">
        <v>45663</v>
      </c>
      <c r="F2" t="s">
        <v>514</v>
      </c>
      <c r="G2" t="b">
        <v>0</v>
      </c>
    </row>
    <row r="3" spans="1:7" x14ac:dyDescent="0.3">
      <c r="A3" s="1">
        <v>45671</v>
      </c>
      <c r="B3" s="1">
        <v>45664</v>
      </c>
      <c r="C3" s="1">
        <v>45670</v>
      </c>
      <c r="D3" s="1">
        <v>45643</v>
      </c>
      <c r="E3" s="1">
        <v>45670</v>
      </c>
      <c r="F3" t="s">
        <v>513</v>
      </c>
      <c r="G3" t="b">
        <v>0</v>
      </c>
    </row>
    <row r="4" spans="1:7" x14ac:dyDescent="0.3">
      <c r="A4" s="1">
        <v>45678</v>
      </c>
      <c r="B4" s="1">
        <v>45671</v>
      </c>
      <c r="C4" s="1">
        <v>45677</v>
      </c>
      <c r="D4" s="1">
        <v>45650</v>
      </c>
      <c r="E4" s="1">
        <v>45677</v>
      </c>
      <c r="F4" t="s">
        <v>512</v>
      </c>
      <c r="G4" t="b">
        <v>0</v>
      </c>
    </row>
    <row r="5" spans="1:7" x14ac:dyDescent="0.3">
      <c r="A5" s="1">
        <v>45685</v>
      </c>
      <c r="B5" s="1">
        <v>45678</v>
      </c>
      <c r="C5" s="1">
        <v>45684</v>
      </c>
      <c r="D5" s="1">
        <v>45657</v>
      </c>
      <c r="E5" s="1">
        <v>45684</v>
      </c>
      <c r="F5" t="s">
        <v>511</v>
      </c>
      <c r="G5" t="b">
        <v>0</v>
      </c>
    </row>
    <row r="6" spans="1:7" x14ac:dyDescent="0.3">
      <c r="A6" s="1">
        <v>45692</v>
      </c>
      <c r="B6" s="1">
        <v>45685</v>
      </c>
      <c r="C6" s="1">
        <v>45691</v>
      </c>
      <c r="D6" s="1">
        <v>45664</v>
      </c>
      <c r="E6" s="1">
        <v>45691</v>
      </c>
      <c r="F6" t="s">
        <v>510</v>
      </c>
      <c r="G6" t="b">
        <v>0</v>
      </c>
    </row>
    <row r="7" spans="1:7" x14ac:dyDescent="0.3">
      <c r="A7" s="1">
        <v>45699</v>
      </c>
      <c r="B7" s="1">
        <v>45692</v>
      </c>
      <c r="C7" s="1">
        <v>45698</v>
      </c>
      <c r="D7" s="1">
        <v>45671</v>
      </c>
      <c r="E7" s="1">
        <v>45698</v>
      </c>
      <c r="F7" t="s">
        <v>509</v>
      </c>
      <c r="G7" t="b">
        <v>0</v>
      </c>
    </row>
    <row r="8" spans="1:7" x14ac:dyDescent="0.3">
      <c r="A8" s="1">
        <v>45706</v>
      </c>
      <c r="B8" s="1">
        <v>45699</v>
      </c>
      <c r="C8" s="1">
        <v>45705</v>
      </c>
      <c r="D8" s="1">
        <v>45678</v>
      </c>
      <c r="E8" s="1">
        <v>45705</v>
      </c>
      <c r="F8" t="s">
        <v>508</v>
      </c>
      <c r="G8" t="b">
        <v>0</v>
      </c>
    </row>
    <row r="9" spans="1:7" x14ac:dyDescent="0.3">
      <c r="A9" s="1">
        <v>45713</v>
      </c>
      <c r="B9" s="1">
        <v>45706</v>
      </c>
      <c r="C9" s="1">
        <v>45712</v>
      </c>
      <c r="D9" s="1">
        <v>45685</v>
      </c>
      <c r="E9" s="1">
        <v>45712</v>
      </c>
      <c r="F9" t="s">
        <v>507</v>
      </c>
      <c r="G9" t="b">
        <v>0</v>
      </c>
    </row>
    <row r="10" spans="1:7" x14ac:dyDescent="0.3">
      <c r="A10" s="1">
        <v>45720</v>
      </c>
      <c r="B10" s="1">
        <v>45713</v>
      </c>
      <c r="C10" s="1">
        <v>45719</v>
      </c>
      <c r="D10" s="1">
        <v>45692</v>
      </c>
      <c r="E10" s="1">
        <v>45719</v>
      </c>
      <c r="F10" t="s">
        <v>506</v>
      </c>
      <c r="G10" t="b">
        <v>0</v>
      </c>
    </row>
    <row r="11" spans="1:7" x14ac:dyDescent="0.3">
      <c r="A11" s="1">
        <v>45727</v>
      </c>
      <c r="B11" s="1">
        <v>45720</v>
      </c>
      <c r="C11" s="1">
        <v>45726</v>
      </c>
      <c r="D11" s="1">
        <v>45699</v>
      </c>
      <c r="E11" s="1">
        <v>45726</v>
      </c>
      <c r="F11" t="s">
        <v>505</v>
      </c>
      <c r="G11" t="b">
        <v>0</v>
      </c>
    </row>
    <row r="12" spans="1:7" x14ac:dyDescent="0.3">
      <c r="A12" s="1">
        <v>45734</v>
      </c>
      <c r="B12" s="1">
        <v>45727</v>
      </c>
      <c r="C12" s="1">
        <v>45733</v>
      </c>
      <c r="D12" s="1">
        <v>45706</v>
      </c>
      <c r="E12" s="1">
        <v>45733</v>
      </c>
      <c r="F12" t="s">
        <v>528</v>
      </c>
      <c r="G12" t="b">
        <v>0</v>
      </c>
    </row>
    <row r="13" spans="1:7" x14ac:dyDescent="0.3">
      <c r="A13" s="1">
        <v>45741</v>
      </c>
      <c r="B13" s="1">
        <v>45734</v>
      </c>
      <c r="C13" s="1">
        <v>45740</v>
      </c>
      <c r="D13" s="1">
        <v>45713</v>
      </c>
      <c r="E13" s="1">
        <v>45740</v>
      </c>
      <c r="F13" t="s">
        <v>548</v>
      </c>
      <c r="G13" t="b">
        <v>0</v>
      </c>
    </row>
    <row r="14" spans="1:7" x14ac:dyDescent="0.3">
      <c r="A14" s="1">
        <v>45748</v>
      </c>
      <c r="B14" s="1">
        <v>45741</v>
      </c>
      <c r="C14" s="1">
        <v>45747</v>
      </c>
      <c r="D14" s="1">
        <v>45720</v>
      </c>
      <c r="E14" s="1">
        <v>45747</v>
      </c>
      <c r="F14" t="s">
        <v>581</v>
      </c>
      <c r="G14" t="b">
        <v>0</v>
      </c>
    </row>
    <row r="15" spans="1:7" x14ac:dyDescent="0.3">
      <c r="A15" s="1">
        <v>45755</v>
      </c>
      <c r="B15" s="1">
        <v>45748</v>
      </c>
      <c r="C15" s="1">
        <v>45754</v>
      </c>
      <c r="D15" s="1">
        <v>45727</v>
      </c>
      <c r="E15" s="1">
        <v>45754</v>
      </c>
      <c r="F15" t="s">
        <v>604</v>
      </c>
      <c r="G15" t="b">
        <v>0</v>
      </c>
    </row>
    <row r="16" spans="1:7" x14ac:dyDescent="0.3">
      <c r="A16" s="1">
        <v>45762</v>
      </c>
      <c r="B16" s="1">
        <v>45755</v>
      </c>
      <c r="C16" s="1">
        <v>45761</v>
      </c>
      <c r="D16" s="1">
        <v>45734</v>
      </c>
      <c r="E16" s="1">
        <v>45761</v>
      </c>
      <c r="F16" t="s">
        <v>730</v>
      </c>
      <c r="G16" t="b">
        <v>0</v>
      </c>
    </row>
    <row r="17" spans="1:7" x14ac:dyDescent="0.3">
      <c r="A17" s="1">
        <v>45769</v>
      </c>
      <c r="B17" s="1">
        <v>45762</v>
      </c>
      <c r="C17" s="1">
        <v>45768</v>
      </c>
      <c r="D17" s="1">
        <v>45741</v>
      </c>
      <c r="E17" s="1">
        <v>45768</v>
      </c>
      <c r="F17" t="s">
        <v>762</v>
      </c>
      <c r="G17" t="b">
        <v>1</v>
      </c>
    </row>
    <row r="18" spans="1:7" x14ac:dyDescent="0.3">
      <c r="A18" s="1">
        <v>45776</v>
      </c>
      <c r="B18" s="1">
        <v>45769</v>
      </c>
      <c r="C18" s="1">
        <v>45775</v>
      </c>
      <c r="D18" s="1">
        <v>45748</v>
      </c>
      <c r="E18" s="1">
        <v>45775</v>
      </c>
      <c r="F18" t="s">
        <v>763</v>
      </c>
      <c r="G18" t="b">
        <v>0</v>
      </c>
    </row>
    <row r="19" spans="1:7" x14ac:dyDescent="0.3">
      <c r="A19" s="1">
        <v>45783</v>
      </c>
      <c r="B19" s="1">
        <v>45776</v>
      </c>
      <c r="C19" s="1">
        <v>45782</v>
      </c>
      <c r="D19" s="1">
        <v>45755</v>
      </c>
      <c r="E19" s="1">
        <v>45782</v>
      </c>
      <c r="F19" t="s">
        <v>764</v>
      </c>
      <c r="G19" t="b">
        <v>0</v>
      </c>
    </row>
    <row r="20" spans="1:7" x14ac:dyDescent="0.3">
      <c r="A20" s="1">
        <v>45790</v>
      </c>
      <c r="B20" s="1">
        <v>45783</v>
      </c>
      <c r="C20" s="1">
        <v>45789</v>
      </c>
      <c r="D20" s="1">
        <v>45762</v>
      </c>
      <c r="E20" s="1">
        <v>45789</v>
      </c>
      <c r="F20" t="s">
        <v>765</v>
      </c>
      <c r="G20" t="b">
        <v>0</v>
      </c>
    </row>
    <row r="21" spans="1:7" x14ac:dyDescent="0.3">
      <c r="A21" s="1">
        <v>45797</v>
      </c>
      <c r="B21" s="1">
        <v>45790</v>
      </c>
      <c r="C21" s="1">
        <v>45796</v>
      </c>
      <c r="D21" s="1">
        <v>45769</v>
      </c>
      <c r="E21" s="1">
        <v>45796</v>
      </c>
      <c r="F21" t="s">
        <v>766</v>
      </c>
      <c r="G21" t="b">
        <v>0</v>
      </c>
    </row>
    <row r="22" spans="1:7" x14ac:dyDescent="0.3">
      <c r="A22" s="1">
        <v>45804</v>
      </c>
      <c r="B22" s="1">
        <v>45797</v>
      </c>
      <c r="C22" s="1">
        <v>45803</v>
      </c>
      <c r="D22" s="1">
        <v>45776</v>
      </c>
      <c r="E22" s="1">
        <v>45803</v>
      </c>
      <c r="F22" t="s">
        <v>767</v>
      </c>
      <c r="G22" t="b">
        <v>0</v>
      </c>
    </row>
    <row r="23" spans="1:7" x14ac:dyDescent="0.3">
      <c r="A23" s="1">
        <v>45811</v>
      </c>
      <c r="B23" s="1">
        <v>45804</v>
      </c>
      <c r="C23" s="1">
        <v>45810</v>
      </c>
      <c r="D23" s="1">
        <v>45783</v>
      </c>
      <c r="E23" s="1">
        <v>45810</v>
      </c>
      <c r="F23" t="s">
        <v>768</v>
      </c>
      <c r="G23" t="b">
        <v>0</v>
      </c>
    </row>
    <row r="24" spans="1:7" x14ac:dyDescent="0.3">
      <c r="A24" s="1">
        <v>45818</v>
      </c>
      <c r="B24" s="1">
        <v>45811</v>
      </c>
      <c r="C24" s="1">
        <v>45817</v>
      </c>
      <c r="D24" s="1">
        <v>45790</v>
      </c>
      <c r="E24" s="1">
        <v>45817</v>
      </c>
      <c r="F24" t="s">
        <v>769</v>
      </c>
      <c r="G24" t="b">
        <v>0</v>
      </c>
    </row>
    <row r="25" spans="1:7" x14ac:dyDescent="0.3">
      <c r="A25" s="1">
        <v>45825</v>
      </c>
      <c r="B25" s="1">
        <v>45818</v>
      </c>
      <c r="C25" s="1">
        <v>45824</v>
      </c>
      <c r="D25" s="1">
        <v>45797</v>
      </c>
      <c r="E25" s="1">
        <v>45824</v>
      </c>
      <c r="F25" t="s">
        <v>770</v>
      </c>
      <c r="G25" t="b">
        <v>0</v>
      </c>
    </row>
    <row r="26" spans="1:7" x14ac:dyDescent="0.3">
      <c r="A26" s="1">
        <v>45832</v>
      </c>
      <c r="B26" s="1">
        <v>45825</v>
      </c>
      <c r="C26" s="1">
        <v>45831</v>
      </c>
      <c r="D26" s="1">
        <v>45804</v>
      </c>
      <c r="E26" s="1">
        <v>45831</v>
      </c>
      <c r="F26" t="s">
        <v>771</v>
      </c>
      <c r="G26" t="b">
        <v>0</v>
      </c>
    </row>
    <row r="27" spans="1:7" x14ac:dyDescent="0.3">
      <c r="A27" s="1">
        <v>45839</v>
      </c>
      <c r="B27" s="1">
        <v>45832</v>
      </c>
      <c r="C27" s="1">
        <v>45838</v>
      </c>
      <c r="D27" s="1">
        <v>45811</v>
      </c>
      <c r="E27" s="1">
        <v>45838</v>
      </c>
      <c r="F27" t="s">
        <v>772</v>
      </c>
      <c r="G27" t="b">
        <v>0</v>
      </c>
    </row>
    <row r="28" spans="1:7" x14ac:dyDescent="0.3">
      <c r="A28" s="1">
        <v>45846</v>
      </c>
      <c r="B28" s="1">
        <v>45839</v>
      </c>
      <c r="C28" s="1">
        <v>45845</v>
      </c>
      <c r="D28" s="1">
        <v>45818</v>
      </c>
      <c r="E28" s="1">
        <v>45845</v>
      </c>
      <c r="F28" t="s">
        <v>773</v>
      </c>
      <c r="G28" t="b">
        <v>0</v>
      </c>
    </row>
    <row r="29" spans="1:7" x14ac:dyDescent="0.3">
      <c r="A29" s="1">
        <v>45853</v>
      </c>
      <c r="B29" s="1">
        <v>45846</v>
      </c>
      <c r="C29" s="1">
        <v>45852</v>
      </c>
      <c r="D29" s="1">
        <v>45825</v>
      </c>
      <c r="E29" s="1">
        <v>45852</v>
      </c>
      <c r="F29" t="s">
        <v>774</v>
      </c>
      <c r="G29" t="b">
        <v>0</v>
      </c>
    </row>
    <row r="30" spans="1:7" x14ac:dyDescent="0.3">
      <c r="A30" s="1">
        <v>45860</v>
      </c>
      <c r="B30" s="1">
        <v>45853</v>
      </c>
      <c r="C30" s="1">
        <v>45859</v>
      </c>
      <c r="D30" s="1">
        <v>45832</v>
      </c>
      <c r="E30" s="1">
        <v>45859</v>
      </c>
      <c r="F30" t="s">
        <v>775</v>
      </c>
      <c r="G30" t="b">
        <v>0</v>
      </c>
    </row>
    <row r="31" spans="1:7" x14ac:dyDescent="0.3">
      <c r="A31" s="1">
        <v>45867</v>
      </c>
      <c r="B31" s="1">
        <v>45860</v>
      </c>
      <c r="C31" s="1">
        <v>45866</v>
      </c>
      <c r="D31" s="1">
        <v>45839</v>
      </c>
      <c r="E31" s="1">
        <v>45866</v>
      </c>
      <c r="F31" t="s">
        <v>776</v>
      </c>
      <c r="G31" t="b">
        <v>0</v>
      </c>
    </row>
    <row r="32" spans="1:7" x14ac:dyDescent="0.3">
      <c r="A32" s="1">
        <v>45874</v>
      </c>
      <c r="B32" s="1">
        <v>45867</v>
      </c>
      <c r="C32" s="1">
        <v>45873</v>
      </c>
      <c r="D32" s="1">
        <v>45846</v>
      </c>
      <c r="E32" s="1">
        <v>45873</v>
      </c>
      <c r="F32" t="s">
        <v>777</v>
      </c>
      <c r="G32" t="b">
        <v>0</v>
      </c>
    </row>
    <row r="33" spans="1:7" x14ac:dyDescent="0.3">
      <c r="A33" s="1">
        <v>45881</v>
      </c>
      <c r="B33" s="1">
        <v>45874</v>
      </c>
      <c r="C33" s="1">
        <v>45880</v>
      </c>
      <c r="D33" s="1">
        <v>45853</v>
      </c>
      <c r="E33" s="1">
        <v>45880</v>
      </c>
      <c r="F33" t="s">
        <v>778</v>
      </c>
      <c r="G33" t="b">
        <v>0</v>
      </c>
    </row>
    <row r="34" spans="1:7" x14ac:dyDescent="0.3">
      <c r="A34" s="1">
        <v>45888</v>
      </c>
      <c r="B34" s="1">
        <v>45881</v>
      </c>
      <c r="C34" s="1">
        <v>45887</v>
      </c>
      <c r="D34" s="1">
        <v>45860</v>
      </c>
      <c r="E34" s="1">
        <v>45887</v>
      </c>
      <c r="F34" t="s">
        <v>779</v>
      </c>
      <c r="G34" t="b">
        <v>0</v>
      </c>
    </row>
    <row r="35" spans="1:7" x14ac:dyDescent="0.3">
      <c r="A35" s="1">
        <v>45895</v>
      </c>
      <c r="B35" s="1">
        <v>45888</v>
      </c>
      <c r="C35" s="1">
        <v>45894</v>
      </c>
      <c r="D35" s="1">
        <v>45867</v>
      </c>
      <c r="E35" s="1">
        <v>45894</v>
      </c>
      <c r="F35" t="s">
        <v>780</v>
      </c>
      <c r="G35" t="b">
        <v>0</v>
      </c>
    </row>
    <row r="36" spans="1:7" x14ac:dyDescent="0.3">
      <c r="A36" s="1">
        <v>45902</v>
      </c>
      <c r="B36" s="1">
        <v>45895</v>
      </c>
      <c r="C36" s="1">
        <v>45901</v>
      </c>
      <c r="D36" s="1">
        <v>45874</v>
      </c>
      <c r="E36" s="1">
        <v>45901</v>
      </c>
      <c r="F36" t="s">
        <v>781</v>
      </c>
      <c r="G36" t="b">
        <v>0</v>
      </c>
    </row>
    <row r="37" spans="1:7" x14ac:dyDescent="0.3">
      <c r="A37" s="1">
        <v>45909</v>
      </c>
      <c r="B37" s="1">
        <v>45902</v>
      </c>
      <c r="C37" s="1">
        <v>45908</v>
      </c>
      <c r="D37" s="1">
        <v>45881</v>
      </c>
      <c r="E37" s="1">
        <v>45908</v>
      </c>
      <c r="F37" t="s">
        <v>782</v>
      </c>
      <c r="G37" t="b">
        <v>0</v>
      </c>
    </row>
    <row r="38" spans="1:7" x14ac:dyDescent="0.3">
      <c r="A38" s="1">
        <v>45916</v>
      </c>
      <c r="B38" s="1">
        <v>45909</v>
      </c>
      <c r="C38" s="1">
        <v>45915</v>
      </c>
      <c r="D38" s="1">
        <v>45888</v>
      </c>
      <c r="E38" s="1">
        <v>45915</v>
      </c>
      <c r="F38" t="s">
        <v>783</v>
      </c>
      <c r="G38" t="b">
        <v>0</v>
      </c>
    </row>
    <row r="39" spans="1:7" x14ac:dyDescent="0.3">
      <c r="A39" s="1">
        <v>45923</v>
      </c>
      <c r="B39" s="1">
        <v>45916</v>
      </c>
      <c r="C39" s="1">
        <v>45922</v>
      </c>
      <c r="D39" s="1">
        <v>45895</v>
      </c>
      <c r="E39" s="1">
        <v>45922</v>
      </c>
      <c r="F39" t="s">
        <v>784</v>
      </c>
      <c r="G39" t="b">
        <v>0</v>
      </c>
    </row>
    <row r="40" spans="1:7" x14ac:dyDescent="0.3">
      <c r="A40" s="1">
        <v>45930</v>
      </c>
      <c r="B40" s="1">
        <v>45923</v>
      </c>
      <c r="C40" s="1">
        <v>45929</v>
      </c>
      <c r="D40" s="1">
        <v>45902</v>
      </c>
      <c r="E40" s="1">
        <v>45929</v>
      </c>
      <c r="F40" t="s">
        <v>785</v>
      </c>
      <c r="G40" t="b">
        <v>0</v>
      </c>
    </row>
    <row r="41" spans="1:7" x14ac:dyDescent="0.3">
      <c r="A41" s="1">
        <v>45937</v>
      </c>
      <c r="B41" s="1">
        <v>45930</v>
      </c>
      <c r="C41" s="1">
        <v>45936</v>
      </c>
      <c r="D41" s="1">
        <v>45909</v>
      </c>
      <c r="E41" s="1">
        <v>45936</v>
      </c>
      <c r="F41" t="s">
        <v>786</v>
      </c>
      <c r="G41" t="b">
        <v>0</v>
      </c>
    </row>
    <row r="42" spans="1:7" x14ac:dyDescent="0.3">
      <c r="A42" s="1">
        <v>45944</v>
      </c>
      <c r="B42" s="1">
        <v>45937</v>
      </c>
      <c r="C42" s="1">
        <v>45943</v>
      </c>
      <c r="D42" s="1">
        <v>45916</v>
      </c>
      <c r="E42" s="1">
        <v>45943</v>
      </c>
      <c r="F42" t="s">
        <v>787</v>
      </c>
      <c r="G42" t="b">
        <v>0</v>
      </c>
    </row>
    <row r="43" spans="1:7" x14ac:dyDescent="0.3">
      <c r="A43" s="1">
        <v>45951</v>
      </c>
      <c r="B43" s="1">
        <v>45944</v>
      </c>
      <c r="C43" s="1">
        <v>45950</v>
      </c>
      <c r="D43" s="1">
        <v>45923</v>
      </c>
      <c r="E43" s="1">
        <v>45950</v>
      </c>
      <c r="F43" t="s">
        <v>788</v>
      </c>
      <c r="G43" t="b">
        <v>0</v>
      </c>
    </row>
    <row r="44" spans="1:7" x14ac:dyDescent="0.3">
      <c r="A44" s="1">
        <v>45958</v>
      </c>
      <c r="B44" s="1">
        <v>45951</v>
      </c>
      <c r="C44" s="1">
        <v>45957</v>
      </c>
      <c r="D44" s="1">
        <v>45930</v>
      </c>
      <c r="E44" s="1">
        <v>45957</v>
      </c>
      <c r="F44" t="s">
        <v>789</v>
      </c>
      <c r="G44" t="b">
        <v>0</v>
      </c>
    </row>
    <row r="45" spans="1:7" x14ac:dyDescent="0.3">
      <c r="A45" s="1">
        <v>45965</v>
      </c>
      <c r="B45" s="1">
        <v>45958</v>
      </c>
      <c r="C45" s="1">
        <v>45964</v>
      </c>
      <c r="D45" s="1">
        <v>45937</v>
      </c>
      <c r="E45" s="1">
        <v>45964</v>
      </c>
      <c r="F45" t="s">
        <v>790</v>
      </c>
      <c r="G45" t="b">
        <v>0</v>
      </c>
    </row>
    <row r="46" spans="1:7" x14ac:dyDescent="0.3">
      <c r="A46" s="1">
        <v>45972</v>
      </c>
      <c r="B46" s="1">
        <v>45965</v>
      </c>
      <c r="C46" s="1">
        <v>45971</v>
      </c>
      <c r="D46" s="1">
        <v>45944</v>
      </c>
      <c r="E46" s="1">
        <v>45971</v>
      </c>
      <c r="F46" t="s">
        <v>791</v>
      </c>
      <c r="G46" t="b">
        <v>0</v>
      </c>
    </row>
    <row r="47" spans="1:7" x14ac:dyDescent="0.3">
      <c r="A47" s="1">
        <v>45979</v>
      </c>
      <c r="B47" s="1">
        <v>45972</v>
      </c>
      <c r="C47" s="1">
        <v>45978</v>
      </c>
      <c r="D47" s="1">
        <v>45951</v>
      </c>
      <c r="E47" s="1">
        <v>45978</v>
      </c>
      <c r="F47" t="s">
        <v>792</v>
      </c>
      <c r="G47" t="b">
        <v>0</v>
      </c>
    </row>
    <row r="48" spans="1:7" x14ac:dyDescent="0.3">
      <c r="A48" s="1">
        <v>45986</v>
      </c>
      <c r="B48" s="1">
        <v>45979</v>
      </c>
      <c r="C48" s="1">
        <v>45985</v>
      </c>
      <c r="D48" s="1">
        <v>45958</v>
      </c>
      <c r="E48" s="1">
        <v>45985</v>
      </c>
      <c r="F48" t="s">
        <v>793</v>
      </c>
      <c r="G48" t="b">
        <v>0</v>
      </c>
    </row>
    <row r="49" spans="1:7" x14ac:dyDescent="0.3">
      <c r="A49" s="1">
        <v>45993</v>
      </c>
      <c r="B49" s="1">
        <v>45986</v>
      </c>
      <c r="C49" s="1">
        <v>45992</v>
      </c>
      <c r="D49" s="1">
        <v>45965</v>
      </c>
      <c r="E49" s="1">
        <v>45992</v>
      </c>
      <c r="F49" t="s">
        <v>794</v>
      </c>
      <c r="G49" t="b">
        <v>0</v>
      </c>
    </row>
    <row r="50" spans="1:7" x14ac:dyDescent="0.3">
      <c r="A50" s="1">
        <v>46000</v>
      </c>
      <c r="B50" s="1">
        <v>45993</v>
      </c>
      <c r="C50" s="1">
        <v>45999</v>
      </c>
      <c r="D50" s="1">
        <v>45972</v>
      </c>
      <c r="E50" s="1">
        <v>45999</v>
      </c>
      <c r="F50" t="s">
        <v>795</v>
      </c>
      <c r="G50" t="b">
        <v>0</v>
      </c>
    </row>
    <row r="51" spans="1:7" x14ac:dyDescent="0.3">
      <c r="A51" s="1">
        <v>46007</v>
      </c>
      <c r="B51" s="1">
        <v>46000</v>
      </c>
      <c r="C51" s="1">
        <v>46006</v>
      </c>
      <c r="D51" s="1">
        <v>45979</v>
      </c>
      <c r="E51" s="1">
        <v>46006</v>
      </c>
      <c r="F51" t="s">
        <v>796</v>
      </c>
      <c r="G51" t="b">
        <v>0</v>
      </c>
    </row>
    <row r="52" spans="1:7" x14ac:dyDescent="0.3">
      <c r="A52" s="1">
        <v>46014</v>
      </c>
      <c r="B52" s="1">
        <v>46007</v>
      </c>
      <c r="C52" s="1">
        <v>46013</v>
      </c>
      <c r="D52" s="1">
        <v>45986</v>
      </c>
      <c r="E52" s="1">
        <v>46013</v>
      </c>
      <c r="F52" t="s">
        <v>797</v>
      </c>
      <c r="G52" t="b">
        <v>0</v>
      </c>
    </row>
    <row r="53" spans="1:7" x14ac:dyDescent="0.3">
      <c r="A53" s="1">
        <v>46021</v>
      </c>
      <c r="B53" s="1">
        <v>46014</v>
      </c>
      <c r="C53" s="1">
        <v>46020</v>
      </c>
      <c r="D53" s="1">
        <v>45993</v>
      </c>
      <c r="E53" s="1">
        <v>46020</v>
      </c>
      <c r="F53" t="s">
        <v>798</v>
      </c>
      <c r="G53" t="b">
        <v>0</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6D32-AC08-44D5-B238-95BE61A326E1}">
  <sheetPr>
    <tabColor rgb="FF00B0F0"/>
  </sheetPr>
  <dimension ref="A1:G53"/>
  <sheetViews>
    <sheetView workbookViewId="0">
      <selection sqref="A1:G53"/>
    </sheetView>
  </sheetViews>
  <sheetFormatPr defaultRowHeight="14.4" x14ac:dyDescent="0.3"/>
  <cols>
    <col min="1" max="1" width="26.21875" bestFit="1" customWidth="1"/>
    <col min="2" max="2" width="19.44140625" bestFit="1" customWidth="1"/>
    <col min="3" max="3" width="18.109375" bestFit="1" customWidth="1"/>
    <col min="4" max="4" width="20.77734375" bestFit="1" customWidth="1"/>
    <col min="5" max="5" width="19.44140625" bestFit="1" customWidth="1"/>
    <col min="6" max="6" width="21.6640625" bestFit="1" customWidth="1"/>
    <col min="7" max="7" width="11.21875" bestFit="1" customWidth="1"/>
  </cols>
  <sheetData>
    <row r="1" spans="1:7" ht="18" x14ac:dyDescent="0.35">
      <c r="A1" s="120" t="s">
        <v>755</v>
      </c>
      <c r="B1" s="120" t="s">
        <v>756</v>
      </c>
      <c r="C1" s="120" t="s">
        <v>757</v>
      </c>
      <c r="D1" s="120" t="s">
        <v>758</v>
      </c>
      <c r="E1" s="120" t="s">
        <v>759</v>
      </c>
      <c r="F1" s="7" t="s">
        <v>760</v>
      </c>
      <c r="G1" s="7" t="s">
        <v>761</v>
      </c>
    </row>
    <row r="2" spans="1:7" ht="18" x14ac:dyDescent="0.35">
      <c r="A2" s="120">
        <v>45664</v>
      </c>
      <c r="B2" s="120">
        <v>45657</v>
      </c>
      <c r="C2" s="120">
        <v>45663</v>
      </c>
      <c r="D2" s="120">
        <v>45636</v>
      </c>
      <c r="E2" s="120">
        <v>45663</v>
      </c>
      <c r="F2" s="7" t="s">
        <v>514</v>
      </c>
      <c r="G2" s="7" t="b">
        <f ca="1">_7Day_28Day_250414_[[#This Row],[Report_Due_Date]]=TODAY()+MOD(2-WEEKDAY(TODAY(),2),7)+IF(WEEKDAY(TODAY(),2)=2,7,0)</f>
        <v>0</v>
      </c>
    </row>
    <row r="3" spans="1:7" ht="18" x14ac:dyDescent="0.35">
      <c r="A3" s="120">
        <v>45671</v>
      </c>
      <c r="B3" s="120">
        <v>45664</v>
      </c>
      <c r="C3" s="120">
        <v>45670</v>
      </c>
      <c r="D3" s="120">
        <v>45643</v>
      </c>
      <c r="E3" s="120">
        <v>45670</v>
      </c>
      <c r="F3" s="7" t="s">
        <v>513</v>
      </c>
      <c r="G3" s="7" t="b">
        <f ca="1">_7Day_28Day_250414_[[#This Row],[Report_Due_Date]]=TODAY()+MOD(2-WEEKDAY(TODAY(),2),7)+IF(WEEKDAY(TODAY(),2)=2,7,0)</f>
        <v>0</v>
      </c>
    </row>
    <row r="4" spans="1:7" ht="18" x14ac:dyDescent="0.35">
      <c r="A4" s="120">
        <v>45678</v>
      </c>
      <c r="B4" s="120">
        <v>45671</v>
      </c>
      <c r="C4" s="120">
        <v>45677</v>
      </c>
      <c r="D4" s="120">
        <v>45650</v>
      </c>
      <c r="E4" s="120">
        <v>45677</v>
      </c>
      <c r="F4" s="7" t="s">
        <v>512</v>
      </c>
      <c r="G4" s="7" t="b">
        <f ca="1">_7Day_28Day_250414_[[#This Row],[Report_Due_Date]]=TODAY()+MOD(2-WEEKDAY(TODAY(),2),7)+IF(WEEKDAY(TODAY(),2)=2,7,0)</f>
        <v>0</v>
      </c>
    </row>
    <row r="5" spans="1:7" ht="18" x14ac:dyDescent="0.35">
      <c r="A5" s="120">
        <v>45685</v>
      </c>
      <c r="B5" s="120">
        <v>45678</v>
      </c>
      <c r="C5" s="120">
        <v>45684</v>
      </c>
      <c r="D5" s="120">
        <v>45657</v>
      </c>
      <c r="E5" s="120">
        <v>45684</v>
      </c>
      <c r="F5" s="7" t="s">
        <v>511</v>
      </c>
      <c r="G5" s="7" t="b">
        <f ca="1">_7Day_28Day_250414_[[#This Row],[Report_Due_Date]]=TODAY()+MOD(2-WEEKDAY(TODAY(),2),7)+IF(WEEKDAY(TODAY(),2)=2,7,0)</f>
        <v>0</v>
      </c>
    </row>
    <row r="6" spans="1:7" ht="18" x14ac:dyDescent="0.35">
      <c r="A6" s="120">
        <v>45692</v>
      </c>
      <c r="B6" s="120">
        <v>45685</v>
      </c>
      <c r="C6" s="120">
        <v>45691</v>
      </c>
      <c r="D6" s="120">
        <v>45664</v>
      </c>
      <c r="E6" s="120">
        <v>45691</v>
      </c>
      <c r="F6" s="7" t="s">
        <v>510</v>
      </c>
      <c r="G6" s="7" t="b">
        <f ca="1">_7Day_28Day_250414_[[#This Row],[Report_Due_Date]]=TODAY()+MOD(2-WEEKDAY(TODAY(),2),7)+IF(WEEKDAY(TODAY(),2)=2,7,0)</f>
        <v>0</v>
      </c>
    </row>
    <row r="7" spans="1:7" ht="18" x14ac:dyDescent="0.35">
      <c r="A7" s="120">
        <v>45699</v>
      </c>
      <c r="B7" s="120">
        <v>45692</v>
      </c>
      <c r="C7" s="120">
        <v>45698</v>
      </c>
      <c r="D7" s="120">
        <v>45671</v>
      </c>
      <c r="E7" s="120">
        <v>45698</v>
      </c>
      <c r="F7" s="7" t="s">
        <v>509</v>
      </c>
      <c r="G7" s="7" t="b">
        <f ca="1">_7Day_28Day_250414_[[#This Row],[Report_Due_Date]]=TODAY()+MOD(2-WEEKDAY(TODAY(),2),7)+IF(WEEKDAY(TODAY(),2)=2,7,0)</f>
        <v>0</v>
      </c>
    </row>
    <row r="8" spans="1:7" ht="18" x14ac:dyDescent="0.35">
      <c r="A8" s="120">
        <v>45706</v>
      </c>
      <c r="B8" s="120">
        <v>45699</v>
      </c>
      <c r="C8" s="120">
        <v>45705</v>
      </c>
      <c r="D8" s="120">
        <v>45678</v>
      </c>
      <c r="E8" s="120">
        <v>45705</v>
      </c>
      <c r="F8" s="7" t="s">
        <v>508</v>
      </c>
      <c r="G8" s="7" t="b">
        <f ca="1">_7Day_28Day_250414_[[#This Row],[Report_Due_Date]]=TODAY()+MOD(2-WEEKDAY(TODAY(),2),7)+IF(WEEKDAY(TODAY(),2)=2,7,0)</f>
        <v>0</v>
      </c>
    </row>
    <row r="9" spans="1:7" ht="18" x14ac:dyDescent="0.35">
      <c r="A9" s="120">
        <v>45713</v>
      </c>
      <c r="B9" s="120">
        <v>45706</v>
      </c>
      <c r="C9" s="120">
        <v>45712</v>
      </c>
      <c r="D9" s="120">
        <v>45685</v>
      </c>
      <c r="E9" s="120">
        <v>45712</v>
      </c>
      <c r="F9" s="7" t="s">
        <v>507</v>
      </c>
      <c r="G9" s="7" t="b">
        <f ca="1">_7Day_28Day_250414_[[#This Row],[Report_Due_Date]]=TODAY()+MOD(2-WEEKDAY(TODAY(),2),7)+IF(WEEKDAY(TODAY(),2)=2,7,0)</f>
        <v>0</v>
      </c>
    </row>
    <row r="10" spans="1:7" ht="18" x14ac:dyDescent="0.35">
      <c r="A10" s="120">
        <v>45720</v>
      </c>
      <c r="B10" s="120">
        <v>45713</v>
      </c>
      <c r="C10" s="120">
        <v>45719</v>
      </c>
      <c r="D10" s="120">
        <v>45692</v>
      </c>
      <c r="E10" s="120">
        <v>45719</v>
      </c>
      <c r="F10" s="7" t="s">
        <v>506</v>
      </c>
      <c r="G10" s="7" t="b">
        <f ca="1">_7Day_28Day_250414_[[#This Row],[Report_Due_Date]]=TODAY()+MOD(2-WEEKDAY(TODAY(),2),7)+IF(WEEKDAY(TODAY(),2)=2,7,0)</f>
        <v>0</v>
      </c>
    </row>
    <row r="11" spans="1:7" ht="18" x14ac:dyDescent="0.35">
      <c r="A11" s="120">
        <v>45727</v>
      </c>
      <c r="B11" s="120">
        <v>45720</v>
      </c>
      <c r="C11" s="120">
        <v>45726</v>
      </c>
      <c r="D11" s="120">
        <v>45699</v>
      </c>
      <c r="E11" s="120">
        <v>45726</v>
      </c>
      <c r="F11" s="7" t="s">
        <v>505</v>
      </c>
      <c r="G11" s="7" t="b">
        <f ca="1">_7Day_28Day_250414_[[#This Row],[Report_Due_Date]]=TODAY()+MOD(2-WEEKDAY(TODAY(),2),7)+IF(WEEKDAY(TODAY(),2)=2,7,0)</f>
        <v>0</v>
      </c>
    </row>
    <row r="12" spans="1:7" ht="18" x14ac:dyDescent="0.35">
      <c r="A12" s="120">
        <v>45734</v>
      </c>
      <c r="B12" s="120">
        <v>45727</v>
      </c>
      <c r="C12" s="120">
        <v>45733</v>
      </c>
      <c r="D12" s="120">
        <v>45706</v>
      </c>
      <c r="E12" s="120">
        <v>45733</v>
      </c>
      <c r="F12" s="7" t="s">
        <v>528</v>
      </c>
      <c r="G12" s="7" t="b">
        <f ca="1">_7Day_28Day_250414_[[#This Row],[Report_Due_Date]]=TODAY()+MOD(2-WEEKDAY(TODAY(),2),7)+IF(WEEKDAY(TODAY(),2)=2,7,0)</f>
        <v>0</v>
      </c>
    </row>
    <row r="13" spans="1:7" ht="18" x14ac:dyDescent="0.35">
      <c r="A13" s="120">
        <v>45741</v>
      </c>
      <c r="B13" s="120">
        <v>45734</v>
      </c>
      <c r="C13" s="120">
        <v>45740</v>
      </c>
      <c r="D13" s="120">
        <v>45713</v>
      </c>
      <c r="E13" s="120">
        <v>45740</v>
      </c>
      <c r="F13" s="7" t="s">
        <v>548</v>
      </c>
      <c r="G13" s="7" t="b">
        <f ca="1">_7Day_28Day_250414_[[#This Row],[Report_Due_Date]]=TODAY()+MOD(2-WEEKDAY(TODAY(),2),7)+IF(WEEKDAY(TODAY(),2)=2,7,0)</f>
        <v>0</v>
      </c>
    </row>
    <row r="14" spans="1:7" ht="18" x14ac:dyDescent="0.35">
      <c r="A14" s="120">
        <v>45748</v>
      </c>
      <c r="B14" s="120">
        <v>45741</v>
      </c>
      <c r="C14" s="120">
        <v>45747</v>
      </c>
      <c r="D14" s="120">
        <v>45720</v>
      </c>
      <c r="E14" s="120">
        <v>45747</v>
      </c>
      <c r="F14" s="7" t="s">
        <v>581</v>
      </c>
      <c r="G14" s="7" t="b">
        <f ca="1">_7Day_28Day_250414_[[#This Row],[Report_Due_Date]]=TODAY()+MOD(2-WEEKDAY(TODAY(),2),7)+IF(WEEKDAY(TODAY(),2)=2,7,0)</f>
        <v>0</v>
      </c>
    </row>
    <row r="15" spans="1:7" ht="18" x14ac:dyDescent="0.35">
      <c r="A15" s="120">
        <v>45755</v>
      </c>
      <c r="B15" s="120">
        <v>45748</v>
      </c>
      <c r="C15" s="120">
        <v>45754</v>
      </c>
      <c r="D15" s="120">
        <v>45727</v>
      </c>
      <c r="E15" s="120">
        <v>45754</v>
      </c>
      <c r="F15" s="7" t="s">
        <v>604</v>
      </c>
      <c r="G15" s="7" t="b">
        <f ca="1">_7Day_28Day_250414_[[#This Row],[Report_Due_Date]]=TODAY()+MOD(2-WEEKDAY(TODAY(),2),7)+IF(WEEKDAY(TODAY(),2)=2,7,0)</f>
        <v>0</v>
      </c>
    </row>
    <row r="16" spans="1:7" ht="18" x14ac:dyDescent="0.35">
      <c r="A16" s="120">
        <v>45762</v>
      </c>
      <c r="B16" s="120">
        <v>45755</v>
      </c>
      <c r="C16" s="120">
        <v>45761</v>
      </c>
      <c r="D16" s="120">
        <v>45734</v>
      </c>
      <c r="E16" s="120">
        <v>45761</v>
      </c>
      <c r="F16" s="7" t="s">
        <v>730</v>
      </c>
      <c r="G16" s="7" t="b">
        <f ca="1">_7Day_28Day_250414_[[#This Row],[Report_Due_Date]]=TODAY()+MOD(2-WEEKDAY(TODAY(),2),7)+IF(WEEKDAY(TODAY(),2)=2,7,0)</f>
        <v>0</v>
      </c>
    </row>
    <row r="17" spans="1:7" ht="18" x14ac:dyDescent="0.35">
      <c r="A17" s="120">
        <v>45769</v>
      </c>
      <c r="B17" s="120">
        <v>45762</v>
      </c>
      <c r="C17" s="120">
        <v>45768</v>
      </c>
      <c r="D17" s="120">
        <v>45741</v>
      </c>
      <c r="E17" s="120">
        <v>45768</v>
      </c>
      <c r="F17" s="7" t="s">
        <v>762</v>
      </c>
      <c r="G17" s="7" t="b">
        <f ca="1">_7Day_28Day_250414_[[#This Row],[Report_Due_Date]]=TODAY()+MOD(2-WEEKDAY(TODAY(),2),7)+IF(WEEKDAY(TODAY(),2)=2,7,0)</f>
        <v>1</v>
      </c>
    </row>
    <row r="18" spans="1:7" ht="18" x14ac:dyDescent="0.35">
      <c r="A18" s="120">
        <v>45776</v>
      </c>
      <c r="B18" s="120">
        <v>45769</v>
      </c>
      <c r="C18" s="120">
        <v>45775</v>
      </c>
      <c r="D18" s="120">
        <v>45748</v>
      </c>
      <c r="E18" s="120">
        <v>45775</v>
      </c>
      <c r="F18" s="7" t="s">
        <v>763</v>
      </c>
      <c r="G18" s="7" t="b">
        <f ca="1">_7Day_28Day_250414_[[#This Row],[Report_Due_Date]]=TODAY()+MOD(2-WEEKDAY(TODAY(),2),7)+IF(WEEKDAY(TODAY(),2)=2,7,0)</f>
        <v>0</v>
      </c>
    </row>
    <row r="19" spans="1:7" ht="18" x14ac:dyDescent="0.35">
      <c r="A19" s="120">
        <v>45783</v>
      </c>
      <c r="B19" s="120">
        <v>45776</v>
      </c>
      <c r="C19" s="120">
        <v>45782</v>
      </c>
      <c r="D19" s="120">
        <v>45755</v>
      </c>
      <c r="E19" s="120">
        <v>45782</v>
      </c>
      <c r="F19" s="7" t="s">
        <v>764</v>
      </c>
      <c r="G19" s="7" t="b">
        <f ca="1">_7Day_28Day_250414_[[#This Row],[Report_Due_Date]]=TODAY()+MOD(2-WEEKDAY(TODAY(),2),7)+IF(WEEKDAY(TODAY(),2)=2,7,0)</f>
        <v>0</v>
      </c>
    </row>
    <row r="20" spans="1:7" ht="18" x14ac:dyDescent="0.35">
      <c r="A20" s="120">
        <v>45790</v>
      </c>
      <c r="B20" s="120">
        <v>45783</v>
      </c>
      <c r="C20" s="120">
        <v>45789</v>
      </c>
      <c r="D20" s="120">
        <v>45762</v>
      </c>
      <c r="E20" s="120">
        <v>45789</v>
      </c>
      <c r="F20" s="7" t="s">
        <v>765</v>
      </c>
      <c r="G20" s="7" t="b">
        <f ca="1">_7Day_28Day_250414_[[#This Row],[Report_Due_Date]]=TODAY()+MOD(2-WEEKDAY(TODAY(),2),7)+IF(WEEKDAY(TODAY(),2)=2,7,0)</f>
        <v>0</v>
      </c>
    </row>
    <row r="21" spans="1:7" ht="18" x14ac:dyDescent="0.35">
      <c r="A21" s="120">
        <v>45797</v>
      </c>
      <c r="B21" s="120">
        <v>45790</v>
      </c>
      <c r="C21" s="120">
        <v>45796</v>
      </c>
      <c r="D21" s="120">
        <v>45769</v>
      </c>
      <c r="E21" s="120">
        <v>45796</v>
      </c>
      <c r="F21" s="7" t="s">
        <v>766</v>
      </c>
      <c r="G21" s="7" t="b">
        <f ca="1">_7Day_28Day_250414_[[#This Row],[Report_Due_Date]]=TODAY()+MOD(2-WEEKDAY(TODAY(),2),7)+IF(WEEKDAY(TODAY(),2)=2,7,0)</f>
        <v>0</v>
      </c>
    </row>
    <row r="22" spans="1:7" ht="18" x14ac:dyDescent="0.35">
      <c r="A22" s="120">
        <v>45804</v>
      </c>
      <c r="B22" s="120">
        <v>45797</v>
      </c>
      <c r="C22" s="120">
        <v>45803</v>
      </c>
      <c r="D22" s="120">
        <v>45776</v>
      </c>
      <c r="E22" s="120">
        <v>45803</v>
      </c>
      <c r="F22" s="7" t="s">
        <v>767</v>
      </c>
      <c r="G22" s="7" t="b">
        <f ca="1">_7Day_28Day_250414_[[#This Row],[Report_Due_Date]]=TODAY()+MOD(2-WEEKDAY(TODAY(),2),7)+IF(WEEKDAY(TODAY(),2)=2,7,0)</f>
        <v>0</v>
      </c>
    </row>
    <row r="23" spans="1:7" ht="18" x14ac:dyDescent="0.35">
      <c r="A23" s="120">
        <v>45811</v>
      </c>
      <c r="B23" s="120">
        <v>45804</v>
      </c>
      <c r="C23" s="120">
        <v>45810</v>
      </c>
      <c r="D23" s="120">
        <v>45783</v>
      </c>
      <c r="E23" s="120">
        <v>45810</v>
      </c>
      <c r="F23" s="7" t="s">
        <v>768</v>
      </c>
      <c r="G23" s="7" t="b">
        <f ca="1">_7Day_28Day_250414_[[#This Row],[Report_Due_Date]]=TODAY()+MOD(2-WEEKDAY(TODAY(),2),7)+IF(WEEKDAY(TODAY(),2)=2,7,0)</f>
        <v>0</v>
      </c>
    </row>
    <row r="24" spans="1:7" ht="18" x14ac:dyDescent="0.35">
      <c r="A24" s="120">
        <v>45818</v>
      </c>
      <c r="B24" s="120">
        <v>45811</v>
      </c>
      <c r="C24" s="120">
        <v>45817</v>
      </c>
      <c r="D24" s="120">
        <v>45790</v>
      </c>
      <c r="E24" s="120">
        <v>45817</v>
      </c>
      <c r="F24" s="7" t="s">
        <v>769</v>
      </c>
      <c r="G24" s="7" t="b">
        <f ca="1">_7Day_28Day_250414_[[#This Row],[Report_Due_Date]]=TODAY()+MOD(2-WEEKDAY(TODAY(),2),7)+IF(WEEKDAY(TODAY(),2)=2,7,0)</f>
        <v>0</v>
      </c>
    </row>
    <row r="25" spans="1:7" ht="18" x14ac:dyDescent="0.35">
      <c r="A25" s="120">
        <v>45825</v>
      </c>
      <c r="B25" s="120">
        <v>45818</v>
      </c>
      <c r="C25" s="120">
        <v>45824</v>
      </c>
      <c r="D25" s="120">
        <v>45797</v>
      </c>
      <c r="E25" s="120">
        <v>45824</v>
      </c>
      <c r="F25" s="7" t="s">
        <v>770</v>
      </c>
      <c r="G25" s="7" t="b">
        <f ca="1">_7Day_28Day_250414_[[#This Row],[Report_Due_Date]]=TODAY()+MOD(2-WEEKDAY(TODAY(),2),7)+IF(WEEKDAY(TODAY(),2)=2,7,0)</f>
        <v>0</v>
      </c>
    </row>
    <row r="26" spans="1:7" ht="18" x14ac:dyDescent="0.35">
      <c r="A26" s="120">
        <v>45832</v>
      </c>
      <c r="B26" s="120">
        <v>45825</v>
      </c>
      <c r="C26" s="120">
        <v>45831</v>
      </c>
      <c r="D26" s="120">
        <v>45804</v>
      </c>
      <c r="E26" s="120">
        <v>45831</v>
      </c>
      <c r="F26" s="7" t="s">
        <v>771</v>
      </c>
      <c r="G26" s="7" t="b">
        <f ca="1">_7Day_28Day_250414_[[#This Row],[Report_Due_Date]]=TODAY()+MOD(2-WEEKDAY(TODAY(),2),7)+IF(WEEKDAY(TODAY(),2)=2,7,0)</f>
        <v>0</v>
      </c>
    </row>
    <row r="27" spans="1:7" ht="18" x14ac:dyDescent="0.35">
      <c r="A27" s="120">
        <v>45839</v>
      </c>
      <c r="B27" s="120">
        <v>45832</v>
      </c>
      <c r="C27" s="120">
        <v>45838</v>
      </c>
      <c r="D27" s="120">
        <v>45811</v>
      </c>
      <c r="E27" s="120">
        <v>45838</v>
      </c>
      <c r="F27" s="7" t="s">
        <v>772</v>
      </c>
      <c r="G27" s="7" t="b">
        <f ca="1">_7Day_28Day_250414_[[#This Row],[Report_Due_Date]]=TODAY()+MOD(2-WEEKDAY(TODAY(),2),7)+IF(WEEKDAY(TODAY(),2)=2,7,0)</f>
        <v>0</v>
      </c>
    </row>
    <row r="28" spans="1:7" ht="18" x14ac:dyDescent="0.35">
      <c r="A28" s="120">
        <v>45846</v>
      </c>
      <c r="B28" s="120">
        <v>45839</v>
      </c>
      <c r="C28" s="120">
        <v>45845</v>
      </c>
      <c r="D28" s="120">
        <v>45818</v>
      </c>
      <c r="E28" s="120">
        <v>45845</v>
      </c>
      <c r="F28" s="7" t="s">
        <v>773</v>
      </c>
      <c r="G28" s="7" t="b">
        <f ca="1">_7Day_28Day_250414_[[#This Row],[Report_Due_Date]]=TODAY()+MOD(2-WEEKDAY(TODAY(),2),7)+IF(WEEKDAY(TODAY(),2)=2,7,0)</f>
        <v>0</v>
      </c>
    </row>
    <row r="29" spans="1:7" ht="18" x14ac:dyDescent="0.35">
      <c r="A29" s="120">
        <v>45853</v>
      </c>
      <c r="B29" s="120">
        <v>45846</v>
      </c>
      <c r="C29" s="120">
        <v>45852</v>
      </c>
      <c r="D29" s="120">
        <v>45825</v>
      </c>
      <c r="E29" s="120">
        <v>45852</v>
      </c>
      <c r="F29" s="7" t="s">
        <v>774</v>
      </c>
      <c r="G29" s="7" t="b">
        <f ca="1">_7Day_28Day_250414_[[#This Row],[Report_Due_Date]]=TODAY()+MOD(2-WEEKDAY(TODAY(),2),7)+IF(WEEKDAY(TODAY(),2)=2,7,0)</f>
        <v>0</v>
      </c>
    </row>
    <row r="30" spans="1:7" ht="18" x14ac:dyDescent="0.35">
      <c r="A30" s="120">
        <v>45860</v>
      </c>
      <c r="B30" s="120">
        <v>45853</v>
      </c>
      <c r="C30" s="120">
        <v>45859</v>
      </c>
      <c r="D30" s="120">
        <v>45832</v>
      </c>
      <c r="E30" s="120">
        <v>45859</v>
      </c>
      <c r="F30" s="7" t="s">
        <v>775</v>
      </c>
      <c r="G30" s="7" t="b">
        <f ca="1">_7Day_28Day_250414_[[#This Row],[Report_Due_Date]]=TODAY()+MOD(2-WEEKDAY(TODAY(),2),7)+IF(WEEKDAY(TODAY(),2)=2,7,0)</f>
        <v>0</v>
      </c>
    </row>
    <row r="31" spans="1:7" ht="18" x14ac:dyDescent="0.35">
      <c r="A31" s="120">
        <v>45867</v>
      </c>
      <c r="B31" s="120">
        <v>45860</v>
      </c>
      <c r="C31" s="120">
        <v>45866</v>
      </c>
      <c r="D31" s="120">
        <v>45839</v>
      </c>
      <c r="E31" s="120">
        <v>45866</v>
      </c>
      <c r="F31" s="7" t="s">
        <v>776</v>
      </c>
      <c r="G31" s="7" t="b">
        <f ca="1">_7Day_28Day_250414_[[#This Row],[Report_Due_Date]]=TODAY()+MOD(2-WEEKDAY(TODAY(),2),7)+IF(WEEKDAY(TODAY(),2)=2,7,0)</f>
        <v>0</v>
      </c>
    </row>
    <row r="32" spans="1:7" ht="18" x14ac:dyDescent="0.35">
      <c r="A32" s="120">
        <v>45874</v>
      </c>
      <c r="B32" s="120">
        <v>45867</v>
      </c>
      <c r="C32" s="120">
        <v>45873</v>
      </c>
      <c r="D32" s="120">
        <v>45846</v>
      </c>
      <c r="E32" s="120">
        <v>45873</v>
      </c>
      <c r="F32" s="7" t="s">
        <v>777</v>
      </c>
      <c r="G32" s="7" t="b">
        <f ca="1">_7Day_28Day_250414_[[#This Row],[Report_Due_Date]]=TODAY()+MOD(2-WEEKDAY(TODAY(),2),7)+IF(WEEKDAY(TODAY(),2)=2,7,0)</f>
        <v>0</v>
      </c>
    </row>
    <row r="33" spans="1:7" ht="18" x14ac:dyDescent="0.35">
      <c r="A33" s="120">
        <v>45881</v>
      </c>
      <c r="B33" s="120">
        <v>45874</v>
      </c>
      <c r="C33" s="120">
        <v>45880</v>
      </c>
      <c r="D33" s="120">
        <v>45853</v>
      </c>
      <c r="E33" s="120">
        <v>45880</v>
      </c>
      <c r="F33" s="7" t="s">
        <v>778</v>
      </c>
      <c r="G33" s="7" t="b">
        <f ca="1">_7Day_28Day_250414_[[#This Row],[Report_Due_Date]]=TODAY()+MOD(2-WEEKDAY(TODAY(),2),7)+IF(WEEKDAY(TODAY(),2)=2,7,0)</f>
        <v>0</v>
      </c>
    </row>
    <row r="34" spans="1:7" ht="18" x14ac:dyDescent="0.35">
      <c r="A34" s="120">
        <v>45888</v>
      </c>
      <c r="B34" s="120">
        <v>45881</v>
      </c>
      <c r="C34" s="120">
        <v>45887</v>
      </c>
      <c r="D34" s="120">
        <v>45860</v>
      </c>
      <c r="E34" s="120">
        <v>45887</v>
      </c>
      <c r="F34" s="7" t="s">
        <v>779</v>
      </c>
      <c r="G34" s="7" t="b">
        <f ca="1">_7Day_28Day_250414_[[#This Row],[Report_Due_Date]]=TODAY()+MOD(2-WEEKDAY(TODAY(),2),7)+IF(WEEKDAY(TODAY(),2)=2,7,0)</f>
        <v>0</v>
      </c>
    </row>
    <row r="35" spans="1:7" ht="18" x14ac:dyDescent="0.35">
      <c r="A35" s="120">
        <v>45895</v>
      </c>
      <c r="B35" s="120">
        <v>45888</v>
      </c>
      <c r="C35" s="120">
        <v>45894</v>
      </c>
      <c r="D35" s="120">
        <v>45867</v>
      </c>
      <c r="E35" s="120">
        <v>45894</v>
      </c>
      <c r="F35" s="7" t="s">
        <v>780</v>
      </c>
      <c r="G35" s="7" t="b">
        <f ca="1">_7Day_28Day_250414_[[#This Row],[Report_Due_Date]]=TODAY()+MOD(2-WEEKDAY(TODAY(),2),7)+IF(WEEKDAY(TODAY(),2)=2,7,0)</f>
        <v>0</v>
      </c>
    </row>
    <row r="36" spans="1:7" ht="18" x14ac:dyDescent="0.35">
      <c r="A36" s="120">
        <v>45902</v>
      </c>
      <c r="B36" s="120">
        <v>45895</v>
      </c>
      <c r="C36" s="120">
        <v>45901</v>
      </c>
      <c r="D36" s="120">
        <v>45874</v>
      </c>
      <c r="E36" s="120">
        <v>45901</v>
      </c>
      <c r="F36" s="7" t="s">
        <v>781</v>
      </c>
      <c r="G36" s="7" t="b">
        <f ca="1">_7Day_28Day_250414_[[#This Row],[Report_Due_Date]]=TODAY()+MOD(2-WEEKDAY(TODAY(),2),7)+IF(WEEKDAY(TODAY(),2)=2,7,0)</f>
        <v>0</v>
      </c>
    </row>
    <row r="37" spans="1:7" ht="18" x14ac:dyDescent="0.35">
      <c r="A37" s="120">
        <v>45909</v>
      </c>
      <c r="B37" s="120">
        <v>45902</v>
      </c>
      <c r="C37" s="120">
        <v>45908</v>
      </c>
      <c r="D37" s="120">
        <v>45881</v>
      </c>
      <c r="E37" s="120">
        <v>45908</v>
      </c>
      <c r="F37" s="7" t="s">
        <v>782</v>
      </c>
      <c r="G37" s="7" t="b">
        <f ca="1">_7Day_28Day_250414_[[#This Row],[Report_Due_Date]]=TODAY()+MOD(2-WEEKDAY(TODAY(),2),7)+IF(WEEKDAY(TODAY(),2)=2,7,0)</f>
        <v>0</v>
      </c>
    </row>
    <row r="38" spans="1:7" ht="18" x14ac:dyDescent="0.35">
      <c r="A38" s="120">
        <v>45916</v>
      </c>
      <c r="B38" s="120">
        <v>45909</v>
      </c>
      <c r="C38" s="120">
        <v>45915</v>
      </c>
      <c r="D38" s="120">
        <v>45888</v>
      </c>
      <c r="E38" s="120">
        <v>45915</v>
      </c>
      <c r="F38" s="7" t="s">
        <v>783</v>
      </c>
      <c r="G38" s="7" t="b">
        <f ca="1">_7Day_28Day_250414_[[#This Row],[Report_Due_Date]]=TODAY()+MOD(2-WEEKDAY(TODAY(),2),7)+IF(WEEKDAY(TODAY(),2)=2,7,0)</f>
        <v>0</v>
      </c>
    </row>
    <row r="39" spans="1:7" ht="18" x14ac:dyDescent="0.35">
      <c r="A39" s="120">
        <v>45923</v>
      </c>
      <c r="B39" s="120">
        <v>45916</v>
      </c>
      <c r="C39" s="120">
        <v>45922</v>
      </c>
      <c r="D39" s="120">
        <v>45895</v>
      </c>
      <c r="E39" s="120">
        <v>45922</v>
      </c>
      <c r="F39" s="7" t="s">
        <v>784</v>
      </c>
      <c r="G39" s="7" t="b">
        <f ca="1">_7Day_28Day_250414_[[#This Row],[Report_Due_Date]]=TODAY()+MOD(2-WEEKDAY(TODAY(),2),7)+IF(WEEKDAY(TODAY(),2)=2,7,0)</f>
        <v>0</v>
      </c>
    </row>
    <row r="40" spans="1:7" ht="18" x14ac:dyDescent="0.35">
      <c r="A40" s="120">
        <v>45930</v>
      </c>
      <c r="B40" s="120">
        <v>45923</v>
      </c>
      <c r="C40" s="120">
        <v>45929</v>
      </c>
      <c r="D40" s="120">
        <v>45902</v>
      </c>
      <c r="E40" s="120">
        <v>45929</v>
      </c>
      <c r="F40" s="7" t="s">
        <v>785</v>
      </c>
      <c r="G40" s="7" t="b">
        <f ca="1">_7Day_28Day_250414_[[#This Row],[Report_Due_Date]]=TODAY()+MOD(2-WEEKDAY(TODAY(),2),7)+IF(WEEKDAY(TODAY(),2)=2,7,0)</f>
        <v>0</v>
      </c>
    </row>
    <row r="41" spans="1:7" ht="18" x14ac:dyDescent="0.35">
      <c r="A41" s="120">
        <v>45937</v>
      </c>
      <c r="B41" s="120">
        <v>45930</v>
      </c>
      <c r="C41" s="120">
        <v>45936</v>
      </c>
      <c r="D41" s="120">
        <v>45909</v>
      </c>
      <c r="E41" s="120">
        <v>45936</v>
      </c>
      <c r="F41" s="7" t="s">
        <v>786</v>
      </c>
      <c r="G41" s="7" t="b">
        <f ca="1">_7Day_28Day_250414_[[#This Row],[Report_Due_Date]]=TODAY()+MOD(2-WEEKDAY(TODAY(),2),7)+IF(WEEKDAY(TODAY(),2)=2,7,0)</f>
        <v>0</v>
      </c>
    </row>
    <row r="42" spans="1:7" ht="18" x14ac:dyDescent="0.35">
      <c r="A42" s="120">
        <v>45944</v>
      </c>
      <c r="B42" s="120">
        <v>45937</v>
      </c>
      <c r="C42" s="120">
        <v>45943</v>
      </c>
      <c r="D42" s="120">
        <v>45916</v>
      </c>
      <c r="E42" s="120">
        <v>45943</v>
      </c>
      <c r="F42" s="7" t="s">
        <v>787</v>
      </c>
      <c r="G42" s="7" t="b">
        <f ca="1">_7Day_28Day_250414_[[#This Row],[Report_Due_Date]]=TODAY()+MOD(2-WEEKDAY(TODAY(),2),7)+IF(WEEKDAY(TODAY(),2)=2,7,0)</f>
        <v>0</v>
      </c>
    </row>
    <row r="43" spans="1:7" ht="18" x14ac:dyDescent="0.35">
      <c r="A43" s="120">
        <v>45951</v>
      </c>
      <c r="B43" s="120">
        <v>45944</v>
      </c>
      <c r="C43" s="120">
        <v>45950</v>
      </c>
      <c r="D43" s="120">
        <v>45923</v>
      </c>
      <c r="E43" s="120">
        <v>45950</v>
      </c>
      <c r="F43" s="7" t="s">
        <v>788</v>
      </c>
      <c r="G43" s="7" t="b">
        <f ca="1">_7Day_28Day_250414_[[#This Row],[Report_Due_Date]]=TODAY()+MOD(2-WEEKDAY(TODAY(),2),7)+IF(WEEKDAY(TODAY(),2)=2,7,0)</f>
        <v>0</v>
      </c>
    </row>
    <row r="44" spans="1:7" ht="18" x14ac:dyDescent="0.35">
      <c r="A44" s="120">
        <v>45958</v>
      </c>
      <c r="B44" s="120">
        <v>45951</v>
      </c>
      <c r="C44" s="120">
        <v>45957</v>
      </c>
      <c r="D44" s="120">
        <v>45930</v>
      </c>
      <c r="E44" s="120">
        <v>45957</v>
      </c>
      <c r="F44" s="7" t="s">
        <v>789</v>
      </c>
      <c r="G44" s="7" t="b">
        <f ca="1">_7Day_28Day_250414_[[#This Row],[Report_Due_Date]]=TODAY()+MOD(2-WEEKDAY(TODAY(),2),7)+IF(WEEKDAY(TODAY(),2)=2,7,0)</f>
        <v>0</v>
      </c>
    </row>
    <row r="45" spans="1:7" ht="18" x14ac:dyDescent="0.35">
      <c r="A45" s="120">
        <v>45965</v>
      </c>
      <c r="B45" s="120">
        <v>45958</v>
      </c>
      <c r="C45" s="120">
        <v>45964</v>
      </c>
      <c r="D45" s="120">
        <v>45937</v>
      </c>
      <c r="E45" s="120">
        <v>45964</v>
      </c>
      <c r="F45" s="7" t="s">
        <v>790</v>
      </c>
      <c r="G45" s="7" t="b">
        <f ca="1">_7Day_28Day_250414_[[#This Row],[Report_Due_Date]]=TODAY()+MOD(2-WEEKDAY(TODAY(),2),7)+IF(WEEKDAY(TODAY(),2)=2,7,0)</f>
        <v>0</v>
      </c>
    </row>
    <row r="46" spans="1:7" ht="18" x14ac:dyDescent="0.35">
      <c r="A46" s="120">
        <v>45972</v>
      </c>
      <c r="B46" s="120">
        <v>45965</v>
      </c>
      <c r="C46" s="120">
        <v>45971</v>
      </c>
      <c r="D46" s="120">
        <v>45944</v>
      </c>
      <c r="E46" s="120">
        <v>45971</v>
      </c>
      <c r="F46" s="7" t="s">
        <v>791</v>
      </c>
      <c r="G46" s="7" t="b">
        <f ca="1">_7Day_28Day_250414_[[#This Row],[Report_Due_Date]]=TODAY()+MOD(2-WEEKDAY(TODAY(),2),7)+IF(WEEKDAY(TODAY(),2)=2,7,0)</f>
        <v>0</v>
      </c>
    </row>
    <row r="47" spans="1:7" ht="18" x14ac:dyDescent="0.35">
      <c r="A47" s="120">
        <v>45979</v>
      </c>
      <c r="B47" s="120">
        <v>45972</v>
      </c>
      <c r="C47" s="120">
        <v>45978</v>
      </c>
      <c r="D47" s="120">
        <v>45951</v>
      </c>
      <c r="E47" s="120">
        <v>45978</v>
      </c>
      <c r="F47" s="7" t="s">
        <v>792</v>
      </c>
      <c r="G47" s="7" t="b">
        <f ca="1">_7Day_28Day_250414_[[#This Row],[Report_Due_Date]]=TODAY()+MOD(2-WEEKDAY(TODAY(),2),7)+IF(WEEKDAY(TODAY(),2)=2,7,0)</f>
        <v>0</v>
      </c>
    </row>
    <row r="48" spans="1:7" ht="18" x14ac:dyDescent="0.35">
      <c r="A48" s="120">
        <v>45986</v>
      </c>
      <c r="B48" s="120">
        <v>45979</v>
      </c>
      <c r="C48" s="120">
        <v>45985</v>
      </c>
      <c r="D48" s="120">
        <v>45958</v>
      </c>
      <c r="E48" s="120">
        <v>45985</v>
      </c>
      <c r="F48" s="7" t="s">
        <v>793</v>
      </c>
      <c r="G48" s="7" t="b">
        <f ca="1">_7Day_28Day_250414_[[#This Row],[Report_Due_Date]]=TODAY()+MOD(2-WEEKDAY(TODAY(),2),7)+IF(WEEKDAY(TODAY(),2)=2,7,0)</f>
        <v>0</v>
      </c>
    </row>
    <row r="49" spans="1:7" ht="18" x14ac:dyDescent="0.35">
      <c r="A49" s="120">
        <v>45993</v>
      </c>
      <c r="B49" s="120">
        <v>45986</v>
      </c>
      <c r="C49" s="120">
        <v>45992</v>
      </c>
      <c r="D49" s="120">
        <v>45965</v>
      </c>
      <c r="E49" s="120">
        <v>45992</v>
      </c>
      <c r="F49" s="7" t="s">
        <v>794</v>
      </c>
      <c r="G49" s="7" t="b">
        <f ca="1">_7Day_28Day_250414_[[#This Row],[Report_Due_Date]]=TODAY()+MOD(2-WEEKDAY(TODAY(),2),7)+IF(WEEKDAY(TODAY(),2)=2,7,0)</f>
        <v>0</v>
      </c>
    </row>
    <row r="50" spans="1:7" ht="18" x14ac:dyDescent="0.35">
      <c r="A50" s="120">
        <v>46000</v>
      </c>
      <c r="B50" s="120">
        <v>45993</v>
      </c>
      <c r="C50" s="120">
        <v>45999</v>
      </c>
      <c r="D50" s="120">
        <v>45972</v>
      </c>
      <c r="E50" s="120">
        <v>45999</v>
      </c>
      <c r="F50" s="7" t="s">
        <v>795</v>
      </c>
      <c r="G50" s="7" t="b">
        <f ca="1">_7Day_28Day_250414_[[#This Row],[Report_Due_Date]]=TODAY()+MOD(2-WEEKDAY(TODAY(),2),7)+IF(WEEKDAY(TODAY(),2)=2,7,0)</f>
        <v>0</v>
      </c>
    </row>
    <row r="51" spans="1:7" ht="18" x14ac:dyDescent="0.35">
      <c r="A51" s="120">
        <v>46007</v>
      </c>
      <c r="B51" s="120">
        <v>46000</v>
      </c>
      <c r="C51" s="120">
        <v>46006</v>
      </c>
      <c r="D51" s="120">
        <v>45979</v>
      </c>
      <c r="E51" s="120">
        <v>46006</v>
      </c>
      <c r="F51" s="7" t="s">
        <v>796</v>
      </c>
      <c r="G51" s="7" t="b">
        <f ca="1">_7Day_28Day_250414_[[#This Row],[Report_Due_Date]]=TODAY()+MOD(2-WEEKDAY(TODAY(),2),7)+IF(WEEKDAY(TODAY(),2)=2,7,0)</f>
        <v>0</v>
      </c>
    </row>
    <row r="52" spans="1:7" ht="15.6" x14ac:dyDescent="0.3">
      <c r="A52" s="121">
        <v>46014</v>
      </c>
      <c r="B52" s="121">
        <v>46007</v>
      </c>
      <c r="C52" s="121">
        <v>46013</v>
      </c>
      <c r="D52" s="121">
        <v>45986</v>
      </c>
      <c r="E52" s="121">
        <v>46013</v>
      </c>
      <c r="F52" s="122" t="s">
        <v>797</v>
      </c>
      <c r="G52" s="121" t="b">
        <f ca="1">_7Day_28Day_250414_[[#This Row],[Report_Due_Date]]=TODAY()+MOD(2-WEEKDAY(TODAY(),2),7)+IF(WEEKDAY(TODAY(),2)=2,7,0)</f>
        <v>0</v>
      </c>
    </row>
    <row r="53" spans="1:7" ht="15.6" x14ac:dyDescent="0.3">
      <c r="A53" s="121">
        <v>46021</v>
      </c>
      <c r="B53" s="121">
        <v>46014</v>
      </c>
      <c r="C53" s="121">
        <v>46020</v>
      </c>
      <c r="D53" s="121">
        <v>45993</v>
      </c>
      <c r="E53" s="121">
        <v>46020</v>
      </c>
      <c r="F53" s="122" t="s">
        <v>798</v>
      </c>
      <c r="G53" s="121" t="b">
        <f ca="1">_7Day_28Day_250414_[[#This Row],[Report_Due_Date]]=TODAY()+MOD(2-WEEKDAY(TODAY(),2),7)+IF(WEEKDAY(TODAY(),2)=2,7,0)</f>
        <v>0</v>
      </c>
    </row>
  </sheetData>
  <conditionalFormatting sqref="A2:G53">
    <cfRule type="expression" dxfId="0" priority="1">
      <formula>$G2=TRUE</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1B980016700041A859C26B0CBE3010" ma:contentTypeVersion="16" ma:contentTypeDescription="Create a new document." ma:contentTypeScope="" ma:versionID="1209fce709753742879aa2378553e378">
  <xsd:schema xmlns:xsd="http://www.w3.org/2001/XMLSchema" xmlns:xs="http://www.w3.org/2001/XMLSchema" xmlns:p="http://schemas.microsoft.com/office/2006/metadata/properties" xmlns:ns3="b1bf5c3b-6d54-46d3-b945-dfb4607c5fc2" xmlns:ns4="a7c3798e-333d-4d8c-b7f0-61d3254dbad2" targetNamespace="http://schemas.microsoft.com/office/2006/metadata/properties" ma:root="true" ma:fieldsID="5789b25bd9b028519a2563d031c469c4" ns3:_="" ns4:_="">
    <xsd:import namespace="b1bf5c3b-6d54-46d3-b945-dfb4607c5fc2"/>
    <xsd:import namespace="a7c3798e-333d-4d8c-b7f0-61d3254dbad2"/>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MediaServiceLocation" minOccurs="0"/>
                <xsd:element ref="ns3:MediaServiceGenerationTime" minOccurs="0"/>
                <xsd:element ref="ns3:MediaServiceEventHashCode" minOccurs="0"/>
                <xsd:element ref="ns3:MediaServiceOCR"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bf5c3b-6d54-46d3-b945-dfb4607c5f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c3798e-333d-4d8c-b7f0-61d3254dba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1bf5c3b-6d54-46d3-b945-dfb4607c5fc2" xsi:nil="true"/>
  </documentManagement>
</p:properties>
</file>

<file path=customXml/item4.xml>��
</file>

<file path=customXml/itemProps1.xml><?xml version="1.0" encoding="utf-8"?>
<ds:datastoreItem xmlns:ds="http://schemas.openxmlformats.org/officeDocument/2006/customXml" ds:itemID="{21E17DD6-CAB6-420A-A95D-C32957EEB9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bf5c3b-6d54-46d3-b945-dfb4607c5fc2"/>
    <ds:schemaRef ds:uri="a7c3798e-333d-4d8c-b7f0-61d3254dba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7326F4-C310-4BE5-8C1C-0B665131CBE9}">
  <ds:schemaRefs>
    <ds:schemaRef ds:uri="http://schemas.microsoft.com/sharepoint/v3/contenttype/forms"/>
  </ds:schemaRefs>
</ds:datastoreItem>
</file>

<file path=customXml/itemProps3.xml><?xml version="1.0" encoding="utf-8"?>
<ds:datastoreItem xmlns:ds="http://schemas.openxmlformats.org/officeDocument/2006/customXml" ds:itemID="{52810D0D-F7EB-4155-BDDE-E199544D9328}">
  <ds:schemaRefs>
    <ds:schemaRef ds:uri="http://schemas.microsoft.com/office/2006/metadata/properties"/>
    <ds:schemaRef ds:uri="http://schemas.microsoft.com/office/infopath/2007/PartnerControls"/>
    <ds:schemaRef ds:uri="b1bf5c3b-6d54-46d3-b945-dfb4607c5fc2"/>
  </ds:schemaRefs>
</ds:datastoreItem>
</file>

<file path=customXml/itemProps4.xml><?xml version="1.0" encoding="utf-8"?>
<ds:datastoreItem xmlns:ds="http://schemas.openxmlformats.org/officeDocument/2006/customXml" ds:itemID="{A3093440-9B82-429A-AB14-5B94A942AFF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vt:i4>
      </vt:variant>
    </vt:vector>
  </HeadingPairs>
  <TitlesOfParts>
    <vt:vector size="28" baseType="lpstr">
      <vt:lpstr>Current_7D</vt:lpstr>
      <vt:lpstr>Current_28D</vt:lpstr>
      <vt:lpstr>Bur_Auto</vt:lpstr>
      <vt:lpstr>Bur_Auto_7D</vt:lpstr>
      <vt:lpstr>BUR_AUTO_PT</vt:lpstr>
      <vt:lpstr>Bur_C_R_28D (2)</vt:lpstr>
      <vt:lpstr>Bur_C_R</vt:lpstr>
      <vt:lpstr>Bur_C_R_7D</vt:lpstr>
      <vt:lpstr>Bur_C_R_28D</vt:lpstr>
      <vt:lpstr>BUR_C_R_PT</vt:lpstr>
      <vt:lpstr>MV_Theft</vt:lpstr>
      <vt:lpstr>_MV_THEFT_7DAY</vt:lpstr>
      <vt:lpstr>MV_THEFT_28D</vt:lpstr>
      <vt:lpstr>MV_THEFT_PT</vt:lpstr>
      <vt:lpstr>Robbery</vt:lpstr>
      <vt:lpstr>Robbery_28D</vt:lpstr>
      <vt:lpstr>_Robbery_7D</vt:lpstr>
      <vt:lpstr>ROB_PT</vt:lpstr>
      <vt:lpstr>Sexual_Offenses</vt:lpstr>
      <vt:lpstr>Sex_Off_7D</vt:lpstr>
      <vt:lpstr>Sex_Off_28D</vt:lpstr>
      <vt:lpstr>SEXUAL_PT</vt:lpstr>
      <vt:lpstr>ESRI_Export</vt:lpstr>
      <vt:lpstr>Invoked Function</vt:lpstr>
      <vt:lpstr>EXPORT_RMS</vt:lpstr>
      <vt:lpstr>_7Day_28Day_250414_ (2)</vt:lpstr>
      <vt:lpstr>_7Day_28Day_250414_</vt:lpstr>
      <vt:lpstr>'Invoked Function'!ExternalData_2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Carucci</dc:creator>
  <cp:keywords/>
  <dc:description/>
  <cp:lastModifiedBy>Robert Carucci</cp:lastModifiedBy>
  <cp:revision/>
  <cp:lastPrinted>2025-03-03T00:55:41Z</cp:lastPrinted>
  <dcterms:created xsi:type="dcterms:W3CDTF">2015-06-05T18:17:20Z</dcterms:created>
  <dcterms:modified xsi:type="dcterms:W3CDTF">2025-04-18T02:42:14Z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0x010100601B980016700041A859C26B0CBE3010</vt:lpwstr>
  </property>
</Properties>
</file>